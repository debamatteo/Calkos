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Lavoro\Calkos\Calkos.web\Documentazione\MACRO_NORMALIZZA_EXCEL\PROSPETTI__PRODUZIONE_DEL_11_05_2026\13-05-2026\"/>
    </mc:Choice>
  </mc:AlternateContent>
  <bookViews>
    <workbookView xWindow="-120" yWindow="-120" windowWidth="29040" windowHeight="15720" tabRatio="594" firstSheet="10" activeTab="10"/>
  </bookViews>
  <sheets>
    <sheet name="120 gg" sheetId="16" state="hidden" r:id="rId1"/>
    <sheet name="90 gg" sheetId="15" state="hidden" r:id="rId2"/>
    <sheet name="60 gg" sheetId="14" state="hidden" r:id="rId3"/>
    <sheet name="30 gg" sheetId="13" state="hidden" r:id="rId4"/>
    <sheet name="Rimessa diretta" sheetId="12" state="hidden" r:id="rId5"/>
    <sheet name="Bronzo" sheetId="10" state="hidden" r:id="rId6"/>
    <sheet name="Rame" sheetId="8" state="hidden" r:id="rId7"/>
    <sheet name="Ottone" sheetId="7" state="hidden" r:id="rId8"/>
    <sheet name="Tabella" sheetId="5" state="hidden" r:id="rId9"/>
    <sheet name="Tabelle" sheetId="1" state="hidden" r:id="rId10"/>
    <sheet name="Calkos" sheetId="2" r:id="rId11"/>
    <sheet name="Settimana" sheetId="19" r:id="rId12"/>
    <sheet name="Consegna" sheetId="18" r:id="rId13"/>
    <sheet name="Luke SkyWalker" sheetId="3" state="hidden" r:id="rId14"/>
    <sheet name="Luca" sheetId="11" state="hidden" r:id="rId15"/>
    <sheet name="Ivan" sheetId="4" state="hidden" r:id="rId16"/>
    <sheet name="Riepilogo consegne" sheetId="17" state="hidden" r:id="rId17"/>
  </sheets>
  <functionGroups builtInGroupCount="18"/>
  <definedNames>
    <definedName name="_Alu2">Tabelle!$S$4:$S$42</definedName>
    <definedName name="_xlnm._FilterDatabase" localSheetId="0" hidden="1">'120 gg'!$B$5:$B$52</definedName>
    <definedName name="_xlnm._FilterDatabase" localSheetId="3" hidden="1">'30 gg'!$B$5:$B$52</definedName>
    <definedName name="_xlnm._FilterDatabase" localSheetId="2" hidden="1">'60 gg'!$B$5:$B$52</definedName>
    <definedName name="_xlnm._FilterDatabase" localSheetId="1" hidden="1">'90 gg'!$B$5:$B$45</definedName>
    <definedName name="_xlnm._FilterDatabase" localSheetId="10" hidden="1">Calkos!$A$5:$AM$1089</definedName>
    <definedName name="_xlnm._FilterDatabase" localSheetId="4" hidden="1">'Rimessa diretta'!$B$5:$B$52</definedName>
    <definedName name="Al">Tabelle!$H$5:$H$21</definedName>
    <definedName name="Alu">Tabelle!$S$3:$S$42</definedName>
    <definedName name="_xlnm.Print_Area" localSheetId="0">'120 gg'!$A$1:$V$52</definedName>
    <definedName name="_xlnm.Print_Area" localSheetId="3">'30 gg'!$A$1:$V$52</definedName>
    <definedName name="_xlnm.Print_Area" localSheetId="2">'60 gg'!$A$1:$V$52</definedName>
    <definedName name="_xlnm.Print_Area" localSheetId="1">'90 gg'!$A$1:$V$45</definedName>
    <definedName name="_xlnm.Print_Area" localSheetId="10">Calkos!$B$1:$Z$1089</definedName>
    <definedName name="_xlnm.Print_Area" localSheetId="4">'Rimessa diretta'!$A$1:$V$52</definedName>
    <definedName name="Br">Tabelle!$K$5:$K$10</definedName>
    <definedName name="Cu">Tabelle!$J$5:$J$10</definedName>
    <definedName name="LarCu">Tabelle!$M$9:$P$9</definedName>
    <definedName name="LargAl">Tabelle!$M$7:$O$7</definedName>
    <definedName name="LargBr">Tabelle!$M$11:$Q$11</definedName>
    <definedName name="Materiale">Tabelle!$H$3:$J$3</definedName>
    <definedName name="Materiale2">Tabelle!$H$3:$K$3</definedName>
    <definedName name="Ot">Tabelle!$I$5:$I$10</definedName>
    <definedName name="ProvvAl">Tabelle!$H$31:$J$31</definedName>
    <definedName name="ProvvAl2">Tabelle!$H$31:$K$31</definedName>
    <definedName name="ProvvAl3">Tabelle!$M$31:$R$31</definedName>
    <definedName name="ProvvBr">Tabelle!$H$33:$I$33</definedName>
    <definedName name="ProvvCu">Tabelle!$H$32:$I$32</definedName>
    <definedName name="ProvvCu2">Tabelle!$H$32:$J$32</definedName>
    <definedName name="ProvvCu3">Tabelle!$H$32:$L$32</definedName>
    <definedName name="Scadenza">Tabella!$M$40:$M$42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1088" i="2" l="1"/>
  <c r="X1087" i="2"/>
  <c r="X1086" i="2"/>
  <c r="X1085" i="2"/>
  <c r="X1084" i="2"/>
  <c r="X1083" i="2"/>
  <c r="X1082" i="2"/>
  <c r="X1081" i="2"/>
  <c r="X1080" i="2"/>
  <c r="X1079" i="2"/>
  <c r="X1078" i="2"/>
  <c r="X1077" i="2"/>
  <c r="X1076" i="2"/>
  <c r="X1075" i="2"/>
  <c r="X1074" i="2"/>
  <c r="X1073" i="2"/>
  <c r="X1072" i="2"/>
  <c r="X1071" i="2"/>
  <c r="X1070" i="2"/>
  <c r="X1069" i="2"/>
  <c r="X1068" i="2"/>
  <c r="X1067" i="2"/>
  <c r="X1066" i="2"/>
  <c r="X1065" i="2"/>
  <c r="X1064" i="2"/>
  <c r="X1063" i="2"/>
  <c r="X1062" i="2"/>
  <c r="X1061" i="2"/>
  <c r="X1060" i="2"/>
  <c r="X1059" i="2"/>
  <c r="X1058" i="2"/>
  <c r="X1057" i="2"/>
  <c r="X1056" i="2"/>
  <c r="X1055" i="2"/>
  <c r="X1054" i="2"/>
  <c r="X1053" i="2"/>
  <c r="X1052" i="2"/>
  <c r="X1051" i="2"/>
  <c r="X1050" i="2"/>
  <c r="X1049" i="2"/>
  <c r="X1048" i="2"/>
  <c r="X1047" i="2"/>
  <c r="X1046" i="2"/>
  <c r="X1045" i="2"/>
  <c r="X1044" i="2"/>
  <c r="X1043" i="2"/>
  <c r="X1042" i="2"/>
  <c r="X1041" i="2"/>
  <c r="X1040" i="2"/>
  <c r="X1039" i="2"/>
  <c r="X1038" i="2"/>
  <c r="X1037" i="2"/>
  <c r="X1036" i="2"/>
  <c r="X1035" i="2"/>
  <c r="X1034" i="2"/>
  <c r="X1033" i="2"/>
  <c r="X1032" i="2"/>
  <c r="X1031" i="2"/>
  <c r="X1030" i="2"/>
  <c r="X1029" i="2"/>
  <c r="X1028" i="2"/>
  <c r="X1027" i="2"/>
  <c r="X1026" i="2"/>
  <c r="X1025" i="2"/>
  <c r="X1024" i="2"/>
  <c r="X1023" i="2"/>
  <c r="X1022" i="2"/>
  <c r="X1021" i="2"/>
  <c r="X1020" i="2"/>
  <c r="X1019" i="2"/>
  <c r="X1018" i="2"/>
  <c r="X1017" i="2"/>
  <c r="X1016" i="2"/>
  <c r="X1015" i="2"/>
  <c r="X1014" i="2"/>
  <c r="X1013" i="2"/>
  <c r="X1012" i="2"/>
  <c r="X1011" i="2"/>
  <c r="X1010" i="2"/>
  <c r="X1009" i="2"/>
  <c r="X1008" i="2"/>
  <c r="X1007" i="2"/>
  <c r="X1006" i="2"/>
  <c r="X1005" i="2"/>
  <c r="X1004" i="2"/>
  <c r="X1003" i="2"/>
  <c r="X1002" i="2"/>
  <c r="X1001" i="2"/>
  <c r="X1000" i="2"/>
  <c r="X999" i="2"/>
  <c r="X998" i="2"/>
  <c r="X997" i="2"/>
  <c r="X996" i="2"/>
  <c r="X995" i="2"/>
  <c r="X994" i="2"/>
  <c r="X993" i="2"/>
  <c r="X992" i="2"/>
  <c r="X991" i="2"/>
  <c r="X990" i="2"/>
  <c r="X989" i="2"/>
  <c r="X988" i="2"/>
  <c r="X987" i="2"/>
  <c r="X986" i="2"/>
  <c r="X985" i="2"/>
  <c r="X984" i="2"/>
  <c r="X983" i="2"/>
  <c r="X982" i="2"/>
  <c r="X981" i="2"/>
  <c r="X980" i="2"/>
  <c r="X979" i="2"/>
  <c r="X978" i="2"/>
  <c r="X977" i="2"/>
  <c r="X976" i="2"/>
  <c r="X975" i="2"/>
  <c r="X974" i="2"/>
  <c r="X973" i="2"/>
  <c r="X972" i="2"/>
  <c r="X971" i="2"/>
  <c r="X970" i="2"/>
  <c r="X969" i="2"/>
  <c r="X968" i="2"/>
  <c r="X967" i="2"/>
  <c r="X966" i="2"/>
  <c r="X965" i="2"/>
  <c r="X964" i="2"/>
  <c r="X963" i="2"/>
  <c r="X962" i="2"/>
  <c r="X961" i="2"/>
  <c r="X960" i="2"/>
  <c r="X959" i="2"/>
  <c r="X958" i="2"/>
  <c r="X957" i="2"/>
  <c r="X956" i="2"/>
  <c r="X955" i="2"/>
  <c r="X954" i="2"/>
  <c r="X953" i="2"/>
  <c r="X952" i="2"/>
  <c r="X951" i="2"/>
  <c r="X950" i="2"/>
  <c r="X949" i="2"/>
  <c r="X948" i="2"/>
  <c r="X947" i="2"/>
  <c r="X946" i="2"/>
  <c r="X945" i="2"/>
  <c r="X944" i="2"/>
  <c r="X943" i="2"/>
  <c r="X942" i="2"/>
  <c r="X941" i="2"/>
  <c r="X940" i="2"/>
  <c r="X939" i="2"/>
  <c r="X938" i="2"/>
  <c r="X937" i="2"/>
  <c r="X936" i="2"/>
  <c r="X935" i="2"/>
  <c r="X934" i="2"/>
  <c r="X933" i="2"/>
  <c r="X932" i="2"/>
  <c r="X931" i="2"/>
  <c r="X930" i="2"/>
  <c r="X929" i="2"/>
  <c r="X928" i="2"/>
  <c r="X927" i="2"/>
  <c r="X926" i="2"/>
  <c r="X925" i="2"/>
  <c r="X924" i="2"/>
  <c r="X923" i="2"/>
  <c r="X922" i="2"/>
  <c r="X921" i="2"/>
  <c r="X920" i="2"/>
  <c r="X919" i="2"/>
  <c r="X918" i="2"/>
  <c r="X917" i="2"/>
  <c r="X916" i="2"/>
  <c r="X915" i="2"/>
  <c r="X914" i="2"/>
  <c r="X913" i="2"/>
  <c r="X912" i="2"/>
  <c r="X911" i="2"/>
  <c r="X910" i="2"/>
  <c r="X909" i="2"/>
  <c r="X908" i="2"/>
  <c r="X907" i="2"/>
  <c r="X906" i="2"/>
  <c r="X905" i="2"/>
  <c r="X904" i="2"/>
  <c r="X903" i="2"/>
  <c r="X902" i="2"/>
  <c r="X901" i="2"/>
  <c r="X900" i="2"/>
  <c r="X899" i="2"/>
  <c r="X898" i="2"/>
  <c r="X897" i="2"/>
  <c r="X896" i="2"/>
  <c r="X895" i="2"/>
  <c r="X894" i="2"/>
  <c r="X893" i="2"/>
  <c r="X892" i="2"/>
  <c r="X891" i="2"/>
  <c r="X890" i="2"/>
  <c r="X889" i="2"/>
  <c r="X888" i="2"/>
  <c r="X887" i="2"/>
  <c r="X886" i="2"/>
  <c r="X885" i="2"/>
  <c r="X884" i="2"/>
  <c r="X883" i="2"/>
  <c r="X882" i="2"/>
  <c r="X881" i="2"/>
  <c r="X880" i="2"/>
  <c r="X879" i="2"/>
  <c r="X878" i="2"/>
  <c r="X877" i="2"/>
  <c r="X876" i="2"/>
  <c r="X875" i="2"/>
  <c r="X874" i="2"/>
  <c r="X873" i="2"/>
  <c r="X872" i="2"/>
  <c r="X871" i="2"/>
  <c r="X870" i="2"/>
  <c r="X869" i="2"/>
  <c r="X868" i="2"/>
  <c r="X867" i="2"/>
  <c r="X866" i="2"/>
  <c r="X865" i="2"/>
  <c r="X864" i="2"/>
  <c r="X863" i="2"/>
  <c r="X862" i="2"/>
  <c r="X861" i="2"/>
  <c r="X860" i="2"/>
  <c r="X859" i="2"/>
  <c r="X858" i="2"/>
  <c r="X857" i="2"/>
  <c r="X856" i="2"/>
  <c r="X855" i="2"/>
  <c r="X854" i="2"/>
  <c r="X853" i="2"/>
  <c r="X852" i="2"/>
  <c r="X851" i="2"/>
  <c r="X850" i="2"/>
  <c r="X849" i="2"/>
  <c r="X848" i="2"/>
  <c r="X847" i="2"/>
  <c r="X846" i="2"/>
  <c r="X845" i="2"/>
  <c r="X844" i="2"/>
  <c r="X843" i="2"/>
  <c r="X842" i="2"/>
  <c r="X841" i="2"/>
  <c r="X840" i="2"/>
  <c r="X839" i="2"/>
  <c r="X838" i="2"/>
  <c r="X837" i="2"/>
  <c r="X836" i="2"/>
  <c r="X835" i="2"/>
  <c r="X834" i="2"/>
  <c r="X833" i="2"/>
  <c r="X832" i="2"/>
  <c r="X831" i="2"/>
  <c r="X830" i="2"/>
  <c r="X829" i="2"/>
  <c r="X828" i="2"/>
  <c r="X827" i="2"/>
  <c r="X826" i="2"/>
  <c r="X825" i="2"/>
  <c r="X824" i="2"/>
  <c r="X823" i="2"/>
  <c r="X822" i="2"/>
  <c r="X821" i="2"/>
  <c r="X820" i="2"/>
  <c r="X819" i="2"/>
  <c r="X818" i="2"/>
  <c r="X817" i="2"/>
  <c r="X816" i="2"/>
  <c r="X815" i="2"/>
  <c r="X814" i="2"/>
  <c r="X813" i="2"/>
  <c r="X812" i="2"/>
  <c r="X811" i="2"/>
  <c r="X810" i="2"/>
  <c r="X809" i="2"/>
  <c r="X808" i="2"/>
  <c r="X807" i="2"/>
  <c r="X806" i="2"/>
  <c r="X805" i="2"/>
  <c r="X804" i="2"/>
  <c r="X803" i="2"/>
  <c r="X802" i="2"/>
  <c r="X801" i="2"/>
  <c r="X800" i="2"/>
  <c r="X799" i="2"/>
  <c r="X798" i="2"/>
  <c r="X797" i="2"/>
  <c r="X796" i="2"/>
  <c r="X795" i="2"/>
  <c r="X794" i="2"/>
  <c r="X793" i="2"/>
  <c r="X792" i="2"/>
  <c r="X791" i="2"/>
  <c r="X790" i="2"/>
  <c r="X789" i="2"/>
  <c r="X788" i="2"/>
  <c r="X787" i="2"/>
  <c r="X786" i="2"/>
  <c r="X785" i="2"/>
  <c r="X784" i="2"/>
  <c r="X783" i="2"/>
  <c r="X782" i="2"/>
  <c r="X781" i="2"/>
  <c r="X780" i="2"/>
  <c r="X779" i="2"/>
  <c r="X778" i="2"/>
  <c r="X777" i="2"/>
  <c r="X776" i="2"/>
  <c r="X775" i="2"/>
  <c r="X774" i="2"/>
  <c r="X773" i="2"/>
  <c r="X772" i="2"/>
  <c r="X771" i="2"/>
  <c r="X770" i="2"/>
  <c r="X769" i="2"/>
  <c r="X768" i="2"/>
  <c r="X767" i="2"/>
  <c r="X766" i="2"/>
  <c r="X765" i="2"/>
  <c r="X764" i="2"/>
  <c r="X763" i="2"/>
  <c r="X762" i="2"/>
  <c r="X761" i="2"/>
  <c r="X760" i="2"/>
  <c r="X759" i="2"/>
  <c r="X758" i="2"/>
  <c r="X757" i="2"/>
  <c r="X756" i="2"/>
  <c r="X755" i="2"/>
  <c r="X754" i="2"/>
  <c r="X753" i="2"/>
  <c r="X752" i="2"/>
  <c r="X751" i="2"/>
  <c r="X750" i="2"/>
  <c r="X749" i="2"/>
  <c r="X748" i="2"/>
  <c r="X747" i="2"/>
  <c r="X746" i="2"/>
  <c r="X745" i="2"/>
  <c r="X744" i="2"/>
  <c r="X743" i="2"/>
  <c r="X742" i="2"/>
  <c r="X741" i="2"/>
  <c r="X740" i="2"/>
  <c r="X739" i="2"/>
  <c r="X738" i="2"/>
  <c r="X737" i="2"/>
  <c r="X736" i="2"/>
  <c r="X735" i="2"/>
  <c r="X734" i="2"/>
  <c r="X733" i="2"/>
  <c r="X732" i="2"/>
  <c r="X731" i="2"/>
  <c r="X730" i="2"/>
  <c r="X729" i="2"/>
  <c r="X728" i="2"/>
  <c r="X727" i="2"/>
  <c r="X726" i="2"/>
  <c r="X725" i="2"/>
  <c r="X724" i="2"/>
  <c r="X723" i="2"/>
  <c r="X722" i="2"/>
  <c r="X721" i="2"/>
  <c r="X720" i="2"/>
  <c r="X719" i="2"/>
  <c r="X718" i="2"/>
  <c r="X717" i="2"/>
  <c r="X716" i="2"/>
  <c r="X715" i="2"/>
  <c r="X714" i="2"/>
  <c r="X713" i="2"/>
  <c r="X712" i="2"/>
  <c r="X711" i="2"/>
  <c r="X710" i="2"/>
  <c r="X709" i="2"/>
  <c r="X708" i="2"/>
  <c r="X707" i="2"/>
  <c r="X706" i="2"/>
  <c r="X705" i="2"/>
  <c r="X704" i="2"/>
  <c r="X703" i="2"/>
  <c r="X702" i="2"/>
  <c r="X701" i="2"/>
  <c r="X700" i="2"/>
  <c r="X699" i="2"/>
  <c r="X698" i="2"/>
  <c r="X697" i="2"/>
  <c r="X696" i="2"/>
  <c r="X695" i="2"/>
  <c r="X694" i="2"/>
  <c r="X693" i="2"/>
  <c r="X692" i="2"/>
  <c r="X691" i="2"/>
  <c r="X690" i="2"/>
  <c r="X689" i="2"/>
  <c r="X688" i="2"/>
  <c r="X687" i="2"/>
  <c r="X686" i="2"/>
  <c r="X685" i="2"/>
  <c r="X684" i="2"/>
  <c r="X683" i="2"/>
  <c r="X682" i="2"/>
  <c r="X681" i="2"/>
  <c r="X680" i="2"/>
  <c r="X679" i="2"/>
  <c r="X678" i="2"/>
  <c r="X677" i="2"/>
  <c r="X676" i="2"/>
  <c r="X675" i="2"/>
  <c r="X674" i="2"/>
  <c r="X673" i="2"/>
  <c r="X672" i="2"/>
  <c r="X671" i="2"/>
  <c r="X670" i="2"/>
  <c r="X669" i="2"/>
  <c r="X668" i="2"/>
  <c r="X667" i="2"/>
  <c r="X666" i="2"/>
  <c r="X665" i="2"/>
  <c r="X664" i="2"/>
  <c r="X663" i="2"/>
  <c r="X662" i="2"/>
  <c r="X661" i="2"/>
  <c r="X660" i="2"/>
  <c r="X659" i="2"/>
  <c r="X658" i="2"/>
  <c r="X657" i="2"/>
  <c r="X656" i="2"/>
  <c r="X655" i="2"/>
  <c r="X654" i="2"/>
  <c r="X653" i="2"/>
  <c r="X652" i="2"/>
  <c r="X651" i="2"/>
  <c r="X650" i="2"/>
  <c r="X649" i="2"/>
  <c r="X648" i="2"/>
  <c r="X647" i="2"/>
  <c r="X646" i="2"/>
  <c r="X645" i="2"/>
  <c r="X644" i="2"/>
  <c r="X643" i="2"/>
  <c r="X642" i="2"/>
  <c r="X641" i="2"/>
  <c r="X640" i="2"/>
  <c r="X639" i="2"/>
  <c r="X638" i="2"/>
  <c r="X637" i="2"/>
  <c r="X636" i="2"/>
  <c r="X635" i="2"/>
  <c r="X634" i="2"/>
  <c r="X633" i="2"/>
  <c r="X632" i="2"/>
  <c r="X631" i="2"/>
  <c r="X630" i="2"/>
  <c r="X629" i="2"/>
  <c r="X628" i="2"/>
  <c r="X627" i="2"/>
  <c r="X626" i="2"/>
  <c r="X625" i="2"/>
  <c r="X624" i="2"/>
  <c r="X623" i="2"/>
  <c r="X622" i="2"/>
  <c r="X621" i="2"/>
  <c r="X620" i="2"/>
  <c r="X619" i="2"/>
  <c r="X618" i="2"/>
  <c r="X617" i="2"/>
  <c r="X616" i="2"/>
  <c r="X615" i="2"/>
  <c r="X614" i="2"/>
  <c r="X613" i="2"/>
  <c r="X612" i="2"/>
  <c r="X611" i="2"/>
  <c r="X610" i="2"/>
  <c r="X609" i="2"/>
  <c r="X608" i="2"/>
  <c r="X607" i="2"/>
  <c r="X606" i="2"/>
  <c r="X605" i="2"/>
  <c r="X604" i="2"/>
  <c r="X603" i="2"/>
  <c r="X602" i="2"/>
  <c r="X601" i="2"/>
  <c r="X600" i="2"/>
  <c r="X599" i="2"/>
  <c r="X598" i="2"/>
  <c r="X597" i="2"/>
  <c r="X596" i="2"/>
  <c r="X595" i="2"/>
  <c r="X594" i="2"/>
  <c r="X593" i="2"/>
  <c r="X592" i="2"/>
  <c r="X591" i="2"/>
  <c r="X590" i="2"/>
  <c r="X589" i="2"/>
  <c r="X588" i="2"/>
  <c r="X587" i="2"/>
  <c r="X586" i="2"/>
  <c r="X585" i="2"/>
  <c r="X584" i="2"/>
  <c r="X583" i="2"/>
  <c r="X582" i="2"/>
  <c r="X581" i="2"/>
  <c r="X580" i="2"/>
  <c r="X579" i="2"/>
  <c r="X578" i="2"/>
  <c r="X577" i="2"/>
  <c r="X576" i="2"/>
  <c r="X575" i="2"/>
  <c r="X574" i="2"/>
  <c r="X573" i="2"/>
  <c r="X572" i="2"/>
  <c r="X571" i="2"/>
  <c r="X570" i="2"/>
  <c r="X569" i="2"/>
  <c r="X568" i="2"/>
  <c r="X567" i="2"/>
  <c r="X566" i="2"/>
  <c r="X565" i="2"/>
  <c r="X564" i="2"/>
  <c r="X563" i="2"/>
  <c r="X562" i="2"/>
  <c r="X561" i="2"/>
  <c r="X560" i="2"/>
  <c r="X559" i="2"/>
  <c r="X558" i="2"/>
  <c r="X557" i="2"/>
  <c r="X556" i="2"/>
  <c r="X555" i="2"/>
  <c r="X554" i="2"/>
  <c r="X553" i="2"/>
  <c r="X552" i="2"/>
  <c r="X551" i="2"/>
  <c r="X550" i="2"/>
  <c r="X549" i="2"/>
  <c r="X548" i="2"/>
  <c r="X547" i="2"/>
  <c r="X546" i="2"/>
  <c r="X545" i="2"/>
  <c r="X544" i="2"/>
  <c r="X543" i="2"/>
  <c r="X542" i="2"/>
  <c r="X541" i="2"/>
  <c r="X540" i="2"/>
  <c r="X539" i="2"/>
  <c r="X538" i="2"/>
  <c r="X537" i="2"/>
  <c r="X536" i="2"/>
  <c r="X535" i="2"/>
  <c r="X534" i="2"/>
  <c r="X533" i="2"/>
  <c r="X532" i="2"/>
  <c r="X531" i="2"/>
  <c r="X530" i="2"/>
  <c r="X529" i="2"/>
  <c r="X528" i="2"/>
  <c r="X527" i="2"/>
  <c r="X526" i="2"/>
  <c r="X525" i="2"/>
  <c r="X524" i="2"/>
  <c r="X523" i="2"/>
  <c r="X522" i="2"/>
  <c r="X521" i="2"/>
  <c r="X520" i="2"/>
  <c r="X519" i="2"/>
  <c r="X518" i="2"/>
  <c r="X517" i="2"/>
  <c r="X516" i="2"/>
  <c r="X515" i="2"/>
  <c r="X514" i="2"/>
  <c r="X513" i="2"/>
  <c r="X512" i="2"/>
  <c r="X511" i="2"/>
  <c r="X510" i="2"/>
  <c r="X509" i="2"/>
  <c r="X508" i="2"/>
  <c r="X507" i="2"/>
  <c r="X506" i="2"/>
  <c r="X505" i="2"/>
  <c r="X504" i="2"/>
  <c r="X503" i="2"/>
  <c r="X502" i="2"/>
  <c r="X501" i="2"/>
  <c r="X500" i="2"/>
  <c r="X499" i="2"/>
  <c r="X498" i="2"/>
  <c r="X497" i="2"/>
  <c r="X496" i="2"/>
  <c r="X495" i="2"/>
  <c r="X494" i="2"/>
  <c r="X493" i="2"/>
  <c r="X492" i="2"/>
  <c r="X491" i="2"/>
  <c r="X490" i="2"/>
  <c r="X489" i="2"/>
  <c r="X488" i="2"/>
  <c r="X487" i="2"/>
  <c r="X486" i="2"/>
  <c r="X485" i="2"/>
  <c r="X484" i="2"/>
  <c r="X483" i="2"/>
  <c r="X482" i="2"/>
  <c r="X481" i="2"/>
  <c r="X480" i="2"/>
  <c r="X479" i="2"/>
  <c r="X478" i="2"/>
  <c r="X477" i="2"/>
  <c r="X476" i="2"/>
  <c r="X475" i="2"/>
  <c r="X474" i="2"/>
  <c r="X473" i="2"/>
  <c r="X472" i="2"/>
  <c r="X471" i="2"/>
  <c r="X470" i="2"/>
  <c r="X469" i="2"/>
  <c r="X468" i="2"/>
  <c r="X467" i="2"/>
  <c r="X466" i="2"/>
  <c r="X465" i="2"/>
  <c r="X464" i="2"/>
  <c r="X463" i="2"/>
  <c r="X462" i="2"/>
  <c r="X461" i="2"/>
  <c r="X460" i="2"/>
  <c r="X459" i="2"/>
  <c r="X458" i="2"/>
  <c r="X457" i="2"/>
  <c r="X456" i="2"/>
  <c r="X455" i="2"/>
  <c r="X454" i="2"/>
  <c r="X453" i="2"/>
  <c r="X452" i="2"/>
  <c r="X451" i="2"/>
  <c r="X450" i="2"/>
  <c r="X449" i="2"/>
  <c r="X448" i="2"/>
  <c r="X447" i="2"/>
  <c r="X446" i="2"/>
  <c r="X445" i="2"/>
  <c r="X444" i="2"/>
  <c r="X443" i="2"/>
  <c r="X442" i="2"/>
  <c r="X441" i="2"/>
  <c r="X440" i="2"/>
  <c r="X439" i="2"/>
  <c r="X438" i="2"/>
  <c r="X437" i="2"/>
  <c r="X436" i="2"/>
  <c r="X435" i="2"/>
  <c r="X434" i="2"/>
  <c r="X433" i="2"/>
  <c r="X432" i="2"/>
  <c r="X431" i="2"/>
  <c r="X430" i="2"/>
  <c r="X429" i="2"/>
  <c r="X428" i="2"/>
  <c r="X427" i="2"/>
  <c r="X426" i="2"/>
  <c r="X425" i="2"/>
  <c r="X424" i="2"/>
  <c r="X423" i="2"/>
  <c r="X422" i="2"/>
  <c r="X421" i="2"/>
  <c r="X420" i="2"/>
  <c r="X419" i="2"/>
  <c r="X418" i="2"/>
  <c r="X417" i="2"/>
  <c r="X416" i="2"/>
  <c r="X415" i="2"/>
  <c r="X414" i="2"/>
  <c r="X413" i="2"/>
  <c r="X412" i="2"/>
  <c r="X411" i="2"/>
  <c r="X410" i="2"/>
  <c r="X409" i="2"/>
  <c r="X408" i="2"/>
  <c r="X407" i="2"/>
  <c r="X406" i="2"/>
  <c r="X405" i="2"/>
  <c r="X404" i="2"/>
  <c r="X403" i="2"/>
  <c r="X402" i="2"/>
  <c r="X401" i="2"/>
  <c r="X400" i="2"/>
  <c r="X399" i="2"/>
  <c r="X398" i="2"/>
  <c r="X397" i="2"/>
  <c r="X396" i="2"/>
  <c r="X395" i="2"/>
  <c r="X394" i="2"/>
  <c r="X393" i="2"/>
  <c r="X392" i="2"/>
  <c r="X391" i="2"/>
  <c r="X390" i="2"/>
  <c r="X389" i="2"/>
  <c r="X388" i="2"/>
  <c r="X387" i="2"/>
  <c r="X386" i="2"/>
  <c r="X385" i="2"/>
  <c r="X384" i="2"/>
  <c r="X383" i="2"/>
  <c r="X382" i="2"/>
  <c r="X381" i="2"/>
  <c r="X380" i="2"/>
  <c r="X379" i="2"/>
  <c r="X378" i="2"/>
  <c r="X377" i="2"/>
  <c r="X376" i="2"/>
  <c r="X375" i="2"/>
  <c r="X374" i="2"/>
  <c r="X373" i="2"/>
  <c r="X372" i="2"/>
  <c r="X371" i="2"/>
  <c r="X370" i="2"/>
  <c r="X369" i="2"/>
  <c r="X368" i="2"/>
  <c r="X367" i="2"/>
  <c r="X366" i="2"/>
  <c r="X365" i="2"/>
  <c r="X364" i="2"/>
  <c r="X363" i="2"/>
  <c r="X362" i="2"/>
  <c r="X361" i="2"/>
  <c r="X360" i="2"/>
  <c r="X359" i="2"/>
  <c r="X358" i="2"/>
  <c r="X357" i="2"/>
  <c r="X356" i="2"/>
  <c r="X355" i="2"/>
  <c r="X354" i="2"/>
  <c r="X353" i="2"/>
  <c r="X352" i="2"/>
  <c r="X351" i="2"/>
  <c r="X350" i="2"/>
  <c r="X349" i="2"/>
  <c r="X348" i="2"/>
  <c r="X347" i="2"/>
  <c r="X346" i="2"/>
  <c r="X345" i="2"/>
  <c r="X344" i="2"/>
  <c r="X343" i="2"/>
  <c r="X342" i="2"/>
  <c r="X341" i="2"/>
  <c r="X340" i="2"/>
  <c r="X339" i="2"/>
  <c r="X338" i="2"/>
  <c r="X337" i="2"/>
  <c r="X336" i="2"/>
  <c r="X335" i="2"/>
  <c r="X334" i="2"/>
  <c r="X333" i="2"/>
  <c r="X332" i="2"/>
  <c r="X331" i="2"/>
  <c r="X330" i="2"/>
  <c r="X329" i="2"/>
  <c r="X328" i="2"/>
  <c r="X327" i="2"/>
  <c r="X326" i="2"/>
  <c r="X325" i="2"/>
  <c r="X324" i="2"/>
  <c r="X323" i="2"/>
  <c r="X322" i="2"/>
  <c r="X321" i="2"/>
  <c r="X320" i="2"/>
  <c r="X319" i="2"/>
  <c r="X318" i="2"/>
  <c r="X317" i="2"/>
  <c r="X316" i="2"/>
  <c r="X315" i="2"/>
  <c r="X314" i="2"/>
  <c r="X313" i="2"/>
  <c r="X312" i="2"/>
  <c r="X311" i="2"/>
  <c r="X310" i="2"/>
  <c r="X309" i="2"/>
  <c r="X308" i="2"/>
  <c r="X307" i="2"/>
  <c r="X306" i="2"/>
  <c r="X305" i="2"/>
  <c r="X304" i="2"/>
  <c r="X303" i="2"/>
  <c r="X302" i="2"/>
  <c r="X301" i="2"/>
  <c r="X300" i="2"/>
  <c r="X299" i="2"/>
  <c r="X298" i="2"/>
  <c r="X297" i="2"/>
  <c r="X296" i="2"/>
  <c r="X295" i="2"/>
  <c r="X294" i="2"/>
  <c r="X293" i="2"/>
  <c r="X292" i="2"/>
  <c r="X291" i="2"/>
  <c r="X290" i="2"/>
  <c r="X289" i="2"/>
  <c r="X288" i="2"/>
  <c r="X287" i="2"/>
  <c r="X286" i="2"/>
  <c r="X285" i="2"/>
  <c r="X284" i="2"/>
  <c r="X283" i="2"/>
  <c r="X282" i="2"/>
  <c r="X281" i="2"/>
  <c r="X280" i="2"/>
  <c r="X279" i="2"/>
  <c r="X278" i="2"/>
  <c r="X277" i="2"/>
  <c r="X276" i="2"/>
  <c r="X275" i="2"/>
  <c r="X274" i="2"/>
  <c r="X273" i="2"/>
  <c r="X272" i="2"/>
  <c r="X271" i="2"/>
  <c r="X270" i="2"/>
  <c r="X269" i="2"/>
  <c r="X268" i="2"/>
  <c r="X267" i="2"/>
  <c r="X266" i="2"/>
  <c r="X265" i="2"/>
  <c r="X264" i="2"/>
  <c r="X263" i="2"/>
  <c r="X262" i="2"/>
  <c r="X261" i="2"/>
  <c r="X260" i="2"/>
  <c r="X259" i="2"/>
  <c r="X258" i="2"/>
  <c r="X257" i="2"/>
  <c r="X256" i="2"/>
  <c r="X255" i="2"/>
  <c r="X254" i="2"/>
  <c r="X253" i="2"/>
  <c r="X252" i="2"/>
  <c r="X251" i="2"/>
  <c r="X250" i="2"/>
  <c r="X249" i="2"/>
  <c r="X248" i="2"/>
  <c r="X247" i="2"/>
  <c r="X246" i="2"/>
  <c r="X245" i="2"/>
  <c r="X244" i="2"/>
  <c r="X243" i="2"/>
  <c r="X242" i="2"/>
  <c r="X241" i="2"/>
  <c r="X240" i="2"/>
  <c r="X239" i="2"/>
  <c r="X238" i="2"/>
  <c r="X237" i="2"/>
  <c r="X236" i="2"/>
  <c r="X235" i="2"/>
  <c r="X234" i="2"/>
  <c r="X233" i="2"/>
  <c r="X232" i="2"/>
  <c r="X231" i="2"/>
  <c r="X230" i="2"/>
  <c r="X229" i="2"/>
  <c r="X228" i="2"/>
  <c r="X227" i="2"/>
  <c r="X226" i="2"/>
  <c r="X225" i="2"/>
  <c r="X224" i="2"/>
  <c r="X223" i="2"/>
  <c r="X222" i="2"/>
  <c r="X221" i="2"/>
  <c r="X220" i="2"/>
  <c r="X219" i="2"/>
  <c r="X218" i="2"/>
  <c r="X217" i="2"/>
  <c r="X216" i="2"/>
  <c r="X215" i="2"/>
  <c r="X214" i="2"/>
  <c r="X213" i="2"/>
  <c r="X212" i="2"/>
  <c r="X211" i="2"/>
  <c r="X210" i="2"/>
  <c r="X209" i="2"/>
  <c r="X207" i="2"/>
  <c r="X206" i="2"/>
  <c r="X205" i="2"/>
  <c r="X204" i="2"/>
  <c r="X203" i="2"/>
  <c r="X202" i="2"/>
  <c r="X201" i="2"/>
  <c r="X200" i="2"/>
  <c r="X199" i="2"/>
  <c r="X198" i="2"/>
  <c r="X197" i="2"/>
  <c r="X196" i="2"/>
  <c r="X195" i="2"/>
  <c r="X194" i="2"/>
  <c r="X193" i="2"/>
  <c r="X192" i="2"/>
  <c r="X191" i="2"/>
  <c r="X190" i="2"/>
  <c r="X189" i="2"/>
  <c r="X188" i="2"/>
  <c r="X187" i="2"/>
  <c r="X186" i="2"/>
  <c r="X185" i="2"/>
  <c r="X184" i="2"/>
  <c r="X183" i="2"/>
  <c r="X182" i="2"/>
  <c r="X181" i="2"/>
  <c r="X180" i="2"/>
  <c r="X179" i="2"/>
  <c r="X178" i="2"/>
  <c r="X177" i="2"/>
  <c r="X176" i="2"/>
  <c r="X175" i="2"/>
  <c r="X174" i="2"/>
  <c r="X173" i="2"/>
  <c r="X172" i="2"/>
  <c r="X171" i="2"/>
  <c r="X170" i="2"/>
  <c r="X169" i="2"/>
  <c r="X168" i="2"/>
  <c r="X167" i="2"/>
  <c r="X166" i="2"/>
  <c r="X165" i="2"/>
  <c r="X164" i="2"/>
  <c r="X163" i="2"/>
  <c r="X162" i="2"/>
  <c r="X161" i="2"/>
  <c r="X160" i="2"/>
  <c r="X159" i="2"/>
  <c r="X158" i="2"/>
  <c r="X157" i="2"/>
  <c r="X156" i="2"/>
  <c r="X155" i="2"/>
  <c r="X154" i="2"/>
  <c r="X153" i="2"/>
  <c r="X152" i="2"/>
  <c r="X151" i="2"/>
  <c r="X150" i="2"/>
  <c r="X149" i="2"/>
  <c r="X148" i="2"/>
  <c r="X147" i="2"/>
  <c r="X146" i="2"/>
  <c r="X145" i="2"/>
  <c r="X144" i="2"/>
  <c r="X143" i="2"/>
  <c r="X142" i="2"/>
  <c r="X141" i="2"/>
  <c r="X140" i="2"/>
  <c r="X139" i="2"/>
  <c r="X138" i="2"/>
  <c r="X137" i="2"/>
  <c r="X136" i="2"/>
  <c r="X135" i="2"/>
  <c r="X134" i="2"/>
  <c r="X133" i="2"/>
  <c r="X132" i="2"/>
  <c r="X131" i="2"/>
  <c r="X130" i="2"/>
  <c r="X129" i="2"/>
  <c r="X128" i="2"/>
  <c r="X127" i="2"/>
  <c r="X126" i="2"/>
  <c r="X125" i="2"/>
  <c r="X124" i="2"/>
  <c r="X123" i="2"/>
  <c r="X122" i="2"/>
  <c r="X121" i="2"/>
  <c r="X120" i="2"/>
  <c r="X119" i="2"/>
  <c r="X118" i="2"/>
  <c r="X117" i="2"/>
  <c r="X116" i="2"/>
  <c r="X115" i="2"/>
  <c r="X114" i="2"/>
  <c r="X113" i="2"/>
  <c r="X112" i="2"/>
  <c r="X111" i="2"/>
  <c r="X110" i="2"/>
  <c r="X109" i="2"/>
  <c r="X108" i="2"/>
  <c r="X107" i="2"/>
  <c r="X106" i="2"/>
  <c r="X105" i="2"/>
  <c r="X104" i="2"/>
  <c r="X103" i="2"/>
  <c r="X102" i="2"/>
  <c r="X101" i="2"/>
  <c r="X100" i="2"/>
  <c r="X99" i="2"/>
  <c r="X98" i="2"/>
  <c r="X97" i="2"/>
  <c r="X96" i="2"/>
  <c r="X95" i="2"/>
  <c r="X94" i="2"/>
  <c r="X93" i="2"/>
  <c r="X92" i="2"/>
  <c r="X91" i="2"/>
  <c r="X90" i="2"/>
  <c r="X89" i="2"/>
  <c r="X88" i="2"/>
  <c r="X87" i="2"/>
  <c r="X86" i="2"/>
  <c r="X85" i="2"/>
  <c r="X84" i="2"/>
  <c r="X83" i="2"/>
  <c r="X82" i="2"/>
  <c r="X81" i="2"/>
  <c r="X80" i="2"/>
  <c r="X79" i="2"/>
  <c r="X78" i="2"/>
  <c r="X77" i="2"/>
  <c r="X76" i="2"/>
  <c r="X75" i="2"/>
  <c r="X74" i="2"/>
  <c r="X73" i="2"/>
  <c r="X72" i="2"/>
  <c r="X71" i="2"/>
  <c r="X70" i="2"/>
  <c r="X69" i="2"/>
  <c r="X68" i="2"/>
  <c r="X67" i="2"/>
  <c r="X66" i="2"/>
  <c r="X65" i="2"/>
  <c r="X64" i="2"/>
  <c r="X63" i="2"/>
  <c r="X62" i="2"/>
  <c r="X61" i="2"/>
  <c r="X60" i="2"/>
  <c r="X59" i="2"/>
  <c r="X58" i="2"/>
  <c r="X57" i="2"/>
  <c r="X56" i="2"/>
  <c r="X55" i="2"/>
  <c r="X54" i="2"/>
  <c r="X53" i="2"/>
  <c r="X52" i="2"/>
  <c r="X51" i="2"/>
  <c r="X50" i="2"/>
  <c r="X49" i="2"/>
  <c r="X48" i="2"/>
  <c r="X47" i="2"/>
  <c r="X46" i="2"/>
  <c r="X45" i="2"/>
  <c r="X44" i="2"/>
  <c r="X43" i="2"/>
  <c r="X42" i="2"/>
  <c r="X41" i="2"/>
  <c r="X40" i="2"/>
  <c r="X39" i="2"/>
  <c r="X38" i="2"/>
  <c r="X37" i="2"/>
  <c r="X36" i="2"/>
  <c r="X35" i="2"/>
  <c r="X34" i="2"/>
  <c r="X33" i="2"/>
  <c r="X32" i="2"/>
  <c r="X31" i="2"/>
  <c r="X30" i="2"/>
  <c r="X29" i="2"/>
  <c r="X28" i="2"/>
  <c r="X27" i="2"/>
  <c r="X26" i="2"/>
  <c r="X25" i="2"/>
  <c r="X24" i="2"/>
  <c r="X23" i="2"/>
  <c r="X22" i="2"/>
  <c r="X21" i="2"/>
  <c r="X20" i="2"/>
  <c r="X19" i="2"/>
  <c r="X18" i="2"/>
  <c r="X17" i="2"/>
  <c r="X16" i="2"/>
  <c r="X15" i="2"/>
  <c r="X14" i="2"/>
  <c r="X13" i="2"/>
  <c r="X12" i="2"/>
  <c r="X11" i="2"/>
  <c r="X10" i="2"/>
  <c r="X9" i="2"/>
  <c r="X8" i="2"/>
  <c r="X7" i="2"/>
  <c r="X6" i="2"/>
  <c r="S1088" i="2"/>
  <c r="S1087" i="2"/>
  <c r="S1086" i="2"/>
  <c r="S1085" i="2"/>
  <c r="S1084" i="2"/>
  <c r="S1083" i="2"/>
  <c r="S1082" i="2"/>
  <c r="S1081" i="2"/>
  <c r="S1080" i="2"/>
  <c r="S1079" i="2"/>
  <c r="S1078" i="2"/>
  <c r="S1077" i="2"/>
  <c r="S1076" i="2"/>
  <c r="S1075" i="2"/>
  <c r="S1074" i="2"/>
  <c r="S1073" i="2"/>
  <c r="S1072" i="2"/>
  <c r="S1071" i="2"/>
  <c r="S1070" i="2"/>
  <c r="S1069" i="2"/>
  <c r="S1068" i="2"/>
  <c r="S1067" i="2"/>
  <c r="S1066" i="2"/>
  <c r="S1065" i="2"/>
  <c r="S1064" i="2"/>
  <c r="S1063" i="2"/>
  <c r="S1062" i="2"/>
  <c r="S1061" i="2"/>
  <c r="S1060" i="2"/>
  <c r="S1059" i="2"/>
  <c r="S1058" i="2"/>
  <c r="S1057" i="2"/>
  <c r="S1056" i="2"/>
  <c r="S1055" i="2"/>
  <c r="S1054" i="2"/>
  <c r="S1053" i="2"/>
  <c r="S1052" i="2"/>
  <c r="S1051" i="2"/>
  <c r="S1050" i="2"/>
  <c r="S1049" i="2"/>
  <c r="S1048" i="2"/>
  <c r="S1047" i="2"/>
  <c r="S1046" i="2"/>
  <c r="S1045" i="2"/>
  <c r="S1044" i="2"/>
  <c r="S1043" i="2"/>
  <c r="S1042" i="2"/>
  <c r="S1041" i="2"/>
  <c r="S1040" i="2"/>
  <c r="S1039" i="2"/>
  <c r="S1038" i="2"/>
  <c r="S1037" i="2"/>
  <c r="S1036" i="2"/>
  <c r="S1035" i="2"/>
  <c r="S1034" i="2"/>
  <c r="S1033" i="2"/>
  <c r="S1032" i="2"/>
  <c r="S1031" i="2"/>
  <c r="S1030" i="2"/>
  <c r="S1029" i="2"/>
  <c r="S1028" i="2"/>
  <c r="S1027" i="2"/>
  <c r="S1026" i="2"/>
  <c r="S1025" i="2"/>
  <c r="S1024" i="2"/>
  <c r="S1023" i="2"/>
  <c r="S1022" i="2"/>
  <c r="S1021" i="2"/>
  <c r="S1020" i="2"/>
  <c r="S1019" i="2"/>
  <c r="S1018" i="2"/>
  <c r="S1017" i="2"/>
  <c r="S1016" i="2"/>
  <c r="S1015" i="2"/>
  <c r="S1014" i="2"/>
  <c r="S1013" i="2"/>
  <c r="S1012" i="2"/>
  <c r="S1011" i="2"/>
  <c r="S1010" i="2"/>
  <c r="S1009" i="2"/>
  <c r="S1008" i="2"/>
  <c r="S1007" i="2"/>
  <c r="S1006" i="2"/>
  <c r="S1005" i="2"/>
  <c r="S1004" i="2"/>
  <c r="S1003" i="2"/>
  <c r="S1002" i="2"/>
  <c r="S1001" i="2"/>
  <c r="S1000" i="2"/>
  <c r="S999" i="2"/>
  <c r="S998" i="2"/>
  <c r="S997" i="2"/>
  <c r="S996" i="2"/>
  <c r="S995" i="2"/>
  <c r="S994" i="2"/>
  <c r="S993" i="2"/>
  <c r="S992" i="2"/>
  <c r="S991" i="2"/>
  <c r="S990" i="2"/>
  <c r="S989" i="2"/>
  <c r="S988" i="2"/>
  <c r="S987" i="2"/>
  <c r="S986" i="2"/>
  <c r="S985" i="2"/>
  <c r="S984" i="2"/>
  <c r="S983" i="2"/>
  <c r="S982" i="2"/>
  <c r="S981" i="2"/>
  <c r="S980" i="2"/>
  <c r="S979" i="2"/>
  <c r="S978" i="2"/>
  <c r="S977" i="2"/>
  <c r="S976" i="2"/>
  <c r="S975" i="2"/>
  <c r="S974" i="2"/>
  <c r="S973" i="2"/>
  <c r="S972" i="2"/>
  <c r="S971" i="2"/>
  <c r="S970" i="2"/>
  <c r="S969" i="2"/>
  <c r="S968" i="2"/>
  <c r="S967" i="2"/>
  <c r="S966" i="2"/>
  <c r="S965" i="2"/>
  <c r="S964" i="2"/>
  <c r="S963" i="2"/>
  <c r="S962" i="2"/>
  <c r="S961" i="2"/>
  <c r="S960" i="2"/>
  <c r="S959" i="2"/>
  <c r="S958" i="2"/>
  <c r="S957" i="2"/>
  <c r="S956" i="2"/>
  <c r="S955" i="2"/>
  <c r="S954" i="2"/>
  <c r="S953" i="2"/>
  <c r="S952" i="2"/>
  <c r="S951" i="2"/>
  <c r="S950" i="2"/>
  <c r="S949" i="2"/>
  <c r="S948" i="2"/>
  <c r="S947" i="2"/>
  <c r="S946" i="2"/>
  <c r="S945" i="2"/>
  <c r="S944" i="2"/>
  <c r="S943" i="2"/>
  <c r="S942" i="2"/>
  <c r="S941" i="2"/>
  <c r="S940" i="2"/>
  <c r="S939" i="2"/>
  <c r="S938" i="2"/>
  <c r="S937" i="2"/>
  <c r="S936" i="2"/>
  <c r="S935" i="2"/>
  <c r="S934" i="2"/>
  <c r="S933" i="2"/>
  <c r="S932" i="2"/>
  <c r="S931" i="2"/>
  <c r="S930" i="2"/>
  <c r="S929" i="2"/>
  <c r="S928" i="2"/>
  <c r="S927" i="2"/>
  <c r="S926" i="2"/>
  <c r="S925" i="2"/>
  <c r="S924" i="2"/>
  <c r="S923" i="2"/>
  <c r="S922" i="2"/>
  <c r="S921" i="2"/>
  <c r="S920" i="2"/>
  <c r="S919" i="2"/>
  <c r="S918" i="2"/>
  <c r="S917" i="2"/>
  <c r="S916" i="2"/>
  <c r="S915" i="2"/>
  <c r="S914" i="2"/>
  <c r="S913" i="2"/>
  <c r="S912" i="2"/>
  <c r="S911" i="2"/>
  <c r="S910" i="2"/>
  <c r="S909" i="2"/>
  <c r="S908" i="2"/>
  <c r="S907" i="2"/>
  <c r="S906" i="2"/>
  <c r="S905" i="2"/>
  <c r="S904" i="2"/>
  <c r="S903" i="2"/>
  <c r="S902" i="2"/>
  <c r="S901" i="2"/>
  <c r="S900" i="2"/>
  <c r="S899" i="2"/>
  <c r="S898" i="2"/>
  <c r="S897" i="2"/>
  <c r="S896" i="2"/>
  <c r="S895" i="2"/>
  <c r="S894" i="2"/>
  <c r="S893" i="2"/>
  <c r="S892" i="2"/>
  <c r="S891" i="2"/>
  <c r="S890" i="2"/>
  <c r="S889" i="2"/>
  <c r="S888" i="2"/>
  <c r="S887" i="2"/>
  <c r="S886" i="2"/>
  <c r="S885" i="2"/>
  <c r="S884" i="2"/>
  <c r="S883" i="2"/>
  <c r="S882" i="2"/>
  <c r="S881" i="2"/>
  <c r="S880" i="2"/>
  <c r="S879" i="2"/>
  <c r="S878" i="2"/>
  <c r="S877" i="2"/>
  <c r="S876" i="2"/>
  <c r="S875" i="2"/>
  <c r="S874" i="2"/>
  <c r="S873" i="2"/>
  <c r="S872" i="2"/>
  <c r="S871" i="2"/>
  <c r="S870" i="2"/>
  <c r="S869" i="2"/>
  <c r="S868" i="2"/>
  <c r="S867" i="2"/>
  <c r="S866" i="2"/>
  <c r="S865" i="2"/>
  <c r="S864" i="2"/>
  <c r="S863" i="2"/>
  <c r="S862" i="2"/>
  <c r="S861" i="2"/>
  <c r="S860" i="2"/>
  <c r="S859" i="2"/>
  <c r="S858" i="2"/>
  <c r="S857" i="2"/>
  <c r="S856" i="2"/>
  <c r="S855" i="2"/>
  <c r="S854" i="2"/>
  <c r="S853" i="2"/>
  <c r="S852" i="2"/>
  <c r="S851" i="2"/>
  <c r="S850" i="2"/>
  <c r="S849" i="2"/>
  <c r="S848" i="2"/>
  <c r="S847" i="2"/>
  <c r="S846" i="2"/>
  <c r="S845" i="2"/>
  <c r="S844" i="2"/>
  <c r="S843" i="2"/>
  <c r="S842" i="2"/>
  <c r="S841" i="2"/>
  <c r="S840" i="2"/>
  <c r="S839" i="2"/>
  <c r="S838" i="2"/>
  <c r="S837" i="2"/>
  <c r="S836" i="2"/>
  <c r="S835" i="2"/>
  <c r="S834" i="2"/>
  <c r="S833" i="2"/>
  <c r="S832" i="2"/>
  <c r="S831" i="2"/>
  <c r="S830" i="2"/>
  <c r="S829" i="2"/>
  <c r="S828" i="2"/>
  <c r="S827" i="2"/>
  <c r="S826" i="2"/>
  <c r="S825" i="2"/>
  <c r="S824" i="2"/>
  <c r="S823" i="2"/>
  <c r="S822" i="2"/>
  <c r="S821" i="2"/>
  <c r="S820" i="2"/>
  <c r="S819" i="2"/>
  <c r="S818" i="2"/>
  <c r="S817" i="2"/>
  <c r="S816" i="2"/>
  <c r="S815" i="2"/>
  <c r="S814" i="2"/>
  <c r="S813" i="2"/>
  <c r="S812" i="2"/>
  <c r="S811" i="2"/>
  <c r="S810" i="2"/>
  <c r="S809" i="2"/>
  <c r="S808" i="2"/>
  <c r="S807" i="2"/>
  <c r="S806" i="2"/>
  <c r="S805" i="2"/>
  <c r="S804" i="2"/>
  <c r="S803" i="2"/>
  <c r="S802" i="2"/>
  <c r="S801" i="2"/>
  <c r="S800" i="2"/>
  <c r="S799" i="2"/>
  <c r="S798" i="2"/>
  <c r="S797" i="2"/>
  <c r="S796" i="2"/>
  <c r="S795" i="2"/>
  <c r="S794" i="2"/>
  <c r="S793" i="2"/>
  <c r="S792" i="2"/>
  <c r="S791" i="2"/>
  <c r="S790" i="2"/>
  <c r="S789" i="2"/>
  <c r="S788" i="2"/>
  <c r="S787" i="2"/>
  <c r="S786" i="2"/>
  <c r="S785" i="2"/>
  <c r="S784" i="2"/>
  <c r="S783" i="2"/>
  <c r="S782" i="2"/>
  <c r="S781" i="2"/>
  <c r="S780" i="2"/>
  <c r="S779" i="2"/>
  <c r="S778" i="2"/>
  <c r="S777" i="2"/>
  <c r="S776" i="2"/>
  <c r="S775" i="2"/>
  <c r="S774" i="2"/>
  <c r="S773" i="2"/>
  <c r="S772" i="2"/>
  <c r="S771" i="2"/>
  <c r="S770" i="2"/>
  <c r="S769" i="2"/>
  <c r="S768" i="2"/>
  <c r="S767" i="2"/>
  <c r="S766" i="2"/>
  <c r="S765" i="2"/>
  <c r="S764" i="2"/>
  <c r="S763" i="2"/>
  <c r="S762" i="2"/>
  <c r="S761" i="2"/>
  <c r="S760" i="2"/>
  <c r="S759" i="2"/>
  <c r="S758" i="2"/>
  <c r="S757" i="2"/>
  <c r="S756" i="2"/>
  <c r="S755" i="2"/>
  <c r="S754" i="2"/>
  <c r="S753" i="2"/>
  <c r="S752" i="2"/>
  <c r="S751" i="2"/>
  <c r="S750" i="2"/>
  <c r="S749" i="2"/>
  <c r="S748" i="2"/>
  <c r="S747" i="2"/>
  <c r="S746" i="2"/>
  <c r="S745" i="2"/>
  <c r="S744" i="2"/>
  <c r="S743" i="2"/>
  <c r="S742" i="2"/>
  <c r="S741" i="2"/>
  <c r="S740" i="2"/>
  <c r="S739" i="2"/>
  <c r="S738" i="2"/>
  <c r="S737" i="2"/>
  <c r="S736" i="2"/>
  <c r="S735" i="2"/>
  <c r="S734" i="2"/>
  <c r="S733" i="2"/>
  <c r="S732" i="2"/>
  <c r="S731" i="2"/>
  <c r="S730" i="2"/>
  <c r="S729" i="2"/>
  <c r="S728" i="2"/>
  <c r="S727" i="2"/>
  <c r="S726" i="2"/>
  <c r="S725" i="2"/>
  <c r="S724" i="2"/>
  <c r="S723" i="2"/>
  <c r="S722" i="2"/>
  <c r="S721" i="2"/>
  <c r="S720" i="2"/>
  <c r="S719" i="2"/>
  <c r="S718" i="2"/>
  <c r="S717" i="2"/>
  <c r="S716" i="2"/>
  <c r="S715" i="2"/>
  <c r="S714" i="2"/>
  <c r="S713" i="2"/>
  <c r="S712" i="2"/>
  <c r="S711" i="2"/>
  <c r="S710" i="2"/>
  <c r="S709" i="2"/>
  <c r="S708" i="2"/>
  <c r="S707" i="2"/>
  <c r="S706" i="2"/>
  <c r="S705" i="2"/>
  <c r="S704" i="2"/>
  <c r="S703" i="2"/>
  <c r="S702" i="2"/>
  <c r="S701" i="2"/>
  <c r="S700" i="2"/>
  <c r="S699" i="2"/>
  <c r="S698" i="2"/>
  <c r="S697" i="2"/>
  <c r="S696" i="2"/>
  <c r="S695" i="2"/>
  <c r="S694" i="2"/>
  <c r="S693" i="2"/>
  <c r="S692" i="2"/>
  <c r="S691" i="2"/>
  <c r="S690" i="2"/>
  <c r="S689" i="2"/>
  <c r="S688" i="2"/>
  <c r="S687" i="2"/>
  <c r="S686" i="2"/>
  <c r="S685" i="2"/>
  <c r="S684" i="2"/>
  <c r="S683" i="2"/>
  <c r="S682" i="2"/>
  <c r="S681" i="2"/>
  <c r="S680" i="2"/>
  <c r="S679" i="2"/>
  <c r="S678" i="2"/>
  <c r="S677" i="2"/>
  <c r="S676" i="2"/>
  <c r="S675" i="2"/>
  <c r="S674" i="2"/>
  <c r="S673" i="2"/>
  <c r="S672" i="2"/>
  <c r="S671" i="2"/>
  <c r="S670" i="2"/>
  <c r="S669" i="2"/>
  <c r="S668" i="2"/>
  <c r="S667" i="2"/>
  <c r="S666" i="2"/>
  <c r="S665" i="2"/>
  <c r="S664" i="2"/>
  <c r="S663" i="2"/>
  <c r="S662" i="2"/>
  <c r="S661" i="2"/>
  <c r="S660" i="2"/>
  <c r="S659" i="2"/>
  <c r="S658" i="2"/>
  <c r="S657" i="2"/>
  <c r="S656" i="2"/>
  <c r="S655" i="2"/>
  <c r="S654" i="2"/>
  <c r="S653" i="2"/>
  <c r="S652" i="2"/>
  <c r="S651" i="2"/>
  <c r="S650" i="2"/>
  <c r="S649" i="2"/>
  <c r="S648" i="2"/>
  <c r="S647" i="2"/>
  <c r="S646" i="2"/>
  <c r="S645" i="2"/>
  <c r="S644" i="2"/>
  <c r="S643" i="2"/>
  <c r="S642" i="2"/>
  <c r="S641" i="2"/>
  <c r="S640" i="2"/>
  <c r="S639" i="2"/>
  <c r="S638" i="2"/>
  <c r="S637" i="2"/>
  <c r="S636" i="2"/>
  <c r="S635" i="2"/>
  <c r="S634" i="2"/>
  <c r="S633" i="2"/>
  <c r="S632" i="2"/>
  <c r="S631" i="2"/>
  <c r="S630" i="2"/>
  <c r="S629" i="2"/>
  <c r="S628" i="2"/>
  <c r="S627" i="2"/>
  <c r="S626" i="2"/>
  <c r="S625" i="2"/>
  <c r="S624" i="2"/>
  <c r="S623" i="2"/>
  <c r="S622" i="2"/>
  <c r="S621" i="2"/>
  <c r="S620" i="2"/>
  <c r="S619" i="2"/>
  <c r="S618" i="2"/>
  <c r="S617" i="2"/>
  <c r="S616" i="2"/>
  <c r="S615" i="2"/>
  <c r="S614" i="2"/>
  <c r="S613" i="2"/>
  <c r="S612" i="2"/>
  <c r="S611" i="2"/>
  <c r="S610" i="2"/>
  <c r="S609" i="2"/>
  <c r="S608" i="2"/>
  <c r="S607" i="2"/>
  <c r="S606" i="2"/>
  <c r="S605" i="2"/>
  <c r="S604" i="2"/>
  <c r="S603" i="2"/>
  <c r="S602" i="2"/>
  <c r="S601" i="2"/>
  <c r="S600" i="2"/>
  <c r="S599" i="2"/>
  <c r="S598" i="2"/>
  <c r="S597" i="2"/>
  <c r="S596" i="2"/>
  <c r="S595" i="2"/>
  <c r="S594" i="2"/>
  <c r="S593" i="2"/>
  <c r="S592" i="2"/>
  <c r="S591" i="2"/>
  <c r="S590" i="2"/>
  <c r="S589" i="2"/>
  <c r="S588" i="2"/>
  <c r="S587" i="2"/>
  <c r="S586" i="2"/>
  <c r="S585" i="2"/>
  <c r="S584" i="2"/>
  <c r="S583" i="2"/>
  <c r="S582" i="2"/>
  <c r="S581" i="2"/>
  <c r="S580" i="2"/>
  <c r="S579" i="2"/>
  <c r="S578" i="2"/>
  <c r="S577" i="2"/>
  <c r="S576" i="2"/>
  <c r="S575" i="2"/>
  <c r="S574" i="2"/>
  <c r="S573" i="2"/>
  <c r="S572" i="2"/>
  <c r="S571" i="2"/>
  <c r="S570" i="2"/>
  <c r="S569" i="2"/>
  <c r="S568" i="2"/>
  <c r="S567" i="2"/>
  <c r="S566" i="2"/>
  <c r="S565" i="2"/>
  <c r="S564" i="2"/>
  <c r="S563" i="2"/>
  <c r="S562" i="2"/>
  <c r="S561" i="2"/>
  <c r="S560" i="2"/>
  <c r="S559" i="2"/>
  <c r="S558" i="2"/>
  <c r="S557" i="2"/>
  <c r="S556" i="2"/>
  <c r="S555" i="2"/>
  <c r="S554" i="2"/>
  <c r="S553" i="2"/>
  <c r="S552" i="2"/>
  <c r="S551" i="2"/>
  <c r="S550" i="2"/>
  <c r="S549" i="2"/>
  <c r="S548" i="2"/>
  <c r="S547" i="2"/>
  <c r="S546" i="2"/>
  <c r="S545" i="2"/>
  <c r="S544" i="2"/>
  <c r="S543" i="2"/>
  <c r="S542" i="2"/>
  <c r="S541" i="2"/>
  <c r="S540" i="2"/>
  <c r="S539" i="2"/>
  <c r="S538" i="2"/>
  <c r="S537" i="2"/>
  <c r="S536" i="2"/>
  <c r="S535" i="2"/>
  <c r="S534" i="2"/>
  <c r="S533" i="2"/>
  <c r="S532" i="2"/>
  <c r="S531" i="2"/>
  <c r="S530" i="2"/>
  <c r="S529" i="2"/>
  <c r="S528" i="2"/>
  <c r="S527" i="2"/>
  <c r="S526" i="2"/>
  <c r="S525" i="2"/>
  <c r="S524" i="2"/>
  <c r="S523" i="2"/>
  <c r="S522" i="2"/>
  <c r="S521" i="2"/>
  <c r="S520" i="2"/>
  <c r="S519" i="2"/>
  <c r="S518" i="2"/>
  <c r="S517" i="2"/>
  <c r="S516" i="2"/>
  <c r="S515" i="2"/>
  <c r="S514" i="2"/>
  <c r="S513" i="2"/>
  <c r="S512" i="2"/>
  <c r="S511" i="2"/>
  <c r="S510" i="2"/>
  <c r="S509" i="2"/>
  <c r="S508" i="2"/>
  <c r="S507" i="2"/>
  <c r="S506" i="2"/>
  <c r="S505" i="2"/>
  <c r="S504" i="2"/>
  <c r="S503" i="2"/>
  <c r="S502" i="2"/>
  <c r="S501" i="2"/>
  <c r="S500" i="2"/>
  <c r="S499" i="2"/>
  <c r="S498" i="2"/>
  <c r="S497" i="2"/>
  <c r="S496" i="2"/>
  <c r="S495" i="2"/>
  <c r="S494" i="2"/>
  <c r="S493" i="2"/>
  <c r="S492" i="2"/>
  <c r="S491" i="2"/>
  <c r="S490" i="2"/>
  <c r="S489" i="2"/>
  <c r="S488" i="2"/>
  <c r="S487" i="2"/>
  <c r="S486" i="2"/>
  <c r="S485" i="2"/>
  <c r="S484" i="2"/>
  <c r="S483" i="2"/>
  <c r="S482" i="2"/>
  <c r="S481" i="2"/>
  <c r="S480" i="2"/>
  <c r="S479" i="2"/>
  <c r="S478" i="2"/>
  <c r="S477" i="2"/>
  <c r="S476" i="2"/>
  <c r="S475" i="2"/>
  <c r="S474" i="2"/>
  <c r="S473" i="2"/>
  <c r="S472" i="2"/>
  <c r="S471" i="2"/>
  <c r="S470" i="2"/>
  <c r="S469" i="2"/>
  <c r="S468" i="2"/>
  <c r="S467" i="2"/>
  <c r="S466" i="2"/>
  <c r="S465" i="2"/>
  <c r="S464" i="2"/>
  <c r="S463" i="2"/>
  <c r="S462" i="2"/>
  <c r="S461" i="2"/>
  <c r="S460" i="2"/>
  <c r="S459" i="2"/>
  <c r="S458" i="2"/>
  <c r="S457" i="2"/>
  <c r="S456" i="2"/>
  <c r="S455" i="2"/>
  <c r="S454" i="2"/>
  <c r="S453" i="2"/>
  <c r="S452" i="2"/>
  <c r="S451" i="2"/>
  <c r="S450" i="2"/>
  <c r="S449" i="2"/>
  <c r="S448" i="2"/>
  <c r="S447" i="2"/>
  <c r="S446" i="2"/>
  <c r="S445" i="2"/>
  <c r="S444" i="2"/>
  <c r="S443" i="2"/>
  <c r="S442" i="2"/>
  <c r="S441" i="2"/>
  <c r="S440" i="2"/>
  <c r="S439" i="2"/>
  <c r="S438" i="2"/>
  <c r="S437" i="2"/>
  <c r="S436" i="2"/>
  <c r="S435" i="2"/>
  <c r="S434" i="2"/>
  <c r="S433" i="2"/>
  <c r="S432" i="2"/>
  <c r="S431" i="2"/>
  <c r="S430" i="2"/>
  <c r="S429" i="2"/>
  <c r="S428" i="2"/>
  <c r="S427" i="2"/>
  <c r="S426" i="2"/>
  <c r="S425" i="2"/>
  <c r="S424" i="2"/>
  <c r="S423" i="2"/>
  <c r="S422" i="2"/>
  <c r="S421" i="2"/>
  <c r="S420" i="2"/>
  <c r="S419" i="2"/>
  <c r="S418" i="2"/>
  <c r="S417" i="2"/>
  <c r="S416" i="2"/>
  <c r="S415" i="2"/>
  <c r="S414" i="2"/>
  <c r="S413" i="2"/>
  <c r="S412" i="2"/>
  <c r="S411" i="2"/>
  <c r="S410" i="2"/>
  <c r="S409" i="2"/>
  <c r="S408" i="2"/>
  <c r="S407" i="2"/>
  <c r="S406" i="2"/>
  <c r="S405" i="2"/>
  <c r="S404" i="2"/>
  <c r="S403" i="2"/>
  <c r="S402" i="2"/>
  <c r="S401" i="2"/>
  <c r="S400" i="2"/>
  <c r="S399" i="2"/>
  <c r="S398" i="2"/>
  <c r="S397" i="2"/>
  <c r="S396" i="2"/>
  <c r="S395" i="2"/>
  <c r="S394" i="2"/>
  <c r="S393" i="2"/>
  <c r="S392" i="2"/>
  <c r="S391" i="2"/>
  <c r="S390" i="2"/>
  <c r="S389" i="2"/>
  <c r="S388" i="2"/>
  <c r="S387" i="2"/>
  <c r="S386" i="2"/>
  <c r="S385" i="2"/>
  <c r="S384" i="2"/>
  <c r="S383" i="2"/>
  <c r="S382" i="2"/>
  <c r="S381" i="2"/>
  <c r="S380" i="2"/>
  <c r="S379" i="2"/>
  <c r="S378" i="2"/>
  <c r="S377" i="2"/>
  <c r="S376" i="2"/>
  <c r="S375" i="2"/>
  <c r="S374" i="2"/>
  <c r="S373" i="2"/>
  <c r="S372" i="2"/>
  <c r="S371" i="2"/>
  <c r="S370" i="2"/>
  <c r="S369" i="2"/>
  <c r="S368" i="2"/>
  <c r="S367" i="2"/>
  <c r="S366" i="2"/>
  <c r="S365" i="2"/>
  <c r="S364" i="2"/>
  <c r="S363" i="2"/>
  <c r="S362" i="2"/>
  <c r="S361" i="2"/>
  <c r="S360" i="2"/>
  <c r="S359" i="2"/>
  <c r="S358" i="2"/>
  <c r="S357" i="2"/>
  <c r="S356" i="2"/>
  <c r="S355" i="2"/>
  <c r="S354" i="2"/>
  <c r="S353" i="2"/>
  <c r="S352" i="2"/>
  <c r="S351" i="2"/>
  <c r="S350" i="2"/>
  <c r="S349" i="2"/>
  <c r="S348" i="2"/>
  <c r="S347" i="2"/>
  <c r="S346" i="2"/>
  <c r="S345" i="2"/>
  <c r="S344" i="2"/>
  <c r="S343" i="2"/>
  <c r="S342" i="2"/>
  <c r="S341" i="2"/>
  <c r="S340" i="2"/>
  <c r="S339" i="2"/>
  <c r="S338" i="2"/>
  <c r="S337" i="2"/>
  <c r="S336" i="2"/>
  <c r="S335" i="2"/>
  <c r="S334" i="2"/>
  <c r="S333" i="2"/>
  <c r="S332" i="2"/>
  <c r="S331" i="2"/>
  <c r="S330" i="2"/>
  <c r="S329" i="2"/>
  <c r="S328" i="2"/>
  <c r="S327" i="2"/>
  <c r="S326" i="2"/>
  <c r="S325" i="2"/>
  <c r="S324" i="2"/>
  <c r="S323" i="2"/>
  <c r="S322" i="2"/>
  <c r="S321" i="2"/>
  <c r="S320" i="2"/>
  <c r="S319" i="2"/>
  <c r="S318" i="2"/>
  <c r="S317" i="2"/>
  <c r="S316" i="2"/>
  <c r="S315" i="2"/>
  <c r="S314" i="2"/>
  <c r="S313" i="2"/>
  <c r="S312" i="2"/>
  <c r="S311" i="2"/>
  <c r="S310" i="2"/>
  <c r="S309" i="2"/>
  <c r="S308" i="2"/>
  <c r="S307" i="2"/>
  <c r="S306" i="2"/>
  <c r="S305" i="2"/>
  <c r="S304" i="2"/>
  <c r="S303" i="2"/>
  <c r="S302" i="2"/>
  <c r="S301" i="2"/>
  <c r="S300" i="2"/>
  <c r="S299" i="2"/>
  <c r="S298" i="2"/>
  <c r="S297" i="2"/>
  <c r="S296" i="2"/>
  <c r="S295" i="2"/>
  <c r="S294" i="2"/>
  <c r="S293" i="2"/>
  <c r="S292" i="2"/>
  <c r="S291" i="2"/>
  <c r="S290" i="2"/>
  <c r="S289" i="2"/>
  <c r="S288" i="2"/>
  <c r="S287" i="2"/>
  <c r="S286" i="2"/>
  <c r="S285" i="2"/>
  <c r="S284" i="2"/>
  <c r="S283" i="2"/>
  <c r="S282" i="2"/>
  <c r="S281" i="2"/>
  <c r="S280" i="2"/>
  <c r="S279" i="2"/>
  <c r="S278" i="2"/>
  <c r="S277" i="2"/>
  <c r="S276" i="2"/>
  <c r="S275" i="2"/>
  <c r="S274" i="2"/>
  <c r="S273" i="2"/>
  <c r="S272" i="2"/>
  <c r="S271" i="2"/>
  <c r="S270" i="2"/>
  <c r="S269" i="2"/>
  <c r="S268" i="2"/>
  <c r="S267" i="2"/>
  <c r="S266" i="2"/>
  <c r="S265" i="2"/>
  <c r="S264" i="2"/>
  <c r="S263" i="2"/>
  <c r="S262" i="2"/>
  <c r="S261" i="2"/>
  <c r="S260" i="2"/>
  <c r="S259" i="2"/>
  <c r="S258" i="2"/>
  <c r="S257" i="2"/>
  <c r="S256" i="2"/>
  <c r="S255" i="2"/>
  <c r="S254" i="2"/>
  <c r="S253" i="2"/>
  <c r="S252" i="2"/>
  <c r="S251" i="2"/>
  <c r="S250" i="2"/>
  <c r="S249" i="2"/>
  <c r="S248" i="2"/>
  <c r="S247" i="2"/>
  <c r="S246" i="2"/>
  <c r="S245" i="2"/>
  <c r="S244" i="2"/>
  <c r="S243" i="2"/>
  <c r="S242" i="2"/>
  <c r="S241" i="2"/>
  <c r="S240" i="2"/>
  <c r="S239" i="2"/>
  <c r="S238" i="2"/>
  <c r="S237" i="2"/>
  <c r="S236" i="2"/>
  <c r="S235" i="2"/>
  <c r="S234" i="2"/>
  <c r="S233" i="2"/>
  <c r="S232" i="2"/>
  <c r="S231" i="2"/>
  <c r="S230" i="2"/>
  <c r="S229" i="2"/>
  <c r="S228" i="2"/>
  <c r="S227" i="2"/>
  <c r="S226" i="2"/>
  <c r="S225" i="2"/>
  <c r="S224" i="2"/>
  <c r="S223" i="2"/>
  <c r="S222" i="2"/>
  <c r="S221" i="2"/>
  <c r="S220" i="2"/>
  <c r="S219" i="2"/>
  <c r="S218" i="2"/>
  <c r="S217" i="2"/>
  <c r="S216" i="2"/>
  <c r="S215" i="2"/>
  <c r="S214" i="2"/>
  <c r="S213" i="2"/>
  <c r="S212" i="2"/>
  <c r="S211" i="2"/>
  <c r="S210" i="2"/>
  <c r="S209" i="2"/>
  <c r="S208" i="2"/>
  <c r="S207" i="2"/>
  <c r="S206" i="2"/>
  <c r="S205" i="2"/>
  <c r="S204" i="2"/>
  <c r="S203" i="2"/>
  <c r="S202" i="2"/>
  <c r="S201" i="2"/>
  <c r="S200" i="2"/>
  <c r="S199" i="2"/>
  <c r="S198" i="2"/>
  <c r="S197" i="2"/>
  <c r="S196" i="2"/>
  <c r="S195" i="2"/>
  <c r="S194" i="2"/>
  <c r="S193" i="2"/>
  <c r="S192" i="2"/>
  <c r="S191" i="2"/>
  <c r="S190" i="2"/>
  <c r="S189" i="2"/>
  <c r="S188" i="2"/>
  <c r="S187" i="2"/>
  <c r="S186" i="2"/>
  <c r="S185" i="2"/>
  <c r="S184" i="2"/>
  <c r="S183" i="2"/>
  <c r="S182" i="2"/>
  <c r="S181" i="2"/>
  <c r="S180" i="2"/>
  <c r="S179" i="2"/>
  <c r="S178" i="2"/>
  <c r="S177" i="2"/>
  <c r="S176" i="2"/>
  <c r="S175" i="2"/>
  <c r="S174" i="2"/>
  <c r="S173" i="2"/>
  <c r="S172" i="2"/>
  <c r="S171" i="2"/>
  <c r="S170" i="2"/>
  <c r="S169" i="2"/>
  <c r="S168" i="2"/>
  <c r="S167" i="2"/>
  <c r="S166" i="2"/>
  <c r="S165" i="2"/>
  <c r="S164" i="2"/>
  <c r="S163" i="2"/>
  <c r="S162" i="2"/>
  <c r="S161" i="2"/>
  <c r="S160" i="2"/>
  <c r="S159" i="2"/>
  <c r="S158" i="2"/>
  <c r="S157" i="2"/>
  <c r="S156" i="2"/>
  <c r="S155" i="2"/>
  <c r="S154" i="2"/>
  <c r="S153" i="2"/>
  <c r="S152" i="2"/>
  <c r="S151" i="2"/>
  <c r="S150" i="2"/>
  <c r="S149" i="2"/>
  <c r="S148" i="2"/>
  <c r="S147" i="2"/>
  <c r="S146" i="2"/>
  <c r="S145" i="2"/>
  <c r="S144" i="2"/>
  <c r="S143" i="2"/>
  <c r="S142" i="2"/>
  <c r="S141" i="2"/>
  <c r="S140" i="2"/>
  <c r="S139" i="2"/>
  <c r="S138" i="2"/>
  <c r="S137" i="2"/>
  <c r="S136" i="2"/>
  <c r="S135" i="2"/>
  <c r="S134" i="2"/>
  <c r="S133" i="2"/>
  <c r="S132" i="2"/>
  <c r="S131" i="2"/>
  <c r="S130" i="2"/>
  <c r="S129" i="2"/>
  <c r="S128" i="2"/>
  <c r="S127" i="2"/>
  <c r="S126" i="2"/>
  <c r="S125" i="2"/>
  <c r="S124" i="2"/>
  <c r="S123" i="2"/>
  <c r="S122" i="2"/>
  <c r="S121" i="2"/>
  <c r="S120" i="2"/>
  <c r="S119" i="2"/>
  <c r="S118" i="2"/>
  <c r="S117" i="2"/>
  <c r="S116" i="2"/>
  <c r="S115" i="2"/>
  <c r="S114" i="2"/>
  <c r="S113" i="2"/>
  <c r="S112" i="2"/>
  <c r="S111" i="2"/>
  <c r="S110" i="2"/>
  <c r="S109" i="2"/>
  <c r="S108" i="2"/>
  <c r="S107" i="2"/>
  <c r="S106" i="2"/>
  <c r="S105" i="2"/>
  <c r="S104" i="2"/>
  <c r="S103" i="2"/>
  <c r="S102" i="2"/>
  <c r="S101" i="2"/>
  <c r="S100" i="2"/>
  <c r="S99" i="2"/>
  <c r="S98" i="2"/>
  <c r="S97" i="2"/>
  <c r="S96" i="2"/>
  <c r="S95" i="2"/>
  <c r="S94" i="2"/>
  <c r="S93" i="2"/>
  <c r="S92" i="2"/>
  <c r="S91" i="2"/>
  <c r="S90" i="2"/>
  <c r="S89" i="2"/>
  <c r="S88" i="2"/>
  <c r="S87" i="2"/>
  <c r="S86" i="2"/>
  <c r="S85" i="2"/>
  <c r="S84" i="2"/>
  <c r="S83" i="2"/>
  <c r="S82" i="2"/>
  <c r="S81" i="2"/>
  <c r="S80" i="2"/>
  <c r="S79" i="2"/>
  <c r="S78" i="2"/>
  <c r="S77" i="2"/>
  <c r="S76" i="2"/>
  <c r="S75" i="2"/>
  <c r="S74" i="2"/>
  <c r="S73" i="2"/>
  <c r="S72" i="2"/>
  <c r="S71" i="2"/>
  <c r="S70" i="2"/>
  <c r="S69" i="2"/>
  <c r="S68" i="2"/>
  <c r="S67" i="2"/>
  <c r="S66" i="2"/>
  <c r="S65" i="2"/>
  <c r="S64" i="2"/>
  <c r="S63" i="2"/>
  <c r="S62" i="2"/>
  <c r="S61" i="2"/>
  <c r="S60" i="2"/>
  <c r="S59" i="2"/>
  <c r="S58" i="2"/>
  <c r="S57" i="2"/>
  <c r="S56" i="2"/>
  <c r="S55" i="2"/>
  <c r="S54" i="2"/>
  <c r="S53" i="2"/>
  <c r="S52" i="2"/>
  <c r="S51" i="2"/>
  <c r="S50" i="2"/>
  <c r="S49" i="2"/>
  <c r="S48" i="2"/>
  <c r="S47" i="2"/>
  <c r="S46" i="2"/>
  <c r="S45" i="2"/>
  <c r="S44" i="2"/>
  <c r="S43" i="2"/>
  <c r="S42" i="2"/>
  <c r="S41" i="2"/>
  <c r="S40" i="2"/>
  <c r="S39" i="2"/>
  <c r="S38" i="2"/>
  <c r="S37" i="2"/>
  <c r="S36" i="2"/>
  <c r="S35" i="2"/>
  <c r="S34" i="2"/>
  <c r="S33" i="2"/>
  <c r="S32" i="2"/>
  <c r="S31" i="2"/>
  <c r="S30" i="2"/>
  <c r="S29" i="2"/>
  <c r="S28" i="2"/>
  <c r="S27" i="2"/>
  <c r="S26" i="2"/>
  <c r="S25" i="2"/>
  <c r="S24" i="2"/>
  <c r="S23" i="2"/>
  <c r="S20" i="2"/>
  <c r="S19" i="2"/>
  <c r="S18" i="2"/>
  <c r="S17" i="2"/>
  <c r="S16" i="2"/>
  <c r="S15" i="2"/>
  <c r="S14" i="2"/>
  <c r="S13" i="2"/>
  <c r="S12" i="2"/>
  <c r="S11" i="2"/>
  <c r="S10" i="2"/>
  <c r="S9" i="2"/>
  <c r="S8" i="2"/>
  <c r="S7" i="2"/>
  <c r="S6" i="2"/>
  <c r="R1088" i="2"/>
  <c r="R1087" i="2"/>
  <c r="R1086" i="2"/>
  <c r="R1085" i="2"/>
  <c r="R1084" i="2"/>
  <c r="R1083" i="2"/>
  <c r="R1082" i="2"/>
  <c r="R1081" i="2"/>
  <c r="R1080" i="2"/>
  <c r="R1079" i="2"/>
  <c r="R1078" i="2"/>
  <c r="R1077" i="2"/>
  <c r="R1076" i="2"/>
  <c r="R1075" i="2"/>
  <c r="R1074" i="2"/>
  <c r="R1073" i="2"/>
  <c r="R1072" i="2"/>
  <c r="R1071" i="2"/>
  <c r="R1070" i="2"/>
  <c r="R1069" i="2"/>
  <c r="R1068" i="2"/>
  <c r="R1067" i="2"/>
  <c r="R1066" i="2"/>
  <c r="R1065" i="2"/>
  <c r="R1064" i="2"/>
  <c r="R1063" i="2"/>
  <c r="R1062" i="2"/>
  <c r="R1061" i="2"/>
  <c r="R1060" i="2"/>
  <c r="R1059" i="2"/>
  <c r="R1058" i="2"/>
  <c r="R1057" i="2"/>
  <c r="R1056" i="2"/>
  <c r="R1055" i="2"/>
  <c r="R1054" i="2"/>
  <c r="R1053" i="2"/>
  <c r="R1052" i="2"/>
  <c r="R1051" i="2"/>
  <c r="R1050" i="2"/>
  <c r="R1049" i="2"/>
  <c r="R1048" i="2"/>
  <c r="R1047" i="2"/>
  <c r="R1046" i="2"/>
  <c r="R1045" i="2"/>
  <c r="R1044" i="2"/>
  <c r="R1043" i="2"/>
  <c r="R1042" i="2"/>
  <c r="R1041" i="2"/>
  <c r="R1040" i="2"/>
  <c r="R1039" i="2"/>
  <c r="R1038" i="2"/>
  <c r="R1037" i="2"/>
  <c r="R1036" i="2"/>
  <c r="R1035" i="2"/>
  <c r="R1034" i="2"/>
  <c r="R1033" i="2"/>
  <c r="R1032" i="2"/>
  <c r="R1031" i="2"/>
  <c r="R1030" i="2"/>
  <c r="R1029" i="2"/>
  <c r="R1028" i="2"/>
  <c r="R1027" i="2"/>
  <c r="R1026" i="2"/>
  <c r="R1025" i="2"/>
  <c r="R1024" i="2"/>
  <c r="R1023" i="2"/>
  <c r="R1022" i="2"/>
  <c r="R1021" i="2"/>
  <c r="R1020" i="2"/>
  <c r="R1019" i="2"/>
  <c r="R1018" i="2"/>
  <c r="R1017" i="2"/>
  <c r="R1016" i="2"/>
  <c r="R1015" i="2"/>
  <c r="R1014" i="2"/>
  <c r="R1013" i="2"/>
  <c r="R1012" i="2"/>
  <c r="R1011" i="2"/>
  <c r="R1010" i="2"/>
  <c r="R1009" i="2"/>
  <c r="R1008" i="2"/>
  <c r="R1007" i="2"/>
  <c r="R1006" i="2"/>
  <c r="R1005" i="2"/>
  <c r="R1004" i="2"/>
  <c r="R1003" i="2"/>
  <c r="R1002" i="2"/>
  <c r="R1001" i="2"/>
  <c r="R1000" i="2"/>
  <c r="R999" i="2"/>
  <c r="R998" i="2"/>
  <c r="R997" i="2"/>
  <c r="R996" i="2"/>
  <c r="R995" i="2"/>
  <c r="R994" i="2"/>
  <c r="R993" i="2"/>
  <c r="R992" i="2"/>
  <c r="R991" i="2"/>
  <c r="R990" i="2"/>
  <c r="R989" i="2"/>
  <c r="R988" i="2"/>
  <c r="R987" i="2"/>
  <c r="R986" i="2"/>
  <c r="R985" i="2"/>
  <c r="R984" i="2"/>
  <c r="R983" i="2"/>
  <c r="R982" i="2"/>
  <c r="R981" i="2"/>
  <c r="R980" i="2"/>
  <c r="R979" i="2"/>
  <c r="R978" i="2"/>
  <c r="R977" i="2"/>
  <c r="R976" i="2"/>
  <c r="R975" i="2"/>
  <c r="R974" i="2"/>
  <c r="R973" i="2"/>
  <c r="R972" i="2"/>
  <c r="R971" i="2"/>
  <c r="R970" i="2"/>
  <c r="R969" i="2"/>
  <c r="R968" i="2"/>
  <c r="R967" i="2"/>
  <c r="R966" i="2"/>
  <c r="R965" i="2"/>
  <c r="R964" i="2"/>
  <c r="R963" i="2"/>
  <c r="R962" i="2"/>
  <c r="R961" i="2"/>
  <c r="R960" i="2"/>
  <c r="R959" i="2"/>
  <c r="R958" i="2"/>
  <c r="R957" i="2"/>
  <c r="R956" i="2"/>
  <c r="R955" i="2"/>
  <c r="R954" i="2"/>
  <c r="R953" i="2"/>
  <c r="R952" i="2"/>
  <c r="R951" i="2"/>
  <c r="R950" i="2"/>
  <c r="R949" i="2"/>
  <c r="R948" i="2"/>
  <c r="R947" i="2"/>
  <c r="R946" i="2"/>
  <c r="R945" i="2"/>
  <c r="R944" i="2"/>
  <c r="R943" i="2"/>
  <c r="R942" i="2"/>
  <c r="R941" i="2"/>
  <c r="R940" i="2"/>
  <c r="R939" i="2"/>
  <c r="R938" i="2"/>
  <c r="R937" i="2"/>
  <c r="R936" i="2"/>
  <c r="R935" i="2"/>
  <c r="R934" i="2"/>
  <c r="R933" i="2"/>
  <c r="R932" i="2"/>
  <c r="R931" i="2"/>
  <c r="R930" i="2"/>
  <c r="R929" i="2"/>
  <c r="R928" i="2"/>
  <c r="R927" i="2"/>
  <c r="R926" i="2"/>
  <c r="R925" i="2"/>
  <c r="R924" i="2"/>
  <c r="R923" i="2"/>
  <c r="R922" i="2"/>
  <c r="R921" i="2"/>
  <c r="R920" i="2"/>
  <c r="R919" i="2"/>
  <c r="R918" i="2"/>
  <c r="R917" i="2"/>
  <c r="R916" i="2"/>
  <c r="R915" i="2"/>
  <c r="R914" i="2"/>
  <c r="R913" i="2"/>
  <c r="R912" i="2"/>
  <c r="R911" i="2"/>
  <c r="R910" i="2"/>
  <c r="R909" i="2"/>
  <c r="R908" i="2"/>
  <c r="R907" i="2"/>
  <c r="R906" i="2"/>
  <c r="R905" i="2"/>
  <c r="R904" i="2"/>
  <c r="R903" i="2"/>
  <c r="R902" i="2"/>
  <c r="R901" i="2"/>
  <c r="R900" i="2"/>
  <c r="R899" i="2"/>
  <c r="R898" i="2"/>
  <c r="R897" i="2"/>
  <c r="R896" i="2"/>
  <c r="R895" i="2"/>
  <c r="R894" i="2"/>
  <c r="R893" i="2"/>
  <c r="R892" i="2"/>
  <c r="R891" i="2"/>
  <c r="R890" i="2"/>
  <c r="R889" i="2"/>
  <c r="R888" i="2"/>
  <c r="R887" i="2"/>
  <c r="R886" i="2"/>
  <c r="R885" i="2"/>
  <c r="R884" i="2"/>
  <c r="R883" i="2"/>
  <c r="R882" i="2"/>
  <c r="R881" i="2"/>
  <c r="R880" i="2"/>
  <c r="R879" i="2"/>
  <c r="R878" i="2"/>
  <c r="R877" i="2"/>
  <c r="R876" i="2"/>
  <c r="R875" i="2"/>
  <c r="R874" i="2"/>
  <c r="R873" i="2"/>
  <c r="R872" i="2"/>
  <c r="R871" i="2"/>
  <c r="R870" i="2"/>
  <c r="R869" i="2"/>
  <c r="R868" i="2"/>
  <c r="R867" i="2"/>
  <c r="R866" i="2"/>
  <c r="R865" i="2"/>
  <c r="R864" i="2"/>
  <c r="R863" i="2"/>
  <c r="R862" i="2"/>
  <c r="R861" i="2"/>
  <c r="R860" i="2"/>
  <c r="R859" i="2"/>
  <c r="R858" i="2"/>
  <c r="R857" i="2"/>
  <c r="R856" i="2"/>
  <c r="R855" i="2"/>
  <c r="R854" i="2"/>
  <c r="R853" i="2"/>
  <c r="R852" i="2"/>
  <c r="R851" i="2"/>
  <c r="R850" i="2"/>
  <c r="R849" i="2"/>
  <c r="R848" i="2"/>
  <c r="R847" i="2"/>
  <c r="R846" i="2"/>
  <c r="R845" i="2"/>
  <c r="R844" i="2"/>
  <c r="R843" i="2"/>
  <c r="R842" i="2"/>
  <c r="R841" i="2"/>
  <c r="R840" i="2"/>
  <c r="R839" i="2"/>
  <c r="R838" i="2"/>
  <c r="R837" i="2"/>
  <c r="R836" i="2"/>
  <c r="R835" i="2"/>
  <c r="R834" i="2"/>
  <c r="R833" i="2"/>
  <c r="R832" i="2"/>
  <c r="R831" i="2"/>
  <c r="R830" i="2"/>
  <c r="R829" i="2"/>
  <c r="R828" i="2"/>
  <c r="R827" i="2"/>
  <c r="R826" i="2"/>
  <c r="R825" i="2"/>
  <c r="R824" i="2"/>
  <c r="R823" i="2"/>
  <c r="R822" i="2"/>
  <c r="R821" i="2"/>
  <c r="R820" i="2"/>
  <c r="R819" i="2"/>
  <c r="R818" i="2"/>
  <c r="R817" i="2"/>
  <c r="R816" i="2"/>
  <c r="R815" i="2"/>
  <c r="R814" i="2"/>
  <c r="R813" i="2"/>
  <c r="R812" i="2"/>
  <c r="R811" i="2"/>
  <c r="R810" i="2"/>
  <c r="R809" i="2"/>
  <c r="R808" i="2"/>
  <c r="R807" i="2"/>
  <c r="R806" i="2"/>
  <c r="R805" i="2"/>
  <c r="R804" i="2"/>
  <c r="R803" i="2"/>
  <c r="R802" i="2"/>
  <c r="R801" i="2"/>
  <c r="R800" i="2"/>
  <c r="R799" i="2"/>
  <c r="R798" i="2"/>
  <c r="R797" i="2"/>
  <c r="R796" i="2"/>
  <c r="R795" i="2"/>
  <c r="R794" i="2"/>
  <c r="R793" i="2"/>
  <c r="R792" i="2"/>
  <c r="R791" i="2"/>
  <c r="R790" i="2"/>
  <c r="R789" i="2"/>
  <c r="R788" i="2"/>
  <c r="R787" i="2"/>
  <c r="R786" i="2"/>
  <c r="R785" i="2"/>
  <c r="R784" i="2"/>
  <c r="R783" i="2"/>
  <c r="R782" i="2"/>
  <c r="R781" i="2"/>
  <c r="R780" i="2"/>
  <c r="R779" i="2"/>
  <c r="R778" i="2"/>
  <c r="R777" i="2"/>
  <c r="R776" i="2"/>
  <c r="R775" i="2"/>
  <c r="R774" i="2"/>
  <c r="R773" i="2"/>
  <c r="R772" i="2"/>
  <c r="R771" i="2"/>
  <c r="R770" i="2"/>
  <c r="R769" i="2"/>
  <c r="R768" i="2"/>
  <c r="R767" i="2"/>
  <c r="R766" i="2"/>
  <c r="R765" i="2"/>
  <c r="R764" i="2"/>
  <c r="R763" i="2"/>
  <c r="R762" i="2"/>
  <c r="R761" i="2"/>
  <c r="R760" i="2"/>
  <c r="R759" i="2"/>
  <c r="R758" i="2"/>
  <c r="R757" i="2"/>
  <c r="R756" i="2"/>
  <c r="R755" i="2"/>
  <c r="R754" i="2"/>
  <c r="R753" i="2"/>
  <c r="R752" i="2"/>
  <c r="R751" i="2"/>
  <c r="R750" i="2"/>
  <c r="R749" i="2"/>
  <c r="R748" i="2"/>
  <c r="R747" i="2"/>
  <c r="R746" i="2"/>
  <c r="R745" i="2"/>
  <c r="R744" i="2"/>
  <c r="R743" i="2"/>
  <c r="R742" i="2"/>
  <c r="R741" i="2"/>
  <c r="R740" i="2"/>
  <c r="R739" i="2"/>
  <c r="R738" i="2"/>
  <c r="R737" i="2"/>
  <c r="R736" i="2"/>
  <c r="R735" i="2"/>
  <c r="R734" i="2"/>
  <c r="R733" i="2"/>
  <c r="R732" i="2"/>
  <c r="R731" i="2"/>
  <c r="R730" i="2"/>
  <c r="R729" i="2"/>
  <c r="R728" i="2"/>
  <c r="R727" i="2"/>
  <c r="R726" i="2"/>
  <c r="R725" i="2"/>
  <c r="R724" i="2"/>
  <c r="R723" i="2"/>
  <c r="R722" i="2"/>
  <c r="R721" i="2"/>
  <c r="R720" i="2"/>
  <c r="R719" i="2"/>
  <c r="R718" i="2"/>
  <c r="R717" i="2"/>
  <c r="R716" i="2"/>
  <c r="R715" i="2"/>
  <c r="R714" i="2"/>
  <c r="R713" i="2"/>
  <c r="R712" i="2"/>
  <c r="R711" i="2"/>
  <c r="R710" i="2"/>
  <c r="R709" i="2"/>
  <c r="R708" i="2"/>
  <c r="R707" i="2"/>
  <c r="R706" i="2"/>
  <c r="R705" i="2"/>
  <c r="R704" i="2"/>
  <c r="R703" i="2"/>
  <c r="R702" i="2"/>
  <c r="R701" i="2"/>
  <c r="R700" i="2"/>
  <c r="R699" i="2"/>
  <c r="R698" i="2"/>
  <c r="R697" i="2"/>
  <c r="R696" i="2"/>
  <c r="R695" i="2"/>
  <c r="R694" i="2"/>
  <c r="R693" i="2"/>
  <c r="R692" i="2"/>
  <c r="R691" i="2"/>
  <c r="R690" i="2"/>
  <c r="R689" i="2"/>
  <c r="R688" i="2"/>
  <c r="R687" i="2"/>
  <c r="R686" i="2"/>
  <c r="R685" i="2"/>
  <c r="R684" i="2"/>
  <c r="R683" i="2"/>
  <c r="R682" i="2"/>
  <c r="R681" i="2"/>
  <c r="R680" i="2"/>
  <c r="R679" i="2"/>
  <c r="R678" i="2"/>
  <c r="R677" i="2"/>
  <c r="R676" i="2"/>
  <c r="R675" i="2"/>
  <c r="R674" i="2"/>
  <c r="R673" i="2"/>
  <c r="R672" i="2"/>
  <c r="R671" i="2"/>
  <c r="R670" i="2"/>
  <c r="R669" i="2"/>
  <c r="R668" i="2"/>
  <c r="R667" i="2"/>
  <c r="R666" i="2"/>
  <c r="R665" i="2"/>
  <c r="R664" i="2"/>
  <c r="R663" i="2"/>
  <c r="R662" i="2"/>
  <c r="R661" i="2"/>
  <c r="R660" i="2"/>
  <c r="R659" i="2"/>
  <c r="R658" i="2"/>
  <c r="R657" i="2"/>
  <c r="R656" i="2"/>
  <c r="R655" i="2"/>
  <c r="R654" i="2"/>
  <c r="R653" i="2"/>
  <c r="R652" i="2"/>
  <c r="R651" i="2"/>
  <c r="R650" i="2"/>
  <c r="R649" i="2"/>
  <c r="R648" i="2"/>
  <c r="R647" i="2"/>
  <c r="R646" i="2"/>
  <c r="R645" i="2"/>
  <c r="R644" i="2"/>
  <c r="R643" i="2"/>
  <c r="R642" i="2"/>
  <c r="R641" i="2"/>
  <c r="R640" i="2"/>
  <c r="R639" i="2"/>
  <c r="R638" i="2"/>
  <c r="R637" i="2"/>
  <c r="R636" i="2"/>
  <c r="R635" i="2"/>
  <c r="R634" i="2"/>
  <c r="R633" i="2"/>
  <c r="R632" i="2"/>
  <c r="R631" i="2"/>
  <c r="R630" i="2"/>
  <c r="R629" i="2"/>
  <c r="R628" i="2"/>
  <c r="R627" i="2"/>
  <c r="R626" i="2"/>
  <c r="R625" i="2"/>
  <c r="R624" i="2"/>
  <c r="R623" i="2"/>
  <c r="R622" i="2"/>
  <c r="R621" i="2"/>
  <c r="R620" i="2"/>
  <c r="R619" i="2"/>
  <c r="R618" i="2"/>
  <c r="R617" i="2"/>
  <c r="R616" i="2"/>
  <c r="R615" i="2"/>
  <c r="R614" i="2"/>
  <c r="R613" i="2"/>
  <c r="R612" i="2"/>
  <c r="R611" i="2"/>
  <c r="R610" i="2"/>
  <c r="R609" i="2"/>
  <c r="R608" i="2"/>
  <c r="R607" i="2"/>
  <c r="R606" i="2"/>
  <c r="R605" i="2"/>
  <c r="R604" i="2"/>
  <c r="R603" i="2"/>
  <c r="R602" i="2"/>
  <c r="R601" i="2"/>
  <c r="R600" i="2"/>
  <c r="R599" i="2"/>
  <c r="R598" i="2"/>
  <c r="R597" i="2"/>
  <c r="R596" i="2"/>
  <c r="R595" i="2"/>
  <c r="R594" i="2"/>
  <c r="R593" i="2"/>
  <c r="R592" i="2"/>
  <c r="R591" i="2"/>
  <c r="R590" i="2"/>
  <c r="R589" i="2"/>
  <c r="R588" i="2"/>
  <c r="R587" i="2"/>
  <c r="R586" i="2"/>
  <c r="R585" i="2"/>
  <c r="R584" i="2"/>
  <c r="R583" i="2"/>
  <c r="R582" i="2"/>
  <c r="R581" i="2"/>
  <c r="R580" i="2"/>
  <c r="R579" i="2"/>
  <c r="R578" i="2"/>
  <c r="R577" i="2"/>
  <c r="R576" i="2"/>
  <c r="R575" i="2"/>
  <c r="R574" i="2"/>
  <c r="R573" i="2"/>
  <c r="R572" i="2"/>
  <c r="R571" i="2"/>
  <c r="R570" i="2"/>
  <c r="R569" i="2"/>
  <c r="R568" i="2"/>
  <c r="R567" i="2"/>
  <c r="R566" i="2"/>
  <c r="R565" i="2"/>
  <c r="R564" i="2"/>
  <c r="R563" i="2"/>
  <c r="R562" i="2"/>
  <c r="R561" i="2"/>
  <c r="R560" i="2"/>
  <c r="R559" i="2"/>
  <c r="R558" i="2"/>
  <c r="R557" i="2"/>
  <c r="R556" i="2"/>
  <c r="R555" i="2"/>
  <c r="R554" i="2"/>
  <c r="R553" i="2"/>
  <c r="R552" i="2"/>
  <c r="R551" i="2"/>
  <c r="R550" i="2"/>
  <c r="R549" i="2"/>
  <c r="R548" i="2"/>
  <c r="R547" i="2"/>
  <c r="R546" i="2"/>
  <c r="R545" i="2"/>
  <c r="R544" i="2"/>
  <c r="R543" i="2"/>
  <c r="R542" i="2"/>
  <c r="R541" i="2"/>
  <c r="R540" i="2"/>
  <c r="R539" i="2"/>
  <c r="R538" i="2"/>
  <c r="R537" i="2"/>
  <c r="R536" i="2"/>
  <c r="R535" i="2"/>
  <c r="R534" i="2"/>
  <c r="R533" i="2"/>
  <c r="R532" i="2"/>
  <c r="R531" i="2"/>
  <c r="R530" i="2"/>
  <c r="R529" i="2"/>
  <c r="R528" i="2"/>
  <c r="R527" i="2"/>
  <c r="R526" i="2"/>
  <c r="R525" i="2"/>
  <c r="R524" i="2"/>
  <c r="R523" i="2"/>
  <c r="R522" i="2"/>
  <c r="R521" i="2"/>
  <c r="R520" i="2"/>
  <c r="R519" i="2"/>
  <c r="R518" i="2"/>
  <c r="R517" i="2"/>
  <c r="R516" i="2"/>
  <c r="R515" i="2"/>
  <c r="R514" i="2"/>
  <c r="R513" i="2"/>
  <c r="R512" i="2"/>
  <c r="R511" i="2"/>
  <c r="R510" i="2"/>
  <c r="R509" i="2"/>
  <c r="R508" i="2"/>
  <c r="R507" i="2"/>
  <c r="R506" i="2"/>
  <c r="R505" i="2"/>
  <c r="R504" i="2"/>
  <c r="R503" i="2"/>
  <c r="R502" i="2"/>
  <c r="R501" i="2"/>
  <c r="R500" i="2"/>
  <c r="R499" i="2"/>
  <c r="R498" i="2"/>
  <c r="R497" i="2"/>
  <c r="R496" i="2"/>
  <c r="R495" i="2"/>
  <c r="R494" i="2"/>
  <c r="R493" i="2"/>
  <c r="R492" i="2"/>
  <c r="R491" i="2"/>
  <c r="R490" i="2"/>
  <c r="R489" i="2"/>
  <c r="R488" i="2"/>
  <c r="R487" i="2"/>
  <c r="R486" i="2"/>
  <c r="R485" i="2"/>
  <c r="R484" i="2"/>
  <c r="R483" i="2"/>
  <c r="R482" i="2"/>
  <c r="R481" i="2"/>
  <c r="R480" i="2"/>
  <c r="R479" i="2"/>
  <c r="R478" i="2"/>
  <c r="R477" i="2"/>
  <c r="R476" i="2"/>
  <c r="R475" i="2"/>
  <c r="R474" i="2"/>
  <c r="R473" i="2"/>
  <c r="R472" i="2"/>
  <c r="R471" i="2"/>
  <c r="R470" i="2"/>
  <c r="R469" i="2"/>
  <c r="R468" i="2"/>
  <c r="R467" i="2"/>
  <c r="R466" i="2"/>
  <c r="R465" i="2"/>
  <c r="R464" i="2"/>
  <c r="R463" i="2"/>
  <c r="R462" i="2"/>
  <c r="R461" i="2"/>
  <c r="R460" i="2"/>
  <c r="R459" i="2"/>
  <c r="R458" i="2"/>
  <c r="R457" i="2"/>
  <c r="R456" i="2"/>
  <c r="R455" i="2"/>
  <c r="R454" i="2"/>
  <c r="R453" i="2"/>
  <c r="R452" i="2"/>
  <c r="R451" i="2"/>
  <c r="R450" i="2"/>
  <c r="R449" i="2"/>
  <c r="R448" i="2"/>
  <c r="R447" i="2"/>
  <c r="R446" i="2"/>
  <c r="R445" i="2"/>
  <c r="R444" i="2"/>
  <c r="R443" i="2"/>
  <c r="R442" i="2"/>
  <c r="R441" i="2"/>
  <c r="R440" i="2"/>
  <c r="R439" i="2"/>
  <c r="R438" i="2"/>
  <c r="R437" i="2"/>
  <c r="R436" i="2"/>
  <c r="R435" i="2"/>
  <c r="R434" i="2"/>
  <c r="R433" i="2"/>
  <c r="R432" i="2"/>
  <c r="R431" i="2"/>
  <c r="R430" i="2"/>
  <c r="R429" i="2"/>
  <c r="R428" i="2"/>
  <c r="R427" i="2"/>
  <c r="R426" i="2"/>
  <c r="R425" i="2"/>
  <c r="R424" i="2"/>
  <c r="R423" i="2"/>
  <c r="R422" i="2"/>
  <c r="R421" i="2"/>
  <c r="R420" i="2"/>
  <c r="R419" i="2"/>
  <c r="R418" i="2"/>
  <c r="R417" i="2"/>
  <c r="R416" i="2"/>
  <c r="R415" i="2"/>
  <c r="R414" i="2"/>
  <c r="R413" i="2"/>
  <c r="R412" i="2"/>
  <c r="R411" i="2"/>
  <c r="R410" i="2"/>
  <c r="R409" i="2"/>
  <c r="R408" i="2"/>
  <c r="R407" i="2"/>
  <c r="R406" i="2"/>
  <c r="R405" i="2"/>
  <c r="R404" i="2"/>
  <c r="R403" i="2"/>
  <c r="R402" i="2"/>
  <c r="R401" i="2"/>
  <c r="R400" i="2"/>
  <c r="R399" i="2"/>
  <c r="R398" i="2"/>
  <c r="R397" i="2"/>
  <c r="R396" i="2"/>
  <c r="R395" i="2"/>
  <c r="R394" i="2"/>
  <c r="R393" i="2"/>
  <c r="R392" i="2"/>
  <c r="R391" i="2"/>
  <c r="R390" i="2"/>
  <c r="R389" i="2"/>
  <c r="R388" i="2"/>
  <c r="R387" i="2"/>
  <c r="R386" i="2"/>
  <c r="R385" i="2"/>
  <c r="R384" i="2"/>
  <c r="R383" i="2"/>
  <c r="R382" i="2"/>
  <c r="R381" i="2"/>
  <c r="R380" i="2"/>
  <c r="R379" i="2"/>
  <c r="R378" i="2"/>
  <c r="R377" i="2"/>
  <c r="R376" i="2"/>
  <c r="R375" i="2"/>
  <c r="R374" i="2"/>
  <c r="R373" i="2"/>
  <c r="R372" i="2"/>
  <c r="R371" i="2"/>
  <c r="R370" i="2"/>
  <c r="R369" i="2"/>
  <c r="R368" i="2"/>
  <c r="R367" i="2"/>
  <c r="R366" i="2"/>
  <c r="R365" i="2"/>
  <c r="R364" i="2"/>
  <c r="R363" i="2"/>
  <c r="R362" i="2"/>
  <c r="R361" i="2"/>
  <c r="R360" i="2"/>
  <c r="R359" i="2"/>
  <c r="R358" i="2"/>
  <c r="R357" i="2"/>
  <c r="R356" i="2"/>
  <c r="R355" i="2"/>
  <c r="R354" i="2"/>
  <c r="R353" i="2"/>
  <c r="R352" i="2"/>
  <c r="R351" i="2"/>
  <c r="R350" i="2"/>
  <c r="R349" i="2"/>
  <c r="R348" i="2"/>
  <c r="R347" i="2"/>
  <c r="R346" i="2"/>
  <c r="R345" i="2"/>
  <c r="R344" i="2"/>
  <c r="R343" i="2"/>
  <c r="R342" i="2"/>
  <c r="R341" i="2"/>
  <c r="R340" i="2"/>
  <c r="R339" i="2"/>
  <c r="R338" i="2"/>
  <c r="R337" i="2"/>
  <c r="R336" i="2"/>
  <c r="R335" i="2"/>
  <c r="R334" i="2"/>
  <c r="R333" i="2"/>
  <c r="R332" i="2"/>
  <c r="R331" i="2"/>
  <c r="R330" i="2"/>
  <c r="R329" i="2"/>
  <c r="R328" i="2"/>
  <c r="R327" i="2"/>
  <c r="R326" i="2"/>
  <c r="R325" i="2"/>
  <c r="R324" i="2"/>
  <c r="R323" i="2"/>
  <c r="R322" i="2"/>
  <c r="R321" i="2"/>
  <c r="R320" i="2"/>
  <c r="R319" i="2"/>
  <c r="R318" i="2"/>
  <c r="R317" i="2"/>
  <c r="R316" i="2"/>
  <c r="R315" i="2"/>
  <c r="R314" i="2"/>
  <c r="R313" i="2"/>
  <c r="R312" i="2"/>
  <c r="R311" i="2"/>
  <c r="R310" i="2"/>
  <c r="R309" i="2"/>
  <c r="R308" i="2"/>
  <c r="R307" i="2"/>
  <c r="R306" i="2"/>
  <c r="R305" i="2"/>
  <c r="R304" i="2"/>
  <c r="R303" i="2"/>
  <c r="R302" i="2"/>
  <c r="R301" i="2"/>
  <c r="R300" i="2"/>
  <c r="R299" i="2"/>
  <c r="R298" i="2"/>
  <c r="R297" i="2"/>
  <c r="R296" i="2"/>
  <c r="R295" i="2"/>
  <c r="R294" i="2"/>
  <c r="R293" i="2"/>
  <c r="R292" i="2"/>
  <c r="R291" i="2"/>
  <c r="R290" i="2"/>
  <c r="R289" i="2"/>
  <c r="R288" i="2"/>
  <c r="R287" i="2"/>
  <c r="R286" i="2"/>
  <c r="R285" i="2"/>
  <c r="R284" i="2"/>
  <c r="R283" i="2"/>
  <c r="R282" i="2"/>
  <c r="R281" i="2"/>
  <c r="R280" i="2"/>
  <c r="R279" i="2"/>
  <c r="R278" i="2"/>
  <c r="R277" i="2"/>
  <c r="R276" i="2"/>
  <c r="R275" i="2"/>
  <c r="R274" i="2"/>
  <c r="R273" i="2"/>
  <c r="R272" i="2"/>
  <c r="R271" i="2"/>
  <c r="R270" i="2"/>
  <c r="R269" i="2"/>
  <c r="R268" i="2"/>
  <c r="R267" i="2"/>
  <c r="R266" i="2"/>
  <c r="R265" i="2"/>
  <c r="R264" i="2"/>
  <c r="R263" i="2"/>
  <c r="R262" i="2"/>
  <c r="R261" i="2"/>
  <c r="R260" i="2"/>
  <c r="R259" i="2"/>
  <c r="R258" i="2"/>
  <c r="R257" i="2"/>
  <c r="R256" i="2"/>
  <c r="R255" i="2"/>
  <c r="R254" i="2"/>
  <c r="R253" i="2"/>
  <c r="R252" i="2"/>
  <c r="R251" i="2"/>
  <c r="R250" i="2"/>
  <c r="R249" i="2"/>
  <c r="R248" i="2"/>
  <c r="R247" i="2"/>
  <c r="R246" i="2"/>
  <c r="R245" i="2"/>
  <c r="R244" i="2"/>
  <c r="R243" i="2"/>
  <c r="R242" i="2"/>
  <c r="R241" i="2"/>
  <c r="R240" i="2"/>
  <c r="R239" i="2"/>
  <c r="R238" i="2"/>
  <c r="R237" i="2"/>
  <c r="R236" i="2"/>
  <c r="R235" i="2"/>
  <c r="R234" i="2"/>
  <c r="R233" i="2"/>
  <c r="R232" i="2"/>
  <c r="R231" i="2"/>
  <c r="R230" i="2"/>
  <c r="R229" i="2"/>
  <c r="R228" i="2"/>
  <c r="R227" i="2"/>
  <c r="R226" i="2"/>
  <c r="R225" i="2"/>
  <c r="R224" i="2"/>
  <c r="R223" i="2"/>
  <c r="R222" i="2"/>
  <c r="R221" i="2"/>
  <c r="R220" i="2"/>
  <c r="R219" i="2"/>
  <c r="R218" i="2"/>
  <c r="R217" i="2"/>
  <c r="R216" i="2"/>
  <c r="R215" i="2"/>
  <c r="R214" i="2"/>
  <c r="R213" i="2"/>
  <c r="R212" i="2"/>
  <c r="R211" i="2"/>
  <c r="R210" i="2"/>
  <c r="R209" i="2"/>
  <c r="R208" i="2"/>
  <c r="R207" i="2"/>
  <c r="R206" i="2"/>
  <c r="R205" i="2"/>
  <c r="R204" i="2"/>
  <c r="R203" i="2"/>
  <c r="R202" i="2"/>
  <c r="R201" i="2"/>
  <c r="R200" i="2"/>
  <c r="R199" i="2"/>
  <c r="R198" i="2"/>
  <c r="R197" i="2"/>
  <c r="R196" i="2"/>
  <c r="R195" i="2"/>
  <c r="R194" i="2"/>
  <c r="R193" i="2"/>
  <c r="R192" i="2"/>
  <c r="R191" i="2"/>
  <c r="R190" i="2"/>
  <c r="R189" i="2"/>
  <c r="R188" i="2"/>
  <c r="R187" i="2"/>
  <c r="R186" i="2"/>
  <c r="R185" i="2"/>
  <c r="R184" i="2"/>
  <c r="R183" i="2"/>
  <c r="R182" i="2"/>
  <c r="R181" i="2"/>
  <c r="R180" i="2"/>
  <c r="R179" i="2"/>
  <c r="R178" i="2"/>
  <c r="R177" i="2"/>
  <c r="R176" i="2"/>
  <c r="R175" i="2"/>
  <c r="R174" i="2"/>
  <c r="R173" i="2"/>
  <c r="R172" i="2"/>
  <c r="R171" i="2"/>
  <c r="R170" i="2"/>
  <c r="R169" i="2"/>
  <c r="R168" i="2"/>
  <c r="R167" i="2"/>
  <c r="R166" i="2"/>
  <c r="R165" i="2"/>
  <c r="R164" i="2"/>
  <c r="R163" i="2"/>
  <c r="R162" i="2"/>
  <c r="R161" i="2"/>
  <c r="R160" i="2"/>
  <c r="R159" i="2"/>
  <c r="R158" i="2"/>
  <c r="R157" i="2"/>
  <c r="R156" i="2"/>
  <c r="R155" i="2"/>
  <c r="R154" i="2"/>
  <c r="R153" i="2"/>
  <c r="R152" i="2"/>
  <c r="R151" i="2"/>
  <c r="R150" i="2"/>
  <c r="R149" i="2"/>
  <c r="R148" i="2"/>
  <c r="R147" i="2"/>
  <c r="R146" i="2"/>
  <c r="R145" i="2"/>
  <c r="R144" i="2"/>
  <c r="R143" i="2"/>
  <c r="R142" i="2"/>
  <c r="R141" i="2"/>
  <c r="R140" i="2"/>
  <c r="R139" i="2"/>
  <c r="R138" i="2"/>
  <c r="R137" i="2"/>
  <c r="R136" i="2"/>
  <c r="R135" i="2"/>
  <c r="R134" i="2"/>
  <c r="R133" i="2"/>
  <c r="R132" i="2"/>
  <c r="R131" i="2"/>
  <c r="R130" i="2"/>
  <c r="R129" i="2"/>
  <c r="R128" i="2"/>
  <c r="R127" i="2"/>
  <c r="R126" i="2"/>
  <c r="R125" i="2"/>
  <c r="R124" i="2"/>
  <c r="R123" i="2"/>
  <c r="R122" i="2"/>
  <c r="R121" i="2"/>
  <c r="R120" i="2"/>
  <c r="R119" i="2"/>
  <c r="R118" i="2"/>
  <c r="R117" i="2"/>
  <c r="R116" i="2"/>
  <c r="R115" i="2"/>
  <c r="R114" i="2"/>
  <c r="R113" i="2"/>
  <c r="R112" i="2"/>
  <c r="R111" i="2"/>
  <c r="R110" i="2"/>
  <c r="R109" i="2"/>
  <c r="R108" i="2"/>
  <c r="R107" i="2"/>
  <c r="R106" i="2"/>
  <c r="R105" i="2"/>
  <c r="R104" i="2"/>
  <c r="R103" i="2"/>
  <c r="R102" i="2"/>
  <c r="R101" i="2"/>
  <c r="R100" i="2"/>
  <c r="R99" i="2"/>
  <c r="R98" i="2"/>
  <c r="R97" i="2"/>
  <c r="R96" i="2"/>
  <c r="R95" i="2"/>
  <c r="R94" i="2"/>
  <c r="R93" i="2"/>
  <c r="R92" i="2"/>
  <c r="R91" i="2"/>
  <c r="R90" i="2"/>
  <c r="R89" i="2"/>
  <c r="R88" i="2"/>
  <c r="R87" i="2"/>
  <c r="R86" i="2"/>
  <c r="R85" i="2"/>
  <c r="R84" i="2"/>
  <c r="R83" i="2"/>
  <c r="R82" i="2"/>
  <c r="R81" i="2"/>
  <c r="R80" i="2"/>
  <c r="R79" i="2"/>
  <c r="R78" i="2"/>
  <c r="R77" i="2"/>
  <c r="R76" i="2"/>
  <c r="R75" i="2"/>
  <c r="R74" i="2"/>
  <c r="R73" i="2"/>
  <c r="R72" i="2"/>
  <c r="R71" i="2"/>
  <c r="R70" i="2"/>
  <c r="R69" i="2"/>
  <c r="R68" i="2"/>
  <c r="R67" i="2"/>
  <c r="R66" i="2"/>
  <c r="R65" i="2"/>
  <c r="R64" i="2"/>
  <c r="R63" i="2"/>
  <c r="R62" i="2"/>
  <c r="R61" i="2"/>
  <c r="R60" i="2"/>
  <c r="R59" i="2"/>
  <c r="R58" i="2"/>
  <c r="R57" i="2"/>
  <c r="R56" i="2"/>
  <c r="R55" i="2"/>
  <c r="R54" i="2"/>
  <c r="R53" i="2"/>
  <c r="R52" i="2"/>
  <c r="R51" i="2"/>
  <c r="R50" i="2"/>
  <c r="R49" i="2"/>
  <c r="R48" i="2"/>
  <c r="R47" i="2"/>
  <c r="R46" i="2"/>
  <c r="R45" i="2"/>
  <c r="R44" i="2"/>
  <c r="R43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0" i="2"/>
  <c r="R19" i="2"/>
  <c r="R18" i="2"/>
  <c r="R17" i="2"/>
  <c r="R16" i="2"/>
  <c r="R15" i="2"/>
  <c r="R14" i="2"/>
  <c r="R13" i="2"/>
  <c r="R12" i="2"/>
  <c r="R11" i="2"/>
  <c r="R10" i="2"/>
  <c r="R9" i="2"/>
  <c r="R8" i="2"/>
  <c r="R7" i="2"/>
  <c r="R6" i="2"/>
  <c r="Q1088" i="2"/>
  <c r="Q1087" i="2"/>
  <c r="Q1086" i="2"/>
  <c r="Q1085" i="2"/>
  <c r="Q1084" i="2"/>
  <c r="Q1083" i="2"/>
  <c r="Q1082" i="2"/>
  <c r="Q1081" i="2"/>
  <c r="Q1080" i="2"/>
  <c r="Q1079" i="2"/>
  <c r="Q1078" i="2"/>
  <c r="Q1077" i="2"/>
  <c r="Q1076" i="2"/>
  <c r="Q1075" i="2"/>
  <c r="Q1074" i="2"/>
  <c r="Q1073" i="2"/>
  <c r="Q1072" i="2"/>
  <c r="Q1071" i="2"/>
  <c r="Q1070" i="2"/>
  <c r="Q1069" i="2"/>
  <c r="Q1068" i="2"/>
  <c r="Q1067" i="2"/>
  <c r="Q1066" i="2"/>
  <c r="Q1065" i="2"/>
  <c r="Q1064" i="2"/>
  <c r="Q1063" i="2"/>
  <c r="Q1062" i="2"/>
  <c r="Q1061" i="2"/>
  <c r="Q1060" i="2"/>
  <c r="Q1059" i="2"/>
  <c r="Q1058" i="2"/>
  <c r="Q1057" i="2"/>
  <c r="Q1056" i="2"/>
  <c r="Q1055" i="2"/>
  <c r="Q1054" i="2"/>
  <c r="Q1053" i="2"/>
  <c r="Q1052" i="2"/>
  <c r="Q1051" i="2"/>
  <c r="Q1050" i="2"/>
  <c r="Q1049" i="2"/>
  <c r="Q1048" i="2"/>
  <c r="Q1047" i="2"/>
  <c r="Q1046" i="2"/>
  <c r="Q1045" i="2"/>
  <c r="Q1044" i="2"/>
  <c r="Q1043" i="2"/>
  <c r="Q1042" i="2"/>
  <c r="Q1041" i="2"/>
  <c r="Q1040" i="2"/>
  <c r="Q1039" i="2"/>
  <c r="Q1038" i="2"/>
  <c r="Q1037" i="2"/>
  <c r="Q1036" i="2"/>
  <c r="Q1035" i="2"/>
  <c r="Q1034" i="2"/>
  <c r="Q1033" i="2"/>
  <c r="Q1032" i="2"/>
  <c r="Q1031" i="2"/>
  <c r="Q1030" i="2"/>
  <c r="Q1029" i="2"/>
  <c r="Q1028" i="2"/>
  <c r="Q1027" i="2"/>
  <c r="Q1026" i="2"/>
  <c r="Q1025" i="2"/>
  <c r="Q1024" i="2"/>
  <c r="Q1023" i="2"/>
  <c r="Q1022" i="2"/>
  <c r="Q1021" i="2"/>
  <c r="Q1020" i="2"/>
  <c r="Q1019" i="2"/>
  <c r="Q1018" i="2"/>
  <c r="Q1017" i="2"/>
  <c r="Q1016" i="2"/>
  <c r="Q1015" i="2"/>
  <c r="Q1014" i="2"/>
  <c r="Q1013" i="2"/>
  <c r="Q1012" i="2"/>
  <c r="Q1011" i="2"/>
  <c r="Q1010" i="2"/>
  <c r="Q1009" i="2"/>
  <c r="Q1008" i="2"/>
  <c r="Q1007" i="2"/>
  <c r="Q1006" i="2"/>
  <c r="Q1005" i="2"/>
  <c r="Q1004" i="2"/>
  <c r="Q1003" i="2"/>
  <c r="Q1002" i="2"/>
  <c r="Q1001" i="2"/>
  <c r="Q1000" i="2"/>
  <c r="Q999" i="2"/>
  <c r="Q998" i="2"/>
  <c r="Q997" i="2"/>
  <c r="Q996" i="2"/>
  <c r="Q995" i="2"/>
  <c r="Q994" i="2"/>
  <c r="Q993" i="2"/>
  <c r="Q992" i="2"/>
  <c r="Q991" i="2"/>
  <c r="Q990" i="2"/>
  <c r="Q989" i="2"/>
  <c r="Q988" i="2"/>
  <c r="Q987" i="2"/>
  <c r="Q986" i="2"/>
  <c r="Q985" i="2"/>
  <c r="Q984" i="2"/>
  <c r="Q983" i="2"/>
  <c r="Q982" i="2"/>
  <c r="Q981" i="2"/>
  <c r="Q980" i="2"/>
  <c r="Q979" i="2"/>
  <c r="Q978" i="2"/>
  <c r="Q977" i="2"/>
  <c r="Q976" i="2"/>
  <c r="Q975" i="2"/>
  <c r="Q974" i="2"/>
  <c r="Q973" i="2"/>
  <c r="Q972" i="2"/>
  <c r="Q971" i="2"/>
  <c r="Q970" i="2"/>
  <c r="Q969" i="2"/>
  <c r="Q968" i="2"/>
  <c r="Q967" i="2"/>
  <c r="Q966" i="2"/>
  <c r="Q965" i="2"/>
  <c r="Q964" i="2"/>
  <c r="Q963" i="2"/>
  <c r="Q962" i="2"/>
  <c r="Q961" i="2"/>
  <c r="Q960" i="2"/>
  <c r="Q959" i="2"/>
  <c r="Q958" i="2"/>
  <c r="Q957" i="2"/>
  <c r="Q956" i="2"/>
  <c r="Q955" i="2"/>
  <c r="Q954" i="2"/>
  <c r="Q953" i="2"/>
  <c r="Q952" i="2"/>
  <c r="Q951" i="2"/>
  <c r="Q950" i="2"/>
  <c r="Q949" i="2"/>
  <c r="Q948" i="2"/>
  <c r="Q947" i="2"/>
  <c r="Q946" i="2"/>
  <c r="Q945" i="2"/>
  <c r="Q944" i="2"/>
  <c r="Q943" i="2"/>
  <c r="Q942" i="2"/>
  <c r="Q941" i="2"/>
  <c r="Q940" i="2"/>
  <c r="Q939" i="2"/>
  <c r="Q938" i="2"/>
  <c r="Q937" i="2"/>
  <c r="Q936" i="2"/>
  <c r="Q935" i="2"/>
  <c r="Q934" i="2"/>
  <c r="Q933" i="2"/>
  <c r="Q932" i="2"/>
  <c r="Q931" i="2"/>
  <c r="Q930" i="2"/>
  <c r="Q929" i="2"/>
  <c r="Q928" i="2"/>
  <c r="Q927" i="2"/>
  <c r="Q926" i="2"/>
  <c r="Q925" i="2"/>
  <c r="Q924" i="2"/>
  <c r="Q923" i="2"/>
  <c r="Q922" i="2"/>
  <c r="Q921" i="2"/>
  <c r="Q920" i="2"/>
  <c r="Q919" i="2"/>
  <c r="Q918" i="2"/>
  <c r="Q917" i="2"/>
  <c r="Q916" i="2"/>
  <c r="Q915" i="2"/>
  <c r="Q914" i="2"/>
  <c r="Q913" i="2"/>
  <c r="Q912" i="2"/>
  <c r="Q911" i="2"/>
  <c r="Q910" i="2"/>
  <c r="Q909" i="2"/>
  <c r="Q908" i="2"/>
  <c r="Q907" i="2"/>
  <c r="Q906" i="2"/>
  <c r="Q905" i="2"/>
  <c r="Q904" i="2"/>
  <c r="Q903" i="2"/>
  <c r="Q902" i="2"/>
  <c r="Q901" i="2"/>
  <c r="Q900" i="2"/>
  <c r="Q899" i="2"/>
  <c r="Q898" i="2"/>
  <c r="Q897" i="2"/>
  <c r="Q896" i="2"/>
  <c r="Q895" i="2"/>
  <c r="Q894" i="2"/>
  <c r="Q893" i="2"/>
  <c r="Q892" i="2"/>
  <c r="Q891" i="2"/>
  <c r="Q890" i="2"/>
  <c r="Q889" i="2"/>
  <c r="Q888" i="2"/>
  <c r="Q887" i="2"/>
  <c r="Q886" i="2"/>
  <c r="Q885" i="2"/>
  <c r="Q884" i="2"/>
  <c r="Q883" i="2"/>
  <c r="Q882" i="2"/>
  <c r="Q881" i="2"/>
  <c r="Q880" i="2"/>
  <c r="Q879" i="2"/>
  <c r="Q878" i="2"/>
  <c r="Q877" i="2"/>
  <c r="Q876" i="2"/>
  <c r="Q875" i="2"/>
  <c r="Q874" i="2"/>
  <c r="Q873" i="2"/>
  <c r="Q872" i="2"/>
  <c r="Q871" i="2"/>
  <c r="Q870" i="2"/>
  <c r="Q869" i="2"/>
  <c r="Q868" i="2"/>
  <c r="Q867" i="2"/>
  <c r="Q866" i="2"/>
  <c r="Q865" i="2"/>
  <c r="Q864" i="2"/>
  <c r="Q863" i="2"/>
  <c r="Q862" i="2"/>
  <c r="Q861" i="2"/>
  <c r="Q860" i="2"/>
  <c r="Q859" i="2"/>
  <c r="Q858" i="2"/>
  <c r="Q857" i="2"/>
  <c r="Q856" i="2"/>
  <c r="Q855" i="2"/>
  <c r="Q854" i="2"/>
  <c r="Q853" i="2"/>
  <c r="Q852" i="2"/>
  <c r="Q851" i="2"/>
  <c r="Q850" i="2"/>
  <c r="Q849" i="2"/>
  <c r="Q848" i="2"/>
  <c r="Q847" i="2"/>
  <c r="Q846" i="2"/>
  <c r="Q845" i="2"/>
  <c r="Q844" i="2"/>
  <c r="Q843" i="2"/>
  <c r="Q842" i="2"/>
  <c r="Q841" i="2"/>
  <c r="Q840" i="2"/>
  <c r="Q839" i="2"/>
  <c r="Q838" i="2"/>
  <c r="Q837" i="2"/>
  <c r="Q836" i="2"/>
  <c r="Q835" i="2"/>
  <c r="Q834" i="2"/>
  <c r="Q833" i="2"/>
  <c r="Q832" i="2"/>
  <c r="Q831" i="2"/>
  <c r="Q830" i="2"/>
  <c r="Q829" i="2"/>
  <c r="Q828" i="2"/>
  <c r="Q827" i="2"/>
  <c r="Q826" i="2"/>
  <c r="Q825" i="2"/>
  <c r="Q824" i="2"/>
  <c r="Q823" i="2"/>
  <c r="Q822" i="2"/>
  <c r="Q821" i="2"/>
  <c r="Q820" i="2"/>
  <c r="Q819" i="2"/>
  <c r="Q818" i="2"/>
  <c r="Q817" i="2"/>
  <c r="Q816" i="2"/>
  <c r="Q815" i="2"/>
  <c r="Q814" i="2"/>
  <c r="Q813" i="2"/>
  <c r="Q812" i="2"/>
  <c r="Q811" i="2"/>
  <c r="Q810" i="2"/>
  <c r="Q809" i="2"/>
  <c r="Q808" i="2"/>
  <c r="Q807" i="2"/>
  <c r="Q806" i="2"/>
  <c r="Q805" i="2"/>
  <c r="Q804" i="2"/>
  <c r="Q803" i="2"/>
  <c r="Q802" i="2"/>
  <c r="Q801" i="2"/>
  <c r="Q800" i="2"/>
  <c r="Q799" i="2"/>
  <c r="Q798" i="2"/>
  <c r="Q797" i="2"/>
  <c r="Q796" i="2"/>
  <c r="Q795" i="2"/>
  <c r="Q794" i="2"/>
  <c r="Q793" i="2"/>
  <c r="Q792" i="2"/>
  <c r="Q791" i="2"/>
  <c r="Q790" i="2"/>
  <c r="Q789" i="2"/>
  <c r="Q788" i="2"/>
  <c r="Q787" i="2"/>
  <c r="Q786" i="2"/>
  <c r="Q785" i="2"/>
  <c r="Q784" i="2"/>
  <c r="Q783" i="2"/>
  <c r="Q782" i="2"/>
  <c r="Q781" i="2"/>
  <c r="Q780" i="2"/>
  <c r="Q779" i="2"/>
  <c r="Q778" i="2"/>
  <c r="Q777" i="2"/>
  <c r="Q776" i="2"/>
  <c r="Q775" i="2"/>
  <c r="Q774" i="2"/>
  <c r="Q773" i="2"/>
  <c r="Q772" i="2"/>
  <c r="Q771" i="2"/>
  <c r="Q770" i="2"/>
  <c r="Q769" i="2"/>
  <c r="Q768" i="2"/>
  <c r="Q767" i="2"/>
  <c r="Q766" i="2"/>
  <c r="Q765" i="2"/>
  <c r="Q764" i="2"/>
  <c r="Q763" i="2"/>
  <c r="Q762" i="2"/>
  <c r="Q761" i="2"/>
  <c r="Q760" i="2"/>
  <c r="Q759" i="2"/>
  <c r="Q758" i="2"/>
  <c r="Q757" i="2"/>
  <c r="Q756" i="2"/>
  <c r="Q755" i="2"/>
  <c r="Q754" i="2"/>
  <c r="Q753" i="2"/>
  <c r="Q752" i="2"/>
  <c r="Q751" i="2"/>
  <c r="Q750" i="2"/>
  <c r="Q749" i="2"/>
  <c r="Q748" i="2"/>
  <c r="Q747" i="2"/>
  <c r="Q746" i="2"/>
  <c r="Q745" i="2"/>
  <c r="Q744" i="2"/>
  <c r="Q743" i="2"/>
  <c r="Q742" i="2"/>
  <c r="Q741" i="2"/>
  <c r="Q740" i="2"/>
  <c r="Q739" i="2"/>
  <c r="Q738" i="2"/>
  <c r="Q737" i="2"/>
  <c r="Q736" i="2"/>
  <c r="Q735" i="2"/>
  <c r="Q734" i="2"/>
  <c r="Q733" i="2"/>
  <c r="Q732" i="2"/>
  <c r="Q731" i="2"/>
  <c r="Q730" i="2"/>
  <c r="Q729" i="2"/>
  <c r="Q728" i="2"/>
  <c r="Q727" i="2"/>
  <c r="Q726" i="2"/>
  <c r="Q725" i="2"/>
  <c r="Q724" i="2"/>
  <c r="Q723" i="2"/>
  <c r="Q722" i="2"/>
  <c r="Q721" i="2"/>
  <c r="Q720" i="2"/>
  <c r="Q719" i="2"/>
  <c r="Q718" i="2"/>
  <c r="Q717" i="2"/>
  <c r="Q716" i="2"/>
  <c r="Q715" i="2"/>
  <c r="Q714" i="2"/>
  <c r="Q713" i="2"/>
  <c r="Q712" i="2"/>
  <c r="Q711" i="2"/>
  <c r="Q710" i="2"/>
  <c r="Q709" i="2"/>
  <c r="Q708" i="2"/>
  <c r="Q707" i="2"/>
  <c r="Q706" i="2"/>
  <c r="Q705" i="2"/>
  <c r="Q704" i="2"/>
  <c r="Q703" i="2"/>
  <c r="Q702" i="2"/>
  <c r="Q701" i="2"/>
  <c r="Q700" i="2"/>
  <c r="Q699" i="2"/>
  <c r="Q698" i="2"/>
  <c r="Q697" i="2"/>
  <c r="Q696" i="2"/>
  <c r="Q695" i="2"/>
  <c r="Q694" i="2"/>
  <c r="Q693" i="2"/>
  <c r="Q692" i="2"/>
  <c r="Q691" i="2"/>
  <c r="Q690" i="2"/>
  <c r="Q689" i="2"/>
  <c r="Q688" i="2"/>
  <c r="Q687" i="2"/>
  <c r="Q686" i="2"/>
  <c r="Q685" i="2"/>
  <c r="Q684" i="2"/>
  <c r="Q683" i="2"/>
  <c r="Q682" i="2"/>
  <c r="Q681" i="2"/>
  <c r="Q680" i="2"/>
  <c r="Q679" i="2"/>
  <c r="Q678" i="2"/>
  <c r="Q677" i="2"/>
  <c r="Q676" i="2"/>
  <c r="Q675" i="2"/>
  <c r="Q674" i="2"/>
  <c r="Q673" i="2"/>
  <c r="Q672" i="2"/>
  <c r="Q671" i="2"/>
  <c r="Q670" i="2"/>
  <c r="Q669" i="2"/>
  <c r="Q668" i="2"/>
  <c r="Q667" i="2"/>
  <c r="Q666" i="2"/>
  <c r="Q665" i="2"/>
  <c r="Q664" i="2"/>
  <c r="Q663" i="2"/>
  <c r="Q662" i="2"/>
  <c r="Q661" i="2"/>
  <c r="Q660" i="2"/>
  <c r="Q659" i="2"/>
  <c r="Q658" i="2"/>
  <c r="Q657" i="2"/>
  <c r="Q656" i="2"/>
  <c r="Q655" i="2"/>
  <c r="Q654" i="2"/>
  <c r="Q653" i="2"/>
  <c r="Q652" i="2"/>
  <c r="Q651" i="2"/>
  <c r="Q650" i="2"/>
  <c r="Q649" i="2"/>
  <c r="Q648" i="2"/>
  <c r="Q647" i="2"/>
  <c r="Q646" i="2"/>
  <c r="Q645" i="2"/>
  <c r="Q644" i="2"/>
  <c r="Q643" i="2"/>
  <c r="Q642" i="2"/>
  <c r="Q641" i="2"/>
  <c r="Q640" i="2"/>
  <c r="Q639" i="2"/>
  <c r="Q638" i="2"/>
  <c r="Q637" i="2"/>
  <c r="Q636" i="2"/>
  <c r="Q635" i="2"/>
  <c r="Q634" i="2"/>
  <c r="Q633" i="2"/>
  <c r="Q632" i="2"/>
  <c r="Q631" i="2"/>
  <c r="Q630" i="2"/>
  <c r="Q629" i="2"/>
  <c r="Q628" i="2"/>
  <c r="Q627" i="2"/>
  <c r="Q626" i="2"/>
  <c r="Q625" i="2"/>
  <c r="Q624" i="2"/>
  <c r="Q623" i="2"/>
  <c r="Q622" i="2"/>
  <c r="Q621" i="2"/>
  <c r="Q620" i="2"/>
  <c r="Q619" i="2"/>
  <c r="Q618" i="2"/>
  <c r="Q617" i="2"/>
  <c r="Q616" i="2"/>
  <c r="Q615" i="2"/>
  <c r="Q614" i="2"/>
  <c r="Q613" i="2"/>
  <c r="Q612" i="2"/>
  <c r="Q611" i="2"/>
  <c r="Q610" i="2"/>
  <c r="Q609" i="2"/>
  <c r="Q608" i="2"/>
  <c r="Q607" i="2"/>
  <c r="Q606" i="2"/>
  <c r="Q605" i="2"/>
  <c r="Q604" i="2"/>
  <c r="Q603" i="2"/>
  <c r="Q602" i="2"/>
  <c r="Q601" i="2"/>
  <c r="Q600" i="2"/>
  <c r="Q599" i="2"/>
  <c r="Q598" i="2"/>
  <c r="Q597" i="2"/>
  <c r="Q596" i="2"/>
  <c r="Q595" i="2"/>
  <c r="Q594" i="2"/>
  <c r="Q593" i="2"/>
  <c r="Q592" i="2"/>
  <c r="Q591" i="2"/>
  <c r="Q590" i="2"/>
  <c r="Q589" i="2"/>
  <c r="Q588" i="2"/>
  <c r="Q587" i="2"/>
  <c r="Q586" i="2"/>
  <c r="Q585" i="2"/>
  <c r="Q584" i="2"/>
  <c r="Q583" i="2"/>
  <c r="Q582" i="2"/>
  <c r="Q581" i="2"/>
  <c r="Q580" i="2"/>
  <c r="Q579" i="2"/>
  <c r="Q578" i="2"/>
  <c r="Q577" i="2"/>
  <c r="Q576" i="2"/>
  <c r="Q575" i="2"/>
  <c r="Q574" i="2"/>
  <c r="Q573" i="2"/>
  <c r="Q572" i="2"/>
  <c r="Q571" i="2"/>
  <c r="Q570" i="2"/>
  <c r="Q569" i="2"/>
  <c r="Q568" i="2"/>
  <c r="Q567" i="2"/>
  <c r="Q566" i="2"/>
  <c r="Q565" i="2"/>
  <c r="Q564" i="2"/>
  <c r="Q563" i="2"/>
  <c r="Q562" i="2"/>
  <c r="Q561" i="2"/>
  <c r="Q560" i="2"/>
  <c r="Q559" i="2"/>
  <c r="Q558" i="2"/>
  <c r="Q557" i="2"/>
  <c r="Q556" i="2"/>
  <c r="Q555" i="2"/>
  <c r="Q554" i="2"/>
  <c r="Q553" i="2"/>
  <c r="Q552" i="2"/>
  <c r="Q551" i="2"/>
  <c r="Q550" i="2"/>
  <c r="Q549" i="2"/>
  <c r="Q548" i="2"/>
  <c r="Q547" i="2"/>
  <c r="Q546" i="2"/>
  <c r="Q545" i="2"/>
  <c r="Q544" i="2"/>
  <c r="Q543" i="2"/>
  <c r="Q542" i="2"/>
  <c r="Q541" i="2"/>
  <c r="Q540" i="2"/>
  <c r="Q539" i="2"/>
  <c r="Q538" i="2"/>
  <c r="Q537" i="2"/>
  <c r="Q536" i="2"/>
  <c r="Q535" i="2"/>
  <c r="Q534" i="2"/>
  <c r="Q533" i="2"/>
  <c r="Q532" i="2"/>
  <c r="Q531" i="2"/>
  <c r="Q530" i="2"/>
  <c r="Q529" i="2"/>
  <c r="Q528" i="2"/>
  <c r="Q527" i="2"/>
  <c r="Q526" i="2"/>
  <c r="Q525" i="2"/>
  <c r="Q524" i="2"/>
  <c r="Q523" i="2"/>
  <c r="Q522" i="2"/>
  <c r="Q521" i="2"/>
  <c r="Q520" i="2"/>
  <c r="Q519" i="2"/>
  <c r="Q518" i="2"/>
  <c r="Q517" i="2"/>
  <c r="Q516" i="2"/>
  <c r="Q515" i="2"/>
  <c r="Q514" i="2"/>
  <c r="Q513" i="2"/>
  <c r="Q512" i="2"/>
  <c r="Q511" i="2"/>
  <c r="Q510" i="2"/>
  <c r="Q509" i="2"/>
  <c r="Q508" i="2"/>
  <c r="Q507" i="2"/>
  <c r="Q506" i="2"/>
  <c r="Q505" i="2"/>
  <c r="Q504" i="2"/>
  <c r="Q503" i="2"/>
  <c r="Q502" i="2"/>
  <c r="Q501" i="2"/>
  <c r="Q500" i="2"/>
  <c r="Q499" i="2"/>
  <c r="Q498" i="2"/>
  <c r="Q497" i="2"/>
  <c r="Q496" i="2"/>
  <c r="Q495" i="2"/>
  <c r="Q494" i="2"/>
  <c r="Q493" i="2"/>
  <c r="Q492" i="2"/>
  <c r="Q491" i="2"/>
  <c r="Q490" i="2"/>
  <c r="Q489" i="2"/>
  <c r="Q488" i="2"/>
  <c r="Q487" i="2"/>
  <c r="Q486" i="2"/>
  <c r="Q485" i="2"/>
  <c r="Q484" i="2"/>
  <c r="Q483" i="2"/>
  <c r="Q482" i="2"/>
  <c r="Q481" i="2"/>
  <c r="Q480" i="2"/>
  <c r="Q479" i="2"/>
  <c r="Q478" i="2"/>
  <c r="Q477" i="2"/>
  <c r="Q476" i="2"/>
  <c r="Q475" i="2"/>
  <c r="Q474" i="2"/>
  <c r="Q473" i="2"/>
  <c r="Q472" i="2"/>
  <c r="Q471" i="2"/>
  <c r="Q470" i="2"/>
  <c r="Q469" i="2"/>
  <c r="Q468" i="2"/>
  <c r="Q467" i="2"/>
  <c r="Q466" i="2"/>
  <c r="Q465" i="2"/>
  <c r="Q464" i="2"/>
  <c r="Q463" i="2"/>
  <c r="Q462" i="2"/>
  <c r="Q461" i="2"/>
  <c r="Q460" i="2"/>
  <c r="Q459" i="2"/>
  <c r="Q458" i="2"/>
  <c r="Q457" i="2"/>
  <c r="Q456" i="2"/>
  <c r="Q455" i="2"/>
  <c r="Q454" i="2"/>
  <c r="Q453" i="2"/>
  <c r="Q452" i="2"/>
  <c r="Q451" i="2"/>
  <c r="Q450" i="2"/>
  <c r="Q449" i="2"/>
  <c r="Q448" i="2"/>
  <c r="Q447" i="2"/>
  <c r="Q446" i="2"/>
  <c r="Q445" i="2"/>
  <c r="Q444" i="2"/>
  <c r="Q443" i="2"/>
  <c r="Q442" i="2"/>
  <c r="Q441" i="2"/>
  <c r="Q440" i="2"/>
  <c r="Q439" i="2"/>
  <c r="Q438" i="2"/>
  <c r="Q437" i="2"/>
  <c r="Q436" i="2"/>
  <c r="Q435" i="2"/>
  <c r="Q434" i="2"/>
  <c r="Q433" i="2"/>
  <c r="Q432" i="2"/>
  <c r="Q431" i="2"/>
  <c r="Q430" i="2"/>
  <c r="Q429" i="2"/>
  <c r="Q428" i="2"/>
  <c r="Q427" i="2"/>
  <c r="Q426" i="2"/>
  <c r="Q425" i="2"/>
  <c r="Q424" i="2"/>
  <c r="Q423" i="2"/>
  <c r="Q422" i="2"/>
  <c r="Q421" i="2"/>
  <c r="Q420" i="2"/>
  <c r="Q419" i="2"/>
  <c r="Q418" i="2"/>
  <c r="Q417" i="2"/>
  <c r="Q416" i="2"/>
  <c r="Q415" i="2"/>
  <c r="Q414" i="2"/>
  <c r="Q413" i="2"/>
  <c r="Q412" i="2"/>
  <c r="Q411" i="2"/>
  <c r="Q410" i="2"/>
  <c r="Q409" i="2"/>
  <c r="Q408" i="2"/>
  <c r="Q407" i="2"/>
  <c r="Q406" i="2"/>
  <c r="Q405" i="2"/>
  <c r="Q404" i="2"/>
  <c r="Q403" i="2"/>
  <c r="Q402" i="2"/>
  <c r="Q401" i="2"/>
  <c r="Q400" i="2"/>
  <c r="Q399" i="2"/>
  <c r="Q398" i="2"/>
  <c r="Q397" i="2"/>
  <c r="Q396" i="2"/>
  <c r="Q395" i="2"/>
  <c r="Q394" i="2"/>
  <c r="Q393" i="2"/>
  <c r="Q392" i="2"/>
  <c r="Q391" i="2"/>
  <c r="Q390" i="2"/>
  <c r="Q389" i="2"/>
  <c r="Q388" i="2"/>
  <c r="Q387" i="2"/>
  <c r="Q386" i="2"/>
  <c r="Q385" i="2"/>
  <c r="Q384" i="2"/>
  <c r="Q383" i="2"/>
  <c r="Q382" i="2"/>
  <c r="Q381" i="2"/>
  <c r="Q380" i="2"/>
  <c r="Q379" i="2"/>
  <c r="Q378" i="2"/>
  <c r="Q377" i="2"/>
  <c r="Q376" i="2"/>
  <c r="Q375" i="2"/>
  <c r="Q374" i="2"/>
  <c r="Q373" i="2"/>
  <c r="Q372" i="2"/>
  <c r="Q371" i="2"/>
  <c r="Q370" i="2"/>
  <c r="Q369" i="2"/>
  <c r="Q368" i="2"/>
  <c r="Q367" i="2"/>
  <c r="Q366" i="2"/>
  <c r="Q365" i="2"/>
  <c r="Q364" i="2"/>
  <c r="Q363" i="2"/>
  <c r="Q362" i="2"/>
  <c r="Q361" i="2"/>
  <c r="Q360" i="2"/>
  <c r="Q359" i="2"/>
  <c r="Q358" i="2"/>
  <c r="Q357" i="2"/>
  <c r="Q356" i="2"/>
  <c r="Q355" i="2"/>
  <c r="Q354" i="2"/>
  <c r="Q353" i="2"/>
  <c r="Q352" i="2"/>
  <c r="Q351" i="2"/>
  <c r="Q350" i="2"/>
  <c r="Q349" i="2"/>
  <c r="Q348" i="2"/>
  <c r="Q347" i="2"/>
  <c r="Q346" i="2"/>
  <c r="Q345" i="2"/>
  <c r="Q344" i="2"/>
  <c r="Q343" i="2"/>
  <c r="Q342" i="2"/>
  <c r="Q341" i="2"/>
  <c r="Q340" i="2"/>
  <c r="Q339" i="2"/>
  <c r="Q338" i="2"/>
  <c r="Q337" i="2"/>
  <c r="Q336" i="2"/>
  <c r="Q335" i="2"/>
  <c r="Q334" i="2"/>
  <c r="Q333" i="2"/>
  <c r="Q332" i="2"/>
  <c r="Q331" i="2"/>
  <c r="Q330" i="2"/>
  <c r="Q329" i="2"/>
  <c r="Q328" i="2"/>
  <c r="Q327" i="2"/>
  <c r="Q326" i="2"/>
  <c r="Q325" i="2"/>
  <c r="Q324" i="2"/>
  <c r="Q323" i="2"/>
  <c r="Q322" i="2"/>
  <c r="Q321" i="2"/>
  <c r="Q320" i="2"/>
  <c r="Q319" i="2"/>
  <c r="Q318" i="2"/>
  <c r="Q317" i="2"/>
  <c r="Q316" i="2"/>
  <c r="Q315" i="2"/>
  <c r="Q314" i="2"/>
  <c r="Q313" i="2"/>
  <c r="Q312" i="2"/>
  <c r="Q311" i="2"/>
  <c r="Q310" i="2"/>
  <c r="Q309" i="2"/>
  <c r="Q308" i="2"/>
  <c r="Q307" i="2"/>
  <c r="Q306" i="2"/>
  <c r="Q305" i="2"/>
  <c r="Q304" i="2"/>
  <c r="Q303" i="2"/>
  <c r="Q302" i="2"/>
  <c r="Q301" i="2"/>
  <c r="Q300" i="2"/>
  <c r="Q299" i="2"/>
  <c r="Q298" i="2"/>
  <c r="Q297" i="2"/>
  <c r="Q296" i="2"/>
  <c r="Q295" i="2"/>
  <c r="Q294" i="2"/>
  <c r="Q293" i="2"/>
  <c r="Q292" i="2"/>
  <c r="Q291" i="2"/>
  <c r="Q290" i="2"/>
  <c r="Q289" i="2"/>
  <c r="Q288" i="2"/>
  <c r="Q287" i="2"/>
  <c r="Q286" i="2"/>
  <c r="Q285" i="2"/>
  <c r="Q284" i="2"/>
  <c r="Q283" i="2"/>
  <c r="Q282" i="2"/>
  <c r="Q281" i="2"/>
  <c r="Q280" i="2"/>
  <c r="Q279" i="2"/>
  <c r="Q278" i="2"/>
  <c r="Q277" i="2"/>
  <c r="Q276" i="2"/>
  <c r="Q275" i="2"/>
  <c r="Q274" i="2"/>
  <c r="Q273" i="2"/>
  <c r="Q272" i="2"/>
  <c r="Q271" i="2"/>
  <c r="Q270" i="2"/>
  <c r="Q269" i="2"/>
  <c r="Q268" i="2"/>
  <c r="Q267" i="2"/>
  <c r="Q266" i="2"/>
  <c r="Q265" i="2"/>
  <c r="Q264" i="2"/>
  <c r="Q263" i="2"/>
  <c r="Q262" i="2"/>
  <c r="Q261" i="2"/>
  <c r="Q260" i="2"/>
  <c r="Q259" i="2"/>
  <c r="Q258" i="2"/>
  <c r="Q257" i="2"/>
  <c r="Q256" i="2"/>
  <c r="Q255" i="2"/>
  <c r="Q254" i="2"/>
  <c r="Q253" i="2"/>
  <c r="Q252" i="2"/>
  <c r="Q251" i="2"/>
  <c r="Q250" i="2"/>
  <c r="Q249" i="2"/>
  <c r="Q248" i="2"/>
  <c r="Q247" i="2"/>
  <c r="Q246" i="2"/>
  <c r="Q245" i="2"/>
  <c r="Q244" i="2"/>
  <c r="Q243" i="2"/>
  <c r="Q242" i="2"/>
  <c r="Q241" i="2"/>
  <c r="Q240" i="2"/>
  <c r="Q239" i="2"/>
  <c r="Q238" i="2"/>
  <c r="Q237" i="2"/>
  <c r="Q236" i="2"/>
  <c r="Q235" i="2"/>
  <c r="Q234" i="2"/>
  <c r="Q233" i="2"/>
  <c r="Q232" i="2"/>
  <c r="Q231" i="2"/>
  <c r="Q230" i="2"/>
  <c r="Q229" i="2"/>
  <c r="Q228" i="2"/>
  <c r="Q227" i="2"/>
  <c r="Q226" i="2"/>
  <c r="Q225" i="2"/>
  <c r="Q224" i="2"/>
  <c r="Q223" i="2"/>
  <c r="Q222" i="2"/>
  <c r="Q221" i="2"/>
  <c r="Q220" i="2"/>
  <c r="Q219" i="2"/>
  <c r="Q218" i="2"/>
  <c r="Q217" i="2"/>
  <c r="Q216" i="2"/>
  <c r="Q215" i="2"/>
  <c r="Q214" i="2"/>
  <c r="Q213" i="2"/>
  <c r="Q212" i="2"/>
  <c r="Q211" i="2"/>
  <c r="Q210" i="2"/>
  <c r="Q209" i="2"/>
  <c r="Q208" i="2"/>
  <c r="Q207" i="2"/>
  <c r="Q206" i="2"/>
  <c r="Q205" i="2"/>
  <c r="Q204" i="2"/>
  <c r="Q203" i="2"/>
  <c r="Q202" i="2"/>
  <c r="Q201" i="2"/>
  <c r="Q200" i="2"/>
  <c r="Q199" i="2"/>
  <c r="Q198" i="2"/>
  <c r="Q197" i="2"/>
  <c r="Q196" i="2"/>
  <c r="Q195" i="2"/>
  <c r="Q194" i="2"/>
  <c r="Q193" i="2"/>
  <c r="Q192" i="2"/>
  <c r="Q191" i="2"/>
  <c r="Q190" i="2"/>
  <c r="Q189" i="2"/>
  <c r="Q188" i="2"/>
  <c r="Q187" i="2"/>
  <c r="Q186" i="2"/>
  <c r="Q185" i="2"/>
  <c r="Q184" i="2"/>
  <c r="Q183" i="2"/>
  <c r="Q182" i="2"/>
  <c r="Q181" i="2"/>
  <c r="Q180" i="2"/>
  <c r="Q179" i="2"/>
  <c r="Q178" i="2"/>
  <c r="Q177" i="2"/>
  <c r="Q176" i="2"/>
  <c r="Q175" i="2"/>
  <c r="Q174" i="2"/>
  <c r="Q173" i="2"/>
  <c r="Q172" i="2"/>
  <c r="Q171" i="2"/>
  <c r="Q170" i="2"/>
  <c r="Q169" i="2"/>
  <c r="Q168" i="2"/>
  <c r="Q167" i="2"/>
  <c r="Q166" i="2"/>
  <c r="Q165" i="2"/>
  <c r="Q164" i="2"/>
  <c r="Q163" i="2"/>
  <c r="Q162" i="2"/>
  <c r="Q161" i="2"/>
  <c r="Q160" i="2"/>
  <c r="Q159" i="2"/>
  <c r="Q158" i="2"/>
  <c r="Q157" i="2"/>
  <c r="Q156" i="2"/>
  <c r="Q155" i="2"/>
  <c r="Q154" i="2"/>
  <c r="Q153" i="2"/>
  <c r="Q152" i="2"/>
  <c r="Q151" i="2"/>
  <c r="Q150" i="2"/>
  <c r="Q149" i="2"/>
  <c r="Q148" i="2"/>
  <c r="Q147" i="2"/>
  <c r="Q146" i="2"/>
  <c r="Q145" i="2"/>
  <c r="Q144" i="2"/>
  <c r="Q143" i="2"/>
  <c r="Q142" i="2"/>
  <c r="Q141" i="2"/>
  <c r="Q140" i="2"/>
  <c r="Q139" i="2"/>
  <c r="Q138" i="2"/>
  <c r="Q137" i="2"/>
  <c r="Q136" i="2"/>
  <c r="Q135" i="2"/>
  <c r="Q134" i="2"/>
  <c r="Q133" i="2"/>
  <c r="Q132" i="2"/>
  <c r="Q131" i="2"/>
  <c r="Q130" i="2"/>
  <c r="Q129" i="2"/>
  <c r="Q128" i="2"/>
  <c r="Q127" i="2"/>
  <c r="Q126" i="2"/>
  <c r="Q125" i="2"/>
  <c r="Q124" i="2"/>
  <c r="Q123" i="2"/>
  <c r="Q122" i="2"/>
  <c r="Q121" i="2"/>
  <c r="Q120" i="2"/>
  <c r="Q119" i="2"/>
  <c r="Q118" i="2"/>
  <c r="Q117" i="2"/>
  <c r="Q116" i="2"/>
  <c r="Q115" i="2"/>
  <c r="Q114" i="2"/>
  <c r="Q113" i="2"/>
  <c r="Q112" i="2"/>
  <c r="Q111" i="2"/>
  <c r="Q110" i="2"/>
  <c r="Q109" i="2"/>
  <c r="Q108" i="2"/>
  <c r="Q107" i="2"/>
  <c r="Q106" i="2"/>
  <c r="Q105" i="2"/>
  <c r="Q104" i="2"/>
  <c r="Q103" i="2"/>
  <c r="Q102" i="2"/>
  <c r="Q101" i="2"/>
  <c r="Q100" i="2"/>
  <c r="Q99" i="2"/>
  <c r="Q98" i="2"/>
  <c r="Q97" i="2"/>
  <c r="Q96" i="2"/>
  <c r="Q95" i="2"/>
  <c r="Q94" i="2"/>
  <c r="Q93" i="2"/>
  <c r="Q92" i="2"/>
  <c r="Q91" i="2"/>
  <c r="Q90" i="2"/>
  <c r="Q89" i="2"/>
  <c r="Q88" i="2"/>
  <c r="Q87" i="2"/>
  <c r="Q86" i="2"/>
  <c r="Q85" i="2"/>
  <c r="Q84" i="2"/>
  <c r="Q83" i="2"/>
  <c r="Q82" i="2"/>
  <c r="Q81" i="2"/>
  <c r="Q80" i="2"/>
  <c r="Q79" i="2"/>
  <c r="Q78" i="2"/>
  <c r="Q77" i="2"/>
  <c r="Q76" i="2"/>
  <c r="Q75" i="2"/>
  <c r="Q74" i="2"/>
  <c r="Q73" i="2"/>
  <c r="Q72" i="2"/>
  <c r="Q71" i="2"/>
  <c r="Q70" i="2"/>
  <c r="Q69" i="2"/>
  <c r="Q68" i="2"/>
  <c r="Q67" i="2"/>
  <c r="Q66" i="2"/>
  <c r="Q65" i="2"/>
  <c r="Q64" i="2"/>
  <c r="Q63" i="2"/>
  <c r="Q62" i="2"/>
  <c r="Q61" i="2"/>
  <c r="Q60" i="2"/>
  <c r="Q59" i="2"/>
  <c r="Q58" i="2"/>
  <c r="Q57" i="2"/>
  <c r="Q56" i="2"/>
  <c r="Q55" i="2"/>
  <c r="Q54" i="2"/>
  <c r="Q53" i="2"/>
  <c r="Q52" i="2"/>
  <c r="Q51" i="2"/>
  <c r="Q50" i="2"/>
  <c r="Q49" i="2"/>
  <c r="Q48" i="2"/>
  <c r="Q47" i="2"/>
  <c r="Q46" i="2"/>
  <c r="Q45" i="2"/>
  <c r="Q44" i="2"/>
  <c r="Q43" i="2"/>
  <c r="Q42" i="2"/>
  <c r="Q41" i="2"/>
  <c r="Q40" i="2"/>
  <c r="Q39" i="2"/>
  <c r="Q38" i="2"/>
  <c r="Q37" i="2"/>
  <c r="Q36" i="2"/>
  <c r="Q35" i="2"/>
  <c r="Q34" i="2"/>
  <c r="Q33" i="2"/>
  <c r="Q32" i="2"/>
  <c r="Q31" i="2"/>
  <c r="Q30" i="2"/>
  <c r="Q29" i="2"/>
  <c r="Q28" i="2"/>
  <c r="Q27" i="2"/>
  <c r="Q26" i="2"/>
  <c r="Q25" i="2"/>
  <c r="Q24" i="2"/>
  <c r="Q23" i="2"/>
  <c r="Q20" i="2"/>
  <c r="Q19" i="2"/>
  <c r="Q18" i="2"/>
  <c r="Q17" i="2"/>
  <c r="Q16" i="2"/>
  <c r="Q15" i="2"/>
  <c r="Q14" i="2"/>
  <c r="Q13" i="2"/>
  <c r="Q12" i="2"/>
  <c r="Q11" i="2"/>
  <c r="Q10" i="2"/>
  <c r="Q9" i="2"/>
  <c r="Q8" i="2"/>
  <c r="Q7" i="2"/>
  <c r="Q6" i="2"/>
  <c r="P1088" i="2"/>
  <c r="P1087" i="2"/>
  <c r="P1086" i="2"/>
  <c r="P1085" i="2"/>
  <c r="P1084" i="2"/>
  <c r="P1083" i="2"/>
  <c r="P1082" i="2"/>
  <c r="P1081" i="2"/>
  <c r="P1080" i="2"/>
  <c r="P1079" i="2"/>
  <c r="P1078" i="2"/>
  <c r="P1077" i="2"/>
  <c r="P1076" i="2"/>
  <c r="P1075" i="2"/>
  <c r="P1074" i="2"/>
  <c r="P1073" i="2"/>
  <c r="P1072" i="2"/>
  <c r="P1071" i="2"/>
  <c r="P1070" i="2"/>
  <c r="P1069" i="2"/>
  <c r="P1068" i="2"/>
  <c r="P1067" i="2"/>
  <c r="P1066" i="2"/>
  <c r="P1065" i="2"/>
  <c r="P1064" i="2"/>
  <c r="P1063" i="2"/>
  <c r="P1062" i="2"/>
  <c r="P1061" i="2"/>
  <c r="P1060" i="2"/>
  <c r="P1059" i="2"/>
  <c r="P1058" i="2"/>
  <c r="P1057" i="2"/>
  <c r="P1056" i="2"/>
  <c r="P1055" i="2"/>
  <c r="P1054" i="2"/>
  <c r="P1053" i="2"/>
  <c r="P1052" i="2"/>
  <c r="P1051" i="2"/>
  <c r="P1050" i="2"/>
  <c r="P1049" i="2"/>
  <c r="P1048" i="2"/>
  <c r="P1047" i="2"/>
  <c r="P1046" i="2"/>
  <c r="P1045" i="2"/>
  <c r="P1044" i="2"/>
  <c r="P1043" i="2"/>
  <c r="P1042" i="2"/>
  <c r="P1041" i="2"/>
  <c r="P1040" i="2"/>
  <c r="P1039" i="2"/>
  <c r="P1038" i="2"/>
  <c r="P1037" i="2"/>
  <c r="P1036" i="2"/>
  <c r="P1035" i="2"/>
  <c r="P1034" i="2"/>
  <c r="P1033" i="2"/>
  <c r="P1032" i="2"/>
  <c r="P1031" i="2"/>
  <c r="P1030" i="2"/>
  <c r="P1029" i="2"/>
  <c r="P1028" i="2"/>
  <c r="P1027" i="2"/>
  <c r="P1026" i="2"/>
  <c r="P1025" i="2"/>
  <c r="P1024" i="2"/>
  <c r="P1023" i="2"/>
  <c r="P1022" i="2"/>
  <c r="P1021" i="2"/>
  <c r="P1020" i="2"/>
  <c r="P1019" i="2"/>
  <c r="P1018" i="2"/>
  <c r="P1017" i="2"/>
  <c r="P1016" i="2"/>
  <c r="P1015" i="2"/>
  <c r="P1014" i="2"/>
  <c r="P1013" i="2"/>
  <c r="P1012" i="2"/>
  <c r="P1011" i="2"/>
  <c r="P1010" i="2"/>
  <c r="P1009" i="2"/>
  <c r="P1008" i="2"/>
  <c r="P1007" i="2"/>
  <c r="P1006" i="2"/>
  <c r="P1005" i="2"/>
  <c r="P1004" i="2"/>
  <c r="P1003" i="2"/>
  <c r="P1002" i="2"/>
  <c r="P1001" i="2"/>
  <c r="P1000" i="2"/>
  <c r="P999" i="2"/>
  <c r="P998" i="2"/>
  <c r="P997" i="2"/>
  <c r="P996" i="2"/>
  <c r="P995" i="2"/>
  <c r="P994" i="2"/>
  <c r="P993" i="2"/>
  <c r="P992" i="2"/>
  <c r="P991" i="2"/>
  <c r="P990" i="2"/>
  <c r="P989" i="2"/>
  <c r="P988" i="2"/>
  <c r="P987" i="2"/>
  <c r="P986" i="2"/>
  <c r="P985" i="2"/>
  <c r="P984" i="2"/>
  <c r="P983" i="2"/>
  <c r="P982" i="2"/>
  <c r="P981" i="2"/>
  <c r="P980" i="2"/>
  <c r="P979" i="2"/>
  <c r="P978" i="2"/>
  <c r="P977" i="2"/>
  <c r="P976" i="2"/>
  <c r="P975" i="2"/>
  <c r="P974" i="2"/>
  <c r="P973" i="2"/>
  <c r="P972" i="2"/>
  <c r="P971" i="2"/>
  <c r="P970" i="2"/>
  <c r="P969" i="2"/>
  <c r="P968" i="2"/>
  <c r="P967" i="2"/>
  <c r="P966" i="2"/>
  <c r="P965" i="2"/>
  <c r="P964" i="2"/>
  <c r="P963" i="2"/>
  <c r="P962" i="2"/>
  <c r="P961" i="2"/>
  <c r="P960" i="2"/>
  <c r="P959" i="2"/>
  <c r="P958" i="2"/>
  <c r="P957" i="2"/>
  <c r="P956" i="2"/>
  <c r="P955" i="2"/>
  <c r="P954" i="2"/>
  <c r="P953" i="2"/>
  <c r="P952" i="2"/>
  <c r="P951" i="2"/>
  <c r="P950" i="2"/>
  <c r="P949" i="2"/>
  <c r="P948" i="2"/>
  <c r="P947" i="2"/>
  <c r="P946" i="2"/>
  <c r="P945" i="2"/>
  <c r="P944" i="2"/>
  <c r="P943" i="2"/>
  <c r="P942" i="2"/>
  <c r="P941" i="2"/>
  <c r="P940" i="2"/>
  <c r="P939" i="2"/>
  <c r="P938" i="2"/>
  <c r="P937" i="2"/>
  <c r="P936" i="2"/>
  <c r="P935" i="2"/>
  <c r="P934" i="2"/>
  <c r="P933" i="2"/>
  <c r="P932" i="2"/>
  <c r="P931" i="2"/>
  <c r="P930" i="2"/>
  <c r="P929" i="2"/>
  <c r="P928" i="2"/>
  <c r="P927" i="2"/>
  <c r="P926" i="2"/>
  <c r="P925" i="2"/>
  <c r="P924" i="2"/>
  <c r="P923" i="2"/>
  <c r="P922" i="2"/>
  <c r="P921" i="2"/>
  <c r="P920" i="2"/>
  <c r="P919" i="2"/>
  <c r="P918" i="2"/>
  <c r="P917" i="2"/>
  <c r="P916" i="2"/>
  <c r="P915" i="2"/>
  <c r="P914" i="2"/>
  <c r="P913" i="2"/>
  <c r="P912" i="2"/>
  <c r="P911" i="2"/>
  <c r="P910" i="2"/>
  <c r="P909" i="2"/>
  <c r="P908" i="2"/>
  <c r="P907" i="2"/>
  <c r="P906" i="2"/>
  <c r="P905" i="2"/>
  <c r="P904" i="2"/>
  <c r="P903" i="2"/>
  <c r="P902" i="2"/>
  <c r="P901" i="2"/>
  <c r="P900" i="2"/>
  <c r="P899" i="2"/>
  <c r="P898" i="2"/>
  <c r="P897" i="2"/>
  <c r="P896" i="2"/>
  <c r="P895" i="2"/>
  <c r="P894" i="2"/>
  <c r="P893" i="2"/>
  <c r="P892" i="2"/>
  <c r="P891" i="2"/>
  <c r="P890" i="2"/>
  <c r="P889" i="2"/>
  <c r="P888" i="2"/>
  <c r="P887" i="2"/>
  <c r="P886" i="2"/>
  <c r="P885" i="2"/>
  <c r="P884" i="2"/>
  <c r="P883" i="2"/>
  <c r="P882" i="2"/>
  <c r="P881" i="2"/>
  <c r="P880" i="2"/>
  <c r="P879" i="2"/>
  <c r="P878" i="2"/>
  <c r="P877" i="2"/>
  <c r="P876" i="2"/>
  <c r="P875" i="2"/>
  <c r="P874" i="2"/>
  <c r="P873" i="2"/>
  <c r="P872" i="2"/>
  <c r="P871" i="2"/>
  <c r="P870" i="2"/>
  <c r="P869" i="2"/>
  <c r="P868" i="2"/>
  <c r="P867" i="2"/>
  <c r="P866" i="2"/>
  <c r="P865" i="2"/>
  <c r="P864" i="2"/>
  <c r="P863" i="2"/>
  <c r="P862" i="2"/>
  <c r="P861" i="2"/>
  <c r="P860" i="2"/>
  <c r="P859" i="2"/>
  <c r="P858" i="2"/>
  <c r="P857" i="2"/>
  <c r="P856" i="2"/>
  <c r="P855" i="2"/>
  <c r="P854" i="2"/>
  <c r="P853" i="2"/>
  <c r="P852" i="2"/>
  <c r="P851" i="2"/>
  <c r="P850" i="2"/>
  <c r="P849" i="2"/>
  <c r="P848" i="2"/>
  <c r="P847" i="2"/>
  <c r="P846" i="2"/>
  <c r="P845" i="2"/>
  <c r="P844" i="2"/>
  <c r="P843" i="2"/>
  <c r="P842" i="2"/>
  <c r="P841" i="2"/>
  <c r="P840" i="2"/>
  <c r="P839" i="2"/>
  <c r="P838" i="2"/>
  <c r="P837" i="2"/>
  <c r="P836" i="2"/>
  <c r="P835" i="2"/>
  <c r="P834" i="2"/>
  <c r="P833" i="2"/>
  <c r="P832" i="2"/>
  <c r="P831" i="2"/>
  <c r="P830" i="2"/>
  <c r="P829" i="2"/>
  <c r="P828" i="2"/>
  <c r="P827" i="2"/>
  <c r="P826" i="2"/>
  <c r="P825" i="2"/>
  <c r="P824" i="2"/>
  <c r="P823" i="2"/>
  <c r="P822" i="2"/>
  <c r="P821" i="2"/>
  <c r="P820" i="2"/>
  <c r="P819" i="2"/>
  <c r="P818" i="2"/>
  <c r="P817" i="2"/>
  <c r="P816" i="2"/>
  <c r="P815" i="2"/>
  <c r="P814" i="2"/>
  <c r="P813" i="2"/>
  <c r="P812" i="2"/>
  <c r="P811" i="2"/>
  <c r="P810" i="2"/>
  <c r="P809" i="2"/>
  <c r="P808" i="2"/>
  <c r="P807" i="2"/>
  <c r="P806" i="2"/>
  <c r="P805" i="2"/>
  <c r="P804" i="2"/>
  <c r="P803" i="2"/>
  <c r="P802" i="2"/>
  <c r="P801" i="2"/>
  <c r="P800" i="2"/>
  <c r="P799" i="2"/>
  <c r="P798" i="2"/>
  <c r="P797" i="2"/>
  <c r="P796" i="2"/>
  <c r="P795" i="2"/>
  <c r="P794" i="2"/>
  <c r="P793" i="2"/>
  <c r="P792" i="2"/>
  <c r="P791" i="2"/>
  <c r="P790" i="2"/>
  <c r="P789" i="2"/>
  <c r="P788" i="2"/>
  <c r="P787" i="2"/>
  <c r="P786" i="2"/>
  <c r="P785" i="2"/>
  <c r="P784" i="2"/>
  <c r="P783" i="2"/>
  <c r="P782" i="2"/>
  <c r="P781" i="2"/>
  <c r="P780" i="2"/>
  <c r="P779" i="2"/>
  <c r="P778" i="2"/>
  <c r="P777" i="2"/>
  <c r="P776" i="2"/>
  <c r="P775" i="2"/>
  <c r="P774" i="2"/>
  <c r="P773" i="2"/>
  <c r="P772" i="2"/>
  <c r="P771" i="2"/>
  <c r="P770" i="2"/>
  <c r="P769" i="2"/>
  <c r="P768" i="2"/>
  <c r="P767" i="2"/>
  <c r="P766" i="2"/>
  <c r="P765" i="2"/>
  <c r="P764" i="2"/>
  <c r="P763" i="2"/>
  <c r="P762" i="2"/>
  <c r="P761" i="2"/>
  <c r="P760" i="2"/>
  <c r="P759" i="2"/>
  <c r="P758" i="2"/>
  <c r="P757" i="2"/>
  <c r="P756" i="2"/>
  <c r="P755" i="2"/>
  <c r="P754" i="2"/>
  <c r="P753" i="2"/>
  <c r="P752" i="2"/>
  <c r="P751" i="2"/>
  <c r="P750" i="2"/>
  <c r="P749" i="2"/>
  <c r="P748" i="2"/>
  <c r="P747" i="2"/>
  <c r="P746" i="2"/>
  <c r="P745" i="2"/>
  <c r="P744" i="2"/>
  <c r="P743" i="2"/>
  <c r="P742" i="2"/>
  <c r="P741" i="2"/>
  <c r="P740" i="2"/>
  <c r="P739" i="2"/>
  <c r="P738" i="2"/>
  <c r="P737" i="2"/>
  <c r="P736" i="2"/>
  <c r="P735" i="2"/>
  <c r="P734" i="2"/>
  <c r="P733" i="2"/>
  <c r="P732" i="2"/>
  <c r="P731" i="2"/>
  <c r="P730" i="2"/>
  <c r="P729" i="2"/>
  <c r="P728" i="2"/>
  <c r="P727" i="2"/>
  <c r="P726" i="2"/>
  <c r="P725" i="2"/>
  <c r="P724" i="2"/>
  <c r="P723" i="2"/>
  <c r="P722" i="2"/>
  <c r="P721" i="2"/>
  <c r="P720" i="2"/>
  <c r="P719" i="2"/>
  <c r="P718" i="2"/>
  <c r="P717" i="2"/>
  <c r="P716" i="2"/>
  <c r="P715" i="2"/>
  <c r="P714" i="2"/>
  <c r="P713" i="2"/>
  <c r="P712" i="2"/>
  <c r="P711" i="2"/>
  <c r="P710" i="2"/>
  <c r="P709" i="2"/>
  <c r="P708" i="2"/>
  <c r="P707" i="2"/>
  <c r="P706" i="2"/>
  <c r="P705" i="2"/>
  <c r="P704" i="2"/>
  <c r="P703" i="2"/>
  <c r="P702" i="2"/>
  <c r="P701" i="2"/>
  <c r="P700" i="2"/>
  <c r="P699" i="2"/>
  <c r="P698" i="2"/>
  <c r="P697" i="2"/>
  <c r="P696" i="2"/>
  <c r="P695" i="2"/>
  <c r="P694" i="2"/>
  <c r="P693" i="2"/>
  <c r="P692" i="2"/>
  <c r="P691" i="2"/>
  <c r="P690" i="2"/>
  <c r="P689" i="2"/>
  <c r="P688" i="2"/>
  <c r="P687" i="2"/>
  <c r="P686" i="2"/>
  <c r="P685" i="2"/>
  <c r="P684" i="2"/>
  <c r="P683" i="2"/>
  <c r="P682" i="2"/>
  <c r="P681" i="2"/>
  <c r="P680" i="2"/>
  <c r="P679" i="2"/>
  <c r="P678" i="2"/>
  <c r="P677" i="2"/>
  <c r="P676" i="2"/>
  <c r="P675" i="2"/>
  <c r="P674" i="2"/>
  <c r="P673" i="2"/>
  <c r="P672" i="2"/>
  <c r="P671" i="2"/>
  <c r="P670" i="2"/>
  <c r="P669" i="2"/>
  <c r="P668" i="2"/>
  <c r="P667" i="2"/>
  <c r="P666" i="2"/>
  <c r="P665" i="2"/>
  <c r="P664" i="2"/>
  <c r="P663" i="2"/>
  <c r="P662" i="2"/>
  <c r="P661" i="2"/>
  <c r="P660" i="2"/>
  <c r="P659" i="2"/>
  <c r="P658" i="2"/>
  <c r="P657" i="2"/>
  <c r="P656" i="2"/>
  <c r="P655" i="2"/>
  <c r="P654" i="2"/>
  <c r="P653" i="2"/>
  <c r="P652" i="2"/>
  <c r="P651" i="2"/>
  <c r="P650" i="2"/>
  <c r="P649" i="2"/>
  <c r="P648" i="2"/>
  <c r="P647" i="2"/>
  <c r="P646" i="2"/>
  <c r="P645" i="2"/>
  <c r="P644" i="2"/>
  <c r="P643" i="2"/>
  <c r="P642" i="2"/>
  <c r="P641" i="2"/>
  <c r="P640" i="2"/>
  <c r="P639" i="2"/>
  <c r="P638" i="2"/>
  <c r="P637" i="2"/>
  <c r="P636" i="2"/>
  <c r="P635" i="2"/>
  <c r="P634" i="2"/>
  <c r="P633" i="2"/>
  <c r="P632" i="2"/>
  <c r="P631" i="2"/>
  <c r="P630" i="2"/>
  <c r="P629" i="2"/>
  <c r="P628" i="2"/>
  <c r="P627" i="2"/>
  <c r="P626" i="2"/>
  <c r="P625" i="2"/>
  <c r="P624" i="2"/>
  <c r="P623" i="2"/>
  <c r="P622" i="2"/>
  <c r="P621" i="2"/>
  <c r="P620" i="2"/>
  <c r="P619" i="2"/>
  <c r="P618" i="2"/>
  <c r="P617" i="2"/>
  <c r="P616" i="2"/>
  <c r="P615" i="2"/>
  <c r="P614" i="2"/>
  <c r="P613" i="2"/>
  <c r="P612" i="2"/>
  <c r="P611" i="2"/>
  <c r="P610" i="2"/>
  <c r="P609" i="2"/>
  <c r="P608" i="2"/>
  <c r="P607" i="2"/>
  <c r="P606" i="2"/>
  <c r="P605" i="2"/>
  <c r="P604" i="2"/>
  <c r="P603" i="2"/>
  <c r="P602" i="2"/>
  <c r="P601" i="2"/>
  <c r="P600" i="2"/>
  <c r="P599" i="2"/>
  <c r="P598" i="2"/>
  <c r="P597" i="2"/>
  <c r="P596" i="2"/>
  <c r="P595" i="2"/>
  <c r="P594" i="2"/>
  <c r="P593" i="2"/>
  <c r="P592" i="2"/>
  <c r="P591" i="2"/>
  <c r="P590" i="2"/>
  <c r="P589" i="2"/>
  <c r="P588" i="2"/>
  <c r="P587" i="2"/>
  <c r="P586" i="2"/>
  <c r="P585" i="2"/>
  <c r="P584" i="2"/>
  <c r="P583" i="2"/>
  <c r="P582" i="2"/>
  <c r="P581" i="2"/>
  <c r="P580" i="2"/>
  <c r="P579" i="2"/>
  <c r="P578" i="2"/>
  <c r="P577" i="2"/>
  <c r="P576" i="2"/>
  <c r="P575" i="2"/>
  <c r="P574" i="2"/>
  <c r="P573" i="2"/>
  <c r="P572" i="2"/>
  <c r="P571" i="2"/>
  <c r="P570" i="2"/>
  <c r="P569" i="2"/>
  <c r="P568" i="2"/>
  <c r="P567" i="2"/>
  <c r="P566" i="2"/>
  <c r="P565" i="2"/>
  <c r="P564" i="2"/>
  <c r="P563" i="2"/>
  <c r="P562" i="2"/>
  <c r="P561" i="2"/>
  <c r="P560" i="2"/>
  <c r="P559" i="2"/>
  <c r="P558" i="2"/>
  <c r="P557" i="2"/>
  <c r="P556" i="2"/>
  <c r="P555" i="2"/>
  <c r="P554" i="2"/>
  <c r="P553" i="2"/>
  <c r="P552" i="2"/>
  <c r="P551" i="2"/>
  <c r="P550" i="2"/>
  <c r="P549" i="2"/>
  <c r="P548" i="2"/>
  <c r="P547" i="2"/>
  <c r="P546" i="2"/>
  <c r="P545" i="2"/>
  <c r="P544" i="2"/>
  <c r="P543" i="2"/>
  <c r="P542" i="2"/>
  <c r="P541" i="2"/>
  <c r="P540" i="2"/>
  <c r="P539" i="2"/>
  <c r="P538" i="2"/>
  <c r="P537" i="2"/>
  <c r="P536" i="2"/>
  <c r="P535" i="2"/>
  <c r="P534" i="2"/>
  <c r="P533" i="2"/>
  <c r="P532" i="2"/>
  <c r="P531" i="2"/>
  <c r="P530" i="2"/>
  <c r="P529" i="2"/>
  <c r="P528" i="2"/>
  <c r="P527" i="2"/>
  <c r="P526" i="2"/>
  <c r="P525" i="2"/>
  <c r="P524" i="2"/>
  <c r="P523" i="2"/>
  <c r="P522" i="2"/>
  <c r="P521" i="2"/>
  <c r="P520" i="2"/>
  <c r="P519" i="2"/>
  <c r="P518" i="2"/>
  <c r="P517" i="2"/>
  <c r="P516" i="2"/>
  <c r="P515" i="2"/>
  <c r="P514" i="2"/>
  <c r="P513" i="2"/>
  <c r="P512" i="2"/>
  <c r="P511" i="2"/>
  <c r="P510" i="2"/>
  <c r="P509" i="2"/>
  <c r="P508" i="2"/>
  <c r="P507" i="2"/>
  <c r="P506" i="2"/>
  <c r="P505" i="2"/>
  <c r="P504" i="2"/>
  <c r="P503" i="2"/>
  <c r="P502" i="2"/>
  <c r="P501" i="2"/>
  <c r="P500" i="2"/>
  <c r="P499" i="2"/>
  <c r="P498" i="2"/>
  <c r="P497" i="2"/>
  <c r="P496" i="2"/>
  <c r="P495" i="2"/>
  <c r="P494" i="2"/>
  <c r="P493" i="2"/>
  <c r="P492" i="2"/>
  <c r="P491" i="2"/>
  <c r="P490" i="2"/>
  <c r="P489" i="2"/>
  <c r="P488" i="2"/>
  <c r="P487" i="2"/>
  <c r="P486" i="2"/>
  <c r="P485" i="2"/>
  <c r="P484" i="2"/>
  <c r="P483" i="2"/>
  <c r="P482" i="2"/>
  <c r="P481" i="2"/>
  <c r="P480" i="2"/>
  <c r="P479" i="2"/>
  <c r="P478" i="2"/>
  <c r="P477" i="2"/>
  <c r="P476" i="2"/>
  <c r="P475" i="2"/>
  <c r="P474" i="2"/>
  <c r="P473" i="2"/>
  <c r="P472" i="2"/>
  <c r="P471" i="2"/>
  <c r="P470" i="2"/>
  <c r="P469" i="2"/>
  <c r="P468" i="2"/>
  <c r="P467" i="2"/>
  <c r="P466" i="2"/>
  <c r="P465" i="2"/>
  <c r="P464" i="2"/>
  <c r="P463" i="2"/>
  <c r="P462" i="2"/>
  <c r="P461" i="2"/>
  <c r="P460" i="2"/>
  <c r="P459" i="2"/>
  <c r="P458" i="2"/>
  <c r="P457" i="2"/>
  <c r="P456" i="2"/>
  <c r="P455" i="2"/>
  <c r="P454" i="2"/>
  <c r="P453" i="2"/>
  <c r="P452" i="2"/>
  <c r="P451" i="2"/>
  <c r="P450" i="2"/>
  <c r="P449" i="2"/>
  <c r="P448" i="2"/>
  <c r="P447" i="2"/>
  <c r="P446" i="2"/>
  <c r="P445" i="2"/>
  <c r="P444" i="2"/>
  <c r="P443" i="2"/>
  <c r="P442" i="2"/>
  <c r="P441" i="2"/>
  <c r="P440" i="2"/>
  <c r="P439" i="2"/>
  <c r="P438" i="2"/>
  <c r="P437" i="2"/>
  <c r="P436" i="2"/>
  <c r="P435" i="2"/>
  <c r="P434" i="2"/>
  <c r="P433" i="2"/>
  <c r="P432" i="2"/>
  <c r="P431" i="2"/>
  <c r="P430" i="2"/>
  <c r="P429" i="2"/>
  <c r="P428" i="2"/>
  <c r="P427" i="2"/>
  <c r="P426" i="2"/>
  <c r="P425" i="2"/>
  <c r="P424" i="2"/>
  <c r="P423" i="2"/>
  <c r="P422" i="2"/>
  <c r="P421" i="2"/>
  <c r="P420" i="2"/>
  <c r="P419" i="2"/>
  <c r="P418" i="2"/>
  <c r="P417" i="2"/>
  <c r="P416" i="2"/>
  <c r="P415" i="2"/>
  <c r="P414" i="2"/>
  <c r="P413" i="2"/>
  <c r="P412" i="2"/>
  <c r="P411" i="2"/>
  <c r="P410" i="2"/>
  <c r="P409" i="2"/>
  <c r="P408" i="2"/>
  <c r="P407" i="2"/>
  <c r="P406" i="2"/>
  <c r="P405" i="2"/>
  <c r="P404" i="2"/>
  <c r="P403" i="2"/>
  <c r="P402" i="2"/>
  <c r="P401" i="2"/>
  <c r="P400" i="2"/>
  <c r="P399" i="2"/>
  <c r="P398" i="2"/>
  <c r="P397" i="2"/>
  <c r="P396" i="2"/>
  <c r="P395" i="2"/>
  <c r="P394" i="2"/>
  <c r="P393" i="2"/>
  <c r="P392" i="2"/>
  <c r="P391" i="2"/>
  <c r="P390" i="2"/>
  <c r="P389" i="2"/>
  <c r="P388" i="2"/>
  <c r="P387" i="2"/>
  <c r="P386" i="2"/>
  <c r="P385" i="2"/>
  <c r="P384" i="2"/>
  <c r="P383" i="2"/>
  <c r="P382" i="2"/>
  <c r="P381" i="2"/>
  <c r="P380" i="2"/>
  <c r="P379" i="2"/>
  <c r="P378" i="2"/>
  <c r="P377" i="2"/>
  <c r="P376" i="2"/>
  <c r="P375" i="2"/>
  <c r="P374" i="2"/>
  <c r="P373" i="2"/>
  <c r="P372" i="2"/>
  <c r="P371" i="2"/>
  <c r="P370" i="2"/>
  <c r="P369" i="2"/>
  <c r="P368" i="2"/>
  <c r="P367" i="2"/>
  <c r="P366" i="2"/>
  <c r="P365" i="2"/>
  <c r="P364" i="2"/>
  <c r="P363" i="2"/>
  <c r="P362" i="2"/>
  <c r="P361" i="2"/>
  <c r="P360" i="2"/>
  <c r="P359" i="2"/>
  <c r="P358" i="2"/>
  <c r="P357" i="2"/>
  <c r="P356" i="2"/>
  <c r="P355" i="2"/>
  <c r="P354" i="2"/>
  <c r="P353" i="2"/>
  <c r="P352" i="2"/>
  <c r="P351" i="2"/>
  <c r="P350" i="2"/>
  <c r="P349" i="2"/>
  <c r="P348" i="2"/>
  <c r="P347" i="2"/>
  <c r="P346" i="2"/>
  <c r="P345" i="2"/>
  <c r="P344" i="2"/>
  <c r="P343" i="2"/>
  <c r="P342" i="2"/>
  <c r="P341" i="2"/>
  <c r="P340" i="2"/>
  <c r="P339" i="2"/>
  <c r="P338" i="2"/>
  <c r="P337" i="2"/>
  <c r="P336" i="2"/>
  <c r="P335" i="2"/>
  <c r="P334" i="2"/>
  <c r="P333" i="2"/>
  <c r="P332" i="2"/>
  <c r="P331" i="2"/>
  <c r="P330" i="2"/>
  <c r="P329" i="2"/>
  <c r="P328" i="2"/>
  <c r="P327" i="2"/>
  <c r="P326" i="2"/>
  <c r="P325" i="2"/>
  <c r="P324" i="2"/>
  <c r="P323" i="2"/>
  <c r="P322" i="2"/>
  <c r="P321" i="2"/>
  <c r="P320" i="2"/>
  <c r="P319" i="2"/>
  <c r="P318" i="2"/>
  <c r="P317" i="2"/>
  <c r="P316" i="2"/>
  <c r="P315" i="2"/>
  <c r="P314" i="2"/>
  <c r="P313" i="2"/>
  <c r="P312" i="2"/>
  <c r="P311" i="2"/>
  <c r="P310" i="2"/>
  <c r="P309" i="2"/>
  <c r="P308" i="2"/>
  <c r="P307" i="2"/>
  <c r="P306" i="2"/>
  <c r="P305" i="2"/>
  <c r="P304" i="2"/>
  <c r="P303" i="2"/>
  <c r="P302" i="2"/>
  <c r="P301" i="2"/>
  <c r="P300" i="2"/>
  <c r="P299" i="2"/>
  <c r="P298" i="2"/>
  <c r="P297" i="2"/>
  <c r="P296" i="2"/>
  <c r="P295" i="2"/>
  <c r="P294" i="2"/>
  <c r="P293" i="2"/>
  <c r="P292" i="2"/>
  <c r="P291" i="2"/>
  <c r="P290" i="2"/>
  <c r="P289" i="2"/>
  <c r="P288" i="2"/>
  <c r="P287" i="2"/>
  <c r="P286" i="2"/>
  <c r="P285" i="2"/>
  <c r="P284" i="2"/>
  <c r="P283" i="2"/>
  <c r="P282" i="2"/>
  <c r="P281" i="2"/>
  <c r="P280" i="2"/>
  <c r="P279" i="2"/>
  <c r="P278" i="2"/>
  <c r="P277" i="2"/>
  <c r="P276" i="2"/>
  <c r="P275" i="2"/>
  <c r="P274" i="2"/>
  <c r="P273" i="2"/>
  <c r="P272" i="2"/>
  <c r="P271" i="2"/>
  <c r="P270" i="2"/>
  <c r="P269" i="2"/>
  <c r="P268" i="2"/>
  <c r="P267" i="2"/>
  <c r="P266" i="2"/>
  <c r="P265" i="2"/>
  <c r="P264" i="2"/>
  <c r="P263" i="2"/>
  <c r="P262" i="2"/>
  <c r="P261" i="2"/>
  <c r="P260" i="2"/>
  <c r="P259" i="2"/>
  <c r="P258" i="2"/>
  <c r="P257" i="2"/>
  <c r="P256" i="2"/>
  <c r="P255" i="2"/>
  <c r="P254" i="2"/>
  <c r="P253" i="2"/>
  <c r="P252" i="2"/>
  <c r="P251" i="2"/>
  <c r="P250" i="2"/>
  <c r="P249" i="2"/>
  <c r="P248" i="2"/>
  <c r="P247" i="2"/>
  <c r="P246" i="2"/>
  <c r="P245" i="2"/>
  <c r="P244" i="2"/>
  <c r="P243" i="2"/>
  <c r="P242" i="2"/>
  <c r="P241" i="2"/>
  <c r="P240" i="2"/>
  <c r="P239" i="2"/>
  <c r="P238" i="2"/>
  <c r="P237" i="2"/>
  <c r="P236" i="2"/>
  <c r="P235" i="2"/>
  <c r="P234" i="2"/>
  <c r="P233" i="2"/>
  <c r="P232" i="2"/>
  <c r="P231" i="2"/>
  <c r="P230" i="2"/>
  <c r="P229" i="2"/>
  <c r="P228" i="2"/>
  <c r="P227" i="2"/>
  <c r="P226" i="2"/>
  <c r="P225" i="2"/>
  <c r="P224" i="2"/>
  <c r="P223" i="2"/>
  <c r="P222" i="2"/>
  <c r="P221" i="2"/>
  <c r="P220" i="2"/>
  <c r="P219" i="2"/>
  <c r="P218" i="2"/>
  <c r="P217" i="2"/>
  <c r="P216" i="2"/>
  <c r="P215" i="2"/>
  <c r="P214" i="2"/>
  <c r="P213" i="2"/>
  <c r="P212" i="2"/>
  <c r="P211" i="2"/>
  <c r="P210" i="2"/>
  <c r="P209" i="2"/>
  <c r="P208" i="2"/>
  <c r="P207" i="2"/>
  <c r="P206" i="2"/>
  <c r="P205" i="2"/>
  <c r="P204" i="2"/>
  <c r="P203" i="2"/>
  <c r="P202" i="2"/>
  <c r="P201" i="2"/>
  <c r="P200" i="2"/>
  <c r="P199" i="2"/>
  <c r="P198" i="2"/>
  <c r="P197" i="2"/>
  <c r="P196" i="2"/>
  <c r="P195" i="2"/>
  <c r="P194" i="2"/>
  <c r="P193" i="2"/>
  <c r="P192" i="2"/>
  <c r="P191" i="2"/>
  <c r="P190" i="2"/>
  <c r="P189" i="2"/>
  <c r="P188" i="2"/>
  <c r="P187" i="2"/>
  <c r="P186" i="2"/>
  <c r="P185" i="2"/>
  <c r="P184" i="2"/>
  <c r="P183" i="2"/>
  <c r="P182" i="2"/>
  <c r="P181" i="2"/>
  <c r="P180" i="2"/>
  <c r="P179" i="2"/>
  <c r="P178" i="2"/>
  <c r="P177" i="2"/>
  <c r="P176" i="2"/>
  <c r="P175" i="2"/>
  <c r="P174" i="2"/>
  <c r="P173" i="2"/>
  <c r="P172" i="2"/>
  <c r="P171" i="2"/>
  <c r="P170" i="2"/>
  <c r="P169" i="2"/>
  <c r="P168" i="2"/>
  <c r="P167" i="2"/>
  <c r="P166" i="2"/>
  <c r="P165" i="2"/>
  <c r="P164" i="2"/>
  <c r="P163" i="2"/>
  <c r="P162" i="2"/>
  <c r="P161" i="2"/>
  <c r="P160" i="2"/>
  <c r="P159" i="2"/>
  <c r="P158" i="2"/>
  <c r="P157" i="2"/>
  <c r="P156" i="2"/>
  <c r="P155" i="2"/>
  <c r="P154" i="2"/>
  <c r="P153" i="2"/>
  <c r="P152" i="2"/>
  <c r="P151" i="2"/>
  <c r="P150" i="2"/>
  <c r="P149" i="2"/>
  <c r="P148" i="2"/>
  <c r="P147" i="2"/>
  <c r="P146" i="2"/>
  <c r="P145" i="2"/>
  <c r="P144" i="2"/>
  <c r="P143" i="2"/>
  <c r="P142" i="2"/>
  <c r="P141" i="2"/>
  <c r="P140" i="2"/>
  <c r="P139" i="2"/>
  <c r="P138" i="2"/>
  <c r="P137" i="2"/>
  <c r="P136" i="2"/>
  <c r="P135" i="2"/>
  <c r="P134" i="2"/>
  <c r="P133" i="2"/>
  <c r="P132" i="2"/>
  <c r="P131" i="2"/>
  <c r="P130" i="2"/>
  <c r="P129" i="2"/>
  <c r="P128" i="2"/>
  <c r="P127" i="2"/>
  <c r="P126" i="2"/>
  <c r="P125" i="2"/>
  <c r="P124" i="2"/>
  <c r="P123" i="2"/>
  <c r="P122" i="2"/>
  <c r="P121" i="2"/>
  <c r="P120" i="2"/>
  <c r="P119" i="2"/>
  <c r="P118" i="2"/>
  <c r="P117" i="2"/>
  <c r="P116" i="2"/>
  <c r="P115" i="2"/>
  <c r="P114" i="2"/>
  <c r="P113" i="2"/>
  <c r="P112" i="2"/>
  <c r="P111" i="2"/>
  <c r="P110" i="2"/>
  <c r="P109" i="2"/>
  <c r="P108" i="2"/>
  <c r="P107" i="2"/>
  <c r="P106" i="2"/>
  <c r="P105" i="2"/>
  <c r="P104" i="2"/>
  <c r="P103" i="2"/>
  <c r="P102" i="2"/>
  <c r="P101" i="2"/>
  <c r="P100" i="2"/>
  <c r="P99" i="2"/>
  <c r="P98" i="2"/>
  <c r="P97" i="2"/>
  <c r="P96" i="2"/>
  <c r="P95" i="2"/>
  <c r="P94" i="2"/>
  <c r="P93" i="2"/>
  <c r="P92" i="2"/>
  <c r="P91" i="2"/>
  <c r="P90" i="2"/>
  <c r="P89" i="2"/>
  <c r="P88" i="2"/>
  <c r="P87" i="2"/>
  <c r="P86" i="2"/>
  <c r="P85" i="2"/>
  <c r="P84" i="2"/>
  <c r="P83" i="2"/>
  <c r="P82" i="2"/>
  <c r="P81" i="2"/>
  <c r="P80" i="2"/>
  <c r="P79" i="2"/>
  <c r="P78" i="2"/>
  <c r="P77" i="2"/>
  <c r="P76" i="2"/>
  <c r="P75" i="2"/>
  <c r="P74" i="2"/>
  <c r="P73" i="2"/>
  <c r="P72" i="2"/>
  <c r="P71" i="2"/>
  <c r="P70" i="2"/>
  <c r="P69" i="2"/>
  <c r="P68" i="2"/>
  <c r="P67" i="2"/>
  <c r="P66" i="2"/>
  <c r="P65" i="2"/>
  <c r="P64" i="2"/>
  <c r="P63" i="2"/>
  <c r="P62" i="2"/>
  <c r="P61" i="2"/>
  <c r="P60" i="2"/>
  <c r="P59" i="2"/>
  <c r="P58" i="2"/>
  <c r="P57" i="2"/>
  <c r="P56" i="2"/>
  <c r="P55" i="2"/>
  <c r="P54" i="2"/>
  <c r="P53" i="2"/>
  <c r="P52" i="2"/>
  <c r="P51" i="2"/>
  <c r="P50" i="2"/>
  <c r="P49" i="2"/>
  <c r="P48" i="2"/>
  <c r="P47" i="2"/>
  <c r="P46" i="2"/>
  <c r="P45" i="2"/>
  <c r="P44" i="2"/>
  <c r="P43" i="2"/>
  <c r="P42" i="2"/>
  <c r="P41" i="2"/>
  <c r="P40" i="2"/>
  <c r="P39" i="2"/>
  <c r="P38" i="2"/>
  <c r="P37" i="2"/>
  <c r="P36" i="2"/>
  <c r="P35" i="2"/>
  <c r="P34" i="2"/>
  <c r="P33" i="2"/>
  <c r="P32" i="2"/>
  <c r="P31" i="2"/>
  <c r="P30" i="2"/>
  <c r="P29" i="2"/>
  <c r="P28" i="2"/>
  <c r="P27" i="2"/>
  <c r="P26" i="2"/>
  <c r="P25" i="2"/>
  <c r="P24" i="2"/>
  <c r="P23" i="2"/>
  <c r="P20" i="2"/>
  <c r="P19" i="2"/>
  <c r="P18" i="2"/>
  <c r="P17" i="2"/>
  <c r="P16" i="2"/>
  <c r="P15" i="2"/>
  <c r="P14" i="2"/>
  <c r="P13" i="2"/>
  <c r="P12" i="2"/>
  <c r="P11" i="2"/>
  <c r="P10" i="2"/>
  <c r="P9" i="2"/>
  <c r="P8" i="2"/>
  <c r="P7" i="2"/>
  <c r="P6" i="2"/>
  <c r="M1088" i="2"/>
  <c r="M1087" i="2"/>
  <c r="M1086" i="2"/>
  <c r="M1085" i="2"/>
  <c r="M1084" i="2"/>
  <c r="M1083" i="2"/>
  <c r="M1082" i="2"/>
  <c r="M1081" i="2"/>
  <c r="M1080" i="2"/>
  <c r="M1079" i="2"/>
  <c r="M1078" i="2"/>
  <c r="M1077" i="2"/>
  <c r="M1076" i="2"/>
  <c r="M1075" i="2"/>
  <c r="M1074" i="2"/>
  <c r="M1073" i="2"/>
  <c r="M1072" i="2"/>
  <c r="M1071" i="2"/>
  <c r="M1070" i="2"/>
  <c r="M1069" i="2"/>
  <c r="M1068" i="2"/>
  <c r="M1067" i="2"/>
  <c r="M1066" i="2"/>
  <c r="M1065" i="2"/>
  <c r="M1064" i="2"/>
  <c r="M1063" i="2"/>
  <c r="M1062" i="2"/>
  <c r="M1061" i="2"/>
  <c r="M1060" i="2"/>
  <c r="M1059" i="2"/>
  <c r="M1058" i="2"/>
  <c r="M1057" i="2"/>
  <c r="M1056" i="2"/>
  <c r="M1055" i="2"/>
  <c r="M1054" i="2"/>
  <c r="M1053" i="2"/>
  <c r="M1052" i="2"/>
  <c r="M1051" i="2"/>
  <c r="M1050" i="2"/>
  <c r="M1049" i="2"/>
  <c r="M1048" i="2"/>
  <c r="M1047" i="2"/>
  <c r="M1046" i="2"/>
  <c r="M1045" i="2"/>
  <c r="M1044" i="2"/>
  <c r="M1043" i="2"/>
  <c r="M1042" i="2"/>
  <c r="M1041" i="2"/>
  <c r="M1040" i="2"/>
  <c r="M1039" i="2"/>
  <c r="M1038" i="2"/>
  <c r="M1037" i="2"/>
  <c r="M1036" i="2"/>
  <c r="M1035" i="2"/>
  <c r="M1034" i="2"/>
  <c r="M1033" i="2"/>
  <c r="M1032" i="2"/>
  <c r="M1031" i="2"/>
  <c r="M1030" i="2"/>
  <c r="M1029" i="2"/>
  <c r="M1028" i="2"/>
  <c r="M1027" i="2"/>
  <c r="M1026" i="2"/>
  <c r="M1025" i="2"/>
  <c r="M1024" i="2"/>
  <c r="M1023" i="2"/>
  <c r="M1022" i="2"/>
  <c r="M1021" i="2"/>
  <c r="M1020" i="2"/>
  <c r="M1019" i="2"/>
  <c r="M1018" i="2"/>
  <c r="M1017" i="2"/>
  <c r="M1016" i="2"/>
  <c r="M1015" i="2"/>
  <c r="M1014" i="2"/>
  <c r="M1013" i="2"/>
  <c r="M1012" i="2"/>
  <c r="M1011" i="2"/>
  <c r="M1010" i="2"/>
  <c r="M1009" i="2"/>
  <c r="M1008" i="2"/>
  <c r="M1007" i="2"/>
  <c r="M1006" i="2"/>
  <c r="M1005" i="2"/>
  <c r="M1004" i="2"/>
  <c r="M1003" i="2"/>
  <c r="M1002" i="2"/>
  <c r="M1001" i="2"/>
  <c r="M1000" i="2"/>
  <c r="M999" i="2"/>
  <c r="M998" i="2"/>
  <c r="M997" i="2"/>
  <c r="M996" i="2"/>
  <c r="M995" i="2"/>
  <c r="M994" i="2"/>
  <c r="M993" i="2"/>
  <c r="M992" i="2"/>
  <c r="M991" i="2"/>
  <c r="M990" i="2"/>
  <c r="M989" i="2"/>
  <c r="M988" i="2"/>
  <c r="M987" i="2"/>
  <c r="M986" i="2"/>
  <c r="M985" i="2"/>
  <c r="M984" i="2"/>
  <c r="M983" i="2"/>
  <c r="M982" i="2"/>
  <c r="M981" i="2"/>
  <c r="M980" i="2"/>
  <c r="M979" i="2"/>
  <c r="M978" i="2"/>
  <c r="M977" i="2"/>
  <c r="M976" i="2"/>
  <c r="M975" i="2"/>
  <c r="M974" i="2"/>
  <c r="M973" i="2"/>
  <c r="M972" i="2"/>
  <c r="M971" i="2"/>
  <c r="M970" i="2"/>
  <c r="M969" i="2"/>
  <c r="M968" i="2"/>
  <c r="M967" i="2"/>
  <c r="M966" i="2"/>
  <c r="M965" i="2"/>
  <c r="M964" i="2"/>
  <c r="M963" i="2"/>
  <c r="M962" i="2"/>
  <c r="M961" i="2"/>
  <c r="M960" i="2"/>
  <c r="M959" i="2"/>
  <c r="M958" i="2"/>
  <c r="M957" i="2"/>
  <c r="M956" i="2"/>
  <c r="M955" i="2"/>
  <c r="M954" i="2"/>
  <c r="M953" i="2"/>
  <c r="M952" i="2"/>
  <c r="M951" i="2"/>
  <c r="M950" i="2"/>
  <c r="M949" i="2"/>
  <c r="M948" i="2"/>
  <c r="M947" i="2"/>
  <c r="M946" i="2"/>
  <c r="M945" i="2"/>
  <c r="M944" i="2"/>
  <c r="M943" i="2"/>
  <c r="M942" i="2"/>
  <c r="M941" i="2"/>
  <c r="M940" i="2"/>
  <c r="M939" i="2"/>
  <c r="M938" i="2"/>
  <c r="M937" i="2"/>
  <c r="M936" i="2"/>
  <c r="M935" i="2"/>
  <c r="M934" i="2"/>
  <c r="M933" i="2"/>
  <c r="M932" i="2"/>
  <c r="M931" i="2"/>
  <c r="M930" i="2"/>
  <c r="M929" i="2"/>
  <c r="M928" i="2"/>
  <c r="M927" i="2"/>
  <c r="M926" i="2"/>
  <c r="M925" i="2"/>
  <c r="M924" i="2"/>
  <c r="M923" i="2"/>
  <c r="M922" i="2"/>
  <c r="M921" i="2"/>
  <c r="M920" i="2"/>
  <c r="M919" i="2"/>
  <c r="M918" i="2"/>
  <c r="M917" i="2"/>
  <c r="M916" i="2"/>
  <c r="M915" i="2"/>
  <c r="M914" i="2"/>
  <c r="M913" i="2"/>
  <c r="M912" i="2"/>
  <c r="M911" i="2"/>
  <c r="M910" i="2"/>
  <c r="M909" i="2"/>
  <c r="M908" i="2"/>
  <c r="M907" i="2"/>
  <c r="M906" i="2"/>
  <c r="M905" i="2"/>
  <c r="M904" i="2"/>
  <c r="M903" i="2"/>
  <c r="M902" i="2"/>
  <c r="M901" i="2"/>
  <c r="M900" i="2"/>
  <c r="M899" i="2"/>
  <c r="M898" i="2"/>
  <c r="M897" i="2"/>
  <c r="M896" i="2"/>
  <c r="M895" i="2"/>
  <c r="M894" i="2"/>
  <c r="M893" i="2"/>
  <c r="M892" i="2"/>
  <c r="M891" i="2"/>
  <c r="M890" i="2"/>
  <c r="M889" i="2"/>
  <c r="M888" i="2"/>
  <c r="M887" i="2"/>
  <c r="M886" i="2"/>
  <c r="M885" i="2"/>
  <c r="M884" i="2"/>
  <c r="M883" i="2"/>
  <c r="M882" i="2"/>
  <c r="M881" i="2"/>
  <c r="M880" i="2"/>
  <c r="M879" i="2"/>
  <c r="M878" i="2"/>
  <c r="M877" i="2"/>
  <c r="M876" i="2"/>
  <c r="M875" i="2"/>
  <c r="M874" i="2"/>
  <c r="M873" i="2"/>
  <c r="M872" i="2"/>
  <c r="M871" i="2"/>
  <c r="M870" i="2"/>
  <c r="M869" i="2"/>
  <c r="M868" i="2"/>
  <c r="M867" i="2"/>
  <c r="M866" i="2"/>
  <c r="M865" i="2"/>
  <c r="M864" i="2"/>
  <c r="M863" i="2"/>
  <c r="M862" i="2"/>
  <c r="M861" i="2"/>
  <c r="M860" i="2"/>
  <c r="M859" i="2"/>
  <c r="M858" i="2"/>
  <c r="M857" i="2"/>
  <c r="M856" i="2"/>
  <c r="M855" i="2"/>
  <c r="M854" i="2"/>
  <c r="M853" i="2"/>
  <c r="M852" i="2"/>
  <c r="M851" i="2"/>
  <c r="M850" i="2"/>
  <c r="M849" i="2"/>
  <c r="M848" i="2"/>
  <c r="M847" i="2"/>
  <c r="M846" i="2"/>
  <c r="M845" i="2"/>
  <c r="M844" i="2"/>
  <c r="M843" i="2"/>
  <c r="M842" i="2"/>
  <c r="M841" i="2"/>
  <c r="M840" i="2"/>
  <c r="M839" i="2"/>
  <c r="M838" i="2"/>
  <c r="M837" i="2"/>
  <c r="M836" i="2"/>
  <c r="M835" i="2"/>
  <c r="M834" i="2"/>
  <c r="M833" i="2"/>
  <c r="M832" i="2"/>
  <c r="M831" i="2"/>
  <c r="M830" i="2"/>
  <c r="M829" i="2"/>
  <c r="M828" i="2"/>
  <c r="M827" i="2"/>
  <c r="M826" i="2"/>
  <c r="M825" i="2"/>
  <c r="M824" i="2"/>
  <c r="M823" i="2"/>
  <c r="M822" i="2"/>
  <c r="M821" i="2"/>
  <c r="M820" i="2"/>
  <c r="M819" i="2"/>
  <c r="M818" i="2"/>
  <c r="M817" i="2"/>
  <c r="M816" i="2"/>
  <c r="M815" i="2"/>
  <c r="M814" i="2"/>
  <c r="M813" i="2"/>
  <c r="M812" i="2"/>
  <c r="M811" i="2"/>
  <c r="M810" i="2"/>
  <c r="M809" i="2"/>
  <c r="M808" i="2"/>
  <c r="M807" i="2"/>
  <c r="M806" i="2"/>
  <c r="M805" i="2"/>
  <c r="M804" i="2"/>
  <c r="M803" i="2"/>
  <c r="M802" i="2"/>
  <c r="M801" i="2"/>
  <c r="M800" i="2"/>
  <c r="M799" i="2"/>
  <c r="M798" i="2"/>
  <c r="M797" i="2"/>
  <c r="M796" i="2"/>
  <c r="M795" i="2"/>
  <c r="M794" i="2"/>
  <c r="M793" i="2"/>
  <c r="M792" i="2"/>
  <c r="M791" i="2"/>
  <c r="M790" i="2"/>
  <c r="M789" i="2"/>
  <c r="M788" i="2"/>
  <c r="M787" i="2"/>
  <c r="M786" i="2"/>
  <c r="M785" i="2"/>
  <c r="M784" i="2"/>
  <c r="M783" i="2"/>
  <c r="M782" i="2"/>
  <c r="M781" i="2"/>
  <c r="M780" i="2"/>
  <c r="M779" i="2"/>
  <c r="M778" i="2"/>
  <c r="M777" i="2"/>
  <c r="M776" i="2"/>
  <c r="M775" i="2"/>
  <c r="M774" i="2"/>
  <c r="M773" i="2"/>
  <c r="M772" i="2"/>
  <c r="M771" i="2"/>
  <c r="M770" i="2"/>
  <c r="M769" i="2"/>
  <c r="M768" i="2"/>
  <c r="M767" i="2"/>
  <c r="M766" i="2"/>
  <c r="M765" i="2"/>
  <c r="M764" i="2"/>
  <c r="M763" i="2"/>
  <c r="M762" i="2"/>
  <c r="M761" i="2"/>
  <c r="M760" i="2"/>
  <c r="M759" i="2"/>
  <c r="M758" i="2"/>
  <c r="M757" i="2"/>
  <c r="M756" i="2"/>
  <c r="M755" i="2"/>
  <c r="M754" i="2"/>
  <c r="M753" i="2"/>
  <c r="M752" i="2"/>
  <c r="M751" i="2"/>
  <c r="M750" i="2"/>
  <c r="M749" i="2"/>
  <c r="M748" i="2"/>
  <c r="M747" i="2"/>
  <c r="M746" i="2"/>
  <c r="M745" i="2"/>
  <c r="M744" i="2"/>
  <c r="M743" i="2"/>
  <c r="M742" i="2"/>
  <c r="M741" i="2"/>
  <c r="M740" i="2"/>
  <c r="M739" i="2"/>
  <c r="M738" i="2"/>
  <c r="M737" i="2"/>
  <c r="M736" i="2"/>
  <c r="M735" i="2"/>
  <c r="M734" i="2"/>
  <c r="M733" i="2"/>
  <c r="M732" i="2"/>
  <c r="M731" i="2"/>
  <c r="M730" i="2"/>
  <c r="M729" i="2"/>
  <c r="M728" i="2"/>
  <c r="M727" i="2"/>
  <c r="M726" i="2"/>
  <c r="M725" i="2"/>
  <c r="M724" i="2"/>
  <c r="M723" i="2"/>
  <c r="M722" i="2"/>
  <c r="M721" i="2"/>
  <c r="M720" i="2"/>
  <c r="M719" i="2"/>
  <c r="M718" i="2"/>
  <c r="M717" i="2"/>
  <c r="M716" i="2"/>
  <c r="M715" i="2"/>
  <c r="M714" i="2"/>
  <c r="M713" i="2"/>
  <c r="M712" i="2"/>
  <c r="M711" i="2"/>
  <c r="M710" i="2"/>
  <c r="M709" i="2"/>
  <c r="M708" i="2"/>
  <c r="M707" i="2"/>
  <c r="M706" i="2"/>
  <c r="M705" i="2"/>
  <c r="M704" i="2"/>
  <c r="M703" i="2"/>
  <c r="M702" i="2"/>
  <c r="M701" i="2"/>
  <c r="M700" i="2"/>
  <c r="M699" i="2"/>
  <c r="M698" i="2"/>
  <c r="M697" i="2"/>
  <c r="M696" i="2"/>
  <c r="M695" i="2"/>
  <c r="M694" i="2"/>
  <c r="M693" i="2"/>
  <c r="M692" i="2"/>
  <c r="M691" i="2"/>
  <c r="M690" i="2"/>
  <c r="M689" i="2"/>
  <c r="M688" i="2"/>
  <c r="M687" i="2"/>
  <c r="M686" i="2"/>
  <c r="M685" i="2"/>
  <c r="M684" i="2"/>
  <c r="M683" i="2"/>
  <c r="M682" i="2"/>
  <c r="M681" i="2"/>
  <c r="M680" i="2"/>
  <c r="M679" i="2"/>
  <c r="M678" i="2"/>
  <c r="M677" i="2"/>
  <c r="M676" i="2"/>
  <c r="M675" i="2"/>
  <c r="M674" i="2"/>
  <c r="M673" i="2"/>
  <c r="M672" i="2"/>
  <c r="M671" i="2"/>
  <c r="M670" i="2"/>
  <c r="M669" i="2"/>
  <c r="M668" i="2"/>
  <c r="M667" i="2"/>
  <c r="M666" i="2"/>
  <c r="M665" i="2"/>
  <c r="M664" i="2"/>
  <c r="M663" i="2"/>
  <c r="M662" i="2"/>
  <c r="M661" i="2"/>
  <c r="M660" i="2"/>
  <c r="M659" i="2"/>
  <c r="M658" i="2"/>
  <c r="M657" i="2"/>
  <c r="M656" i="2"/>
  <c r="M655" i="2"/>
  <c r="M654" i="2"/>
  <c r="M653" i="2"/>
  <c r="M652" i="2"/>
  <c r="M651" i="2"/>
  <c r="M650" i="2"/>
  <c r="M649" i="2"/>
  <c r="M648" i="2"/>
  <c r="M647" i="2"/>
  <c r="M646" i="2"/>
  <c r="M645" i="2"/>
  <c r="M644" i="2"/>
  <c r="M643" i="2"/>
  <c r="M642" i="2"/>
  <c r="M641" i="2"/>
  <c r="M640" i="2"/>
  <c r="M639" i="2"/>
  <c r="M638" i="2"/>
  <c r="M637" i="2"/>
  <c r="M636" i="2"/>
  <c r="M635" i="2"/>
  <c r="M634" i="2"/>
  <c r="M633" i="2"/>
  <c r="M632" i="2"/>
  <c r="M631" i="2"/>
  <c r="M630" i="2"/>
  <c r="M629" i="2"/>
  <c r="M628" i="2"/>
  <c r="M627" i="2"/>
  <c r="M626" i="2"/>
  <c r="M625" i="2"/>
  <c r="M624" i="2"/>
  <c r="M623" i="2"/>
  <c r="M622" i="2"/>
  <c r="M621" i="2"/>
  <c r="M620" i="2"/>
  <c r="M619" i="2"/>
  <c r="M618" i="2"/>
  <c r="M617" i="2"/>
  <c r="M616" i="2"/>
  <c r="M615" i="2"/>
  <c r="M614" i="2"/>
  <c r="M613" i="2"/>
  <c r="M612" i="2"/>
  <c r="M611" i="2"/>
  <c r="M610" i="2"/>
  <c r="M609" i="2"/>
  <c r="M608" i="2"/>
  <c r="M607" i="2"/>
  <c r="M606" i="2"/>
  <c r="M605" i="2"/>
  <c r="M604" i="2"/>
  <c r="M603" i="2"/>
  <c r="M602" i="2"/>
  <c r="M601" i="2"/>
  <c r="M600" i="2"/>
  <c r="M599" i="2"/>
  <c r="M598" i="2"/>
  <c r="M597" i="2"/>
  <c r="M596" i="2"/>
  <c r="M595" i="2"/>
  <c r="M594" i="2"/>
  <c r="M593" i="2"/>
  <c r="M592" i="2"/>
  <c r="M591" i="2"/>
  <c r="M590" i="2"/>
  <c r="M589" i="2"/>
  <c r="M588" i="2"/>
  <c r="M587" i="2"/>
  <c r="M586" i="2"/>
  <c r="M585" i="2"/>
  <c r="M584" i="2"/>
  <c r="M583" i="2"/>
  <c r="M582" i="2"/>
  <c r="M581" i="2"/>
  <c r="M580" i="2"/>
  <c r="M579" i="2"/>
  <c r="M578" i="2"/>
  <c r="M577" i="2"/>
  <c r="M576" i="2"/>
  <c r="M575" i="2"/>
  <c r="M574" i="2"/>
  <c r="M573" i="2"/>
  <c r="M572" i="2"/>
  <c r="M571" i="2"/>
  <c r="M570" i="2"/>
  <c r="M569" i="2"/>
  <c r="M568" i="2"/>
  <c r="M567" i="2"/>
  <c r="M566" i="2"/>
  <c r="M565" i="2"/>
  <c r="M564" i="2"/>
  <c r="M563" i="2"/>
  <c r="M562" i="2"/>
  <c r="M561" i="2"/>
  <c r="M560" i="2"/>
  <c r="M559" i="2"/>
  <c r="M558" i="2"/>
  <c r="M557" i="2"/>
  <c r="M556" i="2"/>
  <c r="M555" i="2"/>
  <c r="M554" i="2"/>
  <c r="M553" i="2"/>
  <c r="M552" i="2"/>
  <c r="M551" i="2"/>
  <c r="M550" i="2"/>
  <c r="M549" i="2"/>
  <c r="M548" i="2"/>
  <c r="M547" i="2"/>
  <c r="M546" i="2"/>
  <c r="M545" i="2"/>
  <c r="M544" i="2"/>
  <c r="M543" i="2"/>
  <c r="M542" i="2"/>
  <c r="M541" i="2"/>
  <c r="M540" i="2"/>
  <c r="M539" i="2"/>
  <c r="M538" i="2"/>
  <c r="M537" i="2"/>
  <c r="M536" i="2"/>
  <c r="M535" i="2"/>
  <c r="M534" i="2"/>
  <c r="M533" i="2"/>
  <c r="M532" i="2"/>
  <c r="M531" i="2"/>
  <c r="M530" i="2"/>
  <c r="M529" i="2"/>
  <c r="M528" i="2"/>
  <c r="M527" i="2"/>
  <c r="M526" i="2"/>
  <c r="M525" i="2"/>
  <c r="M524" i="2"/>
  <c r="M523" i="2"/>
  <c r="M522" i="2"/>
  <c r="M521" i="2"/>
  <c r="M520" i="2"/>
  <c r="M519" i="2"/>
  <c r="M518" i="2"/>
  <c r="M517" i="2"/>
  <c r="M516" i="2"/>
  <c r="M515" i="2"/>
  <c r="M514" i="2"/>
  <c r="M513" i="2"/>
  <c r="M512" i="2"/>
  <c r="M511" i="2"/>
  <c r="M510" i="2"/>
  <c r="M509" i="2"/>
  <c r="M508" i="2"/>
  <c r="M507" i="2"/>
  <c r="M506" i="2"/>
  <c r="M505" i="2"/>
  <c r="M504" i="2"/>
  <c r="M503" i="2"/>
  <c r="M502" i="2"/>
  <c r="M501" i="2"/>
  <c r="M500" i="2"/>
  <c r="M499" i="2"/>
  <c r="M498" i="2"/>
  <c r="M497" i="2"/>
  <c r="M496" i="2"/>
  <c r="M495" i="2"/>
  <c r="M494" i="2"/>
  <c r="M493" i="2"/>
  <c r="M492" i="2"/>
  <c r="M491" i="2"/>
  <c r="M490" i="2"/>
  <c r="M489" i="2"/>
  <c r="M488" i="2"/>
  <c r="M487" i="2"/>
  <c r="M486" i="2"/>
  <c r="M485" i="2"/>
  <c r="M484" i="2"/>
  <c r="M483" i="2"/>
  <c r="M482" i="2"/>
  <c r="M481" i="2"/>
  <c r="M480" i="2"/>
  <c r="M479" i="2"/>
  <c r="M478" i="2"/>
  <c r="M477" i="2"/>
  <c r="M476" i="2"/>
  <c r="M475" i="2"/>
  <c r="M474" i="2"/>
  <c r="M473" i="2"/>
  <c r="M472" i="2"/>
  <c r="M471" i="2"/>
  <c r="M470" i="2"/>
  <c r="M469" i="2"/>
  <c r="M468" i="2"/>
  <c r="M467" i="2"/>
  <c r="M466" i="2"/>
  <c r="M465" i="2"/>
  <c r="M464" i="2"/>
  <c r="M463" i="2"/>
  <c r="M462" i="2"/>
  <c r="M461" i="2"/>
  <c r="M460" i="2"/>
  <c r="M459" i="2"/>
  <c r="M458" i="2"/>
  <c r="M457" i="2"/>
  <c r="M456" i="2"/>
  <c r="M455" i="2"/>
  <c r="M454" i="2"/>
  <c r="M453" i="2"/>
  <c r="M452" i="2"/>
  <c r="M451" i="2"/>
  <c r="M450" i="2"/>
  <c r="M449" i="2"/>
  <c r="M448" i="2"/>
  <c r="M447" i="2"/>
  <c r="M446" i="2"/>
  <c r="M445" i="2"/>
  <c r="M444" i="2"/>
  <c r="M443" i="2"/>
  <c r="M442" i="2"/>
  <c r="M441" i="2"/>
  <c r="M440" i="2"/>
  <c r="M439" i="2"/>
  <c r="M438" i="2"/>
  <c r="M437" i="2"/>
  <c r="M436" i="2"/>
  <c r="M435" i="2"/>
  <c r="M434" i="2"/>
  <c r="M433" i="2"/>
  <c r="M432" i="2"/>
  <c r="M431" i="2"/>
  <c r="M430" i="2"/>
  <c r="M429" i="2"/>
  <c r="M428" i="2"/>
  <c r="M427" i="2"/>
  <c r="M426" i="2"/>
  <c r="M425" i="2"/>
  <c r="M424" i="2"/>
  <c r="M423" i="2"/>
  <c r="M422" i="2"/>
  <c r="M421" i="2"/>
  <c r="M420" i="2"/>
  <c r="M419" i="2"/>
  <c r="M418" i="2"/>
  <c r="M417" i="2"/>
  <c r="M416" i="2"/>
  <c r="M415" i="2"/>
  <c r="M414" i="2"/>
  <c r="M413" i="2"/>
  <c r="M412" i="2"/>
  <c r="M411" i="2"/>
  <c r="M410" i="2"/>
  <c r="M409" i="2"/>
  <c r="M408" i="2"/>
  <c r="M407" i="2"/>
  <c r="M406" i="2"/>
  <c r="M405" i="2"/>
  <c r="M404" i="2"/>
  <c r="M403" i="2"/>
  <c r="M402" i="2"/>
  <c r="M401" i="2"/>
  <c r="M400" i="2"/>
  <c r="M399" i="2"/>
  <c r="M398" i="2"/>
  <c r="M397" i="2"/>
  <c r="M396" i="2"/>
  <c r="M395" i="2"/>
  <c r="M394" i="2"/>
  <c r="M393" i="2"/>
  <c r="M392" i="2"/>
  <c r="M391" i="2"/>
  <c r="M390" i="2"/>
  <c r="M389" i="2"/>
  <c r="M388" i="2"/>
  <c r="M387" i="2"/>
  <c r="M386" i="2"/>
  <c r="M385" i="2"/>
  <c r="M384" i="2"/>
  <c r="M383" i="2"/>
  <c r="M382" i="2"/>
  <c r="M381" i="2"/>
  <c r="M380" i="2"/>
  <c r="M379" i="2"/>
  <c r="M378" i="2"/>
  <c r="M377" i="2"/>
  <c r="M376" i="2"/>
  <c r="M375" i="2"/>
  <c r="M374" i="2"/>
  <c r="M373" i="2"/>
  <c r="M372" i="2"/>
  <c r="M371" i="2"/>
  <c r="M370" i="2"/>
  <c r="M369" i="2"/>
  <c r="M368" i="2"/>
  <c r="M367" i="2"/>
  <c r="M366" i="2"/>
  <c r="M365" i="2"/>
  <c r="M364" i="2"/>
  <c r="M363" i="2"/>
  <c r="M362" i="2"/>
  <c r="M361" i="2"/>
  <c r="M360" i="2"/>
  <c r="M359" i="2"/>
  <c r="M358" i="2"/>
  <c r="M357" i="2"/>
  <c r="M356" i="2"/>
  <c r="M355" i="2"/>
  <c r="M354" i="2"/>
  <c r="M353" i="2"/>
  <c r="M352" i="2"/>
  <c r="M351" i="2"/>
  <c r="M350" i="2"/>
  <c r="M349" i="2"/>
  <c r="M348" i="2"/>
  <c r="M347" i="2"/>
  <c r="M346" i="2"/>
  <c r="M345" i="2"/>
  <c r="M344" i="2"/>
  <c r="M343" i="2"/>
  <c r="M342" i="2"/>
  <c r="M341" i="2"/>
  <c r="M340" i="2"/>
  <c r="M339" i="2"/>
  <c r="M338" i="2"/>
  <c r="M337" i="2"/>
  <c r="M336" i="2"/>
  <c r="M335" i="2"/>
  <c r="M334" i="2"/>
  <c r="M333" i="2"/>
  <c r="M332" i="2"/>
  <c r="M331" i="2"/>
  <c r="M330" i="2"/>
  <c r="M329" i="2"/>
  <c r="M328" i="2"/>
  <c r="M327" i="2"/>
  <c r="M326" i="2"/>
  <c r="M325" i="2"/>
  <c r="M324" i="2"/>
  <c r="M323" i="2"/>
  <c r="M322" i="2"/>
  <c r="M321" i="2"/>
  <c r="M320" i="2"/>
  <c r="M319" i="2"/>
  <c r="M318" i="2"/>
  <c r="M317" i="2"/>
  <c r="M316" i="2"/>
  <c r="M315" i="2"/>
  <c r="M314" i="2"/>
  <c r="M313" i="2"/>
  <c r="M312" i="2"/>
  <c r="M311" i="2"/>
  <c r="M310" i="2"/>
  <c r="M309" i="2"/>
  <c r="M308" i="2"/>
  <c r="M307" i="2"/>
  <c r="M306" i="2"/>
  <c r="M305" i="2"/>
  <c r="M304" i="2"/>
  <c r="M303" i="2"/>
  <c r="M302" i="2"/>
  <c r="M301" i="2"/>
  <c r="M300" i="2"/>
  <c r="M299" i="2"/>
  <c r="M298" i="2"/>
  <c r="M297" i="2"/>
  <c r="M296" i="2"/>
  <c r="M295" i="2"/>
  <c r="M294" i="2"/>
  <c r="M293" i="2"/>
  <c r="M292" i="2"/>
  <c r="M291" i="2"/>
  <c r="M290" i="2"/>
  <c r="M289" i="2"/>
  <c r="M288" i="2"/>
  <c r="M287" i="2"/>
  <c r="M286" i="2"/>
  <c r="M285" i="2"/>
  <c r="M284" i="2"/>
  <c r="M283" i="2"/>
  <c r="M282" i="2"/>
  <c r="M281" i="2"/>
  <c r="M280" i="2"/>
  <c r="M279" i="2"/>
  <c r="M278" i="2"/>
  <c r="M277" i="2"/>
  <c r="M276" i="2"/>
  <c r="M275" i="2"/>
  <c r="M274" i="2"/>
  <c r="M273" i="2"/>
  <c r="M272" i="2"/>
  <c r="M271" i="2"/>
  <c r="M270" i="2"/>
  <c r="M269" i="2"/>
  <c r="M268" i="2"/>
  <c r="M267" i="2"/>
  <c r="M266" i="2"/>
  <c r="M265" i="2"/>
  <c r="M264" i="2"/>
  <c r="M263" i="2"/>
  <c r="M262" i="2"/>
  <c r="M261" i="2"/>
  <c r="M260" i="2"/>
  <c r="M259" i="2"/>
  <c r="M258" i="2"/>
  <c r="M257" i="2"/>
  <c r="M256" i="2"/>
  <c r="M255" i="2"/>
  <c r="M254" i="2"/>
  <c r="M253" i="2"/>
  <c r="M252" i="2"/>
  <c r="M251" i="2"/>
  <c r="M250" i="2"/>
  <c r="M249" i="2"/>
  <c r="M248" i="2"/>
  <c r="M247" i="2"/>
  <c r="M246" i="2"/>
  <c r="M245" i="2"/>
  <c r="M244" i="2"/>
  <c r="M243" i="2"/>
  <c r="M242" i="2"/>
  <c r="M241" i="2"/>
  <c r="M240" i="2"/>
  <c r="M239" i="2"/>
  <c r="M238" i="2"/>
  <c r="M237" i="2"/>
  <c r="M236" i="2"/>
  <c r="M235" i="2"/>
  <c r="M234" i="2"/>
  <c r="M233" i="2"/>
  <c r="M232" i="2"/>
  <c r="M231" i="2"/>
  <c r="M230" i="2"/>
  <c r="M229" i="2"/>
  <c r="M228" i="2"/>
  <c r="M227" i="2"/>
  <c r="M226" i="2"/>
  <c r="M225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M212" i="2"/>
  <c r="M211" i="2"/>
  <c r="M210" i="2"/>
  <c r="M209" i="2"/>
  <c r="M208" i="2"/>
  <c r="M207" i="2"/>
  <c r="M206" i="2"/>
  <c r="M205" i="2"/>
  <c r="M204" i="2"/>
  <c r="M203" i="2"/>
  <c r="M202" i="2"/>
  <c r="M201" i="2"/>
  <c r="M200" i="2"/>
  <c r="M199" i="2"/>
  <c r="M198" i="2"/>
  <c r="M197" i="2"/>
  <c r="M196" i="2"/>
  <c r="M195" i="2"/>
  <c r="M194" i="2"/>
  <c r="M193" i="2"/>
  <c r="M192" i="2"/>
  <c r="M191" i="2"/>
  <c r="M190" i="2"/>
  <c r="M189" i="2"/>
  <c r="M188" i="2"/>
  <c r="M187" i="2"/>
  <c r="M186" i="2"/>
  <c r="M185" i="2"/>
  <c r="M184" i="2"/>
  <c r="M183" i="2"/>
  <c r="M182" i="2"/>
  <c r="M181" i="2"/>
  <c r="M180" i="2"/>
  <c r="M179" i="2"/>
  <c r="M178" i="2"/>
  <c r="M177" i="2"/>
  <c r="M176" i="2"/>
  <c r="M175" i="2"/>
  <c r="M174" i="2"/>
  <c r="M173" i="2"/>
  <c r="M172" i="2"/>
  <c r="M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M153" i="2"/>
  <c r="M152" i="2"/>
  <c r="M151" i="2"/>
  <c r="M150" i="2"/>
  <c r="M149" i="2"/>
  <c r="M148" i="2"/>
  <c r="M147" i="2"/>
  <c r="M146" i="2"/>
  <c r="M145" i="2"/>
  <c r="M144" i="2"/>
  <c r="M143" i="2"/>
  <c r="M142" i="2"/>
  <c r="M141" i="2"/>
  <c r="M140" i="2"/>
  <c r="M139" i="2"/>
  <c r="M138" i="2"/>
  <c r="M137" i="2"/>
  <c r="M136" i="2"/>
  <c r="M135" i="2"/>
  <c r="M134" i="2"/>
  <c r="M133" i="2"/>
  <c r="M132" i="2"/>
  <c r="M131" i="2"/>
  <c r="M130" i="2"/>
  <c r="M129" i="2"/>
  <c r="M128" i="2"/>
  <c r="M127" i="2"/>
  <c r="M126" i="2"/>
  <c r="M125" i="2"/>
  <c r="M124" i="2"/>
  <c r="M123" i="2"/>
  <c r="M122" i="2"/>
  <c r="M121" i="2"/>
  <c r="M120" i="2"/>
  <c r="M119" i="2"/>
  <c r="M118" i="2"/>
  <c r="M117" i="2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L1088" i="2"/>
  <c r="L1087" i="2"/>
  <c r="L1086" i="2"/>
  <c r="L1085" i="2"/>
  <c r="L1084" i="2"/>
  <c r="L1083" i="2"/>
  <c r="L1082" i="2"/>
  <c r="L1081" i="2"/>
  <c r="L1080" i="2"/>
  <c r="L1079" i="2"/>
  <c r="L1078" i="2"/>
  <c r="L1077" i="2"/>
  <c r="L1076" i="2"/>
  <c r="L1075" i="2"/>
  <c r="L1074" i="2"/>
  <c r="L1073" i="2"/>
  <c r="L1072" i="2"/>
  <c r="L1071" i="2"/>
  <c r="L1070" i="2"/>
  <c r="L1069" i="2"/>
  <c r="L1068" i="2"/>
  <c r="L1067" i="2"/>
  <c r="L1066" i="2"/>
  <c r="L1065" i="2"/>
  <c r="L1064" i="2"/>
  <c r="L1063" i="2"/>
  <c r="L1062" i="2"/>
  <c r="L1061" i="2"/>
  <c r="L1060" i="2"/>
  <c r="L1059" i="2"/>
  <c r="L1058" i="2"/>
  <c r="L1057" i="2"/>
  <c r="L1056" i="2"/>
  <c r="L1055" i="2"/>
  <c r="L1054" i="2"/>
  <c r="L1053" i="2"/>
  <c r="L1052" i="2"/>
  <c r="L1051" i="2"/>
  <c r="L1050" i="2"/>
  <c r="L1049" i="2"/>
  <c r="L1048" i="2"/>
  <c r="L1047" i="2"/>
  <c r="L1046" i="2"/>
  <c r="L1045" i="2"/>
  <c r="L1044" i="2"/>
  <c r="L1043" i="2"/>
  <c r="L1042" i="2"/>
  <c r="L1041" i="2"/>
  <c r="L1040" i="2"/>
  <c r="L1039" i="2"/>
  <c r="L1038" i="2"/>
  <c r="L1037" i="2"/>
  <c r="L1036" i="2"/>
  <c r="L1035" i="2"/>
  <c r="L1034" i="2"/>
  <c r="L1033" i="2"/>
  <c r="L1032" i="2"/>
  <c r="L1031" i="2"/>
  <c r="L1030" i="2"/>
  <c r="L1029" i="2"/>
  <c r="L1028" i="2"/>
  <c r="L1027" i="2"/>
  <c r="L1026" i="2"/>
  <c r="L1025" i="2"/>
  <c r="L1024" i="2"/>
  <c r="L1023" i="2"/>
  <c r="L1022" i="2"/>
  <c r="L1021" i="2"/>
  <c r="L1020" i="2"/>
  <c r="L1019" i="2"/>
  <c r="L1018" i="2"/>
  <c r="L1017" i="2"/>
  <c r="L1016" i="2"/>
  <c r="L1015" i="2"/>
  <c r="L1014" i="2"/>
  <c r="L1013" i="2"/>
  <c r="L1012" i="2"/>
  <c r="L1011" i="2"/>
  <c r="L1010" i="2"/>
  <c r="L1009" i="2"/>
  <c r="L1008" i="2"/>
  <c r="L1007" i="2"/>
  <c r="L1006" i="2"/>
  <c r="L1005" i="2"/>
  <c r="L1004" i="2"/>
  <c r="L1003" i="2"/>
  <c r="L1002" i="2"/>
  <c r="L1001" i="2"/>
  <c r="L1000" i="2"/>
  <c r="L999" i="2"/>
  <c r="L998" i="2"/>
  <c r="L997" i="2"/>
  <c r="L996" i="2"/>
  <c r="L995" i="2"/>
  <c r="L994" i="2"/>
  <c r="L993" i="2"/>
  <c r="L992" i="2"/>
  <c r="L991" i="2"/>
  <c r="L990" i="2"/>
  <c r="L989" i="2"/>
  <c r="L988" i="2"/>
  <c r="L987" i="2"/>
  <c r="L986" i="2"/>
  <c r="L985" i="2"/>
  <c r="L984" i="2"/>
  <c r="L983" i="2"/>
  <c r="L982" i="2"/>
  <c r="L981" i="2"/>
  <c r="L980" i="2"/>
  <c r="L979" i="2"/>
  <c r="L978" i="2"/>
  <c r="L977" i="2"/>
  <c r="L976" i="2"/>
  <c r="L975" i="2"/>
  <c r="L974" i="2"/>
  <c r="L973" i="2"/>
  <c r="L972" i="2"/>
  <c r="L971" i="2"/>
  <c r="L970" i="2"/>
  <c r="L969" i="2"/>
  <c r="L968" i="2"/>
  <c r="L967" i="2"/>
  <c r="L966" i="2"/>
  <c r="L965" i="2"/>
  <c r="L964" i="2"/>
  <c r="L963" i="2"/>
  <c r="L962" i="2"/>
  <c r="L961" i="2"/>
  <c r="L960" i="2"/>
  <c r="L959" i="2"/>
  <c r="L958" i="2"/>
  <c r="L957" i="2"/>
  <c r="L956" i="2"/>
  <c r="L955" i="2"/>
  <c r="L954" i="2"/>
  <c r="L953" i="2"/>
  <c r="L952" i="2"/>
  <c r="L951" i="2"/>
  <c r="L950" i="2"/>
  <c r="L949" i="2"/>
  <c r="L948" i="2"/>
  <c r="L947" i="2"/>
  <c r="L946" i="2"/>
  <c r="L945" i="2"/>
  <c r="L944" i="2"/>
  <c r="L943" i="2"/>
  <c r="L942" i="2"/>
  <c r="L941" i="2"/>
  <c r="L940" i="2"/>
  <c r="L939" i="2"/>
  <c r="L938" i="2"/>
  <c r="L937" i="2"/>
  <c r="L936" i="2"/>
  <c r="L935" i="2"/>
  <c r="L934" i="2"/>
  <c r="L933" i="2"/>
  <c r="L932" i="2"/>
  <c r="L931" i="2"/>
  <c r="L930" i="2"/>
  <c r="L929" i="2"/>
  <c r="L928" i="2"/>
  <c r="L927" i="2"/>
  <c r="L926" i="2"/>
  <c r="L925" i="2"/>
  <c r="L924" i="2"/>
  <c r="L923" i="2"/>
  <c r="L922" i="2"/>
  <c r="L921" i="2"/>
  <c r="L920" i="2"/>
  <c r="L919" i="2"/>
  <c r="L918" i="2"/>
  <c r="L917" i="2"/>
  <c r="L916" i="2"/>
  <c r="L915" i="2"/>
  <c r="L914" i="2"/>
  <c r="L913" i="2"/>
  <c r="L912" i="2"/>
  <c r="L911" i="2"/>
  <c r="L910" i="2"/>
  <c r="L909" i="2"/>
  <c r="L908" i="2"/>
  <c r="L907" i="2"/>
  <c r="L906" i="2"/>
  <c r="L905" i="2"/>
  <c r="L904" i="2"/>
  <c r="L903" i="2"/>
  <c r="L902" i="2"/>
  <c r="L901" i="2"/>
  <c r="L900" i="2"/>
  <c r="L899" i="2"/>
  <c r="L898" i="2"/>
  <c r="L897" i="2"/>
  <c r="L896" i="2"/>
  <c r="L895" i="2"/>
  <c r="L894" i="2"/>
  <c r="L893" i="2"/>
  <c r="L892" i="2"/>
  <c r="L891" i="2"/>
  <c r="L890" i="2"/>
  <c r="L889" i="2"/>
  <c r="L888" i="2"/>
  <c r="L887" i="2"/>
  <c r="L886" i="2"/>
  <c r="L885" i="2"/>
  <c r="L884" i="2"/>
  <c r="L883" i="2"/>
  <c r="L882" i="2"/>
  <c r="L881" i="2"/>
  <c r="L880" i="2"/>
  <c r="L879" i="2"/>
  <c r="L878" i="2"/>
  <c r="L877" i="2"/>
  <c r="L876" i="2"/>
  <c r="L875" i="2"/>
  <c r="L874" i="2"/>
  <c r="L873" i="2"/>
  <c r="L872" i="2"/>
  <c r="L871" i="2"/>
  <c r="L870" i="2"/>
  <c r="L869" i="2"/>
  <c r="L868" i="2"/>
  <c r="L867" i="2"/>
  <c r="L866" i="2"/>
  <c r="L865" i="2"/>
  <c r="L864" i="2"/>
  <c r="L863" i="2"/>
  <c r="L862" i="2"/>
  <c r="L861" i="2"/>
  <c r="L860" i="2"/>
  <c r="L859" i="2"/>
  <c r="L858" i="2"/>
  <c r="L857" i="2"/>
  <c r="L856" i="2"/>
  <c r="L855" i="2"/>
  <c r="L854" i="2"/>
  <c r="L853" i="2"/>
  <c r="L852" i="2"/>
  <c r="L851" i="2"/>
  <c r="L850" i="2"/>
  <c r="L849" i="2"/>
  <c r="L848" i="2"/>
  <c r="L847" i="2"/>
  <c r="L846" i="2"/>
  <c r="L845" i="2"/>
  <c r="L844" i="2"/>
  <c r="L843" i="2"/>
  <c r="L842" i="2"/>
  <c r="L841" i="2"/>
  <c r="L840" i="2"/>
  <c r="L839" i="2"/>
  <c r="L838" i="2"/>
  <c r="L837" i="2"/>
  <c r="L836" i="2"/>
  <c r="L835" i="2"/>
  <c r="L834" i="2"/>
  <c r="L833" i="2"/>
  <c r="L832" i="2"/>
  <c r="L831" i="2"/>
  <c r="L830" i="2"/>
  <c r="L829" i="2"/>
  <c r="L828" i="2"/>
  <c r="L827" i="2"/>
  <c r="L826" i="2"/>
  <c r="L825" i="2"/>
  <c r="L824" i="2"/>
  <c r="L823" i="2"/>
  <c r="L822" i="2"/>
  <c r="L821" i="2"/>
  <c r="L820" i="2"/>
  <c r="L819" i="2"/>
  <c r="L818" i="2"/>
  <c r="L817" i="2"/>
  <c r="L816" i="2"/>
  <c r="L815" i="2"/>
  <c r="L814" i="2"/>
  <c r="L813" i="2"/>
  <c r="L812" i="2"/>
  <c r="L811" i="2"/>
  <c r="L810" i="2"/>
  <c r="L809" i="2"/>
  <c r="L808" i="2"/>
  <c r="L807" i="2"/>
  <c r="L806" i="2"/>
  <c r="L805" i="2"/>
  <c r="L804" i="2"/>
  <c r="L803" i="2"/>
  <c r="L802" i="2"/>
  <c r="L801" i="2"/>
  <c r="L800" i="2"/>
  <c r="L799" i="2"/>
  <c r="L798" i="2"/>
  <c r="L797" i="2"/>
  <c r="L796" i="2"/>
  <c r="L795" i="2"/>
  <c r="L794" i="2"/>
  <c r="L793" i="2"/>
  <c r="L792" i="2"/>
  <c r="L791" i="2"/>
  <c r="L790" i="2"/>
  <c r="L789" i="2"/>
  <c r="L788" i="2"/>
  <c r="L787" i="2"/>
  <c r="L786" i="2"/>
  <c r="L785" i="2"/>
  <c r="L784" i="2"/>
  <c r="L783" i="2"/>
  <c r="L782" i="2"/>
  <c r="L781" i="2"/>
  <c r="L780" i="2"/>
  <c r="L779" i="2"/>
  <c r="L778" i="2"/>
  <c r="L777" i="2"/>
  <c r="L776" i="2"/>
  <c r="L775" i="2"/>
  <c r="L774" i="2"/>
  <c r="L773" i="2"/>
  <c r="L772" i="2"/>
  <c r="L771" i="2"/>
  <c r="L770" i="2"/>
  <c r="L769" i="2"/>
  <c r="L768" i="2"/>
  <c r="L767" i="2"/>
  <c r="L766" i="2"/>
  <c r="L765" i="2"/>
  <c r="L764" i="2"/>
  <c r="L763" i="2"/>
  <c r="L762" i="2"/>
  <c r="L761" i="2"/>
  <c r="L760" i="2"/>
  <c r="L759" i="2"/>
  <c r="L758" i="2"/>
  <c r="L757" i="2"/>
  <c r="L756" i="2"/>
  <c r="L755" i="2"/>
  <c r="L754" i="2"/>
  <c r="L753" i="2"/>
  <c r="L752" i="2"/>
  <c r="L751" i="2"/>
  <c r="L750" i="2"/>
  <c r="L749" i="2"/>
  <c r="L748" i="2"/>
  <c r="L747" i="2"/>
  <c r="L746" i="2"/>
  <c r="L745" i="2"/>
  <c r="L744" i="2"/>
  <c r="L743" i="2"/>
  <c r="L742" i="2"/>
  <c r="L741" i="2"/>
  <c r="L740" i="2"/>
  <c r="L739" i="2"/>
  <c r="L738" i="2"/>
  <c r="L737" i="2"/>
  <c r="L736" i="2"/>
  <c r="L735" i="2"/>
  <c r="L734" i="2"/>
  <c r="L733" i="2"/>
  <c r="L732" i="2"/>
  <c r="L731" i="2"/>
  <c r="L730" i="2"/>
  <c r="L729" i="2"/>
  <c r="L728" i="2"/>
  <c r="L727" i="2"/>
  <c r="L726" i="2"/>
  <c r="L725" i="2"/>
  <c r="L724" i="2"/>
  <c r="L723" i="2"/>
  <c r="L722" i="2"/>
  <c r="L721" i="2"/>
  <c r="L720" i="2"/>
  <c r="L719" i="2"/>
  <c r="L718" i="2"/>
  <c r="L717" i="2"/>
  <c r="L716" i="2"/>
  <c r="L715" i="2"/>
  <c r="L714" i="2"/>
  <c r="L713" i="2"/>
  <c r="L712" i="2"/>
  <c r="L711" i="2"/>
  <c r="L710" i="2"/>
  <c r="L709" i="2"/>
  <c r="L708" i="2"/>
  <c r="L707" i="2"/>
  <c r="L706" i="2"/>
  <c r="L705" i="2"/>
  <c r="L704" i="2"/>
  <c r="L703" i="2"/>
  <c r="L702" i="2"/>
  <c r="L701" i="2"/>
  <c r="L700" i="2"/>
  <c r="L699" i="2"/>
  <c r="L698" i="2"/>
  <c r="L697" i="2"/>
  <c r="L696" i="2"/>
  <c r="L695" i="2"/>
  <c r="L694" i="2"/>
  <c r="L693" i="2"/>
  <c r="L692" i="2"/>
  <c r="L691" i="2"/>
  <c r="L690" i="2"/>
  <c r="L689" i="2"/>
  <c r="L688" i="2"/>
  <c r="L687" i="2"/>
  <c r="L686" i="2"/>
  <c r="L685" i="2"/>
  <c r="L684" i="2"/>
  <c r="L683" i="2"/>
  <c r="L682" i="2"/>
  <c r="L681" i="2"/>
  <c r="L680" i="2"/>
  <c r="L679" i="2"/>
  <c r="L678" i="2"/>
  <c r="L677" i="2"/>
  <c r="L676" i="2"/>
  <c r="L675" i="2"/>
  <c r="L674" i="2"/>
  <c r="L673" i="2"/>
  <c r="L672" i="2"/>
  <c r="L671" i="2"/>
  <c r="L670" i="2"/>
  <c r="L669" i="2"/>
  <c r="L668" i="2"/>
  <c r="L667" i="2"/>
  <c r="L666" i="2"/>
  <c r="L665" i="2"/>
  <c r="L664" i="2"/>
  <c r="L663" i="2"/>
  <c r="L662" i="2"/>
  <c r="L661" i="2"/>
  <c r="L660" i="2"/>
  <c r="L659" i="2"/>
  <c r="L658" i="2"/>
  <c r="L657" i="2"/>
  <c r="L656" i="2"/>
  <c r="L655" i="2"/>
  <c r="L654" i="2"/>
  <c r="L653" i="2"/>
  <c r="L652" i="2"/>
  <c r="L651" i="2"/>
  <c r="L650" i="2"/>
  <c r="L649" i="2"/>
  <c r="L648" i="2"/>
  <c r="L647" i="2"/>
  <c r="L646" i="2"/>
  <c r="L645" i="2"/>
  <c r="L644" i="2"/>
  <c r="L643" i="2"/>
  <c r="L642" i="2"/>
  <c r="L641" i="2"/>
  <c r="L640" i="2"/>
  <c r="L639" i="2"/>
  <c r="L638" i="2"/>
  <c r="L637" i="2"/>
  <c r="L636" i="2"/>
  <c r="L635" i="2"/>
  <c r="L634" i="2"/>
  <c r="L633" i="2"/>
  <c r="L632" i="2"/>
  <c r="L631" i="2"/>
  <c r="L630" i="2"/>
  <c r="L629" i="2"/>
  <c r="L628" i="2"/>
  <c r="L627" i="2"/>
  <c r="L626" i="2"/>
  <c r="L625" i="2"/>
  <c r="L624" i="2"/>
  <c r="L623" i="2"/>
  <c r="L622" i="2"/>
  <c r="L621" i="2"/>
  <c r="L620" i="2"/>
  <c r="L619" i="2"/>
  <c r="L618" i="2"/>
  <c r="L617" i="2"/>
  <c r="L616" i="2"/>
  <c r="L615" i="2"/>
  <c r="L614" i="2"/>
  <c r="L613" i="2"/>
  <c r="L612" i="2"/>
  <c r="L611" i="2"/>
  <c r="L610" i="2"/>
  <c r="L609" i="2"/>
  <c r="L608" i="2"/>
  <c r="L607" i="2"/>
  <c r="L606" i="2"/>
  <c r="L605" i="2"/>
  <c r="L604" i="2"/>
  <c r="L603" i="2"/>
  <c r="L602" i="2"/>
  <c r="L601" i="2"/>
  <c r="L600" i="2"/>
  <c r="L599" i="2"/>
  <c r="L598" i="2"/>
  <c r="L597" i="2"/>
  <c r="L596" i="2"/>
  <c r="L595" i="2"/>
  <c r="L594" i="2"/>
  <c r="L593" i="2"/>
  <c r="L592" i="2"/>
  <c r="L591" i="2"/>
  <c r="L590" i="2"/>
  <c r="L589" i="2"/>
  <c r="L588" i="2"/>
  <c r="L587" i="2"/>
  <c r="L586" i="2"/>
  <c r="L585" i="2"/>
  <c r="L584" i="2"/>
  <c r="L583" i="2"/>
  <c r="L582" i="2"/>
  <c r="L581" i="2"/>
  <c r="L580" i="2"/>
  <c r="L579" i="2"/>
  <c r="L578" i="2"/>
  <c r="L577" i="2"/>
  <c r="L576" i="2"/>
  <c r="L575" i="2"/>
  <c r="L574" i="2"/>
  <c r="L573" i="2"/>
  <c r="L572" i="2"/>
  <c r="L571" i="2"/>
  <c r="L570" i="2"/>
  <c r="L569" i="2"/>
  <c r="L568" i="2"/>
  <c r="L567" i="2"/>
  <c r="L566" i="2"/>
  <c r="L565" i="2"/>
  <c r="L564" i="2"/>
  <c r="L563" i="2"/>
  <c r="L562" i="2"/>
  <c r="L561" i="2"/>
  <c r="L560" i="2"/>
  <c r="L559" i="2"/>
  <c r="L558" i="2"/>
  <c r="L557" i="2"/>
  <c r="L556" i="2"/>
  <c r="L555" i="2"/>
  <c r="L554" i="2"/>
  <c r="L553" i="2"/>
  <c r="L552" i="2"/>
  <c r="L551" i="2"/>
  <c r="L550" i="2"/>
  <c r="L549" i="2"/>
  <c r="L548" i="2"/>
  <c r="L547" i="2"/>
  <c r="L546" i="2"/>
  <c r="L545" i="2"/>
  <c r="L544" i="2"/>
  <c r="L543" i="2"/>
  <c r="L542" i="2"/>
  <c r="L541" i="2"/>
  <c r="L540" i="2"/>
  <c r="L539" i="2"/>
  <c r="L538" i="2"/>
  <c r="L537" i="2"/>
  <c r="L536" i="2"/>
  <c r="L535" i="2"/>
  <c r="L534" i="2"/>
  <c r="L533" i="2"/>
  <c r="L532" i="2"/>
  <c r="L531" i="2"/>
  <c r="L530" i="2"/>
  <c r="L529" i="2"/>
  <c r="L528" i="2"/>
  <c r="L527" i="2"/>
  <c r="L526" i="2"/>
  <c r="L525" i="2"/>
  <c r="L524" i="2"/>
  <c r="L523" i="2"/>
  <c r="L522" i="2"/>
  <c r="L521" i="2"/>
  <c r="L520" i="2"/>
  <c r="L519" i="2"/>
  <c r="L518" i="2"/>
  <c r="L517" i="2"/>
  <c r="L516" i="2"/>
  <c r="L515" i="2"/>
  <c r="L514" i="2"/>
  <c r="L513" i="2"/>
  <c r="L512" i="2"/>
  <c r="L511" i="2"/>
  <c r="L510" i="2"/>
  <c r="L509" i="2"/>
  <c r="L508" i="2"/>
  <c r="L507" i="2"/>
  <c r="L506" i="2"/>
  <c r="L505" i="2"/>
  <c r="L504" i="2"/>
  <c r="L503" i="2"/>
  <c r="L502" i="2"/>
  <c r="L501" i="2"/>
  <c r="L500" i="2"/>
  <c r="L499" i="2"/>
  <c r="L498" i="2"/>
  <c r="L497" i="2"/>
  <c r="L496" i="2"/>
  <c r="L495" i="2"/>
  <c r="L494" i="2"/>
  <c r="L493" i="2"/>
  <c r="L492" i="2"/>
  <c r="L491" i="2"/>
  <c r="L490" i="2"/>
  <c r="L489" i="2"/>
  <c r="L488" i="2"/>
  <c r="L487" i="2"/>
  <c r="L486" i="2"/>
  <c r="L485" i="2"/>
  <c r="L484" i="2"/>
  <c r="L483" i="2"/>
  <c r="L482" i="2"/>
  <c r="L481" i="2"/>
  <c r="L480" i="2"/>
  <c r="L479" i="2"/>
  <c r="L478" i="2"/>
  <c r="L477" i="2"/>
  <c r="L476" i="2"/>
  <c r="L475" i="2"/>
  <c r="L474" i="2"/>
  <c r="L473" i="2"/>
  <c r="L472" i="2"/>
  <c r="L471" i="2"/>
  <c r="L470" i="2"/>
  <c r="L469" i="2"/>
  <c r="L468" i="2"/>
  <c r="L467" i="2"/>
  <c r="L466" i="2"/>
  <c r="L465" i="2"/>
  <c r="L464" i="2"/>
  <c r="L463" i="2"/>
  <c r="L462" i="2"/>
  <c r="L461" i="2"/>
  <c r="L460" i="2"/>
  <c r="L459" i="2"/>
  <c r="L458" i="2"/>
  <c r="L457" i="2"/>
  <c r="L456" i="2"/>
  <c r="L455" i="2"/>
  <c r="L454" i="2"/>
  <c r="L453" i="2"/>
  <c r="L452" i="2"/>
  <c r="L451" i="2"/>
  <c r="L450" i="2"/>
  <c r="L449" i="2"/>
  <c r="L448" i="2"/>
  <c r="L447" i="2"/>
  <c r="L446" i="2"/>
  <c r="L445" i="2"/>
  <c r="L444" i="2"/>
  <c r="L443" i="2"/>
  <c r="L442" i="2"/>
  <c r="L441" i="2"/>
  <c r="L440" i="2"/>
  <c r="L439" i="2"/>
  <c r="L438" i="2"/>
  <c r="L437" i="2"/>
  <c r="L436" i="2"/>
  <c r="L435" i="2"/>
  <c r="L434" i="2"/>
  <c r="L433" i="2"/>
  <c r="L432" i="2"/>
  <c r="L431" i="2"/>
  <c r="L430" i="2"/>
  <c r="L429" i="2"/>
  <c r="L428" i="2"/>
  <c r="L427" i="2"/>
  <c r="L426" i="2"/>
  <c r="L425" i="2"/>
  <c r="L424" i="2"/>
  <c r="L423" i="2"/>
  <c r="L422" i="2"/>
  <c r="L421" i="2"/>
  <c r="L420" i="2"/>
  <c r="L419" i="2"/>
  <c r="L418" i="2"/>
  <c r="L417" i="2"/>
  <c r="L416" i="2"/>
  <c r="L415" i="2"/>
  <c r="L414" i="2"/>
  <c r="L413" i="2"/>
  <c r="L412" i="2"/>
  <c r="L411" i="2"/>
  <c r="L410" i="2"/>
  <c r="L409" i="2"/>
  <c r="L408" i="2"/>
  <c r="L407" i="2"/>
  <c r="L406" i="2"/>
  <c r="L405" i="2"/>
  <c r="L404" i="2"/>
  <c r="L403" i="2"/>
  <c r="L402" i="2"/>
  <c r="L401" i="2"/>
  <c r="L400" i="2"/>
  <c r="L399" i="2"/>
  <c r="L398" i="2"/>
  <c r="L397" i="2"/>
  <c r="L396" i="2"/>
  <c r="L395" i="2"/>
  <c r="L394" i="2"/>
  <c r="L393" i="2"/>
  <c r="L392" i="2"/>
  <c r="L391" i="2"/>
  <c r="L390" i="2"/>
  <c r="L389" i="2"/>
  <c r="L388" i="2"/>
  <c r="L387" i="2"/>
  <c r="L386" i="2"/>
  <c r="L385" i="2"/>
  <c r="L384" i="2"/>
  <c r="L383" i="2"/>
  <c r="L382" i="2"/>
  <c r="L381" i="2"/>
  <c r="L380" i="2"/>
  <c r="L379" i="2"/>
  <c r="L378" i="2"/>
  <c r="L377" i="2"/>
  <c r="L376" i="2"/>
  <c r="L375" i="2"/>
  <c r="L374" i="2"/>
  <c r="L373" i="2"/>
  <c r="L372" i="2"/>
  <c r="L371" i="2"/>
  <c r="L370" i="2"/>
  <c r="L369" i="2"/>
  <c r="L368" i="2"/>
  <c r="L367" i="2"/>
  <c r="L366" i="2"/>
  <c r="L365" i="2"/>
  <c r="L364" i="2"/>
  <c r="L363" i="2"/>
  <c r="L362" i="2"/>
  <c r="L361" i="2"/>
  <c r="L360" i="2"/>
  <c r="L359" i="2"/>
  <c r="L358" i="2"/>
  <c r="L357" i="2"/>
  <c r="L356" i="2"/>
  <c r="L355" i="2"/>
  <c r="L354" i="2"/>
  <c r="L353" i="2"/>
  <c r="L352" i="2"/>
  <c r="L351" i="2"/>
  <c r="L350" i="2"/>
  <c r="L349" i="2"/>
  <c r="L348" i="2"/>
  <c r="L347" i="2"/>
  <c r="L346" i="2"/>
  <c r="L345" i="2"/>
  <c r="L344" i="2"/>
  <c r="L343" i="2"/>
  <c r="L342" i="2"/>
  <c r="L341" i="2"/>
  <c r="L340" i="2"/>
  <c r="L339" i="2"/>
  <c r="L338" i="2"/>
  <c r="L337" i="2"/>
  <c r="L336" i="2"/>
  <c r="L335" i="2"/>
  <c r="L334" i="2"/>
  <c r="L333" i="2"/>
  <c r="L332" i="2"/>
  <c r="L331" i="2"/>
  <c r="L330" i="2"/>
  <c r="L329" i="2"/>
  <c r="L328" i="2"/>
  <c r="L327" i="2"/>
  <c r="L326" i="2"/>
  <c r="L325" i="2"/>
  <c r="L324" i="2"/>
  <c r="L323" i="2"/>
  <c r="L322" i="2"/>
  <c r="L321" i="2"/>
  <c r="L320" i="2"/>
  <c r="L319" i="2"/>
  <c r="L318" i="2"/>
  <c r="L317" i="2"/>
  <c r="L316" i="2"/>
  <c r="L315" i="2"/>
  <c r="L314" i="2"/>
  <c r="L313" i="2"/>
  <c r="L312" i="2"/>
  <c r="L311" i="2"/>
  <c r="L310" i="2"/>
  <c r="L309" i="2"/>
  <c r="L308" i="2"/>
  <c r="L307" i="2"/>
  <c r="L306" i="2"/>
  <c r="L305" i="2"/>
  <c r="L304" i="2"/>
  <c r="L303" i="2"/>
  <c r="L302" i="2"/>
  <c r="L301" i="2"/>
  <c r="L300" i="2"/>
  <c r="L299" i="2"/>
  <c r="L298" i="2"/>
  <c r="L297" i="2"/>
  <c r="L296" i="2"/>
  <c r="L295" i="2"/>
  <c r="L294" i="2"/>
  <c r="L293" i="2"/>
  <c r="L292" i="2"/>
  <c r="L291" i="2"/>
  <c r="L290" i="2"/>
  <c r="L289" i="2"/>
  <c r="L288" i="2"/>
  <c r="L287" i="2"/>
  <c r="L286" i="2"/>
  <c r="L285" i="2"/>
  <c r="L284" i="2"/>
  <c r="L283" i="2"/>
  <c r="L282" i="2"/>
  <c r="L281" i="2"/>
  <c r="L280" i="2"/>
  <c r="L279" i="2"/>
  <c r="L278" i="2"/>
  <c r="L277" i="2"/>
  <c r="L276" i="2"/>
  <c r="L275" i="2"/>
  <c r="L274" i="2"/>
  <c r="L273" i="2"/>
  <c r="L272" i="2"/>
  <c r="L271" i="2"/>
  <c r="L270" i="2"/>
  <c r="L269" i="2"/>
  <c r="L268" i="2"/>
  <c r="L267" i="2"/>
  <c r="L266" i="2"/>
  <c r="L265" i="2"/>
  <c r="L264" i="2"/>
  <c r="L263" i="2"/>
  <c r="L262" i="2"/>
  <c r="L261" i="2"/>
  <c r="L260" i="2"/>
  <c r="L259" i="2"/>
  <c r="L258" i="2"/>
  <c r="L257" i="2"/>
  <c r="L256" i="2"/>
  <c r="L255" i="2"/>
  <c r="L254" i="2"/>
  <c r="L253" i="2"/>
  <c r="L252" i="2"/>
  <c r="L251" i="2"/>
  <c r="L250" i="2"/>
  <c r="L249" i="2"/>
  <c r="L248" i="2"/>
  <c r="L247" i="2"/>
  <c r="L246" i="2"/>
  <c r="L245" i="2"/>
  <c r="L244" i="2"/>
  <c r="L243" i="2"/>
  <c r="L242" i="2"/>
  <c r="L241" i="2"/>
  <c r="L240" i="2"/>
  <c r="L239" i="2"/>
  <c r="L238" i="2"/>
  <c r="L237" i="2"/>
  <c r="L236" i="2"/>
  <c r="L235" i="2"/>
  <c r="L234" i="2"/>
  <c r="L233" i="2"/>
  <c r="L232" i="2"/>
  <c r="L231" i="2"/>
  <c r="L230" i="2"/>
  <c r="L229" i="2"/>
  <c r="L228" i="2"/>
  <c r="L227" i="2"/>
  <c r="L226" i="2"/>
  <c r="L225" i="2"/>
  <c r="L224" i="2"/>
  <c r="L223" i="2"/>
  <c r="L222" i="2"/>
  <c r="L221" i="2"/>
  <c r="L220" i="2"/>
  <c r="L219" i="2"/>
  <c r="L218" i="2"/>
  <c r="L217" i="2"/>
  <c r="L216" i="2"/>
  <c r="L215" i="2"/>
  <c r="L214" i="2"/>
  <c r="L213" i="2"/>
  <c r="L212" i="2"/>
  <c r="L211" i="2"/>
  <c r="L210" i="2"/>
  <c r="L209" i="2"/>
  <c r="L208" i="2"/>
  <c r="L207" i="2"/>
  <c r="L206" i="2"/>
  <c r="L205" i="2"/>
  <c r="L204" i="2"/>
  <c r="L203" i="2"/>
  <c r="L202" i="2"/>
  <c r="L201" i="2"/>
  <c r="L200" i="2"/>
  <c r="L199" i="2"/>
  <c r="L198" i="2"/>
  <c r="L197" i="2"/>
  <c r="L196" i="2"/>
  <c r="L195" i="2"/>
  <c r="L194" i="2"/>
  <c r="L193" i="2"/>
  <c r="L192" i="2"/>
  <c r="L191" i="2"/>
  <c r="L190" i="2"/>
  <c r="L189" i="2"/>
  <c r="L188" i="2"/>
  <c r="L187" i="2"/>
  <c r="L186" i="2"/>
  <c r="L185" i="2"/>
  <c r="L184" i="2"/>
  <c r="L183" i="2"/>
  <c r="L182" i="2"/>
  <c r="L181" i="2"/>
  <c r="L180" i="2"/>
  <c r="L179" i="2"/>
  <c r="L178" i="2"/>
  <c r="L177" i="2"/>
  <c r="L176" i="2"/>
  <c r="L175" i="2"/>
  <c r="L174" i="2"/>
  <c r="L173" i="2"/>
  <c r="L172" i="2"/>
  <c r="L171" i="2"/>
  <c r="L170" i="2"/>
  <c r="L169" i="2"/>
  <c r="L168" i="2"/>
  <c r="L167" i="2"/>
  <c r="L166" i="2"/>
  <c r="L165" i="2"/>
  <c r="L164" i="2"/>
  <c r="L163" i="2"/>
  <c r="L162" i="2"/>
  <c r="L161" i="2"/>
  <c r="L160" i="2"/>
  <c r="L159" i="2"/>
  <c r="L158" i="2"/>
  <c r="L157" i="2"/>
  <c r="L156" i="2"/>
  <c r="L155" i="2"/>
  <c r="L154" i="2"/>
  <c r="L153" i="2"/>
  <c r="L152" i="2"/>
  <c r="L151" i="2"/>
  <c r="L150" i="2"/>
  <c r="L149" i="2"/>
  <c r="L148" i="2"/>
  <c r="L147" i="2"/>
  <c r="L146" i="2"/>
  <c r="L145" i="2"/>
  <c r="L144" i="2"/>
  <c r="L143" i="2"/>
  <c r="L142" i="2"/>
  <c r="L141" i="2"/>
  <c r="L140" i="2"/>
  <c r="L139" i="2"/>
  <c r="L138" i="2"/>
  <c r="L137" i="2"/>
  <c r="L136" i="2"/>
  <c r="L135" i="2"/>
  <c r="L134" i="2"/>
  <c r="L133" i="2"/>
  <c r="L132" i="2"/>
  <c r="L131" i="2"/>
  <c r="L130" i="2"/>
  <c r="L129" i="2"/>
  <c r="L128" i="2"/>
  <c r="L127" i="2"/>
  <c r="L126" i="2"/>
  <c r="L125" i="2"/>
  <c r="L124" i="2"/>
  <c r="L123" i="2"/>
  <c r="L122" i="2"/>
  <c r="L121" i="2"/>
  <c r="L120" i="2"/>
  <c r="L119" i="2"/>
  <c r="L118" i="2"/>
  <c r="L117" i="2"/>
  <c r="L116" i="2"/>
  <c r="L115" i="2"/>
  <c r="L114" i="2"/>
  <c r="L113" i="2"/>
  <c r="L112" i="2"/>
  <c r="L111" i="2"/>
  <c r="L110" i="2"/>
  <c r="L109" i="2"/>
  <c r="L108" i="2"/>
  <c r="L107" i="2"/>
  <c r="L106" i="2"/>
  <c r="L105" i="2"/>
  <c r="L104" i="2"/>
  <c r="L103" i="2"/>
  <c r="L102" i="2"/>
  <c r="L101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K1088" i="2"/>
  <c r="K1087" i="2"/>
  <c r="K1086" i="2"/>
  <c r="K1085" i="2"/>
  <c r="K1084" i="2"/>
  <c r="K1083" i="2"/>
  <c r="K1082" i="2"/>
  <c r="K1081" i="2"/>
  <c r="K1080" i="2"/>
  <c r="K1079" i="2"/>
  <c r="K1078" i="2"/>
  <c r="K1077" i="2"/>
  <c r="K1076" i="2"/>
  <c r="K1075" i="2"/>
  <c r="K1074" i="2"/>
  <c r="K1073" i="2"/>
  <c r="K1072" i="2"/>
  <c r="K1071" i="2"/>
  <c r="K1070" i="2"/>
  <c r="K1069" i="2"/>
  <c r="K1068" i="2"/>
  <c r="K1067" i="2"/>
  <c r="K1066" i="2"/>
  <c r="K1065" i="2"/>
  <c r="K1064" i="2"/>
  <c r="K1063" i="2"/>
  <c r="K1062" i="2"/>
  <c r="K1061" i="2"/>
  <c r="K1060" i="2"/>
  <c r="K1059" i="2"/>
  <c r="K1058" i="2"/>
  <c r="K1057" i="2"/>
  <c r="K1056" i="2"/>
  <c r="K1055" i="2"/>
  <c r="K1054" i="2"/>
  <c r="K1053" i="2"/>
  <c r="K1052" i="2"/>
  <c r="K1051" i="2"/>
  <c r="K1050" i="2"/>
  <c r="K1049" i="2"/>
  <c r="K1048" i="2"/>
  <c r="K1047" i="2"/>
  <c r="K1046" i="2"/>
  <c r="K1045" i="2"/>
  <c r="K1044" i="2"/>
  <c r="K1043" i="2"/>
  <c r="K1042" i="2"/>
  <c r="K1041" i="2"/>
  <c r="K1040" i="2"/>
  <c r="K1039" i="2"/>
  <c r="K1038" i="2"/>
  <c r="K1037" i="2"/>
  <c r="K1036" i="2"/>
  <c r="K1035" i="2"/>
  <c r="K1034" i="2"/>
  <c r="K1033" i="2"/>
  <c r="K1032" i="2"/>
  <c r="K1031" i="2"/>
  <c r="K1030" i="2"/>
  <c r="K1029" i="2"/>
  <c r="K1028" i="2"/>
  <c r="K1027" i="2"/>
  <c r="K1026" i="2"/>
  <c r="K1025" i="2"/>
  <c r="K1024" i="2"/>
  <c r="K1023" i="2"/>
  <c r="K1022" i="2"/>
  <c r="K1021" i="2"/>
  <c r="K1020" i="2"/>
  <c r="K1019" i="2"/>
  <c r="K1018" i="2"/>
  <c r="K1017" i="2"/>
  <c r="K1016" i="2"/>
  <c r="K1015" i="2"/>
  <c r="K1014" i="2"/>
  <c r="K1013" i="2"/>
  <c r="K1012" i="2"/>
  <c r="K1011" i="2"/>
  <c r="K1010" i="2"/>
  <c r="K1009" i="2"/>
  <c r="K1008" i="2"/>
  <c r="K1007" i="2"/>
  <c r="K1006" i="2"/>
  <c r="K1005" i="2"/>
  <c r="K1004" i="2"/>
  <c r="K1003" i="2"/>
  <c r="K1002" i="2"/>
  <c r="K1001" i="2"/>
  <c r="K1000" i="2"/>
  <c r="K999" i="2"/>
  <c r="K998" i="2"/>
  <c r="K997" i="2"/>
  <c r="K996" i="2"/>
  <c r="K995" i="2"/>
  <c r="K994" i="2"/>
  <c r="K993" i="2"/>
  <c r="K992" i="2"/>
  <c r="K991" i="2"/>
  <c r="K990" i="2"/>
  <c r="K989" i="2"/>
  <c r="K988" i="2"/>
  <c r="K987" i="2"/>
  <c r="K986" i="2"/>
  <c r="K985" i="2"/>
  <c r="K984" i="2"/>
  <c r="K983" i="2"/>
  <c r="K982" i="2"/>
  <c r="K981" i="2"/>
  <c r="K980" i="2"/>
  <c r="K979" i="2"/>
  <c r="K978" i="2"/>
  <c r="K977" i="2"/>
  <c r="K976" i="2"/>
  <c r="K975" i="2"/>
  <c r="K974" i="2"/>
  <c r="K973" i="2"/>
  <c r="K972" i="2"/>
  <c r="K971" i="2"/>
  <c r="K970" i="2"/>
  <c r="K969" i="2"/>
  <c r="K968" i="2"/>
  <c r="K967" i="2"/>
  <c r="K966" i="2"/>
  <c r="K965" i="2"/>
  <c r="K964" i="2"/>
  <c r="K963" i="2"/>
  <c r="K962" i="2"/>
  <c r="K961" i="2"/>
  <c r="K960" i="2"/>
  <c r="K959" i="2"/>
  <c r="K958" i="2"/>
  <c r="K957" i="2"/>
  <c r="K956" i="2"/>
  <c r="K955" i="2"/>
  <c r="K954" i="2"/>
  <c r="K953" i="2"/>
  <c r="K952" i="2"/>
  <c r="K951" i="2"/>
  <c r="K950" i="2"/>
  <c r="K949" i="2"/>
  <c r="K948" i="2"/>
  <c r="K947" i="2"/>
  <c r="K946" i="2"/>
  <c r="K945" i="2"/>
  <c r="K944" i="2"/>
  <c r="K943" i="2"/>
  <c r="K942" i="2"/>
  <c r="K941" i="2"/>
  <c r="K940" i="2"/>
  <c r="K939" i="2"/>
  <c r="K938" i="2"/>
  <c r="K937" i="2"/>
  <c r="K936" i="2"/>
  <c r="K935" i="2"/>
  <c r="K934" i="2"/>
  <c r="K933" i="2"/>
  <c r="K932" i="2"/>
  <c r="K931" i="2"/>
  <c r="K930" i="2"/>
  <c r="K929" i="2"/>
  <c r="K928" i="2"/>
  <c r="K927" i="2"/>
  <c r="K926" i="2"/>
  <c r="K925" i="2"/>
  <c r="K924" i="2"/>
  <c r="K923" i="2"/>
  <c r="K922" i="2"/>
  <c r="K921" i="2"/>
  <c r="K920" i="2"/>
  <c r="K919" i="2"/>
  <c r="K918" i="2"/>
  <c r="K917" i="2"/>
  <c r="K916" i="2"/>
  <c r="K915" i="2"/>
  <c r="K914" i="2"/>
  <c r="K913" i="2"/>
  <c r="K912" i="2"/>
  <c r="K911" i="2"/>
  <c r="K910" i="2"/>
  <c r="K909" i="2"/>
  <c r="K908" i="2"/>
  <c r="K907" i="2"/>
  <c r="K906" i="2"/>
  <c r="K905" i="2"/>
  <c r="K904" i="2"/>
  <c r="K903" i="2"/>
  <c r="K902" i="2"/>
  <c r="K901" i="2"/>
  <c r="K900" i="2"/>
  <c r="K899" i="2"/>
  <c r="K898" i="2"/>
  <c r="K897" i="2"/>
  <c r="K896" i="2"/>
  <c r="K895" i="2"/>
  <c r="K894" i="2"/>
  <c r="K893" i="2"/>
  <c r="K892" i="2"/>
  <c r="K891" i="2"/>
  <c r="K890" i="2"/>
  <c r="K889" i="2"/>
  <c r="K888" i="2"/>
  <c r="K887" i="2"/>
  <c r="K886" i="2"/>
  <c r="K885" i="2"/>
  <c r="K884" i="2"/>
  <c r="K883" i="2"/>
  <c r="K882" i="2"/>
  <c r="K881" i="2"/>
  <c r="K880" i="2"/>
  <c r="K879" i="2"/>
  <c r="K878" i="2"/>
  <c r="K877" i="2"/>
  <c r="K876" i="2"/>
  <c r="K875" i="2"/>
  <c r="K874" i="2"/>
  <c r="K873" i="2"/>
  <c r="K872" i="2"/>
  <c r="K871" i="2"/>
  <c r="K870" i="2"/>
  <c r="K869" i="2"/>
  <c r="K868" i="2"/>
  <c r="K867" i="2"/>
  <c r="K866" i="2"/>
  <c r="K865" i="2"/>
  <c r="K864" i="2"/>
  <c r="K863" i="2"/>
  <c r="K862" i="2"/>
  <c r="K861" i="2"/>
  <c r="K860" i="2"/>
  <c r="K859" i="2"/>
  <c r="K858" i="2"/>
  <c r="K857" i="2"/>
  <c r="K856" i="2"/>
  <c r="K855" i="2"/>
  <c r="K854" i="2"/>
  <c r="K853" i="2"/>
  <c r="K852" i="2"/>
  <c r="K851" i="2"/>
  <c r="K850" i="2"/>
  <c r="K849" i="2"/>
  <c r="K848" i="2"/>
  <c r="K847" i="2"/>
  <c r="K846" i="2"/>
  <c r="K845" i="2"/>
  <c r="K844" i="2"/>
  <c r="K843" i="2"/>
  <c r="K842" i="2"/>
  <c r="K841" i="2"/>
  <c r="K840" i="2"/>
  <c r="K839" i="2"/>
  <c r="K838" i="2"/>
  <c r="K837" i="2"/>
  <c r="K836" i="2"/>
  <c r="K835" i="2"/>
  <c r="K834" i="2"/>
  <c r="K833" i="2"/>
  <c r="K832" i="2"/>
  <c r="K831" i="2"/>
  <c r="K830" i="2"/>
  <c r="K829" i="2"/>
  <c r="K828" i="2"/>
  <c r="K827" i="2"/>
  <c r="K826" i="2"/>
  <c r="K825" i="2"/>
  <c r="K824" i="2"/>
  <c r="K823" i="2"/>
  <c r="K822" i="2"/>
  <c r="K821" i="2"/>
  <c r="K820" i="2"/>
  <c r="K819" i="2"/>
  <c r="K818" i="2"/>
  <c r="K817" i="2"/>
  <c r="K816" i="2"/>
  <c r="K815" i="2"/>
  <c r="K814" i="2"/>
  <c r="K813" i="2"/>
  <c r="K812" i="2"/>
  <c r="K811" i="2"/>
  <c r="K810" i="2"/>
  <c r="K809" i="2"/>
  <c r="K808" i="2"/>
  <c r="K807" i="2"/>
  <c r="K806" i="2"/>
  <c r="K805" i="2"/>
  <c r="K804" i="2"/>
  <c r="K803" i="2"/>
  <c r="K802" i="2"/>
  <c r="K801" i="2"/>
  <c r="K800" i="2"/>
  <c r="K799" i="2"/>
  <c r="K798" i="2"/>
  <c r="K797" i="2"/>
  <c r="K796" i="2"/>
  <c r="K795" i="2"/>
  <c r="K794" i="2"/>
  <c r="K793" i="2"/>
  <c r="K792" i="2"/>
  <c r="K791" i="2"/>
  <c r="K790" i="2"/>
  <c r="K789" i="2"/>
  <c r="K788" i="2"/>
  <c r="K787" i="2"/>
  <c r="K786" i="2"/>
  <c r="K785" i="2"/>
  <c r="K784" i="2"/>
  <c r="K783" i="2"/>
  <c r="K782" i="2"/>
  <c r="K781" i="2"/>
  <c r="K780" i="2"/>
  <c r="K779" i="2"/>
  <c r="K778" i="2"/>
  <c r="K777" i="2"/>
  <c r="K776" i="2"/>
  <c r="K775" i="2"/>
  <c r="K774" i="2"/>
  <c r="K773" i="2"/>
  <c r="K772" i="2"/>
  <c r="K771" i="2"/>
  <c r="K770" i="2"/>
  <c r="K769" i="2"/>
  <c r="K768" i="2"/>
  <c r="K767" i="2"/>
  <c r="K766" i="2"/>
  <c r="K765" i="2"/>
  <c r="K764" i="2"/>
  <c r="K763" i="2"/>
  <c r="K762" i="2"/>
  <c r="K761" i="2"/>
  <c r="K760" i="2"/>
  <c r="K759" i="2"/>
  <c r="K758" i="2"/>
  <c r="K757" i="2"/>
  <c r="K756" i="2"/>
  <c r="K755" i="2"/>
  <c r="K754" i="2"/>
  <c r="K753" i="2"/>
  <c r="K752" i="2"/>
  <c r="K751" i="2"/>
  <c r="K750" i="2"/>
  <c r="K749" i="2"/>
  <c r="K748" i="2"/>
  <c r="K747" i="2"/>
  <c r="K746" i="2"/>
  <c r="K745" i="2"/>
  <c r="K744" i="2"/>
  <c r="K743" i="2"/>
  <c r="K742" i="2"/>
  <c r="K741" i="2"/>
  <c r="K740" i="2"/>
  <c r="K739" i="2"/>
  <c r="K738" i="2"/>
  <c r="K737" i="2"/>
  <c r="K736" i="2"/>
  <c r="K735" i="2"/>
  <c r="K734" i="2"/>
  <c r="K733" i="2"/>
  <c r="K732" i="2"/>
  <c r="K731" i="2"/>
  <c r="K730" i="2"/>
  <c r="K729" i="2"/>
  <c r="K728" i="2"/>
  <c r="K727" i="2"/>
  <c r="K726" i="2"/>
  <c r="K725" i="2"/>
  <c r="K724" i="2"/>
  <c r="K723" i="2"/>
  <c r="K722" i="2"/>
  <c r="K721" i="2"/>
  <c r="K720" i="2"/>
  <c r="K719" i="2"/>
  <c r="K718" i="2"/>
  <c r="K717" i="2"/>
  <c r="K716" i="2"/>
  <c r="K715" i="2"/>
  <c r="K714" i="2"/>
  <c r="K713" i="2"/>
  <c r="K712" i="2"/>
  <c r="K711" i="2"/>
  <c r="K710" i="2"/>
  <c r="K709" i="2"/>
  <c r="K708" i="2"/>
  <c r="K707" i="2"/>
  <c r="K706" i="2"/>
  <c r="K705" i="2"/>
  <c r="K704" i="2"/>
  <c r="K703" i="2"/>
  <c r="K702" i="2"/>
  <c r="K701" i="2"/>
  <c r="K700" i="2"/>
  <c r="K699" i="2"/>
  <c r="K698" i="2"/>
  <c r="K697" i="2"/>
  <c r="K696" i="2"/>
  <c r="K695" i="2"/>
  <c r="K694" i="2"/>
  <c r="K693" i="2"/>
  <c r="K692" i="2"/>
  <c r="K691" i="2"/>
  <c r="K690" i="2"/>
  <c r="K689" i="2"/>
  <c r="K688" i="2"/>
  <c r="K687" i="2"/>
  <c r="K686" i="2"/>
  <c r="K685" i="2"/>
  <c r="K684" i="2"/>
  <c r="K683" i="2"/>
  <c r="K682" i="2"/>
  <c r="K681" i="2"/>
  <c r="K680" i="2"/>
  <c r="K679" i="2"/>
  <c r="K678" i="2"/>
  <c r="K677" i="2"/>
  <c r="K676" i="2"/>
  <c r="K675" i="2"/>
  <c r="K674" i="2"/>
  <c r="K673" i="2"/>
  <c r="K672" i="2"/>
  <c r="K671" i="2"/>
  <c r="K670" i="2"/>
  <c r="K669" i="2"/>
  <c r="K668" i="2"/>
  <c r="K667" i="2"/>
  <c r="K666" i="2"/>
  <c r="K665" i="2"/>
  <c r="K664" i="2"/>
  <c r="K663" i="2"/>
  <c r="K662" i="2"/>
  <c r="K661" i="2"/>
  <c r="K660" i="2"/>
  <c r="K659" i="2"/>
  <c r="K658" i="2"/>
  <c r="K657" i="2"/>
  <c r="K656" i="2"/>
  <c r="K655" i="2"/>
  <c r="K654" i="2"/>
  <c r="K653" i="2"/>
  <c r="K652" i="2"/>
  <c r="K651" i="2"/>
  <c r="K650" i="2"/>
  <c r="K649" i="2"/>
  <c r="K648" i="2"/>
  <c r="K647" i="2"/>
  <c r="K646" i="2"/>
  <c r="K645" i="2"/>
  <c r="K644" i="2"/>
  <c r="K643" i="2"/>
  <c r="K642" i="2"/>
  <c r="K641" i="2"/>
  <c r="K640" i="2"/>
  <c r="K639" i="2"/>
  <c r="K638" i="2"/>
  <c r="K637" i="2"/>
  <c r="K636" i="2"/>
  <c r="K635" i="2"/>
  <c r="K634" i="2"/>
  <c r="K633" i="2"/>
  <c r="K632" i="2"/>
  <c r="K631" i="2"/>
  <c r="K630" i="2"/>
  <c r="K629" i="2"/>
  <c r="K628" i="2"/>
  <c r="K627" i="2"/>
  <c r="K626" i="2"/>
  <c r="K625" i="2"/>
  <c r="K624" i="2"/>
  <c r="K623" i="2"/>
  <c r="K622" i="2"/>
  <c r="K621" i="2"/>
  <c r="K620" i="2"/>
  <c r="K619" i="2"/>
  <c r="K618" i="2"/>
  <c r="K617" i="2"/>
  <c r="K616" i="2"/>
  <c r="K615" i="2"/>
  <c r="K614" i="2"/>
  <c r="K613" i="2"/>
  <c r="K612" i="2"/>
  <c r="K611" i="2"/>
  <c r="K610" i="2"/>
  <c r="K609" i="2"/>
  <c r="K608" i="2"/>
  <c r="K607" i="2"/>
  <c r="K606" i="2"/>
  <c r="K605" i="2"/>
  <c r="K604" i="2"/>
  <c r="K603" i="2"/>
  <c r="K602" i="2"/>
  <c r="K601" i="2"/>
  <c r="K600" i="2"/>
  <c r="K599" i="2"/>
  <c r="K598" i="2"/>
  <c r="K597" i="2"/>
  <c r="K596" i="2"/>
  <c r="K595" i="2"/>
  <c r="K594" i="2"/>
  <c r="K593" i="2"/>
  <c r="K592" i="2"/>
  <c r="K591" i="2"/>
  <c r="K590" i="2"/>
  <c r="K589" i="2"/>
  <c r="K588" i="2"/>
  <c r="K587" i="2"/>
  <c r="K586" i="2"/>
  <c r="K585" i="2"/>
  <c r="K584" i="2"/>
  <c r="K583" i="2"/>
  <c r="K582" i="2"/>
  <c r="K581" i="2"/>
  <c r="K580" i="2"/>
  <c r="K579" i="2"/>
  <c r="K578" i="2"/>
  <c r="K577" i="2"/>
  <c r="K576" i="2"/>
  <c r="K575" i="2"/>
  <c r="K574" i="2"/>
  <c r="K573" i="2"/>
  <c r="K572" i="2"/>
  <c r="K571" i="2"/>
  <c r="K570" i="2"/>
  <c r="K569" i="2"/>
  <c r="K568" i="2"/>
  <c r="K567" i="2"/>
  <c r="K566" i="2"/>
  <c r="K565" i="2"/>
  <c r="K564" i="2"/>
  <c r="K563" i="2"/>
  <c r="K562" i="2"/>
  <c r="K561" i="2"/>
  <c r="K560" i="2"/>
  <c r="K559" i="2"/>
  <c r="K558" i="2"/>
  <c r="K557" i="2"/>
  <c r="K556" i="2"/>
  <c r="K555" i="2"/>
  <c r="K554" i="2"/>
  <c r="K553" i="2"/>
  <c r="K552" i="2"/>
  <c r="K551" i="2"/>
  <c r="K550" i="2"/>
  <c r="K549" i="2"/>
  <c r="K548" i="2"/>
  <c r="K547" i="2"/>
  <c r="K546" i="2"/>
  <c r="K545" i="2"/>
  <c r="K544" i="2"/>
  <c r="K543" i="2"/>
  <c r="K542" i="2"/>
  <c r="K541" i="2"/>
  <c r="K540" i="2"/>
  <c r="K539" i="2"/>
  <c r="K538" i="2"/>
  <c r="K537" i="2"/>
  <c r="K536" i="2"/>
  <c r="K535" i="2"/>
  <c r="K534" i="2"/>
  <c r="K533" i="2"/>
  <c r="K532" i="2"/>
  <c r="K531" i="2"/>
  <c r="K530" i="2"/>
  <c r="K529" i="2"/>
  <c r="K528" i="2"/>
  <c r="K527" i="2"/>
  <c r="K526" i="2"/>
  <c r="K525" i="2"/>
  <c r="K524" i="2"/>
  <c r="K523" i="2"/>
  <c r="K522" i="2"/>
  <c r="K521" i="2"/>
  <c r="K520" i="2"/>
  <c r="K519" i="2"/>
  <c r="K518" i="2"/>
  <c r="K517" i="2"/>
  <c r="K516" i="2"/>
  <c r="K515" i="2"/>
  <c r="K514" i="2"/>
  <c r="K513" i="2"/>
  <c r="K512" i="2"/>
  <c r="K511" i="2"/>
  <c r="K510" i="2"/>
  <c r="K509" i="2"/>
  <c r="K508" i="2"/>
  <c r="K507" i="2"/>
  <c r="K506" i="2"/>
  <c r="K505" i="2"/>
  <c r="K504" i="2"/>
  <c r="K503" i="2"/>
  <c r="K502" i="2"/>
  <c r="K501" i="2"/>
  <c r="K500" i="2"/>
  <c r="K499" i="2"/>
  <c r="K498" i="2"/>
  <c r="K497" i="2"/>
  <c r="K496" i="2"/>
  <c r="K495" i="2"/>
  <c r="K494" i="2"/>
  <c r="K493" i="2"/>
  <c r="K492" i="2"/>
  <c r="K491" i="2"/>
  <c r="K490" i="2"/>
  <c r="K489" i="2"/>
  <c r="K488" i="2"/>
  <c r="K487" i="2"/>
  <c r="K486" i="2"/>
  <c r="K485" i="2"/>
  <c r="K484" i="2"/>
  <c r="K483" i="2"/>
  <c r="K482" i="2"/>
  <c r="K481" i="2"/>
  <c r="K480" i="2"/>
  <c r="K479" i="2"/>
  <c r="K478" i="2"/>
  <c r="K477" i="2"/>
  <c r="K476" i="2"/>
  <c r="K475" i="2"/>
  <c r="K474" i="2"/>
  <c r="K473" i="2"/>
  <c r="K472" i="2"/>
  <c r="K471" i="2"/>
  <c r="K470" i="2"/>
  <c r="K469" i="2"/>
  <c r="K468" i="2"/>
  <c r="K467" i="2"/>
  <c r="K466" i="2"/>
  <c r="K465" i="2"/>
  <c r="K464" i="2"/>
  <c r="K463" i="2"/>
  <c r="K462" i="2"/>
  <c r="K461" i="2"/>
  <c r="K460" i="2"/>
  <c r="K459" i="2"/>
  <c r="K458" i="2"/>
  <c r="K457" i="2"/>
  <c r="K456" i="2"/>
  <c r="K455" i="2"/>
  <c r="K454" i="2"/>
  <c r="K453" i="2"/>
  <c r="K452" i="2"/>
  <c r="K451" i="2"/>
  <c r="K450" i="2"/>
  <c r="K449" i="2"/>
  <c r="K448" i="2"/>
  <c r="K447" i="2"/>
  <c r="K446" i="2"/>
  <c r="K445" i="2"/>
  <c r="K444" i="2"/>
  <c r="K443" i="2"/>
  <c r="K442" i="2"/>
  <c r="K441" i="2"/>
  <c r="K440" i="2"/>
  <c r="K439" i="2"/>
  <c r="K438" i="2"/>
  <c r="K437" i="2"/>
  <c r="K436" i="2"/>
  <c r="K435" i="2"/>
  <c r="K434" i="2"/>
  <c r="K433" i="2"/>
  <c r="K432" i="2"/>
  <c r="K431" i="2"/>
  <c r="K430" i="2"/>
  <c r="K429" i="2"/>
  <c r="K428" i="2"/>
  <c r="K427" i="2"/>
  <c r="K426" i="2"/>
  <c r="K425" i="2"/>
  <c r="K424" i="2"/>
  <c r="K423" i="2"/>
  <c r="K422" i="2"/>
  <c r="K421" i="2"/>
  <c r="K420" i="2"/>
  <c r="K419" i="2"/>
  <c r="K418" i="2"/>
  <c r="K417" i="2"/>
  <c r="K416" i="2"/>
  <c r="K415" i="2"/>
  <c r="K414" i="2"/>
  <c r="K413" i="2"/>
  <c r="K412" i="2"/>
  <c r="K411" i="2"/>
  <c r="K410" i="2"/>
  <c r="K409" i="2"/>
  <c r="K408" i="2"/>
  <c r="K407" i="2"/>
  <c r="K406" i="2"/>
  <c r="K405" i="2"/>
  <c r="K404" i="2"/>
  <c r="K403" i="2"/>
  <c r="K402" i="2"/>
  <c r="K401" i="2"/>
  <c r="K400" i="2"/>
  <c r="K399" i="2"/>
  <c r="K398" i="2"/>
  <c r="K397" i="2"/>
  <c r="K396" i="2"/>
  <c r="K395" i="2"/>
  <c r="K394" i="2"/>
  <c r="K393" i="2"/>
  <c r="K392" i="2"/>
  <c r="K391" i="2"/>
  <c r="K390" i="2"/>
  <c r="K389" i="2"/>
  <c r="K388" i="2"/>
  <c r="K387" i="2"/>
  <c r="K386" i="2"/>
  <c r="K385" i="2"/>
  <c r="K384" i="2"/>
  <c r="K383" i="2"/>
  <c r="K382" i="2"/>
  <c r="K381" i="2"/>
  <c r="K380" i="2"/>
  <c r="K379" i="2"/>
  <c r="K378" i="2"/>
  <c r="K377" i="2"/>
  <c r="K376" i="2"/>
  <c r="K375" i="2"/>
  <c r="K374" i="2"/>
  <c r="K373" i="2"/>
  <c r="K372" i="2"/>
  <c r="K371" i="2"/>
  <c r="K370" i="2"/>
  <c r="K369" i="2"/>
  <c r="K368" i="2"/>
  <c r="K367" i="2"/>
  <c r="K366" i="2"/>
  <c r="K365" i="2"/>
  <c r="K364" i="2"/>
  <c r="K363" i="2"/>
  <c r="K362" i="2"/>
  <c r="K361" i="2"/>
  <c r="K360" i="2"/>
  <c r="K359" i="2"/>
  <c r="K358" i="2"/>
  <c r="K357" i="2"/>
  <c r="K356" i="2"/>
  <c r="K355" i="2"/>
  <c r="K354" i="2"/>
  <c r="K353" i="2"/>
  <c r="K352" i="2"/>
  <c r="K351" i="2"/>
  <c r="K350" i="2"/>
  <c r="K349" i="2"/>
  <c r="K348" i="2"/>
  <c r="K347" i="2"/>
  <c r="K346" i="2"/>
  <c r="K345" i="2"/>
  <c r="K344" i="2"/>
  <c r="K343" i="2"/>
  <c r="K342" i="2"/>
  <c r="K341" i="2"/>
  <c r="K340" i="2"/>
  <c r="K339" i="2"/>
  <c r="K338" i="2"/>
  <c r="K337" i="2"/>
  <c r="K336" i="2"/>
  <c r="K335" i="2"/>
  <c r="K334" i="2"/>
  <c r="K333" i="2"/>
  <c r="K332" i="2"/>
  <c r="K331" i="2"/>
  <c r="K330" i="2"/>
  <c r="K329" i="2"/>
  <c r="K328" i="2"/>
  <c r="K327" i="2"/>
  <c r="K326" i="2"/>
  <c r="K325" i="2"/>
  <c r="K324" i="2"/>
  <c r="K323" i="2"/>
  <c r="K322" i="2"/>
  <c r="K321" i="2"/>
  <c r="K320" i="2"/>
  <c r="K319" i="2"/>
  <c r="K318" i="2"/>
  <c r="K317" i="2"/>
  <c r="K316" i="2"/>
  <c r="K315" i="2"/>
  <c r="K314" i="2"/>
  <c r="K313" i="2"/>
  <c r="K312" i="2"/>
  <c r="K311" i="2"/>
  <c r="K310" i="2"/>
  <c r="K309" i="2"/>
  <c r="K308" i="2"/>
  <c r="K307" i="2"/>
  <c r="K306" i="2"/>
  <c r="K305" i="2"/>
  <c r="K304" i="2"/>
  <c r="K303" i="2"/>
  <c r="K302" i="2"/>
  <c r="K301" i="2"/>
  <c r="K300" i="2"/>
  <c r="K299" i="2"/>
  <c r="K298" i="2"/>
  <c r="K297" i="2"/>
  <c r="K296" i="2"/>
  <c r="K295" i="2"/>
  <c r="K294" i="2"/>
  <c r="K293" i="2"/>
  <c r="K292" i="2"/>
  <c r="K291" i="2"/>
  <c r="K290" i="2"/>
  <c r="K289" i="2"/>
  <c r="K288" i="2"/>
  <c r="K287" i="2"/>
  <c r="K286" i="2"/>
  <c r="K285" i="2"/>
  <c r="K284" i="2"/>
  <c r="K283" i="2"/>
  <c r="K282" i="2"/>
  <c r="K281" i="2"/>
  <c r="K280" i="2"/>
  <c r="K279" i="2"/>
  <c r="K278" i="2"/>
  <c r="K277" i="2"/>
  <c r="K276" i="2"/>
  <c r="K275" i="2"/>
  <c r="K274" i="2"/>
  <c r="K273" i="2"/>
  <c r="K272" i="2"/>
  <c r="K271" i="2"/>
  <c r="K270" i="2"/>
  <c r="K269" i="2"/>
  <c r="K268" i="2"/>
  <c r="K267" i="2"/>
  <c r="K266" i="2"/>
  <c r="K265" i="2"/>
  <c r="K264" i="2"/>
  <c r="K263" i="2"/>
  <c r="K262" i="2"/>
  <c r="K261" i="2"/>
  <c r="K260" i="2"/>
  <c r="K259" i="2"/>
  <c r="K258" i="2"/>
  <c r="K257" i="2"/>
  <c r="K256" i="2"/>
  <c r="K255" i="2"/>
  <c r="K254" i="2"/>
  <c r="K253" i="2"/>
  <c r="K252" i="2"/>
  <c r="K251" i="2"/>
  <c r="K250" i="2"/>
  <c r="K249" i="2"/>
  <c r="K248" i="2"/>
  <c r="K247" i="2"/>
  <c r="K246" i="2"/>
  <c r="K245" i="2"/>
  <c r="K244" i="2"/>
  <c r="K243" i="2"/>
  <c r="K242" i="2"/>
  <c r="K241" i="2"/>
  <c r="K240" i="2"/>
  <c r="K239" i="2"/>
  <c r="K238" i="2"/>
  <c r="K237" i="2"/>
  <c r="K236" i="2"/>
  <c r="K235" i="2"/>
  <c r="K234" i="2"/>
  <c r="K233" i="2"/>
  <c r="K232" i="2"/>
  <c r="K231" i="2"/>
  <c r="K230" i="2"/>
  <c r="K229" i="2"/>
  <c r="K228" i="2"/>
  <c r="K227" i="2"/>
  <c r="K226" i="2"/>
  <c r="K225" i="2"/>
  <c r="K224" i="2"/>
  <c r="K223" i="2"/>
  <c r="K222" i="2"/>
  <c r="K221" i="2"/>
  <c r="K220" i="2"/>
  <c r="K219" i="2"/>
  <c r="K218" i="2"/>
  <c r="K217" i="2"/>
  <c r="K216" i="2"/>
  <c r="K215" i="2"/>
  <c r="K214" i="2"/>
  <c r="K213" i="2"/>
  <c r="K212" i="2"/>
  <c r="K211" i="2"/>
  <c r="K210" i="2"/>
  <c r="K209" i="2"/>
  <c r="K208" i="2"/>
  <c r="K207" i="2"/>
  <c r="K206" i="2"/>
  <c r="K205" i="2"/>
  <c r="K204" i="2"/>
  <c r="K203" i="2"/>
  <c r="K202" i="2"/>
  <c r="K201" i="2"/>
  <c r="K200" i="2"/>
  <c r="K199" i="2"/>
  <c r="K198" i="2"/>
  <c r="K197" i="2"/>
  <c r="K196" i="2"/>
  <c r="K191" i="2"/>
  <c r="K185" i="2"/>
  <c r="K184" i="2"/>
  <c r="K183" i="2"/>
  <c r="K165" i="2"/>
  <c r="K164" i="2"/>
  <c r="K163" i="2"/>
  <c r="K162" i="2"/>
  <c r="K161" i="2"/>
  <c r="K160" i="2"/>
  <c r="K159" i="2"/>
  <c r="K158" i="2"/>
  <c r="K157" i="2"/>
  <c r="K156" i="2"/>
  <c r="K155" i="2"/>
  <c r="K154" i="2"/>
  <c r="K153" i="2"/>
  <c r="K152" i="2"/>
  <c r="K151" i="2"/>
  <c r="K150" i="2"/>
  <c r="K149" i="2"/>
  <c r="K148" i="2"/>
  <c r="K147" i="2"/>
  <c r="K146" i="2"/>
  <c r="K145" i="2"/>
  <c r="K144" i="2"/>
  <c r="K143" i="2"/>
  <c r="K142" i="2"/>
  <c r="K141" i="2"/>
  <c r="K140" i="2"/>
  <c r="K139" i="2"/>
  <c r="K138" i="2"/>
  <c r="K137" i="2"/>
  <c r="K136" i="2"/>
  <c r="K135" i="2"/>
  <c r="K134" i="2"/>
  <c r="K133" i="2"/>
  <c r="K132" i="2"/>
  <c r="K131" i="2"/>
  <c r="K130" i="2"/>
  <c r="K129" i="2"/>
  <c r="K128" i="2"/>
  <c r="K127" i="2"/>
  <c r="K126" i="2"/>
  <c r="K125" i="2"/>
  <c r="K124" i="2"/>
  <c r="K123" i="2"/>
  <c r="K122" i="2"/>
  <c r="K121" i="2"/>
  <c r="K120" i="2"/>
  <c r="K119" i="2"/>
  <c r="K118" i="2"/>
  <c r="K117" i="2"/>
  <c r="K116" i="2"/>
  <c r="K115" i="2"/>
  <c r="K114" i="2"/>
  <c r="K113" i="2"/>
  <c r="K112" i="2"/>
  <c r="K111" i="2"/>
  <c r="K110" i="2"/>
  <c r="K109" i="2"/>
  <c r="K108" i="2"/>
  <c r="K107" i="2"/>
  <c r="K106" i="2"/>
  <c r="K105" i="2"/>
  <c r="K104" i="2"/>
  <c r="K103" i="2"/>
  <c r="K102" i="2"/>
  <c r="K101" i="2"/>
  <c r="K100" i="2"/>
  <c r="K99" i="2"/>
  <c r="K98" i="2"/>
  <c r="K97" i="2"/>
  <c r="K96" i="2"/>
  <c r="K95" i="2"/>
  <c r="K94" i="2"/>
  <c r="K93" i="2"/>
  <c r="K92" i="2"/>
  <c r="K91" i="2"/>
  <c r="K90" i="2"/>
  <c r="K89" i="2"/>
  <c r="K88" i="2"/>
  <c r="K87" i="2"/>
  <c r="K86" i="2"/>
  <c r="K85" i="2"/>
  <c r="K84" i="2"/>
  <c r="K83" i="2"/>
  <c r="K82" i="2"/>
  <c r="K81" i="2"/>
  <c r="K80" i="2"/>
  <c r="K79" i="2"/>
  <c r="K78" i="2"/>
  <c r="K77" i="2"/>
  <c r="K76" i="2"/>
  <c r="K75" i="2"/>
  <c r="K74" i="2"/>
  <c r="K73" i="2"/>
  <c r="K72" i="2"/>
  <c r="K71" i="2"/>
  <c r="K70" i="2"/>
  <c r="K69" i="2"/>
  <c r="K68" i="2"/>
  <c r="K67" i="2"/>
  <c r="K66" i="2"/>
  <c r="K65" i="2"/>
  <c r="K64" i="2"/>
  <c r="K63" i="2"/>
  <c r="K62" i="2"/>
  <c r="K61" i="2"/>
  <c r="K60" i="2"/>
  <c r="K59" i="2"/>
  <c r="K58" i="2"/>
  <c r="K57" i="2"/>
  <c r="K56" i="2"/>
  <c r="K55" i="2"/>
  <c r="K54" i="2"/>
  <c r="K53" i="2"/>
  <c r="K52" i="2"/>
  <c r="K51" i="2"/>
  <c r="K50" i="2"/>
  <c r="K49" i="2"/>
  <c r="K48" i="2"/>
  <c r="K47" i="2"/>
  <c r="K46" i="2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0" i="2"/>
  <c r="K19" i="2"/>
  <c r="K18" i="2"/>
  <c r="K17" i="2"/>
  <c r="K16" i="2"/>
  <c r="K15" i="2"/>
  <c r="K14" i="2"/>
  <c r="K13" i="2"/>
  <c r="K12" i="2"/>
  <c r="K11" i="2"/>
  <c r="K10" i="2"/>
  <c r="K9" i="2"/>
  <c r="K8" i="2"/>
  <c r="K7" i="2"/>
  <c r="K6" i="2"/>
  <c r="T1088" i="2" l="1"/>
  <c r="T1085" i="2"/>
  <c r="T1087" i="2"/>
  <c r="T1086" i="2"/>
  <c r="T1084" i="2"/>
  <c r="T1082" i="2"/>
  <c r="T1083" i="2"/>
  <c r="T989" i="2"/>
  <c r="T993" i="2"/>
  <c r="T997" i="2"/>
  <c r="T1001" i="2"/>
  <c r="T1005" i="2"/>
  <c r="T1013" i="2"/>
  <c r="T1017" i="2"/>
  <c r="T1021" i="2"/>
  <c r="T1025" i="2"/>
  <c r="T1029" i="2"/>
  <c r="T1033" i="2"/>
  <c r="T1037" i="2"/>
  <c r="T1041" i="2"/>
  <c r="T1045" i="2"/>
  <c r="T1049" i="2"/>
  <c r="T1053" i="2"/>
  <c r="T1057" i="2"/>
  <c r="T1061" i="2"/>
  <c r="T1065" i="2"/>
  <c r="T1069" i="2"/>
  <c r="T1073" i="2"/>
  <c r="T1077" i="2"/>
  <c r="T1081" i="2"/>
  <c r="T1074" i="2"/>
  <c r="T1078" i="2"/>
  <c r="T1075" i="2"/>
  <c r="T1079" i="2"/>
  <c r="T1080" i="2"/>
  <c r="T1076" i="2"/>
  <c r="T1072" i="2"/>
  <c r="T1070" i="2"/>
  <c r="T1071" i="2"/>
  <c r="T1066" i="2"/>
  <c r="T1067" i="2"/>
  <c r="T1068" i="2"/>
  <c r="T1064" i="2"/>
  <c r="T1050" i="2"/>
  <c r="T1054" i="2"/>
  <c r="T1058" i="2"/>
  <c r="T1062" i="2"/>
  <c r="T1051" i="2"/>
  <c r="T1055" i="2"/>
  <c r="T1059" i="2"/>
  <c r="T1063" i="2"/>
  <c r="T1052" i="2"/>
  <c r="T1056" i="2"/>
  <c r="T1060" i="2"/>
  <c r="T1042" i="2"/>
  <c r="T1046" i="2"/>
  <c r="T1043" i="2"/>
  <c r="T1047" i="2"/>
  <c r="T1044" i="2"/>
  <c r="T1048" i="2"/>
  <c r="T1040" i="2"/>
  <c r="T1034" i="2"/>
  <c r="T1038" i="2"/>
  <c r="T1039" i="2"/>
  <c r="T1036" i="2"/>
  <c r="T1035" i="2"/>
  <c r="T1032" i="2"/>
  <c r="T1010" i="2"/>
  <c r="T1014" i="2"/>
  <c r="T1018" i="2"/>
  <c r="T1022" i="2"/>
  <c r="T1026" i="2"/>
  <c r="T1030" i="2"/>
  <c r="T1011" i="2"/>
  <c r="T1015" i="2"/>
  <c r="T1019" i="2"/>
  <c r="T1023" i="2"/>
  <c r="T1027" i="2"/>
  <c r="T1031" i="2"/>
  <c r="T1012" i="2"/>
  <c r="T1016" i="2"/>
  <c r="T1020" i="2"/>
  <c r="T1024" i="2"/>
  <c r="T1028" i="2"/>
  <c r="T1009" i="2"/>
  <c r="T1008" i="2"/>
  <c r="T1007" i="2"/>
  <c r="T998" i="2"/>
  <c r="T1002" i="2"/>
  <c r="T1006" i="2"/>
  <c r="T1004" i="2"/>
  <c r="T999" i="2"/>
  <c r="T1003" i="2"/>
  <c r="T1000" i="2"/>
  <c r="T978" i="2"/>
  <c r="T982" i="2"/>
  <c r="T986" i="2"/>
  <c r="T990" i="2"/>
  <c r="T994" i="2"/>
  <c r="T995" i="2"/>
  <c r="T996" i="2"/>
  <c r="T992" i="2"/>
  <c r="T987" i="2"/>
  <c r="T991" i="2"/>
  <c r="T988" i="2"/>
  <c r="T981" i="2"/>
  <c r="T985" i="2"/>
  <c r="T983" i="2"/>
  <c r="T984" i="2"/>
  <c r="T980" i="2"/>
  <c r="T979" i="2"/>
  <c r="T976" i="2"/>
  <c r="T957" i="2"/>
  <c r="T961" i="2"/>
  <c r="T965" i="2"/>
  <c r="T969" i="2"/>
  <c r="T973" i="2"/>
  <c r="T977" i="2"/>
  <c r="T975" i="2"/>
  <c r="T974" i="2"/>
  <c r="T972" i="2"/>
  <c r="T971" i="2"/>
  <c r="T970" i="2"/>
  <c r="T963" i="2"/>
  <c r="T967" i="2"/>
  <c r="T968" i="2"/>
  <c r="T966" i="2"/>
  <c r="T964" i="2"/>
  <c r="T958" i="2"/>
  <c r="T962" i="2"/>
  <c r="T960" i="2"/>
  <c r="T959" i="2"/>
  <c r="T955" i="2"/>
  <c r="T956" i="2"/>
  <c r="T941" i="2"/>
  <c r="T945" i="2"/>
  <c r="T949" i="2"/>
  <c r="T953" i="2"/>
  <c r="T950" i="2"/>
  <c r="T954" i="2"/>
  <c r="T951" i="2"/>
  <c r="T952" i="2"/>
  <c r="T934" i="2"/>
  <c r="T938" i="2"/>
  <c r="T942" i="2"/>
  <c r="T946" i="2"/>
  <c r="T940" i="2"/>
  <c r="T944" i="2"/>
  <c r="T948" i="2"/>
  <c r="T931" i="2"/>
  <c r="T935" i="2"/>
  <c r="T939" i="2"/>
  <c r="T943" i="2"/>
  <c r="T947" i="2"/>
  <c r="T929" i="2"/>
  <c r="T933" i="2"/>
  <c r="T937" i="2"/>
  <c r="T932" i="2"/>
  <c r="T936" i="2"/>
  <c r="T930" i="2"/>
  <c r="T926" i="2"/>
  <c r="T927" i="2"/>
  <c r="T928" i="2"/>
  <c r="T917" i="2"/>
  <c r="T921" i="2"/>
  <c r="T925" i="2"/>
  <c r="T923" i="2"/>
  <c r="T924" i="2"/>
  <c r="T918" i="2"/>
  <c r="T922" i="2"/>
  <c r="T919" i="2"/>
  <c r="T920" i="2"/>
  <c r="T908" i="2"/>
  <c r="T912" i="2"/>
  <c r="T916" i="2"/>
  <c r="T915" i="2"/>
  <c r="T873" i="2"/>
  <c r="T877" i="2"/>
  <c r="T881" i="2"/>
  <c r="T885" i="2"/>
  <c r="T889" i="2"/>
  <c r="T893" i="2"/>
  <c r="T897" i="2"/>
  <c r="T901" i="2"/>
  <c r="T905" i="2"/>
  <c r="T909" i="2"/>
  <c r="T913" i="2"/>
  <c r="T910" i="2"/>
  <c r="T914" i="2"/>
  <c r="T907" i="2"/>
  <c r="T911" i="2"/>
  <c r="T906" i="2"/>
  <c r="T878" i="2"/>
  <c r="T882" i="2"/>
  <c r="T886" i="2"/>
  <c r="T890" i="2"/>
  <c r="T894" i="2"/>
  <c r="T898" i="2"/>
  <c r="T902" i="2"/>
  <c r="T899" i="2"/>
  <c r="T903" i="2"/>
  <c r="T904" i="2"/>
  <c r="T896" i="2"/>
  <c r="T900" i="2"/>
  <c r="T895" i="2"/>
  <c r="T892" i="2"/>
  <c r="T887" i="2"/>
  <c r="T891" i="2"/>
  <c r="T888" i="2"/>
  <c r="T884" i="2"/>
  <c r="T871" i="2"/>
  <c r="T875" i="2"/>
  <c r="T879" i="2"/>
  <c r="T883" i="2"/>
  <c r="T880" i="2"/>
  <c r="T876" i="2"/>
  <c r="T874" i="2"/>
  <c r="T872" i="2"/>
  <c r="T870" i="2"/>
  <c r="T849" i="2"/>
  <c r="T853" i="2"/>
  <c r="T857" i="2"/>
  <c r="T861" i="2"/>
  <c r="T865" i="2"/>
  <c r="T869" i="2"/>
  <c r="T867" i="2"/>
  <c r="T868" i="2"/>
  <c r="T862" i="2"/>
  <c r="T866" i="2"/>
  <c r="T863" i="2"/>
  <c r="T864" i="2"/>
  <c r="T846" i="2"/>
  <c r="T850" i="2"/>
  <c r="T854" i="2"/>
  <c r="T858" i="2"/>
  <c r="T847" i="2"/>
  <c r="T851" i="2"/>
  <c r="T855" i="2"/>
  <c r="T859" i="2"/>
  <c r="T852" i="2"/>
  <c r="T856" i="2"/>
  <c r="T860" i="2"/>
  <c r="T841" i="2"/>
  <c r="T845" i="2"/>
  <c r="T848" i="2"/>
  <c r="T838" i="2"/>
  <c r="T842" i="2"/>
  <c r="T783" i="2"/>
  <c r="T787" i="2"/>
  <c r="T791" i="2"/>
  <c r="T795" i="2"/>
  <c r="T799" i="2"/>
  <c r="T803" i="2"/>
  <c r="T807" i="2"/>
  <c r="T811" i="2"/>
  <c r="T815" i="2"/>
  <c r="T819" i="2"/>
  <c r="T823" i="2"/>
  <c r="T827" i="2"/>
  <c r="T831" i="2"/>
  <c r="T835" i="2"/>
  <c r="T839" i="2"/>
  <c r="T843" i="2"/>
  <c r="T828" i="2"/>
  <c r="T832" i="2"/>
  <c r="T836" i="2"/>
  <c r="T840" i="2"/>
  <c r="T844" i="2"/>
  <c r="T829" i="2"/>
  <c r="T833" i="2"/>
  <c r="T837" i="2"/>
  <c r="T826" i="2"/>
  <c r="T830" i="2"/>
  <c r="T834" i="2"/>
  <c r="T781" i="2"/>
  <c r="T785" i="2"/>
  <c r="T789" i="2"/>
  <c r="T793" i="2"/>
  <c r="T797" i="2"/>
  <c r="T801" i="2"/>
  <c r="T805" i="2"/>
  <c r="T809" i="2"/>
  <c r="T813" i="2"/>
  <c r="T817" i="2"/>
  <c r="T821" i="2"/>
  <c r="T825" i="2"/>
  <c r="T824" i="2"/>
  <c r="T822" i="2"/>
  <c r="T812" i="2"/>
  <c r="T816" i="2"/>
  <c r="T820" i="2"/>
  <c r="T782" i="2"/>
  <c r="T786" i="2"/>
  <c r="T790" i="2"/>
  <c r="T794" i="2"/>
  <c r="T798" i="2"/>
  <c r="T802" i="2"/>
  <c r="T806" i="2"/>
  <c r="T810" i="2"/>
  <c r="T814" i="2"/>
  <c r="T818" i="2"/>
  <c r="T768" i="2"/>
  <c r="T772" i="2"/>
  <c r="T776" i="2"/>
  <c r="T780" i="2"/>
  <c r="T784" i="2"/>
  <c r="T788" i="2"/>
  <c r="T792" i="2"/>
  <c r="T796" i="2"/>
  <c r="T800" i="2"/>
  <c r="T804" i="2"/>
  <c r="T808" i="2"/>
  <c r="T771" i="2"/>
  <c r="T775" i="2"/>
  <c r="T779" i="2"/>
  <c r="T749" i="2"/>
  <c r="T753" i="2"/>
  <c r="T757" i="2"/>
  <c r="T761" i="2"/>
  <c r="T765" i="2"/>
  <c r="T769" i="2"/>
  <c r="T773" i="2"/>
  <c r="T777" i="2"/>
  <c r="T750" i="2"/>
  <c r="T754" i="2"/>
  <c r="T758" i="2"/>
  <c r="T762" i="2"/>
  <c r="T766" i="2"/>
  <c r="T770" i="2"/>
  <c r="T774" i="2"/>
  <c r="T778" i="2"/>
  <c r="T755" i="2"/>
  <c r="T759" i="2"/>
  <c r="T763" i="2"/>
  <c r="T767" i="2"/>
  <c r="T760" i="2"/>
  <c r="T764" i="2"/>
  <c r="T756" i="2"/>
  <c r="T752" i="2"/>
  <c r="T751" i="2"/>
  <c r="T744" i="2"/>
  <c r="T748" i="2"/>
  <c r="T733" i="2"/>
  <c r="T737" i="2"/>
  <c r="T741" i="2"/>
  <c r="T745" i="2"/>
  <c r="T746" i="2"/>
  <c r="T743" i="2"/>
  <c r="T747" i="2"/>
  <c r="T742" i="2"/>
  <c r="T740" i="2"/>
  <c r="T738" i="2"/>
  <c r="T739" i="2"/>
  <c r="T724" i="2"/>
  <c r="T728" i="2"/>
  <c r="T732" i="2"/>
  <c r="T736" i="2"/>
  <c r="T730" i="2"/>
  <c r="T734" i="2"/>
  <c r="T735" i="2"/>
  <c r="T719" i="2"/>
  <c r="T723" i="2"/>
  <c r="T727" i="2"/>
  <c r="T731" i="2"/>
  <c r="T721" i="2"/>
  <c r="T725" i="2"/>
  <c r="T729" i="2"/>
  <c r="T722" i="2"/>
  <c r="T726" i="2"/>
  <c r="T720" i="2"/>
  <c r="T701" i="2"/>
  <c r="T705" i="2"/>
  <c r="T709" i="2"/>
  <c r="T713" i="2"/>
  <c r="T717" i="2"/>
  <c r="T706" i="2"/>
  <c r="T710" i="2"/>
  <c r="T714" i="2"/>
  <c r="T718" i="2"/>
  <c r="T707" i="2"/>
  <c r="T711" i="2"/>
  <c r="T715" i="2"/>
  <c r="T708" i="2"/>
  <c r="T712" i="2"/>
  <c r="T716" i="2"/>
  <c r="T704" i="2"/>
  <c r="T702" i="2"/>
  <c r="T703" i="2"/>
  <c r="T699" i="2"/>
  <c r="T696" i="2"/>
  <c r="T700" i="2"/>
  <c r="T689" i="2"/>
  <c r="T693" i="2"/>
  <c r="T697" i="2"/>
  <c r="T698" i="2"/>
  <c r="T690" i="2"/>
  <c r="T694" i="2"/>
  <c r="T695" i="2"/>
  <c r="T692" i="2"/>
  <c r="T691" i="2"/>
  <c r="T688" i="2"/>
  <c r="T687" i="2"/>
  <c r="T686" i="2"/>
  <c r="T680" i="2"/>
  <c r="T684" i="2"/>
  <c r="T625" i="2"/>
  <c r="T629" i="2"/>
  <c r="T633" i="2"/>
  <c r="T637" i="2"/>
  <c r="T641" i="2"/>
  <c r="T645" i="2"/>
  <c r="T649" i="2"/>
  <c r="T653" i="2"/>
  <c r="T657" i="2"/>
  <c r="T661" i="2"/>
  <c r="T665" i="2"/>
  <c r="T669" i="2"/>
  <c r="T673" i="2"/>
  <c r="T677" i="2"/>
  <c r="T681" i="2"/>
  <c r="T685" i="2"/>
  <c r="T682" i="2"/>
  <c r="T679" i="2"/>
  <c r="T683" i="2"/>
  <c r="T676" i="2"/>
  <c r="T678" i="2"/>
  <c r="T674" i="2"/>
  <c r="T675" i="2"/>
  <c r="T672" i="2"/>
  <c r="T670" i="2"/>
  <c r="T671" i="2"/>
  <c r="T667" i="2"/>
  <c r="T668" i="2"/>
  <c r="T666" i="2"/>
  <c r="T664" i="2"/>
  <c r="T663" i="2"/>
  <c r="T662" i="2"/>
  <c r="T660" i="2"/>
  <c r="T658" i="2"/>
  <c r="T659" i="2"/>
  <c r="T651" i="2"/>
  <c r="T655" i="2"/>
  <c r="T656" i="2"/>
  <c r="T650" i="2"/>
  <c r="T654" i="2"/>
  <c r="T652" i="2"/>
  <c r="T630" i="2"/>
  <c r="T634" i="2"/>
  <c r="T638" i="2"/>
  <c r="T642" i="2"/>
  <c r="T646" i="2"/>
  <c r="T643" i="2"/>
  <c r="T647" i="2"/>
  <c r="T648" i="2"/>
  <c r="T644" i="2"/>
  <c r="T623" i="2"/>
  <c r="T627" i="2"/>
  <c r="T631" i="2"/>
  <c r="T635" i="2"/>
  <c r="T639" i="2"/>
  <c r="T636" i="2"/>
  <c r="T640" i="2"/>
  <c r="T632" i="2"/>
  <c r="T628" i="2"/>
  <c r="T622" i="2"/>
  <c r="T626" i="2"/>
  <c r="T624" i="2"/>
  <c r="T613" i="2"/>
  <c r="T617" i="2"/>
  <c r="T621" i="2"/>
  <c r="T619" i="2"/>
  <c r="T620" i="2"/>
  <c r="T602" i="2"/>
  <c r="T606" i="2"/>
  <c r="T610" i="2"/>
  <c r="T614" i="2"/>
  <c r="T618" i="2"/>
  <c r="T616" i="2"/>
  <c r="T599" i="2"/>
  <c r="T603" i="2"/>
  <c r="T607" i="2"/>
  <c r="T611" i="2"/>
  <c r="T615" i="2"/>
  <c r="T612" i="2"/>
  <c r="T581" i="2"/>
  <c r="T585" i="2"/>
  <c r="T589" i="2"/>
  <c r="T593" i="2"/>
  <c r="T597" i="2"/>
  <c r="T601" i="2"/>
  <c r="T605" i="2"/>
  <c r="T609" i="2"/>
  <c r="T600" i="2"/>
  <c r="T604" i="2"/>
  <c r="T608" i="2"/>
  <c r="T598" i="2"/>
  <c r="T586" i="2"/>
  <c r="T590" i="2"/>
  <c r="T594" i="2"/>
  <c r="T583" i="2"/>
  <c r="T587" i="2"/>
  <c r="T591" i="2"/>
  <c r="T595" i="2"/>
  <c r="T584" i="2"/>
  <c r="T588" i="2"/>
  <c r="T592" i="2"/>
  <c r="T596" i="2"/>
  <c r="T578" i="2"/>
  <c r="T582" i="2"/>
  <c r="T557" i="2"/>
  <c r="T561" i="2"/>
  <c r="T565" i="2"/>
  <c r="T569" i="2"/>
  <c r="T573" i="2"/>
  <c r="T577" i="2"/>
  <c r="T580" i="2"/>
  <c r="T579" i="2"/>
  <c r="T576" i="2"/>
  <c r="T566" i="2"/>
  <c r="T570" i="2"/>
  <c r="T574" i="2"/>
  <c r="T575" i="2"/>
  <c r="T567" i="2"/>
  <c r="T571" i="2"/>
  <c r="T564" i="2"/>
  <c r="T568" i="2"/>
  <c r="T572" i="2"/>
  <c r="T563" i="2"/>
  <c r="T562" i="2"/>
  <c r="T555" i="2"/>
  <c r="T559" i="2"/>
  <c r="T560" i="2"/>
  <c r="T558" i="2"/>
  <c r="T556" i="2"/>
  <c r="T554" i="2"/>
  <c r="T525" i="2"/>
  <c r="T529" i="2"/>
  <c r="T533" i="2"/>
  <c r="T537" i="2"/>
  <c r="T541" i="2"/>
  <c r="T545" i="2"/>
  <c r="T549" i="2"/>
  <c r="T553" i="2"/>
  <c r="T551" i="2"/>
  <c r="T552" i="2"/>
  <c r="T550" i="2"/>
  <c r="T548" i="2"/>
  <c r="T547" i="2"/>
  <c r="T546" i="2"/>
  <c r="T544" i="2"/>
  <c r="T543" i="2"/>
  <c r="T542" i="2"/>
  <c r="T539" i="2"/>
  <c r="T540" i="2"/>
  <c r="T538" i="2"/>
  <c r="T526" i="2"/>
  <c r="T530" i="2"/>
  <c r="T534" i="2"/>
  <c r="T523" i="2"/>
  <c r="T527" i="2"/>
  <c r="T531" i="2"/>
  <c r="T535" i="2"/>
  <c r="T536" i="2"/>
  <c r="T532" i="2"/>
  <c r="T528" i="2"/>
  <c r="T524" i="2"/>
  <c r="T517" i="2"/>
  <c r="T521" i="2"/>
  <c r="T522" i="2"/>
  <c r="T520" i="2"/>
  <c r="T519" i="2"/>
  <c r="T510" i="2"/>
  <c r="T514" i="2"/>
  <c r="T518" i="2"/>
  <c r="T511" i="2"/>
  <c r="T515" i="2"/>
  <c r="T516" i="2"/>
  <c r="T509" i="2"/>
  <c r="T513" i="2"/>
  <c r="T512" i="2"/>
  <c r="T506" i="2"/>
  <c r="T507" i="2"/>
  <c r="T508" i="2"/>
  <c r="T505" i="2"/>
  <c r="T503" i="2"/>
  <c r="T500" i="2"/>
  <c r="T504" i="2"/>
  <c r="T502" i="2"/>
  <c r="T501" i="2"/>
  <c r="T499" i="2"/>
  <c r="T498" i="2"/>
  <c r="T493" i="2"/>
  <c r="T497" i="2"/>
  <c r="T496" i="2"/>
  <c r="T486" i="2"/>
  <c r="T490" i="2"/>
  <c r="T494" i="2"/>
  <c r="T491" i="2"/>
  <c r="T495" i="2"/>
  <c r="T488" i="2"/>
  <c r="T492" i="2"/>
  <c r="T477" i="2"/>
  <c r="T481" i="2"/>
  <c r="T485" i="2"/>
  <c r="T489" i="2"/>
  <c r="T487" i="2"/>
  <c r="T483" i="2"/>
  <c r="T484" i="2"/>
  <c r="T482" i="2"/>
  <c r="T478" i="2"/>
  <c r="T479" i="2"/>
  <c r="T480" i="2"/>
  <c r="T476" i="2"/>
  <c r="T473" i="2"/>
  <c r="T475" i="2"/>
  <c r="T474" i="2"/>
  <c r="T472" i="2"/>
  <c r="T471" i="2"/>
  <c r="T429" i="2"/>
  <c r="T433" i="2"/>
  <c r="T437" i="2"/>
  <c r="T441" i="2"/>
  <c r="T445" i="2"/>
  <c r="T449" i="2"/>
  <c r="T453" i="2"/>
  <c r="T457" i="2"/>
  <c r="T461" i="2"/>
  <c r="T465" i="2"/>
  <c r="T469" i="2"/>
  <c r="T470" i="2"/>
  <c r="T454" i="2"/>
  <c r="T458" i="2"/>
  <c r="T462" i="2"/>
  <c r="T466" i="2"/>
  <c r="T463" i="2"/>
  <c r="T467" i="2"/>
  <c r="T464" i="2"/>
  <c r="T468" i="2"/>
  <c r="T455" i="2"/>
  <c r="T459" i="2"/>
  <c r="T456" i="2"/>
  <c r="T460" i="2"/>
  <c r="T452" i="2"/>
  <c r="T451" i="2"/>
  <c r="T448" i="2"/>
  <c r="T450" i="2"/>
  <c r="T447" i="2"/>
  <c r="T446" i="2"/>
  <c r="T443" i="2"/>
  <c r="T444" i="2"/>
  <c r="T442" i="2"/>
  <c r="T438" i="2"/>
  <c r="T435" i="2"/>
  <c r="T439" i="2"/>
  <c r="T440" i="2"/>
  <c r="T436" i="2"/>
  <c r="T434" i="2"/>
  <c r="T427" i="2"/>
  <c r="T431" i="2"/>
  <c r="T428" i="2"/>
  <c r="T432" i="2"/>
  <c r="T430" i="2"/>
  <c r="T381" i="2"/>
  <c r="W381" i="2" s="1"/>
  <c r="Z381" i="2" s="1"/>
  <c r="T385" i="2"/>
  <c r="W385" i="2" s="1"/>
  <c r="Z385" i="2" s="1"/>
  <c r="T389" i="2"/>
  <c r="W389" i="2" s="1"/>
  <c r="Z389" i="2" s="1"/>
  <c r="T393" i="2"/>
  <c r="W393" i="2" s="1"/>
  <c r="Z393" i="2" s="1"/>
  <c r="T397" i="2"/>
  <c r="W397" i="2" s="1"/>
  <c r="Z397" i="2" s="1"/>
  <c r="T401" i="2"/>
  <c r="T405" i="2"/>
  <c r="T409" i="2"/>
  <c r="T413" i="2"/>
  <c r="T417" i="2"/>
  <c r="W417" i="2" s="1"/>
  <c r="Z417" i="2" s="1"/>
  <c r="T421" i="2"/>
  <c r="W421" i="2" s="1"/>
  <c r="Z421" i="2" s="1"/>
  <c r="T425" i="2"/>
  <c r="T414" i="2"/>
  <c r="T418" i="2"/>
  <c r="W418" i="2" s="1"/>
  <c r="Z418" i="2" s="1"/>
  <c r="T422" i="2"/>
  <c r="W422" i="2" s="1"/>
  <c r="Z422" i="2" s="1"/>
  <c r="T426" i="2"/>
  <c r="T399" i="2"/>
  <c r="T403" i="2"/>
  <c r="T407" i="2"/>
  <c r="T411" i="2"/>
  <c r="T415" i="2"/>
  <c r="W415" i="2" s="1"/>
  <c r="Z415" i="2" s="1"/>
  <c r="T419" i="2"/>
  <c r="W419" i="2" s="1"/>
  <c r="Z419" i="2" s="1"/>
  <c r="T423" i="2"/>
  <c r="W423" i="2" s="1"/>
  <c r="Z423" i="2" s="1"/>
  <c r="T412" i="2"/>
  <c r="T416" i="2"/>
  <c r="W416" i="2" s="1"/>
  <c r="Z416" i="2" s="1"/>
  <c r="T420" i="2"/>
  <c r="W420" i="2" s="1"/>
  <c r="Z420" i="2" s="1"/>
  <c r="T424" i="2"/>
  <c r="T398" i="2"/>
  <c r="T402" i="2"/>
  <c r="T406" i="2"/>
  <c r="T410" i="2"/>
  <c r="T404" i="2"/>
  <c r="T408" i="2"/>
  <c r="T400" i="2"/>
  <c r="T370" i="2"/>
  <c r="W370" i="2" s="1"/>
  <c r="Z370" i="2" s="1"/>
  <c r="T374" i="2"/>
  <c r="T378" i="2"/>
  <c r="W378" i="2" s="1"/>
  <c r="Z378" i="2" s="1"/>
  <c r="T382" i="2"/>
  <c r="W382" i="2" s="1"/>
  <c r="Z382" i="2" s="1"/>
  <c r="T386" i="2"/>
  <c r="W386" i="2" s="1"/>
  <c r="Z386" i="2" s="1"/>
  <c r="T390" i="2"/>
  <c r="W390" i="2" s="1"/>
  <c r="Z390" i="2" s="1"/>
  <c r="T394" i="2"/>
  <c r="T391" i="2"/>
  <c r="W391" i="2" s="1"/>
  <c r="Z391" i="2" s="1"/>
  <c r="T395" i="2"/>
  <c r="T392" i="2"/>
  <c r="W392" i="2" s="1"/>
  <c r="Z392" i="2" s="1"/>
  <c r="T396" i="2"/>
  <c r="W396" i="2" s="1"/>
  <c r="Z396" i="2" s="1"/>
  <c r="T387" i="2"/>
  <c r="W387" i="2" s="1"/>
  <c r="Z387" i="2" s="1"/>
  <c r="T376" i="2"/>
  <c r="W376" i="2" s="1"/>
  <c r="Z376" i="2" s="1"/>
  <c r="T380" i="2"/>
  <c r="W380" i="2" s="1"/>
  <c r="Z380" i="2" s="1"/>
  <c r="T384" i="2"/>
  <c r="W384" i="2" s="1"/>
  <c r="Z384" i="2" s="1"/>
  <c r="T388" i="2"/>
  <c r="W388" i="2" s="1"/>
  <c r="Z388" i="2" s="1"/>
  <c r="T383" i="2"/>
  <c r="W383" i="2" s="1"/>
  <c r="Z383" i="2" s="1"/>
  <c r="T377" i="2"/>
  <c r="W377" i="2" s="1"/>
  <c r="Z377" i="2" s="1"/>
  <c r="T375" i="2"/>
  <c r="W375" i="2" s="1"/>
  <c r="Z375" i="2" s="1"/>
  <c r="T379" i="2"/>
  <c r="W379" i="2" s="1"/>
  <c r="Z379" i="2" s="1"/>
  <c r="T369" i="2"/>
  <c r="W369" i="2" s="1"/>
  <c r="Z369" i="2" s="1"/>
  <c r="T373" i="2"/>
  <c r="W373" i="2" s="1"/>
  <c r="Z373" i="2" s="1"/>
  <c r="T372" i="2"/>
  <c r="W372" i="2" s="1"/>
  <c r="Z372" i="2" s="1"/>
  <c r="T371" i="2"/>
  <c r="W371" i="2" s="1"/>
  <c r="Z371" i="2" s="1"/>
  <c r="T368" i="2"/>
  <c r="W368" i="2" s="1"/>
  <c r="Z368" i="2" s="1"/>
  <c r="T367" i="2"/>
  <c r="W367" i="2" s="1"/>
  <c r="Z367" i="2" s="1"/>
  <c r="T366" i="2"/>
  <c r="W366" i="2" s="1"/>
  <c r="Z366" i="2" s="1"/>
  <c r="T364" i="2"/>
  <c r="W364" i="2" s="1"/>
  <c r="Z364" i="2" s="1"/>
  <c r="T361" i="2"/>
  <c r="W361" i="2" s="1"/>
  <c r="Z361" i="2" s="1"/>
  <c r="T365" i="2"/>
  <c r="W365" i="2" s="1"/>
  <c r="Z365" i="2" s="1"/>
  <c r="T362" i="2"/>
  <c r="W362" i="2" s="1"/>
  <c r="Z362" i="2" s="1"/>
  <c r="T363" i="2"/>
  <c r="W363" i="2" s="1"/>
  <c r="Z363" i="2" s="1"/>
  <c r="T359" i="2"/>
  <c r="W359" i="2" s="1"/>
  <c r="Z359" i="2" s="1"/>
  <c r="T360" i="2"/>
  <c r="W360" i="2" s="1"/>
  <c r="Z360" i="2" s="1"/>
  <c r="T354" i="2"/>
  <c r="W354" i="2" s="1"/>
  <c r="Z354" i="2" s="1"/>
  <c r="T358" i="2"/>
  <c r="W358" i="2" s="1"/>
  <c r="Z358" i="2" s="1"/>
  <c r="T357" i="2"/>
  <c r="W357" i="2" s="1"/>
  <c r="Z357" i="2" s="1"/>
  <c r="T355" i="2"/>
  <c r="W355" i="2" s="1"/>
  <c r="Z355" i="2" s="1"/>
  <c r="T356" i="2"/>
  <c r="W356" i="2" s="1"/>
  <c r="Z356" i="2" s="1"/>
  <c r="T345" i="2"/>
  <c r="W345" i="2" s="1"/>
  <c r="Z345" i="2" s="1"/>
  <c r="T349" i="2"/>
  <c r="T353" i="2"/>
  <c r="W353" i="2" s="1"/>
  <c r="Z353" i="2" s="1"/>
  <c r="T339" i="2"/>
  <c r="W339" i="2" s="1"/>
  <c r="Z339" i="2" s="1"/>
  <c r="T343" i="2"/>
  <c r="T347" i="2"/>
  <c r="W347" i="2" s="1"/>
  <c r="Z347" i="2" s="1"/>
  <c r="T351" i="2"/>
  <c r="W351" i="2" s="1"/>
  <c r="Z351" i="2" s="1"/>
  <c r="T352" i="2"/>
  <c r="W352" i="2" s="1"/>
  <c r="Z352" i="2" s="1"/>
  <c r="T342" i="2"/>
  <c r="T346" i="2"/>
  <c r="W346" i="2" s="1"/>
  <c r="Z346" i="2" s="1"/>
  <c r="T350" i="2"/>
  <c r="T344" i="2"/>
  <c r="W344" i="2" s="1"/>
  <c r="Z344" i="2" s="1"/>
  <c r="T348" i="2"/>
  <c r="T293" i="2"/>
  <c r="T297" i="2"/>
  <c r="W297" i="2" s="1"/>
  <c r="Z297" i="2" s="1"/>
  <c r="T301" i="2"/>
  <c r="W301" i="2" s="1"/>
  <c r="Z301" i="2" s="1"/>
  <c r="T305" i="2"/>
  <c r="W305" i="2" s="1"/>
  <c r="Z305" i="2" s="1"/>
  <c r="T309" i="2"/>
  <c r="W309" i="2" s="1"/>
  <c r="Z309" i="2" s="1"/>
  <c r="T313" i="2"/>
  <c r="W313" i="2" s="1"/>
  <c r="Z313" i="2" s="1"/>
  <c r="T317" i="2"/>
  <c r="W317" i="2" s="1"/>
  <c r="Z317" i="2" s="1"/>
  <c r="T321" i="2"/>
  <c r="W321" i="2" s="1"/>
  <c r="Z321" i="2" s="1"/>
  <c r="T325" i="2"/>
  <c r="W325" i="2" s="1"/>
  <c r="Z325" i="2" s="1"/>
  <c r="T329" i="2"/>
  <c r="W329" i="2" s="1"/>
  <c r="Z329" i="2" s="1"/>
  <c r="T333" i="2"/>
  <c r="T337" i="2"/>
  <c r="W337" i="2" s="1"/>
  <c r="Z337" i="2" s="1"/>
  <c r="T341" i="2"/>
  <c r="T336" i="2"/>
  <c r="W336" i="2" s="1"/>
  <c r="Z336" i="2" s="1"/>
  <c r="T340" i="2"/>
  <c r="T338" i="2"/>
  <c r="W338" i="2" s="1"/>
  <c r="Z338" i="2" s="1"/>
  <c r="T335" i="2"/>
  <c r="W335" i="2" s="1"/>
  <c r="Z335" i="2" s="1"/>
  <c r="T334" i="2"/>
  <c r="W334" i="2" s="1"/>
  <c r="Z334" i="2" s="1"/>
  <c r="T331" i="2"/>
  <c r="W331" i="2" s="1"/>
  <c r="Z331" i="2" s="1"/>
  <c r="T332" i="2"/>
  <c r="W332" i="2" s="1"/>
  <c r="Z332" i="2" s="1"/>
  <c r="T326" i="2"/>
  <c r="W326" i="2" s="1"/>
  <c r="Z326" i="2" s="1"/>
  <c r="T330" i="2"/>
  <c r="W330" i="2" s="1"/>
  <c r="Z330" i="2" s="1"/>
  <c r="T327" i="2"/>
  <c r="W327" i="2" s="1"/>
  <c r="Z327" i="2" s="1"/>
  <c r="T328" i="2"/>
  <c r="W328" i="2" s="1"/>
  <c r="Z328" i="2" s="1"/>
  <c r="T314" i="2"/>
  <c r="W314" i="2" s="1"/>
  <c r="Z314" i="2" s="1"/>
  <c r="T318" i="2"/>
  <c r="W318" i="2" s="1"/>
  <c r="Z318" i="2" s="1"/>
  <c r="T322" i="2"/>
  <c r="W322" i="2" s="1"/>
  <c r="Z322" i="2" s="1"/>
  <c r="T315" i="2"/>
  <c r="W315" i="2" s="1"/>
  <c r="Z315" i="2" s="1"/>
  <c r="T319" i="2"/>
  <c r="W319" i="2" s="1"/>
  <c r="Z319" i="2" s="1"/>
  <c r="T323" i="2"/>
  <c r="W323" i="2" s="1"/>
  <c r="Z323" i="2" s="1"/>
  <c r="T324" i="2"/>
  <c r="W324" i="2" s="1"/>
  <c r="Z324" i="2" s="1"/>
  <c r="T312" i="2"/>
  <c r="W312" i="2" s="1"/>
  <c r="Z312" i="2" s="1"/>
  <c r="T316" i="2"/>
  <c r="W316" i="2" s="1"/>
  <c r="Z316" i="2" s="1"/>
  <c r="T320" i="2"/>
  <c r="W320" i="2" s="1"/>
  <c r="Z320" i="2" s="1"/>
  <c r="T310" i="2"/>
  <c r="W310" i="2" s="1"/>
  <c r="Z310" i="2" s="1"/>
  <c r="T311" i="2"/>
  <c r="W311" i="2" s="1"/>
  <c r="Z311" i="2" s="1"/>
  <c r="T298" i="2"/>
  <c r="T302" i="2"/>
  <c r="W302" i="2" s="1"/>
  <c r="Z302" i="2" s="1"/>
  <c r="T306" i="2"/>
  <c r="W306" i="2" s="1"/>
  <c r="Z306" i="2" s="1"/>
  <c r="T304" i="2"/>
  <c r="W304" i="2" s="1"/>
  <c r="Z304" i="2" s="1"/>
  <c r="T308" i="2"/>
  <c r="W308" i="2" s="1"/>
  <c r="Z308" i="2" s="1"/>
  <c r="T307" i="2"/>
  <c r="W307" i="2" s="1"/>
  <c r="Z307" i="2" s="1"/>
  <c r="T299" i="2"/>
  <c r="W299" i="2" s="1"/>
  <c r="Z299" i="2" s="1"/>
  <c r="T303" i="2"/>
  <c r="W303" i="2" s="1"/>
  <c r="Z303" i="2" s="1"/>
  <c r="T296" i="2"/>
  <c r="W296" i="2" s="1"/>
  <c r="Z296" i="2" s="1"/>
  <c r="T300" i="2"/>
  <c r="W300" i="2" s="1"/>
  <c r="Z300" i="2" s="1"/>
  <c r="T294" i="2"/>
  <c r="T295" i="2"/>
  <c r="T292" i="2"/>
  <c r="T285" i="2"/>
  <c r="T289" i="2"/>
  <c r="T290" i="2"/>
  <c r="T291" i="2"/>
  <c r="T288" i="2"/>
  <c r="T287" i="2"/>
  <c r="T286" i="2"/>
  <c r="T284" i="2"/>
  <c r="W284" i="2" s="1"/>
  <c r="Z284" i="2" s="1"/>
  <c r="T282" i="2"/>
  <c r="W282" i="2" s="1"/>
  <c r="Z282" i="2" s="1"/>
  <c r="T283" i="2"/>
  <c r="W283" i="2" s="1"/>
  <c r="Z283" i="2" s="1"/>
  <c r="T273" i="2"/>
  <c r="W273" i="2" s="1"/>
  <c r="Z273" i="2" s="1"/>
  <c r="T277" i="2"/>
  <c r="W277" i="2" s="1"/>
  <c r="Z277" i="2" s="1"/>
  <c r="T281" i="2"/>
  <c r="W281" i="2" s="1"/>
  <c r="Z281" i="2" s="1"/>
  <c r="T280" i="2"/>
  <c r="W280" i="2" s="1"/>
  <c r="Z280" i="2" s="1"/>
  <c r="T278" i="2"/>
  <c r="W278" i="2" s="1"/>
  <c r="Z278" i="2" s="1"/>
  <c r="T275" i="2"/>
  <c r="W275" i="2" s="1"/>
  <c r="Z275" i="2" s="1"/>
  <c r="T279" i="2"/>
  <c r="W279" i="2" s="1"/>
  <c r="Z279" i="2" s="1"/>
  <c r="T272" i="2"/>
  <c r="T276" i="2"/>
  <c r="W276" i="2" s="1"/>
  <c r="Z276" i="2" s="1"/>
  <c r="T274" i="2"/>
  <c r="W274" i="2" s="1"/>
  <c r="Z274" i="2" s="1"/>
  <c r="T266" i="2"/>
  <c r="W266" i="2" s="1"/>
  <c r="Z266" i="2" s="1"/>
  <c r="T270" i="2"/>
  <c r="W270" i="2" s="1"/>
  <c r="Z270" i="2" s="1"/>
  <c r="T267" i="2"/>
  <c r="W267" i="2" s="1"/>
  <c r="Z267" i="2" s="1"/>
  <c r="T271" i="2"/>
  <c r="W271" i="2" s="1"/>
  <c r="Z271" i="2" s="1"/>
  <c r="T269" i="2"/>
  <c r="W269" i="2" s="1"/>
  <c r="Z269" i="2" s="1"/>
  <c r="T256" i="2"/>
  <c r="W256" i="2" s="1"/>
  <c r="Z256" i="2" s="1"/>
  <c r="T260" i="2"/>
  <c r="W260" i="2" s="1"/>
  <c r="Z260" i="2" s="1"/>
  <c r="T264" i="2"/>
  <c r="W264" i="2" s="1"/>
  <c r="Z264" i="2" s="1"/>
  <c r="T268" i="2"/>
  <c r="W268" i="2" s="1"/>
  <c r="Z268" i="2" s="1"/>
  <c r="T217" i="2"/>
  <c r="W217" i="2" s="1"/>
  <c r="Z217" i="2" s="1"/>
  <c r="T221" i="2"/>
  <c r="W221" i="2" s="1"/>
  <c r="Z221" i="2" s="1"/>
  <c r="T225" i="2"/>
  <c r="W225" i="2" s="1"/>
  <c r="Z225" i="2" s="1"/>
  <c r="T229" i="2"/>
  <c r="W229" i="2" s="1"/>
  <c r="Z229" i="2" s="1"/>
  <c r="T233" i="2"/>
  <c r="W233" i="2" s="1"/>
  <c r="Z233" i="2" s="1"/>
  <c r="T237" i="2"/>
  <c r="W237" i="2" s="1"/>
  <c r="Z237" i="2" s="1"/>
  <c r="T241" i="2"/>
  <c r="W241" i="2" s="1"/>
  <c r="Z241" i="2" s="1"/>
  <c r="T245" i="2"/>
  <c r="T249" i="2"/>
  <c r="T253" i="2"/>
  <c r="W253" i="2" s="1"/>
  <c r="Z253" i="2" s="1"/>
  <c r="T257" i="2"/>
  <c r="W257" i="2" s="1"/>
  <c r="Z257" i="2" s="1"/>
  <c r="T261" i="2"/>
  <c r="W261" i="2" s="1"/>
  <c r="Z261" i="2" s="1"/>
  <c r="T265" i="2"/>
  <c r="W265" i="2" s="1"/>
  <c r="Z265" i="2" s="1"/>
  <c r="T230" i="2"/>
  <c r="W230" i="2" s="1"/>
  <c r="Z230" i="2" s="1"/>
  <c r="T234" i="2"/>
  <c r="W234" i="2" s="1"/>
  <c r="Z234" i="2" s="1"/>
  <c r="T238" i="2"/>
  <c r="W238" i="2" s="1"/>
  <c r="Z238" i="2" s="1"/>
  <c r="T242" i="2"/>
  <c r="W242" i="2" s="1"/>
  <c r="Z242" i="2" s="1"/>
  <c r="T246" i="2"/>
  <c r="T250" i="2"/>
  <c r="W250" i="2" s="1"/>
  <c r="Z250" i="2" s="1"/>
  <c r="T254" i="2"/>
  <c r="W254" i="2" s="1"/>
  <c r="Z254" i="2" s="1"/>
  <c r="T258" i="2"/>
  <c r="W258" i="2" s="1"/>
  <c r="Z258" i="2" s="1"/>
  <c r="T262" i="2"/>
  <c r="W262" i="2" s="1"/>
  <c r="Z262" i="2" s="1"/>
  <c r="T259" i="2"/>
  <c r="W259" i="2" s="1"/>
  <c r="Z259" i="2" s="1"/>
  <c r="T263" i="2"/>
  <c r="W263" i="2" s="1"/>
  <c r="Z263" i="2" s="1"/>
  <c r="T243" i="2"/>
  <c r="W243" i="2" s="1"/>
  <c r="Z243" i="2" s="1"/>
  <c r="T247" i="2"/>
  <c r="T251" i="2"/>
  <c r="W251" i="2" s="1"/>
  <c r="Z251" i="2" s="1"/>
  <c r="T255" i="2"/>
  <c r="W255" i="2" s="1"/>
  <c r="Z255" i="2" s="1"/>
  <c r="T244" i="2"/>
  <c r="T248" i="2"/>
  <c r="T252" i="2"/>
  <c r="W252" i="2" s="1"/>
  <c r="Z252" i="2" s="1"/>
  <c r="T239" i="2"/>
  <c r="W239" i="2" s="1"/>
  <c r="Z239" i="2" s="1"/>
  <c r="T240" i="2"/>
  <c r="W240" i="2" s="1"/>
  <c r="Z240" i="2" s="1"/>
  <c r="T235" i="2"/>
  <c r="W235" i="2" s="1"/>
  <c r="Z235" i="2" s="1"/>
  <c r="T236" i="2"/>
  <c r="W236" i="2" s="1"/>
  <c r="Z236" i="2" s="1"/>
  <c r="T231" i="2"/>
  <c r="W231" i="2" s="1"/>
  <c r="Z231" i="2" s="1"/>
  <c r="T228" i="2"/>
  <c r="W228" i="2" s="1"/>
  <c r="Z228" i="2" s="1"/>
  <c r="T232" i="2"/>
  <c r="W232" i="2" s="1"/>
  <c r="Z232" i="2" s="1"/>
  <c r="T222" i="2"/>
  <c r="W222" i="2" s="1"/>
  <c r="Z222" i="2" s="1"/>
  <c r="T226" i="2"/>
  <c r="W226" i="2" s="1"/>
  <c r="Z226" i="2" s="1"/>
  <c r="T195" i="2"/>
  <c r="T199" i="2"/>
  <c r="W199" i="2" s="1"/>
  <c r="Z199" i="2" s="1"/>
  <c r="T203" i="2"/>
  <c r="W203" i="2" s="1"/>
  <c r="Z203" i="2" s="1"/>
  <c r="T207" i="2"/>
  <c r="W207" i="2" s="1"/>
  <c r="Z207" i="2" s="1"/>
  <c r="T211" i="2"/>
  <c r="W211" i="2" s="1"/>
  <c r="Z211" i="2" s="1"/>
  <c r="T215" i="2"/>
  <c r="W215" i="2" s="1"/>
  <c r="Z215" i="2" s="1"/>
  <c r="T219" i="2"/>
  <c r="W219" i="2" s="1"/>
  <c r="Z219" i="2" s="1"/>
  <c r="T223" i="2"/>
  <c r="W223" i="2" s="1"/>
  <c r="Z223" i="2" s="1"/>
  <c r="T227" i="2"/>
  <c r="W227" i="2" s="1"/>
  <c r="Z227" i="2" s="1"/>
  <c r="T224" i="2"/>
  <c r="W224" i="2" s="1"/>
  <c r="Z224" i="2" s="1"/>
  <c r="T216" i="2"/>
  <c r="W216" i="2" s="1"/>
  <c r="Z216" i="2" s="1"/>
  <c r="T220" i="2"/>
  <c r="W220" i="2" s="1"/>
  <c r="Z220" i="2" s="1"/>
  <c r="T218" i="2"/>
  <c r="W218" i="2" s="1"/>
  <c r="Z218" i="2" s="1"/>
  <c r="T209" i="2"/>
  <c r="W209" i="2" s="1"/>
  <c r="Z209" i="2" s="1"/>
  <c r="T213" i="2"/>
  <c r="W213" i="2" s="1"/>
  <c r="Z213" i="2" s="1"/>
  <c r="T194" i="2"/>
  <c r="T198" i="2"/>
  <c r="W198" i="2" s="1"/>
  <c r="Z198" i="2" s="1"/>
  <c r="T202" i="2"/>
  <c r="W202" i="2" s="1"/>
  <c r="Z202" i="2" s="1"/>
  <c r="T206" i="2"/>
  <c r="W206" i="2" s="1"/>
  <c r="Z206" i="2" s="1"/>
  <c r="T210" i="2"/>
  <c r="W210" i="2" s="1"/>
  <c r="Z210" i="2" s="1"/>
  <c r="T214" i="2"/>
  <c r="W214" i="2" s="1"/>
  <c r="Z214" i="2" s="1"/>
  <c r="T208" i="2"/>
  <c r="T212" i="2"/>
  <c r="W212" i="2" s="1"/>
  <c r="Z212" i="2" s="1"/>
  <c r="T197" i="2"/>
  <c r="W197" i="2" s="1"/>
  <c r="Z197" i="2" s="1"/>
  <c r="T201" i="2"/>
  <c r="W201" i="2" s="1"/>
  <c r="Z201" i="2" s="1"/>
  <c r="T205" i="2"/>
  <c r="W205" i="2" s="1"/>
  <c r="Z205" i="2" s="1"/>
  <c r="T196" i="2"/>
  <c r="W196" i="2" s="1"/>
  <c r="Z196" i="2" s="1"/>
  <c r="T200" i="2"/>
  <c r="W200" i="2" s="1"/>
  <c r="Z200" i="2" s="1"/>
  <c r="T204" i="2"/>
  <c r="T192" i="2"/>
  <c r="T185" i="2"/>
  <c r="T189" i="2"/>
  <c r="T193" i="2"/>
  <c r="T186" i="2"/>
  <c r="T190" i="2"/>
  <c r="T187" i="2"/>
  <c r="T191" i="2"/>
  <c r="T184" i="2"/>
  <c r="T188" i="2"/>
  <c r="T182" i="2"/>
  <c r="T183" i="2"/>
  <c r="T161" i="2"/>
  <c r="W161" i="2" s="1"/>
  <c r="Z161" i="2" s="1"/>
  <c r="T165" i="2"/>
  <c r="T169" i="2"/>
  <c r="T173" i="2"/>
  <c r="T177" i="2"/>
  <c r="T181" i="2"/>
  <c r="T180" i="2"/>
  <c r="T179" i="2"/>
  <c r="T178" i="2"/>
  <c r="T171" i="2"/>
  <c r="T175" i="2"/>
  <c r="T170" i="2"/>
  <c r="T174" i="2"/>
  <c r="T160" i="2"/>
  <c r="T164" i="2"/>
  <c r="T168" i="2"/>
  <c r="T172" i="2"/>
  <c r="T176" i="2"/>
  <c r="T158" i="2"/>
  <c r="T162" i="2"/>
  <c r="T166" i="2"/>
  <c r="T155" i="2"/>
  <c r="W155" i="2" s="1"/>
  <c r="Z155" i="2" s="1"/>
  <c r="T159" i="2"/>
  <c r="T163" i="2"/>
  <c r="T167" i="2"/>
  <c r="T137" i="2"/>
  <c r="T141" i="2"/>
  <c r="T145" i="2"/>
  <c r="T149" i="2"/>
  <c r="W149" i="2" s="1"/>
  <c r="Z149" i="2" s="1"/>
  <c r="T153" i="2"/>
  <c r="W153" i="2" s="1"/>
  <c r="Z153" i="2" s="1"/>
  <c r="T157" i="2"/>
  <c r="T156" i="2"/>
  <c r="W156" i="2" s="1"/>
  <c r="Z156" i="2" s="1"/>
  <c r="T150" i="2"/>
  <c r="W150" i="2" s="1"/>
  <c r="Z150" i="2" s="1"/>
  <c r="T154" i="2"/>
  <c r="W154" i="2" s="1"/>
  <c r="Z154" i="2" s="1"/>
  <c r="T151" i="2"/>
  <c r="W151" i="2" s="1"/>
  <c r="Z151" i="2" s="1"/>
  <c r="T148" i="2"/>
  <c r="W148" i="2" s="1"/>
  <c r="Z148" i="2" s="1"/>
  <c r="T152" i="2"/>
  <c r="W152" i="2" s="1"/>
  <c r="Z152" i="2" s="1"/>
  <c r="T147" i="2"/>
  <c r="T138" i="2"/>
  <c r="T142" i="2"/>
  <c r="T146" i="2"/>
  <c r="T131" i="2"/>
  <c r="T135" i="2"/>
  <c r="W135" i="2" s="1"/>
  <c r="Z135" i="2" s="1"/>
  <c r="T139" i="2"/>
  <c r="T143" i="2"/>
  <c r="T144" i="2"/>
  <c r="T140" i="2"/>
  <c r="W140" i="2" s="1"/>
  <c r="Z140" i="2" s="1"/>
  <c r="T136" i="2"/>
  <c r="T101" i="2"/>
  <c r="W101" i="2" s="1"/>
  <c r="Z101" i="2" s="1"/>
  <c r="T105" i="2"/>
  <c r="W105" i="2" s="1"/>
  <c r="Z105" i="2" s="1"/>
  <c r="T109" i="2"/>
  <c r="W109" i="2" s="1"/>
  <c r="Z109" i="2" s="1"/>
  <c r="T113" i="2"/>
  <c r="T117" i="2"/>
  <c r="W117" i="2" s="1"/>
  <c r="Z117" i="2" s="1"/>
  <c r="T121" i="2"/>
  <c r="W121" i="2" s="1"/>
  <c r="Z121" i="2" s="1"/>
  <c r="T125" i="2"/>
  <c r="W125" i="2" s="1"/>
  <c r="Z125" i="2" s="1"/>
  <c r="T129" i="2"/>
  <c r="W129" i="2" s="1"/>
  <c r="Z129" i="2" s="1"/>
  <c r="T133" i="2"/>
  <c r="W133" i="2" s="1"/>
  <c r="Z133" i="2" s="1"/>
  <c r="T134" i="2"/>
  <c r="W134" i="2" s="1"/>
  <c r="Z134" i="2" s="1"/>
  <c r="T132" i="2"/>
  <c r="T130" i="2"/>
  <c r="T122" i="2"/>
  <c r="W122" i="2" s="1"/>
  <c r="Z122" i="2" s="1"/>
  <c r="T126" i="2"/>
  <c r="T123" i="2"/>
  <c r="W123" i="2" s="1"/>
  <c r="Z123" i="2" s="1"/>
  <c r="T127" i="2"/>
  <c r="W127" i="2" s="1"/>
  <c r="Z127" i="2" s="1"/>
  <c r="T124" i="2"/>
  <c r="W124" i="2" s="1"/>
  <c r="Z124" i="2" s="1"/>
  <c r="T128" i="2"/>
  <c r="W128" i="2" s="1"/>
  <c r="Z128" i="2" s="1"/>
  <c r="T120" i="2"/>
  <c r="W120" i="2" s="1"/>
  <c r="Z120" i="2" s="1"/>
  <c r="T119" i="2"/>
  <c r="W119" i="2" s="1"/>
  <c r="Z119" i="2" s="1"/>
  <c r="T118" i="2"/>
  <c r="W118" i="2" s="1"/>
  <c r="Z118" i="2" s="1"/>
  <c r="T102" i="2"/>
  <c r="W102" i="2" s="1"/>
  <c r="Z102" i="2" s="1"/>
  <c r="T106" i="2"/>
  <c r="W106" i="2" s="1"/>
  <c r="Z106" i="2" s="1"/>
  <c r="T110" i="2"/>
  <c r="W110" i="2" s="1"/>
  <c r="Z110" i="2" s="1"/>
  <c r="T114" i="2"/>
  <c r="T103" i="2"/>
  <c r="W103" i="2" s="1"/>
  <c r="Z103" i="2" s="1"/>
  <c r="T107" i="2"/>
  <c r="W107" i="2" s="1"/>
  <c r="Z107" i="2" s="1"/>
  <c r="T111" i="2"/>
  <c r="W111" i="2" s="1"/>
  <c r="Z111" i="2" s="1"/>
  <c r="T115" i="2"/>
  <c r="T100" i="2"/>
  <c r="W100" i="2" s="1"/>
  <c r="Z100" i="2" s="1"/>
  <c r="T104" i="2"/>
  <c r="W104" i="2" s="1"/>
  <c r="Z104" i="2" s="1"/>
  <c r="T108" i="2"/>
  <c r="W108" i="2" s="1"/>
  <c r="Z108" i="2" s="1"/>
  <c r="T112" i="2"/>
  <c r="T116" i="2"/>
  <c r="W116" i="2" s="1"/>
  <c r="Z116" i="2" s="1"/>
  <c r="T97" i="2"/>
  <c r="W97" i="2" s="1"/>
  <c r="Z97" i="2" s="1"/>
  <c r="T99" i="2"/>
  <c r="T98" i="2"/>
  <c r="T95" i="2"/>
  <c r="W95" i="2" s="1"/>
  <c r="Z95" i="2" s="1"/>
  <c r="T96" i="2"/>
  <c r="W96" i="2" s="1"/>
  <c r="Z96" i="2" s="1"/>
  <c r="T85" i="2"/>
  <c r="W85" i="2" s="1"/>
  <c r="Z85" i="2" s="1"/>
  <c r="T89" i="2"/>
  <c r="W89" i="2" s="1"/>
  <c r="Z89" i="2" s="1"/>
  <c r="T93" i="2"/>
  <c r="W93" i="2" s="1"/>
  <c r="Z93" i="2" s="1"/>
  <c r="T94" i="2"/>
  <c r="W94" i="2" s="1"/>
  <c r="Z94" i="2" s="1"/>
  <c r="T88" i="2"/>
  <c r="W88" i="2" s="1"/>
  <c r="Z88" i="2" s="1"/>
  <c r="T92" i="2"/>
  <c r="W92" i="2" s="1"/>
  <c r="Z92" i="2" s="1"/>
  <c r="T91" i="2"/>
  <c r="W91" i="2" s="1"/>
  <c r="Z91" i="2" s="1"/>
  <c r="T90" i="2"/>
  <c r="W90" i="2" s="1"/>
  <c r="Z90" i="2" s="1"/>
  <c r="T86" i="2"/>
  <c r="W86" i="2" s="1"/>
  <c r="Z86" i="2" s="1"/>
  <c r="T83" i="2"/>
  <c r="W83" i="2" s="1"/>
  <c r="Z83" i="2" s="1"/>
  <c r="T87" i="2"/>
  <c r="W87" i="2" s="1"/>
  <c r="Z87" i="2" s="1"/>
  <c r="T84" i="2"/>
  <c r="T69" i="2"/>
  <c r="T73" i="2"/>
  <c r="W73" i="2" s="1"/>
  <c r="Z73" i="2" s="1"/>
  <c r="T77" i="2"/>
  <c r="W77" i="2" s="1"/>
  <c r="Z77" i="2" s="1"/>
  <c r="T81" i="2"/>
  <c r="W81" i="2" s="1"/>
  <c r="Z81" i="2" s="1"/>
  <c r="T70" i="2"/>
  <c r="T74" i="2"/>
  <c r="W74" i="2" s="1"/>
  <c r="Z74" i="2" s="1"/>
  <c r="T78" i="2"/>
  <c r="W78" i="2" s="1"/>
  <c r="Z78" i="2" s="1"/>
  <c r="T82" i="2"/>
  <c r="W82" i="2" s="1"/>
  <c r="Z82" i="2" s="1"/>
  <c r="T67" i="2"/>
  <c r="W67" i="2" s="1"/>
  <c r="Z67" i="2" s="1"/>
  <c r="T71" i="2"/>
  <c r="T75" i="2"/>
  <c r="T79" i="2"/>
  <c r="W79" i="2" s="1"/>
  <c r="Z79" i="2" s="1"/>
  <c r="T76" i="2"/>
  <c r="W76" i="2" s="1"/>
  <c r="Z76" i="2" s="1"/>
  <c r="T80" i="2"/>
  <c r="W80" i="2" s="1"/>
  <c r="Z80" i="2" s="1"/>
  <c r="T68" i="2"/>
  <c r="W68" i="2" s="1"/>
  <c r="Z68" i="2" s="1"/>
  <c r="T72" i="2"/>
  <c r="W72" i="2" s="1"/>
  <c r="Z72" i="2" s="1"/>
  <c r="T41" i="2"/>
  <c r="T45" i="2"/>
  <c r="W45" i="2" s="1"/>
  <c r="Z45" i="2" s="1"/>
  <c r="T49" i="2"/>
  <c r="W49" i="2" s="1"/>
  <c r="Z49" i="2" s="1"/>
  <c r="T53" i="2"/>
  <c r="W53" i="2" s="1"/>
  <c r="Z53" i="2" s="1"/>
  <c r="T57" i="2"/>
  <c r="W57" i="2" s="1"/>
  <c r="Z57" i="2" s="1"/>
  <c r="T61" i="2"/>
  <c r="W61" i="2" s="1"/>
  <c r="Z61" i="2" s="1"/>
  <c r="T65" i="2"/>
  <c r="W65" i="2" s="1"/>
  <c r="Z65" i="2" s="1"/>
  <c r="T66" i="2"/>
  <c r="T46" i="2"/>
  <c r="W46" i="2" s="1"/>
  <c r="Z46" i="2" s="1"/>
  <c r="T50" i="2"/>
  <c r="W50" i="2" s="1"/>
  <c r="Z50" i="2" s="1"/>
  <c r="T54" i="2"/>
  <c r="W54" i="2" s="1"/>
  <c r="Z54" i="2" s="1"/>
  <c r="T58" i="2"/>
  <c r="W58" i="2" s="1"/>
  <c r="Z58" i="2" s="1"/>
  <c r="T62" i="2"/>
  <c r="W62" i="2" s="1"/>
  <c r="Z62" i="2" s="1"/>
  <c r="T47" i="2"/>
  <c r="W47" i="2" s="1"/>
  <c r="Z47" i="2" s="1"/>
  <c r="T51" i="2"/>
  <c r="T55" i="2"/>
  <c r="W55" i="2" s="1"/>
  <c r="Z55" i="2" s="1"/>
  <c r="T59" i="2"/>
  <c r="W59" i="2" s="1"/>
  <c r="Z59" i="2" s="1"/>
  <c r="T63" i="2"/>
  <c r="W63" i="2" s="1"/>
  <c r="Z63" i="2" s="1"/>
  <c r="T48" i="2"/>
  <c r="W48" i="2" s="1"/>
  <c r="Z48" i="2" s="1"/>
  <c r="T52" i="2"/>
  <c r="T56" i="2"/>
  <c r="T60" i="2"/>
  <c r="W60" i="2" s="1"/>
  <c r="Z60" i="2" s="1"/>
  <c r="T64" i="2"/>
  <c r="W64" i="2" s="1"/>
  <c r="Z64" i="2" s="1"/>
  <c r="T43" i="2"/>
  <c r="W43" i="2" s="1"/>
  <c r="Z43" i="2" s="1"/>
  <c r="T44" i="2"/>
  <c r="W44" i="2" s="1"/>
  <c r="Z44" i="2" s="1"/>
  <c r="T20" i="2"/>
  <c r="T26" i="2"/>
  <c r="W26" i="2" s="1"/>
  <c r="Z26" i="2" s="1"/>
  <c r="T30" i="2"/>
  <c r="W30" i="2" s="1"/>
  <c r="Z30" i="2" s="1"/>
  <c r="T34" i="2"/>
  <c r="T38" i="2"/>
  <c r="T42" i="2"/>
  <c r="W42" i="2" s="1"/>
  <c r="Z42" i="2" s="1"/>
  <c r="T31" i="2"/>
  <c r="W31" i="2" s="1"/>
  <c r="Z31" i="2" s="1"/>
  <c r="T35" i="2"/>
  <c r="W35" i="2" s="1"/>
  <c r="Z35" i="2" s="1"/>
  <c r="T39" i="2"/>
  <c r="T40" i="2"/>
  <c r="T36" i="2"/>
  <c r="T29" i="2"/>
  <c r="W29" i="2" s="1"/>
  <c r="Z29" i="2" s="1"/>
  <c r="T33" i="2"/>
  <c r="W33" i="2" s="1"/>
  <c r="Z33" i="2" s="1"/>
  <c r="T37" i="2"/>
  <c r="T28" i="2"/>
  <c r="W28" i="2" s="1"/>
  <c r="Z28" i="2" s="1"/>
  <c r="T32" i="2"/>
  <c r="T15" i="2"/>
  <c r="T19" i="2"/>
  <c r="W19" i="2" s="1"/>
  <c r="Z19" i="2" s="1"/>
  <c r="T25" i="2"/>
  <c r="W25" i="2" s="1"/>
  <c r="Z25" i="2" s="1"/>
  <c r="T27" i="2"/>
  <c r="W27" i="2" s="1"/>
  <c r="Z27" i="2" s="1"/>
  <c r="T23" i="2"/>
  <c r="W23" i="2" s="1"/>
  <c r="Z23" i="2" s="1"/>
  <c r="T18" i="2"/>
  <c r="T24" i="2"/>
  <c r="W24" i="2" s="1"/>
  <c r="Z24" i="2" s="1"/>
  <c r="T8" i="2"/>
  <c r="W8" i="2" s="1"/>
  <c r="Z8" i="2" s="1"/>
  <c r="T12" i="2"/>
  <c r="T16" i="2"/>
  <c r="T13" i="2"/>
  <c r="W13" i="2" s="1"/>
  <c r="Z13" i="2" s="1"/>
  <c r="T17" i="2"/>
  <c r="T7" i="2"/>
  <c r="W7" i="2" s="1"/>
  <c r="Z7" i="2" s="1"/>
  <c r="T11" i="2"/>
  <c r="T14" i="2"/>
  <c r="T9" i="2"/>
  <c r="T10" i="2"/>
  <c r="T6" i="2"/>
  <c r="O1056" i="2"/>
  <c r="O1060" i="2"/>
  <c r="O1064" i="2"/>
  <c r="O1068" i="2"/>
  <c r="O1072" i="2"/>
  <c r="O1076" i="2"/>
  <c r="O1080" i="2"/>
  <c r="O1084" i="2"/>
  <c r="O1088" i="2"/>
  <c r="O1021" i="2"/>
  <c r="W1021" i="2" s="1"/>
  <c r="Z1021" i="2" s="1"/>
  <c r="O1025" i="2"/>
  <c r="W1025" i="2" s="1"/>
  <c r="Z1025" i="2" s="1"/>
  <c r="O1029" i="2"/>
  <c r="W1029" i="2" s="1"/>
  <c r="Z1029" i="2" s="1"/>
  <c r="O1033" i="2"/>
  <c r="W1033" i="2" s="1"/>
  <c r="Z1033" i="2" s="1"/>
  <c r="O1037" i="2"/>
  <c r="O1041" i="2"/>
  <c r="O1045" i="2"/>
  <c r="W1045" i="2" s="1"/>
  <c r="Z1045" i="2" s="1"/>
  <c r="O1049" i="2"/>
  <c r="W1049" i="2" s="1"/>
  <c r="Z1049" i="2" s="1"/>
  <c r="O1053" i="2"/>
  <c r="O1057" i="2"/>
  <c r="W1057" i="2" s="1"/>
  <c r="Z1057" i="2" s="1"/>
  <c r="O1061" i="2"/>
  <c r="W1061" i="2" s="1"/>
  <c r="Z1061" i="2" s="1"/>
  <c r="O1065" i="2"/>
  <c r="W1065" i="2" s="1"/>
  <c r="Z1065" i="2" s="1"/>
  <c r="O1069" i="2"/>
  <c r="W1069" i="2" s="1"/>
  <c r="Z1069" i="2" s="1"/>
  <c r="O1073" i="2"/>
  <c r="W1073" i="2" s="1"/>
  <c r="Z1073" i="2" s="1"/>
  <c r="O1077" i="2"/>
  <c r="W1077" i="2" s="1"/>
  <c r="Z1077" i="2" s="1"/>
  <c r="O1081" i="2"/>
  <c r="W1081" i="2" s="1"/>
  <c r="Z1081" i="2" s="1"/>
  <c r="O1085" i="2"/>
  <c r="O1086" i="2"/>
  <c r="O1087" i="2"/>
  <c r="O1083" i="2"/>
  <c r="O1082" i="2"/>
  <c r="O1079" i="2"/>
  <c r="O1066" i="2"/>
  <c r="O1070" i="2"/>
  <c r="O1074" i="2"/>
  <c r="W1074" i="2" s="1"/>
  <c r="Z1074" i="2" s="1"/>
  <c r="O1078" i="2"/>
  <c r="W1078" i="2" s="1"/>
  <c r="Z1078" i="2" s="1"/>
  <c r="O1071" i="2"/>
  <c r="O1075" i="2"/>
  <c r="O1067" i="2"/>
  <c r="O1062" i="2"/>
  <c r="O1063" i="2"/>
  <c r="O1059" i="2"/>
  <c r="W1059" i="2" s="1"/>
  <c r="Z1059" i="2" s="1"/>
  <c r="O1042" i="2"/>
  <c r="W1042" i="2" s="1"/>
  <c r="Z1042" i="2" s="1"/>
  <c r="O1046" i="2"/>
  <c r="W1046" i="2" s="1"/>
  <c r="Z1046" i="2" s="1"/>
  <c r="O1050" i="2"/>
  <c r="O1054" i="2"/>
  <c r="O1058" i="2"/>
  <c r="O1051" i="2"/>
  <c r="W1051" i="2" s="1"/>
  <c r="Z1051" i="2" s="1"/>
  <c r="O1055" i="2"/>
  <c r="W1055" i="2" s="1"/>
  <c r="Z1055" i="2" s="1"/>
  <c r="O1052" i="2"/>
  <c r="O1047" i="2"/>
  <c r="O996" i="2"/>
  <c r="O1000" i="2"/>
  <c r="O1004" i="2"/>
  <c r="O1008" i="2"/>
  <c r="O1012" i="2"/>
  <c r="W1012" i="2" s="1"/>
  <c r="Z1012" i="2" s="1"/>
  <c r="O1016" i="2"/>
  <c r="W1016" i="2" s="1"/>
  <c r="Z1016" i="2" s="1"/>
  <c r="O1020" i="2"/>
  <c r="W1020" i="2" s="1"/>
  <c r="Z1020" i="2" s="1"/>
  <c r="O1024" i="2"/>
  <c r="W1024" i="2" s="1"/>
  <c r="Z1024" i="2" s="1"/>
  <c r="O1028" i="2"/>
  <c r="W1028" i="2" s="1"/>
  <c r="Z1028" i="2" s="1"/>
  <c r="O1032" i="2"/>
  <c r="O1036" i="2"/>
  <c r="O1040" i="2"/>
  <c r="O1044" i="2"/>
  <c r="O1048" i="2"/>
  <c r="O1043" i="2"/>
  <c r="O1039" i="2"/>
  <c r="O1034" i="2"/>
  <c r="O1038" i="2"/>
  <c r="O1035" i="2"/>
  <c r="W1035" i="2" s="1"/>
  <c r="Z1035" i="2" s="1"/>
  <c r="O1031" i="2"/>
  <c r="W1031" i="2" s="1"/>
  <c r="Z1031" i="2" s="1"/>
  <c r="O1030" i="2"/>
  <c r="O1026" i="2"/>
  <c r="O1023" i="2"/>
  <c r="O1027" i="2"/>
  <c r="O1022" i="2"/>
  <c r="O941" i="2"/>
  <c r="O945" i="2"/>
  <c r="O949" i="2"/>
  <c r="O953" i="2"/>
  <c r="O957" i="2"/>
  <c r="O961" i="2"/>
  <c r="W961" i="2" s="1"/>
  <c r="Z961" i="2" s="1"/>
  <c r="O965" i="2"/>
  <c r="W965" i="2" s="1"/>
  <c r="Z965" i="2" s="1"/>
  <c r="O969" i="2"/>
  <c r="W969" i="2" s="1"/>
  <c r="Z969" i="2" s="1"/>
  <c r="O973" i="2"/>
  <c r="W973" i="2" s="1"/>
  <c r="Z973" i="2" s="1"/>
  <c r="O977" i="2"/>
  <c r="W977" i="2" s="1"/>
  <c r="Z977" i="2" s="1"/>
  <c r="O981" i="2"/>
  <c r="O985" i="2"/>
  <c r="O989" i="2"/>
  <c r="O993" i="2"/>
  <c r="O997" i="2"/>
  <c r="O1001" i="2"/>
  <c r="O1005" i="2"/>
  <c r="O1009" i="2"/>
  <c r="O1013" i="2"/>
  <c r="O1017" i="2"/>
  <c r="O1006" i="2"/>
  <c r="O1010" i="2"/>
  <c r="O1014" i="2"/>
  <c r="O1018" i="2"/>
  <c r="O1019" i="2"/>
  <c r="O1015" i="2"/>
  <c r="O1002" i="2"/>
  <c r="O1011" i="2"/>
  <c r="O1007" i="2"/>
  <c r="O999" i="2"/>
  <c r="O1003" i="2"/>
  <c r="O966" i="2"/>
  <c r="O970" i="2"/>
  <c r="O974" i="2"/>
  <c r="O978" i="2"/>
  <c r="W978" i="2" s="1"/>
  <c r="Z978" i="2" s="1"/>
  <c r="O982" i="2"/>
  <c r="W982" i="2" s="1"/>
  <c r="Z982" i="2" s="1"/>
  <c r="O986" i="2"/>
  <c r="W986" i="2" s="1"/>
  <c r="Z986" i="2" s="1"/>
  <c r="O990" i="2"/>
  <c r="W990" i="2" s="1"/>
  <c r="Z990" i="2" s="1"/>
  <c r="O994" i="2"/>
  <c r="O998" i="2"/>
  <c r="O987" i="2"/>
  <c r="O991" i="2"/>
  <c r="O995" i="2"/>
  <c r="O936" i="2"/>
  <c r="O940" i="2"/>
  <c r="O944" i="2"/>
  <c r="O948" i="2"/>
  <c r="O952" i="2"/>
  <c r="O956" i="2"/>
  <c r="O960" i="2"/>
  <c r="O964" i="2"/>
  <c r="O968" i="2"/>
  <c r="O972" i="2"/>
  <c r="W972" i="2" s="1"/>
  <c r="Z972" i="2" s="1"/>
  <c r="O976" i="2"/>
  <c r="O980" i="2"/>
  <c r="O984" i="2"/>
  <c r="O988" i="2"/>
  <c r="W988" i="2" s="1"/>
  <c r="Z988" i="2" s="1"/>
  <c r="O992" i="2"/>
  <c r="O983" i="2"/>
  <c r="O979" i="2"/>
  <c r="O975" i="2"/>
  <c r="O967" i="2"/>
  <c r="O971" i="2"/>
  <c r="O963" i="2"/>
  <c r="W963" i="2" s="1"/>
  <c r="Z963" i="2" s="1"/>
  <c r="O958" i="2"/>
  <c r="W958" i="2" s="1"/>
  <c r="Z958" i="2" s="1"/>
  <c r="O962" i="2"/>
  <c r="W962" i="2" s="1"/>
  <c r="Z962" i="2" s="1"/>
  <c r="O955" i="2"/>
  <c r="O959" i="2"/>
  <c r="W959" i="2" s="1"/>
  <c r="Z959" i="2" s="1"/>
  <c r="O954" i="2"/>
  <c r="O946" i="2"/>
  <c r="W946" i="2" s="1"/>
  <c r="Z946" i="2" s="1"/>
  <c r="O950" i="2"/>
  <c r="W950" i="2" s="1"/>
  <c r="Z950" i="2" s="1"/>
  <c r="O947" i="2"/>
  <c r="O951" i="2"/>
  <c r="W951" i="2" s="1"/>
  <c r="Z951" i="2" s="1"/>
  <c r="O938" i="2"/>
  <c r="O942" i="2"/>
  <c r="O943" i="2"/>
  <c r="O935" i="2"/>
  <c r="O939" i="2"/>
  <c r="O909" i="2"/>
  <c r="O913" i="2"/>
  <c r="O917" i="2"/>
  <c r="O921" i="2"/>
  <c r="O925" i="2"/>
  <c r="O929" i="2"/>
  <c r="O933" i="2"/>
  <c r="O937" i="2"/>
  <c r="O934" i="2"/>
  <c r="W934" i="2" s="1"/>
  <c r="Z934" i="2" s="1"/>
  <c r="O836" i="2"/>
  <c r="O840" i="2"/>
  <c r="O844" i="2"/>
  <c r="O848" i="2"/>
  <c r="O852" i="2"/>
  <c r="W852" i="2" s="1"/>
  <c r="Z852" i="2" s="1"/>
  <c r="O856" i="2"/>
  <c r="W856" i="2" s="1"/>
  <c r="Z856" i="2" s="1"/>
  <c r="O860" i="2"/>
  <c r="W860" i="2" s="1"/>
  <c r="Z860" i="2" s="1"/>
  <c r="O864" i="2"/>
  <c r="W864" i="2" s="1"/>
  <c r="Z864" i="2" s="1"/>
  <c r="O868" i="2"/>
  <c r="O872" i="2"/>
  <c r="O876" i="2"/>
  <c r="O880" i="2"/>
  <c r="W880" i="2" s="1"/>
  <c r="Z880" i="2" s="1"/>
  <c r="O884" i="2"/>
  <c r="O888" i="2"/>
  <c r="W888" i="2" s="1"/>
  <c r="Z888" i="2" s="1"/>
  <c r="O892" i="2"/>
  <c r="W892" i="2" s="1"/>
  <c r="Z892" i="2" s="1"/>
  <c r="O896" i="2"/>
  <c r="W896" i="2" s="1"/>
  <c r="Z896" i="2" s="1"/>
  <c r="O900" i="2"/>
  <c r="W900" i="2" s="1"/>
  <c r="Z900" i="2" s="1"/>
  <c r="O904" i="2"/>
  <c r="O908" i="2"/>
  <c r="O912" i="2"/>
  <c r="O916" i="2"/>
  <c r="O920" i="2"/>
  <c r="O924" i="2"/>
  <c r="O928" i="2"/>
  <c r="W928" i="2" s="1"/>
  <c r="Z928" i="2" s="1"/>
  <c r="O932" i="2"/>
  <c r="O930" i="2"/>
  <c r="O931" i="2"/>
  <c r="W931" i="2" s="1"/>
  <c r="Z931" i="2" s="1"/>
  <c r="O926" i="2"/>
  <c r="O927" i="2"/>
  <c r="O923" i="2"/>
  <c r="O922" i="2"/>
  <c r="W922" i="2" s="1"/>
  <c r="Z922" i="2" s="1"/>
  <c r="O919" i="2"/>
  <c r="W919" i="2" s="1"/>
  <c r="Z919" i="2" s="1"/>
  <c r="O914" i="2"/>
  <c r="O918" i="2"/>
  <c r="W918" i="2" s="1"/>
  <c r="Z918" i="2" s="1"/>
  <c r="O915" i="2"/>
  <c r="O910" i="2"/>
  <c r="O907" i="2"/>
  <c r="O911" i="2"/>
  <c r="O906" i="2"/>
  <c r="O885" i="2"/>
  <c r="O889" i="2"/>
  <c r="O893" i="2"/>
  <c r="O897" i="2"/>
  <c r="O901" i="2"/>
  <c r="O905" i="2"/>
  <c r="O903" i="2"/>
  <c r="W903" i="2" s="1"/>
  <c r="Z903" i="2" s="1"/>
  <c r="O902" i="2"/>
  <c r="O899" i="2"/>
  <c r="O898" i="2"/>
  <c r="O895" i="2"/>
  <c r="W895" i="2" s="1"/>
  <c r="Z895" i="2" s="1"/>
  <c r="O894" i="2"/>
  <c r="O886" i="2"/>
  <c r="W886" i="2" s="1"/>
  <c r="Z886" i="2" s="1"/>
  <c r="O890" i="2"/>
  <c r="W890" i="2" s="1"/>
  <c r="Z890" i="2" s="1"/>
  <c r="O891" i="2"/>
  <c r="O887" i="2"/>
  <c r="O882" i="2"/>
  <c r="O883" i="2"/>
  <c r="O861" i="2"/>
  <c r="O865" i="2"/>
  <c r="O869" i="2"/>
  <c r="O873" i="2"/>
  <c r="O877" i="2"/>
  <c r="O881" i="2"/>
  <c r="O874" i="2"/>
  <c r="O878" i="2"/>
  <c r="O875" i="2"/>
  <c r="O879" i="2"/>
  <c r="O866" i="2"/>
  <c r="O870" i="2"/>
  <c r="O871" i="2"/>
  <c r="O867" i="2"/>
  <c r="W867" i="2" s="1"/>
  <c r="Z867" i="2" s="1"/>
  <c r="O862" i="2"/>
  <c r="O863" i="2"/>
  <c r="O859" i="2"/>
  <c r="O857" i="2"/>
  <c r="O858" i="2"/>
  <c r="W858" i="2" s="1"/>
  <c r="Z858" i="2" s="1"/>
  <c r="O855" i="2"/>
  <c r="O837" i="2"/>
  <c r="O841" i="2"/>
  <c r="O845" i="2"/>
  <c r="O849" i="2"/>
  <c r="W849" i="2" s="1"/>
  <c r="Z849" i="2" s="1"/>
  <c r="O853" i="2"/>
  <c r="W853" i="2" s="1"/>
  <c r="Z853" i="2" s="1"/>
  <c r="O846" i="2"/>
  <c r="O850" i="2"/>
  <c r="O854" i="2"/>
  <c r="O851" i="2"/>
  <c r="W851" i="2" s="1"/>
  <c r="Z851" i="2" s="1"/>
  <c r="O847" i="2"/>
  <c r="O831" i="2"/>
  <c r="O835" i="2"/>
  <c r="O839" i="2"/>
  <c r="O843" i="2"/>
  <c r="O830" i="2"/>
  <c r="O834" i="2"/>
  <c r="O838" i="2"/>
  <c r="O842" i="2"/>
  <c r="O733" i="2"/>
  <c r="W733" i="2" s="1"/>
  <c r="Z733" i="2" s="1"/>
  <c r="O737" i="2"/>
  <c r="W737" i="2" s="1"/>
  <c r="Z737" i="2" s="1"/>
  <c r="O741" i="2"/>
  <c r="O745" i="2"/>
  <c r="W745" i="2" s="1"/>
  <c r="Z745" i="2" s="1"/>
  <c r="O749" i="2"/>
  <c r="O753" i="2"/>
  <c r="O757" i="2"/>
  <c r="O761" i="2"/>
  <c r="O765" i="2"/>
  <c r="O769" i="2"/>
  <c r="O773" i="2"/>
  <c r="O777" i="2"/>
  <c r="O781" i="2"/>
  <c r="W781" i="2" s="1"/>
  <c r="Z781" i="2" s="1"/>
  <c r="O785" i="2"/>
  <c r="W785" i="2" s="1"/>
  <c r="Z785" i="2" s="1"/>
  <c r="O789" i="2"/>
  <c r="W789" i="2" s="1"/>
  <c r="Z789" i="2" s="1"/>
  <c r="O793" i="2"/>
  <c r="W793" i="2" s="1"/>
  <c r="Z793" i="2" s="1"/>
  <c r="O797" i="2"/>
  <c r="W797" i="2" s="1"/>
  <c r="Z797" i="2" s="1"/>
  <c r="O801" i="2"/>
  <c r="O805" i="2"/>
  <c r="W805" i="2" s="1"/>
  <c r="Z805" i="2" s="1"/>
  <c r="O809" i="2"/>
  <c r="W809" i="2" s="1"/>
  <c r="Z809" i="2" s="1"/>
  <c r="O813" i="2"/>
  <c r="W813" i="2" s="1"/>
  <c r="Z813" i="2" s="1"/>
  <c r="O817" i="2"/>
  <c r="W817" i="2" s="1"/>
  <c r="Z817" i="2" s="1"/>
  <c r="O821" i="2"/>
  <c r="W821" i="2" s="1"/>
  <c r="Z821" i="2" s="1"/>
  <c r="O825" i="2"/>
  <c r="W825" i="2" s="1"/>
  <c r="Z825" i="2" s="1"/>
  <c r="O829" i="2"/>
  <c r="O833" i="2"/>
  <c r="O808" i="2"/>
  <c r="O812" i="2"/>
  <c r="O816" i="2"/>
  <c r="O820" i="2"/>
  <c r="O824" i="2"/>
  <c r="O828" i="2"/>
  <c r="O832" i="2"/>
  <c r="O814" i="2"/>
  <c r="W814" i="2" s="1"/>
  <c r="Z814" i="2" s="1"/>
  <c r="O818" i="2"/>
  <c r="W818" i="2" s="1"/>
  <c r="Z818" i="2" s="1"/>
  <c r="O822" i="2"/>
  <c r="O826" i="2"/>
  <c r="O819" i="2"/>
  <c r="O823" i="2"/>
  <c r="O827" i="2"/>
  <c r="O815" i="2"/>
  <c r="O802" i="2"/>
  <c r="O806" i="2"/>
  <c r="O810" i="2"/>
  <c r="O811" i="2"/>
  <c r="W811" i="2" s="1"/>
  <c r="Z811" i="2" s="1"/>
  <c r="O807" i="2"/>
  <c r="O772" i="2"/>
  <c r="O776" i="2"/>
  <c r="O780" i="2"/>
  <c r="O784" i="2"/>
  <c r="O788" i="2"/>
  <c r="O792" i="2"/>
  <c r="O796" i="2"/>
  <c r="O800" i="2"/>
  <c r="O804" i="2"/>
  <c r="O803" i="2"/>
  <c r="O782" i="2"/>
  <c r="O786" i="2"/>
  <c r="O790" i="2"/>
  <c r="O794" i="2"/>
  <c r="O798" i="2"/>
  <c r="O799" i="2"/>
  <c r="W799" i="2" s="1"/>
  <c r="Z799" i="2" s="1"/>
  <c r="O791" i="2"/>
  <c r="O795" i="2"/>
  <c r="O783" i="2"/>
  <c r="O787" i="2"/>
  <c r="O779" i="2"/>
  <c r="O778" i="2"/>
  <c r="O775" i="2"/>
  <c r="O774" i="2"/>
  <c r="O754" i="2"/>
  <c r="W754" i="2" s="1"/>
  <c r="Z754" i="2" s="1"/>
  <c r="O762" i="2"/>
  <c r="O766" i="2"/>
  <c r="O750" i="2"/>
  <c r="W750" i="2" s="1"/>
  <c r="Z750" i="2" s="1"/>
  <c r="O758" i="2"/>
  <c r="O770" i="2"/>
  <c r="O771" i="2"/>
  <c r="O732" i="2"/>
  <c r="W732" i="2" s="1"/>
  <c r="Z732" i="2" s="1"/>
  <c r="O736" i="2"/>
  <c r="W736" i="2" s="1"/>
  <c r="Z736" i="2" s="1"/>
  <c r="O740" i="2"/>
  <c r="O744" i="2"/>
  <c r="O748" i="2"/>
  <c r="O752" i="2"/>
  <c r="O756" i="2"/>
  <c r="W756" i="2" s="1"/>
  <c r="Z756" i="2" s="1"/>
  <c r="O760" i="2"/>
  <c r="O764" i="2"/>
  <c r="O768" i="2"/>
  <c r="O751" i="2"/>
  <c r="O755" i="2"/>
  <c r="O759" i="2"/>
  <c r="O763" i="2"/>
  <c r="O767" i="2"/>
  <c r="O746" i="2"/>
  <c r="W746" i="2" s="1"/>
  <c r="Z746" i="2" s="1"/>
  <c r="O743" i="2"/>
  <c r="W743" i="2" s="1"/>
  <c r="Z743" i="2" s="1"/>
  <c r="O747" i="2"/>
  <c r="W747" i="2" s="1"/>
  <c r="Z747" i="2" s="1"/>
  <c r="O738" i="2"/>
  <c r="O742" i="2"/>
  <c r="O739" i="2"/>
  <c r="O734" i="2"/>
  <c r="O735" i="2"/>
  <c r="O730" i="2"/>
  <c r="O731" i="2"/>
  <c r="W731" i="2" s="1"/>
  <c r="Z731" i="2" s="1"/>
  <c r="O684" i="2"/>
  <c r="W684" i="2" s="1"/>
  <c r="Z684" i="2" s="1"/>
  <c r="O688" i="2"/>
  <c r="O692" i="2"/>
  <c r="W692" i="2" s="1"/>
  <c r="Z692" i="2" s="1"/>
  <c r="O696" i="2"/>
  <c r="O700" i="2"/>
  <c r="O704" i="2"/>
  <c r="W704" i="2" s="1"/>
  <c r="Z704" i="2" s="1"/>
  <c r="O708" i="2"/>
  <c r="W708" i="2" s="1"/>
  <c r="Z708" i="2" s="1"/>
  <c r="O712" i="2"/>
  <c r="W712" i="2" s="1"/>
  <c r="Z712" i="2" s="1"/>
  <c r="O716" i="2"/>
  <c r="W716" i="2" s="1"/>
  <c r="Z716" i="2" s="1"/>
  <c r="O720" i="2"/>
  <c r="W720" i="2" s="1"/>
  <c r="Z720" i="2" s="1"/>
  <c r="O724" i="2"/>
  <c r="O728" i="2"/>
  <c r="O693" i="2"/>
  <c r="W693" i="2" s="1"/>
  <c r="Z693" i="2" s="1"/>
  <c r="O697" i="2"/>
  <c r="W697" i="2" s="1"/>
  <c r="Z697" i="2" s="1"/>
  <c r="O701" i="2"/>
  <c r="O705" i="2"/>
  <c r="W705" i="2" s="1"/>
  <c r="Z705" i="2" s="1"/>
  <c r="O709" i="2"/>
  <c r="W709" i="2" s="1"/>
  <c r="Z709" i="2" s="1"/>
  <c r="O713" i="2"/>
  <c r="W713" i="2" s="1"/>
  <c r="Z713" i="2" s="1"/>
  <c r="O717" i="2"/>
  <c r="W717" i="2" s="1"/>
  <c r="Z717" i="2" s="1"/>
  <c r="O721" i="2"/>
  <c r="O725" i="2"/>
  <c r="O729" i="2"/>
  <c r="O727" i="2"/>
  <c r="W727" i="2" s="1"/>
  <c r="Z727" i="2" s="1"/>
  <c r="O726" i="2"/>
  <c r="O718" i="2"/>
  <c r="O722" i="2"/>
  <c r="O719" i="2"/>
  <c r="O723" i="2"/>
  <c r="O715" i="2"/>
  <c r="O710" i="2"/>
  <c r="O714" i="2"/>
  <c r="O711" i="2"/>
  <c r="O686" i="2"/>
  <c r="O690" i="2"/>
  <c r="O694" i="2"/>
  <c r="O698" i="2"/>
  <c r="O702" i="2"/>
  <c r="O706" i="2"/>
  <c r="O707" i="2"/>
  <c r="O703" i="2"/>
  <c r="W703" i="2" s="1"/>
  <c r="Z703" i="2" s="1"/>
  <c r="O691" i="2"/>
  <c r="O695" i="2"/>
  <c r="W695" i="2" s="1"/>
  <c r="Z695" i="2" s="1"/>
  <c r="O699" i="2"/>
  <c r="O629" i="2"/>
  <c r="O633" i="2"/>
  <c r="O637" i="2"/>
  <c r="O641" i="2"/>
  <c r="O645" i="2"/>
  <c r="O649" i="2"/>
  <c r="O653" i="2"/>
  <c r="O657" i="2"/>
  <c r="O661" i="2"/>
  <c r="O665" i="2"/>
  <c r="O669" i="2"/>
  <c r="O673" i="2"/>
  <c r="O677" i="2"/>
  <c r="O681" i="2"/>
  <c r="O685" i="2"/>
  <c r="O689" i="2"/>
  <c r="O687" i="2"/>
  <c r="O678" i="2"/>
  <c r="O682" i="2"/>
  <c r="W682" i="2" s="1"/>
  <c r="Z682" i="2" s="1"/>
  <c r="O679" i="2"/>
  <c r="W679" i="2" s="1"/>
  <c r="Z679" i="2" s="1"/>
  <c r="O683" i="2"/>
  <c r="W683" i="2" s="1"/>
  <c r="Z683" i="2" s="1"/>
  <c r="O660" i="2"/>
  <c r="O664" i="2"/>
  <c r="O668" i="2"/>
  <c r="O672" i="2"/>
  <c r="O676" i="2"/>
  <c r="W676" i="2" s="1"/>
  <c r="Z676" i="2" s="1"/>
  <c r="O680" i="2"/>
  <c r="O674" i="2"/>
  <c r="W674" i="2" s="1"/>
  <c r="Z674" i="2" s="1"/>
  <c r="O671" i="2"/>
  <c r="O675" i="2"/>
  <c r="O670" i="2"/>
  <c r="W670" i="2" s="1"/>
  <c r="Z670" i="2" s="1"/>
  <c r="O667" i="2"/>
  <c r="O666" i="2"/>
  <c r="O650" i="2"/>
  <c r="O654" i="2"/>
  <c r="O658" i="2"/>
  <c r="W658" i="2" s="1"/>
  <c r="Z658" i="2" s="1"/>
  <c r="O662" i="2"/>
  <c r="O663" i="2"/>
  <c r="O655" i="2"/>
  <c r="W655" i="2" s="1"/>
  <c r="Z655" i="2" s="1"/>
  <c r="O659" i="2"/>
  <c r="O468" i="2"/>
  <c r="O472" i="2"/>
  <c r="W472" i="2" s="1"/>
  <c r="Z472" i="2" s="1"/>
  <c r="O476" i="2"/>
  <c r="O480" i="2"/>
  <c r="O484" i="2"/>
  <c r="W484" i="2" s="1"/>
  <c r="Z484" i="2" s="1"/>
  <c r="O488" i="2"/>
  <c r="O492" i="2"/>
  <c r="O496" i="2"/>
  <c r="O500" i="2"/>
  <c r="O504" i="2"/>
  <c r="O508" i="2"/>
  <c r="O512" i="2"/>
  <c r="O516" i="2"/>
  <c r="O520" i="2"/>
  <c r="O524" i="2"/>
  <c r="W524" i="2" s="1"/>
  <c r="Z524" i="2" s="1"/>
  <c r="O528" i="2"/>
  <c r="O532" i="2"/>
  <c r="W532" i="2" s="1"/>
  <c r="Z532" i="2" s="1"/>
  <c r="O536" i="2"/>
  <c r="O540" i="2"/>
  <c r="W540" i="2" s="1"/>
  <c r="Z540" i="2" s="1"/>
  <c r="O544" i="2"/>
  <c r="O548" i="2"/>
  <c r="O552" i="2"/>
  <c r="O556" i="2"/>
  <c r="W556" i="2" s="1"/>
  <c r="Z556" i="2" s="1"/>
  <c r="O560" i="2"/>
  <c r="O564" i="2"/>
  <c r="O568" i="2"/>
  <c r="O572" i="2"/>
  <c r="O576" i="2"/>
  <c r="O580" i="2"/>
  <c r="O584" i="2"/>
  <c r="O588" i="2"/>
  <c r="O592" i="2"/>
  <c r="O596" i="2"/>
  <c r="O600" i="2"/>
  <c r="W600" i="2" s="1"/>
  <c r="Z600" i="2" s="1"/>
  <c r="O604" i="2"/>
  <c r="W604" i="2" s="1"/>
  <c r="Z604" i="2" s="1"/>
  <c r="O608" i="2"/>
  <c r="W608" i="2" s="1"/>
  <c r="Z608" i="2" s="1"/>
  <c r="O612" i="2"/>
  <c r="W612" i="2" s="1"/>
  <c r="Z612" i="2" s="1"/>
  <c r="O616" i="2"/>
  <c r="O620" i="2"/>
  <c r="O624" i="2"/>
  <c r="W624" i="2" s="1"/>
  <c r="Z624" i="2" s="1"/>
  <c r="O628" i="2"/>
  <c r="O632" i="2"/>
  <c r="O636" i="2"/>
  <c r="O640" i="2"/>
  <c r="O644" i="2"/>
  <c r="O648" i="2"/>
  <c r="O652" i="2"/>
  <c r="W652" i="2" s="1"/>
  <c r="Z652" i="2" s="1"/>
  <c r="O656" i="2"/>
  <c r="W656" i="2" s="1"/>
  <c r="Z656" i="2" s="1"/>
  <c r="O651" i="2"/>
  <c r="O646" i="2"/>
  <c r="O647" i="2"/>
  <c r="O642" i="2"/>
  <c r="O638" i="2"/>
  <c r="O635" i="2"/>
  <c r="O639" i="2"/>
  <c r="O643" i="2"/>
  <c r="O626" i="2"/>
  <c r="O630" i="2"/>
  <c r="O634" i="2"/>
  <c r="O627" i="2"/>
  <c r="O631" i="2"/>
  <c r="O617" i="2"/>
  <c r="O621" i="2"/>
  <c r="W621" i="2" s="1"/>
  <c r="Z621" i="2" s="1"/>
  <c r="O625" i="2"/>
  <c r="O610" i="2"/>
  <c r="O622" i="2"/>
  <c r="O614" i="2"/>
  <c r="O618" i="2"/>
  <c r="O607" i="2"/>
  <c r="O611" i="2"/>
  <c r="O615" i="2"/>
  <c r="O619" i="2"/>
  <c r="W619" i="2" s="1"/>
  <c r="Z619" i="2" s="1"/>
  <c r="O623" i="2"/>
  <c r="W623" i="2" s="1"/>
  <c r="Z623" i="2" s="1"/>
  <c r="O581" i="2"/>
  <c r="W581" i="2" s="1"/>
  <c r="Z581" i="2" s="1"/>
  <c r="O585" i="2"/>
  <c r="W585" i="2" s="1"/>
  <c r="Z585" i="2" s="1"/>
  <c r="O589" i="2"/>
  <c r="O593" i="2"/>
  <c r="O597" i="2"/>
  <c r="O601" i="2"/>
  <c r="W601" i="2" s="1"/>
  <c r="Z601" i="2" s="1"/>
  <c r="O605" i="2"/>
  <c r="W605" i="2" s="1"/>
  <c r="Z605" i="2" s="1"/>
  <c r="O609" i="2"/>
  <c r="W609" i="2" s="1"/>
  <c r="Z609" i="2" s="1"/>
  <c r="O613" i="2"/>
  <c r="O606" i="2"/>
  <c r="W606" i="2" s="1"/>
  <c r="Z606" i="2" s="1"/>
  <c r="O603" i="2"/>
  <c r="O590" i="2"/>
  <c r="O594" i="2"/>
  <c r="O598" i="2"/>
  <c r="O602" i="2"/>
  <c r="O587" i="2"/>
  <c r="O591" i="2"/>
  <c r="O595" i="2"/>
  <c r="O599" i="2"/>
  <c r="O553" i="2"/>
  <c r="O557" i="2"/>
  <c r="O561" i="2"/>
  <c r="O565" i="2"/>
  <c r="O569" i="2"/>
  <c r="O573" i="2"/>
  <c r="O577" i="2"/>
  <c r="O586" i="2"/>
  <c r="O582" i="2"/>
  <c r="O583" i="2"/>
  <c r="O579" i="2"/>
  <c r="O578" i="2"/>
  <c r="O574" i="2"/>
  <c r="O575" i="2"/>
  <c r="O566" i="2"/>
  <c r="O570" i="2"/>
  <c r="O571" i="2"/>
  <c r="W571" i="2" s="1"/>
  <c r="Z571" i="2" s="1"/>
  <c r="O567" i="2"/>
  <c r="O563" i="2"/>
  <c r="O562" i="2"/>
  <c r="O559" i="2"/>
  <c r="O558" i="2"/>
  <c r="W558" i="2" s="1"/>
  <c r="Z558" i="2" s="1"/>
  <c r="O555" i="2"/>
  <c r="W555" i="2" s="1"/>
  <c r="Z555" i="2" s="1"/>
  <c r="O554" i="2"/>
  <c r="W554" i="2" s="1"/>
  <c r="Z554" i="2" s="1"/>
  <c r="O551" i="2"/>
  <c r="W551" i="2" s="1"/>
  <c r="Z551" i="2" s="1"/>
  <c r="O537" i="2"/>
  <c r="O541" i="2"/>
  <c r="O545" i="2"/>
  <c r="O549" i="2"/>
  <c r="O546" i="2"/>
  <c r="W546" i="2" s="1"/>
  <c r="Z546" i="2" s="1"/>
  <c r="O550" i="2"/>
  <c r="W550" i="2" s="1"/>
  <c r="Z550" i="2" s="1"/>
  <c r="O547" i="2"/>
  <c r="O542" i="2"/>
  <c r="W542" i="2" s="1"/>
  <c r="Z542" i="2" s="1"/>
  <c r="O539" i="2"/>
  <c r="W539" i="2" s="1"/>
  <c r="Z539" i="2" s="1"/>
  <c r="O543" i="2"/>
  <c r="O534" i="2"/>
  <c r="O538" i="2"/>
  <c r="O535" i="2"/>
  <c r="O513" i="2"/>
  <c r="O517" i="2"/>
  <c r="W517" i="2" s="1"/>
  <c r="Z517" i="2" s="1"/>
  <c r="O521" i="2"/>
  <c r="O525" i="2"/>
  <c r="O529" i="2"/>
  <c r="O533" i="2"/>
  <c r="O531" i="2"/>
  <c r="O530" i="2"/>
  <c r="W530" i="2" s="1"/>
  <c r="Z530" i="2" s="1"/>
  <c r="O526" i="2"/>
  <c r="O527" i="2"/>
  <c r="O522" i="2"/>
  <c r="O523" i="2"/>
  <c r="O400" i="2"/>
  <c r="O404" i="2"/>
  <c r="O408" i="2"/>
  <c r="O412" i="2"/>
  <c r="O424" i="2"/>
  <c r="O428" i="2"/>
  <c r="O432" i="2"/>
  <c r="O436" i="2"/>
  <c r="O440" i="2"/>
  <c r="O444" i="2"/>
  <c r="O448" i="2"/>
  <c r="O452" i="2"/>
  <c r="O456" i="2"/>
  <c r="O460" i="2"/>
  <c r="O464" i="2"/>
  <c r="O519" i="2"/>
  <c r="O518" i="2"/>
  <c r="W518" i="2" s="1"/>
  <c r="Z518" i="2" s="1"/>
  <c r="O502" i="2"/>
  <c r="O506" i="2"/>
  <c r="O510" i="2"/>
  <c r="O514" i="2"/>
  <c r="O503" i="2"/>
  <c r="O507" i="2"/>
  <c r="O511" i="2"/>
  <c r="O515" i="2"/>
  <c r="O485" i="2"/>
  <c r="O489" i="2"/>
  <c r="O493" i="2"/>
  <c r="O497" i="2"/>
  <c r="O501" i="2"/>
  <c r="O505" i="2"/>
  <c r="W505" i="2" s="1"/>
  <c r="Z505" i="2" s="1"/>
  <c r="O509" i="2"/>
  <c r="O499" i="2"/>
  <c r="W499" i="2" s="1"/>
  <c r="Z499" i="2" s="1"/>
  <c r="O498" i="2"/>
  <c r="O495" i="2"/>
  <c r="O494" i="2"/>
  <c r="W494" i="2" s="1"/>
  <c r="Z494" i="2" s="1"/>
  <c r="O490" i="2"/>
  <c r="O491" i="2"/>
  <c r="O478" i="2"/>
  <c r="O482" i="2"/>
  <c r="W482" i="2" s="1"/>
  <c r="Z482" i="2" s="1"/>
  <c r="O486" i="2"/>
  <c r="O479" i="2"/>
  <c r="O483" i="2"/>
  <c r="O487" i="2"/>
  <c r="O437" i="2"/>
  <c r="O441" i="2"/>
  <c r="O445" i="2"/>
  <c r="O449" i="2"/>
  <c r="O453" i="2"/>
  <c r="O457" i="2"/>
  <c r="O461" i="2"/>
  <c r="O465" i="2"/>
  <c r="O469" i="2"/>
  <c r="O473" i="2"/>
  <c r="O477" i="2"/>
  <c r="O481" i="2"/>
  <c r="O458" i="2"/>
  <c r="O462" i="2"/>
  <c r="O466" i="2"/>
  <c r="O470" i="2"/>
  <c r="O474" i="2"/>
  <c r="O459" i="2"/>
  <c r="O463" i="2"/>
  <c r="O467" i="2"/>
  <c r="O471" i="2"/>
  <c r="W471" i="2" s="1"/>
  <c r="Z471" i="2" s="1"/>
  <c r="O475" i="2"/>
  <c r="W475" i="2" s="1"/>
  <c r="Z475" i="2" s="1"/>
  <c r="O450" i="2"/>
  <c r="O454" i="2"/>
  <c r="O455" i="2"/>
  <c r="O451" i="2"/>
  <c r="O431" i="2"/>
  <c r="O435" i="2"/>
  <c r="W435" i="2" s="1"/>
  <c r="Z435" i="2" s="1"/>
  <c r="O439" i="2"/>
  <c r="O443" i="2"/>
  <c r="O447" i="2"/>
  <c r="O430" i="2"/>
  <c r="O434" i="2"/>
  <c r="O438" i="2"/>
  <c r="O442" i="2"/>
  <c r="O446" i="2"/>
  <c r="O425" i="2"/>
  <c r="O429" i="2"/>
  <c r="O433" i="2"/>
  <c r="W433" i="2" s="1"/>
  <c r="Z433" i="2" s="1"/>
  <c r="O426" i="2"/>
  <c r="O427" i="2"/>
  <c r="W427" i="2" s="1"/>
  <c r="Z427" i="2" s="1"/>
  <c r="O409" i="2"/>
  <c r="O413" i="2"/>
  <c r="O406" i="2"/>
  <c r="O410" i="2"/>
  <c r="O414" i="2"/>
  <c r="W414" i="2" s="1"/>
  <c r="Z414" i="2" s="1"/>
  <c r="O407" i="2"/>
  <c r="O411" i="2"/>
  <c r="O401" i="2"/>
  <c r="O405" i="2"/>
  <c r="O403" i="2"/>
  <c r="W403" i="2" s="1"/>
  <c r="Z403" i="2" s="1"/>
  <c r="O402" i="2"/>
  <c r="O399" i="2"/>
  <c r="O398" i="2"/>
  <c r="O394" i="2"/>
  <c r="O395" i="2"/>
  <c r="W395" i="2" s="1"/>
  <c r="Z395" i="2" s="1"/>
  <c r="O374" i="2"/>
  <c r="W374" i="2" s="1"/>
  <c r="Z374" i="2" s="1"/>
  <c r="O288" i="2"/>
  <c r="O292" i="2"/>
  <c r="O340" i="2"/>
  <c r="O348" i="2"/>
  <c r="O349" i="2"/>
  <c r="O350" i="2"/>
  <c r="O343" i="2"/>
  <c r="O341" i="2"/>
  <c r="O342" i="2"/>
  <c r="O295" i="2"/>
  <c r="W295" i="2" s="1"/>
  <c r="Z295" i="2" s="1"/>
  <c r="O333" i="2"/>
  <c r="O293" i="2"/>
  <c r="O298" i="2"/>
  <c r="O294" i="2"/>
  <c r="O290" i="2"/>
  <c r="O291" i="2"/>
  <c r="O285" i="2"/>
  <c r="O289" i="2"/>
  <c r="O286" i="2"/>
  <c r="O287" i="2"/>
  <c r="O272" i="2"/>
  <c r="W272" i="2" s="1"/>
  <c r="Z272" i="2" s="1"/>
  <c r="O184" i="2"/>
  <c r="O168" i="2"/>
  <c r="O172" i="2"/>
  <c r="O176" i="2"/>
  <c r="O180" i="2"/>
  <c r="O188" i="2"/>
  <c r="W188" i="2" s="1"/>
  <c r="Z188" i="2" s="1"/>
  <c r="O192" i="2"/>
  <c r="O183" i="2"/>
  <c r="O204" i="2"/>
  <c r="O208" i="2"/>
  <c r="O244" i="2"/>
  <c r="O248" i="2"/>
  <c r="O167" i="2"/>
  <c r="W167" i="2" s="1"/>
  <c r="Z167" i="2" s="1"/>
  <c r="O171" i="2"/>
  <c r="W171" i="2" s="1"/>
  <c r="Z171" i="2" s="1"/>
  <c r="O175" i="2"/>
  <c r="O179" i="2"/>
  <c r="O187" i="2"/>
  <c r="O195" i="2"/>
  <c r="O247" i="2"/>
  <c r="O245" i="2"/>
  <c r="O249" i="2"/>
  <c r="O246" i="2"/>
  <c r="O194" i="2"/>
  <c r="O185" i="2"/>
  <c r="O169" i="2"/>
  <c r="O173" i="2"/>
  <c r="O177" i="2"/>
  <c r="O181" i="2"/>
  <c r="O189" i="2"/>
  <c r="O193" i="2"/>
  <c r="O191" i="2"/>
  <c r="O137" i="2"/>
  <c r="O141" i="2"/>
  <c r="O145" i="2"/>
  <c r="O157" i="2"/>
  <c r="O165" i="2"/>
  <c r="O190" i="2"/>
  <c r="O186" i="2"/>
  <c r="O182" i="2"/>
  <c r="W182" i="2" s="1"/>
  <c r="Z182" i="2" s="1"/>
  <c r="O170" i="2"/>
  <c r="W170" i="2" s="1"/>
  <c r="Z170" i="2" s="1"/>
  <c r="O174" i="2"/>
  <c r="W174" i="2" s="1"/>
  <c r="Z174" i="2" s="1"/>
  <c r="O178" i="2"/>
  <c r="O160" i="2"/>
  <c r="O164" i="2"/>
  <c r="O163" i="2"/>
  <c r="O166" i="2"/>
  <c r="O158" i="2"/>
  <c r="W158" i="2" s="1"/>
  <c r="Z158" i="2" s="1"/>
  <c r="O162" i="2"/>
  <c r="W162" i="2" s="1"/>
  <c r="Z162" i="2" s="1"/>
  <c r="O159" i="2"/>
  <c r="O84" i="2"/>
  <c r="O112" i="2"/>
  <c r="O132" i="2"/>
  <c r="O136" i="2"/>
  <c r="O144" i="2"/>
  <c r="O143" i="2"/>
  <c r="O146" i="2"/>
  <c r="O147" i="2"/>
  <c r="O142" i="2"/>
  <c r="O139" i="2"/>
  <c r="O138" i="2"/>
  <c r="O131" i="2"/>
  <c r="O130" i="2"/>
  <c r="O126" i="2"/>
  <c r="O115" i="2"/>
  <c r="O113" i="2"/>
  <c r="O114" i="2"/>
  <c r="O99" i="2"/>
  <c r="O98" i="2"/>
  <c r="O71" i="2"/>
  <c r="O75" i="2"/>
  <c r="O70" i="2"/>
  <c r="O69" i="2"/>
  <c r="W69" i="2" s="1"/>
  <c r="Z69" i="2" s="1"/>
  <c r="O66" i="2"/>
  <c r="O36" i="2"/>
  <c r="O40" i="2"/>
  <c r="O52" i="2"/>
  <c r="O56" i="2"/>
  <c r="O39" i="2"/>
  <c r="O51" i="2"/>
  <c r="O41" i="2"/>
  <c r="W41" i="2" s="1"/>
  <c r="Z41" i="2" s="1"/>
  <c r="O11" i="2"/>
  <c r="O15" i="2"/>
  <c r="O37" i="2"/>
  <c r="O38" i="2"/>
  <c r="O34" i="2"/>
  <c r="O17" i="2"/>
  <c r="O9" i="2"/>
  <c r="O6" i="2"/>
  <c r="O10" i="2"/>
  <c r="W10" i="2" s="1"/>
  <c r="Z10" i="2" s="1"/>
  <c r="O14" i="2"/>
  <c r="O18" i="2"/>
  <c r="O32" i="2"/>
  <c r="W32" i="2" s="1"/>
  <c r="Z32" i="2" s="1"/>
  <c r="O16" i="2"/>
  <c r="O20" i="2"/>
  <c r="O12" i="2"/>
  <c r="AT138" i="2"/>
  <c r="AS138" i="2"/>
  <c r="AL138" i="2"/>
  <c r="AK138" i="2"/>
  <c r="AG138" i="2"/>
  <c r="AF138" i="2"/>
  <c r="W857" i="2" l="1"/>
  <c r="Z857" i="2" s="1"/>
  <c r="W580" i="2"/>
  <c r="Z580" i="2" s="1"/>
  <c r="W175" i="2"/>
  <c r="Z175" i="2" s="1"/>
  <c r="W552" i="2"/>
  <c r="Z552" i="2" s="1"/>
  <c r="W622" i="2"/>
  <c r="Z622" i="2" s="1"/>
  <c r="W1070" i="2"/>
  <c r="Z1070" i="2" s="1"/>
  <c r="W998" i="2"/>
  <c r="Z998" i="2" s="1"/>
  <c r="W183" i="2"/>
  <c r="Z183" i="2" s="1"/>
  <c r="W1086" i="2"/>
  <c r="Z1086" i="2" s="1"/>
  <c r="W1084" i="2"/>
  <c r="Z1084" i="2" s="1"/>
  <c r="W429" i="2"/>
  <c r="Z429" i="2" s="1"/>
  <c r="W617" i="2"/>
  <c r="Z617" i="2" s="1"/>
  <c r="W194" i="2"/>
  <c r="Z194" i="2" s="1"/>
  <c r="W957" i="2"/>
  <c r="Z957" i="2" s="1"/>
  <c r="W425" i="2"/>
  <c r="Z425" i="2" s="1"/>
  <c r="W1053" i="2"/>
  <c r="Z1053" i="2" s="1"/>
  <c r="W992" i="2"/>
  <c r="Z992" i="2" s="1"/>
  <c r="W157" i="2"/>
  <c r="Z157" i="2" s="1"/>
  <c r="W994" i="2"/>
  <c r="Z994" i="2" s="1"/>
  <c r="W701" i="2"/>
  <c r="Z701" i="2" s="1"/>
  <c r="W1037" i="2"/>
  <c r="Z1037" i="2" s="1"/>
  <c r="W479" i="2"/>
  <c r="Z479" i="2" s="1"/>
  <c r="W498" i="2"/>
  <c r="Z498" i="2" s="1"/>
  <c r="W184" i="2"/>
  <c r="Z184" i="2" s="1"/>
  <c r="W71" i="2"/>
  <c r="Z71" i="2" s="1"/>
  <c r="W593" i="2"/>
  <c r="Z593" i="2" s="1"/>
  <c r="W628" i="2"/>
  <c r="Z628" i="2" s="1"/>
  <c r="W439" i="2"/>
  <c r="Z439" i="2" s="1"/>
  <c r="W599" i="2"/>
  <c r="Z599" i="2" s="1"/>
  <c r="W801" i="2"/>
  <c r="Z801" i="2" s="1"/>
  <c r="W741" i="2"/>
  <c r="Z741" i="2" s="1"/>
  <c r="W1003" i="2"/>
  <c r="Z1003" i="2" s="1"/>
  <c r="W1002" i="2"/>
  <c r="Z1002" i="2" s="1"/>
  <c r="W1014" i="2"/>
  <c r="Z1014" i="2" s="1"/>
  <c r="W1013" i="2"/>
  <c r="Z1013" i="2" s="1"/>
  <c r="W1040" i="2"/>
  <c r="Z1040" i="2" s="1"/>
  <c r="W1067" i="2"/>
  <c r="Z1067" i="2" s="1"/>
  <c r="W1041" i="2"/>
  <c r="Z1041" i="2" s="1"/>
  <c r="W984" i="2"/>
  <c r="Z984" i="2" s="1"/>
  <c r="W1030" i="2"/>
  <c r="Z1030" i="2" s="1"/>
  <c r="W996" i="2"/>
  <c r="Z996" i="2" s="1"/>
  <c r="W1009" i="2"/>
  <c r="Z1009" i="2" s="1"/>
  <c r="W993" i="2"/>
  <c r="Z993" i="2" s="1"/>
  <c r="W1023" i="2"/>
  <c r="Z1023" i="2" s="1"/>
  <c r="W1043" i="2"/>
  <c r="Z1043" i="2" s="1"/>
  <c r="W1036" i="2"/>
  <c r="Z1036" i="2" s="1"/>
  <c r="W1054" i="2"/>
  <c r="Z1054" i="2" s="1"/>
  <c r="W1075" i="2"/>
  <c r="Z1075" i="2" s="1"/>
  <c r="W1088" i="2"/>
  <c r="Z1088" i="2" s="1"/>
  <c r="W1072" i="2"/>
  <c r="Z1072" i="2" s="1"/>
  <c r="W1056" i="2"/>
  <c r="Z1056" i="2" s="1"/>
  <c r="W1085" i="2"/>
  <c r="Z1085" i="2" s="1"/>
  <c r="W589" i="2"/>
  <c r="Z589" i="2" s="1"/>
  <c r="W1044" i="2"/>
  <c r="Z1044" i="2" s="1"/>
  <c r="W1062" i="2"/>
  <c r="Z1062" i="2" s="1"/>
  <c r="W1080" i="2"/>
  <c r="Z1080" i="2" s="1"/>
  <c r="W1064" i="2"/>
  <c r="Z1064" i="2" s="1"/>
  <c r="W1083" i="2"/>
  <c r="Z1083" i="2" s="1"/>
  <c r="W1071" i="2"/>
  <c r="Z1071" i="2" s="1"/>
  <c r="W1087" i="2"/>
  <c r="Z1087" i="2" s="1"/>
  <c r="W1076" i="2"/>
  <c r="Z1076" i="2" s="1"/>
  <c r="W1011" i="2"/>
  <c r="Z1011" i="2" s="1"/>
  <c r="W1018" i="2"/>
  <c r="Z1018" i="2" s="1"/>
  <c r="W1017" i="2"/>
  <c r="Z1017" i="2" s="1"/>
  <c r="W1034" i="2"/>
  <c r="Z1034" i="2" s="1"/>
  <c r="W1079" i="2"/>
  <c r="Z1079" i="2" s="1"/>
  <c r="W980" i="2"/>
  <c r="Z980" i="2" s="1"/>
  <c r="W997" i="2"/>
  <c r="Z997" i="2" s="1"/>
  <c r="W981" i="2"/>
  <c r="Z981" i="2" s="1"/>
  <c r="W1027" i="2"/>
  <c r="Z1027" i="2" s="1"/>
  <c r="W1008" i="2"/>
  <c r="Z1008" i="2" s="1"/>
  <c r="W1047" i="2"/>
  <c r="Z1047" i="2" s="1"/>
  <c r="W1058" i="2"/>
  <c r="Z1058" i="2" s="1"/>
  <c r="W1082" i="2"/>
  <c r="Z1082" i="2" s="1"/>
  <c r="W1060" i="2"/>
  <c r="Z1060" i="2" s="1"/>
  <c r="W1068" i="2"/>
  <c r="Z1068" i="2" s="1"/>
  <c r="W1066" i="2"/>
  <c r="Z1066" i="2" s="1"/>
  <c r="W1063" i="2"/>
  <c r="Z1063" i="2" s="1"/>
  <c r="W521" i="2"/>
  <c r="Z521" i="2" s="1"/>
  <c r="W1039" i="2"/>
  <c r="Z1039" i="2" s="1"/>
  <c r="W1052" i="2"/>
  <c r="Z1052" i="2" s="1"/>
  <c r="W1048" i="2"/>
  <c r="Z1048" i="2" s="1"/>
  <c r="W1050" i="2"/>
  <c r="Z1050" i="2" s="1"/>
  <c r="W1038" i="2"/>
  <c r="Z1038" i="2" s="1"/>
  <c r="W1032" i="2"/>
  <c r="Z1032" i="2" s="1"/>
  <c r="W1019" i="2"/>
  <c r="Z1019" i="2" s="1"/>
  <c r="W1026" i="2"/>
  <c r="Z1026" i="2" s="1"/>
  <c r="W979" i="2"/>
  <c r="Z979" i="2" s="1"/>
  <c r="W1001" i="2"/>
  <c r="Z1001" i="2" s="1"/>
  <c r="W985" i="2"/>
  <c r="Z985" i="2" s="1"/>
  <c r="W1022" i="2"/>
  <c r="Z1022" i="2" s="1"/>
  <c r="W1015" i="2"/>
  <c r="Z1015" i="2" s="1"/>
  <c r="W1010" i="2"/>
  <c r="Z1010" i="2" s="1"/>
  <c r="W1004" i="2"/>
  <c r="Z1004" i="2" s="1"/>
  <c r="W987" i="2"/>
  <c r="Z987" i="2" s="1"/>
  <c r="W1007" i="2"/>
  <c r="Z1007" i="2" s="1"/>
  <c r="W1006" i="2"/>
  <c r="Z1006" i="2" s="1"/>
  <c r="W1005" i="2"/>
  <c r="Z1005" i="2" s="1"/>
  <c r="W1000" i="2"/>
  <c r="Z1000" i="2" s="1"/>
  <c r="W999" i="2"/>
  <c r="Z999" i="2" s="1"/>
  <c r="W995" i="2"/>
  <c r="Z995" i="2" s="1"/>
  <c r="W983" i="2"/>
  <c r="Z983" i="2" s="1"/>
  <c r="W991" i="2"/>
  <c r="Z991" i="2" s="1"/>
  <c r="W989" i="2"/>
  <c r="Z989" i="2" s="1"/>
  <c r="W976" i="2"/>
  <c r="Z976" i="2" s="1"/>
  <c r="W916" i="2"/>
  <c r="Z916" i="2" s="1"/>
  <c r="W929" i="2"/>
  <c r="Z929" i="2" s="1"/>
  <c r="W913" i="2"/>
  <c r="Z913" i="2" s="1"/>
  <c r="W936" i="2"/>
  <c r="Z936" i="2" s="1"/>
  <c r="W966" i="2"/>
  <c r="Z966" i="2" s="1"/>
  <c r="W975" i="2"/>
  <c r="Z975" i="2" s="1"/>
  <c r="W878" i="2"/>
  <c r="Z878" i="2" s="1"/>
  <c r="W905" i="2"/>
  <c r="Z905" i="2" s="1"/>
  <c r="W889" i="2"/>
  <c r="Z889" i="2" s="1"/>
  <c r="W914" i="2"/>
  <c r="Z914" i="2" s="1"/>
  <c r="W943" i="2"/>
  <c r="Z943" i="2" s="1"/>
  <c r="W926" i="2"/>
  <c r="Z926" i="2" s="1"/>
  <c r="W942" i="2"/>
  <c r="Z942" i="2" s="1"/>
  <c r="W955" i="2"/>
  <c r="Z955" i="2" s="1"/>
  <c r="W948" i="2"/>
  <c r="Z948" i="2" s="1"/>
  <c r="W949" i="2"/>
  <c r="Z949" i="2" s="1"/>
  <c r="W879" i="2"/>
  <c r="Z879" i="2" s="1"/>
  <c r="W894" i="2"/>
  <c r="Z894" i="2" s="1"/>
  <c r="W908" i="2"/>
  <c r="Z908" i="2" s="1"/>
  <c r="W937" i="2"/>
  <c r="Z937" i="2" s="1"/>
  <c r="W921" i="2"/>
  <c r="Z921" i="2" s="1"/>
  <c r="W967" i="2"/>
  <c r="Z967" i="2" s="1"/>
  <c r="W974" i="2"/>
  <c r="Z974" i="2" s="1"/>
  <c r="W898" i="2"/>
  <c r="Z898" i="2" s="1"/>
  <c r="W907" i="2"/>
  <c r="Z907" i="2" s="1"/>
  <c r="W927" i="2"/>
  <c r="Z927" i="2" s="1"/>
  <c r="W932" i="2"/>
  <c r="Z932" i="2" s="1"/>
  <c r="W947" i="2"/>
  <c r="Z947" i="2" s="1"/>
  <c r="W968" i="2"/>
  <c r="Z968" i="2" s="1"/>
  <c r="W952" i="2"/>
  <c r="Z952" i="2" s="1"/>
  <c r="W953" i="2"/>
  <c r="Z953" i="2" s="1"/>
  <c r="W912" i="2"/>
  <c r="Z912" i="2" s="1"/>
  <c r="W925" i="2"/>
  <c r="Z925" i="2" s="1"/>
  <c r="W909" i="2"/>
  <c r="Z909" i="2" s="1"/>
  <c r="W971" i="2"/>
  <c r="Z971" i="2" s="1"/>
  <c r="W904" i="2"/>
  <c r="Z904" i="2" s="1"/>
  <c r="W956" i="2"/>
  <c r="Z956" i="2" s="1"/>
  <c r="W960" i="2"/>
  <c r="Z960" i="2" s="1"/>
  <c r="W970" i="2"/>
  <c r="Z970" i="2" s="1"/>
  <c r="W964" i="2"/>
  <c r="Z964" i="2" s="1"/>
  <c r="W954" i="2"/>
  <c r="Z954" i="2" s="1"/>
  <c r="W944" i="2"/>
  <c r="Z944" i="2" s="1"/>
  <c r="W945" i="2"/>
  <c r="Z945" i="2" s="1"/>
  <c r="W939" i="2"/>
  <c r="Z939" i="2" s="1"/>
  <c r="W938" i="2"/>
  <c r="Z938" i="2" s="1"/>
  <c r="W935" i="2"/>
  <c r="Z935" i="2" s="1"/>
  <c r="W940" i="2"/>
  <c r="Z940" i="2" s="1"/>
  <c r="W941" i="2"/>
  <c r="Z941" i="2" s="1"/>
  <c r="W911" i="2"/>
  <c r="Z911" i="2" s="1"/>
  <c r="W923" i="2"/>
  <c r="Z923" i="2" s="1"/>
  <c r="W933" i="2"/>
  <c r="Z933" i="2" s="1"/>
  <c r="W930" i="2"/>
  <c r="Z930" i="2" s="1"/>
  <c r="W910" i="2"/>
  <c r="Z910" i="2" s="1"/>
  <c r="W906" i="2"/>
  <c r="Z906" i="2" s="1"/>
  <c r="W915" i="2"/>
  <c r="Z915" i="2" s="1"/>
  <c r="W924" i="2"/>
  <c r="Z924" i="2" s="1"/>
  <c r="W920" i="2"/>
  <c r="Z920" i="2" s="1"/>
  <c r="W917" i="2"/>
  <c r="Z917" i="2" s="1"/>
  <c r="W820" i="2"/>
  <c r="Z820" i="2" s="1"/>
  <c r="W870" i="2"/>
  <c r="Z870" i="2" s="1"/>
  <c r="W868" i="2"/>
  <c r="Z868" i="2" s="1"/>
  <c r="W902" i="2"/>
  <c r="Z902" i="2" s="1"/>
  <c r="W901" i="2"/>
  <c r="Z901" i="2" s="1"/>
  <c r="W899" i="2"/>
  <c r="Z899" i="2" s="1"/>
  <c r="W897" i="2"/>
  <c r="Z897" i="2" s="1"/>
  <c r="W893" i="2"/>
  <c r="Z893" i="2" s="1"/>
  <c r="W891" i="2"/>
  <c r="Z891" i="2" s="1"/>
  <c r="W885" i="2"/>
  <c r="Z885" i="2" s="1"/>
  <c r="W887" i="2"/>
  <c r="Z887" i="2" s="1"/>
  <c r="W833" i="2"/>
  <c r="Z833" i="2" s="1"/>
  <c r="W834" i="2"/>
  <c r="Z834" i="2" s="1"/>
  <c r="W854" i="2"/>
  <c r="Z854" i="2" s="1"/>
  <c r="W855" i="2"/>
  <c r="Z855" i="2" s="1"/>
  <c r="W863" i="2"/>
  <c r="Z863" i="2" s="1"/>
  <c r="W883" i="2"/>
  <c r="Z883" i="2" s="1"/>
  <c r="W884" i="2"/>
  <c r="Z884" i="2" s="1"/>
  <c r="W836" i="2"/>
  <c r="Z836" i="2" s="1"/>
  <c r="W816" i="2"/>
  <c r="Z816" i="2" s="1"/>
  <c r="W882" i="2"/>
  <c r="Z882" i="2" s="1"/>
  <c r="W823" i="2"/>
  <c r="Z823" i="2" s="1"/>
  <c r="W838" i="2"/>
  <c r="Z838" i="2" s="1"/>
  <c r="W839" i="2"/>
  <c r="Z839" i="2" s="1"/>
  <c r="W877" i="2"/>
  <c r="Z877" i="2" s="1"/>
  <c r="W872" i="2"/>
  <c r="Z872" i="2" s="1"/>
  <c r="W881" i="2"/>
  <c r="Z881" i="2" s="1"/>
  <c r="W871" i="2"/>
  <c r="Z871" i="2" s="1"/>
  <c r="W876" i="2"/>
  <c r="Z876" i="2" s="1"/>
  <c r="W875" i="2"/>
  <c r="Z875" i="2" s="1"/>
  <c r="W873" i="2"/>
  <c r="Z873" i="2" s="1"/>
  <c r="W850" i="2"/>
  <c r="Z850" i="2" s="1"/>
  <c r="W866" i="2"/>
  <c r="Z866" i="2" s="1"/>
  <c r="W874" i="2"/>
  <c r="Z874" i="2" s="1"/>
  <c r="W869" i="2"/>
  <c r="Z869" i="2" s="1"/>
  <c r="W848" i="2"/>
  <c r="Z848" i="2" s="1"/>
  <c r="W865" i="2"/>
  <c r="Z865" i="2" s="1"/>
  <c r="W861" i="2"/>
  <c r="Z861" i="2" s="1"/>
  <c r="W862" i="2"/>
  <c r="Z862" i="2" s="1"/>
  <c r="W859" i="2"/>
  <c r="Z859" i="2" s="1"/>
  <c r="W831" i="2"/>
  <c r="Z831" i="2" s="1"/>
  <c r="W845" i="2"/>
  <c r="Z845" i="2" s="1"/>
  <c r="W827" i="2"/>
  <c r="Z827" i="2" s="1"/>
  <c r="W828" i="2"/>
  <c r="Z828" i="2" s="1"/>
  <c r="W842" i="2"/>
  <c r="Z842" i="2" s="1"/>
  <c r="W843" i="2"/>
  <c r="Z843" i="2" s="1"/>
  <c r="W847" i="2"/>
  <c r="Z847" i="2" s="1"/>
  <c r="W846" i="2"/>
  <c r="Z846" i="2" s="1"/>
  <c r="W841" i="2"/>
  <c r="Z841" i="2" s="1"/>
  <c r="W844" i="2"/>
  <c r="Z844" i="2" s="1"/>
  <c r="W779" i="2"/>
  <c r="Z779" i="2" s="1"/>
  <c r="W804" i="2"/>
  <c r="Z804" i="2" s="1"/>
  <c r="W788" i="2"/>
  <c r="Z788" i="2" s="1"/>
  <c r="W772" i="2"/>
  <c r="Z772" i="2" s="1"/>
  <c r="W824" i="2"/>
  <c r="Z824" i="2" s="1"/>
  <c r="W837" i="2"/>
  <c r="Z837" i="2" s="1"/>
  <c r="W840" i="2"/>
  <c r="Z840" i="2" s="1"/>
  <c r="W819" i="2"/>
  <c r="Z819" i="2" s="1"/>
  <c r="W835" i="2"/>
  <c r="Z835" i="2" s="1"/>
  <c r="W597" i="2"/>
  <c r="Z597" i="2" s="1"/>
  <c r="W744" i="2"/>
  <c r="Z744" i="2" s="1"/>
  <c r="W771" i="2"/>
  <c r="Z771" i="2" s="1"/>
  <c r="W796" i="2"/>
  <c r="Z796" i="2" s="1"/>
  <c r="W780" i="2"/>
  <c r="Z780" i="2" s="1"/>
  <c r="W832" i="2"/>
  <c r="Z832" i="2" s="1"/>
  <c r="W829" i="2"/>
  <c r="Z829" i="2" s="1"/>
  <c r="W830" i="2"/>
  <c r="Z830" i="2" s="1"/>
  <c r="W826" i="2"/>
  <c r="Z826" i="2" s="1"/>
  <c r="W822" i="2"/>
  <c r="Z822" i="2" s="1"/>
  <c r="W815" i="2"/>
  <c r="Z815" i="2" s="1"/>
  <c r="W739" i="2"/>
  <c r="Z739" i="2" s="1"/>
  <c r="W759" i="2"/>
  <c r="Z759" i="2" s="1"/>
  <c r="W764" i="2"/>
  <c r="Z764" i="2" s="1"/>
  <c r="W787" i="2"/>
  <c r="Z787" i="2" s="1"/>
  <c r="W786" i="2"/>
  <c r="Z786" i="2" s="1"/>
  <c r="W802" i="2"/>
  <c r="Z802" i="2" s="1"/>
  <c r="W769" i="2"/>
  <c r="Z769" i="2" s="1"/>
  <c r="W753" i="2"/>
  <c r="Z753" i="2" s="1"/>
  <c r="W767" i="2"/>
  <c r="Z767" i="2" s="1"/>
  <c r="W770" i="2"/>
  <c r="Z770" i="2" s="1"/>
  <c r="W778" i="2"/>
  <c r="Z778" i="2" s="1"/>
  <c r="W795" i="2"/>
  <c r="Z795" i="2" s="1"/>
  <c r="W794" i="2"/>
  <c r="Z794" i="2" s="1"/>
  <c r="W803" i="2"/>
  <c r="Z803" i="2" s="1"/>
  <c r="W810" i="2"/>
  <c r="Z810" i="2" s="1"/>
  <c r="W812" i="2"/>
  <c r="Z812" i="2" s="1"/>
  <c r="W777" i="2"/>
  <c r="Z777" i="2" s="1"/>
  <c r="W808" i="2"/>
  <c r="Z808" i="2" s="1"/>
  <c r="W666" i="2"/>
  <c r="Z666" i="2" s="1"/>
  <c r="W687" i="2"/>
  <c r="Z687" i="2" s="1"/>
  <c r="W723" i="2"/>
  <c r="Z723" i="2" s="1"/>
  <c r="W696" i="2"/>
  <c r="Z696" i="2" s="1"/>
  <c r="W748" i="2"/>
  <c r="Z748" i="2" s="1"/>
  <c r="W774" i="2"/>
  <c r="Z774" i="2" s="1"/>
  <c r="W800" i="2"/>
  <c r="Z800" i="2" s="1"/>
  <c r="W784" i="2"/>
  <c r="Z784" i="2" s="1"/>
  <c r="W807" i="2"/>
  <c r="Z807" i="2" s="1"/>
  <c r="W673" i="2"/>
  <c r="Z673" i="2" s="1"/>
  <c r="W657" i="2"/>
  <c r="Z657" i="2" s="1"/>
  <c r="W714" i="2"/>
  <c r="Z714" i="2" s="1"/>
  <c r="W724" i="2"/>
  <c r="Z724" i="2" s="1"/>
  <c r="W730" i="2"/>
  <c r="Z730" i="2" s="1"/>
  <c r="W742" i="2"/>
  <c r="Z742" i="2" s="1"/>
  <c r="W775" i="2"/>
  <c r="Z775" i="2" s="1"/>
  <c r="W763" i="2"/>
  <c r="Z763" i="2" s="1"/>
  <c r="W768" i="2"/>
  <c r="Z768" i="2" s="1"/>
  <c r="W758" i="2"/>
  <c r="Z758" i="2" s="1"/>
  <c r="W791" i="2"/>
  <c r="Z791" i="2" s="1"/>
  <c r="W790" i="2"/>
  <c r="Z790" i="2" s="1"/>
  <c r="W806" i="2"/>
  <c r="Z806" i="2" s="1"/>
  <c r="W773" i="2"/>
  <c r="Z773" i="2" s="1"/>
  <c r="W757" i="2"/>
  <c r="Z757" i="2" s="1"/>
  <c r="W798" i="2"/>
  <c r="Z798" i="2" s="1"/>
  <c r="W792" i="2"/>
  <c r="Z792" i="2" s="1"/>
  <c r="W783" i="2"/>
  <c r="Z783" i="2" s="1"/>
  <c r="W782" i="2"/>
  <c r="Z782" i="2" s="1"/>
  <c r="W776" i="2"/>
  <c r="Z776" i="2" s="1"/>
  <c r="W760" i="2"/>
  <c r="Z760" i="2" s="1"/>
  <c r="W766" i="2"/>
  <c r="Z766" i="2" s="1"/>
  <c r="W765" i="2"/>
  <c r="Z765" i="2" s="1"/>
  <c r="W728" i="2"/>
  <c r="Z728" i="2" s="1"/>
  <c r="W729" i="2"/>
  <c r="Z729" i="2" s="1"/>
  <c r="W740" i="2"/>
  <c r="Z740" i="2" s="1"/>
  <c r="W762" i="2"/>
  <c r="Z762" i="2" s="1"/>
  <c r="W761" i="2"/>
  <c r="Z761" i="2" s="1"/>
  <c r="W734" i="2"/>
  <c r="Z734" i="2" s="1"/>
  <c r="W752" i="2"/>
  <c r="Z752" i="2" s="1"/>
  <c r="W755" i="2"/>
  <c r="Z755" i="2" s="1"/>
  <c r="W751" i="2"/>
  <c r="Z751" i="2" s="1"/>
  <c r="W749" i="2"/>
  <c r="Z749" i="2" s="1"/>
  <c r="W738" i="2"/>
  <c r="Z738" i="2" s="1"/>
  <c r="W735" i="2"/>
  <c r="Z735" i="2" s="1"/>
  <c r="W638" i="2"/>
  <c r="Z638" i="2" s="1"/>
  <c r="W651" i="2"/>
  <c r="Z651" i="2" s="1"/>
  <c r="W662" i="2"/>
  <c r="Z662" i="2" s="1"/>
  <c r="W672" i="2"/>
  <c r="Z672" i="2" s="1"/>
  <c r="W711" i="2"/>
  <c r="Z711" i="2" s="1"/>
  <c r="W726" i="2"/>
  <c r="Z726" i="2" s="1"/>
  <c r="W721" i="2"/>
  <c r="Z721" i="2" s="1"/>
  <c r="W627" i="2"/>
  <c r="Z627" i="2" s="1"/>
  <c r="W668" i="2"/>
  <c r="Z668" i="2" s="1"/>
  <c r="W699" i="2"/>
  <c r="Z699" i="2" s="1"/>
  <c r="W694" i="2"/>
  <c r="Z694" i="2" s="1"/>
  <c r="W719" i="2"/>
  <c r="Z719" i="2" s="1"/>
  <c r="W647" i="2"/>
  <c r="Z647" i="2" s="1"/>
  <c r="W636" i="2"/>
  <c r="Z636" i="2" s="1"/>
  <c r="W654" i="2"/>
  <c r="Z654" i="2" s="1"/>
  <c r="W685" i="2"/>
  <c r="Z685" i="2" s="1"/>
  <c r="W669" i="2"/>
  <c r="Z669" i="2" s="1"/>
  <c r="W653" i="2"/>
  <c r="Z653" i="2" s="1"/>
  <c r="W637" i="2"/>
  <c r="Z637" i="2" s="1"/>
  <c r="W710" i="2"/>
  <c r="Z710" i="2" s="1"/>
  <c r="W688" i="2"/>
  <c r="Z688" i="2" s="1"/>
  <c r="W648" i="2"/>
  <c r="Z648" i="2" s="1"/>
  <c r="W660" i="2"/>
  <c r="Z660" i="2" s="1"/>
  <c r="W678" i="2"/>
  <c r="Z678" i="2" s="1"/>
  <c r="W715" i="2"/>
  <c r="Z715" i="2" s="1"/>
  <c r="W725" i="2"/>
  <c r="Z725" i="2" s="1"/>
  <c r="W722" i="2"/>
  <c r="Z722" i="2" s="1"/>
  <c r="W718" i="2"/>
  <c r="Z718" i="2" s="1"/>
  <c r="W707" i="2"/>
  <c r="Z707" i="2" s="1"/>
  <c r="W706" i="2"/>
  <c r="Z706" i="2" s="1"/>
  <c r="W610" i="2"/>
  <c r="Z610" i="2" s="1"/>
  <c r="W644" i="2"/>
  <c r="Z644" i="2" s="1"/>
  <c r="W596" i="2"/>
  <c r="Z596" i="2" s="1"/>
  <c r="W671" i="2"/>
  <c r="Z671" i="2" s="1"/>
  <c r="W677" i="2"/>
  <c r="Z677" i="2" s="1"/>
  <c r="W661" i="2"/>
  <c r="Z661" i="2" s="1"/>
  <c r="W645" i="2"/>
  <c r="Z645" i="2" s="1"/>
  <c r="W629" i="2"/>
  <c r="Z629" i="2" s="1"/>
  <c r="W698" i="2"/>
  <c r="Z698" i="2" s="1"/>
  <c r="W702" i="2"/>
  <c r="Z702" i="2" s="1"/>
  <c r="W700" i="2"/>
  <c r="Z700" i="2" s="1"/>
  <c r="W686" i="2"/>
  <c r="Z686" i="2" s="1"/>
  <c r="W689" i="2"/>
  <c r="Z689" i="2" s="1"/>
  <c r="W690" i="2"/>
  <c r="Z690" i="2" s="1"/>
  <c r="W691" i="2"/>
  <c r="Z691" i="2" s="1"/>
  <c r="W646" i="2"/>
  <c r="Z646" i="2" s="1"/>
  <c r="W681" i="2"/>
  <c r="Z681" i="2" s="1"/>
  <c r="W680" i="2"/>
  <c r="Z680" i="2" s="1"/>
  <c r="W667" i="2"/>
  <c r="Z667" i="2" s="1"/>
  <c r="W664" i="2"/>
  <c r="Z664" i="2" s="1"/>
  <c r="W675" i="2"/>
  <c r="Z675" i="2" s="1"/>
  <c r="W665" i="2"/>
  <c r="Z665" i="2" s="1"/>
  <c r="W663" i="2"/>
  <c r="Z663" i="2" s="1"/>
  <c r="W659" i="2"/>
  <c r="Z659" i="2" s="1"/>
  <c r="W179" i="2"/>
  <c r="Z179" i="2" s="1"/>
  <c r="W650" i="2"/>
  <c r="Z650" i="2" s="1"/>
  <c r="W649" i="2"/>
  <c r="Z649" i="2" s="1"/>
  <c r="W643" i="2"/>
  <c r="Z643" i="2" s="1"/>
  <c r="W590" i="2"/>
  <c r="Z590" i="2" s="1"/>
  <c r="W631" i="2"/>
  <c r="Z631" i="2" s="1"/>
  <c r="W626" i="2"/>
  <c r="Z626" i="2" s="1"/>
  <c r="W625" i="2"/>
  <c r="Z625" i="2" s="1"/>
  <c r="W642" i="2"/>
  <c r="Z642" i="2" s="1"/>
  <c r="W640" i="2"/>
  <c r="Z640" i="2" s="1"/>
  <c r="W592" i="2"/>
  <c r="Z592" i="2" s="1"/>
  <c r="W576" i="2"/>
  <c r="Z576" i="2" s="1"/>
  <c r="W641" i="2"/>
  <c r="Z641" i="2" s="1"/>
  <c r="W639" i="2"/>
  <c r="Z639" i="2" s="1"/>
  <c r="W635" i="2"/>
  <c r="Z635" i="2" s="1"/>
  <c r="W632" i="2"/>
  <c r="Z632" i="2" s="1"/>
  <c r="W634" i="2"/>
  <c r="Z634" i="2" s="1"/>
  <c r="W633" i="2"/>
  <c r="Z633" i="2" s="1"/>
  <c r="W630" i="2"/>
  <c r="Z630" i="2" s="1"/>
  <c r="W574" i="2"/>
  <c r="Z574" i="2" s="1"/>
  <c r="W582" i="2"/>
  <c r="Z582" i="2" s="1"/>
  <c r="W569" i="2"/>
  <c r="Z569" i="2" s="1"/>
  <c r="W587" i="2"/>
  <c r="Z587" i="2" s="1"/>
  <c r="W607" i="2"/>
  <c r="Z607" i="2" s="1"/>
  <c r="W564" i="2"/>
  <c r="Z564" i="2" s="1"/>
  <c r="W562" i="2"/>
  <c r="Z562" i="2" s="1"/>
  <c r="W586" i="2"/>
  <c r="Z586" i="2" s="1"/>
  <c r="W602" i="2"/>
  <c r="Z602" i="2" s="1"/>
  <c r="W618" i="2"/>
  <c r="Z618" i="2" s="1"/>
  <c r="W579" i="2"/>
  <c r="Z579" i="2" s="1"/>
  <c r="W588" i="2"/>
  <c r="Z588" i="2" s="1"/>
  <c r="W620" i="2"/>
  <c r="Z620" i="2" s="1"/>
  <c r="W611" i="2"/>
  <c r="Z611" i="2" s="1"/>
  <c r="W616" i="2"/>
  <c r="Z616" i="2" s="1"/>
  <c r="W595" i="2"/>
  <c r="Z595" i="2" s="1"/>
  <c r="W615" i="2"/>
  <c r="Z615" i="2" s="1"/>
  <c r="W594" i="2"/>
  <c r="Z594" i="2" s="1"/>
  <c r="W614" i="2"/>
  <c r="Z614" i="2" s="1"/>
  <c r="W613" i="2"/>
  <c r="Z613" i="2" s="1"/>
  <c r="W603" i="2"/>
  <c r="Z603" i="2" s="1"/>
  <c r="W598" i="2"/>
  <c r="Z598" i="2" s="1"/>
  <c r="W575" i="2"/>
  <c r="Z575" i="2" s="1"/>
  <c r="W573" i="2"/>
  <c r="Z573" i="2" s="1"/>
  <c r="W591" i="2"/>
  <c r="Z591" i="2" s="1"/>
  <c r="W583" i="2"/>
  <c r="Z583" i="2" s="1"/>
  <c r="W584" i="2"/>
  <c r="Z584" i="2" s="1"/>
  <c r="W577" i="2"/>
  <c r="Z577" i="2" s="1"/>
  <c r="W572" i="2"/>
  <c r="Z572" i="2" s="1"/>
  <c r="W578" i="2"/>
  <c r="Z578" i="2" s="1"/>
  <c r="W570" i="2"/>
  <c r="Z570" i="2" s="1"/>
  <c r="W568" i="2"/>
  <c r="Z568" i="2" s="1"/>
  <c r="W495" i="2"/>
  <c r="Z495" i="2" s="1"/>
  <c r="W538" i="2"/>
  <c r="Z538" i="2" s="1"/>
  <c r="W559" i="2"/>
  <c r="Z559" i="2" s="1"/>
  <c r="W553" i="2"/>
  <c r="Z553" i="2" s="1"/>
  <c r="W548" i="2"/>
  <c r="Z548" i="2" s="1"/>
  <c r="W566" i="2"/>
  <c r="Z566" i="2" s="1"/>
  <c r="W567" i="2"/>
  <c r="Z567" i="2" s="1"/>
  <c r="W565" i="2"/>
  <c r="Z565" i="2" s="1"/>
  <c r="W563" i="2"/>
  <c r="Z563" i="2" s="1"/>
  <c r="W561" i="2"/>
  <c r="Z561" i="2" s="1"/>
  <c r="W560" i="2"/>
  <c r="Z560" i="2" s="1"/>
  <c r="W549" i="2"/>
  <c r="Z549" i="2" s="1"/>
  <c r="W557" i="2"/>
  <c r="Z557" i="2" s="1"/>
  <c r="W533" i="2"/>
  <c r="Z533" i="2" s="1"/>
  <c r="W534" i="2"/>
  <c r="Z534" i="2" s="1"/>
  <c r="W544" i="2"/>
  <c r="Z544" i="2" s="1"/>
  <c r="W545" i="2"/>
  <c r="Z545" i="2" s="1"/>
  <c r="W547" i="2"/>
  <c r="Z547" i="2" s="1"/>
  <c r="W543" i="2"/>
  <c r="Z543" i="2" s="1"/>
  <c r="W541" i="2"/>
  <c r="Z541" i="2" s="1"/>
  <c r="W535" i="2"/>
  <c r="Z535" i="2" s="1"/>
  <c r="W537" i="2"/>
  <c r="Z537" i="2" s="1"/>
  <c r="W536" i="2"/>
  <c r="Z536" i="2" s="1"/>
  <c r="W520" i="2"/>
  <c r="Z520" i="2" s="1"/>
  <c r="W522" i="2"/>
  <c r="Z522" i="2" s="1"/>
  <c r="W531" i="2"/>
  <c r="Z531" i="2" s="1"/>
  <c r="W528" i="2"/>
  <c r="Z528" i="2" s="1"/>
  <c r="W529" i="2"/>
  <c r="Z529" i="2" s="1"/>
  <c r="W527" i="2"/>
  <c r="Z527" i="2" s="1"/>
  <c r="W526" i="2"/>
  <c r="Z526" i="2" s="1"/>
  <c r="W525" i="2"/>
  <c r="Z525" i="2" s="1"/>
  <c r="W523" i="2"/>
  <c r="Z523" i="2" s="1"/>
  <c r="W519" i="2"/>
  <c r="Z519" i="2" s="1"/>
  <c r="W516" i="2"/>
  <c r="Z516" i="2" s="1"/>
  <c r="W497" i="2"/>
  <c r="Z497" i="2" s="1"/>
  <c r="W514" i="2"/>
  <c r="Z514" i="2" s="1"/>
  <c r="W492" i="2"/>
  <c r="Z492" i="2" s="1"/>
  <c r="W515" i="2"/>
  <c r="Z515" i="2" s="1"/>
  <c r="W513" i="2"/>
  <c r="Z513" i="2" s="1"/>
  <c r="W508" i="2"/>
  <c r="Z508" i="2" s="1"/>
  <c r="W512" i="2"/>
  <c r="Z512" i="2" s="1"/>
  <c r="W511" i="2"/>
  <c r="Z511" i="2" s="1"/>
  <c r="W510" i="2"/>
  <c r="Z510" i="2" s="1"/>
  <c r="W509" i="2"/>
  <c r="Z509" i="2" s="1"/>
  <c r="W507" i="2"/>
  <c r="Z507" i="2" s="1"/>
  <c r="W448" i="2"/>
  <c r="Z448" i="2" s="1"/>
  <c r="W489" i="2"/>
  <c r="Z489" i="2" s="1"/>
  <c r="W506" i="2"/>
  <c r="Z506" i="2" s="1"/>
  <c r="W464" i="2"/>
  <c r="Z464" i="2" s="1"/>
  <c r="W432" i="2"/>
  <c r="Z432" i="2" s="1"/>
  <c r="W500" i="2"/>
  <c r="Z500" i="2" s="1"/>
  <c r="W443" i="2"/>
  <c r="Z443" i="2" s="1"/>
  <c r="W462" i="2"/>
  <c r="Z462" i="2" s="1"/>
  <c r="W491" i="2"/>
  <c r="Z491" i="2" s="1"/>
  <c r="W501" i="2"/>
  <c r="Z501" i="2" s="1"/>
  <c r="W503" i="2"/>
  <c r="Z503" i="2" s="1"/>
  <c r="W496" i="2"/>
  <c r="Z496" i="2" s="1"/>
  <c r="W504" i="2"/>
  <c r="Z504" i="2" s="1"/>
  <c r="W486" i="2"/>
  <c r="Z486" i="2" s="1"/>
  <c r="W502" i="2"/>
  <c r="Z502" i="2" s="1"/>
  <c r="W493" i="2"/>
  <c r="Z493" i="2" s="1"/>
  <c r="W291" i="2"/>
  <c r="Z291" i="2" s="1"/>
  <c r="W293" i="2"/>
  <c r="Z293" i="2" s="1"/>
  <c r="W341" i="2"/>
  <c r="Z341" i="2" s="1"/>
  <c r="W410" i="2"/>
  <c r="Z410" i="2" s="1"/>
  <c r="W434" i="2"/>
  <c r="Z434" i="2" s="1"/>
  <c r="W469" i="2"/>
  <c r="Z469" i="2" s="1"/>
  <c r="W453" i="2"/>
  <c r="Z453" i="2" s="1"/>
  <c r="W437" i="2"/>
  <c r="Z437" i="2" s="1"/>
  <c r="W490" i="2"/>
  <c r="Z490" i="2" s="1"/>
  <c r="W456" i="2"/>
  <c r="Z456" i="2" s="1"/>
  <c r="W424" i="2"/>
  <c r="Z424" i="2" s="1"/>
  <c r="W476" i="2"/>
  <c r="Z476" i="2" s="1"/>
  <c r="W488" i="2"/>
  <c r="Z488" i="2" s="1"/>
  <c r="W477" i="2"/>
  <c r="Z477" i="2" s="1"/>
  <c r="W478" i="2"/>
  <c r="Z478" i="2" s="1"/>
  <c r="W473" i="2"/>
  <c r="Z473" i="2" s="1"/>
  <c r="W487" i="2"/>
  <c r="Z487" i="2" s="1"/>
  <c r="W485" i="2"/>
  <c r="Z485" i="2" s="1"/>
  <c r="W483" i="2"/>
  <c r="Z483" i="2" s="1"/>
  <c r="W480" i="2"/>
  <c r="Z480" i="2" s="1"/>
  <c r="W481" i="2"/>
  <c r="Z481" i="2" s="1"/>
  <c r="W474" i="2"/>
  <c r="Z474" i="2" s="1"/>
  <c r="W394" i="2"/>
  <c r="Z394" i="2" s="1"/>
  <c r="W413" i="2"/>
  <c r="Z413" i="2" s="1"/>
  <c r="W442" i="2"/>
  <c r="Z442" i="2" s="1"/>
  <c r="W447" i="2"/>
  <c r="Z447" i="2" s="1"/>
  <c r="W431" i="2"/>
  <c r="Z431" i="2" s="1"/>
  <c r="W463" i="2"/>
  <c r="Z463" i="2" s="1"/>
  <c r="W461" i="2"/>
  <c r="Z461" i="2" s="1"/>
  <c r="W445" i="2"/>
  <c r="Z445" i="2" s="1"/>
  <c r="W408" i="2"/>
  <c r="Z408" i="2" s="1"/>
  <c r="W455" i="2"/>
  <c r="Z455" i="2" s="1"/>
  <c r="W440" i="2"/>
  <c r="Z440" i="2" s="1"/>
  <c r="W399" i="2"/>
  <c r="Z399" i="2" s="1"/>
  <c r="W402" i="2"/>
  <c r="Z402" i="2" s="1"/>
  <c r="W454" i="2"/>
  <c r="Z454" i="2" s="1"/>
  <c r="W452" i="2"/>
  <c r="Z452" i="2" s="1"/>
  <c r="W450" i="2"/>
  <c r="Z450" i="2" s="1"/>
  <c r="W466" i="2"/>
  <c r="Z466" i="2" s="1"/>
  <c r="W468" i="2"/>
  <c r="Z468" i="2" s="1"/>
  <c r="W430" i="2"/>
  <c r="Z430" i="2" s="1"/>
  <c r="W470" i="2"/>
  <c r="Z470" i="2" s="1"/>
  <c r="W457" i="2"/>
  <c r="Z457" i="2" s="1"/>
  <c r="W441" i="2"/>
  <c r="Z441" i="2" s="1"/>
  <c r="W460" i="2"/>
  <c r="Z460" i="2" s="1"/>
  <c r="W444" i="2"/>
  <c r="Z444" i="2" s="1"/>
  <c r="W467" i="2"/>
  <c r="Z467" i="2" s="1"/>
  <c r="W465" i="2"/>
  <c r="Z465" i="2" s="1"/>
  <c r="W459" i="2"/>
  <c r="Z459" i="2" s="1"/>
  <c r="W458" i="2"/>
  <c r="Z458" i="2" s="1"/>
  <c r="W451" i="2"/>
  <c r="Z451" i="2" s="1"/>
  <c r="W438" i="2"/>
  <c r="Z438" i="2" s="1"/>
  <c r="W446" i="2"/>
  <c r="Z446" i="2" s="1"/>
  <c r="W449" i="2"/>
  <c r="Z449" i="2" s="1"/>
  <c r="W436" i="2"/>
  <c r="Z436" i="2" s="1"/>
  <c r="W428" i="2"/>
  <c r="Z428" i="2" s="1"/>
  <c r="W401" i="2"/>
  <c r="Z401" i="2" s="1"/>
  <c r="W400" i="2"/>
  <c r="Z400" i="2" s="1"/>
  <c r="W406" i="2"/>
  <c r="Z406" i="2" s="1"/>
  <c r="W350" i="2"/>
  <c r="Z350" i="2" s="1"/>
  <c r="W398" i="2"/>
  <c r="Z398" i="2" s="1"/>
  <c r="W409" i="2"/>
  <c r="Z409" i="2" s="1"/>
  <c r="W404" i="2"/>
  <c r="Z404" i="2" s="1"/>
  <c r="W411" i="2"/>
  <c r="Z411" i="2" s="1"/>
  <c r="W426" i="2"/>
  <c r="Z426" i="2" s="1"/>
  <c r="W412" i="2"/>
  <c r="Z412" i="2" s="1"/>
  <c r="W292" i="2"/>
  <c r="Z292" i="2" s="1"/>
  <c r="W407" i="2"/>
  <c r="Z407" i="2" s="1"/>
  <c r="W349" i="2"/>
  <c r="Z349" i="2" s="1"/>
  <c r="W405" i="2"/>
  <c r="Z405" i="2" s="1"/>
  <c r="W343" i="2"/>
  <c r="Z343" i="2" s="1"/>
  <c r="W342" i="2"/>
  <c r="Z342" i="2" s="1"/>
  <c r="W348" i="2"/>
  <c r="Z348" i="2" s="1"/>
  <c r="W340" i="2"/>
  <c r="Z340" i="2" s="1"/>
  <c r="W333" i="2"/>
  <c r="Z333" i="2" s="1"/>
  <c r="W298" i="2"/>
  <c r="Z298" i="2" s="1"/>
  <c r="W285" i="2"/>
  <c r="Z285" i="2" s="1"/>
  <c r="W288" i="2"/>
  <c r="Z288" i="2" s="1"/>
  <c r="W249" i="2"/>
  <c r="Z249" i="2" s="1"/>
  <c r="W289" i="2"/>
  <c r="Z289" i="2" s="1"/>
  <c r="W294" i="2"/>
  <c r="Z294" i="2" s="1"/>
  <c r="W287" i="2"/>
  <c r="Z287" i="2" s="1"/>
  <c r="W290" i="2"/>
  <c r="Z290" i="2" s="1"/>
  <c r="W286" i="2"/>
  <c r="Z286" i="2" s="1"/>
  <c r="W75" i="2"/>
  <c r="Z75" i="2" s="1"/>
  <c r="W248" i="2"/>
  <c r="Z248" i="2" s="1"/>
  <c r="W247" i="2"/>
  <c r="Z247" i="2" s="1"/>
  <c r="W246" i="2"/>
  <c r="Z246" i="2" s="1"/>
  <c r="W245" i="2"/>
  <c r="Z245" i="2" s="1"/>
  <c r="W244" i="2"/>
  <c r="Z244" i="2" s="1"/>
  <c r="W193" i="2"/>
  <c r="Z193" i="2" s="1"/>
  <c r="W195" i="2"/>
  <c r="Z195" i="2" s="1"/>
  <c r="W204" i="2"/>
  <c r="Z204" i="2" s="1"/>
  <c r="W191" i="2"/>
  <c r="Z191" i="2" s="1"/>
  <c r="W190" i="2"/>
  <c r="Z190" i="2" s="1"/>
  <c r="W181" i="2"/>
  <c r="Z181" i="2" s="1"/>
  <c r="W185" i="2"/>
  <c r="Z185" i="2" s="1"/>
  <c r="W176" i="2"/>
  <c r="Z176" i="2" s="1"/>
  <c r="W208" i="2"/>
  <c r="Z208" i="2" s="1"/>
  <c r="W189" i="2"/>
  <c r="Z189" i="2" s="1"/>
  <c r="W159" i="2"/>
  <c r="Z159" i="2" s="1"/>
  <c r="W169" i="2"/>
  <c r="Z169" i="2" s="1"/>
  <c r="W187" i="2"/>
  <c r="Z187" i="2" s="1"/>
  <c r="W180" i="2"/>
  <c r="Z180" i="2" s="1"/>
  <c r="W52" i="2"/>
  <c r="Z52" i="2" s="1"/>
  <c r="W138" i="2"/>
  <c r="Z138" i="2" s="1"/>
  <c r="W132" i="2"/>
  <c r="Z132" i="2" s="1"/>
  <c r="W164" i="2"/>
  <c r="Z164" i="2" s="1"/>
  <c r="W192" i="2"/>
  <c r="Z192" i="2" s="1"/>
  <c r="W178" i="2"/>
  <c r="Z178" i="2" s="1"/>
  <c r="W186" i="2"/>
  <c r="Z186" i="2" s="1"/>
  <c r="W177" i="2"/>
  <c r="Z177" i="2" s="1"/>
  <c r="W172" i="2"/>
  <c r="Z172" i="2" s="1"/>
  <c r="W173" i="2"/>
  <c r="Z173" i="2" s="1"/>
  <c r="W168" i="2"/>
  <c r="Z168" i="2" s="1"/>
  <c r="W131" i="2"/>
  <c r="Z131" i="2" s="1"/>
  <c r="W147" i="2"/>
  <c r="Z147" i="2" s="1"/>
  <c r="W137" i="2"/>
  <c r="Z137" i="2" s="1"/>
  <c r="W165" i="2"/>
  <c r="Z165" i="2" s="1"/>
  <c r="W160" i="2"/>
  <c r="Z160" i="2" s="1"/>
  <c r="W166" i="2"/>
  <c r="Z166" i="2" s="1"/>
  <c r="W113" i="2"/>
  <c r="Z113" i="2" s="1"/>
  <c r="W136" i="2"/>
  <c r="Z136" i="2" s="1"/>
  <c r="W163" i="2"/>
  <c r="Z163" i="2" s="1"/>
  <c r="W34" i="2"/>
  <c r="Z34" i="2" s="1"/>
  <c r="W56" i="2"/>
  <c r="Z56" i="2" s="1"/>
  <c r="W141" i="2"/>
  <c r="Z141" i="2" s="1"/>
  <c r="W142" i="2"/>
  <c r="Z142" i="2" s="1"/>
  <c r="W145" i="2"/>
  <c r="Z145" i="2" s="1"/>
  <c r="W146" i="2"/>
  <c r="Z146" i="2" s="1"/>
  <c r="W144" i="2"/>
  <c r="Z144" i="2" s="1"/>
  <c r="W126" i="2"/>
  <c r="Z126" i="2" s="1"/>
  <c r="W143" i="2"/>
  <c r="Z143" i="2" s="1"/>
  <c r="W99" i="2"/>
  <c r="Z99" i="2" s="1"/>
  <c r="W139" i="2"/>
  <c r="Z139" i="2" s="1"/>
  <c r="W130" i="2"/>
  <c r="Z130" i="2" s="1"/>
  <c r="W115" i="2"/>
  <c r="Z115" i="2" s="1"/>
  <c r="W114" i="2"/>
  <c r="Z114" i="2" s="1"/>
  <c r="W112" i="2"/>
  <c r="Z112" i="2" s="1"/>
  <c r="W98" i="2"/>
  <c r="Z98" i="2" s="1"/>
  <c r="W84" i="2"/>
  <c r="Z84" i="2" s="1"/>
  <c r="W18" i="2"/>
  <c r="Z18" i="2" s="1"/>
  <c r="W37" i="2"/>
  <c r="Z37" i="2" s="1"/>
  <c r="W51" i="2"/>
  <c r="Z51" i="2" s="1"/>
  <c r="W40" i="2"/>
  <c r="Z40" i="2" s="1"/>
  <c r="W70" i="2"/>
  <c r="Z70" i="2" s="1"/>
  <c r="W66" i="2"/>
  <c r="Z66" i="2" s="1"/>
  <c r="W14" i="2"/>
  <c r="Z14" i="2" s="1"/>
  <c r="W36" i="2"/>
  <c r="Z36" i="2" s="1"/>
  <c r="W16" i="2"/>
  <c r="Z16" i="2" s="1"/>
  <c r="W11" i="2"/>
  <c r="Z11" i="2" s="1"/>
  <c r="W6" i="2"/>
  <c r="Z6" i="2" s="1"/>
  <c r="W38" i="2"/>
  <c r="Z38" i="2" s="1"/>
  <c r="W39" i="2"/>
  <c r="Z39" i="2" s="1"/>
  <c r="W9" i="2"/>
  <c r="Z9" i="2" s="1"/>
  <c r="W20" i="2"/>
  <c r="Z20" i="2" s="1"/>
  <c r="W17" i="2"/>
  <c r="Z17" i="2" s="1"/>
  <c r="W15" i="2"/>
  <c r="Z15" i="2" s="1"/>
  <c r="W12" i="2"/>
  <c r="Z12" i="2" s="1"/>
  <c r="AT1087" i="2"/>
  <c r="AS1087" i="2"/>
  <c r="AL1087" i="2"/>
  <c r="AK1087" i="2"/>
  <c r="AG1087" i="2"/>
  <c r="AH1087" i="2" s="1"/>
  <c r="AF1087" i="2"/>
  <c r="AT1086" i="2"/>
  <c r="AS1086" i="2"/>
  <c r="AL1086" i="2"/>
  <c r="AK1086" i="2"/>
  <c r="AG1086" i="2"/>
  <c r="AH1086" i="2" s="1"/>
  <c r="AF1086" i="2"/>
  <c r="AT1085" i="2"/>
  <c r="AS1085" i="2"/>
  <c r="AL1085" i="2"/>
  <c r="AK1085" i="2"/>
  <c r="AG1085" i="2"/>
  <c r="AH1085" i="2" s="1"/>
  <c r="AF1085" i="2"/>
  <c r="AT1084" i="2"/>
  <c r="AS1084" i="2"/>
  <c r="AL1084" i="2"/>
  <c r="AK1084" i="2"/>
  <c r="AG1084" i="2"/>
  <c r="AH1084" i="2" s="1"/>
  <c r="AF1084" i="2"/>
  <c r="AT1083" i="2"/>
  <c r="AS1083" i="2"/>
  <c r="AL1083" i="2"/>
  <c r="AK1083" i="2"/>
  <c r="AG1083" i="2"/>
  <c r="AH1083" i="2" s="1"/>
  <c r="AF1083" i="2"/>
  <c r="AT1082" i="2"/>
  <c r="AS1082" i="2"/>
  <c r="AL1082" i="2"/>
  <c r="AK1082" i="2"/>
  <c r="AG1082" i="2"/>
  <c r="AH1082" i="2" s="1"/>
  <c r="AF1082" i="2"/>
  <c r="AT1081" i="2"/>
  <c r="AS1081" i="2"/>
  <c r="AL1081" i="2"/>
  <c r="AK1081" i="2"/>
  <c r="AG1081" i="2"/>
  <c r="AH1081" i="2" s="1"/>
  <c r="AF1081" i="2"/>
  <c r="AT1080" i="2"/>
  <c r="AS1080" i="2"/>
  <c r="AL1080" i="2"/>
  <c r="AK1080" i="2"/>
  <c r="AG1080" i="2"/>
  <c r="AH1080" i="2" s="1"/>
  <c r="AF1080" i="2"/>
  <c r="AT1079" i="2"/>
  <c r="AS1079" i="2"/>
  <c r="AL1079" i="2"/>
  <c r="AK1079" i="2"/>
  <c r="AG1079" i="2"/>
  <c r="AH1079" i="2" s="1"/>
  <c r="AF1079" i="2"/>
  <c r="AT1078" i="2"/>
  <c r="AS1078" i="2"/>
  <c r="AL1078" i="2"/>
  <c r="AK1078" i="2"/>
  <c r="AG1078" i="2"/>
  <c r="AH1078" i="2" s="1"/>
  <c r="AF1078" i="2"/>
  <c r="AT1077" i="2"/>
  <c r="AS1077" i="2"/>
  <c r="AL1077" i="2"/>
  <c r="AK1077" i="2"/>
  <c r="AG1077" i="2"/>
  <c r="AH1077" i="2" s="1"/>
  <c r="AF1077" i="2"/>
  <c r="AT1076" i="2"/>
  <c r="AS1076" i="2"/>
  <c r="AL1076" i="2"/>
  <c r="AK1076" i="2"/>
  <c r="AG1076" i="2"/>
  <c r="AH1076" i="2" s="1"/>
  <c r="AF1076" i="2"/>
  <c r="AT1075" i="2"/>
  <c r="AS1075" i="2"/>
  <c r="AL1075" i="2"/>
  <c r="AK1075" i="2"/>
  <c r="AG1075" i="2"/>
  <c r="AH1075" i="2" s="1"/>
  <c r="AF1075" i="2"/>
  <c r="AT1074" i="2"/>
  <c r="AS1074" i="2"/>
  <c r="AL1074" i="2"/>
  <c r="AK1074" i="2"/>
  <c r="AG1074" i="2"/>
  <c r="AH1074" i="2" s="1"/>
  <c r="AF1074" i="2"/>
  <c r="AT1073" i="2"/>
  <c r="AS1073" i="2"/>
  <c r="AL1073" i="2"/>
  <c r="AK1073" i="2"/>
  <c r="AG1073" i="2"/>
  <c r="AH1073" i="2" s="1"/>
  <c r="AF1073" i="2"/>
  <c r="AT1072" i="2"/>
  <c r="AS1072" i="2"/>
  <c r="AL1072" i="2"/>
  <c r="AK1072" i="2"/>
  <c r="AG1072" i="2"/>
  <c r="AH1072" i="2" s="1"/>
  <c r="AF1072" i="2"/>
  <c r="AT1071" i="2"/>
  <c r="AS1071" i="2"/>
  <c r="AL1071" i="2"/>
  <c r="AK1071" i="2"/>
  <c r="AG1071" i="2"/>
  <c r="AH1071" i="2" s="1"/>
  <c r="AF1071" i="2"/>
  <c r="AT1070" i="2"/>
  <c r="AS1070" i="2"/>
  <c r="AL1070" i="2"/>
  <c r="AK1070" i="2"/>
  <c r="AG1070" i="2"/>
  <c r="AH1070" i="2" s="1"/>
  <c r="AF1070" i="2"/>
  <c r="AT1069" i="2"/>
  <c r="AS1069" i="2"/>
  <c r="AL1069" i="2"/>
  <c r="AK1069" i="2"/>
  <c r="AG1069" i="2"/>
  <c r="AH1069" i="2" s="1"/>
  <c r="AF1069" i="2"/>
  <c r="AT1068" i="2"/>
  <c r="AS1068" i="2"/>
  <c r="AL1068" i="2"/>
  <c r="AK1068" i="2"/>
  <c r="AG1068" i="2"/>
  <c r="AH1068" i="2" s="1"/>
  <c r="AF1068" i="2"/>
  <c r="AT1067" i="2"/>
  <c r="AS1067" i="2"/>
  <c r="AL1067" i="2"/>
  <c r="AK1067" i="2"/>
  <c r="AG1067" i="2"/>
  <c r="AH1067" i="2" s="1"/>
  <c r="AF1067" i="2"/>
  <c r="AT1066" i="2"/>
  <c r="AS1066" i="2"/>
  <c r="AL1066" i="2"/>
  <c r="AK1066" i="2"/>
  <c r="AG1066" i="2"/>
  <c r="AH1066" i="2" s="1"/>
  <c r="AF1066" i="2"/>
  <c r="AT1065" i="2"/>
  <c r="AS1065" i="2"/>
  <c r="AL1065" i="2"/>
  <c r="AK1065" i="2"/>
  <c r="AG1065" i="2"/>
  <c r="AH1065" i="2" s="1"/>
  <c r="AF1065" i="2"/>
  <c r="AT1064" i="2"/>
  <c r="AS1064" i="2"/>
  <c r="AL1064" i="2"/>
  <c r="AK1064" i="2"/>
  <c r="AG1064" i="2"/>
  <c r="AH1064" i="2" s="1"/>
  <c r="AF1064" i="2"/>
  <c r="AT1063" i="2"/>
  <c r="AS1063" i="2"/>
  <c r="AL1063" i="2"/>
  <c r="AK1063" i="2"/>
  <c r="AG1063" i="2"/>
  <c r="AH1063" i="2" s="1"/>
  <c r="AF1063" i="2"/>
  <c r="AT1062" i="2"/>
  <c r="AS1062" i="2"/>
  <c r="AL1062" i="2"/>
  <c r="AK1062" i="2"/>
  <c r="AG1062" i="2"/>
  <c r="AH1062" i="2" s="1"/>
  <c r="AF1062" i="2"/>
  <c r="AT1061" i="2"/>
  <c r="AS1061" i="2"/>
  <c r="AL1061" i="2"/>
  <c r="AK1061" i="2"/>
  <c r="AG1061" i="2"/>
  <c r="AH1061" i="2" s="1"/>
  <c r="AF1061" i="2"/>
  <c r="AT1060" i="2"/>
  <c r="AS1060" i="2"/>
  <c r="AL1060" i="2"/>
  <c r="AK1060" i="2"/>
  <c r="AG1060" i="2"/>
  <c r="AH1060" i="2" s="1"/>
  <c r="AF1060" i="2"/>
  <c r="AT1059" i="2"/>
  <c r="AS1059" i="2"/>
  <c r="AL1059" i="2"/>
  <c r="AK1059" i="2"/>
  <c r="AG1059" i="2"/>
  <c r="AH1059" i="2" s="1"/>
  <c r="AF1059" i="2"/>
  <c r="AT1058" i="2"/>
  <c r="AS1058" i="2"/>
  <c r="AL1058" i="2"/>
  <c r="AK1058" i="2"/>
  <c r="AG1058" i="2"/>
  <c r="AH1058" i="2" s="1"/>
  <c r="AF1058" i="2"/>
  <c r="AT1057" i="2"/>
  <c r="AS1057" i="2"/>
  <c r="AL1057" i="2"/>
  <c r="AK1057" i="2"/>
  <c r="AG1057" i="2"/>
  <c r="AH1057" i="2" s="1"/>
  <c r="AF1057" i="2"/>
  <c r="AT1056" i="2"/>
  <c r="AS1056" i="2"/>
  <c r="AL1056" i="2"/>
  <c r="AK1056" i="2"/>
  <c r="AG1056" i="2"/>
  <c r="AH1056" i="2" s="1"/>
  <c r="AF1056" i="2"/>
  <c r="AT1055" i="2"/>
  <c r="AS1055" i="2"/>
  <c r="AL1055" i="2"/>
  <c r="AK1055" i="2"/>
  <c r="AG1055" i="2"/>
  <c r="AH1055" i="2" s="1"/>
  <c r="AF1055" i="2"/>
  <c r="AT1054" i="2"/>
  <c r="AS1054" i="2"/>
  <c r="AL1054" i="2"/>
  <c r="AK1054" i="2"/>
  <c r="AG1054" i="2"/>
  <c r="AH1054" i="2" s="1"/>
  <c r="AF1054" i="2"/>
  <c r="AT1053" i="2"/>
  <c r="AS1053" i="2"/>
  <c r="AL1053" i="2"/>
  <c r="AK1053" i="2"/>
  <c r="AG1053" i="2"/>
  <c r="AH1053" i="2" s="1"/>
  <c r="AF1053" i="2"/>
  <c r="AT1052" i="2"/>
  <c r="AS1052" i="2"/>
  <c r="AL1052" i="2"/>
  <c r="AK1052" i="2"/>
  <c r="AG1052" i="2"/>
  <c r="AH1052" i="2" s="1"/>
  <c r="AF1052" i="2"/>
  <c r="AT1051" i="2"/>
  <c r="AS1051" i="2"/>
  <c r="AL1051" i="2"/>
  <c r="AK1051" i="2"/>
  <c r="AG1051" i="2"/>
  <c r="AH1051" i="2" s="1"/>
  <c r="AF1051" i="2"/>
  <c r="AT1050" i="2"/>
  <c r="AS1050" i="2"/>
  <c r="AL1050" i="2"/>
  <c r="AK1050" i="2"/>
  <c r="AG1050" i="2"/>
  <c r="AH1050" i="2" s="1"/>
  <c r="AF1050" i="2"/>
  <c r="AT1049" i="2"/>
  <c r="AS1049" i="2"/>
  <c r="AL1049" i="2"/>
  <c r="AK1049" i="2"/>
  <c r="AG1049" i="2"/>
  <c r="AH1049" i="2" s="1"/>
  <c r="AF1049" i="2"/>
  <c r="AT1048" i="2"/>
  <c r="AS1048" i="2"/>
  <c r="AL1048" i="2"/>
  <c r="AK1048" i="2"/>
  <c r="AG1048" i="2"/>
  <c r="AH1048" i="2" s="1"/>
  <c r="AF1048" i="2"/>
  <c r="AT1047" i="2"/>
  <c r="AS1047" i="2"/>
  <c r="AL1047" i="2"/>
  <c r="AK1047" i="2"/>
  <c r="AG1047" i="2"/>
  <c r="AH1047" i="2" s="1"/>
  <c r="AF1047" i="2"/>
  <c r="AT1046" i="2"/>
  <c r="AS1046" i="2"/>
  <c r="AL1046" i="2"/>
  <c r="AK1046" i="2"/>
  <c r="AG1046" i="2"/>
  <c r="AH1046" i="2" s="1"/>
  <c r="AF1046" i="2"/>
  <c r="AT1045" i="2"/>
  <c r="AS1045" i="2"/>
  <c r="AL1045" i="2"/>
  <c r="AK1045" i="2"/>
  <c r="AG1045" i="2"/>
  <c r="AH1045" i="2" s="1"/>
  <c r="AF1045" i="2"/>
  <c r="AT1044" i="2"/>
  <c r="AS1044" i="2"/>
  <c r="AL1044" i="2"/>
  <c r="AK1044" i="2"/>
  <c r="AG1044" i="2"/>
  <c r="AH1044" i="2" s="1"/>
  <c r="AF1044" i="2"/>
  <c r="AT1043" i="2"/>
  <c r="AS1043" i="2"/>
  <c r="AL1043" i="2"/>
  <c r="AK1043" i="2"/>
  <c r="AG1043" i="2"/>
  <c r="AH1043" i="2" s="1"/>
  <c r="AF1043" i="2"/>
  <c r="AT1042" i="2"/>
  <c r="AS1042" i="2"/>
  <c r="AL1042" i="2"/>
  <c r="AK1042" i="2"/>
  <c r="AG1042" i="2"/>
  <c r="AH1042" i="2" s="1"/>
  <c r="AF1042" i="2"/>
  <c r="AT1041" i="2"/>
  <c r="AS1041" i="2"/>
  <c r="AL1041" i="2"/>
  <c r="AK1041" i="2"/>
  <c r="AG1041" i="2"/>
  <c r="AH1041" i="2" s="1"/>
  <c r="AF1041" i="2"/>
  <c r="AT1040" i="2"/>
  <c r="AS1040" i="2"/>
  <c r="AL1040" i="2"/>
  <c r="AK1040" i="2"/>
  <c r="AG1040" i="2"/>
  <c r="AH1040" i="2" s="1"/>
  <c r="AF1040" i="2"/>
  <c r="AT1039" i="2"/>
  <c r="AS1039" i="2"/>
  <c r="AL1039" i="2"/>
  <c r="AK1039" i="2"/>
  <c r="AG1039" i="2"/>
  <c r="AH1039" i="2" s="1"/>
  <c r="AF1039" i="2"/>
  <c r="AT1038" i="2"/>
  <c r="AS1038" i="2"/>
  <c r="AL1038" i="2"/>
  <c r="AK1038" i="2"/>
  <c r="AG1038" i="2"/>
  <c r="AH1038" i="2" s="1"/>
  <c r="AF1038" i="2"/>
  <c r="AT1037" i="2"/>
  <c r="AS1037" i="2"/>
  <c r="AL1037" i="2"/>
  <c r="AK1037" i="2"/>
  <c r="AG1037" i="2"/>
  <c r="AH1037" i="2" s="1"/>
  <c r="AF1037" i="2"/>
  <c r="AT1036" i="2"/>
  <c r="AS1036" i="2"/>
  <c r="AL1036" i="2"/>
  <c r="AK1036" i="2"/>
  <c r="AG1036" i="2"/>
  <c r="AH1036" i="2" s="1"/>
  <c r="AF1036" i="2"/>
  <c r="AT1035" i="2"/>
  <c r="AS1035" i="2"/>
  <c r="AL1035" i="2"/>
  <c r="AK1035" i="2"/>
  <c r="AG1035" i="2"/>
  <c r="AH1035" i="2" s="1"/>
  <c r="AF1035" i="2"/>
  <c r="AT1034" i="2"/>
  <c r="AS1034" i="2"/>
  <c r="AL1034" i="2"/>
  <c r="AK1034" i="2"/>
  <c r="AG1034" i="2"/>
  <c r="AH1034" i="2" s="1"/>
  <c r="AF1034" i="2"/>
  <c r="AT1033" i="2"/>
  <c r="AS1033" i="2"/>
  <c r="AL1033" i="2"/>
  <c r="AK1033" i="2"/>
  <c r="AG1033" i="2"/>
  <c r="AH1033" i="2" s="1"/>
  <c r="AF1033" i="2"/>
  <c r="AT1032" i="2"/>
  <c r="AS1032" i="2"/>
  <c r="AL1032" i="2"/>
  <c r="AK1032" i="2"/>
  <c r="AG1032" i="2"/>
  <c r="AH1032" i="2" s="1"/>
  <c r="AF1032" i="2"/>
  <c r="AT1031" i="2"/>
  <c r="AS1031" i="2"/>
  <c r="AL1031" i="2"/>
  <c r="AK1031" i="2"/>
  <c r="AG1031" i="2"/>
  <c r="AH1031" i="2" s="1"/>
  <c r="AF1031" i="2"/>
  <c r="AT1030" i="2"/>
  <c r="AS1030" i="2"/>
  <c r="AL1030" i="2"/>
  <c r="AK1030" i="2"/>
  <c r="AG1030" i="2"/>
  <c r="AH1030" i="2" s="1"/>
  <c r="AF1030" i="2"/>
  <c r="AT1029" i="2"/>
  <c r="AS1029" i="2"/>
  <c r="AL1029" i="2"/>
  <c r="AK1029" i="2"/>
  <c r="AG1029" i="2"/>
  <c r="AH1029" i="2" s="1"/>
  <c r="AF1029" i="2"/>
  <c r="AT1028" i="2"/>
  <c r="AS1028" i="2"/>
  <c r="AL1028" i="2"/>
  <c r="AK1028" i="2"/>
  <c r="AG1028" i="2"/>
  <c r="AH1028" i="2" s="1"/>
  <c r="AF1028" i="2"/>
  <c r="AT1027" i="2"/>
  <c r="AS1027" i="2"/>
  <c r="AL1027" i="2"/>
  <c r="AK1027" i="2"/>
  <c r="AG1027" i="2"/>
  <c r="AH1027" i="2" s="1"/>
  <c r="AF1027" i="2"/>
  <c r="AT1026" i="2"/>
  <c r="AS1026" i="2"/>
  <c r="AL1026" i="2"/>
  <c r="AK1026" i="2"/>
  <c r="AG1026" i="2"/>
  <c r="AH1026" i="2" s="1"/>
  <c r="AF1026" i="2"/>
  <c r="AT1025" i="2"/>
  <c r="AS1025" i="2"/>
  <c r="AL1025" i="2"/>
  <c r="AK1025" i="2"/>
  <c r="AG1025" i="2"/>
  <c r="AH1025" i="2" s="1"/>
  <c r="AF1025" i="2"/>
  <c r="AT1024" i="2"/>
  <c r="AS1024" i="2"/>
  <c r="AL1024" i="2"/>
  <c r="AK1024" i="2"/>
  <c r="AG1024" i="2"/>
  <c r="AH1024" i="2" s="1"/>
  <c r="AF1024" i="2"/>
  <c r="AT1023" i="2"/>
  <c r="AS1023" i="2"/>
  <c r="AL1023" i="2"/>
  <c r="AK1023" i="2"/>
  <c r="AG1023" i="2"/>
  <c r="AH1023" i="2" s="1"/>
  <c r="AF1023" i="2"/>
  <c r="AT1022" i="2"/>
  <c r="AS1022" i="2"/>
  <c r="AL1022" i="2"/>
  <c r="AK1022" i="2"/>
  <c r="AG1022" i="2"/>
  <c r="AH1022" i="2" s="1"/>
  <c r="AF1022" i="2"/>
  <c r="AT1021" i="2"/>
  <c r="AS1021" i="2"/>
  <c r="AL1021" i="2"/>
  <c r="AK1021" i="2"/>
  <c r="AG1021" i="2"/>
  <c r="AH1021" i="2" s="1"/>
  <c r="AF1021" i="2"/>
  <c r="AT1020" i="2"/>
  <c r="AS1020" i="2"/>
  <c r="AL1020" i="2"/>
  <c r="AK1020" i="2"/>
  <c r="AG1020" i="2"/>
  <c r="AH1020" i="2" s="1"/>
  <c r="AF1020" i="2"/>
  <c r="AT1019" i="2"/>
  <c r="AS1019" i="2"/>
  <c r="AL1019" i="2"/>
  <c r="AK1019" i="2"/>
  <c r="AG1019" i="2"/>
  <c r="AH1019" i="2" s="1"/>
  <c r="AF1019" i="2"/>
  <c r="AT1018" i="2"/>
  <c r="AS1018" i="2"/>
  <c r="AL1018" i="2"/>
  <c r="AK1018" i="2"/>
  <c r="AG1018" i="2"/>
  <c r="AH1018" i="2" s="1"/>
  <c r="AF1018" i="2"/>
  <c r="AT1017" i="2"/>
  <c r="AS1017" i="2"/>
  <c r="AL1017" i="2"/>
  <c r="AK1017" i="2"/>
  <c r="AG1017" i="2"/>
  <c r="AH1017" i="2" s="1"/>
  <c r="AF1017" i="2"/>
  <c r="AT1016" i="2"/>
  <c r="AS1016" i="2"/>
  <c r="AL1016" i="2"/>
  <c r="AK1016" i="2"/>
  <c r="AG1016" i="2"/>
  <c r="AH1016" i="2" s="1"/>
  <c r="AF1016" i="2"/>
  <c r="AT1015" i="2"/>
  <c r="AS1015" i="2"/>
  <c r="AL1015" i="2"/>
  <c r="AK1015" i="2"/>
  <c r="AG1015" i="2"/>
  <c r="AH1015" i="2" s="1"/>
  <c r="AF1015" i="2"/>
  <c r="AT1014" i="2"/>
  <c r="AS1014" i="2"/>
  <c r="AL1014" i="2"/>
  <c r="AK1014" i="2"/>
  <c r="AG1014" i="2"/>
  <c r="AH1014" i="2" s="1"/>
  <c r="AF1014" i="2"/>
  <c r="AT1013" i="2"/>
  <c r="AS1013" i="2"/>
  <c r="AL1013" i="2"/>
  <c r="AK1013" i="2"/>
  <c r="AG1013" i="2"/>
  <c r="AH1013" i="2" s="1"/>
  <c r="AF1013" i="2"/>
  <c r="AT1012" i="2"/>
  <c r="AS1012" i="2"/>
  <c r="AL1012" i="2"/>
  <c r="AK1012" i="2"/>
  <c r="AG1012" i="2"/>
  <c r="AH1012" i="2" s="1"/>
  <c r="AF1012" i="2"/>
  <c r="AT1011" i="2"/>
  <c r="AS1011" i="2"/>
  <c r="AL1011" i="2"/>
  <c r="AK1011" i="2"/>
  <c r="AG1011" i="2"/>
  <c r="AH1011" i="2" s="1"/>
  <c r="AF1011" i="2"/>
  <c r="AT1010" i="2"/>
  <c r="AS1010" i="2"/>
  <c r="AL1010" i="2"/>
  <c r="AK1010" i="2"/>
  <c r="AG1010" i="2"/>
  <c r="AH1010" i="2" s="1"/>
  <c r="AF1010" i="2"/>
  <c r="AT1009" i="2"/>
  <c r="AS1009" i="2"/>
  <c r="AL1009" i="2"/>
  <c r="AK1009" i="2"/>
  <c r="AG1009" i="2"/>
  <c r="AH1009" i="2" s="1"/>
  <c r="AF1009" i="2"/>
  <c r="AT1008" i="2"/>
  <c r="AS1008" i="2"/>
  <c r="AL1008" i="2"/>
  <c r="AK1008" i="2"/>
  <c r="AG1008" i="2"/>
  <c r="AH1008" i="2" s="1"/>
  <c r="AF1008" i="2"/>
  <c r="AT1007" i="2"/>
  <c r="AS1007" i="2"/>
  <c r="AL1007" i="2"/>
  <c r="AK1007" i="2"/>
  <c r="AG1007" i="2"/>
  <c r="AH1007" i="2" s="1"/>
  <c r="AF1007" i="2"/>
  <c r="AT1006" i="2"/>
  <c r="AS1006" i="2"/>
  <c r="AL1006" i="2"/>
  <c r="AK1006" i="2"/>
  <c r="AG1006" i="2"/>
  <c r="AH1006" i="2" s="1"/>
  <c r="AF1006" i="2"/>
  <c r="AT1005" i="2"/>
  <c r="AS1005" i="2"/>
  <c r="AL1005" i="2"/>
  <c r="AK1005" i="2"/>
  <c r="AG1005" i="2"/>
  <c r="AH1005" i="2" s="1"/>
  <c r="AF1005" i="2"/>
  <c r="AT1004" i="2"/>
  <c r="AS1004" i="2"/>
  <c r="AL1004" i="2"/>
  <c r="AK1004" i="2"/>
  <c r="AG1004" i="2"/>
  <c r="AH1004" i="2" s="1"/>
  <c r="AF1004" i="2"/>
  <c r="AT1003" i="2"/>
  <c r="AS1003" i="2"/>
  <c r="AL1003" i="2"/>
  <c r="AK1003" i="2"/>
  <c r="AG1003" i="2"/>
  <c r="AH1003" i="2" s="1"/>
  <c r="AF1003" i="2"/>
  <c r="AT1002" i="2"/>
  <c r="AS1002" i="2"/>
  <c r="AL1002" i="2"/>
  <c r="AK1002" i="2"/>
  <c r="AG1002" i="2"/>
  <c r="AH1002" i="2" s="1"/>
  <c r="AF1002" i="2"/>
  <c r="AT1001" i="2"/>
  <c r="AS1001" i="2"/>
  <c r="AL1001" i="2"/>
  <c r="AK1001" i="2"/>
  <c r="AG1001" i="2"/>
  <c r="AH1001" i="2" s="1"/>
  <c r="AF1001" i="2"/>
  <c r="AT1000" i="2"/>
  <c r="AS1000" i="2"/>
  <c r="AL1000" i="2"/>
  <c r="AK1000" i="2"/>
  <c r="AG1000" i="2"/>
  <c r="AH1000" i="2" s="1"/>
  <c r="AF1000" i="2"/>
  <c r="AT999" i="2"/>
  <c r="AS999" i="2"/>
  <c r="AL999" i="2"/>
  <c r="AK999" i="2"/>
  <c r="AG999" i="2"/>
  <c r="AH999" i="2" s="1"/>
  <c r="AF999" i="2"/>
  <c r="AT998" i="2"/>
  <c r="AS998" i="2"/>
  <c r="AL998" i="2"/>
  <c r="AK998" i="2"/>
  <c r="AG998" i="2"/>
  <c r="AH998" i="2" s="1"/>
  <c r="AF998" i="2"/>
  <c r="AT997" i="2"/>
  <c r="AS997" i="2"/>
  <c r="AL997" i="2"/>
  <c r="AK997" i="2"/>
  <c r="AG997" i="2"/>
  <c r="AH997" i="2" s="1"/>
  <c r="AF997" i="2"/>
  <c r="AT996" i="2"/>
  <c r="AS996" i="2"/>
  <c r="AL996" i="2"/>
  <c r="AK996" i="2"/>
  <c r="AG996" i="2"/>
  <c r="AH996" i="2" s="1"/>
  <c r="AF996" i="2"/>
  <c r="AT995" i="2"/>
  <c r="AS995" i="2"/>
  <c r="AL995" i="2"/>
  <c r="AK995" i="2"/>
  <c r="AG995" i="2"/>
  <c r="AH995" i="2" s="1"/>
  <c r="AF995" i="2"/>
  <c r="AT994" i="2"/>
  <c r="AS994" i="2"/>
  <c r="AL994" i="2"/>
  <c r="AK994" i="2"/>
  <c r="AG994" i="2"/>
  <c r="AH994" i="2" s="1"/>
  <c r="AF994" i="2"/>
  <c r="AT993" i="2"/>
  <c r="AS993" i="2"/>
  <c r="AL993" i="2"/>
  <c r="AK993" i="2"/>
  <c r="AG993" i="2"/>
  <c r="AH993" i="2" s="1"/>
  <c r="AF993" i="2"/>
  <c r="AT992" i="2"/>
  <c r="AS992" i="2"/>
  <c r="AL992" i="2"/>
  <c r="AK992" i="2"/>
  <c r="AG992" i="2"/>
  <c r="AH992" i="2" s="1"/>
  <c r="AF992" i="2"/>
  <c r="AT991" i="2"/>
  <c r="AS991" i="2"/>
  <c r="AL991" i="2"/>
  <c r="AK991" i="2"/>
  <c r="AG991" i="2"/>
  <c r="AH991" i="2" s="1"/>
  <c r="AF991" i="2"/>
  <c r="AT990" i="2"/>
  <c r="AS990" i="2"/>
  <c r="AL990" i="2"/>
  <c r="AK990" i="2"/>
  <c r="AG990" i="2"/>
  <c r="AH990" i="2" s="1"/>
  <c r="AF990" i="2"/>
  <c r="AT989" i="2"/>
  <c r="AS989" i="2"/>
  <c r="AL989" i="2"/>
  <c r="AK989" i="2"/>
  <c r="AG989" i="2"/>
  <c r="AH989" i="2" s="1"/>
  <c r="AF989" i="2"/>
  <c r="AT988" i="2"/>
  <c r="AS988" i="2"/>
  <c r="AL988" i="2"/>
  <c r="AK988" i="2"/>
  <c r="AG988" i="2"/>
  <c r="AH988" i="2" s="1"/>
  <c r="AF988" i="2"/>
  <c r="AT987" i="2"/>
  <c r="AS987" i="2"/>
  <c r="AL987" i="2"/>
  <c r="AK987" i="2"/>
  <c r="AG987" i="2"/>
  <c r="AH987" i="2" s="1"/>
  <c r="AF987" i="2"/>
  <c r="AT986" i="2"/>
  <c r="AS986" i="2"/>
  <c r="AL986" i="2"/>
  <c r="AK986" i="2"/>
  <c r="AG986" i="2"/>
  <c r="AH986" i="2" s="1"/>
  <c r="AF986" i="2"/>
  <c r="AT985" i="2"/>
  <c r="AS985" i="2"/>
  <c r="AL985" i="2"/>
  <c r="AK985" i="2"/>
  <c r="AG985" i="2"/>
  <c r="AH985" i="2" s="1"/>
  <c r="AF985" i="2"/>
  <c r="AT984" i="2"/>
  <c r="AS984" i="2"/>
  <c r="AL984" i="2"/>
  <c r="AK984" i="2"/>
  <c r="AG984" i="2"/>
  <c r="AH984" i="2" s="1"/>
  <c r="AF984" i="2"/>
  <c r="AT983" i="2"/>
  <c r="AS983" i="2"/>
  <c r="AL983" i="2"/>
  <c r="AK983" i="2"/>
  <c r="AG983" i="2"/>
  <c r="AH983" i="2" s="1"/>
  <c r="AF983" i="2"/>
  <c r="AT147" i="2"/>
  <c r="AS147" i="2"/>
  <c r="AL147" i="2"/>
  <c r="AK147" i="2"/>
  <c r="AG147" i="2"/>
  <c r="AF147" i="2"/>
  <c r="AT120" i="2"/>
  <c r="AS120" i="2"/>
  <c r="AL120" i="2"/>
  <c r="AK120" i="2"/>
  <c r="AG120" i="2"/>
  <c r="AF120" i="2"/>
  <c r="AT68" i="2"/>
  <c r="AS68" i="2"/>
  <c r="AL68" i="2"/>
  <c r="AK68" i="2"/>
  <c r="AG68" i="2"/>
  <c r="AF68" i="2"/>
  <c r="AK294" i="2"/>
  <c r="AL294" i="2"/>
  <c r="AK293" i="2"/>
  <c r="AL293" i="2"/>
  <c r="AK292" i="2"/>
  <c r="AL292" i="2"/>
  <c r="AK291" i="2"/>
  <c r="AL291" i="2"/>
  <c r="AK290" i="2"/>
  <c r="AL290" i="2"/>
  <c r="AG285" i="2"/>
  <c r="AK289" i="2"/>
  <c r="AL289" i="2"/>
  <c r="AK288" i="2"/>
  <c r="AL288" i="2"/>
  <c r="AG284" i="2"/>
  <c r="AG283" i="2"/>
  <c r="AG282" i="2"/>
  <c r="AG281" i="2"/>
  <c r="AT82" i="2"/>
  <c r="AS82" i="2"/>
  <c r="AL82" i="2"/>
  <c r="AK82" i="2"/>
  <c r="AG82" i="2"/>
  <c r="AH82" i="2" s="1"/>
  <c r="AF82" i="2"/>
  <c r="AT982" i="2"/>
  <c r="AS982" i="2"/>
  <c r="AL982" i="2"/>
  <c r="AK982" i="2"/>
  <c r="AG982" i="2"/>
  <c r="AH982" i="2" s="1"/>
  <c r="AF982" i="2"/>
  <c r="AT981" i="2"/>
  <c r="AS981" i="2"/>
  <c r="AL981" i="2"/>
  <c r="AK981" i="2"/>
  <c r="AG981" i="2"/>
  <c r="AH981" i="2" s="1"/>
  <c r="AF981" i="2"/>
  <c r="AH120" i="2" l="1"/>
  <c r="AH68" i="2"/>
  <c r="AT83" i="2" l="1"/>
  <c r="AS83" i="2"/>
  <c r="AL83" i="2"/>
  <c r="AK83" i="2"/>
  <c r="AG83" i="2"/>
  <c r="AH83" i="2" s="1"/>
  <c r="AF83" i="2"/>
  <c r="AT980" i="2"/>
  <c r="AS980" i="2"/>
  <c r="AL980" i="2"/>
  <c r="AK980" i="2"/>
  <c r="AG980" i="2"/>
  <c r="AH980" i="2" s="1"/>
  <c r="AF980" i="2"/>
  <c r="AT979" i="2" l="1"/>
  <c r="AS979" i="2"/>
  <c r="AL979" i="2"/>
  <c r="AK979" i="2"/>
  <c r="AG979" i="2"/>
  <c r="AH979" i="2" s="1"/>
  <c r="AF979" i="2"/>
  <c r="AT978" i="2" l="1"/>
  <c r="AS978" i="2"/>
  <c r="AL978" i="2"/>
  <c r="AK978" i="2"/>
  <c r="AG978" i="2"/>
  <c r="AH978" i="2" s="1"/>
  <c r="AF978" i="2"/>
  <c r="AT977" i="2"/>
  <c r="AS977" i="2"/>
  <c r="AL977" i="2"/>
  <c r="AK977" i="2"/>
  <c r="AG977" i="2"/>
  <c r="AH977" i="2" s="1"/>
  <c r="AF977" i="2"/>
  <c r="AT306" i="2"/>
  <c r="AS306" i="2"/>
  <c r="AT305" i="2"/>
  <c r="AS305" i="2"/>
  <c r="AT304" i="2"/>
  <c r="AS304" i="2"/>
  <c r="AT303" i="2"/>
  <c r="AS303" i="2"/>
  <c r="AT302" i="2"/>
  <c r="AS302" i="2"/>
  <c r="AT301" i="2"/>
  <c r="AS301" i="2"/>
  <c r="AT300" i="2"/>
  <c r="AS300" i="2"/>
  <c r="AT299" i="2"/>
  <c r="AS299" i="2"/>
  <c r="AT298" i="2"/>
  <c r="AS298" i="2"/>
  <c r="AT297" i="2"/>
  <c r="AS297" i="2"/>
  <c r="AT296" i="2"/>
  <c r="AS296" i="2"/>
  <c r="AT295" i="2"/>
  <c r="AS295" i="2"/>
  <c r="AT294" i="2"/>
  <c r="AS294" i="2"/>
  <c r="AT293" i="2"/>
  <c r="AS293" i="2"/>
  <c r="AT292" i="2"/>
  <c r="AS292" i="2"/>
  <c r="AT291" i="2"/>
  <c r="AS291" i="2"/>
  <c r="AT290" i="2"/>
  <c r="AS290" i="2"/>
  <c r="AT289" i="2"/>
  <c r="AS289" i="2"/>
  <c r="AT288" i="2"/>
  <c r="AS288" i="2"/>
  <c r="AT287" i="2"/>
  <c r="AS287" i="2"/>
  <c r="AT286" i="2"/>
  <c r="AS286" i="2"/>
  <c r="AT285" i="2"/>
  <c r="AS285" i="2"/>
  <c r="AT284" i="2"/>
  <c r="AS284" i="2"/>
  <c r="AT283" i="2"/>
  <c r="AS283" i="2"/>
  <c r="AT282" i="2"/>
  <c r="AS282" i="2"/>
  <c r="AT281" i="2"/>
  <c r="AS281" i="2"/>
  <c r="AT280" i="2"/>
  <c r="AS280" i="2"/>
  <c r="AT279" i="2"/>
  <c r="AS279" i="2"/>
  <c r="AT278" i="2"/>
  <c r="AS278" i="2"/>
  <c r="AT277" i="2"/>
  <c r="AS277" i="2"/>
  <c r="AT276" i="2"/>
  <c r="AS276" i="2"/>
  <c r="AT275" i="2"/>
  <c r="AS275" i="2"/>
  <c r="AT274" i="2"/>
  <c r="AS274" i="2"/>
  <c r="AT273" i="2"/>
  <c r="AS273" i="2"/>
  <c r="AT272" i="2"/>
  <c r="AS272" i="2"/>
  <c r="AT271" i="2"/>
  <c r="AS271" i="2"/>
  <c r="AT270" i="2"/>
  <c r="AS270" i="2"/>
  <c r="AT269" i="2"/>
  <c r="AS269" i="2"/>
  <c r="AT268" i="2"/>
  <c r="AS268" i="2"/>
  <c r="AT267" i="2"/>
  <c r="AS267" i="2"/>
  <c r="AT266" i="2"/>
  <c r="AS266" i="2"/>
  <c r="AT265" i="2"/>
  <c r="AS265" i="2"/>
  <c r="AT264" i="2"/>
  <c r="AS264" i="2"/>
  <c r="AT263" i="2"/>
  <c r="AS263" i="2"/>
  <c r="AT262" i="2"/>
  <c r="AS262" i="2"/>
  <c r="AT261" i="2"/>
  <c r="AS261" i="2"/>
  <c r="AT260" i="2"/>
  <c r="AS260" i="2"/>
  <c r="AT259" i="2"/>
  <c r="AS259" i="2"/>
  <c r="AT258" i="2"/>
  <c r="AS258" i="2"/>
  <c r="AT257" i="2"/>
  <c r="AS257" i="2"/>
  <c r="AT256" i="2"/>
  <c r="AS256" i="2"/>
  <c r="AT255" i="2"/>
  <c r="AS255" i="2"/>
  <c r="AT254" i="2"/>
  <c r="AS254" i="2"/>
  <c r="AT253" i="2"/>
  <c r="AS253" i="2"/>
  <c r="AT252" i="2"/>
  <c r="AS252" i="2"/>
  <c r="AT251" i="2"/>
  <c r="AS251" i="2"/>
  <c r="AT250" i="2"/>
  <c r="AS250" i="2"/>
  <c r="AT249" i="2"/>
  <c r="AS249" i="2"/>
  <c r="AT248" i="2"/>
  <c r="AS248" i="2"/>
  <c r="AT247" i="2"/>
  <c r="AS247" i="2"/>
  <c r="AT246" i="2"/>
  <c r="AS246" i="2"/>
  <c r="AT245" i="2"/>
  <c r="AS245" i="2"/>
  <c r="AT244" i="2"/>
  <c r="AS244" i="2"/>
  <c r="AT243" i="2"/>
  <c r="AS243" i="2"/>
  <c r="AT242" i="2"/>
  <c r="AS242" i="2"/>
  <c r="AT241" i="2"/>
  <c r="AS241" i="2"/>
  <c r="AT240" i="2"/>
  <c r="AS240" i="2"/>
  <c r="AT239" i="2"/>
  <c r="AS239" i="2"/>
  <c r="AT238" i="2"/>
  <c r="AS238" i="2"/>
  <c r="AT237" i="2"/>
  <c r="AS237" i="2"/>
  <c r="AT236" i="2"/>
  <c r="AS236" i="2"/>
  <c r="AT235" i="2"/>
  <c r="AS235" i="2"/>
  <c r="AT234" i="2"/>
  <c r="AS234" i="2"/>
  <c r="AT233" i="2"/>
  <c r="AS233" i="2"/>
  <c r="AT232" i="2"/>
  <c r="AS232" i="2"/>
  <c r="AT231" i="2"/>
  <c r="AS231" i="2"/>
  <c r="AT230" i="2"/>
  <c r="AS230" i="2"/>
  <c r="AT229" i="2"/>
  <c r="AS229" i="2"/>
  <c r="AT228" i="2"/>
  <c r="AS228" i="2"/>
  <c r="AT227" i="2"/>
  <c r="AS227" i="2"/>
  <c r="AT226" i="2"/>
  <c r="AS226" i="2"/>
  <c r="AT225" i="2"/>
  <c r="AS225" i="2"/>
  <c r="AT224" i="2"/>
  <c r="AS224" i="2"/>
  <c r="AT223" i="2"/>
  <c r="AS223" i="2"/>
  <c r="AT222" i="2"/>
  <c r="AS222" i="2"/>
  <c r="AT221" i="2"/>
  <c r="AS221" i="2"/>
  <c r="AT220" i="2"/>
  <c r="AS220" i="2"/>
  <c r="AT219" i="2"/>
  <c r="AS219" i="2"/>
  <c r="AT218" i="2"/>
  <c r="AS218" i="2"/>
  <c r="AT217" i="2"/>
  <c r="AS217" i="2"/>
  <c r="AT216" i="2"/>
  <c r="AS216" i="2"/>
  <c r="AT215" i="2"/>
  <c r="AS215" i="2"/>
  <c r="AT214" i="2"/>
  <c r="AS214" i="2"/>
  <c r="AT213" i="2"/>
  <c r="AS213" i="2"/>
  <c r="AT212" i="2"/>
  <c r="AS212" i="2"/>
  <c r="AT211" i="2"/>
  <c r="AS211" i="2"/>
  <c r="AT210" i="2"/>
  <c r="AS210" i="2"/>
  <c r="AT209" i="2"/>
  <c r="AS209" i="2"/>
  <c r="AT208" i="2"/>
  <c r="AS208" i="2"/>
  <c r="AT207" i="2"/>
  <c r="AS207" i="2"/>
  <c r="AT206" i="2"/>
  <c r="AS206" i="2"/>
  <c r="AT205" i="2"/>
  <c r="AS205" i="2"/>
  <c r="AT204" i="2"/>
  <c r="AS204" i="2"/>
  <c r="AT203" i="2"/>
  <c r="AS203" i="2"/>
  <c r="AT202" i="2"/>
  <c r="AS202" i="2"/>
  <c r="AT201" i="2"/>
  <c r="AS201" i="2"/>
  <c r="AT200" i="2"/>
  <c r="AS200" i="2"/>
  <c r="AT199" i="2"/>
  <c r="AS199" i="2"/>
  <c r="AT198" i="2"/>
  <c r="AS198" i="2"/>
  <c r="AT197" i="2"/>
  <c r="AS197" i="2"/>
  <c r="AT196" i="2"/>
  <c r="AS196" i="2"/>
  <c r="AT195" i="2"/>
  <c r="AS195" i="2"/>
  <c r="AT194" i="2"/>
  <c r="AS194" i="2"/>
  <c r="AT193" i="2"/>
  <c r="AS193" i="2"/>
  <c r="AT192" i="2"/>
  <c r="AS192" i="2"/>
  <c r="AT191" i="2"/>
  <c r="AS191" i="2"/>
  <c r="AT190" i="2"/>
  <c r="AS190" i="2"/>
  <c r="AT189" i="2"/>
  <c r="AS189" i="2"/>
  <c r="AT188" i="2"/>
  <c r="AS188" i="2"/>
  <c r="AT187" i="2"/>
  <c r="AS187" i="2"/>
  <c r="AT186" i="2"/>
  <c r="AS186" i="2"/>
  <c r="AT185" i="2"/>
  <c r="AS185" i="2"/>
  <c r="AT184" i="2"/>
  <c r="AS184" i="2"/>
  <c r="AT183" i="2"/>
  <c r="AS183" i="2"/>
  <c r="AT182" i="2"/>
  <c r="AS182" i="2"/>
  <c r="AT181" i="2"/>
  <c r="AS181" i="2"/>
  <c r="AT180" i="2"/>
  <c r="AS180" i="2"/>
  <c r="AT179" i="2"/>
  <c r="AS179" i="2"/>
  <c r="AT178" i="2"/>
  <c r="AS178" i="2"/>
  <c r="AT177" i="2"/>
  <c r="AS177" i="2"/>
  <c r="AT176" i="2"/>
  <c r="AS176" i="2"/>
  <c r="AT175" i="2"/>
  <c r="AS175" i="2"/>
  <c r="AT174" i="2"/>
  <c r="AS174" i="2"/>
  <c r="AT173" i="2"/>
  <c r="AS173" i="2"/>
  <c r="AT172" i="2"/>
  <c r="AS172" i="2"/>
  <c r="AT171" i="2"/>
  <c r="AS171" i="2"/>
  <c r="AT170" i="2"/>
  <c r="AS170" i="2"/>
  <c r="AT169" i="2"/>
  <c r="AS169" i="2"/>
  <c r="AT168" i="2"/>
  <c r="AS168" i="2"/>
  <c r="AT167" i="2"/>
  <c r="AS167" i="2"/>
  <c r="AT166" i="2"/>
  <c r="AS166" i="2"/>
  <c r="AT165" i="2"/>
  <c r="AS165" i="2"/>
  <c r="AT164" i="2"/>
  <c r="AS164" i="2"/>
  <c r="AT163" i="2"/>
  <c r="AS163" i="2"/>
  <c r="AT162" i="2"/>
  <c r="AS162" i="2"/>
  <c r="AT161" i="2"/>
  <c r="AS161" i="2"/>
  <c r="AT160" i="2"/>
  <c r="AS160" i="2"/>
  <c r="AT159" i="2"/>
  <c r="AS159" i="2"/>
  <c r="AT158" i="2"/>
  <c r="AS158" i="2"/>
  <c r="AT157" i="2"/>
  <c r="AS157" i="2"/>
  <c r="AT156" i="2"/>
  <c r="AS156" i="2"/>
  <c r="AT155" i="2"/>
  <c r="AS155" i="2"/>
  <c r="AT154" i="2"/>
  <c r="AS154" i="2"/>
  <c r="AT153" i="2"/>
  <c r="AS153" i="2"/>
  <c r="AT152" i="2"/>
  <c r="AS152" i="2"/>
  <c r="AT151" i="2"/>
  <c r="AS151" i="2"/>
  <c r="AT150" i="2"/>
  <c r="AS150" i="2"/>
  <c r="AT149" i="2"/>
  <c r="AS149" i="2"/>
  <c r="AT148" i="2"/>
  <c r="AS148" i="2"/>
  <c r="AT146" i="2"/>
  <c r="AS146" i="2"/>
  <c r="AT145" i="2"/>
  <c r="AS145" i="2"/>
  <c r="AT144" i="2"/>
  <c r="AS144" i="2"/>
  <c r="AT143" i="2"/>
  <c r="AS143" i="2"/>
  <c r="AT142" i="2"/>
  <c r="AS142" i="2"/>
  <c r="AT141" i="2"/>
  <c r="AS141" i="2"/>
  <c r="AT140" i="2"/>
  <c r="AS140" i="2"/>
  <c r="AT139" i="2"/>
  <c r="AS139" i="2"/>
  <c r="AT137" i="2"/>
  <c r="AS137" i="2"/>
  <c r="AT136" i="2"/>
  <c r="AS136" i="2"/>
  <c r="AT135" i="2"/>
  <c r="AS135" i="2"/>
  <c r="AT134" i="2"/>
  <c r="AS134" i="2"/>
  <c r="AT133" i="2"/>
  <c r="AS133" i="2"/>
  <c r="AT132" i="2"/>
  <c r="AS132" i="2"/>
  <c r="AT131" i="2"/>
  <c r="AS131" i="2"/>
  <c r="AL287" i="2"/>
  <c r="AK287" i="2"/>
  <c r="AL286" i="2"/>
  <c r="AK286" i="2"/>
  <c r="AL285" i="2"/>
  <c r="AK285" i="2"/>
  <c r="AL284" i="2"/>
  <c r="AK284" i="2"/>
  <c r="AL283" i="2"/>
  <c r="AK283" i="2"/>
  <c r="AL282" i="2"/>
  <c r="AK282" i="2"/>
  <c r="AL281" i="2"/>
  <c r="AK281" i="2"/>
  <c r="AL280" i="2"/>
  <c r="AK280" i="2"/>
  <c r="AL279" i="2"/>
  <c r="AK279" i="2"/>
  <c r="AL278" i="2"/>
  <c r="AK278" i="2"/>
  <c r="AL277" i="2"/>
  <c r="AK277" i="2"/>
  <c r="AL276" i="2"/>
  <c r="AK276" i="2"/>
  <c r="AL275" i="2"/>
  <c r="AK275" i="2"/>
  <c r="AL274" i="2"/>
  <c r="AK274" i="2"/>
  <c r="AL273" i="2"/>
  <c r="AK273" i="2"/>
  <c r="AL272" i="2"/>
  <c r="AK272" i="2"/>
  <c r="AL271" i="2"/>
  <c r="AK271" i="2"/>
  <c r="AL270" i="2"/>
  <c r="AK270" i="2"/>
  <c r="AL269" i="2"/>
  <c r="AK269" i="2"/>
  <c r="AL268" i="2"/>
  <c r="AK268" i="2"/>
  <c r="AL267" i="2"/>
  <c r="AK267" i="2"/>
  <c r="AL266" i="2"/>
  <c r="AK266" i="2"/>
  <c r="AL265" i="2"/>
  <c r="AK265" i="2"/>
  <c r="AL264" i="2"/>
  <c r="AK264" i="2"/>
  <c r="AL263" i="2"/>
  <c r="AK263" i="2"/>
  <c r="AL262" i="2"/>
  <c r="AK262" i="2"/>
  <c r="AL261" i="2"/>
  <c r="AK261" i="2"/>
  <c r="AL260" i="2"/>
  <c r="AK260" i="2"/>
  <c r="AL259" i="2"/>
  <c r="AK259" i="2"/>
  <c r="AL258" i="2"/>
  <c r="AK258" i="2"/>
  <c r="AL257" i="2"/>
  <c r="AK257" i="2"/>
  <c r="AL256" i="2"/>
  <c r="AK256" i="2"/>
  <c r="AL255" i="2"/>
  <c r="AK255" i="2"/>
  <c r="AL254" i="2"/>
  <c r="AK254" i="2"/>
  <c r="AL253" i="2"/>
  <c r="AK253" i="2"/>
  <c r="AL252" i="2"/>
  <c r="AK252" i="2"/>
  <c r="AL251" i="2"/>
  <c r="AK251" i="2"/>
  <c r="AL250" i="2"/>
  <c r="AK250" i="2"/>
  <c r="AL249" i="2"/>
  <c r="AK249" i="2"/>
  <c r="AL248" i="2"/>
  <c r="AK248" i="2"/>
  <c r="AL247" i="2"/>
  <c r="AK247" i="2"/>
  <c r="AL246" i="2"/>
  <c r="AK246" i="2"/>
  <c r="AL245" i="2"/>
  <c r="AK245" i="2"/>
  <c r="AL244" i="2"/>
  <c r="AK244" i="2"/>
  <c r="AL243" i="2"/>
  <c r="AK243" i="2"/>
  <c r="AL242" i="2"/>
  <c r="AK242" i="2"/>
  <c r="AL241" i="2"/>
  <c r="AK241" i="2"/>
  <c r="AL240" i="2"/>
  <c r="AK240" i="2"/>
  <c r="AL239" i="2"/>
  <c r="AK239" i="2"/>
  <c r="AL238" i="2"/>
  <c r="AK238" i="2"/>
  <c r="AL237" i="2"/>
  <c r="AK237" i="2"/>
  <c r="AL236" i="2"/>
  <c r="AK236" i="2"/>
  <c r="AL235" i="2"/>
  <c r="AK235" i="2"/>
  <c r="AL234" i="2"/>
  <c r="AK234" i="2"/>
  <c r="AL233" i="2"/>
  <c r="AK233" i="2"/>
  <c r="AL232" i="2"/>
  <c r="AK232" i="2"/>
  <c r="AL231" i="2"/>
  <c r="AK231" i="2"/>
  <c r="AL230" i="2"/>
  <c r="AK230" i="2"/>
  <c r="AL229" i="2"/>
  <c r="AK229" i="2"/>
  <c r="AL228" i="2"/>
  <c r="AK228" i="2"/>
  <c r="AL227" i="2"/>
  <c r="AK227" i="2"/>
  <c r="AL226" i="2"/>
  <c r="AK226" i="2"/>
  <c r="AL225" i="2"/>
  <c r="AK225" i="2"/>
  <c r="AL224" i="2"/>
  <c r="AK224" i="2"/>
  <c r="AL223" i="2"/>
  <c r="AK223" i="2"/>
  <c r="AL222" i="2"/>
  <c r="AK222" i="2"/>
  <c r="AL221" i="2"/>
  <c r="AK221" i="2"/>
  <c r="AL220" i="2"/>
  <c r="AK220" i="2"/>
  <c r="AL219" i="2"/>
  <c r="AK219" i="2"/>
  <c r="AL218" i="2"/>
  <c r="AK218" i="2"/>
  <c r="AL217" i="2"/>
  <c r="AK217" i="2"/>
  <c r="AL216" i="2"/>
  <c r="AK216" i="2"/>
  <c r="AL215" i="2"/>
  <c r="AK215" i="2"/>
  <c r="AL214" i="2"/>
  <c r="AK214" i="2"/>
  <c r="AL213" i="2"/>
  <c r="AK213" i="2"/>
  <c r="AL212" i="2"/>
  <c r="AK212" i="2"/>
  <c r="AL211" i="2"/>
  <c r="AK211" i="2"/>
  <c r="AL210" i="2"/>
  <c r="AK210" i="2"/>
  <c r="AL209" i="2"/>
  <c r="AK209" i="2"/>
  <c r="AL208" i="2"/>
  <c r="AK208" i="2"/>
  <c r="AL207" i="2"/>
  <c r="AK207" i="2"/>
  <c r="AL206" i="2"/>
  <c r="AK206" i="2"/>
  <c r="AL205" i="2"/>
  <c r="AK205" i="2"/>
  <c r="AL204" i="2"/>
  <c r="AK204" i="2"/>
  <c r="AL203" i="2"/>
  <c r="AK203" i="2"/>
  <c r="AL202" i="2"/>
  <c r="AK202" i="2"/>
  <c r="AL201" i="2"/>
  <c r="AK201" i="2"/>
  <c r="AL200" i="2"/>
  <c r="AK200" i="2"/>
  <c r="AL199" i="2"/>
  <c r="AK199" i="2"/>
  <c r="AL198" i="2"/>
  <c r="AK198" i="2"/>
  <c r="AL197" i="2"/>
  <c r="AK197" i="2"/>
  <c r="AL196" i="2"/>
  <c r="AK196" i="2"/>
  <c r="AL195" i="2"/>
  <c r="AK195" i="2"/>
  <c r="AL194" i="2"/>
  <c r="AK194" i="2"/>
  <c r="AL193" i="2"/>
  <c r="AK193" i="2"/>
  <c r="AL192" i="2"/>
  <c r="AK192" i="2"/>
  <c r="AL191" i="2"/>
  <c r="AK191" i="2"/>
  <c r="AL190" i="2"/>
  <c r="AK190" i="2"/>
  <c r="AL189" i="2"/>
  <c r="AK189" i="2"/>
  <c r="AL188" i="2"/>
  <c r="AK188" i="2"/>
  <c r="AL187" i="2"/>
  <c r="AK187" i="2"/>
  <c r="AL186" i="2"/>
  <c r="AK186" i="2"/>
  <c r="AL185" i="2"/>
  <c r="AK185" i="2"/>
  <c r="AL184" i="2"/>
  <c r="AK184" i="2"/>
  <c r="AL183" i="2"/>
  <c r="AK183" i="2"/>
  <c r="AL182" i="2"/>
  <c r="AK182" i="2"/>
  <c r="AL181" i="2"/>
  <c r="AK181" i="2"/>
  <c r="AL180" i="2"/>
  <c r="AK180" i="2"/>
  <c r="AL179" i="2"/>
  <c r="AK179" i="2"/>
  <c r="AL178" i="2"/>
  <c r="AK178" i="2"/>
  <c r="AL177" i="2"/>
  <c r="AK177" i="2"/>
  <c r="AL176" i="2"/>
  <c r="AK176" i="2"/>
  <c r="AL175" i="2"/>
  <c r="AK175" i="2"/>
  <c r="AL174" i="2"/>
  <c r="AK174" i="2"/>
  <c r="AL173" i="2"/>
  <c r="AK173" i="2"/>
  <c r="AL172" i="2"/>
  <c r="AK172" i="2"/>
  <c r="AL171" i="2"/>
  <c r="AK171" i="2"/>
  <c r="AL170" i="2"/>
  <c r="AK170" i="2"/>
  <c r="AL169" i="2"/>
  <c r="AK169" i="2"/>
  <c r="AL168" i="2"/>
  <c r="AK168" i="2"/>
  <c r="AL167" i="2"/>
  <c r="AK167" i="2"/>
  <c r="AL166" i="2"/>
  <c r="AK166" i="2"/>
  <c r="AL165" i="2"/>
  <c r="AK165" i="2"/>
  <c r="AL164" i="2"/>
  <c r="AK164" i="2"/>
  <c r="AL163" i="2"/>
  <c r="AK163" i="2"/>
  <c r="AL162" i="2"/>
  <c r="AK162" i="2"/>
  <c r="AL161" i="2"/>
  <c r="AK161" i="2"/>
  <c r="AL160" i="2"/>
  <c r="AK160" i="2"/>
  <c r="AL159" i="2"/>
  <c r="AK159" i="2"/>
  <c r="AL158" i="2"/>
  <c r="AK158" i="2"/>
  <c r="AL157" i="2"/>
  <c r="AK157" i="2"/>
  <c r="AL156" i="2"/>
  <c r="AK156" i="2"/>
  <c r="AL155" i="2"/>
  <c r="AK155" i="2"/>
  <c r="AL154" i="2"/>
  <c r="AK154" i="2"/>
  <c r="AL153" i="2"/>
  <c r="AK153" i="2"/>
  <c r="AL152" i="2"/>
  <c r="AK152" i="2"/>
  <c r="AL151" i="2"/>
  <c r="AK151" i="2"/>
  <c r="AL150" i="2"/>
  <c r="AK150" i="2"/>
  <c r="AL149" i="2"/>
  <c r="AK149" i="2"/>
  <c r="AL148" i="2"/>
  <c r="AK148" i="2"/>
  <c r="AL146" i="2"/>
  <c r="AK146" i="2"/>
  <c r="AL145" i="2"/>
  <c r="AK145" i="2"/>
  <c r="AL144" i="2"/>
  <c r="AK144" i="2"/>
  <c r="AL143" i="2"/>
  <c r="AK143" i="2"/>
  <c r="AL142" i="2"/>
  <c r="AK142" i="2"/>
  <c r="AL141" i="2"/>
  <c r="AK141" i="2"/>
  <c r="AL140" i="2"/>
  <c r="AK140" i="2"/>
  <c r="AL139" i="2"/>
  <c r="AK139" i="2"/>
  <c r="AL137" i="2"/>
  <c r="AK137" i="2"/>
  <c r="AL136" i="2"/>
  <c r="AK136" i="2"/>
  <c r="AL135" i="2"/>
  <c r="AK135" i="2"/>
  <c r="AL134" i="2"/>
  <c r="AK134" i="2"/>
  <c r="AL133" i="2"/>
  <c r="AK133" i="2"/>
  <c r="AL132" i="2"/>
  <c r="AK132" i="2"/>
  <c r="AL131" i="2"/>
  <c r="AK131" i="2"/>
  <c r="AG280" i="2"/>
  <c r="AF280" i="2"/>
  <c r="AG279" i="2"/>
  <c r="AF279" i="2"/>
  <c r="AG278" i="2"/>
  <c r="AF278" i="2"/>
  <c r="AG277" i="2"/>
  <c r="AF277" i="2"/>
  <c r="AG276" i="2"/>
  <c r="AF276" i="2"/>
  <c r="AG275" i="2"/>
  <c r="AF275" i="2"/>
  <c r="AG274" i="2"/>
  <c r="AF274" i="2"/>
  <c r="AG273" i="2"/>
  <c r="AF273" i="2"/>
  <c r="AG272" i="2"/>
  <c r="AF272" i="2"/>
  <c r="AG271" i="2"/>
  <c r="AF271" i="2"/>
  <c r="AG270" i="2"/>
  <c r="AF270" i="2"/>
  <c r="AG269" i="2"/>
  <c r="AF269" i="2"/>
  <c r="AG268" i="2"/>
  <c r="AF268" i="2"/>
  <c r="AG267" i="2"/>
  <c r="AF267" i="2"/>
  <c r="AG266" i="2"/>
  <c r="AF266" i="2"/>
  <c r="AG265" i="2"/>
  <c r="AF265" i="2"/>
  <c r="AG264" i="2"/>
  <c r="AF264" i="2"/>
  <c r="AG263" i="2"/>
  <c r="AF263" i="2"/>
  <c r="AG262" i="2"/>
  <c r="AF262" i="2"/>
  <c r="AG261" i="2"/>
  <c r="AF261" i="2"/>
  <c r="AG260" i="2"/>
  <c r="AF260" i="2"/>
  <c r="AG259" i="2"/>
  <c r="AF259" i="2"/>
  <c r="AG258" i="2"/>
  <c r="AF258" i="2"/>
  <c r="AG257" i="2"/>
  <c r="AF257" i="2"/>
  <c r="AG256" i="2"/>
  <c r="AF256" i="2"/>
  <c r="AG255" i="2"/>
  <c r="AF255" i="2"/>
  <c r="AG254" i="2"/>
  <c r="AF254" i="2"/>
  <c r="AG253" i="2"/>
  <c r="AF253" i="2"/>
  <c r="AG252" i="2"/>
  <c r="AF252" i="2"/>
  <c r="AG251" i="2"/>
  <c r="AF251" i="2"/>
  <c r="AG250" i="2"/>
  <c r="AF250" i="2"/>
  <c r="AG249" i="2"/>
  <c r="AF249" i="2"/>
  <c r="AG248" i="2"/>
  <c r="AF248" i="2"/>
  <c r="AG247" i="2"/>
  <c r="AF247" i="2"/>
  <c r="AG246" i="2"/>
  <c r="AF246" i="2"/>
  <c r="AG245" i="2"/>
  <c r="AF245" i="2"/>
  <c r="AG244" i="2"/>
  <c r="AF244" i="2"/>
  <c r="AG243" i="2"/>
  <c r="AF243" i="2"/>
  <c r="AG242" i="2"/>
  <c r="AF242" i="2"/>
  <c r="AG241" i="2"/>
  <c r="AF241" i="2"/>
  <c r="AG240" i="2"/>
  <c r="AF240" i="2"/>
  <c r="AG239" i="2"/>
  <c r="AF239" i="2"/>
  <c r="AG238" i="2"/>
  <c r="AF238" i="2"/>
  <c r="AG237" i="2"/>
  <c r="AF237" i="2"/>
  <c r="AG236" i="2"/>
  <c r="AF236" i="2"/>
  <c r="AG235" i="2"/>
  <c r="AF235" i="2"/>
  <c r="AG234" i="2"/>
  <c r="AF234" i="2"/>
  <c r="AG233" i="2"/>
  <c r="AF233" i="2"/>
  <c r="AG232" i="2"/>
  <c r="AF232" i="2"/>
  <c r="AG231" i="2"/>
  <c r="AF231" i="2"/>
  <c r="AG230" i="2"/>
  <c r="AF230" i="2"/>
  <c r="AG229" i="2"/>
  <c r="AF229" i="2"/>
  <c r="AG228" i="2"/>
  <c r="AF228" i="2"/>
  <c r="AG227" i="2"/>
  <c r="AF227" i="2"/>
  <c r="AG226" i="2"/>
  <c r="AF226" i="2"/>
  <c r="AG225" i="2"/>
  <c r="AF225" i="2"/>
  <c r="AG224" i="2"/>
  <c r="AF224" i="2"/>
  <c r="AG223" i="2"/>
  <c r="AF223" i="2"/>
  <c r="AG222" i="2"/>
  <c r="AF222" i="2"/>
  <c r="AG221" i="2"/>
  <c r="AF221" i="2"/>
  <c r="AG220" i="2"/>
  <c r="AF220" i="2"/>
  <c r="AG219" i="2"/>
  <c r="AF219" i="2"/>
  <c r="AG218" i="2"/>
  <c r="AF218" i="2"/>
  <c r="AG217" i="2"/>
  <c r="AF217" i="2"/>
  <c r="AG216" i="2"/>
  <c r="AF216" i="2"/>
  <c r="AG215" i="2"/>
  <c r="AF215" i="2"/>
  <c r="AG214" i="2"/>
  <c r="AF214" i="2"/>
  <c r="AG213" i="2"/>
  <c r="AF213" i="2"/>
  <c r="AG212" i="2"/>
  <c r="AF212" i="2"/>
  <c r="AG211" i="2"/>
  <c r="AF211" i="2"/>
  <c r="AG210" i="2"/>
  <c r="AF210" i="2"/>
  <c r="AG209" i="2"/>
  <c r="AF209" i="2"/>
  <c r="AG208" i="2"/>
  <c r="AF208" i="2"/>
  <c r="AG207" i="2"/>
  <c r="AF207" i="2"/>
  <c r="AG206" i="2"/>
  <c r="AF206" i="2"/>
  <c r="AG205" i="2"/>
  <c r="AF205" i="2"/>
  <c r="AG204" i="2"/>
  <c r="AF204" i="2"/>
  <c r="AG203" i="2"/>
  <c r="AF203" i="2"/>
  <c r="AG202" i="2"/>
  <c r="AF202" i="2"/>
  <c r="AG201" i="2"/>
  <c r="AF201" i="2"/>
  <c r="AG200" i="2"/>
  <c r="AF200" i="2"/>
  <c r="AG199" i="2"/>
  <c r="AF199" i="2"/>
  <c r="AG198" i="2"/>
  <c r="AF198" i="2"/>
  <c r="AG197" i="2"/>
  <c r="AF197" i="2"/>
  <c r="AG196" i="2"/>
  <c r="AF196" i="2"/>
  <c r="AG195" i="2"/>
  <c r="AF195" i="2"/>
  <c r="AG194" i="2"/>
  <c r="AF194" i="2"/>
  <c r="AG193" i="2"/>
  <c r="AF193" i="2"/>
  <c r="AG192" i="2"/>
  <c r="AF192" i="2"/>
  <c r="AG191" i="2"/>
  <c r="AF191" i="2"/>
  <c r="AG190" i="2"/>
  <c r="AF190" i="2"/>
  <c r="AG189" i="2"/>
  <c r="AF189" i="2"/>
  <c r="AG188" i="2"/>
  <c r="AF188" i="2"/>
  <c r="AG187" i="2"/>
  <c r="AF187" i="2"/>
  <c r="AG186" i="2"/>
  <c r="AF186" i="2"/>
  <c r="AG185" i="2"/>
  <c r="AF185" i="2"/>
  <c r="AG184" i="2"/>
  <c r="AF184" i="2"/>
  <c r="AG183" i="2"/>
  <c r="AF183" i="2"/>
  <c r="AG182" i="2"/>
  <c r="AF182" i="2"/>
  <c r="AG181" i="2"/>
  <c r="AF181" i="2"/>
  <c r="AG180" i="2"/>
  <c r="AF180" i="2"/>
  <c r="AG179" i="2"/>
  <c r="AF179" i="2"/>
  <c r="AG178" i="2"/>
  <c r="AF178" i="2"/>
  <c r="AG177" i="2"/>
  <c r="AF177" i="2"/>
  <c r="AG176" i="2"/>
  <c r="AF176" i="2"/>
  <c r="AG175" i="2"/>
  <c r="AF175" i="2"/>
  <c r="AG174" i="2"/>
  <c r="AF174" i="2"/>
  <c r="AG173" i="2"/>
  <c r="AF173" i="2"/>
  <c r="AG172" i="2"/>
  <c r="AF172" i="2"/>
  <c r="AG171" i="2"/>
  <c r="AF171" i="2"/>
  <c r="AG170" i="2"/>
  <c r="AF170" i="2"/>
  <c r="AG169" i="2"/>
  <c r="AF169" i="2"/>
  <c r="AG168" i="2"/>
  <c r="AF168" i="2"/>
  <c r="AG167" i="2"/>
  <c r="AF167" i="2"/>
  <c r="AG166" i="2"/>
  <c r="AF166" i="2"/>
  <c r="AG165" i="2"/>
  <c r="AF165" i="2"/>
  <c r="AG164" i="2"/>
  <c r="AF164" i="2"/>
  <c r="AG163" i="2"/>
  <c r="AF163" i="2"/>
  <c r="AG162" i="2"/>
  <c r="AF162" i="2"/>
  <c r="AG161" i="2"/>
  <c r="AF161" i="2"/>
  <c r="AG160" i="2"/>
  <c r="AF160" i="2"/>
  <c r="AG159" i="2"/>
  <c r="AF159" i="2"/>
  <c r="AG158" i="2"/>
  <c r="AF158" i="2"/>
  <c r="AG157" i="2"/>
  <c r="AF157" i="2"/>
  <c r="AG156" i="2"/>
  <c r="AF156" i="2"/>
  <c r="AG155" i="2"/>
  <c r="AF155" i="2"/>
  <c r="AG154" i="2"/>
  <c r="AF154" i="2"/>
  <c r="AG153" i="2"/>
  <c r="AF153" i="2"/>
  <c r="AG152" i="2"/>
  <c r="AF152" i="2"/>
  <c r="AG151" i="2"/>
  <c r="AF151" i="2"/>
  <c r="AG150" i="2"/>
  <c r="AF150" i="2"/>
  <c r="AG149" i="2"/>
  <c r="AF149" i="2"/>
  <c r="AG148" i="2"/>
  <c r="AF148" i="2"/>
  <c r="AG146" i="2"/>
  <c r="AF146" i="2"/>
  <c r="AG145" i="2"/>
  <c r="AF145" i="2"/>
  <c r="AG144" i="2"/>
  <c r="AF144" i="2"/>
  <c r="AG143" i="2"/>
  <c r="AF143" i="2"/>
  <c r="AG142" i="2"/>
  <c r="AF142" i="2"/>
  <c r="AG141" i="2"/>
  <c r="AF141" i="2"/>
  <c r="AG140" i="2"/>
  <c r="AF140" i="2"/>
  <c r="AG139" i="2"/>
  <c r="AF139" i="2"/>
  <c r="AG137" i="2"/>
  <c r="AF137" i="2"/>
  <c r="AG136" i="2"/>
  <c r="AF136" i="2"/>
  <c r="AG135" i="2"/>
  <c r="AF135" i="2"/>
  <c r="AG134" i="2"/>
  <c r="AF134" i="2"/>
  <c r="AG133" i="2"/>
  <c r="AF133" i="2"/>
  <c r="AG132" i="2"/>
  <c r="AF132" i="2"/>
  <c r="AG131" i="2"/>
  <c r="AF131" i="2"/>
  <c r="AT976" i="2"/>
  <c r="AS976" i="2"/>
  <c r="AL976" i="2"/>
  <c r="AK976" i="2"/>
  <c r="AG976" i="2"/>
  <c r="AH976" i="2" s="1"/>
  <c r="AF976" i="2"/>
  <c r="AT975" i="2"/>
  <c r="AS975" i="2"/>
  <c r="AL975" i="2"/>
  <c r="AK975" i="2"/>
  <c r="AG975" i="2"/>
  <c r="AH975" i="2" s="1"/>
  <c r="AF975" i="2"/>
  <c r="AT974" i="2" l="1"/>
  <c r="AS974" i="2"/>
  <c r="AL974" i="2"/>
  <c r="AK974" i="2"/>
  <c r="AG974" i="2"/>
  <c r="AH974" i="2" s="1"/>
  <c r="AF974" i="2"/>
  <c r="AT33" i="2"/>
  <c r="AS33" i="2"/>
  <c r="AL33" i="2"/>
  <c r="AK33" i="2"/>
  <c r="AG33" i="2"/>
  <c r="AH33" i="2" s="1"/>
  <c r="AF33" i="2"/>
  <c r="A1088" i="2"/>
  <c r="AT972" i="2" l="1"/>
  <c r="AS972" i="2"/>
  <c r="AL972" i="2"/>
  <c r="AK972" i="2"/>
  <c r="AG972" i="2"/>
  <c r="AH972" i="2" s="1"/>
  <c r="AF972" i="2"/>
  <c r="AT973" i="2"/>
  <c r="AS973" i="2"/>
  <c r="AL973" i="2"/>
  <c r="AK973" i="2"/>
  <c r="AG973" i="2"/>
  <c r="AH973" i="2" s="1"/>
  <c r="AF973" i="2"/>
  <c r="G1139" i="2"/>
  <c r="D1139" i="2"/>
  <c r="AT6" i="2"/>
  <c r="AS6" i="2"/>
  <c r="AL6" i="2"/>
  <c r="AK6" i="2"/>
  <c r="AG6" i="2"/>
  <c r="AH6" i="2" s="1"/>
  <c r="AF6" i="2"/>
  <c r="D1238" i="2" l="1"/>
  <c r="AG22" i="2" l="1"/>
  <c r="AK22" i="2"/>
  <c r="AL22" i="2"/>
  <c r="AS22" i="2"/>
  <c r="AT22" i="2"/>
  <c r="AG21" i="2" l="1"/>
  <c r="AK21" i="2"/>
  <c r="AL21" i="2"/>
  <c r="AS21" i="2"/>
  <c r="AT21" i="2"/>
  <c r="G1236" i="2" l="1"/>
  <c r="D1236" i="2"/>
  <c r="G1245" i="2"/>
  <c r="G1151" i="2"/>
  <c r="G1120" i="2"/>
  <c r="G1115" i="2"/>
  <c r="G1189" i="2"/>
  <c r="G1141" i="2"/>
  <c r="D1141" i="2"/>
  <c r="D1114" i="2" l="1"/>
  <c r="G1218" i="2" l="1"/>
  <c r="G1220" i="2" l="1"/>
  <c r="F1220" i="2"/>
  <c r="D1220" i="2"/>
  <c r="D1218" i="2"/>
  <c r="AT967" i="2"/>
  <c r="AS967" i="2"/>
  <c r="AT966" i="2"/>
  <c r="AS966" i="2"/>
  <c r="AT965" i="2"/>
  <c r="AS965" i="2"/>
  <c r="AT964" i="2"/>
  <c r="AS964" i="2"/>
  <c r="AT963" i="2"/>
  <c r="AS963" i="2"/>
  <c r="AT962" i="2"/>
  <c r="AS962" i="2"/>
  <c r="AT961" i="2"/>
  <c r="AS961" i="2"/>
  <c r="AT960" i="2"/>
  <c r="AS960" i="2"/>
  <c r="AT959" i="2"/>
  <c r="AS959" i="2"/>
  <c r="AT958" i="2"/>
  <c r="AS958" i="2"/>
  <c r="AT957" i="2"/>
  <c r="AS957" i="2"/>
  <c r="AT956" i="2"/>
  <c r="AS956" i="2"/>
  <c r="AT955" i="2"/>
  <c r="AS955" i="2"/>
  <c r="AT954" i="2"/>
  <c r="AS954" i="2"/>
  <c r="AT953" i="2"/>
  <c r="AS953" i="2"/>
  <c r="AT952" i="2"/>
  <c r="AS952" i="2"/>
  <c r="AT951" i="2"/>
  <c r="AS951" i="2"/>
  <c r="AT950" i="2"/>
  <c r="AS950" i="2"/>
  <c r="AT949" i="2"/>
  <c r="AS949" i="2"/>
  <c r="AT948" i="2"/>
  <c r="AS948" i="2"/>
  <c r="AT947" i="2"/>
  <c r="AS947" i="2"/>
  <c r="AT946" i="2"/>
  <c r="AS946" i="2"/>
  <c r="AT945" i="2"/>
  <c r="AS945" i="2"/>
  <c r="AT944" i="2"/>
  <c r="AS944" i="2"/>
  <c r="AT943" i="2"/>
  <c r="AS943" i="2"/>
  <c r="AT942" i="2"/>
  <c r="AS942" i="2"/>
  <c r="AT941" i="2"/>
  <c r="AS941" i="2"/>
  <c r="AT940" i="2"/>
  <c r="AS940" i="2"/>
  <c r="AT939" i="2"/>
  <c r="AS939" i="2"/>
  <c r="AT938" i="2"/>
  <c r="AS938" i="2"/>
  <c r="AT937" i="2"/>
  <c r="AS937" i="2"/>
  <c r="AT936" i="2"/>
  <c r="AS936" i="2"/>
  <c r="AT935" i="2"/>
  <c r="AS935" i="2"/>
  <c r="AT934" i="2"/>
  <c r="AS934" i="2"/>
  <c r="AT933" i="2"/>
  <c r="AS933" i="2"/>
  <c r="AT932" i="2"/>
  <c r="AS932" i="2"/>
  <c r="AT931" i="2"/>
  <c r="AS931" i="2"/>
  <c r="AT930" i="2"/>
  <c r="AS930" i="2"/>
  <c r="AT929" i="2"/>
  <c r="AS929" i="2"/>
  <c r="AT928" i="2"/>
  <c r="AS928" i="2"/>
  <c r="AT927" i="2"/>
  <c r="AS927" i="2"/>
  <c r="AT926" i="2"/>
  <c r="AS926" i="2"/>
  <c r="AT925" i="2"/>
  <c r="AS925" i="2"/>
  <c r="AT924" i="2"/>
  <c r="AS924" i="2"/>
  <c r="AT923" i="2"/>
  <c r="AS923" i="2"/>
  <c r="AT922" i="2"/>
  <c r="AS922" i="2"/>
  <c r="AT921" i="2"/>
  <c r="AS921" i="2"/>
  <c r="AT920" i="2"/>
  <c r="AS920" i="2"/>
  <c r="AT919" i="2"/>
  <c r="AS919" i="2"/>
  <c r="AT918" i="2"/>
  <c r="AS918" i="2"/>
  <c r="AT917" i="2"/>
  <c r="AS917" i="2"/>
  <c r="AT916" i="2"/>
  <c r="AS916" i="2"/>
  <c r="AT915" i="2"/>
  <c r="AS915" i="2"/>
  <c r="AT914" i="2"/>
  <c r="AS914" i="2"/>
  <c r="AT913" i="2"/>
  <c r="AS913" i="2"/>
  <c r="AT912" i="2"/>
  <c r="AS912" i="2"/>
  <c r="AT911" i="2"/>
  <c r="AS911" i="2"/>
  <c r="AT910" i="2"/>
  <c r="AS910" i="2"/>
  <c r="AT909" i="2"/>
  <c r="AS909" i="2"/>
  <c r="AT908" i="2"/>
  <c r="AS908" i="2"/>
  <c r="AT907" i="2"/>
  <c r="AS907" i="2"/>
  <c r="AT906" i="2"/>
  <c r="AS906" i="2"/>
  <c r="AT905" i="2"/>
  <c r="AS905" i="2"/>
  <c r="AT904" i="2"/>
  <c r="AS904" i="2"/>
  <c r="AT903" i="2"/>
  <c r="AS903" i="2"/>
  <c r="AT902" i="2"/>
  <c r="AS902" i="2"/>
  <c r="AT901" i="2"/>
  <c r="AS901" i="2"/>
  <c r="AT900" i="2"/>
  <c r="AS900" i="2"/>
  <c r="AT899" i="2"/>
  <c r="AS899" i="2"/>
  <c r="AT898" i="2"/>
  <c r="AS898" i="2"/>
  <c r="AT897" i="2"/>
  <c r="AS897" i="2"/>
  <c r="AT896" i="2"/>
  <c r="AS896" i="2"/>
  <c r="AT895" i="2"/>
  <c r="AS895" i="2"/>
  <c r="AT894" i="2"/>
  <c r="AS894" i="2"/>
  <c r="AT893" i="2"/>
  <c r="AS893" i="2"/>
  <c r="AT892" i="2"/>
  <c r="AS892" i="2"/>
  <c r="AT891" i="2"/>
  <c r="AS891" i="2"/>
  <c r="AT890" i="2"/>
  <c r="AS890" i="2"/>
  <c r="AT889" i="2"/>
  <c r="AS889" i="2"/>
  <c r="AT888" i="2"/>
  <c r="AS888" i="2"/>
  <c r="AT887" i="2"/>
  <c r="AS887" i="2"/>
  <c r="AT886" i="2"/>
  <c r="AS886" i="2"/>
  <c r="AT885" i="2"/>
  <c r="AS885" i="2"/>
  <c r="AT884" i="2"/>
  <c r="AS884" i="2"/>
  <c r="AT883" i="2"/>
  <c r="AS883" i="2"/>
  <c r="AT882" i="2"/>
  <c r="AS882" i="2"/>
  <c r="AT881" i="2"/>
  <c r="AS881" i="2"/>
  <c r="AT880" i="2"/>
  <c r="AS880" i="2"/>
  <c r="AT879" i="2"/>
  <c r="AS879" i="2"/>
  <c r="AT878" i="2"/>
  <c r="AS878" i="2"/>
  <c r="AT877" i="2"/>
  <c r="AS877" i="2"/>
  <c r="AT876" i="2"/>
  <c r="AS876" i="2"/>
  <c r="AT875" i="2"/>
  <c r="AS875" i="2"/>
  <c r="AT874" i="2"/>
  <c r="AS874" i="2"/>
  <c r="AT873" i="2"/>
  <c r="AS873" i="2"/>
  <c r="AT872" i="2"/>
  <c r="AS872" i="2"/>
  <c r="AT871" i="2"/>
  <c r="AS871" i="2"/>
  <c r="AT870" i="2"/>
  <c r="AS870" i="2"/>
  <c r="AT130" i="2"/>
  <c r="AS130" i="2"/>
  <c r="AT129" i="2"/>
  <c r="AS129" i="2"/>
  <c r="AT128" i="2"/>
  <c r="AS128" i="2"/>
  <c r="AT127" i="2"/>
  <c r="AS127" i="2"/>
  <c r="AT126" i="2"/>
  <c r="AS126" i="2"/>
  <c r="AT125" i="2"/>
  <c r="AS125" i="2"/>
  <c r="AT124" i="2"/>
  <c r="AS124" i="2"/>
  <c r="AT123" i="2"/>
  <c r="AS123" i="2"/>
  <c r="AT122" i="2"/>
  <c r="AS122" i="2"/>
  <c r="AT121" i="2"/>
  <c r="AS121" i="2"/>
  <c r="AT119" i="2"/>
  <c r="AS119" i="2"/>
  <c r="AT118" i="2"/>
  <c r="AS118" i="2"/>
  <c r="AT117" i="2"/>
  <c r="AS117" i="2"/>
  <c r="AT116" i="2"/>
  <c r="AS116" i="2"/>
  <c r="AT115" i="2"/>
  <c r="AS115" i="2"/>
  <c r="AT114" i="2"/>
  <c r="AS114" i="2"/>
  <c r="AT113" i="2"/>
  <c r="AS113" i="2"/>
  <c r="AT112" i="2"/>
  <c r="AS112" i="2"/>
  <c r="AT111" i="2"/>
  <c r="AS111" i="2"/>
  <c r="AT110" i="2"/>
  <c r="AS110" i="2"/>
  <c r="AT109" i="2"/>
  <c r="AS109" i="2"/>
  <c r="AT108" i="2"/>
  <c r="AS108" i="2"/>
  <c r="AT107" i="2"/>
  <c r="AS107" i="2"/>
  <c r="AT106" i="2"/>
  <c r="AS106" i="2"/>
  <c r="AT105" i="2"/>
  <c r="AS105" i="2"/>
  <c r="AT104" i="2"/>
  <c r="AS104" i="2"/>
  <c r="AT103" i="2"/>
  <c r="AS103" i="2"/>
  <c r="AT102" i="2"/>
  <c r="AS102" i="2"/>
  <c r="AT101" i="2"/>
  <c r="AS101" i="2"/>
  <c r="AT100" i="2"/>
  <c r="AS100" i="2"/>
  <c r="AT99" i="2"/>
  <c r="AS99" i="2"/>
  <c r="AT98" i="2"/>
  <c r="AS98" i="2"/>
  <c r="AT97" i="2"/>
  <c r="AS97" i="2"/>
  <c r="AT96" i="2"/>
  <c r="AS96" i="2"/>
  <c r="AT95" i="2"/>
  <c r="AS95" i="2"/>
  <c r="AT94" i="2"/>
  <c r="AS94" i="2"/>
  <c r="AT93" i="2"/>
  <c r="AS93" i="2"/>
  <c r="AT92" i="2"/>
  <c r="AS92" i="2"/>
  <c r="AT91" i="2"/>
  <c r="AS91" i="2"/>
  <c r="AT90" i="2"/>
  <c r="AS90" i="2"/>
  <c r="AT89" i="2"/>
  <c r="AS89" i="2"/>
  <c r="AT88" i="2"/>
  <c r="AS88" i="2"/>
  <c r="AT87" i="2"/>
  <c r="AS87" i="2"/>
  <c r="AT86" i="2"/>
  <c r="AS86" i="2"/>
  <c r="AT85" i="2"/>
  <c r="AS85" i="2"/>
  <c r="AT84" i="2"/>
  <c r="AS84" i="2"/>
  <c r="AT81" i="2"/>
  <c r="AS81" i="2"/>
  <c r="AT80" i="2"/>
  <c r="AS80" i="2"/>
  <c r="AT79" i="2"/>
  <c r="AS79" i="2"/>
  <c r="AT78" i="2"/>
  <c r="AS78" i="2"/>
  <c r="AT77" i="2"/>
  <c r="AS77" i="2"/>
  <c r="AT76" i="2"/>
  <c r="AS76" i="2"/>
  <c r="AT75" i="2"/>
  <c r="AS75" i="2"/>
  <c r="AT74" i="2"/>
  <c r="AS74" i="2"/>
  <c r="AT73" i="2"/>
  <c r="AS73" i="2"/>
  <c r="AT72" i="2"/>
  <c r="AS72" i="2"/>
  <c r="AT71" i="2"/>
  <c r="AS71" i="2"/>
  <c r="AT70" i="2"/>
  <c r="AS70" i="2"/>
  <c r="AT69" i="2"/>
  <c r="AS69" i="2"/>
  <c r="AT67" i="2"/>
  <c r="AS67" i="2"/>
  <c r="AT66" i="2"/>
  <c r="AS66" i="2"/>
  <c r="AT65" i="2"/>
  <c r="AS65" i="2"/>
  <c r="AT64" i="2"/>
  <c r="AS64" i="2"/>
  <c r="AT63" i="2"/>
  <c r="AS63" i="2"/>
  <c r="AT62" i="2"/>
  <c r="AS62" i="2"/>
  <c r="AT61" i="2"/>
  <c r="AS61" i="2"/>
  <c r="AT60" i="2"/>
  <c r="AS60" i="2"/>
  <c r="AT59" i="2"/>
  <c r="AS59" i="2"/>
  <c r="AT58" i="2"/>
  <c r="AS58" i="2"/>
  <c r="AT57" i="2"/>
  <c r="AS57" i="2"/>
  <c r="AT56" i="2"/>
  <c r="AS56" i="2"/>
  <c r="AT55" i="2"/>
  <c r="AS55" i="2"/>
  <c r="AT54" i="2"/>
  <c r="AS54" i="2"/>
  <c r="AT53" i="2"/>
  <c r="AS53" i="2"/>
  <c r="AT52" i="2"/>
  <c r="AS52" i="2"/>
  <c r="AT51" i="2"/>
  <c r="AS51" i="2"/>
  <c r="AT50" i="2"/>
  <c r="AS50" i="2"/>
  <c r="AT49" i="2"/>
  <c r="AS49" i="2"/>
  <c r="AT48" i="2"/>
  <c r="AS48" i="2"/>
  <c r="AT47" i="2"/>
  <c r="AS47" i="2"/>
  <c r="AT46" i="2"/>
  <c r="AS46" i="2"/>
  <c r="AT45" i="2"/>
  <c r="AS45" i="2"/>
  <c r="AT44" i="2"/>
  <c r="AS44" i="2"/>
  <c r="AT43" i="2"/>
  <c r="AS43" i="2"/>
  <c r="AT42" i="2"/>
  <c r="AS42" i="2"/>
  <c r="AT41" i="2"/>
  <c r="AS41" i="2"/>
  <c r="AT40" i="2"/>
  <c r="AS40" i="2"/>
  <c r="AT39" i="2"/>
  <c r="AS39" i="2"/>
  <c r="AT38" i="2"/>
  <c r="AS38" i="2"/>
  <c r="AT37" i="2"/>
  <c r="AS37" i="2"/>
  <c r="AT36" i="2"/>
  <c r="AS36" i="2"/>
  <c r="AT35" i="2"/>
  <c r="AS35" i="2"/>
  <c r="AT34" i="2"/>
  <c r="AS34" i="2"/>
  <c r="AT32" i="2"/>
  <c r="AS32" i="2"/>
  <c r="AT31" i="2"/>
  <c r="AS31" i="2"/>
  <c r="AT30" i="2"/>
  <c r="AS30" i="2"/>
  <c r="AT29" i="2"/>
  <c r="AS29" i="2"/>
  <c r="AT28" i="2"/>
  <c r="AS28" i="2"/>
  <c r="AT27" i="2"/>
  <c r="AS27" i="2"/>
  <c r="AT26" i="2"/>
  <c r="AS26" i="2"/>
  <c r="AT25" i="2"/>
  <c r="AS25" i="2"/>
  <c r="AT24" i="2"/>
  <c r="AS24" i="2"/>
  <c r="AT23" i="2"/>
  <c r="AS23" i="2"/>
  <c r="AT20" i="2"/>
  <c r="AS20" i="2"/>
  <c r="AT19" i="2"/>
  <c r="AS19" i="2"/>
  <c r="AT18" i="2"/>
  <c r="AS18" i="2"/>
  <c r="AL967" i="2"/>
  <c r="AK967" i="2"/>
  <c r="AG967" i="2"/>
  <c r="AH967" i="2" s="1"/>
  <c r="AF967" i="2"/>
  <c r="AL966" i="2"/>
  <c r="AK966" i="2"/>
  <c r="AG966" i="2"/>
  <c r="AH966" i="2" s="1"/>
  <c r="AF966" i="2"/>
  <c r="AL965" i="2"/>
  <c r="AK965" i="2"/>
  <c r="AG965" i="2"/>
  <c r="AH965" i="2" s="1"/>
  <c r="AF965" i="2"/>
  <c r="AL964" i="2"/>
  <c r="AK964" i="2"/>
  <c r="AG964" i="2"/>
  <c r="AH964" i="2" s="1"/>
  <c r="AF964" i="2"/>
  <c r="AL963" i="2"/>
  <c r="AK963" i="2"/>
  <c r="AG963" i="2"/>
  <c r="AH963" i="2" s="1"/>
  <c r="AF963" i="2"/>
  <c r="AL962" i="2"/>
  <c r="AK962" i="2"/>
  <c r="AG962" i="2"/>
  <c r="AH962" i="2" s="1"/>
  <c r="AF962" i="2"/>
  <c r="AL961" i="2"/>
  <c r="AK961" i="2"/>
  <c r="AG961" i="2"/>
  <c r="AH961" i="2" s="1"/>
  <c r="AF961" i="2"/>
  <c r="AL960" i="2"/>
  <c r="AK960" i="2"/>
  <c r="AG960" i="2"/>
  <c r="AH960" i="2" s="1"/>
  <c r="AF960" i="2"/>
  <c r="AL959" i="2"/>
  <c r="AK959" i="2"/>
  <c r="AG959" i="2"/>
  <c r="AH959" i="2" s="1"/>
  <c r="AF959" i="2"/>
  <c r="AL958" i="2"/>
  <c r="AK958" i="2"/>
  <c r="AG958" i="2"/>
  <c r="AH958" i="2" s="1"/>
  <c r="AF958" i="2"/>
  <c r="AL957" i="2"/>
  <c r="AK957" i="2"/>
  <c r="AG957" i="2"/>
  <c r="AH957" i="2" s="1"/>
  <c r="AF957" i="2"/>
  <c r="AL956" i="2"/>
  <c r="AK956" i="2"/>
  <c r="AG956" i="2"/>
  <c r="AH956" i="2" s="1"/>
  <c r="AF956" i="2"/>
  <c r="AL955" i="2"/>
  <c r="AK955" i="2"/>
  <c r="AG955" i="2"/>
  <c r="AH955" i="2" s="1"/>
  <c r="AF955" i="2"/>
  <c r="AL954" i="2"/>
  <c r="AK954" i="2"/>
  <c r="AG954" i="2"/>
  <c r="AH954" i="2" s="1"/>
  <c r="AF954" i="2"/>
  <c r="AL953" i="2"/>
  <c r="AK953" i="2"/>
  <c r="AG953" i="2"/>
  <c r="AH953" i="2" s="1"/>
  <c r="AF953" i="2"/>
  <c r="AL952" i="2"/>
  <c r="AK952" i="2"/>
  <c r="AG952" i="2"/>
  <c r="AH952" i="2" s="1"/>
  <c r="AF952" i="2"/>
  <c r="AL951" i="2"/>
  <c r="AK951" i="2"/>
  <c r="AG951" i="2"/>
  <c r="AH951" i="2" s="1"/>
  <c r="AF951" i="2"/>
  <c r="AL950" i="2"/>
  <c r="AK950" i="2"/>
  <c r="AG950" i="2"/>
  <c r="AH950" i="2" s="1"/>
  <c r="AF950" i="2"/>
  <c r="AL949" i="2"/>
  <c r="AK949" i="2"/>
  <c r="AG949" i="2"/>
  <c r="AH949" i="2" s="1"/>
  <c r="AF949" i="2"/>
  <c r="AL948" i="2"/>
  <c r="AK948" i="2"/>
  <c r="AG948" i="2"/>
  <c r="AH948" i="2" s="1"/>
  <c r="AF948" i="2"/>
  <c r="AL947" i="2"/>
  <c r="AK947" i="2"/>
  <c r="AG947" i="2"/>
  <c r="AH947" i="2" s="1"/>
  <c r="AF947" i="2"/>
  <c r="AL946" i="2"/>
  <c r="AK946" i="2"/>
  <c r="AG946" i="2"/>
  <c r="AH946" i="2" s="1"/>
  <c r="AF946" i="2"/>
  <c r="AL945" i="2"/>
  <c r="AK945" i="2"/>
  <c r="AG945" i="2"/>
  <c r="AH945" i="2" s="1"/>
  <c r="AF945" i="2"/>
  <c r="AL944" i="2"/>
  <c r="AK944" i="2"/>
  <c r="AG944" i="2"/>
  <c r="AH944" i="2" s="1"/>
  <c r="AF944" i="2"/>
  <c r="AL943" i="2"/>
  <c r="AK943" i="2"/>
  <c r="AG943" i="2"/>
  <c r="AH943" i="2" s="1"/>
  <c r="AF943" i="2"/>
  <c r="AL942" i="2"/>
  <c r="AK942" i="2"/>
  <c r="AG942" i="2"/>
  <c r="AH942" i="2" s="1"/>
  <c r="AF942" i="2"/>
  <c r="AL941" i="2"/>
  <c r="AK941" i="2"/>
  <c r="AG941" i="2"/>
  <c r="AH941" i="2" s="1"/>
  <c r="AF941" i="2"/>
  <c r="AL940" i="2"/>
  <c r="AK940" i="2"/>
  <c r="AG940" i="2"/>
  <c r="AH940" i="2" s="1"/>
  <c r="AF940" i="2"/>
  <c r="AL939" i="2"/>
  <c r="AK939" i="2"/>
  <c r="AG939" i="2"/>
  <c r="AH939" i="2" s="1"/>
  <c r="AF939" i="2"/>
  <c r="AL938" i="2"/>
  <c r="AK938" i="2"/>
  <c r="AG938" i="2"/>
  <c r="AH938" i="2" s="1"/>
  <c r="AF938" i="2"/>
  <c r="AL937" i="2"/>
  <c r="AK937" i="2"/>
  <c r="AG937" i="2"/>
  <c r="AH937" i="2" s="1"/>
  <c r="AF937" i="2"/>
  <c r="AL936" i="2"/>
  <c r="AK936" i="2"/>
  <c r="AG936" i="2"/>
  <c r="AH936" i="2" s="1"/>
  <c r="AF936" i="2"/>
  <c r="AL935" i="2"/>
  <c r="AK935" i="2"/>
  <c r="AG935" i="2"/>
  <c r="AH935" i="2" s="1"/>
  <c r="AF935" i="2"/>
  <c r="AL934" i="2"/>
  <c r="AK934" i="2"/>
  <c r="AG934" i="2"/>
  <c r="AH934" i="2" s="1"/>
  <c r="AF934" i="2"/>
  <c r="AL933" i="2"/>
  <c r="AK933" i="2"/>
  <c r="AG933" i="2"/>
  <c r="AH933" i="2" s="1"/>
  <c r="AF933" i="2"/>
  <c r="AL932" i="2"/>
  <c r="AK932" i="2"/>
  <c r="AG932" i="2"/>
  <c r="AH932" i="2" s="1"/>
  <c r="AF932" i="2"/>
  <c r="AL931" i="2"/>
  <c r="AK931" i="2"/>
  <c r="AG931" i="2"/>
  <c r="AH931" i="2" s="1"/>
  <c r="AF931" i="2"/>
  <c r="AL930" i="2"/>
  <c r="AK930" i="2"/>
  <c r="AG930" i="2"/>
  <c r="AH930" i="2" s="1"/>
  <c r="AF930" i="2"/>
  <c r="AL929" i="2"/>
  <c r="AK929" i="2"/>
  <c r="AG929" i="2"/>
  <c r="AH929" i="2" s="1"/>
  <c r="AF929" i="2"/>
  <c r="AL928" i="2"/>
  <c r="AK928" i="2"/>
  <c r="AG928" i="2"/>
  <c r="AH928" i="2" s="1"/>
  <c r="AF928" i="2"/>
  <c r="AL927" i="2"/>
  <c r="AK927" i="2"/>
  <c r="AG927" i="2"/>
  <c r="AH927" i="2" s="1"/>
  <c r="AF927" i="2"/>
  <c r="AL926" i="2"/>
  <c r="AK926" i="2"/>
  <c r="AG926" i="2"/>
  <c r="AH926" i="2" s="1"/>
  <c r="AF926" i="2"/>
  <c r="AL925" i="2"/>
  <c r="AK925" i="2"/>
  <c r="AG925" i="2"/>
  <c r="AH925" i="2" s="1"/>
  <c r="AF925" i="2"/>
  <c r="AL924" i="2"/>
  <c r="AK924" i="2"/>
  <c r="AG924" i="2"/>
  <c r="AH924" i="2" s="1"/>
  <c r="AF924" i="2"/>
  <c r="AL923" i="2"/>
  <c r="AK923" i="2"/>
  <c r="AG923" i="2"/>
  <c r="AH923" i="2" s="1"/>
  <c r="AF923" i="2"/>
  <c r="AL922" i="2"/>
  <c r="AK922" i="2"/>
  <c r="AG922" i="2"/>
  <c r="AH922" i="2" s="1"/>
  <c r="AF922" i="2"/>
  <c r="AL921" i="2"/>
  <c r="AK921" i="2"/>
  <c r="AG921" i="2"/>
  <c r="AH921" i="2" s="1"/>
  <c r="AF921" i="2"/>
  <c r="AL920" i="2"/>
  <c r="AK920" i="2"/>
  <c r="AG920" i="2"/>
  <c r="AH920" i="2" s="1"/>
  <c r="AF920" i="2"/>
  <c r="AL919" i="2"/>
  <c r="AK919" i="2"/>
  <c r="AG919" i="2"/>
  <c r="AH919" i="2" s="1"/>
  <c r="AF919" i="2"/>
  <c r="AL918" i="2"/>
  <c r="AK918" i="2"/>
  <c r="AG918" i="2"/>
  <c r="AH918" i="2" s="1"/>
  <c r="AF918" i="2"/>
  <c r="AL917" i="2"/>
  <c r="AK917" i="2"/>
  <c r="AG917" i="2"/>
  <c r="AH917" i="2" s="1"/>
  <c r="AF917" i="2"/>
  <c r="AL916" i="2"/>
  <c r="AK916" i="2"/>
  <c r="AG916" i="2"/>
  <c r="AH916" i="2" s="1"/>
  <c r="AF916" i="2"/>
  <c r="AL915" i="2"/>
  <c r="AK915" i="2"/>
  <c r="AG915" i="2"/>
  <c r="AH915" i="2" s="1"/>
  <c r="AF915" i="2"/>
  <c r="AL914" i="2"/>
  <c r="AK914" i="2"/>
  <c r="AG914" i="2"/>
  <c r="AH914" i="2" s="1"/>
  <c r="AF914" i="2"/>
  <c r="AL913" i="2"/>
  <c r="AK913" i="2"/>
  <c r="AG913" i="2"/>
  <c r="AH913" i="2" s="1"/>
  <c r="AF913" i="2"/>
  <c r="AL912" i="2"/>
  <c r="AK912" i="2"/>
  <c r="AG912" i="2"/>
  <c r="AH912" i="2" s="1"/>
  <c r="AF912" i="2"/>
  <c r="AL911" i="2"/>
  <c r="AK911" i="2"/>
  <c r="AG911" i="2"/>
  <c r="AH911" i="2" s="1"/>
  <c r="AF911" i="2"/>
  <c r="AL910" i="2"/>
  <c r="AK910" i="2"/>
  <c r="AG910" i="2"/>
  <c r="AH910" i="2" s="1"/>
  <c r="AF910" i="2"/>
  <c r="AL909" i="2"/>
  <c r="AK909" i="2"/>
  <c r="AG909" i="2"/>
  <c r="AH909" i="2" s="1"/>
  <c r="AF909" i="2"/>
  <c r="AL908" i="2"/>
  <c r="AK908" i="2"/>
  <c r="AG908" i="2"/>
  <c r="AH908" i="2" s="1"/>
  <c r="AF908" i="2"/>
  <c r="AL907" i="2"/>
  <c r="AK907" i="2"/>
  <c r="AG907" i="2"/>
  <c r="AH907" i="2" s="1"/>
  <c r="AF907" i="2"/>
  <c r="AL906" i="2"/>
  <c r="AK906" i="2"/>
  <c r="AG906" i="2"/>
  <c r="AH906" i="2" s="1"/>
  <c r="AF906" i="2"/>
  <c r="AL905" i="2"/>
  <c r="AK905" i="2"/>
  <c r="AG905" i="2"/>
  <c r="AH905" i="2" s="1"/>
  <c r="AF905" i="2"/>
  <c r="AL904" i="2"/>
  <c r="AK904" i="2"/>
  <c r="AG904" i="2"/>
  <c r="AH904" i="2" s="1"/>
  <c r="AF904" i="2"/>
  <c r="AL903" i="2"/>
  <c r="AK903" i="2"/>
  <c r="AG903" i="2"/>
  <c r="AH903" i="2" s="1"/>
  <c r="AF903" i="2"/>
  <c r="AL902" i="2"/>
  <c r="AK902" i="2"/>
  <c r="AG902" i="2"/>
  <c r="AH902" i="2" s="1"/>
  <c r="AF902" i="2"/>
  <c r="AL901" i="2"/>
  <c r="AK901" i="2"/>
  <c r="AG901" i="2"/>
  <c r="AH901" i="2" s="1"/>
  <c r="AF901" i="2"/>
  <c r="AL900" i="2"/>
  <c r="AK900" i="2"/>
  <c r="AG900" i="2"/>
  <c r="AH900" i="2" s="1"/>
  <c r="AF900" i="2"/>
  <c r="AL899" i="2"/>
  <c r="AK899" i="2"/>
  <c r="AG899" i="2"/>
  <c r="AH899" i="2" s="1"/>
  <c r="AF899" i="2"/>
  <c r="AL898" i="2"/>
  <c r="AK898" i="2"/>
  <c r="AG898" i="2"/>
  <c r="AH898" i="2" s="1"/>
  <c r="AF898" i="2"/>
  <c r="AL897" i="2"/>
  <c r="AK897" i="2"/>
  <c r="AG897" i="2"/>
  <c r="AH897" i="2" s="1"/>
  <c r="AF897" i="2"/>
  <c r="AL896" i="2"/>
  <c r="AK896" i="2"/>
  <c r="AG896" i="2"/>
  <c r="AH896" i="2" s="1"/>
  <c r="AF896" i="2"/>
  <c r="AL895" i="2"/>
  <c r="AK895" i="2"/>
  <c r="AG895" i="2"/>
  <c r="AH895" i="2" s="1"/>
  <c r="AF895" i="2"/>
  <c r="AL894" i="2"/>
  <c r="AK894" i="2"/>
  <c r="AG894" i="2"/>
  <c r="AH894" i="2" s="1"/>
  <c r="AF894" i="2"/>
  <c r="AL893" i="2"/>
  <c r="AK893" i="2"/>
  <c r="AG893" i="2"/>
  <c r="AH893" i="2" s="1"/>
  <c r="AF893" i="2"/>
  <c r="AL892" i="2"/>
  <c r="AK892" i="2"/>
  <c r="AG892" i="2"/>
  <c r="AH892" i="2" s="1"/>
  <c r="AF892" i="2"/>
  <c r="AL891" i="2"/>
  <c r="AK891" i="2"/>
  <c r="AG891" i="2"/>
  <c r="AH891" i="2" s="1"/>
  <c r="AF891" i="2"/>
  <c r="AL890" i="2"/>
  <c r="AK890" i="2"/>
  <c r="AG890" i="2"/>
  <c r="AH890" i="2" s="1"/>
  <c r="AF890" i="2"/>
  <c r="AL889" i="2"/>
  <c r="AK889" i="2"/>
  <c r="AG889" i="2"/>
  <c r="AH889" i="2" s="1"/>
  <c r="AF889" i="2"/>
  <c r="AL888" i="2"/>
  <c r="AK888" i="2"/>
  <c r="AG888" i="2"/>
  <c r="AH888" i="2" s="1"/>
  <c r="AF888" i="2"/>
  <c r="AL887" i="2"/>
  <c r="AK887" i="2"/>
  <c r="AG887" i="2"/>
  <c r="AH887" i="2" s="1"/>
  <c r="AF887" i="2"/>
  <c r="AL886" i="2"/>
  <c r="AK886" i="2"/>
  <c r="AG886" i="2"/>
  <c r="AH886" i="2" s="1"/>
  <c r="AF886" i="2"/>
  <c r="AL885" i="2"/>
  <c r="AK885" i="2"/>
  <c r="AG885" i="2"/>
  <c r="AH885" i="2" s="1"/>
  <c r="AF885" i="2"/>
  <c r="AL884" i="2"/>
  <c r="AK884" i="2"/>
  <c r="AG884" i="2"/>
  <c r="AH884" i="2" s="1"/>
  <c r="AF884" i="2"/>
  <c r="AL883" i="2"/>
  <c r="AK883" i="2"/>
  <c r="AG883" i="2"/>
  <c r="AH883" i="2" s="1"/>
  <c r="AF883" i="2"/>
  <c r="AL882" i="2"/>
  <c r="AK882" i="2"/>
  <c r="AG882" i="2"/>
  <c r="AH882" i="2" s="1"/>
  <c r="AF882" i="2"/>
  <c r="AL881" i="2"/>
  <c r="AK881" i="2"/>
  <c r="AG881" i="2"/>
  <c r="AH881" i="2" s="1"/>
  <c r="AF881" i="2"/>
  <c r="AL880" i="2"/>
  <c r="AK880" i="2"/>
  <c r="AG880" i="2"/>
  <c r="AH880" i="2" s="1"/>
  <c r="AF880" i="2"/>
  <c r="AL879" i="2"/>
  <c r="AK879" i="2"/>
  <c r="AG879" i="2"/>
  <c r="AH879" i="2" s="1"/>
  <c r="AF879" i="2"/>
  <c r="AL878" i="2"/>
  <c r="AK878" i="2"/>
  <c r="AG878" i="2"/>
  <c r="AH878" i="2" s="1"/>
  <c r="AF878" i="2"/>
  <c r="AL877" i="2"/>
  <c r="AK877" i="2"/>
  <c r="AG877" i="2"/>
  <c r="AH877" i="2" s="1"/>
  <c r="AF877" i="2"/>
  <c r="AL876" i="2"/>
  <c r="AK876" i="2"/>
  <c r="AG876" i="2"/>
  <c r="AH876" i="2" s="1"/>
  <c r="AF876" i="2"/>
  <c r="AL875" i="2"/>
  <c r="AK875" i="2"/>
  <c r="AG875" i="2"/>
  <c r="AH875" i="2" s="1"/>
  <c r="AF875" i="2"/>
  <c r="AL874" i="2"/>
  <c r="AK874" i="2"/>
  <c r="AG874" i="2"/>
  <c r="AH874" i="2" s="1"/>
  <c r="AF874" i="2"/>
  <c r="AL873" i="2"/>
  <c r="AK873" i="2"/>
  <c r="AG873" i="2"/>
  <c r="AH873" i="2" s="1"/>
  <c r="AF873" i="2"/>
  <c r="AL872" i="2"/>
  <c r="AK872" i="2"/>
  <c r="AG872" i="2"/>
  <c r="AH872" i="2" s="1"/>
  <c r="AF872" i="2"/>
  <c r="AL871" i="2"/>
  <c r="AK871" i="2"/>
  <c r="AG871" i="2"/>
  <c r="AH871" i="2" s="1"/>
  <c r="AF871" i="2"/>
  <c r="AL870" i="2"/>
  <c r="AK870" i="2"/>
  <c r="AG870" i="2"/>
  <c r="AH870" i="2" s="1"/>
  <c r="AF870" i="2"/>
  <c r="AL130" i="2"/>
  <c r="AK130" i="2"/>
  <c r="AG130" i="2"/>
  <c r="AF130" i="2"/>
  <c r="AL129" i="2"/>
  <c r="AK129" i="2"/>
  <c r="AG129" i="2"/>
  <c r="AF129" i="2"/>
  <c r="AL128" i="2"/>
  <c r="AK128" i="2"/>
  <c r="AG128" i="2"/>
  <c r="AF128" i="2"/>
  <c r="AL127" i="2"/>
  <c r="AK127" i="2"/>
  <c r="AG127" i="2"/>
  <c r="AF127" i="2"/>
  <c r="AL126" i="2"/>
  <c r="AK126" i="2"/>
  <c r="AG126" i="2"/>
  <c r="AF126" i="2"/>
  <c r="AL125" i="2"/>
  <c r="AK125" i="2"/>
  <c r="AG125" i="2"/>
  <c r="AF125" i="2"/>
  <c r="AL124" i="2"/>
  <c r="AK124" i="2"/>
  <c r="AG124" i="2"/>
  <c r="AF124" i="2"/>
  <c r="AL123" i="2"/>
  <c r="AK123" i="2"/>
  <c r="AG123" i="2"/>
  <c r="AF123" i="2"/>
  <c r="AL122" i="2"/>
  <c r="AK122" i="2"/>
  <c r="AG122" i="2"/>
  <c r="AF122" i="2"/>
  <c r="AL121" i="2"/>
  <c r="AK121" i="2"/>
  <c r="AG121" i="2"/>
  <c r="AF121" i="2"/>
  <c r="AL119" i="2"/>
  <c r="AK119" i="2"/>
  <c r="AG119" i="2"/>
  <c r="AF119" i="2"/>
  <c r="AL118" i="2"/>
  <c r="AK118" i="2"/>
  <c r="AG118" i="2"/>
  <c r="AF118" i="2"/>
  <c r="AL117" i="2"/>
  <c r="AK117" i="2"/>
  <c r="AG117" i="2"/>
  <c r="AF117" i="2"/>
  <c r="AL116" i="2"/>
  <c r="AK116" i="2"/>
  <c r="AG116" i="2"/>
  <c r="AF116" i="2"/>
  <c r="AL115" i="2"/>
  <c r="AK115" i="2"/>
  <c r="AG115" i="2"/>
  <c r="AF115" i="2"/>
  <c r="AL114" i="2"/>
  <c r="AK114" i="2"/>
  <c r="AG114" i="2"/>
  <c r="AF114" i="2"/>
  <c r="AL113" i="2"/>
  <c r="AK113" i="2"/>
  <c r="AG113" i="2"/>
  <c r="AF113" i="2"/>
  <c r="AL112" i="2"/>
  <c r="AK112" i="2"/>
  <c r="AG112" i="2"/>
  <c r="AF112" i="2"/>
  <c r="AL111" i="2"/>
  <c r="AK111" i="2"/>
  <c r="AG111" i="2"/>
  <c r="AF111" i="2"/>
  <c r="AL110" i="2"/>
  <c r="AK110" i="2"/>
  <c r="AG110" i="2"/>
  <c r="AF110" i="2"/>
  <c r="AL109" i="2"/>
  <c r="AK109" i="2"/>
  <c r="AG109" i="2"/>
  <c r="AF109" i="2"/>
  <c r="AL108" i="2"/>
  <c r="AK108" i="2"/>
  <c r="AG108" i="2"/>
  <c r="AF108" i="2"/>
  <c r="AL107" i="2"/>
  <c r="AK107" i="2"/>
  <c r="AG107" i="2"/>
  <c r="AF107" i="2"/>
  <c r="AL106" i="2"/>
  <c r="AK106" i="2"/>
  <c r="AG106" i="2"/>
  <c r="AF106" i="2"/>
  <c r="AL105" i="2"/>
  <c r="AK105" i="2"/>
  <c r="AG105" i="2"/>
  <c r="AF105" i="2"/>
  <c r="AL104" i="2"/>
  <c r="AK104" i="2"/>
  <c r="AG104" i="2"/>
  <c r="AF104" i="2"/>
  <c r="AL103" i="2"/>
  <c r="AK103" i="2"/>
  <c r="AG103" i="2"/>
  <c r="AF103" i="2"/>
  <c r="AL102" i="2"/>
  <c r="AK102" i="2"/>
  <c r="AG102" i="2"/>
  <c r="AF102" i="2"/>
  <c r="AL101" i="2"/>
  <c r="AK101" i="2"/>
  <c r="AG101" i="2"/>
  <c r="AF101" i="2"/>
  <c r="AL100" i="2"/>
  <c r="AK100" i="2"/>
  <c r="AG100" i="2"/>
  <c r="AF100" i="2"/>
  <c r="AL99" i="2"/>
  <c r="AK99" i="2"/>
  <c r="AG99" i="2"/>
  <c r="AF99" i="2"/>
  <c r="AL98" i="2"/>
  <c r="AK98" i="2"/>
  <c r="AG98" i="2"/>
  <c r="AH98" i="2" s="1"/>
  <c r="AF98" i="2"/>
  <c r="AL97" i="2"/>
  <c r="AK97" i="2"/>
  <c r="AG97" i="2"/>
  <c r="AF97" i="2"/>
  <c r="AL96" i="2"/>
  <c r="AK96" i="2"/>
  <c r="AG96" i="2"/>
  <c r="AF96" i="2"/>
  <c r="AL95" i="2"/>
  <c r="AK95" i="2"/>
  <c r="AG95" i="2"/>
  <c r="AF95" i="2"/>
  <c r="AL94" i="2"/>
  <c r="AK94" i="2"/>
  <c r="AG94" i="2"/>
  <c r="AF94" i="2"/>
  <c r="AL93" i="2"/>
  <c r="AK93" i="2"/>
  <c r="AG93" i="2"/>
  <c r="AF93" i="2"/>
  <c r="AL92" i="2"/>
  <c r="AK92" i="2"/>
  <c r="AG92" i="2"/>
  <c r="AF92" i="2"/>
  <c r="AL91" i="2"/>
  <c r="AK91" i="2"/>
  <c r="AG91" i="2"/>
  <c r="AF91" i="2"/>
  <c r="AL90" i="2"/>
  <c r="AK90" i="2"/>
  <c r="AG90" i="2"/>
  <c r="AF90" i="2"/>
  <c r="AL89" i="2"/>
  <c r="AK89" i="2"/>
  <c r="AG89" i="2"/>
  <c r="AF89" i="2"/>
  <c r="AL88" i="2"/>
  <c r="AK88" i="2"/>
  <c r="AG88" i="2"/>
  <c r="AF88" i="2"/>
  <c r="AL87" i="2"/>
  <c r="AK87" i="2"/>
  <c r="AG87" i="2"/>
  <c r="AF87" i="2"/>
  <c r="AL86" i="2"/>
  <c r="AK86" i="2"/>
  <c r="AG86" i="2"/>
  <c r="AF86" i="2"/>
  <c r="AL85" i="2"/>
  <c r="AK85" i="2"/>
  <c r="AG85" i="2"/>
  <c r="AF85" i="2"/>
  <c r="AL84" i="2"/>
  <c r="AK84" i="2"/>
  <c r="AG84" i="2"/>
  <c r="AF84" i="2"/>
  <c r="AL81" i="2"/>
  <c r="AK81" i="2"/>
  <c r="AG81" i="2"/>
  <c r="AF81" i="2"/>
  <c r="AL80" i="2"/>
  <c r="AK80" i="2"/>
  <c r="AG80" i="2"/>
  <c r="AF80" i="2"/>
  <c r="AL79" i="2"/>
  <c r="AK79" i="2"/>
  <c r="AG79" i="2"/>
  <c r="AF79" i="2"/>
  <c r="AL78" i="2"/>
  <c r="AK78" i="2"/>
  <c r="AG78" i="2"/>
  <c r="AF78" i="2"/>
  <c r="AL77" i="2"/>
  <c r="AK77" i="2"/>
  <c r="AG77" i="2"/>
  <c r="AF77" i="2"/>
  <c r="AL76" i="2"/>
  <c r="AK76" i="2"/>
  <c r="AG76" i="2"/>
  <c r="AF76" i="2"/>
  <c r="AL75" i="2"/>
  <c r="AK75" i="2"/>
  <c r="AG75" i="2"/>
  <c r="AF75" i="2"/>
  <c r="AL74" i="2"/>
  <c r="AK74" i="2"/>
  <c r="AG74" i="2"/>
  <c r="AF74" i="2"/>
  <c r="AL73" i="2"/>
  <c r="AK73" i="2"/>
  <c r="AG73" i="2"/>
  <c r="AF73" i="2"/>
  <c r="AL72" i="2"/>
  <c r="AK72" i="2"/>
  <c r="AG72" i="2"/>
  <c r="AF72" i="2"/>
  <c r="AL71" i="2"/>
  <c r="AK71" i="2"/>
  <c r="AG71" i="2"/>
  <c r="AF71" i="2"/>
  <c r="AL70" i="2"/>
  <c r="AK70" i="2"/>
  <c r="AG70" i="2"/>
  <c r="AF70" i="2"/>
  <c r="AL69" i="2"/>
  <c r="AK69" i="2"/>
  <c r="AG69" i="2"/>
  <c r="AF69" i="2"/>
  <c r="AL67" i="2"/>
  <c r="AK67" i="2"/>
  <c r="AG67" i="2"/>
  <c r="AF67" i="2"/>
  <c r="AL66" i="2"/>
  <c r="AK66" i="2"/>
  <c r="AG66" i="2"/>
  <c r="AF66" i="2"/>
  <c r="AL65" i="2"/>
  <c r="AK65" i="2"/>
  <c r="AG65" i="2"/>
  <c r="AF65" i="2"/>
  <c r="AL64" i="2"/>
  <c r="AK64" i="2"/>
  <c r="AG64" i="2"/>
  <c r="AF64" i="2"/>
  <c r="AL63" i="2"/>
  <c r="AK63" i="2"/>
  <c r="AG63" i="2"/>
  <c r="AF63" i="2"/>
  <c r="AL62" i="2"/>
  <c r="AK62" i="2"/>
  <c r="AG62" i="2"/>
  <c r="AF62" i="2"/>
  <c r="AL61" i="2"/>
  <c r="AK61" i="2"/>
  <c r="AG61" i="2"/>
  <c r="AF61" i="2"/>
  <c r="AL60" i="2"/>
  <c r="AK60" i="2"/>
  <c r="AG60" i="2"/>
  <c r="AF60" i="2"/>
  <c r="AL59" i="2"/>
  <c r="AK59" i="2"/>
  <c r="AG59" i="2"/>
  <c r="AF59" i="2"/>
  <c r="AL58" i="2"/>
  <c r="AK58" i="2"/>
  <c r="AG58" i="2"/>
  <c r="AF58" i="2"/>
  <c r="AL57" i="2"/>
  <c r="AK57" i="2"/>
  <c r="AG57" i="2"/>
  <c r="AF57" i="2"/>
  <c r="AL56" i="2"/>
  <c r="AK56" i="2"/>
  <c r="AG56" i="2"/>
  <c r="AF56" i="2"/>
  <c r="AL55" i="2"/>
  <c r="AK55" i="2"/>
  <c r="AG55" i="2"/>
  <c r="AF55" i="2"/>
  <c r="AL54" i="2"/>
  <c r="AK54" i="2"/>
  <c r="AG54" i="2"/>
  <c r="AF54" i="2"/>
  <c r="AL53" i="2"/>
  <c r="AK53" i="2"/>
  <c r="AG53" i="2"/>
  <c r="AF53" i="2"/>
  <c r="AL52" i="2"/>
  <c r="AK52" i="2"/>
  <c r="AG52" i="2"/>
  <c r="AF52" i="2"/>
  <c r="AL51" i="2"/>
  <c r="AK51" i="2"/>
  <c r="AG51" i="2"/>
  <c r="AF51" i="2"/>
  <c r="AL50" i="2"/>
  <c r="AK50" i="2"/>
  <c r="AG50" i="2"/>
  <c r="AF50" i="2"/>
  <c r="AL49" i="2"/>
  <c r="AK49" i="2"/>
  <c r="AG49" i="2"/>
  <c r="AF49" i="2"/>
  <c r="AL48" i="2"/>
  <c r="AK48" i="2"/>
  <c r="AG48" i="2"/>
  <c r="AF48" i="2"/>
  <c r="AL47" i="2"/>
  <c r="AK47" i="2"/>
  <c r="AG47" i="2"/>
  <c r="AF47" i="2"/>
  <c r="AL46" i="2"/>
  <c r="AK46" i="2"/>
  <c r="AG46" i="2"/>
  <c r="AF46" i="2"/>
  <c r="AL45" i="2"/>
  <c r="AK45" i="2"/>
  <c r="AG45" i="2"/>
  <c r="AF45" i="2"/>
  <c r="AL44" i="2"/>
  <c r="AK44" i="2"/>
  <c r="AG44" i="2"/>
  <c r="AF44" i="2"/>
  <c r="AL43" i="2"/>
  <c r="AK43" i="2"/>
  <c r="AG43" i="2"/>
  <c r="AF43" i="2"/>
  <c r="AL42" i="2"/>
  <c r="AK42" i="2"/>
  <c r="AG42" i="2"/>
  <c r="AF42" i="2"/>
  <c r="AL41" i="2"/>
  <c r="AK41" i="2"/>
  <c r="AG41" i="2"/>
  <c r="AF41" i="2"/>
  <c r="AL40" i="2"/>
  <c r="AK40" i="2"/>
  <c r="AG40" i="2"/>
  <c r="AF40" i="2"/>
  <c r="AL39" i="2"/>
  <c r="AK39" i="2"/>
  <c r="AG39" i="2"/>
  <c r="AF39" i="2"/>
  <c r="AL38" i="2"/>
  <c r="AK38" i="2"/>
  <c r="AG38" i="2"/>
  <c r="AF38" i="2"/>
  <c r="AL37" i="2"/>
  <c r="AK37" i="2"/>
  <c r="AG37" i="2"/>
  <c r="AF37" i="2"/>
  <c r="AL36" i="2"/>
  <c r="AK36" i="2"/>
  <c r="AG36" i="2"/>
  <c r="AF36" i="2"/>
  <c r="AL35" i="2"/>
  <c r="AK35" i="2"/>
  <c r="AG35" i="2"/>
  <c r="AF35" i="2"/>
  <c r="AL34" i="2"/>
  <c r="AK34" i="2"/>
  <c r="AG34" i="2"/>
  <c r="AF34" i="2"/>
  <c r="AL32" i="2"/>
  <c r="AK32" i="2"/>
  <c r="AG32" i="2"/>
  <c r="AF32" i="2"/>
  <c r="AL31" i="2"/>
  <c r="AK31" i="2"/>
  <c r="AG31" i="2"/>
  <c r="AF31" i="2"/>
  <c r="AL30" i="2"/>
  <c r="AK30" i="2"/>
  <c r="AG30" i="2"/>
  <c r="AF30" i="2"/>
  <c r="AL29" i="2"/>
  <c r="AK29" i="2"/>
  <c r="AG29" i="2"/>
  <c r="AF29" i="2"/>
  <c r="AL28" i="2"/>
  <c r="AK28" i="2"/>
  <c r="AG28" i="2"/>
  <c r="AF28" i="2"/>
  <c r="AL27" i="2"/>
  <c r="AK27" i="2"/>
  <c r="AG27" i="2"/>
  <c r="AF27" i="2"/>
  <c r="AL26" i="2"/>
  <c r="AK26" i="2"/>
  <c r="AG26" i="2"/>
  <c r="AF26" i="2"/>
  <c r="AL25" i="2"/>
  <c r="AK25" i="2"/>
  <c r="AG25" i="2"/>
  <c r="AF25" i="2"/>
  <c r="AL24" i="2"/>
  <c r="AK24" i="2"/>
  <c r="AG24" i="2"/>
  <c r="AF24" i="2"/>
  <c r="AL23" i="2"/>
  <c r="AK23" i="2"/>
  <c r="AG23" i="2"/>
  <c r="AF23" i="2"/>
  <c r="AL20" i="2"/>
  <c r="AK20" i="2"/>
  <c r="AG20" i="2"/>
  <c r="AF20" i="2"/>
  <c r="AL19" i="2"/>
  <c r="AK19" i="2"/>
  <c r="AG19" i="2"/>
  <c r="AF19" i="2"/>
  <c r="AL18" i="2"/>
  <c r="AK18" i="2"/>
  <c r="AG18" i="2"/>
  <c r="AF18" i="2"/>
  <c r="AL17" i="2"/>
  <c r="AK17" i="2"/>
  <c r="AG17" i="2"/>
  <c r="AF17" i="2"/>
  <c r="AL16" i="2"/>
  <c r="AK16" i="2"/>
  <c r="AG16" i="2"/>
  <c r="AF16" i="2"/>
  <c r="AL15" i="2"/>
  <c r="AK15" i="2"/>
  <c r="AG15" i="2"/>
  <c r="AF15" i="2"/>
  <c r="AL14" i="2"/>
  <c r="AK14" i="2"/>
  <c r="AG14" i="2"/>
  <c r="AF14" i="2"/>
  <c r="AL13" i="2"/>
  <c r="AK13" i="2"/>
  <c r="AG13" i="2"/>
  <c r="AF13" i="2"/>
  <c r="AL12" i="2"/>
  <c r="AK12" i="2"/>
  <c r="AG12" i="2"/>
  <c r="AF12" i="2"/>
  <c r="AL11" i="2"/>
  <c r="AK11" i="2"/>
  <c r="AG11" i="2"/>
  <c r="AF11" i="2"/>
  <c r="AL10" i="2"/>
  <c r="AK10" i="2"/>
  <c r="AG10" i="2"/>
  <c r="AF10" i="2"/>
  <c r="AL9" i="2"/>
  <c r="AK9" i="2"/>
  <c r="AG9" i="2"/>
  <c r="AF9" i="2"/>
  <c r="AL8" i="2"/>
  <c r="AK8" i="2"/>
  <c r="AG8" i="2"/>
  <c r="AF8" i="2"/>
  <c r="AT17" i="2"/>
  <c r="AS17" i="2"/>
  <c r="AT16" i="2"/>
  <c r="AS16" i="2"/>
  <c r="AT15" i="2"/>
  <c r="AS15" i="2"/>
  <c r="AT14" i="2"/>
  <c r="AS14" i="2"/>
  <c r="AT13" i="2"/>
  <c r="AS13" i="2"/>
  <c r="AT12" i="2"/>
  <c r="AS12" i="2"/>
  <c r="AT11" i="2"/>
  <c r="AS11" i="2"/>
  <c r="AT10" i="2"/>
  <c r="AS10" i="2"/>
  <c r="AT9" i="2"/>
  <c r="AS9" i="2"/>
  <c r="AT8" i="2"/>
  <c r="AS8" i="2"/>
  <c r="AH34" i="2" l="1"/>
  <c r="AH111" i="2"/>
  <c r="AH110" i="2"/>
  <c r="AH109" i="2"/>
  <c r="AH129" i="2"/>
  <c r="AH127" i="2"/>
  <c r="AH128" i="2"/>
  <c r="AH126" i="2"/>
  <c r="AH125" i="2"/>
  <c r="AH123" i="2"/>
  <c r="AH124" i="2"/>
  <c r="AH122" i="2"/>
  <c r="AH130" i="2"/>
  <c r="AH115" i="2"/>
  <c r="AH114" i="2"/>
  <c r="AH121" i="2"/>
  <c r="AH119" i="2"/>
  <c r="AH118" i="2"/>
  <c r="AH117" i="2"/>
  <c r="AH116" i="2"/>
  <c r="AH108" i="2"/>
  <c r="AH107" i="2"/>
  <c r="AH106" i="2"/>
  <c r="AH105" i="2"/>
  <c r="AH104" i="2"/>
  <c r="AH103" i="2"/>
  <c r="AH113" i="2"/>
  <c r="AH112" i="2"/>
  <c r="AH84" i="2"/>
  <c r="AH91" i="2"/>
  <c r="AH90" i="2"/>
  <c r="AH89" i="2"/>
  <c r="AH88" i="2"/>
  <c r="AH87" i="2"/>
  <c r="AH86" i="2"/>
  <c r="AH85" i="2"/>
  <c r="AH97" i="2"/>
  <c r="AH96" i="2"/>
  <c r="AH95" i="2"/>
  <c r="AH94" i="2"/>
  <c r="AH93" i="2"/>
  <c r="AH92" i="2"/>
  <c r="AH101" i="2"/>
  <c r="AH100" i="2"/>
  <c r="AH102" i="2"/>
  <c r="AH99" i="2"/>
  <c r="AH65" i="2"/>
  <c r="AH64" i="2"/>
  <c r="AH63" i="2"/>
  <c r="AH61" i="2"/>
  <c r="AH62" i="2"/>
  <c r="AH56" i="2"/>
  <c r="AH74" i="2"/>
  <c r="AH73" i="2"/>
  <c r="AH72" i="2"/>
  <c r="AH76" i="2"/>
  <c r="AH81" i="2"/>
  <c r="AH80" i="2"/>
  <c r="AH77" i="2"/>
  <c r="AH78" i="2"/>
  <c r="AH79" i="2"/>
  <c r="AH67" i="2"/>
  <c r="AH71" i="2"/>
  <c r="AH60" i="2"/>
  <c r="AH59" i="2"/>
  <c r="AH66" i="2"/>
  <c r="AH55" i="2"/>
  <c r="AH54" i="2"/>
  <c r="AH70" i="2"/>
  <c r="AH69" i="2"/>
  <c r="AH75" i="2"/>
  <c r="AH51" i="2"/>
  <c r="AH52" i="2"/>
  <c r="AH53" i="2"/>
  <c r="AH58" i="2"/>
  <c r="AH57" i="2"/>
  <c r="AH41" i="2"/>
  <c r="AH40" i="2"/>
  <c r="AH39" i="2"/>
  <c r="AH47" i="2"/>
  <c r="AH46" i="2"/>
  <c r="AH45" i="2"/>
  <c r="AH44" i="2"/>
  <c r="AH43" i="2"/>
  <c r="AH42" i="2"/>
  <c r="AH50" i="2"/>
  <c r="AH49" i="2"/>
  <c r="AH48" i="2"/>
  <c r="AH38" i="2"/>
  <c r="AH36" i="2"/>
  <c r="AH37" i="2"/>
  <c r="AH35" i="2"/>
  <c r="AH28" i="2"/>
  <c r="AH27" i="2"/>
  <c r="AH26" i="2"/>
  <c r="AH25" i="2"/>
  <c r="AH24" i="2"/>
  <c r="AH23" i="2"/>
  <c r="AH32" i="2"/>
  <c r="AH31" i="2"/>
  <c r="AH18" i="2"/>
  <c r="AH19" i="2"/>
  <c r="AH30" i="2"/>
  <c r="AH29" i="2"/>
  <c r="AH20" i="2"/>
  <c r="AH17" i="2"/>
  <c r="AH16" i="2"/>
  <c r="AH15" i="2"/>
  <c r="AH12" i="2"/>
  <c r="AH14" i="2"/>
  <c r="AH13" i="2"/>
  <c r="AH11" i="2"/>
  <c r="AH10" i="2"/>
  <c r="AH9" i="2"/>
  <c r="AH8" i="2"/>
  <c r="G1158" i="2"/>
  <c r="D1158" i="2"/>
  <c r="E1220" i="2"/>
  <c r="G1238" i="2"/>
  <c r="G1233" i="2"/>
  <c r="D1233" i="2"/>
  <c r="AT971" i="2"/>
  <c r="AS971" i="2"/>
  <c r="AL971" i="2"/>
  <c r="AK971" i="2"/>
  <c r="AG971" i="2"/>
  <c r="AH971" i="2" s="1"/>
  <c r="AF971" i="2"/>
  <c r="AT970" i="2"/>
  <c r="AS970" i="2"/>
  <c r="AL970" i="2"/>
  <c r="AK970" i="2"/>
  <c r="AG970" i="2"/>
  <c r="AH970" i="2" s="1"/>
  <c r="AF970" i="2"/>
  <c r="AT969" i="2"/>
  <c r="AS969" i="2"/>
  <c r="AL969" i="2"/>
  <c r="AK969" i="2"/>
  <c r="AG969" i="2"/>
  <c r="AH969" i="2" s="1"/>
  <c r="AF969" i="2"/>
  <c r="AT968" i="2"/>
  <c r="AS968" i="2"/>
  <c r="AL968" i="2"/>
  <c r="AK968" i="2"/>
  <c r="AG968" i="2"/>
  <c r="AH968" i="2" s="1"/>
  <c r="AF968" i="2"/>
  <c r="E1139" i="2" l="1"/>
  <c r="F1236" i="2"/>
  <c r="E1236" i="2"/>
  <c r="F1141" i="2"/>
  <c r="E1141" i="2"/>
  <c r="F1245" i="2"/>
  <c r="E1114" i="2"/>
  <c r="F1114" i="2"/>
  <c r="E1158" i="2"/>
  <c r="F1158" i="2"/>
  <c r="G1204" i="2"/>
  <c r="D1204" i="2"/>
  <c r="F1218" i="2" l="1"/>
  <c r="E1233" i="2" l="1"/>
  <c r="E1218" i="2"/>
  <c r="F1238" i="2"/>
  <c r="AT1088" i="2" l="1"/>
  <c r="AS1088" i="2"/>
  <c r="AT7" i="2"/>
  <c r="AS7" i="2"/>
  <c r="D1089" i="2" l="1"/>
  <c r="AK1088" i="2" l="1"/>
  <c r="AK7" i="2"/>
  <c r="AL7" i="2"/>
  <c r="AG7" i="2"/>
  <c r="AF7" i="2"/>
  <c r="AH7" i="2" l="1"/>
  <c r="G55" i="19"/>
  <c r="F1204" i="2" l="1"/>
  <c r="E1204" i="2"/>
  <c r="C53" i="18" l="1"/>
  <c r="C52" i="18"/>
  <c r="C51" i="18"/>
  <c r="C50" i="18"/>
  <c r="C49" i="18"/>
  <c r="C48" i="18"/>
  <c r="C46" i="18"/>
  <c r="C45" i="18"/>
  <c r="C44" i="18"/>
  <c r="C43" i="18"/>
  <c r="C47" i="18"/>
  <c r="C42" i="18"/>
  <c r="B45" i="18"/>
  <c r="B43" i="18"/>
  <c r="B42" i="18"/>
  <c r="B53" i="18"/>
  <c r="B52" i="18"/>
  <c r="B51" i="18"/>
  <c r="B50" i="18"/>
  <c r="B49" i="18"/>
  <c r="B48" i="18"/>
  <c r="B47" i="18"/>
  <c r="B46" i="18"/>
  <c r="B71" i="18"/>
  <c r="C71" i="18"/>
  <c r="J6" i="19" l="1"/>
  <c r="J7" i="19" s="1"/>
  <c r="J8" i="19" s="1"/>
  <c r="J9" i="19" s="1"/>
  <c r="J10" i="19" s="1"/>
  <c r="J11" i="19" s="1"/>
  <c r="J12" i="19" s="1"/>
  <c r="J13" i="19" s="1"/>
  <c r="J14" i="19" s="1"/>
  <c r="J15" i="19" s="1"/>
  <c r="J16" i="19" s="1"/>
  <c r="J17" i="19" s="1"/>
  <c r="J18" i="19" s="1"/>
  <c r="J19" i="19" s="1"/>
  <c r="J20" i="19" s="1"/>
  <c r="J21" i="19" s="1"/>
  <c r="J22" i="19" s="1"/>
  <c r="J23" i="19" s="1"/>
  <c r="J24" i="19" s="1"/>
  <c r="J25" i="19" s="1"/>
  <c r="J26" i="19" s="1"/>
  <c r="J27" i="19" s="1"/>
  <c r="J28" i="19" s="1"/>
  <c r="J29" i="19" s="1"/>
  <c r="J30" i="19" s="1"/>
  <c r="J31" i="19" s="1"/>
  <c r="J32" i="19" s="1"/>
  <c r="J33" i="19" s="1"/>
  <c r="J34" i="19" s="1"/>
  <c r="J35" i="19" s="1"/>
  <c r="J36" i="19" s="1"/>
  <c r="J37" i="19" s="1"/>
  <c r="J38" i="19" s="1"/>
  <c r="J39" i="19" s="1"/>
  <c r="J40" i="19" s="1"/>
  <c r="J41" i="19" s="1"/>
  <c r="J42" i="19" s="1"/>
  <c r="J43" i="19" s="1"/>
  <c r="J44" i="19" s="1"/>
  <c r="J45" i="19" s="1"/>
  <c r="J46" i="19" s="1"/>
  <c r="J47" i="19" s="1"/>
  <c r="J48" i="19" s="1"/>
  <c r="J49" i="19" s="1"/>
  <c r="J50" i="19" s="1"/>
  <c r="J51" i="19" s="1"/>
  <c r="J52" i="19" s="1"/>
  <c r="J53" i="19" s="1"/>
  <c r="J54" i="19" s="1"/>
  <c r="J55" i="19" s="1"/>
  <c r="J56" i="19" s="1"/>
  <c r="J57" i="19" s="1"/>
  <c r="G1205" i="2" l="1"/>
  <c r="D1205" i="2"/>
  <c r="D1245" i="2" l="1"/>
  <c r="D1177" i="2"/>
  <c r="D1106" i="2"/>
  <c r="B63" i="19"/>
  <c r="AL1088" i="2"/>
  <c r="C67" i="18" l="1"/>
  <c r="B63" i="18"/>
  <c r="B61" i="18"/>
  <c r="B65" i="18"/>
  <c r="C69" i="18"/>
  <c r="C66" i="18"/>
  <c r="C63" i="18"/>
  <c r="C60" i="18"/>
  <c r="B68" i="18"/>
  <c r="C62" i="18"/>
  <c r="B70" i="18"/>
  <c r="B66" i="18"/>
  <c r="B60" i="18"/>
  <c r="B67" i="18"/>
  <c r="B62" i="18"/>
  <c r="B69" i="18"/>
  <c r="B64" i="18"/>
  <c r="C68" i="18"/>
  <c r="C70" i="18"/>
  <c r="C61" i="18"/>
  <c r="C64" i="18"/>
  <c r="C65" i="18"/>
  <c r="E51" i="18"/>
  <c r="K47" i="19"/>
  <c r="K35" i="19"/>
  <c r="K23" i="19"/>
  <c r="K12" i="19"/>
  <c r="K6" i="19"/>
  <c r="K37" i="19"/>
  <c r="K24" i="19"/>
  <c r="G57" i="19"/>
  <c r="K46" i="19"/>
  <c r="K34" i="19"/>
  <c r="K22" i="19"/>
  <c r="K11" i="19"/>
  <c r="K5" i="19"/>
  <c r="K49" i="19"/>
  <c r="K13" i="19"/>
  <c r="K57" i="19"/>
  <c r="K45" i="19"/>
  <c r="K33" i="19"/>
  <c r="K21" i="19"/>
  <c r="K10" i="19"/>
  <c r="K56" i="19"/>
  <c r="K44" i="19"/>
  <c r="K32" i="19"/>
  <c r="K20" i="19"/>
  <c r="K48" i="19"/>
  <c r="K55" i="19"/>
  <c r="K43" i="19"/>
  <c r="K31" i="19"/>
  <c r="K19" i="19"/>
  <c r="K54" i="19"/>
  <c r="K42" i="19"/>
  <c r="K30" i="19"/>
  <c r="K18" i="19"/>
  <c r="K8" i="19"/>
  <c r="K53" i="19"/>
  <c r="K41" i="19"/>
  <c r="K29" i="19"/>
  <c r="K17" i="19"/>
  <c r="K25" i="19"/>
  <c r="K52" i="19"/>
  <c r="K40" i="19"/>
  <c r="K28" i="19"/>
  <c r="K16" i="19"/>
  <c r="K36" i="19"/>
  <c r="K51" i="19"/>
  <c r="K39" i="19"/>
  <c r="K27" i="19"/>
  <c r="K15" i="19"/>
  <c r="K50" i="19"/>
  <c r="K38" i="19"/>
  <c r="K26" i="19"/>
  <c r="K14" i="19"/>
  <c r="K9" i="19"/>
  <c r="K7" i="19"/>
  <c r="B72" i="18" l="1"/>
  <c r="E1205" i="2"/>
  <c r="F1205" i="2"/>
  <c r="C72" i="18"/>
  <c r="K58" i="19"/>
  <c r="E1177" i="2"/>
  <c r="F1177" i="2"/>
  <c r="E1245" i="2"/>
  <c r="G1150" i="2" l="1"/>
  <c r="F1150" i="2"/>
  <c r="D1150" i="2"/>
  <c r="AG1088" i="2" l="1"/>
  <c r="AH1088" i="2" s="1"/>
  <c r="AF1088" i="2"/>
  <c r="F6" i="19"/>
  <c r="F7" i="19" s="1"/>
  <c r="F8" i="19" s="1"/>
  <c r="F9" i="19" s="1"/>
  <c r="F10" i="19" s="1"/>
  <c r="F11" i="19" s="1"/>
  <c r="F12" i="19" s="1"/>
  <c r="F13" i="19" s="1"/>
  <c r="F14" i="19" s="1"/>
  <c r="F15" i="19" s="1"/>
  <c r="F16" i="19" s="1"/>
  <c r="F17" i="19" s="1"/>
  <c r="F18" i="19" s="1"/>
  <c r="F19" i="19" s="1"/>
  <c r="F20" i="19" s="1"/>
  <c r="F21" i="19" s="1"/>
  <c r="F22" i="19" s="1"/>
  <c r="F23" i="19" s="1"/>
  <c r="F24" i="19" s="1"/>
  <c r="F25" i="19" s="1"/>
  <c r="F26" i="19" s="1"/>
  <c r="F27" i="19" s="1"/>
  <c r="F28" i="19" s="1"/>
  <c r="F29" i="19" s="1"/>
  <c r="F30" i="19" s="1"/>
  <c r="F31" i="19" s="1"/>
  <c r="F32" i="19" s="1"/>
  <c r="F33" i="19" s="1"/>
  <c r="F34" i="19" s="1"/>
  <c r="F35" i="19" s="1"/>
  <c r="F36" i="19" s="1"/>
  <c r="F37" i="19" s="1"/>
  <c r="F38" i="19" s="1"/>
  <c r="F39" i="19" s="1"/>
  <c r="F40" i="19" s="1"/>
  <c r="F41" i="19" s="1"/>
  <c r="F42" i="19" s="1"/>
  <c r="F43" i="19" s="1"/>
  <c r="F44" i="19" s="1"/>
  <c r="F45" i="19" s="1"/>
  <c r="F46" i="19" s="1"/>
  <c r="F47" i="19" s="1"/>
  <c r="F48" i="19" s="1"/>
  <c r="F49" i="19" s="1"/>
  <c r="F50" i="19" s="1"/>
  <c r="F51" i="19" s="1"/>
  <c r="F52" i="19" s="1"/>
  <c r="F53" i="19" s="1"/>
  <c r="F54" i="19" s="1"/>
  <c r="F55" i="19" s="1"/>
  <c r="F56" i="19" s="1"/>
  <c r="F57" i="19" s="1"/>
  <c r="F1233" i="2"/>
  <c r="E1150" i="2"/>
  <c r="G1184" i="2" l="1"/>
  <c r="D1184" i="2"/>
  <c r="G1163" i="2" l="1"/>
  <c r="F1163" i="2"/>
  <c r="D1163" i="2"/>
  <c r="D1162" i="2"/>
  <c r="G1102" i="2" l="1"/>
  <c r="F1102" i="2"/>
  <c r="E1102" i="2"/>
  <c r="D1102" i="2"/>
  <c r="E1106" i="2"/>
  <c r="G1106" i="2"/>
  <c r="D1107" i="2"/>
  <c r="D1108" i="2"/>
  <c r="D1109" i="2"/>
  <c r="E1104" i="2"/>
  <c r="D1104" i="2"/>
  <c r="G1181" i="2"/>
  <c r="D1181" i="2"/>
  <c r="E1180" i="2"/>
  <c r="D1180" i="2"/>
  <c r="G1210" i="2"/>
  <c r="D1210" i="2"/>
  <c r="G1112" i="2"/>
  <c r="D1112" i="2"/>
  <c r="D1111" i="2"/>
  <c r="E1184" i="2" l="1"/>
  <c r="F1184" i="2"/>
  <c r="E1163" i="2"/>
  <c r="F1106" i="2"/>
  <c r="G1212" i="2"/>
  <c r="E1112" i="2" l="1"/>
  <c r="F1112" i="2"/>
  <c r="E1181" i="2"/>
  <c r="F1181" i="2"/>
  <c r="F1210" i="2"/>
  <c r="E1210" i="2"/>
  <c r="E1111" i="2"/>
  <c r="E1123" i="2" l="1"/>
  <c r="C63" i="19"/>
  <c r="D63" i="19" s="1"/>
  <c r="D1095" i="2"/>
  <c r="E1095" i="2"/>
  <c r="F1095" i="2"/>
  <c r="B1096" i="2"/>
  <c r="B1097" i="2" s="1"/>
  <c r="B1098" i="2" s="1"/>
  <c r="B1099" i="2" s="1"/>
  <c r="B1100" i="2" s="1"/>
  <c r="B1101" i="2" s="1"/>
  <c r="B1102" i="2" s="1"/>
  <c r="B1103" i="2" s="1"/>
  <c r="B1104" i="2" s="1"/>
  <c r="D1096" i="2"/>
  <c r="E1096" i="2"/>
  <c r="F1096" i="2"/>
  <c r="D1097" i="2"/>
  <c r="E1097" i="2"/>
  <c r="F1097" i="2"/>
  <c r="AA1097" i="2"/>
  <c r="D1098" i="2"/>
  <c r="E1098" i="2"/>
  <c r="F1098" i="2"/>
  <c r="D1099" i="2"/>
  <c r="D1100" i="2"/>
  <c r="E1100" i="2"/>
  <c r="F1100" i="2"/>
  <c r="G1100" i="2"/>
  <c r="D1101" i="2"/>
  <c r="E1101" i="2"/>
  <c r="F1101" i="2"/>
  <c r="D1103" i="2"/>
  <c r="E1103" i="2"/>
  <c r="F1103" i="2"/>
  <c r="F1104" i="2"/>
  <c r="G1104" i="2"/>
  <c r="D1105" i="2"/>
  <c r="E1105" i="2"/>
  <c r="F1105" i="2"/>
  <c r="E1107" i="2"/>
  <c r="F1107" i="2"/>
  <c r="E1108" i="2"/>
  <c r="F1108" i="2"/>
  <c r="D1110" i="2"/>
  <c r="E1110" i="2"/>
  <c r="F1110" i="2"/>
  <c r="G1111" i="2"/>
  <c r="D1113" i="2"/>
  <c r="E1113" i="2"/>
  <c r="F1113" i="2"/>
  <c r="D1115" i="2"/>
  <c r="E1115" i="2"/>
  <c r="F1115" i="2"/>
  <c r="D1116" i="2"/>
  <c r="E1116" i="2"/>
  <c r="F1116" i="2"/>
  <c r="D1117" i="2"/>
  <c r="D1118" i="2"/>
  <c r="E1118" i="2"/>
  <c r="F1118" i="2"/>
  <c r="G1118" i="2"/>
  <c r="D1119" i="2"/>
  <c r="E1119" i="2"/>
  <c r="F1119" i="2"/>
  <c r="D1120" i="2"/>
  <c r="E1120" i="2"/>
  <c r="F1120" i="2"/>
  <c r="D1121" i="2"/>
  <c r="E1121" i="2"/>
  <c r="F1121" i="2"/>
  <c r="D1122" i="2"/>
  <c r="G1122" i="2"/>
  <c r="D1123" i="2"/>
  <c r="D1124" i="2"/>
  <c r="E1124" i="2"/>
  <c r="F1124" i="2"/>
  <c r="G1124" i="2"/>
  <c r="D1125" i="2"/>
  <c r="G1125" i="2"/>
  <c r="D1126" i="2"/>
  <c r="D1127" i="2"/>
  <c r="E1127" i="2"/>
  <c r="F1127" i="2"/>
  <c r="D1128" i="2"/>
  <c r="E1128" i="2"/>
  <c r="F1128" i="2"/>
  <c r="D1129" i="2"/>
  <c r="G1129" i="2"/>
  <c r="D1130" i="2"/>
  <c r="E1130" i="2"/>
  <c r="F1130" i="2"/>
  <c r="D1131" i="2"/>
  <c r="E1131" i="2"/>
  <c r="F1131" i="2"/>
  <c r="D1132" i="2"/>
  <c r="E1132" i="2"/>
  <c r="F1132" i="2"/>
  <c r="G1132" i="2"/>
  <c r="D1133" i="2"/>
  <c r="E1133" i="2"/>
  <c r="F1133" i="2"/>
  <c r="G1133" i="2"/>
  <c r="D1134" i="2"/>
  <c r="G1134" i="2"/>
  <c r="D1135" i="2"/>
  <c r="E1135" i="2"/>
  <c r="F1135" i="2"/>
  <c r="G1135" i="2"/>
  <c r="D1136" i="2"/>
  <c r="G1136" i="2"/>
  <c r="D1137" i="2"/>
  <c r="E1137" i="2"/>
  <c r="F1137" i="2"/>
  <c r="D1138" i="2"/>
  <c r="E1138" i="2"/>
  <c r="F1138" i="2"/>
  <c r="G1138" i="2"/>
  <c r="D1140" i="2"/>
  <c r="G1140" i="2"/>
  <c r="D1142" i="2"/>
  <c r="G1142" i="2"/>
  <c r="D1143" i="2"/>
  <c r="G1143" i="2"/>
  <c r="D1144" i="2"/>
  <c r="E1144" i="2"/>
  <c r="F1144" i="2"/>
  <c r="G1144" i="2"/>
  <c r="D1145" i="2"/>
  <c r="E1145" i="2"/>
  <c r="F1145" i="2"/>
  <c r="G1145" i="2"/>
  <c r="D1146" i="2"/>
  <c r="E1146" i="2"/>
  <c r="F1146" i="2"/>
  <c r="D1147" i="2"/>
  <c r="G1147" i="2"/>
  <c r="D1148" i="2"/>
  <c r="E1148" i="2"/>
  <c r="F1148" i="2"/>
  <c r="G1148" i="2"/>
  <c r="D1149" i="2"/>
  <c r="E1149" i="2"/>
  <c r="F1149" i="2"/>
  <c r="D1151" i="2"/>
  <c r="E1151" i="2"/>
  <c r="F1151" i="2"/>
  <c r="D1152" i="2"/>
  <c r="E1152" i="2"/>
  <c r="F1152" i="2"/>
  <c r="G1152" i="2"/>
  <c r="D1153" i="2"/>
  <c r="E1153" i="2"/>
  <c r="F1153" i="2"/>
  <c r="D1154" i="2"/>
  <c r="G1154" i="2"/>
  <c r="D1155" i="2"/>
  <c r="G1155" i="2"/>
  <c r="D1156" i="2"/>
  <c r="E1156" i="2"/>
  <c r="F1156" i="2"/>
  <c r="G1156" i="2"/>
  <c r="D1157" i="2"/>
  <c r="G1157" i="2"/>
  <c r="D1159" i="2"/>
  <c r="G1159" i="2"/>
  <c r="D1160" i="2"/>
  <c r="E1160" i="2"/>
  <c r="F1160" i="2"/>
  <c r="D1161" i="2"/>
  <c r="E1161" i="2"/>
  <c r="F1161" i="2"/>
  <c r="E1162" i="2"/>
  <c r="F1162" i="2"/>
  <c r="D1164" i="2"/>
  <c r="E1164" i="2"/>
  <c r="F1164" i="2"/>
  <c r="G1164" i="2"/>
  <c r="D1165" i="2"/>
  <c r="G1165" i="2"/>
  <c r="D1166" i="2"/>
  <c r="E1166" i="2"/>
  <c r="F1166" i="2"/>
  <c r="D1167" i="2"/>
  <c r="G1167" i="2"/>
  <c r="D1168" i="2"/>
  <c r="E1168" i="2"/>
  <c r="F1168" i="2"/>
  <c r="D1169" i="2"/>
  <c r="E1169" i="2"/>
  <c r="F1169" i="2"/>
  <c r="D1170" i="2"/>
  <c r="E1170" i="2"/>
  <c r="F1170" i="2"/>
  <c r="G1170" i="2"/>
  <c r="D1171" i="2"/>
  <c r="E1171" i="2"/>
  <c r="F1171" i="2"/>
  <c r="G1171" i="2"/>
  <c r="D1172" i="2"/>
  <c r="G1172" i="2"/>
  <c r="D1173" i="2"/>
  <c r="E1173" i="2"/>
  <c r="F1173" i="2"/>
  <c r="D1174" i="2"/>
  <c r="E1174" i="2"/>
  <c r="F1174" i="2"/>
  <c r="D1175" i="2"/>
  <c r="G1175" i="2"/>
  <c r="D1176" i="2"/>
  <c r="E1176" i="2"/>
  <c r="F1176" i="2"/>
  <c r="D1178" i="2"/>
  <c r="D1179" i="2"/>
  <c r="E1179" i="2"/>
  <c r="F1179" i="2"/>
  <c r="F1180" i="2"/>
  <c r="D1182" i="2"/>
  <c r="G1182" i="2"/>
  <c r="D1183" i="2"/>
  <c r="E1183" i="2"/>
  <c r="F1183" i="2"/>
  <c r="G1183" i="2"/>
  <c r="D1185" i="2"/>
  <c r="G1185" i="2"/>
  <c r="D1186" i="2"/>
  <c r="G1186" i="2"/>
  <c r="B6" i="19"/>
  <c r="B7" i="19" s="1"/>
  <c r="B8" i="19" s="1"/>
  <c r="B9" i="19" s="1"/>
  <c r="B10" i="19" s="1"/>
  <c r="B11" i="19" s="1"/>
  <c r="B12" i="19" s="1"/>
  <c r="B13" i="19" s="1"/>
  <c r="B14" i="19" s="1"/>
  <c r="B15" i="19" s="1"/>
  <c r="B16" i="19" s="1"/>
  <c r="B17" i="19" s="1"/>
  <c r="B18" i="19" s="1"/>
  <c r="B19" i="19" s="1"/>
  <c r="B20" i="19" s="1"/>
  <c r="B21" i="19" s="1"/>
  <c r="B22" i="19" s="1"/>
  <c r="B23" i="19" s="1"/>
  <c r="B24" i="19" s="1"/>
  <c r="B25" i="19" s="1"/>
  <c r="B26" i="19" s="1"/>
  <c r="B27" i="19" s="1"/>
  <c r="B28" i="19" s="1"/>
  <c r="B29" i="19" s="1"/>
  <c r="B30" i="19" s="1"/>
  <c r="B31" i="19" s="1"/>
  <c r="B32" i="19" s="1"/>
  <c r="B33" i="19" s="1"/>
  <c r="B34" i="19" s="1"/>
  <c r="B35" i="19" s="1"/>
  <c r="B36" i="19" s="1"/>
  <c r="B37" i="19" s="1"/>
  <c r="B38" i="19" s="1"/>
  <c r="B39" i="19" s="1"/>
  <c r="B40" i="19" s="1"/>
  <c r="B41" i="19" s="1"/>
  <c r="B42" i="19" s="1"/>
  <c r="B43" i="19" s="1"/>
  <c r="B44" i="19" s="1"/>
  <c r="B45" i="19" s="1"/>
  <c r="B46" i="19" s="1"/>
  <c r="B47" i="19" s="1"/>
  <c r="B48" i="19" s="1"/>
  <c r="B49" i="19" s="1"/>
  <c r="B50" i="19" s="1"/>
  <c r="B51" i="19" s="1"/>
  <c r="B52" i="19" s="1"/>
  <c r="B53" i="19" s="1"/>
  <c r="B54" i="19" s="1"/>
  <c r="B55" i="19" s="1"/>
  <c r="B56" i="19" s="1"/>
  <c r="B57" i="19" s="1"/>
  <c r="B1105" i="2" l="1"/>
  <c r="B1106" i="2" s="1"/>
  <c r="B1107" i="2" s="1"/>
  <c r="B1108" i="2" s="1"/>
  <c r="B1109" i="2" s="1"/>
  <c r="B1110" i="2" s="1"/>
  <c r="B1111" i="2" s="1"/>
  <c r="B1112" i="2" s="1"/>
  <c r="B1113" i="2" s="1"/>
  <c r="B1115" i="2" s="1"/>
  <c r="B1116" i="2" s="1"/>
  <c r="B1117" i="2" s="1"/>
  <c r="B1118" i="2" s="1"/>
  <c r="B1119" i="2" s="1"/>
  <c r="B1120" i="2" s="1"/>
  <c r="B1121" i="2" s="1"/>
  <c r="B1122" i="2" s="1"/>
  <c r="B1123" i="2" s="1"/>
  <c r="B1124" i="2" s="1"/>
  <c r="B1125" i="2" s="1"/>
  <c r="B1126" i="2" s="1"/>
  <c r="B1127" i="2" s="1"/>
  <c r="B1128" i="2" s="1"/>
  <c r="B1129" i="2" s="1"/>
  <c r="B1130" i="2" s="1"/>
  <c r="B1131" i="2" s="1"/>
  <c r="B1132" i="2" s="1"/>
  <c r="B1133" i="2" s="1"/>
  <c r="B1134" i="2" s="1"/>
  <c r="B1135" i="2" s="1"/>
  <c r="B1136" i="2" s="1"/>
  <c r="B1137" i="2" s="1"/>
  <c r="B1138" i="2" s="1"/>
  <c r="B1139" i="2" s="1"/>
  <c r="B1140" i="2" s="1"/>
  <c r="B1142" i="2" s="1"/>
  <c r="B1143" i="2" s="1"/>
  <c r="B1144" i="2" s="1"/>
  <c r="B1145" i="2" s="1"/>
  <c r="B1146" i="2" s="1"/>
  <c r="B1147" i="2" s="1"/>
  <c r="B1148" i="2" s="1"/>
  <c r="B1149" i="2" s="1"/>
  <c r="B1151" i="2" s="1"/>
  <c r="B1152" i="2" s="1"/>
  <c r="B1153" i="2" s="1"/>
  <c r="B1154" i="2" s="1"/>
  <c r="B1155" i="2" s="1"/>
  <c r="B1156" i="2" s="1"/>
  <c r="B1157" i="2" s="1"/>
  <c r="B1159" i="2" s="1"/>
  <c r="B1160" i="2" s="1"/>
  <c r="B1161" i="2" s="1"/>
  <c r="B1162" i="2" s="1"/>
  <c r="B1163" i="2" s="1"/>
  <c r="B1164" i="2" s="1"/>
  <c r="B1165" i="2" s="1"/>
  <c r="B1166" i="2" s="1"/>
  <c r="B1167" i="2" s="1"/>
  <c r="B1168" i="2" s="1"/>
  <c r="B1169" i="2" s="1"/>
  <c r="B1170" i="2" s="1"/>
  <c r="B1171" i="2" s="1"/>
  <c r="B1172" i="2" s="1"/>
  <c r="B1173" i="2" s="1"/>
  <c r="B1174" i="2" s="1"/>
  <c r="B1175" i="2" s="1"/>
  <c r="B1176" i="2" s="1"/>
  <c r="B1178" i="2" s="1"/>
  <c r="B1179" i="2" s="1"/>
  <c r="B1180" i="2" s="1"/>
  <c r="B1181" i="2" s="1"/>
  <c r="B1182" i="2" s="1"/>
  <c r="B1183" i="2" s="1"/>
  <c r="B1184" i="2" s="1"/>
  <c r="B1185" i="2" s="1"/>
  <c r="B1186" i="2" s="1"/>
  <c r="B1187" i="2" s="1"/>
  <c r="B1188" i="2" s="1"/>
  <c r="B1189" i="2" s="1"/>
  <c r="B1190" i="2" s="1"/>
  <c r="B1191" i="2" s="1"/>
  <c r="B1192" i="2" s="1"/>
  <c r="B1193" i="2" s="1"/>
  <c r="B1194" i="2" s="1"/>
  <c r="B1195" i="2" s="1"/>
  <c r="B1196" i="2" s="1"/>
  <c r="B1197" i="2" s="1"/>
  <c r="B1198" i="2" s="1"/>
  <c r="B1199" i="2" s="1"/>
  <c r="B1200" i="2" s="1"/>
  <c r="B1201" i="2" s="1"/>
  <c r="B1202" i="2" s="1"/>
  <c r="B1203" i="2" s="1"/>
  <c r="B1206" i="2" s="1"/>
  <c r="B1207" i="2" s="1"/>
  <c r="B1208" i="2" s="1"/>
  <c r="B1209" i="2" s="1"/>
  <c r="B1210" i="2" s="1"/>
  <c r="B1211" i="2" s="1"/>
  <c r="B1212" i="2" s="1"/>
  <c r="B1213" i="2" s="1"/>
  <c r="B1214" i="2" s="1"/>
  <c r="B1215" i="2" s="1"/>
  <c r="B1216" i="2" s="1"/>
  <c r="B1217" i="2" s="1"/>
  <c r="B1219" i="2" s="1"/>
  <c r="B1221" i="2" s="1"/>
  <c r="B1222" i="2" s="1"/>
  <c r="B1223" i="2" s="1"/>
  <c r="B1224" i="2" s="1"/>
  <c r="B1225" i="2" s="1"/>
  <c r="B1226" i="2" s="1"/>
  <c r="B1227" i="2" s="1"/>
  <c r="B1228" i="2" s="1"/>
  <c r="B1229" i="2" s="1"/>
  <c r="B1230" i="2" s="1"/>
  <c r="B1231" i="2" s="1"/>
  <c r="B1232" i="2" s="1"/>
  <c r="B1233" i="2" s="1"/>
  <c r="B1234" i="2" s="1"/>
  <c r="B1235" i="2" s="1"/>
  <c r="B1236" i="2" s="1"/>
  <c r="B1237" i="2" s="1"/>
  <c r="B1238" i="2" s="1"/>
  <c r="B1239" i="2" s="1"/>
  <c r="B1240" i="2" s="1"/>
  <c r="B1241" i="2" s="1"/>
  <c r="B1242" i="2" s="1"/>
  <c r="B1243" i="2" s="1"/>
  <c r="B1244" i="2" s="1"/>
  <c r="B1245" i="2" s="1"/>
  <c r="B1246" i="2" s="1"/>
  <c r="B1247" i="2" s="1"/>
  <c r="B1248" i="2" s="1"/>
  <c r="B1249" i="2" s="1"/>
  <c r="B1250" i="2" s="1"/>
  <c r="B1251" i="2" s="1"/>
  <c r="B1252" i="2" s="1"/>
  <c r="B1253" i="2" s="1"/>
  <c r="F1212" i="2"/>
  <c r="F1123" i="2"/>
  <c r="F1109" i="2"/>
  <c r="E1109" i="2"/>
  <c r="AA1098" i="2"/>
  <c r="G1237" i="2"/>
  <c r="D1237" i="2"/>
  <c r="G1250" i="2"/>
  <c r="G1187" i="2"/>
  <c r="D1187" i="2"/>
  <c r="E1147" i="2" l="1"/>
  <c r="F1147" i="2"/>
  <c r="E1125" i="2"/>
  <c r="F1125" i="2"/>
  <c r="F1237" i="2"/>
  <c r="F1175" i="2"/>
  <c r="E1175" i="2"/>
  <c r="E1237" i="2"/>
  <c r="G1197" i="2" l="1"/>
  <c r="D1197" i="2"/>
  <c r="E1196" i="2"/>
  <c r="D1196" i="2"/>
  <c r="E1187" i="2" l="1"/>
  <c r="E1203" i="2"/>
  <c r="E1215" i="2"/>
  <c r="E1227" i="2"/>
  <c r="E1250" i="2"/>
  <c r="E1155" i="2"/>
  <c r="G1216" i="2"/>
  <c r="D1216" i="2"/>
  <c r="D1215" i="2"/>
  <c r="E1273" i="2"/>
  <c r="E1216" i="2"/>
  <c r="E1253" i="2"/>
  <c r="F1172" i="2"/>
  <c r="T1271" i="2"/>
  <c r="F1200" i="2"/>
  <c r="E1201" i="2"/>
  <c r="A37" i="17"/>
  <c r="C37" i="4"/>
  <c r="C38" i="4"/>
  <c r="C41" i="4" s="1"/>
  <c r="B47" i="4"/>
  <c r="B48" i="4" s="1"/>
  <c r="B49" i="4" s="1"/>
  <c r="C47" i="4"/>
  <c r="D47" i="4"/>
  <c r="C48" i="4"/>
  <c r="D48" i="4"/>
  <c r="B14" i="11"/>
  <c r="C14" i="11"/>
  <c r="D14" i="11"/>
  <c r="B21" i="11"/>
  <c r="B35" i="11" s="1"/>
  <c r="C21" i="11"/>
  <c r="C35" i="11" s="1"/>
  <c r="D21" i="11"/>
  <c r="D35" i="11" s="1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B7" i="11" s="1"/>
  <c r="Q7" i="3"/>
  <c r="C7" i="11" s="1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 s="1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 s="1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 s="1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 s="1"/>
  <c r="B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 s="1"/>
  <c r="B44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 s="1"/>
  <c r="B56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P70" i="3" s="1"/>
  <c r="Q56" i="3"/>
  <c r="Q70" i="3" s="1"/>
  <c r="AE5" i="2"/>
  <c r="E1225" i="2"/>
  <c r="E1248" i="2"/>
  <c r="C7" i="17"/>
  <c r="B9" i="17"/>
  <c r="B24" i="17"/>
  <c r="C29" i="17"/>
  <c r="F1117" i="2"/>
  <c r="C26" i="17"/>
  <c r="E1211" i="2"/>
  <c r="D1188" i="2"/>
  <c r="E1188" i="2"/>
  <c r="F1188" i="2"/>
  <c r="G1188" i="2"/>
  <c r="D1189" i="2"/>
  <c r="D1190" i="2"/>
  <c r="G1190" i="2"/>
  <c r="D1191" i="2"/>
  <c r="G1191" i="2"/>
  <c r="D1192" i="2"/>
  <c r="G1192" i="2"/>
  <c r="D1193" i="2"/>
  <c r="D1194" i="2"/>
  <c r="E1194" i="2"/>
  <c r="F1194" i="2"/>
  <c r="D1195" i="2"/>
  <c r="E1195" i="2"/>
  <c r="F1195" i="2"/>
  <c r="F1196" i="2"/>
  <c r="G1196" i="2"/>
  <c r="D1198" i="2"/>
  <c r="E1198" i="2"/>
  <c r="F1198" i="2"/>
  <c r="D1199" i="2"/>
  <c r="G1199" i="2"/>
  <c r="D1200" i="2"/>
  <c r="G1200" i="2"/>
  <c r="D1201" i="2"/>
  <c r="G1201" i="2"/>
  <c r="D1202" i="2"/>
  <c r="E1202" i="2"/>
  <c r="F1202" i="2"/>
  <c r="D1203" i="2"/>
  <c r="G1203" i="2"/>
  <c r="D1206" i="2"/>
  <c r="E1206" i="2"/>
  <c r="F1206" i="2"/>
  <c r="D1207" i="2"/>
  <c r="E1207" i="2"/>
  <c r="F1207" i="2"/>
  <c r="D1208" i="2"/>
  <c r="G1208" i="2"/>
  <c r="D1209" i="2"/>
  <c r="E1209" i="2"/>
  <c r="F1209" i="2"/>
  <c r="G1209" i="2"/>
  <c r="D1211" i="2"/>
  <c r="D1212" i="2"/>
  <c r="D1213" i="2"/>
  <c r="G1213" i="2"/>
  <c r="D1214" i="2"/>
  <c r="E1214" i="2"/>
  <c r="F1214" i="2"/>
  <c r="G1215" i="2"/>
  <c r="D1217" i="2"/>
  <c r="E1217" i="2"/>
  <c r="F1217" i="2"/>
  <c r="D1219" i="2"/>
  <c r="E1219" i="2"/>
  <c r="F1219" i="2"/>
  <c r="D1221" i="2"/>
  <c r="G1221" i="2"/>
  <c r="D1222" i="2"/>
  <c r="E1222" i="2"/>
  <c r="F1222" i="2"/>
  <c r="D1223" i="2"/>
  <c r="E1223" i="2"/>
  <c r="F1223" i="2"/>
  <c r="D1224" i="2"/>
  <c r="E1224" i="2"/>
  <c r="F1224" i="2"/>
  <c r="D1225" i="2"/>
  <c r="D1226" i="2"/>
  <c r="G1226" i="2"/>
  <c r="D1227" i="2"/>
  <c r="G1227" i="2"/>
  <c r="D1228" i="2"/>
  <c r="D1229" i="2"/>
  <c r="G1229" i="2"/>
  <c r="D1230" i="2"/>
  <c r="E1230" i="2"/>
  <c r="F1230" i="2"/>
  <c r="D1231" i="2"/>
  <c r="E1231" i="2"/>
  <c r="F1231" i="2"/>
  <c r="D1232" i="2"/>
  <c r="G1232" i="2"/>
  <c r="D1234" i="2"/>
  <c r="E1234" i="2"/>
  <c r="F1234" i="2"/>
  <c r="D1235" i="2"/>
  <c r="G1235" i="2"/>
  <c r="D1239" i="2"/>
  <c r="F1239" i="2"/>
  <c r="D1240" i="2"/>
  <c r="E1240" i="2"/>
  <c r="F1240" i="2"/>
  <c r="D1241" i="2"/>
  <c r="G1241" i="2"/>
  <c r="D1242" i="2"/>
  <c r="G1242" i="2"/>
  <c r="D1243" i="2"/>
  <c r="E1243" i="2"/>
  <c r="F1243" i="2"/>
  <c r="D1244" i="2"/>
  <c r="E1244" i="2"/>
  <c r="F1244" i="2"/>
  <c r="G1244" i="2"/>
  <c r="D1246" i="2"/>
  <c r="E1246" i="2"/>
  <c r="F1246" i="2"/>
  <c r="G1246" i="2"/>
  <c r="D1247" i="2"/>
  <c r="E1247" i="2"/>
  <c r="F1247" i="2"/>
  <c r="G1247" i="2"/>
  <c r="D1248" i="2"/>
  <c r="G1248" i="2"/>
  <c r="D1249" i="2"/>
  <c r="E1249" i="2"/>
  <c r="F1249" i="2"/>
  <c r="D1250" i="2"/>
  <c r="F1250" i="2"/>
  <c r="D1251" i="2"/>
  <c r="E1251" i="2"/>
  <c r="F1251" i="2"/>
  <c r="G1251" i="2"/>
  <c r="D1252" i="2"/>
  <c r="G1252" i="2"/>
  <c r="D1253" i="2"/>
  <c r="G1253" i="2"/>
  <c r="D1258" i="2"/>
  <c r="D1260" i="2"/>
  <c r="D1266" i="2"/>
  <c r="F1266" i="2" s="1"/>
  <c r="G1266" i="2"/>
  <c r="I1266" i="2" s="1"/>
  <c r="H1266" i="2"/>
  <c r="J1266" i="2"/>
  <c r="U1266" i="2" s="1"/>
  <c r="T1266" i="2"/>
  <c r="V1266" i="2"/>
  <c r="X1266" i="2" s="1"/>
  <c r="W1266" i="2"/>
  <c r="D1267" i="2"/>
  <c r="F1267" i="2" s="1"/>
  <c r="G1267" i="2"/>
  <c r="I1267" i="2" s="1"/>
  <c r="H1267" i="2"/>
  <c r="J1267" i="2"/>
  <c r="U1267" i="2" s="1"/>
  <c r="T1267" i="2"/>
  <c r="V1267" i="2"/>
  <c r="X1267" i="2" s="1"/>
  <c r="W1267" i="2"/>
  <c r="D1268" i="2"/>
  <c r="F1268" i="2" s="1"/>
  <c r="G1268" i="2"/>
  <c r="I1268" i="2" s="1"/>
  <c r="H1268" i="2"/>
  <c r="J1268" i="2"/>
  <c r="U1268" i="2" s="1"/>
  <c r="T1268" i="2"/>
  <c r="V1268" i="2"/>
  <c r="X1268" i="2" s="1"/>
  <c r="W1268" i="2"/>
  <c r="D1269" i="2"/>
  <c r="F1269" i="2" s="1"/>
  <c r="E1269" i="2"/>
  <c r="G1269" i="2"/>
  <c r="I1269" i="2" s="1"/>
  <c r="H1269" i="2"/>
  <c r="J1269" i="2"/>
  <c r="U1269" i="2" s="1"/>
  <c r="T1269" i="2"/>
  <c r="V1269" i="2"/>
  <c r="X1269" i="2" s="1"/>
  <c r="W1269" i="2"/>
  <c r="D1270" i="2"/>
  <c r="F1270" i="2" s="1"/>
  <c r="G1270" i="2"/>
  <c r="I1270" i="2" s="1"/>
  <c r="H1270" i="2"/>
  <c r="J1270" i="2"/>
  <c r="U1270" i="2" s="1"/>
  <c r="T1270" i="2"/>
  <c r="V1270" i="2"/>
  <c r="X1270" i="2" s="1"/>
  <c r="W1270" i="2"/>
  <c r="D1271" i="2"/>
  <c r="F1271" i="2" s="1"/>
  <c r="G1271" i="2"/>
  <c r="I1271" i="2" s="1"/>
  <c r="J1271" i="2"/>
  <c r="U1271" i="2" s="1"/>
  <c r="V1271" i="2"/>
  <c r="X1271" i="2" s="1"/>
  <c r="W1271" i="2"/>
  <c r="D1272" i="2"/>
  <c r="F1272" i="2" s="1"/>
  <c r="G1272" i="2"/>
  <c r="I1272" i="2" s="1"/>
  <c r="J1272" i="2"/>
  <c r="U1272" i="2" s="1"/>
  <c r="V1272" i="2"/>
  <c r="X1272" i="2" s="1"/>
  <c r="W1272" i="2"/>
  <c r="D1273" i="2"/>
  <c r="F1273" i="2" s="1"/>
  <c r="G1273" i="2"/>
  <c r="I1273" i="2" s="1"/>
  <c r="H1273" i="2"/>
  <c r="J1273" i="2"/>
  <c r="U1273" i="2" s="1"/>
  <c r="T1273" i="2"/>
  <c r="V1273" i="2"/>
  <c r="X1273" i="2" s="1"/>
  <c r="W1273" i="2"/>
  <c r="D1274" i="2"/>
  <c r="F1274" i="2" s="1"/>
  <c r="E1274" i="2"/>
  <c r="G1274" i="2"/>
  <c r="I1274" i="2" s="1"/>
  <c r="H1274" i="2"/>
  <c r="J1274" i="2"/>
  <c r="U1274" i="2" s="1"/>
  <c r="T1274" i="2"/>
  <c r="V1274" i="2"/>
  <c r="X1274" i="2" s="1"/>
  <c r="W1274" i="2"/>
  <c r="D1275" i="2"/>
  <c r="F1275" i="2" s="1"/>
  <c r="E1275" i="2"/>
  <c r="G1275" i="2"/>
  <c r="I1275" i="2" s="1"/>
  <c r="H1275" i="2"/>
  <c r="J1275" i="2"/>
  <c r="U1275" i="2" s="1"/>
  <c r="T1275" i="2"/>
  <c r="V1275" i="2"/>
  <c r="X1275" i="2" s="1"/>
  <c r="W1275" i="2"/>
  <c r="D1276" i="2"/>
  <c r="F1276" i="2" s="1"/>
  <c r="E1276" i="2"/>
  <c r="G1276" i="2"/>
  <c r="I1276" i="2" s="1"/>
  <c r="H1276" i="2"/>
  <c r="J1276" i="2"/>
  <c r="U1276" i="2" s="1"/>
  <c r="T1276" i="2"/>
  <c r="V1276" i="2"/>
  <c r="X1276" i="2" s="1"/>
  <c r="W1276" i="2"/>
  <c r="D1277" i="2"/>
  <c r="F1277" i="2" s="1"/>
  <c r="E1277" i="2"/>
  <c r="G1277" i="2"/>
  <c r="I1277" i="2" s="1"/>
  <c r="H1277" i="2"/>
  <c r="J1277" i="2"/>
  <c r="U1277" i="2" s="1"/>
  <c r="V1277" i="2"/>
  <c r="X1277" i="2" s="1"/>
  <c r="W1277" i="2"/>
  <c r="M18" i="5"/>
  <c r="J6" i="12"/>
  <c r="K6" i="12"/>
  <c r="L6" i="12"/>
  <c r="N6" i="12"/>
  <c r="O6" i="12"/>
  <c r="P6" i="12"/>
  <c r="R6" i="12"/>
  <c r="U6" i="12"/>
  <c r="J7" i="12"/>
  <c r="K7" i="12"/>
  <c r="L7" i="12"/>
  <c r="N7" i="12"/>
  <c r="O7" i="12"/>
  <c r="P7" i="12"/>
  <c r="R7" i="12"/>
  <c r="U7" i="12"/>
  <c r="J8" i="12"/>
  <c r="K8" i="12"/>
  <c r="L8" i="12"/>
  <c r="N8" i="12"/>
  <c r="O8" i="12"/>
  <c r="P8" i="12"/>
  <c r="R8" i="12"/>
  <c r="U8" i="12"/>
  <c r="J9" i="12"/>
  <c r="K9" i="12"/>
  <c r="L9" i="12"/>
  <c r="N9" i="12"/>
  <c r="O9" i="12"/>
  <c r="P9" i="12"/>
  <c r="R9" i="12"/>
  <c r="U9" i="12"/>
  <c r="J10" i="12"/>
  <c r="K10" i="12"/>
  <c r="L10" i="12"/>
  <c r="N10" i="12"/>
  <c r="O10" i="12"/>
  <c r="P10" i="12"/>
  <c r="R10" i="12"/>
  <c r="U10" i="12"/>
  <c r="J11" i="12"/>
  <c r="K11" i="12"/>
  <c r="L11" i="12"/>
  <c r="N11" i="12"/>
  <c r="O11" i="12"/>
  <c r="P11" i="12"/>
  <c r="R11" i="12"/>
  <c r="U11" i="12"/>
  <c r="J12" i="12"/>
  <c r="K12" i="12"/>
  <c r="L12" i="12"/>
  <c r="N12" i="12"/>
  <c r="O12" i="12"/>
  <c r="P12" i="12"/>
  <c r="R12" i="12"/>
  <c r="U12" i="12"/>
  <c r="J13" i="12"/>
  <c r="K13" i="12"/>
  <c r="L13" i="12"/>
  <c r="N13" i="12"/>
  <c r="O13" i="12"/>
  <c r="P13" i="12"/>
  <c r="R13" i="12"/>
  <c r="U13" i="12"/>
  <c r="J14" i="12"/>
  <c r="K14" i="12"/>
  <c r="L14" i="12"/>
  <c r="N14" i="12"/>
  <c r="O14" i="12"/>
  <c r="P14" i="12"/>
  <c r="R14" i="12"/>
  <c r="U14" i="12"/>
  <c r="J15" i="12"/>
  <c r="K15" i="12"/>
  <c r="L15" i="12"/>
  <c r="N15" i="12"/>
  <c r="O15" i="12"/>
  <c r="P15" i="12"/>
  <c r="R15" i="12"/>
  <c r="U15" i="12"/>
  <c r="J16" i="12"/>
  <c r="K16" i="12"/>
  <c r="L16" i="12"/>
  <c r="N16" i="12"/>
  <c r="O16" i="12"/>
  <c r="P16" i="12"/>
  <c r="U16" i="12"/>
  <c r="J17" i="12"/>
  <c r="K17" i="12"/>
  <c r="L17" i="12"/>
  <c r="N17" i="12"/>
  <c r="O17" i="12"/>
  <c r="P17" i="12"/>
  <c r="R17" i="12"/>
  <c r="U17" i="12"/>
  <c r="J18" i="12"/>
  <c r="K18" i="12"/>
  <c r="L18" i="12"/>
  <c r="N18" i="12"/>
  <c r="O18" i="12"/>
  <c r="P18" i="12"/>
  <c r="R18" i="12"/>
  <c r="U18" i="12"/>
  <c r="J19" i="12"/>
  <c r="K19" i="12"/>
  <c r="L19" i="12"/>
  <c r="N19" i="12"/>
  <c r="O19" i="12"/>
  <c r="P19" i="12"/>
  <c r="R19" i="12"/>
  <c r="U19" i="12"/>
  <c r="J20" i="12"/>
  <c r="K20" i="12"/>
  <c r="L20" i="12"/>
  <c r="N20" i="12"/>
  <c r="O20" i="12"/>
  <c r="P20" i="12"/>
  <c r="R20" i="12"/>
  <c r="U20" i="12"/>
  <c r="J21" i="12"/>
  <c r="K21" i="12"/>
  <c r="L21" i="12"/>
  <c r="N21" i="12"/>
  <c r="O21" i="12"/>
  <c r="P21" i="12"/>
  <c r="R21" i="12"/>
  <c r="U21" i="12"/>
  <c r="J22" i="12"/>
  <c r="K22" i="12"/>
  <c r="L22" i="12"/>
  <c r="N22" i="12"/>
  <c r="O22" i="12"/>
  <c r="P22" i="12"/>
  <c r="R22" i="12"/>
  <c r="U22" i="12"/>
  <c r="J23" i="12"/>
  <c r="K23" i="12"/>
  <c r="L23" i="12"/>
  <c r="N23" i="12"/>
  <c r="O23" i="12"/>
  <c r="P23" i="12"/>
  <c r="R23" i="12"/>
  <c r="U23" i="12"/>
  <c r="J24" i="12"/>
  <c r="K24" i="12"/>
  <c r="L24" i="12"/>
  <c r="N24" i="12"/>
  <c r="O24" i="12"/>
  <c r="P24" i="12"/>
  <c r="R24" i="12"/>
  <c r="U24" i="12"/>
  <c r="J25" i="12"/>
  <c r="K25" i="12"/>
  <c r="L25" i="12"/>
  <c r="N25" i="12"/>
  <c r="O25" i="12"/>
  <c r="P25" i="12"/>
  <c r="R25" i="12"/>
  <c r="U25" i="12"/>
  <c r="J26" i="12"/>
  <c r="K26" i="12"/>
  <c r="L26" i="12"/>
  <c r="N26" i="12"/>
  <c r="O26" i="12"/>
  <c r="P26" i="12"/>
  <c r="R26" i="12"/>
  <c r="U26" i="12"/>
  <c r="J27" i="12"/>
  <c r="K27" i="12"/>
  <c r="L27" i="12"/>
  <c r="N27" i="12"/>
  <c r="O27" i="12"/>
  <c r="P27" i="12"/>
  <c r="R27" i="12"/>
  <c r="U27" i="12"/>
  <c r="J28" i="12"/>
  <c r="K28" i="12"/>
  <c r="L28" i="12"/>
  <c r="N28" i="12"/>
  <c r="O28" i="12"/>
  <c r="P28" i="12"/>
  <c r="R28" i="12"/>
  <c r="U28" i="12"/>
  <c r="J29" i="12"/>
  <c r="K29" i="12"/>
  <c r="L29" i="12"/>
  <c r="N29" i="12"/>
  <c r="O29" i="12"/>
  <c r="P29" i="12"/>
  <c r="R29" i="12"/>
  <c r="U29" i="12"/>
  <c r="J30" i="12"/>
  <c r="K30" i="12"/>
  <c r="L30" i="12"/>
  <c r="N30" i="12"/>
  <c r="O30" i="12"/>
  <c r="P30" i="12"/>
  <c r="R30" i="12"/>
  <c r="U30" i="12"/>
  <c r="J31" i="12"/>
  <c r="K31" i="12"/>
  <c r="L31" i="12"/>
  <c r="N31" i="12"/>
  <c r="O31" i="12"/>
  <c r="P31" i="12"/>
  <c r="R31" i="12"/>
  <c r="U31" i="12"/>
  <c r="J32" i="12"/>
  <c r="K32" i="12"/>
  <c r="L32" i="12"/>
  <c r="N32" i="12"/>
  <c r="O32" i="12"/>
  <c r="P32" i="12"/>
  <c r="R32" i="12"/>
  <c r="U32" i="12"/>
  <c r="J33" i="12"/>
  <c r="K33" i="12"/>
  <c r="L33" i="12"/>
  <c r="N33" i="12"/>
  <c r="O33" i="12"/>
  <c r="P33" i="12"/>
  <c r="R33" i="12"/>
  <c r="U33" i="12"/>
  <c r="J34" i="12"/>
  <c r="K34" i="12"/>
  <c r="L34" i="12"/>
  <c r="N34" i="12"/>
  <c r="O34" i="12"/>
  <c r="P34" i="12"/>
  <c r="R34" i="12"/>
  <c r="U34" i="12"/>
  <c r="J35" i="12"/>
  <c r="K35" i="12"/>
  <c r="L35" i="12"/>
  <c r="N35" i="12"/>
  <c r="O35" i="12"/>
  <c r="P35" i="12"/>
  <c r="R35" i="12"/>
  <c r="U35" i="12"/>
  <c r="J36" i="12"/>
  <c r="K36" i="12"/>
  <c r="L36" i="12"/>
  <c r="N36" i="12"/>
  <c r="O36" i="12"/>
  <c r="P36" i="12"/>
  <c r="R36" i="12"/>
  <c r="U36" i="12"/>
  <c r="J37" i="12"/>
  <c r="K37" i="12"/>
  <c r="L37" i="12"/>
  <c r="N37" i="12"/>
  <c r="O37" i="12"/>
  <c r="P37" i="12"/>
  <c r="R37" i="12"/>
  <c r="U37" i="12"/>
  <c r="J38" i="12"/>
  <c r="K38" i="12"/>
  <c r="L38" i="12"/>
  <c r="N38" i="12"/>
  <c r="O38" i="12"/>
  <c r="P38" i="12"/>
  <c r="R38" i="12"/>
  <c r="U38" i="12"/>
  <c r="J39" i="12"/>
  <c r="K39" i="12"/>
  <c r="L39" i="12"/>
  <c r="N39" i="12"/>
  <c r="O39" i="12"/>
  <c r="P39" i="12"/>
  <c r="R39" i="12"/>
  <c r="U39" i="12"/>
  <c r="J40" i="12"/>
  <c r="K40" i="12"/>
  <c r="L40" i="12"/>
  <c r="N40" i="12"/>
  <c r="O40" i="12"/>
  <c r="P40" i="12"/>
  <c r="R40" i="12"/>
  <c r="U40" i="12"/>
  <c r="J41" i="12"/>
  <c r="K41" i="12"/>
  <c r="L41" i="12"/>
  <c r="N41" i="12"/>
  <c r="O41" i="12"/>
  <c r="P41" i="12"/>
  <c r="R41" i="12"/>
  <c r="U41" i="12"/>
  <c r="J42" i="12"/>
  <c r="K42" i="12"/>
  <c r="L42" i="12"/>
  <c r="N42" i="12"/>
  <c r="O42" i="12"/>
  <c r="P42" i="12"/>
  <c r="R42" i="12"/>
  <c r="U42" i="12"/>
  <c r="J43" i="12"/>
  <c r="K43" i="12"/>
  <c r="L43" i="12"/>
  <c r="N43" i="12"/>
  <c r="O43" i="12"/>
  <c r="P43" i="12"/>
  <c r="R43" i="12"/>
  <c r="U43" i="12"/>
  <c r="J44" i="12"/>
  <c r="K44" i="12"/>
  <c r="L44" i="12"/>
  <c r="N44" i="12"/>
  <c r="O44" i="12"/>
  <c r="P44" i="12"/>
  <c r="R44" i="12"/>
  <c r="U44" i="12"/>
  <c r="J45" i="12"/>
  <c r="K45" i="12"/>
  <c r="L45" i="12"/>
  <c r="N45" i="12"/>
  <c r="O45" i="12"/>
  <c r="P45" i="12"/>
  <c r="R45" i="12"/>
  <c r="U45" i="12"/>
  <c r="J46" i="12"/>
  <c r="K46" i="12"/>
  <c r="L46" i="12"/>
  <c r="N46" i="12"/>
  <c r="O46" i="12"/>
  <c r="P46" i="12"/>
  <c r="R46" i="12"/>
  <c r="U46" i="12"/>
  <c r="J47" i="12"/>
  <c r="K47" i="12"/>
  <c r="L47" i="12"/>
  <c r="N47" i="12"/>
  <c r="O47" i="12"/>
  <c r="P47" i="12"/>
  <c r="R47" i="12"/>
  <c r="U47" i="12"/>
  <c r="J48" i="12"/>
  <c r="K48" i="12"/>
  <c r="L48" i="12"/>
  <c r="N48" i="12"/>
  <c r="O48" i="12"/>
  <c r="P48" i="12"/>
  <c r="R48" i="12"/>
  <c r="U48" i="12"/>
  <c r="J49" i="12"/>
  <c r="K49" i="12"/>
  <c r="L49" i="12"/>
  <c r="N49" i="12"/>
  <c r="O49" i="12"/>
  <c r="P49" i="12"/>
  <c r="R49" i="12"/>
  <c r="U49" i="12"/>
  <c r="J50" i="12"/>
  <c r="K50" i="12"/>
  <c r="L50" i="12"/>
  <c r="N50" i="12"/>
  <c r="O50" i="12"/>
  <c r="P50" i="12"/>
  <c r="R50" i="12"/>
  <c r="U50" i="12"/>
  <c r="J51" i="12"/>
  <c r="K51" i="12"/>
  <c r="L51" i="12"/>
  <c r="N51" i="12"/>
  <c r="O51" i="12"/>
  <c r="P51" i="12"/>
  <c r="R51" i="12"/>
  <c r="U51" i="12"/>
  <c r="C52" i="12"/>
  <c r="C58" i="12"/>
  <c r="D58" i="12"/>
  <c r="C59" i="12"/>
  <c r="D59" i="12"/>
  <c r="C60" i="12"/>
  <c r="D60" i="12"/>
  <c r="C61" i="12"/>
  <c r="D61" i="12"/>
  <c r="C62" i="12"/>
  <c r="D62" i="12"/>
  <c r="C63" i="12"/>
  <c r="D63" i="12"/>
  <c r="C64" i="12"/>
  <c r="D64" i="12"/>
  <c r="C65" i="12"/>
  <c r="D65" i="12"/>
  <c r="C66" i="12"/>
  <c r="D66" i="12"/>
  <c r="C67" i="12"/>
  <c r="D67" i="12"/>
  <c r="C68" i="12"/>
  <c r="D68" i="12"/>
  <c r="C69" i="12"/>
  <c r="D69" i="12"/>
  <c r="C70" i="12"/>
  <c r="D70" i="12"/>
  <c r="C71" i="12"/>
  <c r="D71" i="12"/>
  <c r="C72" i="12"/>
  <c r="D72" i="12"/>
  <c r="C73" i="12"/>
  <c r="D73" i="12"/>
  <c r="C74" i="12"/>
  <c r="D74" i="12"/>
  <c r="C75" i="12"/>
  <c r="D75" i="12"/>
  <c r="C76" i="12"/>
  <c r="D76" i="12"/>
  <c r="C77" i="12"/>
  <c r="D77" i="12"/>
  <c r="C78" i="12"/>
  <c r="D78" i="12"/>
  <c r="C79" i="12"/>
  <c r="D79" i="12"/>
  <c r="C80" i="12"/>
  <c r="D80" i="12"/>
  <c r="C81" i="12"/>
  <c r="D81" i="12"/>
  <c r="C82" i="12"/>
  <c r="D82" i="12"/>
  <c r="C83" i="12"/>
  <c r="D83" i="12"/>
  <c r="C84" i="12"/>
  <c r="D84" i="12"/>
  <c r="C85" i="12"/>
  <c r="D85" i="12"/>
  <c r="C86" i="12"/>
  <c r="D86" i="12"/>
  <c r="J6" i="13"/>
  <c r="K6" i="13"/>
  <c r="L6" i="13"/>
  <c r="N6" i="13"/>
  <c r="O6" i="13"/>
  <c r="P6" i="13"/>
  <c r="R6" i="13"/>
  <c r="U6" i="13"/>
  <c r="J7" i="13"/>
  <c r="K7" i="13"/>
  <c r="L7" i="13"/>
  <c r="N7" i="13"/>
  <c r="O7" i="13"/>
  <c r="P7" i="13"/>
  <c r="R7" i="13"/>
  <c r="U7" i="13"/>
  <c r="J8" i="13"/>
  <c r="K8" i="13"/>
  <c r="L8" i="13"/>
  <c r="N8" i="13"/>
  <c r="O8" i="13"/>
  <c r="P8" i="13"/>
  <c r="R8" i="13"/>
  <c r="U8" i="13"/>
  <c r="J9" i="13"/>
  <c r="K9" i="13"/>
  <c r="L9" i="13"/>
  <c r="N9" i="13"/>
  <c r="O9" i="13"/>
  <c r="P9" i="13"/>
  <c r="R9" i="13"/>
  <c r="U9" i="13"/>
  <c r="J10" i="13"/>
  <c r="K10" i="13"/>
  <c r="L10" i="13"/>
  <c r="N10" i="13"/>
  <c r="O10" i="13"/>
  <c r="P10" i="13"/>
  <c r="R10" i="13"/>
  <c r="U10" i="13"/>
  <c r="J11" i="13"/>
  <c r="K11" i="13"/>
  <c r="L11" i="13"/>
  <c r="N11" i="13"/>
  <c r="O11" i="13"/>
  <c r="P11" i="13"/>
  <c r="R11" i="13"/>
  <c r="U11" i="13"/>
  <c r="J12" i="13"/>
  <c r="K12" i="13"/>
  <c r="L12" i="13"/>
  <c r="N12" i="13"/>
  <c r="O12" i="13"/>
  <c r="P12" i="13"/>
  <c r="R12" i="13"/>
  <c r="U12" i="13"/>
  <c r="J13" i="13"/>
  <c r="K13" i="13"/>
  <c r="L13" i="13"/>
  <c r="N13" i="13"/>
  <c r="O13" i="13"/>
  <c r="P13" i="13"/>
  <c r="R13" i="13"/>
  <c r="U13" i="13"/>
  <c r="J14" i="13"/>
  <c r="K14" i="13"/>
  <c r="L14" i="13"/>
  <c r="N14" i="13"/>
  <c r="O14" i="13"/>
  <c r="P14" i="13"/>
  <c r="R14" i="13"/>
  <c r="U14" i="13"/>
  <c r="J15" i="13"/>
  <c r="K15" i="13"/>
  <c r="L15" i="13"/>
  <c r="N15" i="13"/>
  <c r="O15" i="13"/>
  <c r="P15" i="13"/>
  <c r="R15" i="13"/>
  <c r="U15" i="13"/>
  <c r="J16" i="13"/>
  <c r="K16" i="13"/>
  <c r="L16" i="13"/>
  <c r="N16" i="13"/>
  <c r="O16" i="13"/>
  <c r="P16" i="13"/>
  <c r="U16" i="13"/>
  <c r="J17" i="13"/>
  <c r="K17" i="13"/>
  <c r="L17" i="13"/>
  <c r="N17" i="13"/>
  <c r="O17" i="13"/>
  <c r="P17" i="13"/>
  <c r="R17" i="13"/>
  <c r="U17" i="13"/>
  <c r="J18" i="13"/>
  <c r="K18" i="13"/>
  <c r="L18" i="13"/>
  <c r="N18" i="13"/>
  <c r="O18" i="13"/>
  <c r="P18" i="13"/>
  <c r="R18" i="13"/>
  <c r="U18" i="13"/>
  <c r="J19" i="13"/>
  <c r="K19" i="13"/>
  <c r="L19" i="13"/>
  <c r="N19" i="13"/>
  <c r="O19" i="13"/>
  <c r="P19" i="13"/>
  <c r="R19" i="13"/>
  <c r="U19" i="13"/>
  <c r="J20" i="13"/>
  <c r="K20" i="13"/>
  <c r="L20" i="13"/>
  <c r="N20" i="13"/>
  <c r="O20" i="13"/>
  <c r="P20" i="13"/>
  <c r="R20" i="13"/>
  <c r="U20" i="13"/>
  <c r="J21" i="13"/>
  <c r="K21" i="13"/>
  <c r="L21" i="13"/>
  <c r="N21" i="13"/>
  <c r="O21" i="13"/>
  <c r="P21" i="13"/>
  <c r="R21" i="13"/>
  <c r="U21" i="13"/>
  <c r="J22" i="13"/>
  <c r="K22" i="13"/>
  <c r="L22" i="13"/>
  <c r="N22" i="13"/>
  <c r="O22" i="13"/>
  <c r="P22" i="13"/>
  <c r="R22" i="13"/>
  <c r="U22" i="13"/>
  <c r="J23" i="13"/>
  <c r="K23" i="13"/>
  <c r="L23" i="13"/>
  <c r="N23" i="13"/>
  <c r="O23" i="13"/>
  <c r="P23" i="13"/>
  <c r="R23" i="13"/>
  <c r="U23" i="13"/>
  <c r="J24" i="13"/>
  <c r="K24" i="13"/>
  <c r="L24" i="13"/>
  <c r="N24" i="13"/>
  <c r="O24" i="13"/>
  <c r="P24" i="13"/>
  <c r="R24" i="13"/>
  <c r="U24" i="13"/>
  <c r="J25" i="13"/>
  <c r="K25" i="13"/>
  <c r="L25" i="13"/>
  <c r="N25" i="13"/>
  <c r="O25" i="13"/>
  <c r="P25" i="13"/>
  <c r="R25" i="13"/>
  <c r="U25" i="13"/>
  <c r="J26" i="13"/>
  <c r="K26" i="13"/>
  <c r="L26" i="13"/>
  <c r="N26" i="13"/>
  <c r="O26" i="13"/>
  <c r="P26" i="13"/>
  <c r="R26" i="13"/>
  <c r="U26" i="13"/>
  <c r="J27" i="13"/>
  <c r="K27" i="13"/>
  <c r="L27" i="13"/>
  <c r="N27" i="13"/>
  <c r="O27" i="13"/>
  <c r="P27" i="13"/>
  <c r="R27" i="13"/>
  <c r="U27" i="13"/>
  <c r="J28" i="13"/>
  <c r="K28" i="13"/>
  <c r="L28" i="13"/>
  <c r="N28" i="13"/>
  <c r="O28" i="13"/>
  <c r="P28" i="13"/>
  <c r="R28" i="13"/>
  <c r="U28" i="13"/>
  <c r="J29" i="13"/>
  <c r="K29" i="13"/>
  <c r="L29" i="13"/>
  <c r="N29" i="13"/>
  <c r="O29" i="13"/>
  <c r="P29" i="13"/>
  <c r="R29" i="13"/>
  <c r="U29" i="13"/>
  <c r="J30" i="13"/>
  <c r="K30" i="13"/>
  <c r="L30" i="13"/>
  <c r="N30" i="13"/>
  <c r="O30" i="13"/>
  <c r="P30" i="13"/>
  <c r="R30" i="13"/>
  <c r="U30" i="13"/>
  <c r="J31" i="13"/>
  <c r="K31" i="13"/>
  <c r="L31" i="13"/>
  <c r="N31" i="13"/>
  <c r="O31" i="13"/>
  <c r="P31" i="13"/>
  <c r="R31" i="13"/>
  <c r="U31" i="13"/>
  <c r="J32" i="13"/>
  <c r="K32" i="13"/>
  <c r="L32" i="13"/>
  <c r="N32" i="13"/>
  <c r="O32" i="13"/>
  <c r="P32" i="13"/>
  <c r="R32" i="13"/>
  <c r="U32" i="13"/>
  <c r="J33" i="13"/>
  <c r="K33" i="13"/>
  <c r="L33" i="13"/>
  <c r="N33" i="13"/>
  <c r="O33" i="13"/>
  <c r="P33" i="13"/>
  <c r="R33" i="13"/>
  <c r="U33" i="13"/>
  <c r="J34" i="13"/>
  <c r="K34" i="13"/>
  <c r="L34" i="13"/>
  <c r="N34" i="13"/>
  <c r="O34" i="13"/>
  <c r="P34" i="13"/>
  <c r="R34" i="13"/>
  <c r="U34" i="13"/>
  <c r="J35" i="13"/>
  <c r="K35" i="13"/>
  <c r="L35" i="13"/>
  <c r="N35" i="13"/>
  <c r="O35" i="13"/>
  <c r="P35" i="13"/>
  <c r="R35" i="13"/>
  <c r="U35" i="13"/>
  <c r="J36" i="13"/>
  <c r="K36" i="13"/>
  <c r="L36" i="13"/>
  <c r="N36" i="13"/>
  <c r="O36" i="13"/>
  <c r="P36" i="13"/>
  <c r="R36" i="13"/>
  <c r="U36" i="13"/>
  <c r="J37" i="13"/>
  <c r="K37" i="13"/>
  <c r="L37" i="13"/>
  <c r="N37" i="13"/>
  <c r="O37" i="13"/>
  <c r="P37" i="13"/>
  <c r="R37" i="13"/>
  <c r="U37" i="13"/>
  <c r="J38" i="13"/>
  <c r="K38" i="13"/>
  <c r="L38" i="13"/>
  <c r="N38" i="13"/>
  <c r="O38" i="13"/>
  <c r="P38" i="13"/>
  <c r="R38" i="13"/>
  <c r="U38" i="13"/>
  <c r="J39" i="13"/>
  <c r="K39" i="13"/>
  <c r="L39" i="13"/>
  <c r="N39" i="13"/>
  <c r="O39" i="13"/>
  <c r="P39" i="13"/>
  <c r="R39" i="13"/>
  <c r="U39" i="13"/>
  <c r="J40" i="13"/>
  <c r="K40" i="13"/>
  <c r="L40" i="13"/>
  <c r="N40" i="13"/>
  <c r="O40" i="13"/>
  <c r="P40" i="13"/>
  <c r="R40" i="13"/>
  <c r="U40" i="13"/>
  <c r="J41" i="13"/>
  <c r="K41" i="13"/>
  <c r="L41" i="13"/>
  <c r="N41" i="13"/>
  <c r="O41" i="13"/>
  <c r="P41" i="13"/>
  <c r="R41" i="13"/>
  <c r="U41" i="13"/>
  <c r="J42" i="13"/>
  <c r="K42" i="13"/>
  <c r="L42" i="13"/>
  <c r="N42" i="13"/>
  <c r="O42" i="13"/>
  <c r="P42" i="13"/>
  <c r="R42" i="13"/>
  <c r="U42" i="13"/>
  <c r="J43" i="13"/>
  <c r="K43" i="13"/>
  <c r="L43" i="13"/>
  <c r="N43" i="13"/>
  <c r="O43" i="13"/>
  <c r="P43" i="13"/>
  <c r="R43" i="13"/>
  <c r="U43" i="13"/>
  <c r="J44" i="13"/>
  <c r="K44" i="13"/>
  <c r="L44" i="13"/>
  <c r="N44" i="13"/>
  <c r="O44" i="13"/>
  <c r="P44" i="13"/>
  <c r="R44" i="13"/>
  <c r="U44" i="13"/>
  <c r="J45" i="13"/>
  <c r="K45" i="13"/>
  <c r="L45" i="13"/>
  <c r="N45" i="13"/>
  <c r="O45" i="13"/>
  <c r="P45" i="13"/>
  <c r="R45" i="13"/>
  <c r="U45" i="13"/>
  <c r="J46" i="13"/>
  <c r="K46" i="13"/>
  <c r="L46" i="13"/>
  <c r="N46" i="13"/>
  <c r="O46" i="13"/>
  <c r="P46" i="13"/>
  <c r="R46" i="13"/>
  <c r="U46" i="13"/>
  <c r="J47" i="13"/>
  <c r="K47" i="13"/>
  <c r="L47" i="13"/>
  <c r="N47" i="13"/>
  <c r="O47" i="13"/>
  <c r="P47" i="13"/>
  <c r="R47" i="13"/>
  <c r="U47" i="13"/>
  <c r="J48" i="13"/>
  <c r="K48" i="13"/>
  <c r="L48" i="13"/>
  <c r="N48" i="13"/>
  <c r="O48" i="13"/>
  <c r="P48" i="13"/>
  <c r="R48" i="13"/>
  <c r="U48" i="13"/>
  <c r="J49" i="13"/>
  <c r="K49" i="13"/>
  <c r="L49" i="13"/>
  <c r="N49" i="13"/>
  <c r="O49" i="13"/>
  <c r="P49" i="13"/>
  <c r="R49" i="13"/>
  <c r="U49" i="13"/>
  <c r="J50" i="13"/>
  <c r="K50" i="13"/>
  <c r="L50" i="13"/>
  <c r="N50" i="13"/>
  <c r="O50" i="13"/>
  <c r="P50" i="13"/>
  <c r="R50" i="13"/>
  <c r="U50" i="13"/>
  <c r="J51" i="13"/>
  <c r="K51" i="13"/>
  <c r="L51" i="13"/>
  <c r="N51" i="13"/>
  <c r="O51" i="13"/>
  <c r="P51" i="13"/>
  <c r="R51" i="13"/>
  <c r="U51" i="13"/>
  <c r="C52" i="13"/>
  <c r="C58" i="13"/>
  <c r="D58" i="13"/>
  <c r="C59" i="13"/>
  <c r="D59" i="13"/>
  <c r="C60" i="13"/>
  <c r="D60" i="13"/>
  <c r="C61" i="13"/>
  <c r="D61" i="13"/>
  <c r="C62" i="13"/>
  <c r="D62" i="13"/>
  <c r="C63" i="13"/>
  <c r="D63" i="13"/>
  <c r="C64" i="13"/>
  <c r="D64" i="13"/>
  <c r="C65" i="13"/>
  <c r="D65" i="13"/>
  <c r="C66" i="13"/>
  <c r="D66" i="13"/>
  <c r="C67" i="13"/>
  <c r="D67" i="13"/>
  <c r="C68" i="13"/>
  <c r="D68" i="13"/>
  <c r="C69" i="13"/>
  <c r="D69" i="13"/>
  <c r="C70" i="13"/>
  <c r="D70" i="13"/>
  <c r="C71" i="13"/>
  <c r="D71" i="13"/>
  <c r="C72" i="13"/>
  <c r="D72" i="13"/>
  <c r="C73" i="13"/>
  <c r="D73" i="13"/>
  <c r="C74" i="13"/>
  <c r="D74" i="13"/>
  <c r="C75" i="13"/>
  <c r="D75" i="13"/>
  <c r="C76" i="13"/>
  <c r="D76" i="13"/>
  <c r="C77" i="13"/>
  <c r="D77" i="13"/>
  <c r="C78" i="13"/>
  <c r="D78" i="13"/>
  <c r="C79" i="13"/>
  <c r="D79" i="13"/>
  <c r="C80" i="13"/>
  <c r="D80" i="13"/>
  <c r="C81" i="13"/>
  <c r="D81" i="13"/>
  <c r="C82" i="13"/>
  <c r="D82" i="13"/>
  <c r="C83" i="13"/>
  <c r="D83" i="13"/>
  <c r="C84" i="13"/>
  <c r="D84" i="13"/>
  <c r="C85" i="13"/>
  <c r="D85" i="13"/>
  <c r="C86" i="13"/>
  <c r="D86" i="13"/>
  <c r="J6" i="14"/>
  <c r="K6" i="14"/>
  <c r="L6" i="14"/>
  <c r="N6" i="14"/>
  <c r="O6" i="14"/>
  <c r="P6" i="14"/>
  <c r="R6" i="14"/>
  <c r="U6" i="14"/>
  <c r="D72" i="14" s="1"/>
  <c r="J7" i="14"/>
  <c r="K7" i="14"/>
  <c r="L7" i="14"/>
  <c r="N7" i="14"/>
  <c r="O7" i="14"/>
  <c r="P7" i="14"/>
  <c r="R7" i="14"/>
  <c r="U7" i="14"/>
  <c r="J8" i="14"/>
  <c r="K8" i="14"/>
  <c r="L8" i="14"/>
  <c r="N8" i="14"/>
  <c r="O8" i="14"/>
  <c r="P8" i="14"/>
  <c r="R8" i="14"/>
  <c r="U8" i="14"/>
  <c r="J9" i="14"/>
  <c r="K9" i="14"/>
  <c r="L9" i="14"/>
  <c r="N9" i="14"/>
  <c r="O9" i="14"/>
  <c r="P9" i="14"/>
  <c r="R9" i="14"/>
  <c r="U9" i="14"/>
  <c r="J10" i="14"/>
  <c r="K10" i="14"/>
  <c r="L10" i="14"/>
  <c r="N10" i="14"/>
  <c r="O10" i="14"/>
  <c r="P10" i="14"/>
  <c r="R10" i="14"/>
  <c r="U10" i="14"/>
  <c r="J11" i="14"/>
  <c r="K11" i="14"/>
  <c r="L11" i="14"/>
  <c r="N11" i="14"/>
  <c r="O11" i="14"/>
  <c r="P11" i="14"/>
  <c r="R11" i="14"/>
  <c r="U11" i="14"/>
  <c r="J12" i="14"/>
  <c r="K12" i="14"/>
  <c r="L12" i="14"/>
  <c r="N12" i="14"/>
  <c r="O12" i="14"/>
  <c r="P12" i="14"/>
  <c r="R12" i="14"/>
  <c r="U12" i="14"/>
  <c r="J13" i="14"/>
  <c r="K13" i="14"/>
  <c r="L13" i="14"/>
  <c r="N13" i="14"/>
  <c r="O13" i="14"/>
  <c r="P13" i="14"/>
  <c r="R13" i="14"/>
  <c r="U13" i="14"/>
  <c r="J14" i="14"/>
  <c r="K14" i="14"/>
  <c r="L14" i="14"/>
  <c r="N14" i="14"/>
  <c r="O14" i="14"/>
  <c r="P14" i="14"/>
  <c r="R14" i="14"/>
  <c r="U14" i="14"/>
  <c r="J15" i="14"/>
  <c r="K15" i="14"/>
  <c r="L15" i="14"/>
  <c r="N15" i="14"/>
  <c r="O15" i="14"/>
  <c r="P15" i="14"/>
  <c r="R15" i="14"/>
  <c r="U15" i="14"/>
  <c r="J16" i="14"/>
  <c r="K16" i="14"/>
  <c r="L16" i="14"/>
  <c r="N16" i="14"/>
  <c r="O16" i="14"/>
  <c r="P16" i="14"/>
  <c r="U16" i="14"/>
  <c r="J17" i="14"/>
  <c r="K17" i="14"/>
  <c r="L17" i="14"/>
  <c r="N17" i="14"/>
  <c r="O17" i="14"/>
  <c r="P17" i="14"/>
  <c r="R17" i="14"/>
  <c r="U17" i="14"/>
  <c r="J18" i="14"/>
  <c r="K18" i="14"/>
  <c r="L18" i="14"/>
  <c r="N18" i="14"/>
  <c r="O18" i="14"/>
  <c r="P18" i="14"/>
  <c r="R18" i="14"/>
  <c r="U18" i="14"/>
  <c r="J19" i="14"/>
  <c r="K19" i="14"/>
  <c r="L19" i="14"/>
  <c r="N19" i="14"/>
  <c r="O19" i="14"/>
  <c r="P19" i="14"/>
  <c r="R19" i="14"/>
  <c r="U19" i="14"/>
  <c r="J20" i="14"/>
  <c r="K20" i="14"/>
  <c r="L20" i="14"/>
  <c r="N20" i="14"/>
  <c r="O20" i="14"/>
  <c r="P20" i="14"/>
  <c r="R20" i="14"/>
  <c r="U20" i="14"/>
  <c r="J21" i="14"/>
  <c r="K21" i="14"/>
  <c r="L21" i="14"/>
  <c r="N21" i="14"/>
  <c r="O21" i="14"/>
  <c r="P21" i="14"/>
  <c r="R21" i="14"/>
  <c r="U21" i="14"/>
  <c r="J22" i="14"/>
  <c r="K22" i="14"/>
  <c r="L22" i="14"/>
  <c r="N22" i="14"/>
  <c r="O22" i="14"/>
  <c r="P22" i="14"/>
  <c r="R22" i="14"/>
  <c r="U22" i="14"/>
  <c r="J23" i="14"/>
  <c r="K23" i="14"/>
  <c r="L23" i="14"/>
  <c r="N23" i="14"/>
  <c r="O23" i="14"/>
  <c r="P23" i="14"/>
  <c r="R23" i="14"/>
  <c r="U23" i="14"/>
  <c r="J24" i="14"/>
  <c r="K24" i="14"/>
  <c r="L24" i="14"/>
  <c r="N24" i="14"/>
  <c r="O24" i="14"/>
  <c r="P24" i="14"/>
  <c r="R24" i="14"/>
  <c r="U24" i="14"/>
  <c r="J25" i="14"/>
  <c r="K25" i="14"/>
  <c r="L25" i="14"/>
  <c r="N25" i="14"/>
  <c r="O25" i="14"/>
  <c r="P25" i="14"/>
  <c r="R25" i="14"/>
  <c r="U25" i="14"/>
  <c r="J26" i="14"/>
  <c r="K26" i="14"/>
  <c r="L26" i="14"/>
  <c r="N26" i="14"/>
  <c r="O26" i="14"/>
  <c r="P26" i="14"/>
  <c r="R26" i="14"/>
  <c r="U26" i="14"/>
  <c r="J27" i="14"/>
  <c r="K27" i="14"/>
  <c r="L27" i="14"/>
  <c r="N27" i="14"/>
  <c r="O27" i="14"/>
  <c r="P27" i="14"/>
  <c r="R27" i="14"/>
  <c r="U27" i="14"/>
  <c r="J28" i="14"/>
  <c r="K28" i="14"/>
  <c r="L28" i="14"/>
  <c r="N28" i="14"/>
  <c r="O28" i="14"/>
  <c r="P28" i="14"/>
  <c r="R28" i="14"/>
  <c r="U28" i="14"/>
  <c r="J29" i="14"/>
  <c r="K29" i="14"/>
  <c r="L29" i="14"/>
  <c r="N29" i="14"/>
  <c r="O29" i="14"/>
  <c r="P29" i="14"/>
  <c r="R29" i="14"/>
  <c r="U29" i="14"/>
  <c r="J30" i="14"/>
  <c r="K30" i="14"/>
  <c r="L30" i="14"/>
  <c r="N30" i="14"/>
  <c r="O30" i="14"/>
  <c r="P30" i="14"/>
  <c r="R30" i="14"/>
  <c r="U30" i="14"/>
  <c r="J31" i="14"/>
  <c r="K31" i="14"/>
  <c r="L31" i="14"/>
  <c r="N31" i="14"/>
  <c r="O31" i="14"/>
  <c r="P31" i="14"/>
  <c r="R31" i="14"/>
  <c r="U31" i="14"/>
  <c r="J32" i="14"/>
  <c r="K32" i="14"/>
  <c r="L32" i="14"/>
  <c r="N32" i="14"/>
  <c r="O32" i="14"/>
  <c r="P32" i="14"/>
  <c r="R32" i="14"/>
  <c r="U32" i="14"/>
  <c r="J33" i="14"/>
  <c r="K33" i="14"/>
  <c r="L33" i="14"/>
  <c r="N33" i="14"/>
  <c r="O33" i="14"/>
  <c r="P33" i="14"/>
  <c r="R33" i="14"/>
  <c r="U33" i="14"/>
  <c r="J34" i="14"/>
  <c r="K34" i="14"/>
  <c r="L34" i="14"/>
  <c r="N34" i="14"/>
  <c r="O34" i="14"/>
  <c r="P34" i="14"/>
  <c r="R34" i="14"/>
  <c r="U34" i="14"/>
  <c r="J35" i="14"/>
  <c r="K35" i="14"/>
  <c r="L35" i="14"/>
  <c r="N35" i="14"/>
  <c r="O35" i="14"/>
  <c r="P35" i="14"/>
  <c r="R35" i="14"/>
  <c r="U35" i="14"/>
  <c r="J36" i="14"/>
  <c r="K36" i="14"/>
  <c r="L36" i="14"/>
  <c r="N36" i="14"/>
  <c r="O36" i="14"/>
  <c r="P36" i="14"/>
  <c r="R36" i="14"/>
  <c r="U36" i="14"/>
  <c r="J37" i="14"/>
  <c r="K37" i="14"/>
  <c r="L37" i="14"/>
  <c r="N37" i="14"/>
  <c r="O37" i="14"/>
  <c r="P37" i="14"/>
  <c r="R37" i="14"/>
  <c r="U37" i="14"/>
  <c r="J38" i="14"/>
  <c r="K38" i="14"/>
  <c r="L38" i="14"/>
  <c r="N38" i="14"/>
  <c r="O38" i="14"/>
  <c r="P38" i="14"/>
  <c r="R38" i="14"/>
  <c r="U38" i="14"/>
  <c r="J39" i="14"/>
  <c r="K39" i="14"/>
  <c r="L39" i="14"/>
  <c r="N39" i="14"/>
  <c r="O39" i="14"/>
  <c r="P39" i="14"/>
  <c r="R39" i="14"/>
  <c r="U39" i="14"/>
  <c r="J40" i="14"/>
  <c r="K40" i="14"/>
  <c r="L40" i="14"/>
  <c r="N40" i="14"/>
  <c r="O40" i="14"/>
  <c r="P40" i="14"/>
  <c r="R40" i="14"/>
  <c r="U40" i="14"/>
  <c r="J41" i="14"/>
  <c r="K41" i="14"/>
  <c r="L41" i="14"/>
  <c r="N41" i="14"/>
  <c r="O41" i="14"/>
  <c r="P41" i="14"/>
  <c r="R41" i="14"/>
  <c r="U41" i="14"/>
  <c r="J42" i="14"/>
  <c r="K42" i="14"/>
  <c r="L42" i="14"/>
  <c r="N42" i="14"/>
  <c r="O42" i="14"/>
  <c r="P42" i="14"/>
  <c r="R42" i="14"/>
  <c r="U42" i="14"/>
  <c r="J43" i="14"/>
  <c r="K43" i="14"/>
  <c r="L43" i="14"/>
  <c r="N43" i="14"/>
  <c r="O43" i="14"/>
  <c r="P43" i="14"/>
  <c r="R43" i="14"/>
  <c r="U43" i="14"/>
  <c r="J44" i="14"/>
  <c r="K44" i="14"/>
  <c r="L44" i="14"/>
  <c r="N44" i="14"/>
  <c r="O44" i="14"/>
  <c r="P44" i="14"/>
  <c r="R44" i="14"/>
  <c r="U44" i="14"/>
  <c r="J45" i="14"/>
  <c r="K45" i="14"/>
  <c r="L45" i="14"/>
  <c r="N45" i="14"/>
  <c r="O45" i="14"/>
  <c r="P45" i="14"/>
  <c r="R45" i="14"/>
  <c r="U45" i="14"/>
  <c r="J46" i="14"/>
  <c r="K46" i="14"/>
  <c r="L46" i="14"/>
  <c r="N46" i="14"/>
  <c r="O46" i="14"/>
  <c r="P46" i="14"/>
  <c r="R46" i="14"/>
  <c r="U46" i="14"/>
  <c r="J47" i="14"/>
  <c r="K47" i="14"/>
  <c r="L47" i="14"/>
  <c r="N47" i="14"/>
  <c r="O47" i="14"/>
  <c r="P47" i="14"/>
  <c r="R47" i="14"/>
  <c r="U47" i="14"/>
  <c r="J48" i="14"/>
  <c r="K48" i="14"/>
  <c r="L48" i="14"/>
  <c r="N48" i="14"/>
  <c r="O48" i="14"/>
  <c r="P48" i="14"/>
  <c r="R48" i="14"/>
  <c r="U48" i="14"/>
  <c r="J49" i="14"/>
  <c r="K49" i="14"/>
  <c r="L49" i="14"/>
  <c r="N49" i="14"/>
  <c r="O49" i="14"/>
  <c r="P49" i="14"/>
  <c r="R49" i="14"/>
  <c r="U49" i="14"/>
  <c r="J50" i="14"/>
  <c r="K50" i="14"/>
  <c r="L50" i="14"/>
  <c r="N50" i="14"/>
  <c r="O50" i="14"/>
  <c r="P50" i="14"/>
  <c r="R50" i="14"/>
  <c r="U50" i="14"/>
  <c r="J51" i="14"/>
  <c r="K51" i="14"/>
  <c r="L51" i="14"/>
  <c r="N51" i="14"/>
  <c r="O51" i="14"/>
  <c r="P51" i="14"/>
  <c r="R51" i="14"/>
  <c r="U51" i="14"/>
  <c r="C52" i="14"/>
  <c r="C58" i="14"/>
  <c r="D58" i="14"/>
  <c r="C59" i="14"/>
  <c r="D59" i="14"/>
  <c r="C60" i="14"/>
  <c r="D60" i="14"/>
  <c r="C61" i="14"/>
  <c r="D61" i="14"/>
  <c r="C62" i="14"/>
  <c r="D62" i="14"/>
  <c r="C63" i="14"/>
  <c r="D63" i="14"/>
  <c r="C64" i="14"/>
  <c r="D64" i="14"/>
  <c r="C65" i="14"/>
  <c r="D65" i="14"/>
  <c r="C66" i="14"/>
  <c r="D66" i="14"/>
  <c r="C67" i="14"/>
  <c r="D67" i="14"/>
  <c r="C68" i="14"/>
  <c r="D68" i="14"/>
  <c r="C69" i="14"/>
  <c r="D69" i="14"/>
  <c r="C70" i="14"/>
  <c r="D70" i="14"/>
  <c r="C71" i="14"/>
  <c r="D71" i="14"/>
  <c r="C72" i="14"/>
  <c r="C73" i="14"/>
  <c r="D73" i="14"/>
  <c r="C74" i="14"/>
  <c r="D74" i="14"/>
  <c r="C75" i="14"/>
  <c r="D75" i="14"/>
  <c r="C76" i="14"/>
  <c r="D76" i="14"/>
  <c r="C77" i="14"/>
  <c r="D77" i="14"/>
  <c r="C78" i="14"/>
  <c r="D78" i="14"/>
  <c r="C79" i="14"/>
  <c r="D79" i="14"/>
  <c r="C80" i="14"/>
  <c r="D80" i="14"/>
  <c r="C81" i="14"/>
  <c r="D81" i="14"/>
  <c r="C82" i="14"/>
  <c r="D82" i="14"/>
  <c r="C83" i="14"/>
  <c r="D83" i="14"/>
  <c r="C84" i="14"/>
  <c r="D84" i="14"/>
  <c r="C85" i="14"/>
  <c r="D85" i="14"/>
  <c r="C86" i="14"/>
  <c r="D86" i="14"/>
  <c r="J6" i="15"/>
  <c r="K6" i="15"/>
  <c r="L6" i="15"/>
  <c r="N6" i="15"/>
  <c r="O6" i="15"/>
  <c r="P6" i="15"/>
  <c r="R6" i="15"/>
  <c r="U6" i="15"/>
  <c r="J7" i="15"/>
  <c r="K7" i="15"/>
  <c r="L7" i="15"/>
  <c r="N7" i="15"/>
  <c r="O7" i="15"/>
  <c r="P7" i="15"/>
  <c r="R7" i="15"/>
  <c r="U7" i="15"/>
  <c r="J8" i="15"/>
  <c r="K8" i="15"/>
  <c r="L8" i="15"/>
  <c r="O8" i="15"/>
  <c r="P8" i="15"/>
  <c r="R8" i="15"/>
  <c r="U8" i="15"/>
  <c r="J9" i="15"/>
  <c r="K9" i="15"/>
  <c r="L9" i="15"/>
  <c r="N9" i="15"/>
  <c r="O9" i="15"/>
  <c r="P9" i="15"/>
  <c r="R9" i="15"/>
  <c r="U9" i="15"/>
  <c r="D70" i="15" s="1"/>
  <c r="J10" i="15"/>
  <c r="K10" i="15"/>
  <c r="L10" i="15"/>
  <c r="N10" i="15"/>
  <c r="O10" i="15"/>
  <c r="P10" i="15"/>
  <c r="R10" i="15"/>
  <c r="U10" i="15"/>
  <c r="J11" i="15"/>
  <c r="K11" i="15"/>
  <c r="L11" i="15"/>
  <c r="N11" i="15"/>
  <c r="O11" i="15"/>
  <c r="P11" i="15"/>
  <c r="R11" i="15"/>
  <c r="U11" i="15"/>
  <c r="J12" i="15"/>
  <c r="K12" i="15"/>
  <c r="L12" i="15"/>
  <c r="N12" i="15"/>
  <c r="O12" i="15"/>
  <c r="P12" i="15"/>
  <c r="R12" i="15"/>
  <c r="U12" i="15"/>
  <c r="J13" i="15"/>
  <c r="K13" i="15"/>
  <c r="L13" i="15"/>
  <c r="N13" i="15"/>
  <c r="O13" i="15"/>
  <c r="P13" i="15"/>
  <c r="R13" i="15"/>
  <c r="U13" i="15"/>
  <c r="D78" i="15" s="1"/>
  <c r="J14" i="15"/>
  <c r="K14" i="15"/>
  <c r="L14" i="15"/>
  <c r="N14" i="15"/>
  <c r="O14" i="15"/>
  <c r="P14" i="15"/>
  <c r="R14" i="15"/>
  <c r="U14" i="15"/>
  <c r="J15" i="15"/>
  <c r="K15" i="15"/>
  <c r="L15" i="15"/>
  <c r="N15" i="15"/>
  <c r="O15" i="15"/>
  <c r="P15" i="15"/>
  <c r="R15" i="15"/>
  <c r="U15" i="15"/>
  <c r="J16" i="15"/>
  <c r="K16" i="15"/>
  <c r="L16" i="15"/>
  <c r="N16" i="15"/>
  <c r="O16" i="15"/>
  <c r="P16" i="15"/>
  <c r="U16" i="15"/>
  <c r="J17" i="15"/>
  <c r="K17" i="15"/>
  <c r="L17" i="15"/>
  <c r="N17" i="15"/>
  <c r="O17" i="15"/>
  <c r="P17" i="15"/>
  <c r="R17" i="15"/>
  <c r="U17" i="15"/>
  <c r="J18" i="15"/>
  <c r="K18" i="15"/>
  <c r="L18" i="15"/>
  <c r="N18" i="15"/>
  <c r="O18" i="15"/>
  <c r="P18" i="15"/>
  <c r="R18" i="15"/>
  <c r="U18" i="15"/>
  <c r="J19" i="15"/>
  <c r="K19" i="15"/>
  <c r="L19" i="15"/>
  <c r="N19" i="15"/>
  <c r="O19" i="15"/>
  <c r="P19" i="15"/>
  <c r="R19" i="15"/>
  <c r="U19" i="15"/>
  <c r="J20" i="15"/>
  <c r="K20" i="15"/>
  <c r="L20" i="15"/>
  <c r="N20" i="15"/>
  <c r="O20" i="15"/>
  <c r="P20" i="15"/>
  <c r="R20" i="15"/>
  <c r="U20" i="15"/>
  <c r="J21" i="15"/>
  <c r="K21" i="15"/>
  <c r="L21" i="15"/>
  <c r="N21" i="15"/>
  <c r="O21" i="15"/>
  <c r="P21" i="15"/>
  <c r="R21" i="15"/>
  <c r="U21" i="15"/>
  <c r="J22" i="15"/>
  <c r="K22" i="15"/>
  <c r="L22" i="15"/>
  <c r="N22" i="15"/>
  <c r="O22" i="15"/>
  <c r="P22" i="15"/>
  <c r="R22" i="15"/>
  <c r="U22" i="15"/>
  <c r="J23" i="15"/>
  <c r="K23" i="15"/>
  <c r="L23" i="15"/>
  <c r="N23" i="15"/>
  <c r="O23" i="15"/>
  <c r="P23" i="15"/>
  <c r="R23" i="15"/>
  <c r="U23" i="15"/>
  <c r="J24" i="15"/>
  <c r="K24" i="15"/>
  <c r="L24" i="15"/>
  <c r="N24" i="15"/>
  <c r="O24" i="15"/>
  <c r="P24" i="15"/>
  <c r="R24" i="15"/>
  <c r="U24" i="15"/>
  <c r="J25" i="15"/>
  <c r="K25" i="15"/>
  <c r="L25" i="15"/>
  <c r="N25" i="15"/>
  <c r="O25" i="15"/>
  <c r="P25" i="15"/>
  <c r="R25" i="15"/>
  <c r="U25" i="15"/>
  <c r="J26" i="15"/>
  <c r="K26" i="15"/>
  <c r="L26" i="15"/>
  <c r="N26" i="15"/>
  <c r="O26" i="15"/>
  <c r="P26" i="15"/>
  <c r="R26" i="15"/>
  <c r="U26" i="15"/>
  <c r="J27" i="15"/>
  <c r="K27" i="15"/>
  <c r="L27" i="15"/>
  <c r="N27" i="15"/>
  <c r="O27" i="15"/>
  <c r="P27" i="15"/>
  <c r="R27" i="15"/>
  <c r="U27" i="15"/>
  <c r="J28" i="15"/>
  <c r="K28" i="15"/>
  <c r="L28" i="15"/>
  <c r="N28" i="15"/>
  <c r="O28" i="15"/>
  <c r="P28" i="15"/>
  <c r="R28" i="15"/>
  <c r="U28" i="15"/>
  <c r="J29" i="15"/>
  <c r="K29" i="15"/>
  <c r="L29" i="15"/>
  <c r="N29" i="15"/>
  <c r="O29" i="15"/>
  <c r="P29" i="15"/>
  <c r="R29" i="15"/>
  <c r="U29" i="15"/>
  <c r="J30" i="15"/>
  <c r="K30" i="15"/>
  <c r="L30" i="15"/>
  <c r="N30" i="15"/>
  <c r="O30" i="15"/>
  <c r="P30" i="15"/>
  <c r="R30" i="15"/>
  <c r="U30" i="15"/>
  <c r="J31" i="15"/>
  <c r="K31" i="15"/>
  <c r="L31" i="15"/>
  <c r="N31" i="15"/>
  <c r="O31" i="15"/>
  <c r="P31" i="15"/>
  <c r="R31" i="15"/>
  <c r="U31" i="15"/>
  <c r="J32" i="15"/>
  <c r="K32" i="15"/>
  <c r="L32" i="15"/>
  <c r="N32" i="15"/>
  <c r="O32" i="15"/>
  <c r="P32" i="15"/>
  <c r="R32" i="15"/>
  <c r="U32" i="15"/>
  <c r="J33" i="15"/>
  <c r="K33" i="15"/>
  <c r="L33" i="15"/>
  <c r="N33" i="15"/>
  <c r="O33" i="15"/>
  <c r="P33" i="15"/>
  <c r="R33" i="15"/>
  <c r="U33" i="15"/>
  <c r="J34" i="15"/>
  <c r="K34" i="15"/>
  <c r="L34" i="15"/>
  <c r="N34" i="15"/>
  <c r="O34" i="15"/>
  <c r="P34" i="15"/>
  <c r="R34" i="15"/>
  <c r="U34" i="15"/>
  <c r="J35" i="15"/>
  <c r="K35" i="15"/>
  <c r="L35" i="15"/>
  <c r="N35" i="15"/>
  <c r="O35" i="15"/>
  <c r="P35" i="15"/>
  <c r="R35" i="15"/>
  <c r="U35" i="15"/>
  <c r="J36" i="15"/>
  <c r="K36" i="15"/>
  <c r="L36" i="15"/>
  <c r="N36" i="15"/>
  <c r="O36" i="15"/>
  <c r="P36" i="15"/>
  <c r="R36" i="15"/>
  <c r="U36" i="15"/>
  <c r="J37" i="15"/>
  <c r="K37" i="15"/>
  <c r="L37" i="15"/>
  <c r="N37" i="15"/>
  <c r="O37" i="15"/>
  <c r="P37" i="15"/>
  <c r="R37" i="15"/>
  <c r="U37" i="15"/>
  <c r="J38" i="15"/>
  <c r="K38" i="15"/>
  <c r="L38" i="15"/>
  <c r="N38" i="15"/>
  <c r="O38" i="15"/>
  <c r="P38" i="15"/>
  <c r="R38" i="15"/>
  <c r="U38" i="15"/>
  <c r="J39" i="15"/>
  <c r="K39" i="15"/>
  <c r="L39" i="15"/>
  <c r="N39" i="15"/>
  <c r="O39" i="15"/>
  <c r="P39" i="15"/>
  <c r="R39" i="15"/>
  <c r="U39" i="15"/>
  <c r="J40" i="15"/>
  <c r="K40" i="15"/>
  <c r="L40" i="15"/>
  <c r="N40" i="15"/>
  <c r="O40" i="15"/>
  <c r="P40" i="15"/>
  <c r="R40" i="15"/>
  <c r="U40" i="15"/>
  <c r="J41" i="15"/>
  <c r="K41" i="15"/>
  <c r="L41" i="15"/>
  <c r="N41" i="15"/>
  <c r="O41" i="15"/>
  <c r="P41" i="15"/>
  <c r="R41" i="15"/>
  <c r="U41" i="15"/>
  <c r="J42" i="15"/>
  <c r="K42" i="15"/>
  <c r="L42" i="15"/>
  <c r="N42" i="15"/>
  <c r="O42" i="15"/>
  <c r="P42" i="15"/>
  <c r="R42" i="15"/>
  <c r="U42" i="15"/>
  <c r="J43" i="15"/>
  <c r="K43" i="15"/>
  <c r="L43" i="15"/>
  <c r="N43" i="15"/>
  <c r="O43" i="15"/>
  <c r="P43" i="15"/>
  <c r="R43" i="15"/>
  <c r="U43" i="15"/>
  <c r="J44" i="15"/>
  <c r="K44" i="15"/>
  <c r="L44" i="15"/>
  <c r="N44" i="15"/>
  <c r="O44" i="15"/>
  <c r="P44" i="15"/>
  <c r="R44" i="15"/>
  <c r="U44" i="15"/>
  <c r="C45" i="15"/>
  <c r="C51" i="15"/>
  <c r="D51" i="15"/>
  <c r="C52" i="15"/>
  <c r="D52" i="15"/>
  <c r="C53" i="15"/>
  <c r="D53" i="15"/>
  <c r="C54" i="15"/>
  <c r="D54" i="15"/>
  <c r="C55" i="15"/>
  <c r="C56" i="15"/>
  <c r="C57" i="15"/>
  <c r="D57" i="15"/>
  <c r="C58" i="15"/>
  <c r="D58" i="15"/>
  <c r="C59" i="15"/>
  <c r="D59" i="15"/>
  <c r="C60" i="15"/>
  <c r="D60" i="15"/>
  <c r="C61" i="15"/>
  <c r="D61" i="15"/>
  <c r="C62" i="15"/>
  <c r="C63" i="15"/>
  <c r="D63" i="15"/>
  <c r="C64" i="15"/>
  <c r="D64" i="15"/>
  <c r="C65" i="15"/>
  <c r="D65" i="15"/>
  <c r="C66" i="15"/>
  <c r="D66" i="15"/>
  <c r="C67" i="15"/>
  <c r="D67" i="15"/>
  <c r="C68" i="15"/>
  <c r="D68" i="15"/>
  <c r="C69" i="15"/>
  <c r="C70" i="15"/>
  <c r="C71" i="15"/>
  <c r="D71" i="15"/>
  <c r="C72" i="15"/>
  <c r="D72" i="15"/>
  <c r="C73" i="15"/>
  <c r="D73" i="15"/>
  <c r="C74" i="15"/>
  <c r="D74" i="15"/>
  <c r="C75" i="15"/>
  <c r="C76" i="15"/>
  <c r="D76" i="15"/>
  <c r="C77" i="15"/>
  <c r="D77" i="15"/>
  <c r="C78" i="15"/>
  <c r="C79" i="15"/>
  <c r="D79" i="15"/>
  <c r="J6" i="16"/>
  <c r="K6" i="16"/>
  <c r="L6" i="16"/>
  <c r="N6" i="16"/>
  <c r="O6" i="16"/>
  <c r="P6" i="16"/>
  <c r="R6" i="16"/>
  <c r="U6" i="16"/>
  <c r="D60" i="16" s="1"/>
  <c r="J7" i="16"/>
  <c r="K7" i="16"/>
  <c r="L7" i="16"/>
  <c r="N7" i="16"/>
  <c r="O7" i="16"/>
  <c r="P7" i="16"/>
  <c r="R7" i="16"/>
  <c r="U7" i="16"/>
  <c r="J8" i="16"/>
  <c r="K8" i="16"/>
  <c r="L8" i="16"/>
  <c r="N8" i="16"/>
  <c r="O8" i="16"/>
  <c r="P8" i="16"/>
  <c r="R8" i="16"/>
  <c r="U8" i="16"/>
  <c r="J9" i="16"/>
  <c r="K9" i="16"/>
  <c r="L9" i="16"/>
  <c r="N9" i="16"/>
  <c r="O9" i="16"/>
  <c r="P9" i="16"/>
  <c r="R9" i="16"/>
  <c r="U9" i="16"/>
  <c r="J10" i="16"/>
  <c r="K10" i="16"/>
  <c r="L10" i="16"/>
  <c r="N10" i="16"/>
  <c r="O10" i="16"/>
  <c r="P10" i="16"/>
  <c r="R10" i="16"/>
  <c r="U10" i="16"/>
  <c r="J11" i="16"/>
  <c r="K11" i="16"/>
  <c r="L11" i="16"/>
  <c r="N11" i="16"/>
  <c r="O11" i="16"/>
  <c r="P11" i="16"/>
  <c r="R11" i="16"/>
  <c r="U11" i="16"/>
  <c r="J12" i="16"/>
  <c r="K12" i="16"/>
  <c r="L12" i="16"/>
  <c r="N12" i="16"/>
  <c r="O12" i="16"/>
  <c r="P12" i="16"/>
  <c r="R12" i="16"/>
  <c r="U12" i="16"/>
  <c r="J13" i="16"/>
  <c r="K13" i="16"/>
  <c r="L13" i="16"/>
  <c r="N13" i="16"/>
  <c r="O13" i="16"/>
  <c r="P13" i="16"/>
  <c r="R13" i="16"/>
  <c r="U13" i="16"/>
  <c r="J14" i="16"/>
  <c r="K14" i="16"/>
  <c r="L14" i="16"/>
  <c r="N14" i="16"/>
  <c r="O14" i="16"/>
  <c r="P14" i="16"/>
  <c r="R14" i="16"/>
  <c r="U14" i="16"/>
  <c r="J15" i="16"/>
  <c r="K15" i="16"/>
  <c r="L15" i="16"/>
  <c r="N15" i="16"/>
  <c r="O15" i="16"/>
  <c r="P15" i="16"/>
  <c r="R15" i="16"/>
  <c r="U15" i="16"/>
  <c r="J16" i="16"/>
  <c r="K16" i="16"/>
  <c r="L16" i="16"/>
  <c r="N16" i="16"/>
  <c r="O16" i="16"/>
  <c r="P16" i="16"/>
  <c r="U16" i="16"/>
  <c r="J17" i="16"/>
  <c r="K17" i="16"/>
  <c r="L17" i="16"/>
  <c r="N17" i="16"/>
  <c r="O17" i="16"/>
  <c r="P17" i="16"/>
  <c r="R17" i="16"/>
  <c r="U17" i="16"/>
  <c r="J18" i="16"/>
  <c r="K18" i="16"/>
  <c r="L18" i="16"/>
  <c r="N18" i="16"/>
  <c r="O18" i="16"/>
  <c r="P18" i="16"/>
  <c r="R18" i="16"/>
  <c r="U18" i="16"/>
  <c r="J19" i="16"/>
  <c r="K19" i="16"/>
  <c r="L19" i="16"/>
  <c r="N19" i="16"/>
  <c r="O19" i="16"/>
  <c r="P19" i="16"/>
  <c r="R19" i="16"/>
  <c r="U19" i="16"/>
  <c r="J20" i="16"/>
  <c r="K20" i="16"/>
  <c r="L20" i="16"/>
  <c r="N20" i="16"/>
  <c r="O20" i="16"/>
  <c r="P20" i="16"/>
  <c r="R20" i="16"/>
  <c r="U20" i="16"/>
  <c r="J21" i="16"/>
  <c r="K21" i="16"/>
  <c r="L21" i="16"/>
  <c r="N21" i="16"/>
  <c r="O21" i="16"/>
  <c r="P21" i="16"/>
  <c r="R21" i="16"/>
  <c r="U21" i="16"/>
  <c r="J22" i="16"/>
  <c r="K22" i="16"/>
  <c r="L22" i="16"/>
  <c r="N22" i="16"/>
  <c r="O22" i="16"/>
  <c r="P22" i="16"/>
  <c r="R22" i="16"/>
  <c r="U22" i="16"/>
  <c r="J23" i="16"/>
  <c r="K23" i="16"/>
  <c r="L23" i="16"/>
  <c r="N23" i="16"/>
  <c r="O23" i="16"/>
  <c r="P23" i="16"/>
  <c r="R23" i="16"/>
  <c r="U23" i="16"/>
  <c r="J24" i="16"/>
  <c r="K24" i="16"/>
  <c r="L24" i="16"/>
  <c r="N24" i="16"/>
  <c r="O24" i="16"/>
  <c r="P24" i="16"/>
  <c r="R24" i="16"/>
  <c r="U24" i="16"/>
  <c r="J25" i="16"/>
  <c r="K25" i="16"/>
  <c r="L25" i="16"/>
  <c r="N25" i="16"/>
  <c r="O25" i="16"/>
  <c r="P25" i="16"/>
  <c r="R25" i="16"/>
  <c r="U25" i="16"/>
  <c r="J26" i="16"/>
  <c r="K26" i="16"/>
  <c r="L26" i="16"/>
  <c r="N26" i="16"/>
  <c r="O26" i="16"/>
  <c r="P26" i="16"/>
  <c r="R26" i="16"/>
  <c r="U26" i="16"/>
  <c r="J27" i="16"/>
  <c r="K27" i="16"/>
  <c r="L27" i="16"/>
  <c r="N27" i="16"/>
  <c r="O27" i="16"/>
  <c r="P27" i="16"/>
  <c r="R27" i="16"/>
  <c r="U27" i="16"/>
  <c r="J28" i="16"/>
  <c r="K28" i="16"/>
  <c r="L28" i="16"/>
  <c r="N28" i="16"/>
  <c r="O28" i="16"/>
  <c r="P28" i="16"/>
  <c r="R28" i="16"/>
  <c r="U28" i="16"/>
  <c r="J29" i="16"/>
  <c r="K29" i="16"/>
  <c r="L29" i="16"/>
  <c r="N29" i="16"/>
  <c r="O29" i="16"/>
  <c r="P29" i="16"/>
  <c r="R29" i="16"/>
  <c r="U29" i="16"/>
  <c r="J30" i="16"/>
  <c r="K30" i="16"/>
  <c r="L30" i="16"/>
  <c r="N30" i="16"/>
  <c r="O30" i="16"/>
  <c r="P30" i="16"/>
  <c r="R30" i="16"/>
  <c r="U30" i="16"/>
  <c r="J31" i="16"/>
  <c r="K31" i="16"/>
  <c r="L31" i="16"/>
  <c r="N31" i="16"/>
  <c r="O31" i="16"/>
  <c r="P31" i="16"/>
  <c r="R31" i="16"/>
  <c r="U31" i="16"/>
  <c r="J32" i="16"/>
  <c r="K32" i="16"/>
  <c r="L32" i="16"/>
  <c r="N32" i="16"/>
  <c r="O32" i="16"/>
  <c r="P32" i="16"/>
  <c r="R32" i="16"/>
  <c r="U32" i="16"/>
  <c r="J33" i="16"/>
  <c r="K33" i="16"/>
  <c r="L33" i="16"/>
  <c r="N33" i="16"/>
  <c r="O33" i="16"/>
  <c r="P33" i="16"/>
  <c r="R33" i="16"/>
  <c r="U33" i="16"/>
  <c r="J34" i="16"/>
  <c r="K34" i="16"/>
  <c r="L34" i="16"/>
  <c r="N34" i="16"/>
  <c r="O34" i="16"/>
  <c r="P34" i="16"/>
  <c r="R34" i="16"/>
  <c r="U34" i="16"/>
  <c r="J35" i="16"/>
  <c r="K35" i="16"/>
  <c r="L35" i="16"/>
  <c r="N35" i="16"/>
  <c r="O35" i="16"/>
  <c r="P35" i="16"/>
  <c r="R35" i="16"/>
  <c r="U35" i="16"/>
  <c r="J36" i="16"/>
  <c r="K36" i="16"/>
  <c r="L36" i="16"/>
  <c r="N36" i="16"/>
  <c r="O36" i="16"/>
  <c r="P36" i="16"/>
  <c r="R36" i="16"/>
  <c r="U36" i="16"/>
  <c r="J37" i="16"/>
  <c r="K37" i="16"/>
  <c r="L37" i="16"/>
  <c r="N37" i="16"/>
  <c r="O37" i="16"/>
  <c r="P37" i="16"/>
  <c r="R37" i="16"/>
  <c r="U37" i="16"/>
  <c r="J38" i="16"/>
  <c r="K38" i="16"/>
  <c r="L38" i="16"/>
  <c r="N38" i="16"/>
  <c r="O38" i="16"/>
  <c r="P38" i="16"/>
  <c r="R38" i="16"/>
  <c r="U38" i="16"/>
  <c r="J39" i="16"/>
  <c r="K39" i="16"/>
  <c r="L39" i="16"/>
  <c r="N39" i="16"/>
  <c r="O39" i="16"/>
  <c r="P39" i="16"/>
  <c r="R39" i="16"/>
  <c r="U39" i="16"/>
  <c r="J40" i="16"/>
  <c r="K40" i="16"/>
  <c r="L40" i="16"/>
  <c r="N40" i="16"/>
  <c r="O40" i="16"/>
  <c r="P40" i="16"/>
  <c r="R40" i="16"/>
  <c r="U40" i="16"/>
  <c r="J41" i="16"/>
  <c r="K41" i="16"/>
  <c r="L41" i="16"/>
  <c r="N41" i="16"/>
  <c r="O41" i="16"/>
  <c r="P41" i="16"/>
  <c r="R41" i="16"/>
  <c r="U41" i="16"/>
  <c r="J42" i="16"/>
  <c r="K42" i="16"/>
  <c r="L42" i="16"/>
  <c r="N42" i="16"/>
  <c r="O42" i="16"/>
  <c r="P42" i="16"/>
  <c r="R42" i="16"/>
  <c r="U42" i="16"/>
  <c r="J43" i="16"/>
  <c r="K43" i="16"/>
  <c r="L43" i="16"/>
  <c r="N43" i="16"/>
  <c r="O43" i="16"/>
  <c r="P43" i="16"/>
  <c r="R43" i="16"/>
  <c r="U43" i="16"/>
  <c r="J44" i="16"/>
  <c r="K44" i="16"/>
  <c r="L44" i="16"/>
  <c r="N44" i="16"/>
  <c r="O44" i="16"/>
  <c r="P44" i="16"/>
  <c r="R44" i="16"/>
  <c r="U44" i="16"/>
  <c r="J45" i="16"/>
  <c r="K45" i="16"/>
  <c r="L45" i="16"/>
  <c r="N45" i="16"/>
  <c r="O45" i="16"/>
  <c r="P45" i="16"/>
  <c r="R45" i="16"/>
  <c r="U45" i="16"/>
  <c r="J46" i="16"/>
  <c r="K46" i="16"/>
  <c r="L46" i="16"/>
  <c r="N46" i="16"/>
  <c r="O46" i="16"/>
  <c r="P46" i="16"/>
  <c r="R46" i="16"/>
  <c r="U46" i="16"/>
  <c r="J47" i="16"/>
  <c r="K47" i="16"/>
  <c r="L47" i="16"/>
  <c r="N47" i="16"/>
  <c r="O47" i="16"/>
  <c r="P47" i="16"/>
  <c r="R47" i="16"/>
  <c r="U47" i="16"/>
  <c r="J48" i="16"/>
  <c r="K48" i="16"/>
  <c r="L48" i="16"/>
  <c r="N48" i="16"/>
  <c r="O48" i="16"/>
  <c r="P48" i="16"/>
  <c r="R48" i="16"/>
  <c r="U48" i="16"/>
  <c r="J49" i="16"/>
  <c r="K49" i="16"/>
  <c r="L49" i="16"/>
  <c r="N49" i="16"/>
  <c r="O49" i="16"/>
  <c r="P49" i="16"/>
  <c r="R49" i="16"/>
  <c r="U49" i="16"/>
  <c r="J50" i="16"/>
  <c r="K50" i="16"/>
  <c r="L50" i="16"/>
  <c r="N50" i="16"/>
  <c r="O50" i="16"/>
  <c r="P50" i="16"/>
  <c r="R50" i="16"/>
  <c r="U50" i="16"/>
  <c r="J51" i="16"/>
  <c r="K51" i="16"/>
  <c r="L51" i="16"/>
  <c r="N51" i="16"/>
  <c r="O51" i="16"/>
  <c r="P51" i="16"/>
  <c r="R51" i="16"/>
  <c r="U51" i="16"/>
  <c r="C52" i="16"/>
  <c r="C58" i="16"/>
  <c r="D58" i="16"/>
  <c r="C59" i="16"/>
  <c r="D59" i="16"/>
  <c r="C60" i="16"/>
  <c r="C61" i="16"/>
  <c r="D61" i="16"/>
  <c r="C62" i="16"/>
  <c r="D62" i="16"/>
  <c r="C63" i="16"/>
  <c r="D63" i="16"/>
  <c r="C64" i="16"/>
  <c r="D64" i="16"/>
  <c r="C65" i="16"/>
  <c r="D65" i="16"/>
  <c r="C66" i="16"/>
  <c r="D66" i="16"/>
  <c r="C67" i="16"/>
  <c r="D67" i="16"/>
  <c r="C68" i="16"/>
  <c r="D68" i="16"/>
  <c r="C69" i="16"/>
  <c r="D69" i="16"/>
  <c r="C70" i="16"/>
  <c r="D70" i="16"/>
  <c r="C71" i="16"/>
  <c r="D71" i="16"/>
  <c r="C72" i="16"/>
  <c r="D72" i="16"/>
  <c r="C73" i="16"/>
  <c r="D73" i="16"/>
  <c r="C74" i="16"/>
  <c r="D74" i="16"/>
  <c r="C75" i="16"/>
  <c r="D75" i="16"/>
  <c r="C76" i="16"/>
  <c r="C77" i="16"/>
  <c r="D77" i="16"/>
  <c r="C78" i="16"/>
  <c r="D78" i="16"/>
  <c r="C79" i="16"/>
  <c r="D79" i="16"/>
  <c r="C80" i="16"/>
  <c r="D80" i="16"/>
  <c r="C81" i="16"/>
  <c r="D81" i="16"/>
  <c r="C82" i="16"/>
  <c r="D82" i="16"/>
  <c r="C83" i="16"/>
  <c r="D83" i="16"/>
  <c r="C84" i="16"/>
  <c r="D84" i="16"/>
  <c r="C85" i="16"/>
  <c r="D85" i="16"/>
  <c r="C86" i="16"/>
  <c r="D86" i="16"/>
  <c r="E1221" i="2"/>
  <c r="F1221" i="2"/>
  <c r="F1248" i="2"/>
  <c r="C30" i="17"/>
  <c r="C6" i="17"/>
  <c r="B12" i="17"/>
  <c r="B33" i="17"/>
  <c r="B37" i="17"/>
  <c r="C14" i="17"/>
  <c r="B13" i="17"/>
  <c r="C16" i="17"/>
  <c r="B32" i="17"/>
  <c r="B17" i="17"/>
  <c r="B31" i="17"/>
  <c r="B6" i="17"/>
  <c r="C31" i="17"/>
  <c r="B30" i="17"/>
  <c r="B23" i="17"/>
  <c r="B11" i="17"/>
  <c r="B29" i="17"/>
  <c r="C27" i="17"/>
  <c r="C32" i="17"/>
  <c r="C33" i="17"/>
  <c r="C9" i="17"/>
  <c r="B25" i="17"/>
  <c r="C10" i="17"/>
  <c r="B28" i="17"/>
  <c r="B27" i="17"/>
  <c r="C28" i="17"/>
  <c r="C11" i="17"/>
  <c r="C22" i="17"/>
  <c r="C12" i="17"/>
  <c r="B22" i="17"/>
  <c r="C15" i="17"/>
  <c r="B15" i="17"/>
  <c r="B26" i="17"/>
  <c r="B14" i="17"/>
  <c r="B16" i="17"/>
  <c r="C17" i="17"/>
  <c r="B8" i="17"/>
  <c r="B7" i="17"/>
  <c r="C24" i="17"/>
  <c r="C13" i="17"/>
  <c r="B10" i="17"/>
  <c r="C25" i="17"/>
  <c r="C23" i="17"/>
  <c r="C8" i="17"/>
  <c r="F1211" i="2"/>
  <c r="E1266" i="2"/>
  <c r="E1239" i="2"/>
  <c r="F1192" i="2"/>
  <c r="E1192" i="2"/>
  <c r="F1225" i="2"/>
  <c r="E1193" i="2"/>
  <c r="F1193" i="2"/>
  <c r="E1200" i="2"/>
  <c r="F1190" i="2"/>
  <c r="F1203" i="2"/>
  <c r="G29" i="19" l="1"/>
  <c r="G17" i="19"/>
  <c r="G5" i="19"/>
  <c r="G28" i="19"/>
  <c r="G16" i="19"/>
  <c r="G27" i="19"/>
  <c r="G15" i="19"/>
  <c r="G26" i="19"/>
  <c r="G14" i="19"/>
  <c r="G56" i="19"/>
  <c r="G25" i="19"/>
  <c r="G13" i="19"/>
  <c r="G24" i="19"/>
  <c r="G12" i="19"/>
  <c r="G44" i="19"/>
  <c r="G23" i="19"/>
  <c r="G11" i="19"/>
  <c r="G43" i="19"/>
  <c r="G22" i="19"/>
  <c r="G10" i="19"/>
  <c r="G35" i="19"/>
  <c r="G21" i="19"/>
  <c r="G9" i="19"/>
  <c r="G32" i="19"/>
  <c r="G20" i="19"/>
  <c r="G8" i="19"/>
  <c r="G31" i="19"/>
  <c r="G19" i="19"/>
  <c r="G7" i="19"/>
  <c r="G30" i="19"/>
  <c r="G18" i="19"/>
  <c r="G6" i="19"/>
  <c r="G46" i="19"/>
  <c r="G41" i="19"/>
  <c r="G47" i="19"/>
  <c r="G53" i="19"/>
  <c r="G42" i="19"/>
  <c r="G36" i="19"/>
  <c r="G48" i="19"/>
  <c r="G54" i="19"/>
  <c r="G37" i="19"/>
  <c r="G33" i="19"/>
  <c r="G49" i="19"/>
  <c r="G45" i="19"/>
  <c r="G38" i="19"/>
  <c r="G34" i="19"/>
  <c r="G50" i="19"/>
  <c r="G39" i="19"/>
  <c r="G51" i="19"/>
  <c r="G40" i="19"/>
  <c r="G52" i="19"/>
  <c r="F1165" i="2"/>
  <c r="F1134" i="2"/>
  <c r="C39" i="4"/>
  <c r="C40" i="4" s="1"/>
  <c r="F1129" i="2"/>
  <c r="F1167" i="2"/>
  <c r="E1099" i="2"/>
  <c r="F1099" i="2"/>
  <c r="E1157" i="2"/>
  <c r="F1157" i="2"/>
  <c r="E1178" i="2"/>
  <c r="F1178" i="2"/>
  <c r="E1126" i="2"/>
  <c r="F1126" i="2"/>
  <c r="E1165" i="2"/>
  <c r="E1134" i="2"/>
  <c r="F1227" i="2"/>
  <c r="E1197" i="2"/>
  <c r="F1197" i="2"/>
  <c r="F1155" i="2"/>
  <c r="E1182" i="2"/>
  <c r="F1182" i="2"/>
  <c r="F1159" i="2"/>
  <c r="E1172" i="2"/>
  <c r="E1167" i="2"/>
  <c r="E1117" i="2"/>
  <c r="E1154" i="2"/>
  <c r="F1154" i="2"/>
  <c r="E1140" i="2"/>
  <c r="F1140" i="2"/>
  <c r="E1159" i="2"/>
  <c r="E1186" i="2"/>
  <c r="F1186" i="2"/>
  <c r="E1142" i="2"/>
  <c r="F1142" i="2"/>
  <c r="F1143" i="2"/>
  <c r="E1143" i="2"/>
  <c r="F1111" i="2"/>
  <c r="E1122" i="2"/>
  <c r="F1122" i="2"/>
  <c r="F1185" i="2"/>
  <c r="E1185" i="2"/>
  <c r="E1136" i="2"/>
  <c r="F1136" i="2"/>
  <c r="F1139" i="2"/>
  <c r="E1129" i="2"/>
  <c r="F1187" i="2"/>
  <c r="AD5" i="2"/>
  <c r="AM5" i="2" s="1"/>
  <c r="B33" i="18"/>
  <c r="B27" i="18"/>
  <c r="C32" i="18"/>
  <c r="C26" i="18"/>
  <c r="C31" i="18"/>
  <c r="C25" i="18"/>
  <c r="B26" i="18"/>
  <c r="B31" i="18"/>
  <c r="B25" i="18"/>
  <c r="C30" i="18"/>
  <c r="C24" i="18"/>
  <c r="B30" i="18"/>
  <c r="B24" i="18"/>
  <c r="C35" i="18"/>
  <c r="C29" i="18"/>
  <c r="B32" i="18"/>
  <c r="B35" i="18"/>
  <c r="B29" i="18"/>
  <c r="C34" i="18"/>
  <c r="C28" i="18"/>
  <c r="B34" i="18"/>
  <c r="B28" i="18"/>
  <c r="C33" i="18"/>
  <c r="C27" i="18"/>
  <c r="C46" i="19"/>
  <c r="C34" i="19"/>
  <c r="C22" i="19"/>
  <c r="C10" i="19"/>
  <c r="C57" i="19"/>
  <c r="C45" i="19"/>
  <c r="C33" i="19"/>
  <c r="C21" i="19"/>
  <c r="C9" i="19"/>
  <c r="C55" i="19"/>
  <c r="C43" i="19"/>
  <c r="C31" i="19"/>
  <c r="C19" i="19"/>
  <c r="C7" i="19"/>
  <c r="C54" i="19"/>
  <c r="C42" i="19"/>
  <c r="C30" i="19"/>
  <c r="C18" i="19"/>
  <c r="C6" i="19"/>
  <c r="C32" i="19"/>
  <c r="C53" i="19"/>
  <c r="C41" i="19"/>
  <c r="C29" i="19"/>
  <c r="C17" i="19"/>
  <c r="C5" i="19"/>
  <c r="C52" i="19"/>
  <c r="C40" i="19"/>
  <c r="C28" i="19"/>
  <c r="C16" i="19"/>
  <c r="C51" i="19"/>
  <c r="C39" i="19"/>
  <c r="C27" i="19"/>
  <c r="C15" i="19"/>
  <c r="C56" i="19"/>
  <c r="C44" i="19"/>
  <c r="C8" i="19"/>
  <c r="C50" i="19"/>
  <c r="C38" i="19"/>
  <c r="C26" i="19"/>
  <c r="C14" i="19"/>
  <c r="C49" i="19"/>
  <c r="C37" i="19"/>
  <c r="C25" i="19"/>
  <c r="C13" i="19"/>
  <c r="C48" i="19"/>
  <c r="C36" i="19"/>
  <c r="C24" i="19"/>
  <c r="C12" i="19"/>
  <c r="C20" i="19"/>
  <c r="C47" i="19"/>
  <c r="C35" i="19"/>
  <c r="C23" i="19"/>
  <c r="C11" i="19"/>
  <c r="F1226" i="2"/>
  <c r="C34" i="11"/>
  <c r="C36" i="11" s="1"/>
  <c r="E1272" i="2"/>
  <c r="C26" i="11"/>
  <c r="C27" i="11"/>
  <c r="C28" i="11" s="1"/>
  <c r="R56" i="3"/>
  <c r="Q62" i="3" s="1"/>
  <c r="Q63" i="3" s="1"/>
  <c r="Q64" i="3" s="1"/>
  <c r="E1228" i="2"/>
  <c r="F1253" i="2"/>
  <c r="D1261" i="2"/>
  <c r="F1191" i="2"/>
  <c r="F1229" i="2"/>
  <c r="F1252" i="2"/>
  <c r="F1215" i="2"/>
  <c r="F1242" i="2"/>
  <c r="F1228" i="2"/>
  <c r="F1189" i="2"/>
  <c r="F1201" i="2"/>
  <c r="F1208" i="2"/>
  <c r="C42" i="4"/>
  <c r="F1235" i="2"/>
  <c r="F1241" i="2"/>
  <c r="U52" i="12"/>
  <c r="D49" i="4"/>
  <c r="E1208" i="2"/>
  <c r="F1216" i="2"/>
  <c r="E1235" i="2"/>
  <c r="E1241" i="2"/>
  <c r="F1213" i="2"/>
  <c r="F1199" i="2"/>
  <c r="H1271" i="2"/>
  <c r="D76" i="16"/>
  <c r="D88" i="16" s="1"/>
  <c r="D69" i="15"/>
  <c r="D55" i="15"/>
  <c r="D56" i="15"/>
  <c r="C81" i="15"/>
  <c r="C88" i="14"/>
  <c r="C88" i="12"/>
  <c r="D62" i="15"/>
  <c r="C88" i="16"/>
  <c r="D75" i="15"/>
  <c r="C88" i="13"/>
  <c r="U52" i="13"/>
  <c r="B34" i="11"/>
  <c r="B36" i="11" s="1"/>
  <c r="C49" i="4"/>
  <c r="F1232" i="2"/>
  <c r="Q69" i="3"/>
  <c r="Q71" i="3" s="1"/>
  <c r="E1191" i="2"/>
  <c r="E1229" i="2"/>
  <c r="E1252" i="2"/>
  <c r="R7" i="3"/>
  <c r="D7" i="11" s="1"/>
  <c r="D34" i="11" s="1"/>
  <c r="D36" i="11" s="1"/>
  <c r="Q61" i="3"/>
  <c r="E1189" i="2"/>
  <c r="E1212" i="2"/>
  <c r="T1272" i="2"/>
  <c r="E1267" i="2"/>
  <c r="E1271" i="2"/>
  <c r="E1226" i="2"/>
  <c r="P69" i="3"/>
  <c r="P71" i="3" s="1"/>
  <c r="C13" i="18"/>
  <c r="B12" i="18"/>
  <c r="T1277" i="2"/>
  <c r="C11" i="18"/>
  <c r="E1213" i="2"/>
  <c r="B11" i="18"/>
  <c r="E1199" i="2"/>
  <c r="E1268" i="2"/>
  <c r="C37" i="17"/>
  <c r="E1190" i="2"/>
  <c r="E1242" i="2"/>
  <c r="E1232" i="2"/>
  <c r="C86" i="18"/>
  <c r="H1272" i="2"/>
  <c r="C8" i="18"/>
  <c r="B6" i="18"/>
  <c r="C7" i="18"/>
  <c r="B9" i="18"/>
  <c r="B14" i="18"/>
  <c r="C10" i="18"/>
  <c r="B7" i="18"/>
  <c r="B13" i="18"/>
  <c r="C15" i="18"/>
  <c r="C16" i="18"/>
  <c r="G1255" i="2"/>
  <c r="D1255" i="2"/>
  <c r="D5" i="2" s="1"/>
  <c r="D1259" i="2"/>
  <c r="B10" i="18"/>
  <c r="C14" i="18"/>
  <c r="B8" i="18"/>
  <c r="C12" i="18"/>
  <c r="B16" i="18"/>
  <c r="B86" i="18"/>
  <c r="C9" i="18"/>
  <c r="B15" i="18"/>
  <c r="B17" i="18"/>
  <c r="C17" i="18"/>
  <c r="C6" i="18"/>
  <c r="B34" i="17"/>
  <c r="B18" i="17"/>
  <c r="M12" i="12"/>
  <c r="M10" i="13"/>
  <c r="Q30" i="12"/>
  <c r="Q21" i="12"/>
  <c r="Q18" i="12"/>
  <c r="W31" i="3"/>
  <c r="D88" i="14"/>
  <c r="U45" i="15"/>
  <c r="U52" i="14"/>
  <c r="M28" i="13"/>
  <c r="M25" i="13"/>
  <c r="D88" i="12"/>
  <c r="M35" i="12"/>
  <c r="M23" i="12"/>
  <c r="M20" i="12"/>
  <c r="M17" i="12"/>
  <c r="Q15" i="12"/>
  <c r="M14" i="12"/>
  <c r="Q12" i="12"/>
  <c r="M8" i="12"/>
  <c r="Q6" i="12"/>
  <c r="M15" i="14"/>
  <c r="M12" i="14"/>
  <c r="M49" i="13"/>
  <c r="Q11" i="13"/>
  <c r="Q8" i="13"/>
  <c r="Q36" i="12"/>
  <c r="U52" i="16"/>
  <c r="Q7" i="12"/>
  <c r="C34" i="17"/>
  <c r="D88" i="13"/>
  <c r="Q51" i="12"/>
  <c r="C18" i="17"/>
  <c r="M21" i="14"/>
  <c r="Q19" i="14"/>
  <c r="Q16" i="14"/>
  <c r="Q13" i="14"/>
  <c r="Q10" i="14"/>
  <c r="Q7" i="14"/>
  <c r="M6" i="14"/>
  <c r="Q41" i="13"/>
  <c r="Q38" i="13"/>
  <c r="Q35" i="13"/>
  <c r="Q32" i="13"/>
  <c r="Q26" i="12"/>
  <c r="M11" i="12"/>
  <c r="M7" i="14"/>
  <c r="M44" i="13"/>
  <c r="M23" i="13"/>
  <c r="M17" i="13"/>
  <c r="Q15" i="13"/>
  <c r="Q9" i="13"/>
  <c r="Q49" i="12"/>
  <c r="Q40" i="12"/>
  <c r="Q37" i="12"/>
  <c r="Q28" i="12"/>
  <c r="Q22" i="12"/>
  <c r="Q19" i="12"/>
  <c r="M16" i="12"/>
  <c r="W1278" i="2"/>
  <c r="Q17" i="12"/>
  <c r="Q11" i="12"/>
  <c r="M29" i="13"/>
  <c r="M26" i="13"/>
  <c r="M30" i="13"/>
  <c r="Q32" i="12"/>
  <c r="Q27" i="14"/>
  <c r="Q24" i="14"/>
  <c r="Q21" i="14"/>
  <c r="Q18" i="14"/>
  <c r="Q6" i="14"/>
  <c r="M16" i="13"/>
  <c r="M47" i="12"/>
  <c r="M32" i="12"/>
  <c r="M29" i="12"/>
  <c r="Q45" i="14"/>
  <c r="M19" i="13"/>
  <c r="Q14" i="13"/>
  <c r="Q48" i="12"/>
  <c r="Q45" i="12"/>
  <c r="Q42" i="12"/>
  <c r="Q39" i="12"/>
  <c r="M9" i="14"/>
  <c r="Q26" i="13"/>
  <c r="Q23" i="13"/>
  <c r="Q20" i="13"/>
  <c r="Q49" i="16"/>
  <c r="M45" i="16"/>
  <c r="M42" i="16"/>
  <c r="M33" i="16"/>
  <c r="M24" i="16"/>
  <c r="M21" i="16"/>
  <c r="M18" i="16"/>
  <c r="Q16" i="16"/>
  <c r="Q10" i="16"/>
  <c r="M44" i="15"/>
  <c r="M38" i="15"/>
  <c r="M26" i="15"/>
  <c r="M20" i="15"/>
  <c r="M51" i="14"/>
  <c r="M45" i="14"/>
  <c r="M39" i="14"/>
  <c r="M36" i="14"/>
  <c r="M30" i="14"/>
  <c r="Q28" i="14"/>
  <c r="M27" i="14"/>
  <c r="M24" i="14"/>
  <c r="Q22" i="14"/>
  <c r="X1278" i="2"/>
  <c r="M9" i="12"/>
  <c r="F1278" i="2"/>
  <c r="U1278" i="2"/>
  <c r="G1278" i="2"/>
  <c r="J1278" i="2"/>
  <c r="V1278" i="2"/>
  <c r="Q16" i="12"/>
  <c r="M13" i="12"/>
  <c r="M7" i="12"/>
  <c r="Q32" i="16"/>
  <c r="Q46" i="16"/>
  <c r="Q43" i="16"/>
  <c r="Q40" i="16"/>
  <c r="Q31" i="16"/>
  <c r="Q22" i="16"/>
  <c r="Q7" i="16"/>
  <c r="Q39" i="15"/>
  <c r="Q33" i="15"/>
  <c r="Q30" i="15"/>
  <c r="Q24" i="15"/>
  <c r="Q21" i="15"/>
  <c r="M42" i="12"/>
  <c r="M21" i="12"/>
  <c r="M18" i="12"/>
  <c r="Q13" i="12"/>
  <c r="M34" i="16"/>
  <c r="Q22" i="13"/>
  <c r="Q16" i="13"/>
  <c r="Q10" i="13"/>
  <c r="Q7" i="13"/>
  <c r="Q47" i="12"/>
  <c r="Q29" i="12"/>
  <c r="M19" i="12"/>
  <c r="Q14" i="12"/>
  <c r="Q8" i="12"/>
  <c r="M48" i="13"/>
  <c r="Q33" i="12"/>
  <c r="Q27" i="12"/>
  <c r="M49" i="16"/>
  <c r="Q17" i="16"/>
  <c r="Q11" i="16"/>
  <c r="M33" i="15"/>
  <c r="M18" i="15"/>
  <c r="M28" i="15"/>
  <c r="M17" i="14"/>
  <c r="M43" i="13"/>
  <c r="M22" i="13"/>
  <c r="M7" i="16"/>
  <c r="M36" i="15"/>
  <c r="M27" i="15"/>
  <c r="M24" i="15"/>
  <c r="Q16" i="15"/>
  <c r="Q9" i="15"/>
  <c r="Q47" i="14"/>
  <c r="Q31" i="12"/>
  <c r="Q42" i="15"/>
  <c r="M16" i="14"/>
  <c r="M13" i="14"/>
  <c r="M10" i="14"/>
  <c r="M50" i="13"/>
  <c r="M41" i="13"/>
  <c r="M38" i="13"/>
  <c r="Q23" i="16"/>
  <c r="M20" i="16"/>
  <c r="M17" i="16"/>
  <c r="Q15" i="16"/>
  <c r="Q12" i="16"/>
  <c r="M11" i="14"/>
  <c r="M8" i="14"/>
  <c r="Q38" i="12"/>
  <c r="Q47" i="16"/>
  <c r="Q34" i="15"/>
  <c r="M50" i="14"/>
  <c r="M41" i="14"/>
  <c r="M38" i="14"/>
  <c r="M35" i="14"/>
  <c r="M32" i="14"/>
  <c r="Q30" i="14"/>
  <c r="M29" i="14"/>
  <c r="M26" i="14"/>
  <c r="M23" i="14"/>
  <c r="Q15" i="14"/>
  <c r="Q12" i="14"/>
  <c r="Q9" i="14"/>
  <c r="Q46" i="13"/>
  <c r="Q43" i="13"/>
  <c r="Q40" i="13"/>
  <c r="Q37" i="13"/>
  <c r="Q34" i="13"/>
  <c r="Q31" i="13"/>
  <c r="Q28" i="13"/>
  <c r="Q19" i="13"/>
  <c r="M40" i="13"/>
  <c r="M37" i="13"/>
  <c r="M34" i="13"/>
  <c r="M50" i="12"/>
  <c r="M41" i="12"/>
  <c r="Q44" i="16"/>
  <c r="M19" i="15"/>
  <c r="M13" i="15"/>
  <c r="M31" i="15"/>
  <c r="M47" i="14"/>
  <c r="M15" i="15"/>
  <c r="Q12" i="15"/>
  <c r="M35" i="13"/>
  <c r="M32" i="13"/>
  <c r="M20" i="13"/>
  <c r="Q12" i="13"/>
  <c r="M11" i="13"/>
  <c r="Q6" i="13"/>
  <c r="Q46" i="12"/>
  <c r="M45" i="12"/>
  <c r="Q43" i="12"/>
  <c r="Q25" i="12"/>
  <c r="Q34" i="12"/>
  <c r="I1278" i="2"/>
  <c r="Q25" i="16"/>
  <c r="Q31" i="14"/>
  <c r="Q25" i="14"/>
  <c r="M36" i="12"/>
  <c r="M33" i="12"/>
  <c r="M27" i="12"/>
  <c r="M24" i="12"/>
  <c r="M14" i="13"/>
  <c r="M8" i="13"/>
  <c r="M46" i="16"/>
  <c r="M43" i="16"/>
  <c r="M37" i="16"/>
  <c r="M31" i="16"/>
  <c r="M28" i="16"/>
  <c r="Q26" i="16"/>
  <c r="M25" i="16"/>
  <c r="M22" i="16"/>
  <c r="Q6" i="15"/>
  <c r="M47" i="13"/>
  <c r="Q31" i="15"/>
  <c r="Q28" i="15"/>
  <c r="Q25" i="15"/>
  <c r="Q22" i="15"/>
  <c r="Q19" i="15"/>
  <c r="M12" i="15"/>
  <c r="Q29" i="16"/>
  <c r="M51" i="13"/>
  <c r="M39" i="13"/>
  <c r="M36" i="13"/>
  <c r="M14" i="16"/>
  <c r="M11" i="16"/>
  <c r="Q9" i="16"/>
  <c r="M8" i="16"/>
  <c r="D1278" i="2"/>
  <c r="Q44" i="15"/>
  <c r="Q38" i="15"/>
  <c r="Q29" i="15"/>
  <c r="Q23" i="15"/>
  <c r="Q17" i="15"/>
  <c r="Q14" i="15"/>
  <c r="M13" i="13"/>
  <c r="M7" i="13"/>
  <c r="M26" i="12"/>
  <c r="Q9" i="12"/>
  <c r="Q41" i="15"/>
  <c r="Q35" i="15"/>
  <c r="Q32" i="15"/>
  <c r="Q26" i="15"/>
  <c r="Q20" i="15"/>
  <c r="M44" i="12"/>
  <c r="M38" i="12"/>
  <c r="Q37" i="16"/>
  <c r="Q34" i="16"/>
  <c r="Q28" i="16"/>
  <c r="Q19" i="16"/>
  <c r="Q36" i="15"/>
  <c r="Q27" i="15"/>
  <c r="Q18" i="15"/>
  <c r="M31" i="13"/>
  <c r="Q49" i="14"/>
  <c r="Q46" i="14"/>
  <c r="Q43" i="14"/>
  <c r="Q40" i="14"/>
  <c r="Q37" i="14"/>
  <c r="Q34" i="14"/>
  <c r="M19" i="16"/>
  <c r="M16" i="16"/>
  <c r="Q14" i="16"/>
  <c r="M13" i="16"/>
  <c r="M10" i="16"/>
  <c r="Q8" i="16"/>
  <c r="M42" i="15"/>
  <c r="M39" i="15"/>
  <c r="M21" i="15"/>
  <c r="M21" i="13"/>
  <c r="M18" i="13"/>
  <c r="Q50" i="12"/>
  <c r="M22" i="12"/>
  <c r="Q20" i="12"/>
  <c r="M10" i="12"/>
  <c r="Q25" i="13"/>
  <c r="M24" i="13"/>
  <c r="Q23" i="12"/>
  <c r="M51" i="16"/>
  <c r="M48" i="16"/>
  <c r="M39" i="16"/>
  <c r="M30" i="16"/>
  <c r="M41" i="15"/>
  <c r="M32" i="15"/>
  <c r="M29" i="15"/>
  <c r="M23" i="15"/>
  <c r="Q11" i="15"/>
  <c r="M10" i="15"/>
  <c r="M42" i="14"/>
  <c r="M33" i="14"/>
  <c r="M18" i="14"/>
  <c r="Q44" i="13"/>
  <c r="M15" i="16"/>
  <c r="M12" i="16"/>
  <c r="Q42" i="14"/>
  <c r="Q33" i="14"/>
  <c r="M7" i="15"/>
  <c r="M27" i="16"/>
  <c r="M35" i="15"/>
  <c r="M17" i="15"/>
  <c r="M14" i="15"/>
  <c r="Q8" i="15"/>
  <c r="M40" i="16"/>
  <c r="Q50" i="16"/>
  <c r="Q41" i="16"/>
  <c r="Q38" i="16"/>
  <c r="Q35" i="16"/>
  <c r="Q20" i="16"/>
  <c r="Q43" i="15"/>
  <c r="M50" i="16"/>
  <c r="M47" i="16"/>
  <c r="M44" i="16"/>
  <c r="M38" i="16"/>
  <c r="M35" i="16"/>
  <c r="M32" i="16"/>
  <c r="M29" i="16"/>
  <c r="M26" i="16"/>
  <c r="M23" i="16"/>
  <c r="M46" i="13"/>
  <c r="M6" i="16"/>
  <c r="Q36" i="14"/>
  <c r="M36" i="16"/>
  <c r="Q13" i="16"/>
  <c r="Q15" i="15"/>
  <c r="M30" i="15"/>
  <c r="Q40" i="15"/>
  <c r="Q37" i="15"/>
  <c r="Q13" i="15"/>
  <c r="Q10" i="15"/>
  <c r="M9" i="15"/>
  <c r="Q7" i="15"/>
  <c r="M6" i="15"/>
  <c r="Q50" i="14"/>
  <c r="M49" i="14"/>
  <c r="M46" i="14"/>
  <c r="Q44" i="14"/>
  <c r="M43" i="14"/>
  <c r="Q41" i="14"/>
  <c r="M40" i="14"/>
  <c r="Q38" i="14"/>
  <c r="M37" i="14"/>
  <c r="Q35" i="14"/>
  <c r="M34" i="14"/>
  <c r="Q32" i="14"/>
  <c r="M31" i="14"/>
  <c r="Q29" i="14"/>
  <c r="M28" i="14"/>
  <c r="Q26" i="14"/>
  <c r="M25" i="14"/>
  <c r="Q23" i="14"/>
  <c r="M22" i="14"/>
  <c r="Q20" i="14"/>
  <c r="M19" i="14"/>
  <c r="Q17" i="14"/>
  <c r="Q14" i="14"/>
  <c r="Q11" i="14"/>
  <c r="Q8" i="14"/>
  <c r="Q51" i="13"/>
  <c r="Q48" i="13"/>
  <c r="Q45" i="13"/>
  <c r="Q42" i="13"/>
  <c r="Q39" i="13"/>
  <c r="Q36" i="13"/>
  <c r="Q33" i="13"/>
  <c r="Q30" i="13"/>
  <c r="Q27" i="13"/>
  <c r="Q24" i="13"/>
  <c r="Q21" i="13"/>
  <c r="Q18" i="13"/>
  <c r="M15" i="13"/>
  <c r="M12" i="13"/>
  <c r="M9" i="13"/>
  <c r="M6" i="13"/>
  <c r="M49" i="12"/>
  <c r="M46" i="12"/>
  <c r="M43" i="12"/>
  <c r="M40" i="12"/>
  <c r="M37" i="12"/>
  <c r="M31" i="12"/>
  <c r="M28" i="12"/>
  <c r="M25" i="12"/>
  <c r="Q49" i="13"/>
  <c r="M45" i="13"/>
  <c r="M42" i="13"/>
  <c r="M33" i="13"/>
  <c r="M27" i="13"/>
  <c r="Q13" i="13"/>
  <c r="Q44" i="12"/>
  <c r="Q41" i="12"/>
  <c r="Q35" i="12"/>
  <c r="M43" i="15"/>
  <c r="M40" i="15"/>
  <c r="M37" i="15"/>
  <c r="M34" i="15"/>
  <c r="M25" i="15"/>
  <c r="M22" i="15"/>
  <c r="Q51" i="14"/>
  <c r="Q48" i="14"/>
  <c r="M44" i="14"/>
  <c r="Q39" i="14"/>
  <c r="M20" i="14"/>
  <c r="M14" i="14"/>
  <c r="M11" i="15"/>
  <c r="M48" i="14"/>
  <c r="M48" i="12"/>
  <c r="M39" i="12"/>
  <c r="M30" i="12"/>
  <c r="M15" i="12"/>
  <c r="Q10" i="12"/>
  <c r="M6" i="12"/>
  <c r="Q51" i="16"/>
  <c r="Q48" i="16"/>
  <c r="Q45" i="16"/>
  <c r="Q42" i="16"/>
  <c r="Q39" i="16"/>
  <c r="Q36" i="16"/>
  <c r="Q33" i="16"/>
  <c r="Q30" i="16"/>
  <c r="Q27" i="16"/>
  <c r="Q24" i="16"/>
  <c r="Q18" i="16"/>
  <c r="Q21" i="16"/>
  <c r="Q6" i="16"/>
  <c r="M16" i="15"/>
  <c r="M9" i="16"/>
  <c r="Q24" i="12"/>
  <c r="Q50" i="13"/>
  <c r="Q47" i="13"/>
  <c r="Q29" i="13"/>
  <c r="Q17" i="13"/>
  <c r="M8" i="15"/>
  <c r="M51" i="12"/>
  <c r="M41" i="16"/>
  <c r="M34" i="12"/>
  <c r="D1256" i="2" l="1"/>
  <c r="C54" i="18"/>
  <c r="G58" i="19"/>
  <c r="C29" i="11"/>
  <c r="R70" i="3"/>
  <c r="C36" i="18"/>
  <c r="C58" i="19"/>
  <c r="A3" i="19" s="1"/>
  <c r="B36" i="18"/>
  <c r="R69" i="3"/>
  <c r="D81" i="15"/>
  <c r="D1281" i="2"/>
  <c r="D1282" i="2" s="1"/>
  <c r="H1278" i="2"/>
  <c r="F1255" i="2"/>
  <c r="T1278" i="2"/>
  <c r="T37" i="12"/>
  <c r="W37" i="12" s="1"/>
  <c r="X37" i="12" s="1"/>
  <c r="T39" i="16"/>
  <c r="W39" i="16" s="1"/>
  <c r="X39" i="16" s="1"/>
  <c r="T33" i="16"/>
  <c r="W33" i="16" s="1"/>
  <c r="X33" i="16" s="1"/>
  <c r="T40" i="12"/>
  <c r="W40" i="12" s="1"/>
  <c r="X40" i="12" s="1"/>
  <c r="T36" i="14"/>
  <c r="W36" i="14" s="1"/>
  <c r="X36" i="14" s="1"/>
  <c r="T23" i="16"/>
  <c r="W23" i="16" s="1"/>
  <c r="X23" i="16" s="1"/>
  <c r="T30" i="13"/>
  <c r="W30" i="13" s="1"/>
  <c r="X30" i="13" s="1"/>
  <c r="T30" i="12"/>
  <c r="W30" i="12" s="1"/>
  <c r="X30" i="12" s="1"/>
  <c r="T39" i="14"/>
  <c r="W39" i="14" s="1"/>
  <c r="X39" i="14" s="1"/>
  <c r="T8" i="14"/>
  <c r="W8" i="14" s="1"/>
  <c r="X8" i="14" s="1"/>
  <c r="T9" i="15"/>
  <c r="W9" i="15" s="1"/>
  <c r="X9" i="15" s="1"/>
  <c r="T29" i="13"/>
  <c r="W29" i="13" s="1"/>
  <c r="X29" i="13" s="1"/>
  <c r="T17" i="14"/>
  <c r="W17" i="14" s="1"/>
  <c r="X17" i="14" s="1"/>
  <c r="T10" i="13"/>
  <c r="W10" i="13" s="1"/>
  <c r="X10" i="13" s="1"/>
  <c r="C18" i="18"/>
  <c r="T16" i="15"/>
  <c r="W16" i="15" s="1"/>
  <c r="X16" i="15" s="1"/>
  <c r="B18" i="18"/>
  <c r="T9" i="16"/>
  <c r="W9" i="16" s="1"/>
  <c r="X9" i="16" s="1"/>
  <c r="T32" i="16"/>
  <c r="W32" i="16" s="1"/>
  <c r="X32" i="16" s="1"/>
  <c r="T44" i="13"/>
  <c r="W44" i="13" s="1"/>
  <c r="X44" i="13" s="1"/>
  <c r="T21" i="15"/>
  <c r="W21" i="15" s="1"/>
  <c r="X21" i="15" s="1"/>
  <c r="T44" i="15"/>
  <c r="W44" i="15" s="1"/>
  <c r="X44" i="15" s="1"/>
  <c r="T7" i="14"/>
  <c r="W7" i="14" s="1"/>
  <c r="X7" i="14" s="1"/>
  <c r="T35" i="14"/>
  <c r="W35" i="14" s="1"/>
  <c r="X35" i="14" s="1"/>
  <c r="T18" i="12"/>
  <c r="W18" i="12" s="1"/>
  <c r="X18" i="12" s="1"/>
  <c r="T22" i="14"/>
  <c r="W22" i="14" s="1"/>
  <c r="X22" i="14" s="1"/>
  <c r="T25" i="13"/>
  <c r="W25" i="13" s="1"/>
  <c r="X25" i="13" s="1"/>
  <c r="T42" i="16"/>
  <c r="W42" i="16" s="1"/>
  <c r="X42" i="16" s="1"/>
  <c r="T38" i="14"/>
  <c r="W38" i="14" s="1"/>
  <c r="X38" i="14" s="1"/>
  <c r="T12" i="16"/>
  <c r="W12" i="16" s="1"/>
  <c r="X12" i="16" s="1"/>
  <c r="T18" i="15"/>
  <c r="W18" i="15" s="1"/>
  <c r="X18" i="15" s="1"/>
  <c r="T6" i="12"/>
  <c r="W6" i="12" s="1"/>
  <c r="X6" i="12" s="1"/>
  <c r="T30" i="14"/>
  <c r="W30" i="14" s="1"/>
  <c r="X30" i="14" s="1"/>
  <c r="T21" i="14"/>
  <c r="W21" i="14" s="1"/>
  <c r="X21" i="14" s="1"/>
  <c r="T49" i="12"/>
  <c r="W49" i="12" s="1"/>
  <c r="X49" i="12" s="1"/>
  <c r="T30" i="15"/>
  <c r="W30" i="15" s="1"/>
  <c r="X30" i="15" s="1"/>
  <c r="T35" i="12"/>
  <c r="W35" i="12" s="1"/>
  <c r="X35" i="12" s="1"/>
  <c r="T23" i="12"/>
  <c r="W23" i="12" s="1"/>
  <c r="X23" i="12" s="1"/>
  <c r="T11" i="13"/>
  <c r="W11" i="13" s="1"/>
  <c r="X11" i="13" s="1"/>
  <c r="T51" i="14"/>
  <c r="W51" i="14" s="1"/>
  <c r="X51" i="14" s="1"/>
  <c r="T45" i="16"/>
  <c r="W45" i="16" s="1"/>
  <c r="X45" i="16" s="1"/>
  <c r="T49" i="13"/>
  <c r="W49" i="13" s="1"/>
  <c r="X49" i="13" s="1"/>
  <c r="T9" i="13"/>
  <c r="W9" i="13" s="1"/>
  <c r="X9" i="13" s="1"/>
  <c r="T19" i="14"/>
  <c r="W19" i="14" s="1"/>
  <c r="X19" i="14" s="1"/>
  <c r="T34" i="12"/>
  <c r="W34" i="12" s="1"/>
  <c r="X34" i="12" s="1"/>
  <c r="T26" i="12"/>
  <c r="W26" i="12" s="1"/>
  <c r="X26" i="12" s="1"/>
  <c r="T24" i="16"/>
  <c r="W24" i="16" s="1"/>
  <c r="X24" i="16" s="1"/>
  <c r="T29" i="14"/>
  <c r="W29" i="14" s="1"/>
  <c r="X29" i="14" s="1"/>
  <c r="T48" i="12"/>
  <c r="W48" i="12" s="1"/>
  <c r="X48" i="12" s="1"/>
  <c r="T44" i="16"/>
  <c r="W44" i="16" s="1"/>
  <c r="X44" i="16" s="1"/>
  <c r="T17" i="13"/>
  <c r="W17" i="13" s="1"/>
  <c r="X17" i="13" s="1"/>
  <c r="T12" i="12"/>
  <c r="W12" i="12" s="1"/>
  <c r="X12" i="12" s="1"/>
  <c r="T28" i="12"/>
  <c r="W28" i="12" s="1"/>
  <c r="X28" i="12" s="1"/>
  <c r="T17" i="12"/>
  <c r="W17" i="12" s="1"/>
  <c r="X17" i="12" s="1"/>
  <c r="T21" i="16"/>
  <c r="W21" i="16" s="1"/>
  <c r="X21" i="16" s="1"/>
  <c r="T24" i="14"/>
  <c r="W24" i="14" s="1"/>
  <c r="X24" i="14" s="1"/>
  <c r="T38" i="12"/>
  <c r="W38" i="12" s="1"/>
  <c r="X38" i="12" s="1"/>
  <c r="T34" i="14"/>
  <c r="W34" i="14" s="1"/>
  <c r="X34" i="14" s="1"/>
  <c r="T23" i="13"/>
  <c r="W23" i="13" s="1"/>
  <c r="X23" i="13" s="1"/>
  <c r="T41" i="12"/>
  <c r="W41" i="12" s="1"/>
  <c r="X41" i="12" s="1"/>
  <c r="T31" i="13"/>
  <c r="W31" i="13" s="1"/>
  <c r="X31" i="13" s="1"/>
  <c r="T15" i="14"/>
  <c r="W15" i="14" s="1"/>
  <c r="X15" i="14" s="1"/>
  <c r="T39" i="13"/>
  <c r="W39" i="13" s="1"/>
  <c r="X39" i="13" s="1"/>
  <c r="T38" i="13"/>
  <c r="W38" i="13" s="1"/>
  <c r="X38" i="13" s="1"/>
  <c r="T15" i="12"/>
  <c r="W15" i="12" s="1"/>
  <c r="X15" i="12" s="1"/>
  <c r="T31" i="12"/>
  <c r="W31" i="12" s="1"/>
  <c r="X31" i="12" s="1"/>
  <c r="T15" i="13"/>
  <c r="W15" i="13" s="1"/>
  <c r="X15" i="13" s="1"/>
  <c r="T51" i="13"/>
  <c r="W51" i="13" s="1"/>
  <c r="X51" i="13" s="1"/>
  <c r="T43" i="13"/>
  <c r="W43" i="13" s="1"/>
  <c r="X43" i="13" s="1"/>
  <c r="T51" i="12"/>
  <c r="W51" i="12" s="1"/>
  <c r="X51" i="12" s="1"/>
  <c r="T27" i="14"/>
  <c r="W27" i="14" s="1"/>
  <c r="X27" i="14" s="1"/>
  <c r="T41" i="14"/>
  <c r="W41" i="14" s="1"/>
  <c r="X41" i="14" s="1"/>
  <c r="T46" i="13"/>
  <c r="W46" i="13" s="1"/>
  <c r="X46" i="13" s="1"/>
  <c r="T50" i="14"/>
  <c r="W50" i="14" s="1"/>
  <c r="X50" i="14" s="1"/>
  <c r="T18" i="16"/>
  <c r="W18" i="16" s="1"/>
  <c r="X18" i="16" s="1"/>
  <c r="T22" i="12"/>
  <c r="W22" i="12" s="1"/>
  <c r="X22" i="12" s="1"/>
  <c r="T7" i="12"/>
  <c r="W7" i="12" s="1"/>
  <c r="X7" i="12" s="1"/>
  <c r="T28" i="14"/>
  <c r="W28" i="14" s="1"/>
  <c r="X28" i="14" s="1"/>
  <c r="T49" i="16"/>
  <c r="W49" i="16" s="1"/>
  <c r="X49" i="16" s="1"/>
  <c r="T35" i="13"/>
  <c r="W35" i="13" s="1"/>
  <c r="X35" i="13" s="1"/>
  <c r="T11" i="14"/>
  <c r="W11" i="14" s="1"/>
  <c r="X11" i="14" s="1"/>
  <c r="T32" i="14"/>
  <c r="W32" i="14" s="1"/>
  <c r="X32" i="14" s="1"/>
  <c r="T15" i="15"/>
  <c r="W15" i="15" s="1"/>
  <c r="X15" i="15" s="1"/>
  <c r="T43" i="12"/>
  <c r="W43" i="12" s="1"/>
  <c r="X43" i="12" s="1"/>
  <c r="T13" i="15"/>
  <c r="W13" i="15" s="1"/>
  <c r="X13" i="15" s="1"/>
  <c r="T12" i="14"/>
  <c r="W12" i="14" s="1"/>
  <c r="X12" i="14" s="1"/>
  <c r="T24" i="15"/>
  <c r="W24" i="15" s="1"/>
  <c r="X24" i="15" s="1"/>
  <c r="T6" i="13"/>
  <c r="W6" i="13" s="1"/>
  <c r="X6" i="13" s="1"/>
  <c r="T20" i="12"/>
  <c r="W20" i="12" s="1"/>
  <c r="X20" i="12" s="1"/>
  <c r="T19" i="13"/>
  <c r="W19" i="13" s="1"/>
  <c r="X19" i="13" s="1"/>
  <c r="T16" i="14"/>
  <c r="W16" i="14" s="1"/>
  <c r="X16" i="14" s="1"/>
  <c r="T45" i="12"/>
  <c r="W45" i="12" s="1"/>
  <c r="X45" i="12" s="1"/>
  <c r="T13" i="13"/>
  <c r="W13" i="13" s="1"/>
  <c r="X13" i="13" s="1"/>
  <c r="T43" i="16"/>
  <c r="W43" i="16" s="1"/>
  <c r="X43" i="16" s="1"/>
  <c r="T28" i="13"/>
  <c r="W28" i="13" s="1"/>
  <c r="X28" i="13" s="1"/>
  <c r="T46" i="16"/>
  <c r="W46" i="16" s="1"/>
  <c r="X46" i="16" s="1"/>
  <c r="T7" i="13"/>
  <c r="W7" i="13" s="1"/>
  <c r="X7" i="13" s="1"/>
  <c r="T37" i="14"/>
  <c r="W37" i="14" s="1"/>
  <c r="X37" i="14" s="1"/>
  <c r="T10" i="15"/>
  <c r="W10" i="15" s="1"/>
  <c r="X10" i="15" s="1"/>
  <c r="T41" i="13"/>
  <c r="W41" i="13" s="1"/>
  <c r="X41" i="13" s="1"/>
  <c r="T6" i="14"/>
  <c r="W6" i="14" s="1"/>
  <c r="X6" i="14" s="1"/>
  <c r="T21" i="12"/>
  <c r="W21" i="12" s="1"/>
  <c r="X21" i="12" s="1"/>
  <c r="T39" i="15"/>
  <c r="W39" i="15" s="1"/>
  <c r="X39" i="15" s="1"/>
  <c r="T16" i="12"/>
  <c r="W16" i="12" s="1"/>
  <c r="X16" i="12" s="1"/>
  <c r="T36" i="12"/>
  <c r="W36" i="12" s="1"/>
  <c r="X36" i="12" s="1"/>
  <c r="T11" i="12"/>
  <c r="W11" i="12" s="1"/>
  <c r="X11" i="12" s="1"/>
  <c r="T14" i="12"/>
  <c r="W14" i="12" s="1"/>
  <c r="X14" i="12" s="1"/>
  <c r="T34" i="13"/>
  <c r="W34" i="13" s="1"/>
  <c r="X34" i="13" s="1"/>
  <c r="T14" i="13"/>
  <c r="W14" i="13" s="1"/>
  <c r="X14" i="13" s="1"/>
  <c r="T13" i="12"/>
  <c r="W13" i="12" s="1"/>
  <c r="X13" i="12" s="1"/>
  <c r="T45" i="14"/>
  <c r="W45" i="14" s="1"/>
  <c r="X45" i="14" s="1"/>
  <c r="T42" i="15"/>
  <c r="W42" i="15" s="1"/>
  <c r="X42" i="15" s="1"/>
  <c r="T22" i="16"/>
  <c r="W22" i="16" s="1"/>
  <c r="X22" i="16" s="1"/>
  <c r="T35" i="16"/>
  <c r="W35" i="16" s="1"/>
  <c r="X35" i="16" s="1"/>
  <c r="T42" i="12"/>
  <c r="W42" i="12" s="1"/>
  <c r="X42" i="12" s="1"/>
  <c r="T13" i="14"/>
  <c r="W13" i="14" s="1"/>
  <c r="X13" i="14" s="1"/>
  <c r="T33" i="15"/>
  <c r="W33" i="15" s="1"/>
  <c r="X33" i="15" s="1"/>
  <c r="T8" i="13"/>
  <c r="W8" i="13" s="1"/>
  <c r="X8" i="13" s="1"/>
  <c r="T8" i="12"/>
  <c r="W8" i="12" s="1"/>
  <c r="X8" i="12" s="1"/>
  <c r="T11" i="16"/>
  <c r="W11" i="16" s="1"/>
  <c r="X11" i="16" s="1"/>
  <c r="T23" i="14"/>
  <c r="W23" i="14" s="1"/>
  <c r="X23" i="14" s="1"/>
  <c r="T10" i="14"/>
  <c r="W10" i="14" s="1"/>
  <c r="X10" i="14" s="1"/>
  <c r="T26" i="13"/>
  <c r="W26" i="13" s="1"/>
  <c r="X26" i="13" s="1"/>
  <c r="T19" i="15"/>
  <c r="W19" i="15" s="1"/>
  <c r="X19" i="15" s="1"/>
  <c r="T41" i="15"/>
  <c r="W41" i="15" s="1"/>
  <c r="X41" i="15" s="1"/>
  <c r="T15" i="16"/>
  <c r="W15" i="16" s="1"/>
  <c r="X15" i="16" s="1"/>
  <c r="T20" i="15"/>
  <c r="W20" i="15" s="1"/>
  <c r="X20" i="15" s="1"/>
  <c r="T14" i="16"/>
  <c r="W14" i="16" s="1"/>
  <c r="X14" i="16" s="1"/>
  <c r="T10" i="16"/>
  <c r="W10" i="16" s="1"/>
  <c r="X10" i="16" s="1"/>
  <c r="T26" i="15"/>
  <c r="W26" i="15" s="1"/>
  <c r="X26" i="15" s="1"/>
  <c r="T20" i="13"/>
  <c r="W20" i="13" s="1"/>
  <c r="X20" i="13" s="1"/>
  <c r="T32" i="12"/>
  <c r="W32" i="12" s="1"/>
  <c r="X32" i="12" s="1"/>
  <c r="T22" i="15"/>
  <c r="W22" i="15" s="1"/>
  <c r="X22" i="15" s="1"/>
  <c r="T32" i="13"/>
  <c r="W32" i="13" s="1"/>
  <c r="X32" i="13" s="1"/>
  <c r="T37" i="13"/>
  <c r="W37" i="13" s="1"/>
  <c r="X37" i="13" s="1"/>
  <c r="T46" i="12"/>
  <c r="W46" i="12" s="1"/>
  <c r="X46" i="12" s="1"/>
  <c r="T40" i="16"/>
  <c r="W40" i="16" s="1"/>
  <c r="X40" i="16" s="1"/>
  <c r="T27" i="15"/>
  <c r="W27" i="15" s="1"/>
  <c r="X27" i="15" s="1"/>
  <c r="T9" i="12"/>
  <c r="W9" i="12" s="1"/>
  <c r="X9" i="12" s="1"/>
  <c r="T18" i="14"/>
  <c r="W18" i="14" s="1"/>
  <c r="X18" i="14" s="1"/>
  <c r="T38" i="15"/>
  <c r="W38" i="15" s="1"/>
  <c r="X38" i="15" s="1"/>
  <c r="T27" i="12"/>
  <c r="W27" i="12" s="1"/>
  <c r="X27" i="12" s="1"/>
  <c r="T26" i="14"/>
  <c r="W26" i="14" s="1"/>
  <c r="X26" i="14" s="1"/>
  <c r="T16" i="16"/>
  <c r="W16" i="16" s="1"/>
  <c r="X16" i="16" s="1"/>
  <c r="T19" i="12"/>
  <c r="W19" i="12" s="1"/>
  <c r="X19" i="12" s="1"/>
  <c r="T39" i="12"/>
  <c r="W39" i="12" s="1"/>
  <c r="X39" i="12" s="1"/>
  <c r="T29" i="12"/>
  <c r="W29" i="12" s="1"/>
  <c r="X29" i="12" s="1"/>
  <c r="T36" i="15"/>
  <c r="W36" i="15" s="1"/>
  <c r="X36" i="15" s="1"/>
  <c r="T47" i="12"/>
  <c r="W47" i="12" s="1"/>
  <c r="X47" i="12" s="1"/>
  <c r="T44" i="12"/>
  <c r="W44" i="12" s="1"/>
  <c r="X44" i="12" s="1"/>
  <c r="T47" i="13"/>
  <c r="W47" i="13" s="1"/>
  <c r="X47" i="13" s="1"/>
  <c r="T49" i="14"/>
  <c r="W49" i="14" s="1"/>
  <c r="X49" i="14" s="1"/>
  <c r="T24" i="12"/>
  <c r="W24" i="12" s="1"/>
  <c r="X24" i="12" s="1"/>
  <c r="T25" i="15"/>
  <c r="W25" i="15" s="1"/>
  <c r="X25" i="15" s="1"/>
  <c r="T42" i="14"/>
  <c r="W42" i="14" s="1"/>
  <c r="X42" i="14" s="1"/>
  <c r="T34" i="16"/>
  <c r="W34" i="16" s="1"/>
  <c r="X34" i="16" s="1"/>
  <c r="T9" i="14"/>
  <c r="W9" i="14" s="1"/>
  <c r="X9" i="14" s="1"/>
  <c r="T16" i="13"/>
  <c r="W16" i="13" s="1"/>
  <c r="X16" i="13" s="1"/>
  <c r="T31" i="15"/>
  <c r="W31" i="15" s="1"/>
  <c r="X31" i="15" s="1"/>
  <c r="T33" i="12"/>
  <c r="W33" i="12" s="1"/>
  <c r="X33" i="12" s="1"/>
  <c r="T8" i="15"/>
  <c r="W8" i="15" s="1"/>
  <c r="X8" i="15" s="1"/>
  <c r="T36" i="13"/>
  <c r="W36" i="13" s="1"/>
  <c r="X36" i="13" s="1"/>
  <c r="T40" i="14"/>
  <c r="W40" i="14" s="1"/>
  <c r="X40" i="14" s="1"/>
  <c r="T47" i="14"/>
  <c r="W47" i="14" s="1"/>
  <c r="X47" i="14" s="1"/>
  <c r="T28" i="15"/>
  <c r="W28" i="15" s="1"/>
  <c r="X28" i="15" s="1"/>
  <c r="T6" i="16"/>
  <c r="W6" i="16" s="1"/>
  <c r="X6" i="16" s="1"/>
  <c r="T7" i="16"/>
  <c r="W7" i="16" s="1"/>
  <c r="X7" i="16" s="1"/>
  <c r="T25" i="12"/>
  <c r="W25" i="12" s="1"/>
  <c r="X25" i="12" s="1"/>
  <c r="T18" i="13"/>
  <c r="W18" i="13" s="1"/>
  <c r="X18" i="13" s="1"/>
  <c r="T31" i="16"/>
  <c r="W31" i="16" s="1"/>
  <c r="X31" i="16" s="1"/>
  <c r="T6" i="15"/>
  <c r="W6" i="15" s="1"/>
  <c r="X6" i="15" s="1"/>
  <c r="T35" i="15"/>
  <c r="W35" i="15" s="1"/>
  <c r="X35" i="15" s="1"/>
  <c r="T22" i="13"/>
  <c r="W22" i="13" s="1"/>
  <c r="X22" i="13" s="1"/>
  <c r="T19" i="16"/>
  <c r="W19" i="16" s="1"/>
  <c r="X19" i="16" s="1"/>
  <c r="T17" i="16"/>
  <c r="W17" i="16" s="1"/>
  <c r="X17" i="16" s="1"/>
  <c r="T12" i="15"/>
  <c r="W12" i="15" s="1"/>
  <c r="X12" i="15" s="1"/>
  <c r="T29" i="16"/>
  <c r="W29" i="16" s="1"/>
  <c r="X29" i="16" s="1"/>
  <c r="T33" i="14"/>
  <c r="W33" i="14" s="1"/>
  <c r="X33" i="14" s="1"/>
  <c r="T8" i="16"/>
  <c r="W8" i="16" s="1"/>
  <c r="X8" i="16" s="1"/>
  <c r="T25" i="14"/>
  <c r="W25" i="14" s="1"/>
  <c r="X25" i="14" s="1"/>
  <c r="T44" i="14"/>
  <c r="W44" i="14" s="1"/>
  <c r="X44" i="14" s="1"/>
  <c r="T50" i="13"/>
  <c r="W50" i="13" s="1"/>
  <c r="X50" i="13" s="1"/>
  <c r="T48" i="13"/>
  <c r="W48" i="13" s="1"/>
  <c r="X48" i="13" s="1"/>
  <c r="T47" i="16"/>
  <c r="W47" i="16" s="1"/>
  <c r="X47" i="16" s="1"/>
  <c r="T20" i="16"/>
  <c r="W20" i="16" s="1"/>
  <c r="X20" i="16" s="1"/>
  <c r="T14" i="15"/>
  <c r="W14" i="15" s="1"/>
  <c r="X14" i="15" s="1"/>
  <c r="T17" i="15"/>
  <c r="W17" i="15" s="1"/>
  <c r="X17" i="15" s="1"/>
  <c r="T13" i="16"/>
  <c r="W13" i="16" s="1"/>
  <c r="X13" i="16" s="1"/>
  <c r="T31" i="14"/>
  <c r="W31" i="14" s="1"/>
  <c r="X31" i="14" s="1"/>
  <c r="T26" i="16"/>
  <c r="W26" i="16" s="1"/>
  <c r="X26" i="16" s="1"/>
  <c r="T37" i="16"/>
  <c r="W37" i="16" s="1"/>
  <c r="X37" i="16" s="1"/>
  <c r="T30" i="16"/>
  <c r="W30" i="16" s="1"/>
  <c r="X30" i="16" s="1"/>
  <c r="T34" i="15"/>
  <c r="W34" i="15" s="1"/>
  <c r="X34" i="15" s="1"/>
  <c r="T50" i="12"/>
  <c r="W50" i="12" s="1"/>
  <c r="X50" i="12" s="1"/>
  <c r="T41" i="16"/>
  <c r="W41" i="16" s="1"/>
  <c r="X41" i="16" s="1"/>
  <c r="T10" i="12"/>
  <c r="W10" i="12" s="1"/>
  <c r="X10" i="12" s="1"/>
  <c r="T32" i="15"/>
  <c r="W32" i="15" s="1"/>
  <c r="X32" i="15" s="1"/>
  <c r="T51" i="16"/>
  <c r="W51" i="16" s="1"/>
  <c r="X51" i="16" s="1"/>
  <c r="T29" i="15"/>
  <c r="W29" i="15" s="1"/>
  <c r="X29" i="15" s="1"/>
  <c r="T40" i="13"/>
  <c r="W40" i="13" s="1"/>
  <c r="X40" i="13" s="1"/>
  <c r="T12" i="13"/>
  <c r="W12" i="13" s="1"/>
  <c r="X12" i="13" s="1"/>
  <c r="T28" i="16"/>
  <c r="W28" i="16" s="1"/>
  <c r="X28" i="16" s="1"/>
  <c r="T11" i="15"/>
  <c r="W11" i="15" s="1"/>
  <c r="X11" i="15" s="1"/>
  <c r="T23" i="15"/>
  <c r="W23" i="15" s="1"/>
  <c r="X23" i="15" s="1"/>
  <c r="T36" i="16"/>
  <c r="W36" i="16" s="1"/>
  <c r="X36" i="16" s="1"/>
  <c r="T21" i="13"/>
  <c r="W21" i="13" s="1"/>
  <c r="X21" i="13" s="1"/>
  <c r="T48" i="14"/>
  <c r="W48" i="14" s="1"/>
  <c r="X48" i="14" s="1"/>
  <c r="T24" i="13"/>
  <c r="W24" i="13" s="1"/>
  <c r="X24" i="13" s="1"/>
  <c r="T27" i="13"/>
  <c r="W27" i="13" s="1"/>
  <c r="X27" i="13" s="1"/>
  <c r="D1265" i="2"/>
  <c r="D1288" i="2"/>
  <c r="T48" i="16"/>
  <c r="W48" i="16" s="1"/>
  <c r="X48" i="16" s="1"/>
  <c r="T33" i="13"/>
  <c r="W33" i="13" s="1"/>
  <c r="X33" i="13" s="1"/>
  <c r="T43" i="14"/>
  <c r="W43" i="14" s="1"/>
  <c r="X43" i="14" s="1"/>
  <c r="T45" i="13"/>
  <c r="W45" i="13" s="1"/>
  <c r="X45" i="13" s="1"/>
  <c r="T25" i="16"/>
  <c r="W25" i="16" s="1"/>
  <c r="X25" i="16" s="1"/>
  <c r="T27" i="16"/>
  <c r="W27" i="16" s="1"/>
  <c r="X27" i="16" s="1"/>
  <c r="T46" i="14"/>
  <c r="W46" i="14" s="1"/>
  <c r="X46" i="14" s="1"/>
  <c r="T20" i="14"/>
  <c r="W20" i="14" s="1"/>
  <c r="X20" i="14" s="1"/>
  <c r="T38" i="16"/>
  <c r="W38" i="16" s="1"/>
  <c r="X38" i="16" s="1"/>
  <c r="T42" i="13"/>
  <c r="W42" i="13" s="1"/>
  <c r="X42" i="13" s="1"/>
  <c r="T50" i="16"/>
  <c r="W50" i="16" s="1"/>
  <c r="X50" i="16" s="1"/>
  <c r="T37" i="15"/>
  <c r="W37" i="15" s="1"/>
  <c r="X37" i="15" s="1"/>
  <c r="T14" i="14"/>
  <c r="W14" i="14" s="1"/>
  <c r="X14" i="14" s="1"/>
  <c r="T7" i="15"/>
  <c r="W7" i="15" s="1"/>
  <c r="X7" i="15" s="1"/>
  <c r="T40" i="15"/>
  <c r="W40" i="15" s="1"/>
  <c r="X40" i="15" s="1"/>
  <c r="T43" i="15"/>
  <c r="W43" i="15" s="1"/>
  <c r="X43" i="15" s="1"/>
  <c r="C83" i="18" l="1"/>
  <c r="R71" i="3"/>
  <c r="X52" i="12"/>
  <c r="X52" i="13"/>
  <c r="X45" i="15"/>
  <c r="X52" i="16"/>
  <c r="X52" i="14"/>
  <c r="C88" i="18" l="1"/>
  <c r="C82" i="18" s="1"/>
  <c r="B44" i="18"/>
  <c r="B54" i="18" s="1"/>
  <c r="B83" i="18" s="1"/>
  <c r="E1270" i="2"/>
  <c r="E1278" i="2" s="1"/>
  <c r="X1089" i="2"/>
  <c r="E1238" i="2"/>
  <c r="E1255" i="2" s="1"/>
  <c r="E1265" i="2" l="1"/>
  <c r="B88" i="18"/>
  <c r="B82" i="18" s="1"/>
  <c r="X5" i="2"/>
</calcChain>
</file>

<file path=xl/sharedStrings.xml><?xml version="1.0" encoding="utf-8"?>
<sst xmlns="http://schemas.openxmlformats.org/spreadsheetml/2006/main" count="3083" uniqueCount="654">
  <si>
    <t>LISTINO CALKOS 2014</t>
  </si>
  <si>
    <t>ALLUMINIO</t>
  </si>
  <si>
    <t>EXTRA PER SPESSORE</t>
  </si>
  <si>
    <t>LARGHEZZA NASTRI</t>
  </si>
  <si>
    <t>Alluminio</t>
  </si>
  <si>
    <t>Ottone</t>
  </si>
  <si>
    <t>Rame</t>
  </si>
  <si>
    <t>mm 8 - 15</t>
  </si>
  <si>
    <t>mm 15,1 - 30</t>
  </si>
  <si>
    <t>0,20 mm</t>
  </si>
  <si>
    <t>0,10 - 0,19 mm</t>
  </si>
  <si>
    <t>0,25 mm</t>
  </si>
  <si>
    <t>0,20 -0,29 mm</t>
  </si>
  <si>
    <t>0,30 mm</t>
  </si>
  <si>
    <t>0,30 - 0,49 mm</t>
  </si>
  <si>
    <t>0,35 mm</t>
  </si>
  <si>
    <t>0,50 - 0,79 mm</t>
  </si>
  <si>
    <t>0,40 mm</t>
  </si>
  <si>
    <t>0,80 - 1,5 mm</t>
  </si>
  <si>
    <t>0,50 mm</t>
  </si>
  <si>
    <t>&gt; 1,6 mm</t>
  </si>
  <si>
    <t>0,60 mm</t>
  </si>
  <si>
    <t>0,70 mm</t>
  </si>
  <si>
    <t>0,80 mm</t>
  </si>
  <si>
    <t>0,90 mm</t>
  </si>
  <si>
    <t>1,00 mm</t>
  </si>
  <si>
    <t>1,20 mm</t>
  </si>
  <si>
    <t>1,50 mm</t>
  </si>
  <si>
    <t>2,00 mm</t>
  </si>
  <si>
    <t>2,50 mm</t>
  </si>
  <si>
    <t>3,00 mm</t>
  </si>
  <si>
    <t>OTTONE</t>
  </si>
  <si>
    <t>mm20,1-25</t>
  </si>
  <si>
    <t>mm 15,1 - 20</t>
  </si>
  <si>
    <t>RAME</t>
  </si>
  <si>
    <t>QUANTITATIVI INFERIORI AI KG 500 + € 0,10</t>
  </si>
  <si>
    <t>Ordine</t>
  </si>
  <si>
    <t>Cliente</t>
  </si>
  <si>
    <t>Kg</t>
  </si>
  <si>
    <t>Materiale</t>
  </si>
  <si>
    <t>Spessore</t>
  </si>
  <si>
    <t>Larghezza</t>
  </si>
  <si>
    <t>Provvigione</t>
  </si>
  <si>
    <t>Pr Lav spess</t>
  </si>
  <si>
    <t>Pr Lav Larg</t>
  </si>
  <si>
    <t>Pr  Lav Totale</t>
  </si>
  <si>
    <t>Prezzo di vendita</t>
  </si>
  <si>
    <t>Agente</t>
  </si>
  <si>
    <t>Commissioni</t>
  </si>
  <si>
    <t xml:space="preserve">              Prezzi di lavorazione</t>
  </si>
  <si>
    <t>Differenza</t>
  </si>
  <si>
    <t>Prezzo</t>
  </si>
  <si>
    <t>Al</t>
  </si>
  <si>
    <t xml:space="preserve">        Materiale</t>
  </si>
  <si>
    <t>Commissioni Calkos</t>
  </si>
  <si>
    <t>Kg Venduti</t>
  </si>
  <si>
    <t>Commissioni Luca</t>
  </si>
  <si>
    <t>Commissioni Giussani</t>
  </si>
  <si>
    <t>Commissioni Wetter</t>
  </si>
  <si>
    <t>Controllo</t>
  </si>
  <si>
    <t>Clienti</t>
  </si>
  <si>
    <t>Luca</t>
  </si>
  <si>
    <t>Imponibile</t>
  </si>
  <si>
    <t>Kg Totali</t>
  </si>
  <si>
    <t>Ra 23%</t>
  </si>
  <si>
    <t>Totale Ft</t>
  </si>
  <si>
    <t xml:space="preserve">           Fatturazione</t>
  </si>
  <si>
    <t xml:space="preserve">           CALCOLO PROVVIGIONI LUCA</t>
  </si>
  <si>
    <t xml:space="preserve">           CALCOLO PROVVIGIONI IVAN</t>
  </si>
  <si>
    <t>Commissioni Ivan</t>
  </si>
  <si>
    <t>Commissioni EMG</t>
  </si>
  <si>
    <t>Commissioni Zucchiatti</t>
  </si>
  <si>
    <t>Commissioni FdueG</t>
  </si>
  <si>
    <t>Commissioni Sirmet</t>
  </si>
  <si>
    <t xml:space="preserve">Commissioni </t>
  </si>
  <si>
    <t>IVA 22%</t>
  </si>
  <si>
    <t>Totale Vs Cred</t>
  </si>
  <si>
    <t>Ivan</t>
  </si>
  <si>
    <t xml:space="preserve">     Kg</t>
  </si>
  <si>
    <t xml:space="preserve">     Commissione fissa</t>
  </si>
  <si>
    <t>Al 0,07/Kg</t>
  </si>
  <si>
    <t>Al 0,10/Kg</t>
  </si>
  <si>
    <t>Al 0,18/Kg</t>
  </si>
  <si>
    <t>Cu 0,10/Kg</t>
  </si>
  <si>
    <t>Cu 0,18/Kg</t>
  </si>
  <si>
    <t>Ot 0,10/Kg</t>
  </si>
  <si>
    <t>Ot 0,18/Kg</t>
  </si>
  <si>
    <t>mm 0</t>
  </si>
  <si>
    <t>Extra prezzo Kg</t>
  </si>
  <si>
    <t>Extra Prezzo Stagnato</t>
  </si>
  <si>
    <t>Trafomec</t>
  </si>
  <si>
    <t>Elettroplastica</t>
  </si>
  <si>
    <t>Meca</t>
  </si>
  <si>
    <t>Icar</t>
  </si>
  <si>
    <t>Provvigioni</t>
  </si>
  <si>
    <t>Braga</t>
  </si>
  <si>
    <t>Wattsud</t>
  </si>
  <si>
    <t>Emg</t>
  </si>
  <si>
    <t>Piola</t>
  </si>
  <si>
    <t>Zucchiatti</t>
  </si>
  <si>
    <t>FdueG</t>
  </si>
  <si>
    <t>MP</t>
  </si>
  <si>
    <t>Newton</t>
  </si>
  <si>
    <t>Piossasco</t>
  </si>
  <si>
    <t>Elpi Castresin</t>
  </si>
  <si>
    <t>Alge</t>
  </si>
  <si>
    <t>Eletrafo</t>
  </si>
  <si>
    <t>Tecnomitra</t>
  </si>
  <si>
    <t>MF</t>
  </si>
  <si>
    <t>Sirmet</t>
  </si>
  <si>
    <t>Neotrade</t>
  </si>
  <si>
    <t>Elca</t>
  </si>
  <si>
    <t>Marnate</t>
  </si>
  <si>
    <t>Amer</t>
  </si>
  <si>
    <t>Colombo</t>
  </si>
  <si>
    <t>Project</t>
  </si>
  <si>
    <t>Mace</t>
  </si>
  <si>
    <t>Wetter</t>
  </si>
  <si>
    <t>Giussani</t>
  </si>
  <si>
    <t>Trafomec SA</t>
  </si>
  <si>
    <t>Scadenza</t>
  </si>
  <si>
    <t>30 gg</t>
  </si>
  <si>
    <t>60 gg</t>
  </si>
  <si>
    <t>90 gg</t>
  </si>
  <si>
    <t>FATTURAZIONE COBRAL 2014 PER CALKOS</t>
  </si>
  <si>
    <t>MG</t>
  </si>
  <si>
    <t>Gts</t>
  </si>
  <si>
    <t>Fattura n.</t>
  </si>
  <si>
    <t>V00004</t>
  </si>
  <si>
    <t>NEOTRADE</t>
  </si>
  <si>
    <t>V00005</t>
  </si>
  <si>
    <t>V000073</t>
  </si>
  <si>
    <t>MECA</t>
  </si>
  <si>
    <t>V00095</t>
  </si>
  <si>
    <t>GTS</t>
  </si>
  <si>
    <t>B00204</t>
  </si>
  <si>
    <t>BRAGA</t>
  </si>
  <si>
    <t>B00202</t>
  </si>
  <si>
    <t>NEWTON</t>
  </si>
  <si>
    <t>V00071</t>
  </si>
  <si>
    <t>ICAR</t>
  </si>
  <si>
    <t>V00072</t>
  </si>
  <si>
    <t>V00076</t>
  </si>
  <si>
    <t>PIOLA</t>
  </si>
  <si>
    <t>V00085</t>
  </si>
  <si>
    <t>ELCA</t>
  </si>
  <si>
    <t>V00090</t>
  </si>
  <si>
    <t>WETTER</t>
  </si>
  <si>
    <t>ELETRAFO</t>
  </si>
  <si>
    <t>EL.PI CAST</t>
  </si>
  <si>
    <t>B00166</t>
  </si>
  <si>
    <t>B00203</t>
  </si>
  <si>
    <t>B00081</t>
  </si>
  <si>
    <t>TRAFOMEC</t>
  </si>
  <si>
    <t>Media mese</t>
  </si>
  <si>
    <t>B00142</t>
  </si>
  <si>
    <t>B00165</t>
  </si>
  <si>
    <t>V00130</t>
  </si>
  <si>
    <t>V00108</t>
  </si>
  <si>
    <t>V00113</t>
  </si>
  <si>
    <t>V00114</t>
  </si>
  <si>
    <t>V00117</t>
  </si>
  <si>
    <t>Galliera</t>
  </si>
  <si>
    <t>KM</t>
  </si>
  <si>
    <t>Commissioni Elast</t>
  </si>
  <si>
    <t>Commissioni KM</t>
  </si>
  <si>
    <t>Commissioni Masolini</t>
  </si>
  <si>
    <t>Commissioni MG</t>
  </si>
  <si>
    <t>Commissioni Fenaroli</t>
  </si>
  <si>
    <t>Trasfor</t>
  </si>
  <si>
    <t>SGM</t>
  </si>
  <si>
    <t>Jast</t>
  </si>
  <si>
    <t>POL</t>
  </si>
  <si>
    <t>Bronzo</t>
  </si>
  <si>
    <t>B</t>
  </si>
  <si>
    <t>Bronzo - CuSn6</t>
  </si>
  <si>
    <t>prezzi di lavorazione a Prezzo Pieno</t>
  </si>
  <si>
    <t>LARGHEZZA mm.</t>
  </si>
  <si>
    <t>mm7,0-14,9</t>
  </si>
  <si>
    <t>mm15-29,9</t>
  </si>
  <si>
    <t>mm30-59,9</t>
  </si>
  <si>
    <t>mm60-500</t>
  </si>
  <si>
    <t>SPESSORI mm.</t>
  </si>
  <si>
    <t>0,10-0,15</t>
  </si>
  <si>
    <t>0,16-0,25</t>
  </si>
  <si>
    <t>0,26-0,40</t>
  </si>
  <si>
    <t>0,41-0,60</t>
  </si>
  <si>
    <t>0,61-1,50</t>
  </si>
  <si>
    <t>&gt;1,51</t>
  </si>
  <si>
    <t>-</t>
  </si>
  <si>
    <t>Altre percentuali</t>
  </si>
  <si>
    <t>Mottura</t>
  </si>
  <si>
    <t>Trafomec SRL</t>
  </si>
  <si>
    <t>Tesar</t>
  </si>
  <si>
    <t>Progress</t>
  </si>
  <si>
    <t>Rapeti</t>
  </si>
  <si>
    <t>Totale</t>
  </si>
  <si>
    <t>Sea</t>
  </si>
  <si>
    <t>Pcm</t>
  </si>
  <si>
    <t>Elettromil</t>
  </si>
  <si>
    <t>commissioni</t>
  </si>
  <si>
    <t>percentuale</t>
  </si>
  <si>
    <t>kg</t>
  </si>
  <si>
    <t>Kg * %</t>
  </si>
  <si>
    <t>Hammond</t>
  </si>
  <si>
    <t>Ite</t>
  </si>
  <si>
    <t>Montrucchio</t>
  </si>
  <si>
    <t>Ortea</t>
  </si>
  <si>
    <t>Siltech</t>
  </si>
  <si>
    <t>MTP</t>
  </si>
  <si>
    <t>Intermagnetics</t>
  </si>
  <si>
    <t>Baietti</t>
  </si>
  <si>
    <t>Tmc</t>
  </si>
  <si>
    <t>Abb</t>
  </si>
  <si>
    <t>SCM</t>
  </si>
  <si>
    <t>Commissioni Mace</t>
  </si>
  <si>
    <t>Commissioni Elettr. Colombo</t>
  </si>
  <si>
    <t>Commissioni ABB</t>
  </si>
  <si>
    <t>Trasfotec</t>
  </si>
  <si>
    <t>Ebg</t>
  </si>
  <si>
    <t>AEG</t>
  </si>
  <si>
    <t>Artel</t>
  </si>
  <si>
    <t>Bastia</t>
  </si>
  <si>
    <t>Bollani</t>
  </si>
  <si>
    <t>Catis</t>
  </si>
  <si>
    <t>Cea 2</t>
  </si>
  <si>
    <t>Chimimetal</t>
  </si>
  <si>
    <t>Cta</t>
  </si>
  <si>
    <t>Cts</t>
  </si>
  <si>
    <t>Elast</t>
  </si>
  <si>
    <t>Elektra Wire</t>
  </si>
  <si>
    <t>Fenaroli</t>
  </si>
  <si>
    <t>GBE</t>
  </si>
  <si>
    <t>Gida</t>
  </si>
  <si>
    <t>IBS</t>
  </si>
  <si>
    <t>eht</t>
  </si>
  <si>
    <t>BMI</t>
  </si>
  <si>
    <t>Duesse</t>
  </si>
  <si>
    <t>Trasfoproject</t>
  </si>
  <si>
    <t>Abbza</t>
  </si>
  <si>
    <t>fat</t>
  </si>
  <si>
    <t>Italweber</t>
  </si>
  <si>
    <t>Fashion</t>
  </si>
  <si>
    <t>0,45 mm</t>
  </si>
  <si>
    <t>0,55 mm</t>
  </si>
  <si>
    <t>Cabur</t>
  </si>
  <si>
    <t>Ocrev</t>
  </si>
  <si>
    <t>Tironi</t>
  </si>
  <si>
    <t>Zanetti</t>
  </si>
  <si>
    <t>Okram</t>
  </si>
  <si>
    <t>Glenair</t>
  </si>
  <si>
    <t>Ocrem</t>
  </si>
  <si>
    <t>Power Europe</t>
  </si>
  <si>
    <t>Getra</t>
  </si>
  <si>
    <t>Imefy</t>
  </si>
  <si>
    <t>Rizzi</t>
  </si>
  <si>
    <t>EA</t>
  </si>
  <si>
    <t>Gauss</t>
  </si>
  <si>
    <t>Espa</t>
  </si>
  <si>
    <t>Tamura</t>
  </si>
  <si>
    <t>Mec</t>
  </si>
  <si>
    <t>New Cta</t>
  </si>
  <si>
    <t>Feem</t>
  </si>
  <si>
    <t>Bticino</t>
  </si>
  <si>
    <t>Telecomponenti</t>
  </si>
  <si>
    <t>Arcansas</t>
  </si>
  <si>
    <t>Clienti totali</t>
  </si>
  <si>
    <t>Clienti movimentati</t>
  </si>
  <si>
    <t>Iskra</t>
  </si>
  <si>
    <t>Minifaber</t>
  </si>
  <si>
    <t>Ratto</t>
  </si>
  <si>
    <t>Gct</t>
  </si>
  <si>
    <t>Clienti persi</t>
  </si>
  <si>
    <t>p</t>
  </si>
  <si>
    <t>Clienti attivi</t>
  </si>
  <si>
    <t xml:space="preserve">RIEPILOGO CONSEGNE </t>
  </si>
  <si>
    <t>Anno 2018</t>
  </si>
  <si>
    <t>Mese</t>
  </si>
  <si>
    <t>Quantità</t>
  </si>
  <si>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</si>
  <si>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</si>
  <si>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</si>
  <si>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</si>
  <si>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</si>
  <si>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</si>
  <si>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</si>
  <si>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</si>
  <si>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</si>
  <si>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Ottobre</t>
  </si>
  <si>
    <t>Novembre</t>
  </si>
  <si>
    <t>Dicembre</t>
  </si>
  <si>
    <t>Anno 2019</t>
  </si>
  <si>
    <t>Data Consegna ipotetica</t>
  </si>
  <si>
    <t>Automation</t>
  </si>
  <si>
    <t>Commissioni OK</t>
  </si>
  <si>
    <t>Elhand</t>
  </si>
  <si>
    <t>Ips</t>
  </si>
  <si>
    <t>Gbe</t>
  </si>
  <si>
    <t>Getra Power</t>
  </si>
  <si>
    <t>Zennaro</t>
  </si>
  <si>
    <t>Utk</t>
  </si>
  <si>
    <t>Ice</t>
  </si>
  <si>
    <t>Totale kg</t>
  </si>
  <si>
    <t>Kg OK</t>
  </si>
  <si>
    <t>Meth</t>
  </si>
  <si>
    <t>0,65 mm</t>
  </si>
  <si>
    <t>0,85 mm</t>
  </si>
  <si>
    <t>1,25 mm</t>
  </si>
  <si>
    <t>1,60 mm</t>
  </si>
  <si>
    <t>1,70 mm</t>
  </si>
  <si>
    <t>1,80 mm</t>
  </si>
  <si>
    <t>1,90 mm</t>
  </si>
  <si>
    <t>Zurc</t>
  </si>
  <si>
    <t>1,35 mm</t>
  </si>
  <si>
    <t>1,40 mm</t>
  </si>
  <si>
    <t>1,45 mm</t>
  </si>
  <si>
    <t>1,55 mm</t>
  </si>
  <si>
    <t>1,65 mm</t>
  </si>
  <si>
    <t>1,75 mm</t>
  </si>
  <si>
    <t>1,85 mm</t>
  </si>
  <si>
    <t>1,95 mm</t>
  </si>
  <si>
    <t>1,05 mm</t>
  </si>
  <si>
    <t>1,10 mm</t>
  </si>
  <si>
    <t>1,15 mm</t>
  </si>
  <si>
    <t>0,95 mm</t>
  </si>
  <si>
    <t>0,75 mm</t>
  </si>
  <si>
    <t>1,30 mm</t>
  </si>
  <si>
    <t>Vazzoler</t>
  </si>
  <si>
    <t>Totale da fatturare</t>
  </si>
  <si>
    <t>Carbognin</t>
  </si>
  <si>
    <t>Efacec</t>
  </si>
  <si>
    <t>Cem</t>
  </si>
  <si>
    <t>Jara</t>
  </si>
  <si>
    <t>Best</t>
  </si>
  <si>
    <t>Be.Tube</t>
  </si>
  <si>
    <t>Fmt</t>
  </si>
  <si>
    <t>Gedelsa</t>
  </si>
  <si>
    <t>Varat</t>
  </si>
  <si>
    <t>Facem</t>
  </si>
  <si>
    <t>Lifasa</t>
  </si>
  <si>
    <t>Htt</t>
  </si>
  <si>
    <t>PM</t>
  </si>
  <si>
    <t>Consegna</t>
  </si>
  <si>
    <t>Euro</t>
  </si>
  <si>
    <t>Gennaio 2022</t>
  </si>
  <si>
    <t>Febbraio 2022</t>
  </si>
  <si>
    <t>Marzo 2022</t>
  </si>
  <si>
    <t>Aprile 2022</t>
  </si>
  <si>
    <t>Maggio 20212</t>
  </si>
  <si>
    <t>Giugno 2022</t>
  </si>
  <si>
    <t>Luglio 2022</t>
  </si>
  <si>
    <t>Agosto 2022</t>
  </si>
  <si>
    <t>Settembre 2022</t>
  </si>
  <si>
    <t>Ottobre 2022</t>
  </si>
  <si>
    <t>Novembre 2022</t>
  </si>
  <si>
    <t>Dicembre 2022</t>
  </si>
  <si>
    <t>TOTALE</t>
  </si>
  <si>
    <t>Alstom</t>
  </si>
  <si>
    <t>Semar</t>
  </si>
  <si>
    <t>Ftm</t>
  </si>
  <si>
    <t>Necom</t>
  </si>
  <si>
    <t>SGB</t>
  </si>
  <si>
    <t>Settimana</t>
  </si>
  <si>
    <t xml:space="preserve">Kg Rimanenti (max Kg </t>
  </si>
  <si>
    <t>SBG</t>
  </si>
  <si>
    <t>Elesa</t>
  </si>
  <si>
    <t>WEG</t>
  </si>
  <si>
    <t>Progetto Stampi</t>
  </si>
  <si>
    <t>Kg senza data</t>
  </si>
  <si>
    <t>Kg totali</t>
  </si>
  <si>
    <t>Kg in conegna</t>
  </si>
  <si>
    <t>Rasera</t>
  </si>
  <si>
    <t>Ordine/DDT</t>
  </si>
  <si>
    <t>Fabero</t>
  </si>
  <si>
    <t>Nts</t>
  </si>
  <si>
    <t>Metaltrasfo</t>
  </si>
  <si>
    <t>Trafa</t>
  </si>
  <si>
    <t>Gennaio 2023</t>
  </si>
  <si>
    <t>Febbraio 2023</t>
  </si>
  <si>
    <t>Marzo 2023</t>
  </si>
  <si>
    <t>Aprile 2023</t>
  </si>
  <si>
    <t>Maggio 20213</t>
  </si>
  <si>
    <t>Giugno 2023</t>
  </si>
  <si>
    <t>Luglio 2023</t>
  </si>
  <si>
    <t>Agosto 2023</t>
  </si>
  <si>
    <t>Settembre 2023</t>
  </si>
  <si>
    <t>Ottobre 2023</t>
  </si>
  <si>
    <t>Novembre 2023</t>
  </si>
  <si>
    <t>Dicembre 2023</t>
  </si>
  <si>
    <t>ANNO 2023</t>
  </si>
  <si>
    <t>Derbio</t>
  </si>
  <si>
    <t>P</t>
  </si>
  <si>
    <t>Brioschi</t>
  </si>
  <si>
    <t>Leam</t>
  </si>
  <si>
    <t>Arteche</t>
  </si>
  <si>
    <t>Givi</t>
  </si>
  <si>
    <t>Mangoldt</t>
  </si>
  <si>
    <t>ANNO 2024</t>
  </si>
  <si>
    <t>Fenix</t>
  </si>
  <si>
    <t>Lombardo</t>
  </si>
  <si>
    <t>Tesar pl</t>
  </si>
  <si>
    <t>Vallee</t>
  </si>
  <si>
    <t>PAT</t>
  </si>
  <si>
    <t>OK</t>
  </si>
  <si>
    <t>Gennaio 2025</t>
  </si>
  <si>
    <t>ANNO 2025</t>
  </si>
  <si>
    <t>Febbraio 2025</t>
  </si>
  <si>
    <t>Marzo 2025</t>
  </si>
  <si>
    <t>Aprile 2025</t>
  </si>
  <si>
    <t>Maggio 2025</t>
  </si>
  <si>
    <t>Giugno 2025</t>
  </si>
  <si>
    <t>Luglio 2025</t>
  </si>
  <si>
    <t>Agosto 2025</t>
  </si>
  <si>
    <t>Settembre 2025</t>
  </si>
  <si>
    <t>Ottobre 2025</t>
  </si>
  <si>
    <t>Novembre 2025</t>
  </si>
  <si>
    <t>Dicembre 2025</t>
  </si>
  <si>
    <t>saldo</t>
  </si>
  <si>
    <t>Ottavi</t>
  </si>
  <si>
    <t>O0250759</t>
  </si>
  <si>
    <t>Trafocoop</t>
  </si>
  <si>
    <t>Gen Set</t>
  </si>
  <si>
    <t>Rausch</t>
  </si>
  <si>
    <t>Rotech</t>
  </si>
  <si>
    <t>Botter</t>
  </si>
  <si>
    <t>Gennaio 2026</t>
  </si>
  <si>
    <t>Febbraio 2026</t>
  </si>
  <si>
    <t>Marzo 2026</t>
  </si>
  <si>
    <t>Aprile 2026</t>
  </si>
  <si>
    <t>Maggio 2026</t>
  </si>
  <si>
    <t>Giugno 2026</t>
  </si>
  <si>
    <t>Luglio 2026</t>
  </si>
  <si>
    <t>Agosto 2026</t>
  </si>
  <si>
    <t>Settembre 2026</t>
  </si>
  <si>
    <t>Ottobre 2026</t>
  </si>
  <si>
    <t>Novembre 2026</t>
  </si>
  <si>
    <t>Dicembre 2026</t>
  </si>
  <si>
    <t>Eservice</t>
  </si>
  <si>
    <t>Bcv</t>
  </si>
  <si>
    <t>Tranceria Vicenza</t>
  </si>
  <si>
    <t xml:space="preserve"> </t>
  </si>
  <si>
    <t>O0252610</t>
  </si>
  <si>
    <t>O0253453</t>
  </si>
  <si>
    <t>Elpi Cast</t>
  </si>
  <si>
    <t>Sgm</t>
  </si>
  <si>
    <t>O0260224</t>
  </si>
  <si>
    <t>O0260281</t>
  </si>
  <si>
    <t>O0260255</t>
  </si>
  <si>
    <t>O0260260</t>
  </si>
  <si>
    <t>O0260262</t>
  </si>
  <si>
    <t>O0260259</t>
  </si>
  <si>
    <t>COMMISSIONI COBRAL 2026 PER CALKOS</t>
  </si>
  <si>
    <t>Barre</t>
  </si>
  <si>
    <t>O0260461</t>
  </si>
  <si>
    <t>O0260462</t>
  </si>
  <si>
    <t>O0260415</t>
  </si>
  <si>
    <t>O0260513</t>
  </si>
  <si>
    <t>O0260624</t>
  </si>
  <si>
    <t>853/26OC</t>
  </si>
  <si>
    <t>858/26OC</t>
  </si>
  <si>
    <t>903/26OC</t>
  </si>
  <si>
    <t>901/26OC</t>
  </si>
  <si>
    <t>893/26OC</t>
  </si>
  <si>
    <t>891/26OC</t>
  </si>
  <si>
    <t>966/26OC</t>
  </si>
  <si>
    <t>917/26OC</t>
  </si>
  <si>
    <t>962/26OC</t>
  </si>
  <si>
    <t>937/26OC</t>
  </si>
  <si>
    <t>938/26OC</t>
  </si>
  <si>
    <t>908/26OC</t>
  </si>
  <si>
    <t>967/26OC</t>
  </si>
  <si>
    <t>988/26OC</t>
  </si>
  <si>
    <t>942/26OC</t>
  </si>
  <si>
    <t>1050/26OC</t>
  </si>
  <si>
    <t>1014/26OC</t>
  </si>
  <si>
    <t>1060/26OC</t>
  </si>
  <si>
    <t>1102/26OC</t>
  </si>
  <si>
    <t>1161/26OC</t>
  </si>
  <si>
    <t>1163/26OC</t>
  </si>
  <si>
    <t>1183/26OC</t>
  </si>
  <si>
    <t>1178/26OC</t>
  </si>
  <si>
    <t>O0260692/26OC</t>
  </si>
  <si>
    <t>1176/26OC</t>
  </si>
  <si>
    <t>O0260317</t>
  </si>
  <si>
    <t>SALDO</t>
  </si>
  <si>
    <t>1243/26OC</t>
  </si>
  <si>
    <t>1187/26OC/1291/26V</t>
  </si>
  <si>
    <t>cons Kg 600</t>
  </si>
  <si>
    <t>mancano Kg 300</t>
  </si>
  <si>
    <t>mancano Kg 500</t>
  </si>
  <si>
    <t>1078/26OC/1264/26V</t>
  </si>
  <si>
    <t>1276/26OC</t>
  </si>
  <si>
    <t>1275/26OC</t>
  </si>
  <si>
    <t>FATTURARE</t>
  </si>
  <si>
    <t>1283/26OC</t>
  </si>
  <si>
    <t>1286/26OC</t>
  </si>
  <si>
    <t>1329/26OC</t>
  </si>
  <si>
    <t>1330/26OC</t>
  </si>
  <si>
    <t>Elpi cast</t>
  </si>
  <si>
    <t>BCV</t>
  </si>
  <si>
    <t>1296/26OC</t>
  </si>
  <si>
    <t>1371/26OC</t>
  </si>
  <si>
    <t>1297/26OC</t>
  </si>
  <si>
    <t>1335/26OC</t>
  </si>
  <si>
    <t>F0688</t>
  </si>
  <si>
    <t>O0260660/1348/26V</t>
  </si>
  <si>
    <t>O0260657/1348/26V</t>
  </si>
  <si>
    <t>863/26OC/1348/26V</t>
  </si>
  <si>
    <t>1023/26OC/1348/26V</t>
  </si>
  <si>
    <t>1027/26OC/1348/26V</t>
  </si>
  <si>
    <t>1096/26OC/1348/26V</t>
  </si>
  <si>
    <t>1145/26OC/1348/26V</t>
  </si>
  <si>
    <t>1146/26OC/1348/26V</t>
  </si>
  <si>
    <t>1176/26OC/1348/26V</t>
  </si>
  <si>
    <t>1354/26OC</t>
  </si>
  <si>
    <t>1337/26OC</t>
  </si>
  <si>
    <t>O0260397/1356/26V</t>
  </si>
  <si>
    <t>mancano Kg 8600</t>
  </si>
  <si>
    <t>FINE_TABELLA</t>
  </si>
  <si>
    <t>__</t>
  </si>
  <si>
    <t>1387/26OC</t>
  </si>
  <si>
    <t>1409/26OC</t>
  </si>
  <si>
    <t>1392/26OC</t>
  </si>
  <si>
    <t>O0260362/1429/26V</t>
  </si>
  <si>
    <t>1415/26OC</t>
  </si>
  <si>
    <t>1414/26OC</t>
  </si>
  <si>
    <t>1422/26OC</t>
  </si>
  <si>
    <t>1418/26OC</t>
  </si>
  <si>
    <t>1398/26OC</t>
  </si>
  <si>
    <t>1394/26OC</t>
  </si>
  <si>
    <t>1097/26OC</t>
  </si>
  <si>
    <t>1098/26OC</t>
  </si>
  <si>
    <t>1412/26OC</t>
  </si>
  <si>
    <t>1413/26OC</t>
  </si>
  <si>
    <t>O02603971458/26V</t>
  </si>
  <si>
    <t>1078/26OC/1458/26V</t>
  </si>
  <si>
    <t>1452/26OC</t>
  </si>
  <si>
    <t>1462/26OC</t>
  </si>
  <si>
    <t>1457/26OC</t>
  </si>
  <si>
    <t>1485/26OC</t>
  </si>
  <si>
    <t>1488/26OC</t>
  </si>
  <si>
    <t>1502/26OC</t>
  </si>
  <si>
    <t>1475//26OC</t>
  </si>
  <si>
    <t>1508/26OC</t>
  </si>
  <si>
    <t>1501/26OC</t>
  </si>
  <si>
    <t>1504/26OC</t>
  </si>
  <si>
    <t>1503/26OC</t>
  </si>
  <si>
    <t>1476/26OC</t>
  </si>
  <si>
    <t>1471/26OC</t>
  </si>
  <si>
    <t>1463/26OC</t>
  </si>
  <si>
    <t>1467/26OC</t>
  </si>
  <si>
    <t>864/26OC/1546/26V</t>
  </si>
  <si>
    <t>1096/26OC/1546/26V</t>
  </si>
  <si>
    <t>1027/26OC/1546/26V</t>
  </si>
  <si>
    <t>1023/26OC/1546/26V</t>
  </si>
  <si>
    <t>1146/26OC/1545/26V</t>
  </si>
  <si>
    <t>1352/26OC/1546/26V</t>
  </si>
  <si>
    <t>1269/26OC/1546/26V</t>
  </si>
  <si>
    <t>1422/26OC/1546/26V</t>
  </si>
  <si>
    <t>1023/26OC/1545/26V</t>
  </si>
  <si>
    <t>1027/26OC/1545/26V</t>
  </si>
  <si>
    <t>Pat</t>
  </si>
  <si>
    <t>1465/26OC</t>
  </si>
  <si>
    <t>1417/26OC</t>
  </si>
  <si>
    <t>1376/26OC</t>
  </si>
  <si>
    <t>O0253453/1364/26V</t>
  </si>
  <si>
    <t>1539/26OC</t>
  </si>
  <si>
    <t>1538/26OC</t>
  </si>
  <si>
    <t>1540/26OC</t>
  </si>
  <si>
    <t>1550/26OC</t>
  </si>
  <si>
    <t>1560/26OC</t>
  </si>
  <si>
    <t>1581/26OC</t>
  </si>
  <si>
    <t>1579/26OC</t>
  </si>
  <si>
    <t>0980/26OC/1574/26V</t>
  </si>
  <si>
    <t>0983/26OC/1356/26V</t>
  </si>
  <si>
    <t>0986/26OC/1356/26V</t>
  </si>
  <si>
    <t>0989/26OC/1356/26V</t>
  </si>
  <si>
    <t>0978/26OC/1264/26V</t>
  </si>
  <si>
    <t>1079/26OC/1574/26V</t>
  </si>
  <si>
    <t>1233/26OC/1574/26V</t>
  </si>
  <si>
    <t>0980/26OC</t>
  </si>
  <si>
    <t>1567/26OC</t>
  </si>
  <si>
    <t>1568/26OC</t>
  </si>
  <si>
    <t>1576/26OC</t>
  </si>
  <si>
    <t>1565/26OC</t>
  </si>
  <si>
    <t>1554/26OC</t>
  </si>
  <si>
    <t>1578/26OC</t>
  </si>
  <si>
    <t>1582/26OC</t>
  </si>
  <si>
    <t>1584/26OC</t>
  </si>
  <si>
    <t>1552/26OC</t>
  </si>
  <si>
    <t>1151/26OC</t>
  </si>
  <si>
    <t>1553/26OC</t>
  </si>
  <si>
    <t>F0275</t>
  </si>
  <si>
    <t>1558/26OC</t>
  </si>
  <si>
    <t>1588/26OC</t>
  </si>
  <si>
    <t>1566/26OC</t>
  </si>
  <si>
    <t>1580/26OC</t>
  </si>
  <si>
    <t>1632/26OC</t>
  </si>
  <si>
    <t>1630/26OC</t>
  </si>
  <si>
    <t>1623/26OC</t>
  </si>
  <si>
    <t>1622/26OC</t>
  </si>
  <si>
    <t>1621/26OC</t>
  </si>
  <si>
    <t>1224/26OC/1607/26V</t>
  </si>
  <si>
    <t>1229/26OC/1607/26V</t>
  </si>
  <si>
    <t>1613/26OC</t>
  </si>
  <si>
    <t>1596/26OC</t>
  </si>
  <si>
    <t>1634/26OC</t>
  </si>
  <si>
    <t>1615/26OC</t>
  </si>
  <si>
    <t>F035.26.04.28</t>
  </si>
  <si>
    <t>1371/26OC/1671/26V</t>
  </si>
  <si>
    <t>853/26OC/1673/26V</t>
  </si>
  <si>
    <t>1283/26OC/1674/26V</t>
  </si>
  <si>
    <t>Barre/Saldo</t>
  </si>
  <si>
    <t>1286/26OC/1674/26V</t>
  </si>
  <si>
    <t>1680/26OC</t>
  </si>
  <si>
    <t>1671/26OC</t>
  </si>
  <si>
    <t>1641/26OC</t>
  </si>
  <si>
    <t>1640/26OC</t>
  </si>
  <si>
    <t>F0298,26,04,29</t>
  </si>
  <si>
    <t>1665/26OC</t>
  </si>
  <si>
    <t>1654/26OC</t>
  </si>
  <si>
    <t>1684/26OC</t>
  </si>
  <si>
    <t>1655/26OC</t>
  </si>
  <si>
    <t>1080/26OC/1734/26V</t>
  </si>
  <si>
    <t>1427/26OC/1738/26V</t>
  </si>
  <si>
    <t>1243/26OC/1723/26V</t>
  </si>
  <si>
    <t>1485/26OC/1724/26V</t>
  </si>
  <si>
    <t>1645/26OC</t>
  </si>
  <si>
    <t>1546/26OC</t>
  </si>
  <si>
    <t>0980/26OC/1649/26V</t>
  </si>
  <si>
    <t>0924/26OC/1586/26V</t>
  </si>
  <si>
    <t>0924/26OC/1607/26V</t>
  </si>
  <si>
    <t>0923/26OC/1264/26V</t>
  </si>
  <si>
    <t>0923/26OC/1420/26V</t>
  </si>
  <si>
    <t>0923/26OC/1464/26V</t>
  </si>
  <si>
    <t>1399/26OC/1757</t>
  </si>
  <si>
    <t>1505/26OC/1763</t>
  </si>
  <si>
    <t>1506/26OC/1763</t>
  </si>
  <si>
    <t>1507/26OC/1763</t>
  </si>
  <si>
    <t>1632/26OC/1763</t>
  </si>
  <si>
    <t>1412/26OC/1718</t>
  </si>
  <si>
    <t>1695/26OC</t>
  </si>
  <si>
    <t>1698/26OC</t>
  </si>
  <si>
    <t>1707/26OC</t>
  </si>
  <si>
    <t>1733/26OC</t>
  </si>
  <si>
    <t>1710/26OC</t>
  </si>
  <si>
    <t>1703/26OC</t>
  </si>
  <si>
    <t>1704/26OC</t>
  </si>
  <si>
    <t>1732/26OC</t>
  </si>
  <si>
    <t>1731/26OC</t>
  </si>
  <si>
    <t>1736/26OC</t>
  </si>
  <si>
    <t>1747/26OC</t>
  </si>
  <si>
    <t>1709/26OC</t>
  </si>
  <si>
    <t>1708/26OC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</si>
</sst>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-* #,##0.00_-;\-* #,##0.00_-;_-* &quot;-&quot;??_-;_-@_-"/>
    <numFmt numFmtId="164" formatCode="&quot;€&quot;\ #,##0.00;[Red]\-&quot;€&quot;\ #,##0.00"/>
    <numFmt numFmtId="165" formatCode="_-&quot;€&quot;\ * #,##0.00_-;\-&quot;€&quot;\ * #,##0.00_-;_-&quot;€&quot;\ * &quot;-&quot;??_-;_-@_-"/>
    <numFmt numFmtId="166" formatCode="&quot;€&quot;\ #,##0.00"/>
    <numFmt numFmtId="167" formatCode="0.0000"/>
  </numFmts>
  <fonts count="3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8"/>
      <name val="Calibri"/>
      <family val="2"/>
    </font>
    <font>
      <sz val="16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b/>
      <sz val="11"/>
      <color indexed="8"/>
      <name val="Calibri"/>
      <family val="2"/>
    </font>
    <font>
      <sz val="14"/>
      <color indexed="8"/>
      <name val="Calibri"/>
      <family val="2"/>
    </font>
    <font>
      <b/>
      <sz val="14"/>
      <color indexed="8"/>
      <name val="Calibri"/>
      <family val="2"/>
    </font>
    <font>
      <b/>
      <sz val="16"/>
      <color indexed="10"/>
      <name val="Calibri"/>
      <family val="2"/>
    </font>
    <font>
      <sz val="22"/>
      <color indexed="8"/>
      <name val="Calibri"/>
      <family val="2"/>
    </font>
    <font>
      <sz val="11"/>
      <color indexed="8"/>
      <name val="Calibri"/>
      <family val="2"/>
    </font>
    <font>
      <b/>
      <sz val="18"/>
      <color indexed="8"/>
      <name val="Calibri"/>
      <family val="2"/>
    </font>
    <font>
      <sz val="9"/>
      <color indexed="8"/>
      <name val="Calibri"/>
      <family val="2"/>
    </font>
    <font>
      <b/>
      <sz val="10"/>
      <color indexed="8"/>
      <name val="Calibri"/>
      <family val="2"/>
    </font>
    <font>
      <sz val="8"/>
      <name val="Calibri"/>
      <family val="2"/>
    </font>
    <font>
      <b/>
      <sz val="12"/>
      <color indexed="8"/>
      <name val="Calibri"/>
      <family val="2"/>
    </font>
    <font>
      <sz val="12"/>
      <color indexed="8"/>
      <name val="Calibri"/>
      <family val="2"/>
    </font>
    <font>
      <sz val="10"/>
      <color indexed="8"/>
      <name val="Calibri"/>
      <family val="2"/>
    </font>
    <font>
      <b/>
      <sz val="12"/>
      <name val="Calibri"/>
      <family val="2"/>
    </font>
    <font>
      <sz val="9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FF0000"/>
      <name val="Calibri"/>
      <family val="2"/>
    </font>
    <font>
      <sz val="12"/>
      <name val="Calibri"/>
      <family val="2"/>
    </font>
    <font>
      <b/>
      <sz val="12"/>
      <color theme="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0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dashDotDot">
        <color indexed="64"/>
      </right>
      <top/>
      <bottom style="slantDashDot">
        <color indexed="64"/>
      </bottom>
      <diagonal/>
    </border>
    <border>
      <left style="dashDotDot">
        <color indexed="64"/>
      </left>
      <right style="dashDotDot">
        <color indexed="64"/>
      </right>
      <top/>
      <bottom style="slantDashDot">
        <color indexed="64"/>
      </bottom>
      <diagonal/>
    </border>
    <border>
      <left style="dashDotDot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Dot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DashDot">
        <color indexed="64"/>
      </bottom>
      <diagonal/>
    </border>
    <border>
      <left style="thin">
        <color indexed="64"/>
      </left>
      <right style="thin">
        <color indexed="64"/>
      </right>
      <top style="medium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DashDot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slantDashDot">
        <color indexed="64"/>
      </right>
      <top style="medium">
        <color indexed="64"/>
      </top>
      <bottom/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ashDotDot">
        <color indexed="64"/>
      </right>
      <top/>
      <bottom style="slantDashDot">
        <color indexed="64"/>
      </bottom>
      <diagonal/>
    </border>
    <border>
      <left style="dashDotDot">
        <color indexed="64"/>
      </left>
      <right/>
      <top/>
      <bottom style="slantDashDot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 style="dashDotDot">
        <color indexed="64"/>
      </right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/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thin">
        <color indexed="64"/>
      </bottom>
      <diagonal/>
    </border>
    <border>
      <left/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/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 style="dashDotDot">
        <color indexed="64"/>
      </right>
      <top style="thin">
        <color indexed="64"/>
      </top>
      <bottom style="thin">
        <color indexed="64"/>
      </bottom>
      <diagonal/>
    </border>
    <border>
      <left style="dashDot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DotDot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 style="medium">
        <color indexed="64"/>
      </bottom>
      <diagonal/>
    </border>
    <border>
      <left style="dashDotDot">
        <color indexed="64"/>
      </left>
      <right style="dashDotDot">
        <color indexed="64"/>
      </right>
      <top style="thin">
        <color indexed="64"/>
      </top>
      <bottom style="medium">
        <color indexed="64"/>
      </bottom>
      <diagonal/>
    </border>
    <border>
      <left style="dashDotDot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ashDotDot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dashDotDot">
        <color indexed="64"/>
      </left>
      <right style="thin">
        <color indexed="64"/>
      </right>
      <top style="thin">
        <color indexed="64"/>
      </top>
      <bottom/>
      <diagonal/>
    </border>
    <border>
      <left style="dashDotDot">
        <color indexed="64"/>
      </left>
      <right style="dashDotDot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slantDashDot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Dashed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slantDashDot">
        <color indexed="64"/>
      </bottom>
      <diagonal/>
    </border>
    <border>
      <left style="medium">
        <color indexed="64"/>
      </left>
      <right/>
      <top style="mediumDashed">
        <color indexed="64"/>
      </top>
      <bottom style="medium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slantDashDot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Dashed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4" fillId="0" borderId="0" applyFont="0" applyFill="0" applyBorder="0" applyAlignment="0" applyProtection="0"/>
  </cellStyleXfs>
  <cellXfs count="460">
    <xf numFmtId="0" fontId="0" fillId="0" borderId="0" xfId="0"/>
    <xf numFmtId="0" fontId="6" fillId="0" borderId="0" xfId="0" applyFont="1"/>
    <xf numFmtId="0" fontId="7" fillId="0" borderId="0" xfId="0" applyFont="1"/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2" fontId="0" fillId="0" borderId="0" xfId="0" applyNumberFormat="1"/>
    <xf numFmtId="0" fontId="0" fillId="0" borderId="1" xfId="0" applyBorder="1"/>
    <xf numFmtId="0" fontId="8" fillId="0" borderId="0" xfId="0" applyFont="1"/>
    <xf numFmtId="0" fontId="8" fillId="0" borderId="5" xfId="0" applyFont="1" applyBorder="1"/>
    <xf numFmtId="165" fontId="8" fillId="0" borderId="6" xfId="1" applyFont="1" applyBorder="1"/>
    <xf numFmtId="0" fontId="9" fillId="0" borderId="7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0" borderId="3" xfId="0" applyFont="1" applyBorder="1"/>
    <xf numFmtId="0" fontId="8" fillId="0" borderId="14" xfId="0" applyFont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165" fontId="8" fillId="0" borderId="17" xfId="1" applyFont="1" applyBorder="1"/>
    <xf numFmtId="0" fontId="10" fillId="0" borderId="0" xfId="0" applyFont="1"/>
    <xf numFmtId="0" fontId="0" fillId="2" borderId="18" xfId="0" applyFill="1" applyBorder="1"/>
    <xf numFmtId="0" fontId="0" fillId="2" borderId="19" xfId="0" applyFill="1" applyBorder="1"/>
    <xf numFmtId="0" fontId="0" fillId="2" borderId="20" xfId="0" applyFill="1" applyBorder="1"/>
    <xf numFmtId="165" fontId="0" fillId="0" borderId="1" xfId="0" applyNumberFormat="1" applyBorder="1"/>
    <xf numFmtId="165" fontId="0" fillId="0" borderId="21" xfId="0" applyNumberFormat="1" applyBorder="1"/>
    <xf numFmtId="0" fontId="0" fillId="0" borderId="22" xfId="0" applyBorder="1"/>
    <xf numFmtId="165" fontId="0" fillId="0" borderId="22" xfId="0" applyNumberFormat="1" applyBorder="1"/>
    <xf numFmtId="165" fontId="0" fillId="0" borderId="23" xfId="0" applyNumberFormat="1" applyBorder="1"/>
    <xf numFmtId="0" fontId="0" fillId="0" borderId="24" xfId="0" applyBorder="1"/>
    <xf numFmtId="165" fontId="0" fillId="0" borderId="24" xfId="0" applyNumberFormat="1" applyBorder="1"/>
    <xf numFmtId="165" fontId="0" fillId="0" borderId="25" xfId="0" applyNumberFormat="1" applyBorder="1"/>
    <xf numFmtId="0" fontId="8" fillId="0" borderId="26" xfId="0" applyFont="1" applyBorder="1"/>
    <xf numFmtId="0" fontId="8" fillId="0" borderId="27" xfId="0" applyFont="1" applyBorder="1"/>
    <xf numFmtId="0" fontId="8" fillId="0" borderId="28" xfId="0" applyFont="1" applyBorder="1"/>
    <xf numFmtId="165" fontId="8" fillId="0" borderId="0" xfId="1" applyFont="1" applyBorder="1"/>
    <xf numFmtId="0" fontId="11" fillId="0" borderId="14" xfId="0" applyFont="1" applyBorder="1"/>
    <xf numFmtId="0" fontId="11" fillId="0" borderId="16" xfId="0" applyFont="1" applyBorder="1"/>
    <xf numFmtId="0" fontId="11" fillId="0" borderId="29" xfId="0" applyFont="1" applyBorder="1"/>
    <xf numFmtId="165" fontId="11" fillId="0" borderId="21" xfId="0" applyNumberFormat="1" applyFont="1" applyBorder="1"/>
    <xf numFmtId="165" fontId="11" fillId="0" borderId="30" xfId="1" applyFont="1" applyBorder="1"/>
    <xf numFmtId="0" fontId="12" fillId="0" borderId="5" xfId="0" applyFont="1" applyBorder="1"/>
    <xf numFmtId="165" fontId="12" fillId="0" borderId="31" xfId="0" applyNumberFormat="1" applyFont="1" applyBorder="1"/>
    <xf numFmtId="0" fontId="12" fillId="3" borderId="0" xfId="0" applyFont="1" applyFill="1"/>
    <xf numFmtId="0" fontId="0" fillId="3" borderId="0" xfId="0" applyFill="1"/>
    <xf numFmtId="0" fontId="13" fillId="0" borderId="0" xfId="0" applyFont="1"/>
    <xf numFmtId="0" fontId="14" fillId="3" borderId="0" xfId="0" applyFont="1" applyFill="1"/>
    <xf numFmtId="0" fontId="8" fillId="0" borderId="32" xfId="0" applyFont="1" applyBorder="1"/>
    <xf numFmtId="165" fontId="8" fillId="0" borderId="32" xfId="1" applyFont="1" applyBorder="1"/>
    <xf numFmtId="0" fontId="0" fillId="2" borderId="0" xfId="0" applyFill="1"/>
    <xf numFmtId="165" fontId="11" fillId="0" borderId="33" xfId="0" applyNumberFormat="1" applyFont="1" applyBorder="1"/>
    <xf numFmtId="0" fontId="12" fillId="0" borderId="5" xfId="0" applyFont="1" applyBorder="1" applyAlignment="1">
      <alignment wrapText="1"/>
    </xf>
    <xf numFmtId="0" fontId="3" fillId="0" borderId="34" xfId="0" applyFont="1" applyBorder="1" applyAlignment="1">
      <alignment horizontal="center"/>
    </xf>
    <xf numFmtId="0" fontId="0" fillId="0" borderId="2" xfId="0" applyBorder="1"/>
    <xf numFmtId="0" fontId="2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8" fillId="0" borderId="35" xfId="0" applyFont="1" applyBorder="1"/>
    <xf numFmtId="0" fontId="3" fillId="0" borderId="36" xfId="0" applyFont="1" applyBorder="1" applyAlignment="1">
      <alignment horizontal="center"/>
    </xf>
    <xf numFmtId="0" fontId="0" fillId="0" borderId="5" xfId="0" applyBorder="1"/>
    <xf numFmtId="0" fontId="0" fillId="0" borderId="6" xfId="0" applyBorder="1"/>
    <xf numFmtId="165" fontId="4" fillId="0" borderId="6" xfId="1" applyFont="1" applyBorder="1"/>
    <xf numFmtId="0" fontId="0" fillId="0" borderId="3" xfId="0" applyBorder="1"/>
    <xf numFmtId="0" fontId="3" fillId="0" borderId="37" xfId="0" applyFont="1" applyBorder="1" applyAlignment="1">
      <alignment horizontal="center"/>
    </xf>
    <xf numFmtId="165" fontId="4" fillId="0" borderId="35" xfId="1" applyFont="1" applyBorder="1"/>
    <xf numFmtId="0" fontId="2" fillId="0" borderId="38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/>
    </xf>
    <xf numFmtId="0" fontId="0" fillId="0" borderId="40" xfId="0" applyBorder="1"/>
    <xf numFmtId="0" fontId="9" fillId="0" borderId="41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0" fontId="5" fillId="0" borderId="34" xfId="0" applyFont="1" applyBorder="1" applyAlignment="1">
      <alignment horizontal="center"/>
    </xf>
    <xf numFmtId="165" fontId="0" fillId="0" borderId="0" xfId="0" applyNumberFormat="1"/>
    <xf numFmtId="165" fontId="5" fillId="0" borderId="0" xfId="0" applyNumberFormat="1" applyFont="1"/>
    <xf numFmtId="0" fontId="9" fillId="0" borderId="42" xfId="0" applyFont="1" applyBorder="1" applyAlignment="1">
      <alignment horizontal="center" vertical="center" wrapText="1"/>
    </xf>
    <xf numFmtId="166" fontId="0" fillId="0" borderId="0" xfId="0" applyNumberFormat="1"/>
    <xf numFmtId="165" fontId="15" fillId="0" borderId="0" xfId="1" applyFont="1"/>
    <xf numFmtId="0" fontId="9" fillId="0" borderId="0" xfId="0" applyFont="1" applyAlignment="1">
      <alignment horizontal="center" vertical="center" wrapText="1"/>
    </xf>
    <xf numFmtId="0" fontId="9" fillId="0" borderId="43" xfId="0" applyFont="1" applyBorder="1" applyAlignment="1">
      <alignment horizontal="center" vertical="center" wrapText="1"/>
    </xf>
    <xf numFmtId="0" fontId="2" fillId="0" borderId="1" xfId="0" applyFont="1" applyBorder="1"/>
    <xf numFmtId="0" fontId="2" fillId="0" borderId="44" xfId="0" applyFont="1" applyBorder="1"/>
    <xf numFmtId="4" fontId="18" fillId="0" borderId="45" xfId="0" applyNumberFormat="1" applyFont="1" applyBorder="1"/>
    <xf numFmtId="165" fontId="18" fillId="0" borderId="46" xfId="0" applyNumberFormat="1" applyFont="1" applyBorder="1"/>
    <xf numFmtId="0" fontId="18" fillId="0" borderId="7" xfId="0" applyFont="1" applyBorder="1"/>
    <xf numFmtId="0" fontId="18" fillId="0" borderId="8" xfId="0" applyFont="1" applyBorder="1"/>
    <xf numFmtId="0" fontId="18" fillId="0" borderId="13" xfId="0" applyFont="1" applyBorder="1"/>
    <xf numFmtId="4" fontId="18" fillId="0" borderId="47" xfId="0" applyNumberFormat="1" applyFont="1" applyBorder="1"/>
    <xf numFmtId="165" fontId="18" fillId="0" borderId="48" xfId="0" applyNumberFormat="1" applyFont="1" applyBorder="1"/>
    <xf numFmtId="0" fontId="9" fillId="0" borderId="50" xfId="0" applyFont="1" applyBorder="1" applyAlignment="1">
      <alignment horizontal="center" vertical="center" wrapText="1"/>
    </xf>
    <xf numFmtId="0" fontId="0" fillId="0" borderId="21" xfId="0" applyBorder="1"/>
    <xf numFmtId="0" fontId="0" fillId="0" borderId="17" xfId="0" applyBorder="1"/>
    <xf numFmtId="0" fontId="0" fillId="0" borderId="51" xfId="0" applyBorder="1"/>
    <xf numFmtId="0" fontId="2" fillId="0" borderId="29" xfId="0" applyFont="1" applyBorder="1"/>
    <xf numFmtId="0" fontId="2" fillId="0" borderId="0" xfId="0" applyFont="1"/>
    <xf numFmtId="0" fontId="2" fillId="0" borderId="2" xfId="0" applyFont="1" applyBorder="1"/>
    <xf numFmtId="0" fontId="2" fillId="0" borderId="4" xfId="0" applyFont="1" applyBorder="1"/>
    <xf numFmtId="0" fontId="2" fillId="0" borderId="3" xfId="0" applyFont="1" applyBorder="1"/>
    <xf numFmtId="0" fontId="2" fillId="0" borderId="52" xfId="0" applyFont="1" applyBorder="1"/>
    <xf numFmtId="0" fontId="2" fillId="0" borderId="53" xfId="0" applyFont="1" applyBorder="1"/>
    <xf numFmtId="4" fontId="2" fillId="0" borderId="53" xfId="0" applyNumberFormat="1" applyFont="1" applyBorder="1"/>
    <xf numFmtId="0" fontId="2" fillId="0" borderId="54" xfId="0" applyFont="1" applyBorder="1"/>
    <xf numFmtId="165" fontId="2" fillId="0" borderId="55" xfId="0" applyNumberFormat="1" applyFont="1" applyBorder="1"/>
    <xf numFmtId="14" fontId="2" fillId="0" borderId="56" xfId="0" applyNumberFormat="1" applyFont="1" applyBorder="1"/>
    <xf numFmtId="165" fontId="2" fillId="0" borderId="53" xfId="1" applyFont="1" applyBorder="1"/>
    <xf numFmtId="165" fontId="2" fillId="0" borderId="55" xfId="1" applyFont="1" applyBorder="1"/>
    <xf numFmtId="165" fontId="2" fillId="0" borderId="57" xfId="1" applyFont="1" applyBorder="1"/>
    <xf numFmtId="165" fontId="2" fillId="0" borderId="56" xfId="1" applyFont="1" applyBorder="1"/>
    <xf numFmtId="165" fontId="2" fillId="0" borderId="58" xfId="1" applyFont="1" applyBorder="1"/>
    <xf numFmtId="165" fontId="2" fillId="0" borderId="59" xfId="1" applyFont="1" applyBorder="1"/>
    <xf numFmtId="0" fontId="2" fillId="0" borderId="60" xfId="0" applyFont="1" applyBorder="1"/>
    <xf numFmtId="4" fontId="2" fillId="0" borderId="1" xfId="0" applyNumberFormat="1" applyFont="1" applyBorder="1"/>
    <xf numFmtId="165" fontId="2" fillId="0" borderId="61" xfId="0" applyNumberFormat="1" applyFont="1" applyBorder="1"/>
    <xf numFmtId="14" fontId="2" fillId="0" borderId="62" xfId="0" applyNumberFormat="1" applyFont="1" applyBorder="1"/>
    <xf numFmtId="0" fontId="2" fillId="0" borderId="34" xfId="0" applyFont="1" applyBorder="1"/>
    <xf numFmtId="165" fontId="2" fillId="0" borderId="1" xfId="1" applyFont="1" applyBorder="1"/>
    <xf numFmtId="165" fontId="2" fillId="0" borderId="61" xfId="1" applyFont="1" applyBorder="1"/>
    <xf numFmtId="165" fontId="2" fillId="0" borderId="63" xfId="1" applyFont="1" applyBorder="1"/>
    <xf numFmtId="165" fontId="2" fillId="0" borderId="62" xfId="1" applyFont="1" applyBorder="1"/>
    <xf numFmtId="165" fontId="2" fillId="0" borderId="21" xfId="1" applyFont="1" applyBorder="1"/>
    <xf numFmtId="165" fontId="2" fillId="0" borderId="20" xfId="1" applyFont="1" applyBorder="1"/>
    <xf numFmtId="0" fontId="2" fillId="0" borderId="18" xfId="0" applyFont="1" applyBorder="1"/>
    <xf numFmtId="165" fontId="2" fillId="0" borderId="34" xfId="1" applyFont="1" applyBorder="1"/>
    <xf numFmtId="0" fontId="2" fillId="0" borderId="5" xfId="0" applyFont="1" applyBorder="1"/>
    <xf numFmtId="0" fontId="2" fillId="0" borderId="6" xfId="0" applyFont="1" applyBorder="1"/>
    <xf numFmtId="4" fontId="2" fillId="0" borderId="64" xfId="0" applyNumberFormat="1" applyFont="1" applyBorder="1"/>
    <xf numFmtId="0" fontId="2" fillId="0" borderId="65" xfId="0" applyFont="1" applyBorder="1"/>
    <xf numFmtId="165" fontId="2" fillId="0" borderId="66" xfId="0" applyNumberFormat="1" applyFont="1" applyBorder="1"/>
    <xf numFmtId="14" fontId="2" fillId="0" borderId="67" xfId="0" applyNumberFormat="1" applyFont="1" applyBorder="1"/>
    <xf numFmtId="165" fontId="2" fillId="0" borderId="6" xfId="1" applyFont="1" applyBorder="1"/>
    <xf numFmtId="165" fontId="2" fillId="0" borderId="66" xfId="1" applyFont="1" applyBorder="1"/>
    <xf numFmtId="165" fontId="2" fillId="0" borderId="68" xfId="1" applyFont="1" applyBorder="1"/>
    <xf numFmtId="165" fontId="2" fillId="0" borderId="67" xfId="1" applyFont="1" applyBorder="1"/>
    <xf numFmtId="165" fontId="2" fillId="0" borderId="64" xfId="1" applyFont="1" applyBorder="1"/>
    <xf numFmtId="165" fontId="2" fillId="0" borderId="17" xfId="1" applyFont="1" applyBorder="1"/>
    <xf numFmtId="165" fontId="2" fillId="0" borderId="35" xfId="1" applyFont="1" applyBorder="1"/>
    <xf numFmtId="0" fontId="2" fillId="0" borderId="69" xfId="0" applyFont="1" applyBorder="1"/>
    <xf numFmtId="165" fontId="2" fillId="0" borderId="3" xfId="1" applyFont="1" applyBorder="1"/>
    <xf numFmtId="165" fontId="2" fillId="0" borderId="0" xfId="1" applyFont="1" applyBorder="1"/>
    <xf numFmtId="0" fontId="2" fillId="0" borderId="36" xfId="0" applyFont="1" applyBorder="1"/>
    <xf numFmtId="4" fontId="2" fillId="0" borderId="34" xfId="0" applyNumberFormat="1" applyFont="1" applyBorder="1"/>
    <xf numFmtId="165" fontId="2" fillId="0" borderId="51" xfId="0" applyNumberFormat="1" applyFont="1" applyBorder="1"/>
    <xf numFmtId="165" fontId="2" fillId="0" borderId="21" xfId="0" applyNumberFormat="1" applyFont="1" applyBorder="1"/>
    <xf numFmtId="0" fontId="2" fillId="0" borderId="70" xfId="0" applyFont="1" applyBorder="1"/>
    <xf numFmtId="4" fontId="2" fillId="0" borderId="49" xfId="0" applyNumberFormat="1" applyFont="1" applyBorder="1"/>
    <xf numFmtId="165" fontId="2" fillId="0" borderId="33" xfId="0" applyNumberFormat="1" applyFont="1" applyBorder="1"/>
    <xf numFmtId="4" fontId="2" fillId="0" borderId="71" xfId="0" applyNumberFormat="1" applyFont="1" applyBorder="1"/>
    <xf numFmtId="165" fontId="2" fillId="0" borderId="30" xfId="0" applyNumberFormat="1" applyFont="1" applyBorder="1"/>
    <xf numFmtId="4" fontId="0" fillId="0" borderId="0" xfId="0" applyNumberFormat="1"/>
    <xf numFmtId="165" fontId="4" fillId="0" borderId="0" xfId="1" applyFont="1" applyBorder="1"/>
    <xf numFmtId="165" fontId="0" fillId="0" borderId="6" xfId="0" applyNumberFormat="1" applyBorder="1"/>
    <xf numFmtId="0" fontId="3" fillId="0" borderId="72" xfId="0" applyFont="1" applyBorder="1" applyAlignment="1">
      <alignment horizontal="center"/>
    </xf>
    <xf numFmtId="165" fontId="4" fillId="0" borderId="69" xfId="1" applyFont="1" applyBorder="1"/>
    <xf numFmtId="0" fontId="9" fillId="0" borderId="14" xfId="0" applyFont="1" applyBorder="1" applyAlignment="1">
      <alignment horizontal="center" vertical="center" wrapText="1"/>
    </xf>
    <xf numFmtId="0" fontId="5" fillId="0" borderId="73" xfId="0" applyFont="1" applyBorder="1"/>
    <xf numFmtId="0" fontId="0" fillId="0" borderId="73" xfId="0" applyBorder="1" applyAlignment="1">
      <alignment horizontal="center" wrapText="1"/>
    </xf>
    <xf numFmtId="0" fontId="0" fillId="0" borderId="49" xfId="0" applyBorder="1"/>
    <xf numFmtId="0" fontId="0" fillId="0" borderId="18" xfId="0" applyBorder="1"/>
    <xf numFmtId="0" fontId="5" fillId="0" borderId="20" xfId="0" applyFont="1" applyBorder="1"/>
    <xf numFmtId="2" fontId="0" fillId="0" borderId="1" xfId="0" applyNumberFormat="1" applyBorder="1"/>
    <xf numFmtId="0" fontId="0" fillId="0" borderId="72" xfId="0" applyBorder="1"/>
    <xf numFmtId="0" fontId="5" fillId="0" borderId="37" xfId="0" applyFont="1" applyBorder="1"/>
    <xf numFmtId="0" fontId="1" fillId="0" borderId="20" xfId="0" applyFont="1" applyBorder="1"/>
    <xf numFmtId="0" fontId="1" fillId="0" borderId="37" xfId="0" applyFont="1" applyBorder="1"/>
    <xf numFmtId="0" fontId="1" fillId="0" borderId="0" xfId="0" applyFont="1"/>
    <xf numFmtId="0" fontId="5" fillId="0" borderId="0" xfId="0" applyFont="1" applyAlignment="1">
      <alignment horizontal="center"/>
    </xf>
    <xf numFmtId="166" fontId="0" fillId="0" borderId="74" xfId="0" applyNumberFormat="1" applyBorder="1" applyAlignment="1">
      <alignment horizontal="center"/>
    </xf>
    <xf numFmtId="0" fontId="5" fillId="0" borderId="0" xfId="0" applyFont="1"/>
    <xf numFmtId="0" fontId="28" fillId="0" borderId="0" xfId="0" applyFont="1"/>
    <xf numFmtId="0" fontId="28" fillId="0" borderId="7" xfId="0" applyFont="1" applyBorder="1"/>
    <xf numFmtId="0" fontId="28" fillId="0" borderId="8" xfId="0" applyFont="1" applyBorder="1"/>
    <xf numFmtId="0" fontId="28" fillId="0" borderId="13" xfId="0" applyFont="1" applyBorder="1"/>
    <xf numFmtId="0" fontId="28" fillId="0" borderId="52" xfId="0" quotePrefix="1" applyFont="1" applyBorder="1"/>
    <xf numFmtId="4" fontId="28" fillId="0" borderId="53" xfId="0" applyNumberFormat="1" applyFont="1" applyBorder="1"/>
    <xf numFmtId="165" fontId="28" fillId="0" borderId="58" xfId="1" applyFont="1" applyBorder="1"/>
    <xf numFmtId="0" fontId="28" fillId="0" borderId="29" xfId="0" quotePrefix="1" applyFont="1" applyBorder="1"/>
    <xf numFmtId="4" fontId="28" fillId="0" borderId="1" xfId="0" applyNumberFormat="1" applyFont="1" applyBorder="1"/>
    <xf numFmtId="165" fontId="28" fillId="0" borderId="21" xfId="1" applyFont="1" applyBorder="1"/>
    <xf numFmtId="0" fontId="28" fillId="0" borderId="29" xfId="0" applyFont="1" applyBorder="1"/>
    <xf numFmtId="0" fontId="28" fillId="0" borderId="5" xfId="0" quotePrefix="1" applyFont="1" applyBorder="1"/>
    <xf numFmtId="4" fontId="28" fillId="0" borderId="73" xfId="0" applyNumberFormat="1" applyFont="1" applyBorder="1"/>
    <xf numFmtId="165" fontId="28" fillId="0" borderId="33" xfId="1" applyFont="1" applyBorder="1"/>
    <xf numFmtId="4" fontId="27" fillId="0" borderId="85" xfId="0" applyNumberFormat="1" applyFont="1" applyBorder="1"/>
    <xf numFmtId="165" fontId="27" fillId="0" borderId="86" xfId="1" applyFont="1" applyBorder="1"/>
    <xf numFmtId="2" fontId="0" fillId="0" borderId="93" xfId="0" applyNumberFormat="1" applyBorder="1" applyAlignment="1">
      <alignment horizontal="center"/>
    </xf>
    <xf numFmtId="0" fontId="0" fillId="0" borderId="0" xfId="0" quotePrefix="1" applyAlignment="1">
      <alignment horizontal="center"/>
    </xf>
    <xf numFmtId="0" fontId="32" fillId="0" borderId="0" xfId="0" applyFont="1"/>
    <xf numFmtId="0" fontId="32" fillId="0" borderId="7" xfId="0" applyFont="1" applyBorder="1" applyAlignment="1">
      <alignment horizontal="center"/>
    </xf>
    <xf numFmtId="0" fontId="32" fillId="0" borderId="80" xfId="0" applyFont="1" applyBorder="1" applyAlignment="1">
      <alignment horizontal="center"/>
    </xf>
    <xf numFmtId="0" fontId="32" fillId="0" borderId="81" xfId="0" applyFont="1" applyBorder="1" applyAlignment="1">
      <alignment horizontal="center"/>
    </xf>
    <xf numFmtId="4" fontId="32" fillId="0" borderId="48" xfId="0" applyNumberFormat="1" applyFont="1" applyBorder="1"/>
    <xf numFmtId="165" fontId="32" fillId="0" borderId="47" xfId="0" applyNumberFormat="1" applyFont="1" applyBorder="1"/>
    <xf numFmtId="0" fontId="28" fillId="0" borderId="52" xfId="0" quotePrefix="1" applyFont="1" applyBorder="1" applyAlignment="1">
      <alignment horizontal="center"/>
    </xf>
    <xf numFmtId="165" fontId="28" fillId="0" borderId="53" xfId="1" applyFont="1" applyBorder="1"/>
    <xf numFmtId="4" fontId="28" fillId="0" borderId="58" xfId="0" applyNumberFormat="1" applyFont="1" applyBorder="1"/>
    <xf numFmtId="0" fontId="28" fillId="0" borderId="29" xfId="0" quotePrefix="1" applyFont="1" applyBorder="1" applyAlignment="1">
      <alignment horizontal="center"/>
    </xf>
    <xf numFmtId="165" fontId="28" fillId="0" borderId="1" xfId="1" applyFont="1" applyBorder="1"/>
    <xf numFmtId="4" fontId="28" fillId="0" borderId="21" xfId="0" applyNumberFormat="1" applyFont="1" applyBorder="1"/>
    <xf numFmtId="0" fontId="28" fillId="0" borderId="5" xfId="0" quotePrefix="1" applyFont="1" applyBorder="1" applyAlignment="1">
      <alignment horizontal="center"/>
    </xf>
    <xf numFmtId="165" fontId="28" fillId="0" borderId="73" xfId="1" applyFont="1" applyBorder="1"/>
    <xf numFmtId="4" fontId="28" fillId="0" borderId="33" xfId="0" applyNumberFormat="1" applyFont="1" applyBorder="1"/>
    <xf numFmtId="0" fontId="32" fillId="0" borderId="94" xfId="0" applyFont="1" applyBorder="1" applyAlignment="1">
      <alignment horizontal="center"/>
    </xf>
    <xf numFmtId="165" fontId="32" fillId="0" borderId="28" xfId="0" applyNumberFormat="1" applyFont="1" applyBorder="1"/>
    <xf numFmtId="4" fontId="32" fillId="0" borderId="31" xfId="0" applyNumberFormat="1" applyFont="1" applyBorder="1"/>
    <xf numFmtId="4" fontId="26" fillId="0" borderId="45" xfId="0" applyNumberFormat="1" applyFont="1" applyBorder="1"/>
    <xf numFmtId="0" fontId="28" fillId="0" borderId="36" xfId="0" applyFont="1" applyBorder="1" applyAlignment="1">
      <alignment horizontal="center"/>
    </xf>
    <xf numFmtId="0" fontId="28" fillId="0" borderId="29" xfId="0" applyFont="1" applyBorder="1" applyAlignment="1">
      <alignment horizontal="center"/>
    </xf>
    <xf numFmtId="0" fontId="28" fillId="0" borderId="5" xfId="0" applyFont="1" applyBorder="1" applyAlignment="1">
      <alignment horizontal="center"/>
    </xf>
    <xf numFmtId="0" fontId="27" fillId="0" borderId="7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4" fontId="28" fillId="0" borderId="60" xfId="0" applyNumberFormat="1" applyFont="1" applyBorder="1"/>
    <xf numFmtId="4" fontId="28" fillId="0" borderId="18" xfId="0" applyNumberFormat="1" applyFont="1" applyBorder="1"/>
    <xf numFmtId="4" fontId="28" fillId="0" borderId="96" xfId="0" applyNumberFormat="1" applyFont="1" applyBorder="1"/>
    <xf numFmtId="4" fontId="28" fillId="0" borderId="17" xfId="0" applyNumberFormat="1" applyFont="1" applyBorder="1"/>
    <xf numFmtId="4" fontId="28" fillId="0" borderId="51" xfId="0" applyNumberFormat="1" applyFont="1" applyBorder="1"/>
    <xf numFmtId="0" fontId="27" fillId="0" borderId="13" xfId="0" applyFont="1" applyBorder="1" applyAlignment="1">
      <alignment horizontal="center" wrapText="1"/>
    </xf>
    <xf numFmtId="165" fontId="0" fillId="0" borderId="0" xfId="1" applyFont="1"/>
    <xf numFmtId="0" fontId="0" fillId="0" borderId="0" xfId="0" applyAlignment="1" applyProtection="1">
      <alignment horizontal="right"/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14" fontId="0" fillId="0" borderId="0" xfId="0" applyNumberFormat="1" applyProtection="1">
      <protection locked="0"/>
    </xf>
    <xf numFmtId="0" fontId="14" fillId="3" borderId="0" xfId="0" applyFont="1" applyFill="1" applyProtection="1">
      <protection locked="0"/>
    </xf>
    <xf numFmtId="0" fontId="0" fillId="3" borderId="0" xfId="0" applyFill="1" applyProtection="1">
      <protection locked="0"/>
    </xf>
    <xf numFmtId="165" fontId="0" fillId="0" borderId="0" xfId="0" applyNumberFormat="1" applyProtection="1">
      <protection locked="0"/>
    </xf>
    <xf numFmtId="0" fontId="21" fillId="0" borderId="70" xfId="0" applyFont="1" applyBorder="1" applyProtection="1">
      <protection locked="0"/>
    </xf>
    <xf numFmtId="0" fontId="21" fillId="7" borderId="73" xfId="0" applyFont="1" applyFill="1" applyBorder="1" applyProtection="1">
      <protection locked="0"/>
    </xf>
    <xf numFmtId="4" fontId="21" fillId="7" borderId="73" xfId="0" applyNumberFormat="1" applyFont="1" applyFill="1" applyBorder="1" applyProtection="1">
      <protection locked="0"/>
    </xf>
    <xf numFmtId="0" fontId="21" fillId="0" borderId="77" xfId="0" applyFont="1" applyBorder="1" applyProtection="1">
      <protection locked="0"/>
    </xf>
    <xf numFmtId="43" fontId="21" fillId="0" borderId="79" xfId="0" applyNumberFormat="1" applyFont="1" applyBorder="1" applyProtection="1">
      <protection locked="0"/>
    </xf>
    <xf numFmtId="14" fontId="21" fillId="0" borderId="78" xfId="0" applyNumberFormat="1" applyFont="1" applyBorder="1" applyProtection="1">
      <protection locked="0"/>
    </xf>
    <xf numFmtId="0" fontId="21" fillId="0" borderId="73" xfId="0" applyFont="1" applyBorder="1" applyProtection="1">
      <protection locked="0"/>
    </xf>
    <xf numFmtId="165" fontId="21" fillId="0" borderId="73" xfId="1" applyFont="1" applyBorder="1" applyProtection="1">
      <protection locked="0"/>
    </xf>
    <xf numFmtId="165" fontId="21" fillId="0" borderId="79" xfId="1" applyFont="1" applyBorder="1" applyProtection="1">
      <protection locked="0"/>
    </xf>
    <xf numFmtId="165" fontId="21" fillId="0" borderId="32" xfId="1" applyFont="1" applyBorder="1" applyProtection="1">
      <protection locked="0"/>
    </xf>
    <xf numFmtId="165" fontId="21" fillId="0" borderId="49" xfId="1" applyFont="1" applyBorder="1" applyProtection="1">
      <protection locked="0"/>
    </xf>
    <xf numFmtId="165" fontId="21" fillId="7" borderId="73" xfId="1" applyFont="1" applyFill="1" applyBorder="1" applyProtection="1">
      <protection locked="0"/>
    </xf>
    <xf numFmtId="14" fontId="0" fillId="0" borderId="82" xfId="0" applyNumberFormat="1" applyBorder="1" applyProtection="1">
      <protection locked="0"/>
    </xf>
    <xf numFmtId="1" fontId="0" fillId="0" borderId="0" xfId="0" applyNumberFormat="1" applyProtection="1">
      <protection locked="0"/>
    </xf>
    <xf numFmtId="4" fontId="21" fillId="0" borderId="73" xfId="0" applyNumberFormat="1" applyFont="1" applyBorder="1" applyProtection="1">
      <protection locked="0"/>
    </xf>
    <xf numFmtId="0" fontId="21" fillId="11" borderId="73" xfId="0" applyFont="1" applyFill="1" applyBorder="1" applyProtection="1">
      <protection locked="0"/>
    </xf>
    <xf numFmtId="4" fontId="21" fillId="11" borderId="73" xfId="0" applyNumberFormat="1" applyFont="1" applyFill="1" applyBorder="1" applyProtection="1">
      <protection locked="0"/>
    </xf>
    <xf numFmtId="0" fontId="21" fillId="10" borderId="73" xfId="0" applyFont="1" applyFill="1" applyBorder="1" applyProtection="1">
      <protection locked="0"/>
    </xf>
    <xf numFmtId="4" fontId="21" fillId="10" borderId="73" xfId="0" applyNumberFormat="1" applyFont="1" applyFill="1" applyBorder="1" applyProtection="1">
      <protection locked="0"/>
    </xf>
    <xf numFmtId="0" fontId="0" fillId="0" borderId="89" xfId="0" applyBorder="1" applyProtection="1">
      <protection locked="0"/>
    </xf>
    <xf numFmtId="0" fontId="21" fillId="0" borderId="29" xfId="0" applyFont="1" applyBorder="1" applyProtection="1">
      <protection locked="0"/>
    </xf>
    <xf numFmtId="0" fontId="21" fillId="0" borderId="1" xfId="0" applyFont="1" applyBorder="1" applyProtection="1">
      <protection locked="0"/>
    </xf>
    <xf numFmtId="4" fontId="21" fillId="0" borderId="1" xfId="0" applyNumberFormat="1" applyFont="1" applyBorder="1" applyProtection="1">
      <protection locked="0"/>
    </xf>
    <xf numFmtId="0" fontId="21" fillId="0" borderId="44" xfId="0" applyFont="1" applyBorder="1" applyProtection="1">
      <protection locked="0"/>
    </xf>
    <xf numFmtId="14" fontId="21" fillId="0" borderId="62" xfId="0" applyNumberFormat="1" applyFont="1" applyBorder="1" applyProtection="1">
      <protection locked="0"/>
    </xf>
    <xf numFmtId="14" fontId="0" fillId="0" borderId="95" xfId="0" applyNumberFormat="1" applyBorder="1" applyProtection="1">
      <protection locked="0"/>
    </xf>
    <xf numFmtId="0" fontId="21" fillId="0" borderId="0" xfId="0" applyFont="1" applyProtection="1">
      <protection locked="0"/>
    </xf>
    <xf numFmtId="4" fontId="5" fillId="0" borderId="46" xfId="0" applyNumberFormat="1" applyFont="1" applyBorder="1" applyProtection="1">
      <protection locked="0"/>
    </xf>
    <xf numFmtId="43" fontId="21" fillId="0" borderId="0" xfId="0" applyNumberFormat="1" applyFont="1" applyProtection="1">
      <protection locked="0"/>
    </xf>
    <xf numFmtId="14" fontId="21" fillId="0" borderId="0" xfId="0" applyNumberFormat="1" applyFont="1" applyProtection="1">
      <protection locked="0"/>
    </xf>
    <xf numFmtId="165" fontId="21" fillId="0" borderId="0" xfId="1" applyFont="1" applyBorder="1" applyProtection="1">
      <protection locked="0"/>
    </xf>
    <xf numFmtId="165" fontId="5" fillId="0" borderId="46" xfId="1" applyFont="1" applyBorder="1" applyProtection="1">
      <protection locked="0"/>
    </xf>
    <xf numFmtId="4" fontId="21" fillId="0" borderId="0" xfId="0" applyNumberFormat="1" applyFont="1" applyProtection="1">
      <protection locked="0"/>
    </xf>
    <xf numFmtId="165" fontId="21" fillId="0" borderId="0" xfId="0" applyNumberFormat="1" applyFont="1" applyProtection="1">
      <protection locked="0"/>
    </xf>
    <xf numFmtId="165" fontId="21" fillId="7" borderId="0" xfId="1" applyFont="1" applyFill="1" applyBorder="1" applyProtection="1">
      <protection locked="0"/>
    </xf>
    <xf numFmtId="4" fontId="0" fillId="0" borderId="0" xfId="0" applyNumberFormat="1" applyProtection="1">
      <protection locked="0"/>
    </xf>
    <xf numFmtId="0" fontId="18" fillId="0" borderId="14" xfId="0" applyFont="1" applyBorder="1" applyProtection="1">
      <protection locked="0"/>
    </xf>
    <xf numFmtId="4" fontId="18" fillId="0" borderId="15" xfId="0" applyNumberFormat="1" applyFont="1" applyBorder="1" applyProtection="1">
      <protection locked="0"/>
    </xf>
    <xf numFmtId="0" fontId="18" fillId="0" borderId="87" xfId="0" applyFont="1" applyBorder="1" applyProtection="1">
      <protection locked="0"/>
    </xf>
    <xf numFmtId="165" fontId="18" fillId="0" borderId="16" xfId="0" applyNumberFormat="1" applyFont="1" applyBorder="1" applyProtection="1">
      <protection locked="0"/>
    </xf>
    <xf numFmtId="14" fontId="21" fillId="0" borderId="90" xfId="0" applyNumberFormat="1" applyFont="1" applyBorder="1" applyProtection="1">
      <protection locked="0"/>
    </xf>
    <xf numFmtId="0" fontId="21" fillId="0" borderId="18" xfId="0" applyFont="1" applyBorder="1" applyProtection="1">
      <protection locked="0"/>
    </xf>
    <xf numFmtId="165" fontId="2" fillId="0" borderId="21" xfId="0" applyNumberFormat="1" applyFont="1" applyBorder="1" applyProtection="1">
      <protection locked="0"/>
    </xf>
    <xf numFmtId="4" fontId="2" fillId="0" borderId="91" xfId="0" applyNumberFormat="1" applyFont="1" applyBorder="1" applyProtection="1">
      <protection locked="0"/>
    </xf>
    <xf numFmtId="0" fontId="22" fillId="0" borderId="29" xfId="0" applyFont="1" applyBorder="1" applyProtection="1">
      <protection locked="0"/>
    </xf>
    <xf numFmtId="4" fontId="17" fillId="0" borderId="1" xfId="0" applyNumberFormat="1" applyFont="1" applyBorder="1" applyProtection="1">
      <protection locked="0"/>
    </xf>
    <xf numFmtId="165" fontId="17" fillId="0" borderId="18" xfId="0" applyNumberFormat="1" applyFont="1" applyBorder="1" applyProtection="1">
      <protection locked="0"/>
    </xf>
    <xf numFmtId="165" fontId="21" fillId="0" borderId="0" xfId="1" applyFont="1" applyFill="1" applyBorder="1" applyProtection="1">
      <protection locked="0"/>
    </xf>
    <xf numFmtId="0" fontId="22" fillId="0" borderId="36" xfId="0" applyFont="1" applyBorder="1" applyProtection="1">
      <protection locked="0"/>
    </xf>
    <xf numFmtId="14" fontId="20" fillId="0" borderId="78" xfId="0" applyNumberFormat="1" applyFont="1" applyBorder="1" applyProtection="1">
      <protection locked="0"/>
    </xf>
    <xf numFmtId="0" fontId="20" fillId="0" borderId="73" xfId="0" applyFont="1" applyBorder="1" applyProtection="1">
      <protection locked="0"/>
    </xf>
    <xf numFmtId="4" fontId="2" fillId="0" borderId="1" xfId="0" applyNumberFormat="1" applyFont="1" applyBorder="1" applyProtection="1">
      <protection locked="0"/>
    </xf>
    <xf numFmtId="165" fontId="2" fillId="0" borderId="18" xfId="1" applyFont="1" applyBorder="1" applyProtection="1">
      <protection locked="0"/>
    </xf>
    <xf numFmtId="0" fontId="29" fillId="8" borderId="36" xfId="0" applyFont="1" applyFill="1" applyBorder="1" applyProtection="1">
      <protection locked="0"/>
    </xf>
    <xf numFmtId="0" fontId="29" fillId="0" borderId="36" xfId="0" applyFont="1" applyBorder="1" applyProtection="1">
      <protection locked="0"/>
    </xf>
    <xf numFmtId="0" fontId="2" fillId="0" borderId="29" xfId="0" applyFont="1" applyBorder="1" applyProtection="1">
      <protection locked="0"/>
    </xf>
    <xf numFmtId="0" fontId="2" fillId="8" borderId="29" xfId="0" applyFont="1" applyFill="1" applyBorder="1" applyProtection="1">
      <protection locked="0"/>
    </xf>
    <xf numFmtId="0" fontId="2" fillId="7" borderId="29" xfId="0" applyFont="1" applyFill="1" applyBorder="1" applyProtection="1">
      <protection locked="0"/>
    </xf>
    <xf numFmtId="0" fontId="2" fillId="9" borderId="29" xfId="0" applyFont="1" applyFill="1" applyBorder="1" applyProtection="1">
      <protection locked="0"/>
    </xf>
    <xf numFmtId="0" fontId="24" fillId="9" borderId="29" xfId="0" applyFont="1" applyFill="1" applyBorder="1" applyProtection="1">
      <protection locked="0"/>
    </xf>
    <xf numFmtId="165" fontId="17" fillId="0" borderId="18" xfId="1" applyFont="1" applyBorder="1" applyProtection="1">
      <protection locked="0"/>
    </xf>
    <xf numFmtId="4" fontId="30" fillId="0" borderId="91" xfId="0" applyNumberFormat="1" applyFont="1" applyBorder="1" applyProtection="1">
      <protection locked="0"/>
    </xf>
    <xf numFmtId="165" fontId="25" fillId="0" borderId="0" xfId="1" applyFont="1" applyProtection="1">
      <protection locked="0"/>
    </xf>
    <xf numFmtId="0" fontId="2" fillId="0" borderId="0" xfId="0" applyFont="1" applyProtection="1">
      <protection locked="0"/>
    </xf>
    <xf numFmtId="0" fontId="17" fillId="0" borderId="29" xfId="0" applyFont="1" applyBorder="1" applyProtection="1">
      <protection locked="0"/>
    </xf>
    <xf numFmtId="4" fontId="30" fillId="7" borderId="91" xfId="0" applyNumberFormat="1" applyFont="1" applyFill="1" applyBorder="1" applyProtection="1">
      <protection locked="0"/>
    </xf>
    <xf numFmtId="0" fontId="17" fillId="8" borderId="29" xfId="0" applyFont="1" applyFill="1" applyBorder="1" applyProtection="1">
      <protection locked="0"/>
    </xf>
    <xf numFmtId="4" fontId="17" fillId="7" borderId="1" xfId="0" applyNumberFormat="1" applyFont="1" applyFill="1" applyBorder="1" applyProtection="1">
      <protection locked="0"/>
    </xf>
    <xf numFmtId="165" fontId="17" fillId="7" borderId="18" xfId="1" applyFont="1" applyFill="1" applyBorder="1" applyProtection="1">
      <protection locked="0"/>
    </xf>
    <xf numFmtId="165" fontId="2" fillId="7" borderId="21" xfId="0" applyNumberFormat="1" applyFont="1" applyFill="1" applyBorder="1" applyProtection="1">
      <protection locked="0"/>
    </xf>
    <xf numFmtId="4" fontId="17" fillId="0" borderId="49" xfId="0" applyNumberFormat="1" applyFont="1" applyBorder="1" applyProtection="1">
      <protection locked="0"/>
    </xf>
    <xf numFmtId="165" fontId="17" fillId="0" borderId="88" xfId="1" applyFont="1" applyBorder="1" applyProtection="1">
      <protection locked="0"/>
    </xf>
    <xf numFmtId="0" fontId="17" fillId="7" borderId="29" xfId="0" applyFont="1" applyFill="1" applyBorder="1" applyProtection="1">
      <protection locked="0"/>
    </xf>
    <xf numFmtId="0" fontId="2" fillId="0" borderId="70" xfId="0" applyFont="1" applyBorder="1" applyProtection="1">
      <protection locked="0"/>
    </xf>
    <xf numFmtId="0" fontId="2" fillId="9" borderId="70" xfId="0" applyFont="1" applyFill="1" applyBorder="1" applyProtection="1">
      <protection locked="0"/>
    </xf>
    <xf numFmtId="165" fontId="17" fillId="0" borderId="88" xfId="1" applyFont="1" applyFill="1" applyBorder="1" applyProtection="1">
      <protection locked="0"/>
    </xf>
    <xf numFmtId="0" fontId="2" fillId="8" borderId="70" xfId="0" applyFont="1" applyFill="1" applyBorder="1" applyProtection="1">
      <protection locked="0"/>
    </xf>
    <xf numFmtId="0" fontId="17" fillId="0" borderId="70" xfId="0" applyFont="1" applyBorder="1" applyProtection="1">
      <protection locked="0"/>
    </xf>
    <xf numFmtId="4" fontId="17" fillId="7" borderId="49" xfId="0" applyNumberFormat="1" applyFont="1" applyFill="1" applyBorder="1" applyProtection="1">
      <protection locked="0"/>
    </xf>
    <xf numFmtId="0" fontId="17" fillId="7" borderId="70" xfId="0" applyFont="1" applyFill="1" applyBorder="1" applyProtection="1">
      <protection locked="0"/>
    </xf>
    <xf numFmtId="0" fontId="17" fillId="0" borderId="75" xfId="0" applyFont="1" applyBorder="1" applyProtection="1">
      <protection locked="0"/>
    </xf>
    <xf numFmtId="165" fontId="17" fillId="0" borderId="88" xfId="0" applyNumberFormat="1" applyFont="1" applyBorder="1" applyProtection="1">
      <protection locked="0"/>
    </xf>
    <xf numFmtId="0" fontId="30" fillId="0" borderId="33" xfId="0" applyFont="1" applyBorder="1" applyProtection="1">
      <protection locked="0"/>
    </xf>
    <xf numFmtId="4" fontId="30" fillId="0" borderId="92" xfId="0" applyNumberFormat="1" applyFont="1" applyBorder="1" applyProtection="1">
      <protection locked="0"/>
    </xf>
    <xf numFmtId="0" fontId="2" fillId="0" borderId="28" xfId="0" applyFont="1" applyBorder="1" applyProtection="1">
      <protection locked="0"/>
    </xf>
    <xf numFmtId="4" fontId="3" fillId="0" borderId="76" xfId="0" applyNumberFormat="1" applyFont="1" applyBorder="1" applyProtection="1">
      <protection locked="0"/>
    </xf>
    <xf numFmtId="165" fontId="3" fillId="0" borderId="83" xfId="0" applyNumberFormat="1" applyFont="1" applyBorder="1" applyProtection="1">
      <protection locked="0"/>
    </xf>
    <xf numFmtId="165" fontId="31" fillId="0" borderId="83" xfId="0" applyNumberFormat="1" applyFont="1" applyBorder="1" applyProtection="1">
      <protection locked="0"/>
    </xf>
    <xf numFmtId="4" fontId="27" fillId="0" borderId="48" xfId="0" applyNumberFormat="1" applyFont="1" applyBorder="1" applyProtection="1">
      <protection locked="0"/>
    </xf>
    <xf numFmtId="4" fontId="5" fillId="0" borderId="0" xfId="0" applyNumberFormat="1" applyFont="1" applyProtection="1">
      <protection locked="0"/>
    </xf>
    <xf numFmtId="0" fontId="27" fillId="0" borderId="14" xfId="0" applyFont="1" applyBorder="1" applyProtection="1">
      <protection locked="0"/>
    </xf>
    <xf numFmtId="4" fontId="28" fillId="0" borderId="16" xfId="0" applyNumberFormat="1" applyFont="1" applyBorder="1" applyAlignment="1" applyProtection="1">
      <alignment horizontal="left"/>
      <protection locked="0"/>
    </xf>
    <xf numFmtId="0" fontId="27" fillId="0" borderId="70" xfId="0" applyFont="1" applyBorder="1" applyProtection="1">
      <protection locked="0"/>
    </xf>
    <xf numFmtId="4" fontId="28" fillId="0" borderId="33" xfId="0" applyNumberFormat="1" applyFont="1" applyBorder="1" applyAlignment="1" applyProtection="1">
      <alignment horizontal="left"/>
      <protection locked="0"/>
    </xf>
    <xf numFmtId="0" fontId="27" fillId="0" borderId="5" xfId="0" applyFont="1" applyBorder="1" applyProtection="1">
      <protection locked="0"/>
    </xf>
    <xf numFmtId="4" fontId="28" fillId="0" borderId="17" xfId="0" applyNumberFormat="1" applyFont="1" applyBorder="1" applyAlignment="1" applyProtection="1">
      <alignment horizontal="left"/>
      <protection locked="0"/>
    </xf>
    <xf numFmtId="0" fontId="27" fillId="0" borderId="7" xfId="0" applyFont="1" applyBorder="1" applyAlignment="1" applyProtection="1">
      <alignment horizontal="center" vertical="center" wrapText="1"/>
      <protection locked="0"/>
    </xf>
    <xf numFmtId="0" fontId="27" fillId="0" borderId="80" xfId="0" applyFont="1" applyBorder="1" applyAlignment="1" applyProtection="1">
      <alignment horizontal="center" vertical="center" wrapText="1"/>
      <protection locked="0"/>
    </xf>
    <xf numFmtId="0" fontId="27" fillId="0" borderId="81" xfId="0" applyFont="1" applyBorder="1" applyAlignment="1" applyProtection="1">
      <alignment horizontal="center" vertical="center" wrapText="1"/>
      <protection locked="0"/>
    </xf>
    <xf numFmtId="0" fontId="27" fillId="0" borderId="84" xfId="0" applyFont="1" applyBorder="1" applyAlignment="1" applyProtection="1">
      <alignment horizontal="center" vertical="center" wrapText="1"/>
      <protection locked="0"/>
    </xf>
    <xf numFmtId="0" fontId="28" fillId="0" borderId="52" xfId="0" applyFont="1" applyBorder="1" applyAlignment="1" applyProtection="1">
      <alignment horizontal="center" vertical="center" wrapText="1"/>
      <protection locked="0"/>
    </xf>
    <xf numFmtId="4" fontId="28" fillId="0" borderId="53" xfId="0" applyNumberFormat="1" applyFont="1" applyBorder="1" applyAlignment="1" applyProtection="1">
      <alignment horizontal="center" vertical="center" wrapText="1"/>
      <protection locked="0"/>
    </xf>
    <xf numFmtId="165" fontId="28" fillId="0" borderId="53" xfId="1" applyFont="1" applyBorder="1" applyAlignment="1" applyProtection="1">
      <alignment horizontal="center" vertical="center" wrapText="1"/>
      <protection locked="0"/>
    </xf>
    <xf numFmtId="165" fontId="28" fillId="0" borderId="58" xfId="1" applyFont="1" applyBorder="1" applyAlignment="1" applyProtection="1">
      <alignment horizontal="center" vertical="center" wrapText="1"/>
      <protection locked="0"/>
    </xf>
    <xf numFmtId="4" fontId="28" fillId="0" borderId="59" xfId="0" applyNumberFormat="1" applyFont="1" applyBorder="1" applyAlignment="1" applyProtection="1">
      <alignment horizontal="center" vertical="center" wrapText="1"/>
      <protection locked="0"/>
    </xf>
    <xf numFmtId="4" fontId="27" fillId="0" borderId="36" xfId="0" applyNumberFormat="1" applyFont="1" applyBorder="1" applyAlignment="1" applyProtection="1">
      <alignment horizontal="center" vertical="center"/>
      <protection locked="0"/>
    </xf>
    <xf numFmtId="4" fontId="28" fillId="0" borderId="34" xfId="0" applyNumberFormat="1" applyFont="1" applyBorder="1" applyAlignment="1" applyProtection="1">
      <alignment horizontal="center" vertical="center"/>
      <protection locked="0"/>
    </xf>
    <xf numFmtId="165" fontId="28" fillId="0" borderId="34" xfId="1" applyFont="1" applyBorder="1" applyAlignment="1" applyProtection="1">
      <alignment horizontal="center" vertical="center"/>
      <protection locked="0"/>
    </xf>
    <xf numFmtId="165" fontId="28" fillId="0" borderId="51" xfId="1" applyFont="1" applyBorder="1" applyAlignment="1" applyProtection="1">
      <alignment horizontal="center" vertical="center"/>
      <protection locked="0"/>
    </xf>
    <xf numFmtId="4" fontId="28" fillId="0" borderId="36" xfId="0" applyNumberFormat="1" applyFont="1" applyBorder="1" applyAlignment="1" applyProtection="1">
      <alignment horizontal="center" vertical="center"/>
      <protection locked="0"/>
    </xf>
    <xf numFmtId="4" fontId="28" fillId="0" borderId="37" xfId="0" applyNumberFormat="1" applyFont="1" applyBorder="1" applyAlignment="1" applyProtection="1">
      <alignment horizontal="center" vertical="center"/>
      <protection locked="0"/>
    </xf>
    <xf numFmtId="165" fontId="28" fillId="0" borderId="34" xfId="1" applyFont="1" applyFill="1" applyBorder="1" applyAlignment="1" applyProtection="1">
      <alignment horizontal="center" vertical="center"/>
      <protection locked="0"/>
    </xf>
    <xf numFmtId="165" fontId="28" fillId="0" borderId="51" xfId="1" applyFont="1" applyFill="1" applyBorder="1" applyAlignment="1" applyProtection="1">
      <alignment horizontal="center" vertical="center"/>
      <protection locked="0"/>
    </xf>
    <xf numFmtId="4" fontId="27" fillId="0" borderId="29" xfId="0" applyNumberFormat="1" applyFont="1" applyBorder="1" applyAlignment="1" applyProtection="1">
      <alignment horizontal="center" vertical="center"/>
      <protection locked="0"/>
    </xf>
    <xf numFmtId="4" fontId="28" fillId="0" borderId="1" xfId="0" applyNumberFormat="1" applyFont="1" applyBorder="1" applyAlignment="1" applyProtection="1">
      <alignment horizontal="center" vertical="center"/>
      <protection locked="0"/>
    </xf>
    <xf numFmtId="165" fontId="28" fillId="0" borderId="1" xfId="1" applyFont="1" applyBorder="1" applyAlignment="1" applyProtection="1">
      <alignment horizontal="center" vertical="center"/>
      <protection locked="0"/>
    </xf>
    <xf numFmtId="165" fontId="28" fillId="0" borderId="21" xfId="1" applyFont="1" applyBorder="1" applyAlignment="1" applyProtection="1">
      <alignment horizontal="center" vertical="center"/>
      <protection locked="0"/>
    </xf>
    <xf numFmtId="165" fontId="28" fillId="0" borderId="1" xfId="1" applyFont="1" applyFill="1" applyBorder="1" applyAlignment="1" applyProtection="1">
      <alignment horizontal="center" vertical="center"/>
      <protection locked="0"/>
    </xf>
    <xf numFmtId="165" fontId="28" fillId="0" borderId="21" xfId="1" applyFont="1" applyFill="1" applyBorder="1" applyAlignment="1" applyProtection="1">
      <alignment horizontal="center" vertical="center"/>
      <protection locked="0"/>
    </xf>
    <xf numFmtId="4" fontId="28" fillId="0" borderId="20" xfId="0" applyNumberFormat="1" applyFont="1" applyBorder="1" applyAlignment="1" applyProtection="1">
      <alignment horizontal="center" vertical="center"/>
      <protection locked="0"/>
    </xf>
    <xf numFmtId="4" fontId="27" fillId="0" borderId="70" xfId="0" applyNumberFormat="1" applyFont="1" applyBorder="1" applyAlignment="1" applyProtection="1">
      <alignment horizontal="center" vertical="center"/>
      <protection locked="0"/>
    </xf>
    <xf numFmtId="4" fontId="28" fillId="0" borderId="73" xfId="0" applyNumberFormat="1" applyFont="1" applyBorder="1" applyAlignment="1" applyProtection="1">
      <alignment horizontal="center" vertical="center"/>
      <protection locked="0"/>
    </xf>
    <xf numFmtId="165" fontId="28" fillId="0" borderId="73" xfId="1" applyFont="1" applyBorder="1" applyAlignment="1" applyProtection="1">
      <alignment horizontal="center" vertical="center"/>
      <protection locked="0"/>
    </xf>
    <xf numFmtId="165" fontId="28" fillId="0" borderId="33" xfId="1" applyFont="1" applyBorder="1" applyAlignment="1" applyProtection="1">
      <alignment horizontal="center" vertical="center"/>
      <protection locked="0"/>
    </xf>
    <xf numFmtId="4" fontId="28" fillId="0" borderId="49" xfId="0" applyNumberFormat="1" applyFont="1" applyBorder="1" applyAlignment="1" applyProtection="1">
      <alignment horizontal="center" vertical="center"/>
      <protection locked="0"/>
    </xf>
    <xf numFmtId="4" fontId="28" fillId="0" borderId="64" xfId="0" applyNumberFormat="1" applyFont="1" applyBorder="1" applyAlignment="1" applyProtection="1">
      <alignment horizontal="center" vertical="center"/>
      <protection locked="0"/>
    </xf>
    <xf numFmtId="165" fontId="28" fillId="0" borderId="64" xfId="1" applyFont="1" applyBorder="1" applyAlignment="1" applyProtection="1">
      <alignment horizontal="center" vertical="center"/>
      <protection locked="0"/>
    </xf>
    <xf numFmtId="165" fontId="28" fillId="0" borderId="30" xfId="1" applyFont="1" applyBorder="1" applyAlignment="1" applyProtection="1">
      <alignment horizontal="center" vertical="center"/>
      <protection locked="0"/>
    </xf>
    <xf numFmtId="4" fontId="28" fillId="0" borderId="71" xfId="0" applyNumberFormat="1" applyFont="1" applyBorder="1" applyAlignment="1" applyProtection="1">
      <alignment horizontal="center" vertical="center"/>
      <protection locked="0"/>
    </xf>
    <xf numFmtId="0" fontId="0" fillId="0" borderId="3" xfId="0" applyBorder="1" applyProtection="1">
      <protection locked="0"/>
    </xf>
    <xf numFmtId="166" fontId="26" fillId="0" borderId="47" xfId="0" applyNumberFormat="1" applyFont="1" applyBorder="1" applyProtection="1">
      <protection locked="0"/>
    </xf>
    <xf numFmtId="165" fontId="26" fillId="0" borderId="76" xfId="0" applyNumberFormat="1" applyFont="1" applyBorder="1" applyProtection="1">
      <protection locked="0"/>
    </xf>
    <xf numFmtId="165" fontId="26" fillId="0" borderId="48" xfId="0" applyNumberFormat="1" applyFont="1" applyBorder="1" applyProtection="1">
      <protection locked="0"/>
    </xf>
    <xf numFmtId="165" fontId="26" fillId="0" borderId="83" xfId="0" applyNumberFormat="1" applyFont="1" applyBorder="1" applyProtection="1">
      <protection locked="0"/>
    </xf>
    <xf numFmtId="166" fontId="25" fillId="0" borderId="0" xfId="1" applyNumberFormat="1" applyFont="1" applyProtection="1">
      <protection locked="0"/>
    </xf>
    <xf numFmtId="166" fontId="0" fillId="0" borderId="0" xfId="0" applyNumberFormat="1" applyProtection="1"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6" fillId="0" borderId="3" xfId="0" applyFont="1" applyBorder="1" applyAlignment="1" applyProtection="1">
      <alignment horizontal="center"/>
      <protection locked="0"/>
    </xf>
    <xf numFmtId="0" fontId="26" fillId="0" borderId="4" xfId="0" applyFont="1" applyBorder="1" applyAlignment="1" applyProtection="1">
      <alignment horizontal="center"/>
      <protection locked="0"/>
    </xf>
    <xf numFmtId="165" fontId="26" fillId="0" borderId="0" xfId="1" applyFont="1" applyAlignment="1" applyProtection="1">
      <alignment horizontal="center" vertical="center"/>
    </xf>
    <xf numFmtId="0" fontId="0" fillId="0" borderId="0" xfId="0" applyAlignment="1">
      <alignment horizontal="right"/>
    </xf>
    <xf numFmtId="0" fontId="0" fillId="7" borderId="0" xfId="0" applyFill="1"/>
    <xf numFmtId="0" fontId="26" fillId="8" borderId="98" xfId="0" applyFont="1" applyFill="1" applyBorder="1"/>
    <xf numFmtId="14" fontId="0" fillId="0" borderId="0" xfId="0" applyNumberFormat="1"/>
    <xf numFmtId="0" fontId="8" fillId="7" borderId="0" xfId="0" applyFont="1" applyFill="1"/>
    <xf numFmtId="0" fontId="8" fillId="0" borderId="99" xfId="0" applyFont="1" applyBorder="1"/>
    <xf numFmtId="0" fontId="9" fillId="0" borderId="100" xfId="0" applyFont="1" applyBorder="1"/>
    <xf numFmtId="0" fontId="8" fillId="0" borderId="101" xfId="0" applyFont="1" applyBorder="1"/>
    <xf numFmtId="0" fontId="8" fillId="0" borderId="2" xfId="0" applyFont="1" applyBorder="1"/>
    <xf numFmtId="0" fontId="8" fillId="0" borderId="3" xfId="0" applyFont="1" applyBorder="1"/>
    <xf numFmtId="0" fontId="8" fillId="0" borderId="100" xfId="0" applyFont="1" applyBorder="1"/>
    <xf numFmtId="0" fontId="26" fillId="0" borderId="0" xfId="0" applyFont="1"/>
    <xf numFmtId="0" fontId="26" fillId="0" borderId="0" xfId="0" applyFont="1" applyAlignment="1">
      <alignment horizontal="center"/>
    </xf>
    <xf numFmtId="14" fontId="26" fillId="0" borderId="0" xfId="0" applyNumberFormat="1" applyFont="1" applyAlignment="1">
      <alignment horizontal="center"/>
    </xf>
    <xf numFmtId="0" fontId="20" fillId="0" borderId="7" xfId="0" applyFont="1" applyBorder="1" applyAlignment="1">
      <alignment horizontal="center" vertical="center" wrapText="1"/>
    </xf>
    <xf numFmtId="0" fontId="20" fillId="7" borderId="8" xfId="0" applyFont="1" applyFill="1" applyBorder="1" applyAlignment="1">
      <alignment horizontal="center" vertical="center" wrapText="1"/>
    </xf>
    <xf numFmtId="0" fontId="23" fillId="7" borderId="8" xfId="0" applyFont="1" applyFill="1" applyBorder="1" applyAlignment="1">
      <alignment horizontal="center" vertical="center" wrapText="1"/>
    </xf>
    <xf numFmtId="0" fontId="20" fillId="0" borderId="9" xfId="0" applyFont="1" applyBorder="1" applyAlignment="1">
      <alignment horizontal="center" vertical="center" wrapText="1"/>
    </xf>
    <xf numFmtId="0" fontId="20" fillId="0" borderId="10" xfId="0" applyFont="1" applyBorder="1" applyAlignment="1">
      <alignment horizontal="center" vertical="center" wrapText="1"/>
    </xf>
    <xf numFmtId="0" fontId="20" fillId="0" borderId="11" xfId="0" applyFont="1" applyBorder="1" applyAlignment="1">
      <alignment horizontal="center" vertical="center" wrapText="1"/>
    </xf>
    <xf numFmtId="0" fontId="20" fillId="0" borderId="8" xfId="0" applyFont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42" xfId="0" applyFont="1" applyBorder="1" applyAlignment="1">
      <alignment horizontal="center" vertical="center" wrapText="1"/>
    </xf>
    <xf numFmtId="0" fontId="20" fillId="0" borderId="43" xfId="0" applyFont="1" applyBorder="1" applyAlignment="1">
      <alignment horizontal="center" vertical="center" wrapText="1"/>
    </xf>
    <xf numFmtId="0" fontId="20" fillId="7" borderId="12" xfId="0" applyFont="1" applyFill="1" applyBorder="1" applyAlignment="1">
      <alignment horizontal="center" vertical="center" wrapText="1"/>
    </xf>
    <xf numFmtId="0" fontId="20" fillId="0" borderId="12" xfId="0" applyFont="1" applyBorder="1" applyAlignment="1">
      <alignment horizontal="center" vertical="center" wrapText="1"/>
    </xf>
    <xf numFmtId="0" fontId="20" fillId="0" borderId="13" xfId="0" applyFont="1" applyBorder="1" applyAlignment="1">
      <alignment horizontal="center" vertical="center" wrapText="1"/>
    </xf>
    <xf numFmtId="4" fontId="26" fillId="0" borderId="0" xfId="0" applyNumberFormat="1" applyFont="1" applyAlignment="1">
      <alignment horizontal="center" vertical="center"/>
    </xf>
    <xf numFmtId="14" fontId="26" fillId="0" borderId="0" xfId="0" applyNumberFormat="1" applyFont="1" applyAlignment="1">
      <alignment horizontal="center" vertical="center"/>
    </xf>
    <xf numFmtId="0" fontId="21" fillId="0" borderId="70" xfId="0" applyFont="1" applyBorder="1"/>
    <xf numFmtId="0" fontId="21" fillId="7" borderId="73" xfId="0" applyFont="1" applyFill="1" applyBorder="1"/>
    <xf numFmtId="4" fontId="21" fillId="7" borderId="73" xfId="0" applyNumberFormat="1" applyFont="1" applyFill="1" applyBorder="1"/>
    <xf numFmtId="0" fontId="21" fillId="0" borderId="77" xfId="0" applyFont="1" applyBorder="1"/>
    <xf numFmtId="14" fontId="21" fillId="0" borderId="78" xfId="0" applyNumberFormat="1" applyFont="1" applyBorder="1"/>
    <xf numFmtId="0" fontId="21" fillId="0" borderId="73" xfId="0" applyFont="1" applyBorder="1"/>
    <xf numFmtId="14" fontId="0" fillId="0" borderId="82" xfId="0" applyNumberFormat="1" applyBorder="1"/>
    <xf numFmtId="1" fontId="0" fillId="0" borderId="0" xfId="0" applyNumberFormat="1"/>
    <xf numFmtId="0" fontId="36" fillId="9" borderId="0" xfId="0" applyFont="1" applyFill="1" applyProtection="1">
      <protection locked="0"/>
    </xf>
    <xf numFmtId="0" fontId="33" fillId="0" borderId="0" xfId="0" applyFont="1" applyProtection="1">
      <protection locked="0"/>
    </xf>
    <xf numFmtId="0" fontId="35" fillId="7" borderId="73" xfId="0" applyFont="1" applyFill="1" applyBorder="1" applyProtection="1">
      <protection locked="0"/>
    </xf>
    <xf numFmtId="0" fontId="21" fillId="12" borderId="73" xfId="0" applyFont="1" applyFill="1" applyBorder="1" applyProtection="1">
      <protection locked="0"/>
    </xf>
    <xf numFmtId="4" fontId="21" fillId="12" borderId="73" xfId="0" applyNumberFormat="1" applyFont="1" applyFill="1" applyBorder="1" applyProtection="1">
      <protection locked="0"/>
    </xf>
    <xf numFmtId="0" fontId="21" fillId="13" borderId="73" xfId="0" applyFont="1" applyFill="1" applyBorder="1" applyProtection="1">
      <protection locked="0"/>
    </xf>
    <xf numFmtId="4" fontId="21" fillId="13" borderId="73" xfId="0" applyNumberFormat="1" applyFont="1" applyFill="1" applyBorder="1" applyProtection="1">
      <protection locked="0"/>
    </xf>
    <xf numFmtId="0" fontId="16" fillId="0" borderId="0" xfId="0" applyFont="1" applyAlignment="1">
      <alignment horizontal="center"/>
    </xf>
    <xf numFmtId="0" fontId="6" fillId="6" borderId="0" xfId="0" applyFont="1" applyFill="1" applyAlignment="1">
      <alignment horizontal="center"/>
    </xf>
    <xf numFmtId="0" fontId="5" fillId="0" borderId="73" xfId="0" applyFont="1" applyBorder="1" applyAlignment="1">
      <alignment horizontal="center"/>
    </xf>
    <xf numFmtId="0" fontId="5" fillId="0" borderId="34" xfId="0" applyFont="1" applyBorder="1" applyAlignment="1">
      <alignment horizontal="center"/>
    </xf>
    <xf numFmtId="164" fontId="5" fillId="0" borderId="73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0" fillId="0" borderId="73" xfId="0" applyBorder="1" applyAlignment="1">
      <alignment horizontal="center"/>
    </xf>
    <xf numFmtId="0" fontId="5" fillId="0" borderId="72" xfId="0" applyFont="1" applyBorder="1" applyAlignment="1">
      <alignment horizontal="center"/>
    </xf>
    <xf numFmtId="0" fontId="5" fillId="0" borderId="89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0" fontId="7" fillId="0" borderId="20" xfId="0" applyFont="1" applyBorder="1" applyAlignment="1">
      <alignment horizontal="center"/>
    </xf>
    <xf numFmtId="0" fontId="6" fillId="5" borderId="0" xfId="0" applyFont="1" applyFill="1" applyAlignment="1">
      <alignment horizontal="center"/>
    </xf>
    <xf numFmtId="0" fontId="32" fillId="8" borderId="97" xfId="0" applyFont="1" applyFill="1" applyBorder="1" applyAlignment="1">
      <alignment horizontal="center"/>
    </xf>
    <xf numFmtId="0" fontId="33" fillId="8" borderId="97" xfId="0" applyFont="1" applyFill="1" applyBorder="1" applyAlignment="1">
      <alignment horizontal="center"/>
    </xf>
    <xf numFmtId="0" fontId="32" fillId="0" borderId="2" xfId="0" applyFont="1" applyBorder="1" applyAlignment="1">
      <alignment horizontal="center"/>
    </xf>
    <xf numFmtId="0" fontId="32" fillId="0" borderId="4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27" fillId="0" borderId="0" xfId="0" applyFont="1" applyAlignment="1">
      <alignment horizontal="center"/>
    </xf>
    <xf numFmtId="167" fontId="21" fillId="0" borderId="79" xfId="0" applyNumberFormat="1" applyFont="1" applyBorder="1"/>
    <xf numFmtId="167" fontId="21" fillId="0" borderId="79" xfId="0" applyNumberFormat="1" applyFont="1" applyBorder="1" applyProtection="1">
      <protection locked="0"/>
    </xf>
    <xf numFmtId="167" fontId="34" fillId="0" borderId="79" xfId="0" applyNumberFormat="1" applyFont="1" applyBorder="1" applyProtection="1">
      <protection locked="0"/>
    </xf>
    <xf numFmtId="167" fontId="35" fillId="0" borderId="79" xfId="0" applyNumberFormat="1" applyFont="1" applyBorder="1" applyProtection="1">
      <protection locked="0"/>
    </xf>
    <xf numFmtId="167" fontId="21" fillId="0" borderId="61" xfId="0" applyNumberFormat="1" applyFont="1" applyBorder="1" applyProtection="1">
      <protection locked="0"/>
    </xf>
    <xf numFmtId="167" fontId="21" fillId="0" borderId="73" xfId="1" applyNumberFormat="1" applyFont="1" applyBorder="1" applyProtection="1"/>
    <xf numFmtId="167" fontId="21" fillId="0" borderId="73" xfId="1" applyNumberFormat="1" applyFont="1" applyBorder="1" applyProtection="1">
      <protection locked="0"/>
    </xf>
    <xf numFmtId="167" fontId="21" fillId="0" borderId="1" xfId="1" applyNumberFormat="1" applyFont="1" applyBorder="1" applyProtection="1">
      <protection locked="0"/>
    </xf>
    <xf numFmtId="167" fontId="21" fillId="0" borderId="79" xfId="1" applyNumberFormat="1" applyFont="1" applyBorder="1" applyProtection="1"/>
    <xf numFmtId="167" fontId="21" fillId="0" borderId="79" xfId="1" applyNumberFormat="1" applyFont="1" applyBorder="1" applyProtection="1">
      <protection locked="0"/>
    </xf>
    <xf numFmtId="167" fontId="21" fillId="0" borderId="61" xfId="1" applyNumberFormat="1" applyFont="1" applyBorder="1" applyProtection="1">
      <protection locked="0"/>
    </xf>
    <xf numFmtId="167" fontId="21" fillId="0" borderId="32" xfId="1" applyNumberFormat="1" applyFont="1" applyBorder="1" applyProtection="1"/>
    <xf numFmtId="167" fontId="21" fillId="0" borderId="32" xfId="1" applyNumberFormat="1" applyFont="1" applyBorder="1" applyProtection="1">
      <protection locked="0"/>
    </xf>
    <xf numFmtId="167" fontId="21" fillId="0" borderId="19" xfId="1" applyNumberFormat="1" applyFont="1" applyBorder="1" applyProtection="1">
      <protection locked="0"/>
    </xf>
    <xf numFmtId="167" fontId="21" fillId="0" borderId="49" xfId="1" applyNumberFormat="1" applyFont="1" applyBorder="1" applyProtection="1"/>
    <xf numFmtId="167" fontId="21" fillId="0" borderId="49" xfId="1" applyNumberFormat="1" applyFont="1" applyBorder="1" applyProtection="1">
      <protection locked="0"/>
    </xf>
    <xf numFmtId="167" fontId="21" fillId="0" borderId="20" xfId="1" applyNumberFormat="1" applyFont="1" applyBorder="1" applyProtection="1">
      <protection locked="0"/>
    </xf>
    <xf numFmtId="167" fontId="21" fillId="7" borderId="73" xfId="1" applyNumberFormat="1" applyFont="1" applyFill="1" applyBorder="1" applyProtection="1"/>
    <xf numFmtId="167" fontId="21" fillId="7" borderId="73" xfId="1" applyNumberFormat="1" applyFont="1" applyFill="1" applyBorder="1" applyProtection="1">
      <protection locked="0"/>
    </xf>
    <xf numFmtId="167" fontId="21" fillId="0" borderId="73" xfId="1" applyNumberFormat="1" applyFont="1" applyFill="1" applyBorder="1" applyProtection="1">
      <protection locked="0"/>
    </xf>
    <xf numFmtId="167" fontId="21" fillId="11" borderId="73" xfId="1" applyNumberFormat="1" applyFont="1" applyFill="1" applyBorder="1" applyProtection="1">
      <protection locked="0"/>
    </xf>
    <xf numFmtId="167" fontId="21" fillId="10" borderId="73" xfId="1" applyNumberFormat="1" applyFont="1" applyFill="1" applyBorder="1" applyProtection="1">
      <protection locked="0"/>
    </xf>
    <xf numFmtId="167" fontId="21" fillId="13" borderId="73" xfId="1" applyNumberFormat="1" applyFont="1" applyFill="1" applyBorder="1" applyProtection="1">
      <protection locked="0"/>
    </xf>
    <xf numFmtId="167" fontId="21" fillId="12" borderId="73" xfId="1" applyNumberFormat="1" applyFont="1" applyFill="1" applyBorder="1" applyProtection="1">
      <protection locked="0"/>
    </xf>
    <xf numFmtId="167" fontId="34" fillId="0" borderId="73" xfId="1" applyNumberFormat="1" applyFont="1" applyBorder="1" applyProtection="1">
      <protection locked="0"/>
    </xf>
    <xf numFmtId="167" fontId="35" fillId="0" borderId="73" xfId="1" applyNumberFormat="1" applyFont="1" applyBorder="1" applyProtection="1">
      <protection locked="0"/>
    </xf>
  </cellXfs>
  <cellStyles count="2">
    <cellStyle name="Normale" xfId="0" builtinId="0"/>
    <cellStyle name="Valuta" xfId="1" builtinId="4"/>
  </cellStyles>
  <dxfs count="126"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ont>
        <b val="0"/>
        <i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0</xdr:row>
          <xdr:rowOff>9525</xdr:rowOff>
        </xdr:from>
        <xdr:to>
          <xdr:col>1</xdr:col>
          <xdr:colOff>1524000</xdr:colOff>
          <xdr:row>2</xdr:row>
          <xdr:rowOff>57150</xdr:rowOff>
        </xdr:to>
        <xdr:sp macro="" textlink="">
          <xdr:nvSpPr>
            <xdr:cNvPr id="1029" name="CmdNuovaRig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A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28575</xdr:rowOff>
        </xdr:from>
        <xdr:to>
          <xdr:col>3</xdr:col>
          <xdr:colOff>285750</xdr:colOff>
          <xdr:row>2</xdr:row>
          <xdr:rowOff>57150</xdr:rowOff>
        </xdr:to>
        <xdr:sp macro="" textlink="">
          <xdr:nvSpPr>
            <xdr:cNvPr id="1030" name="cmdDuplicaRigaSelezionata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A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428625</xdr:colOff>
          <xdr:row>0</xdr:row>
          <xdr:rowOff>66675</xdr:rowOff>
        </xdr:from>
        <xdr:to>
          <xdr:col>4</xdr:col>
          <xdr:colOff>447675</xdr:colOff>
          <xdr:row>2</xdr:row>
          <xdr:rowOff>114300</xdr:rowOff>
        </xdr:to>
        <xdr:sp macro="" textlink="">
          <xdr:nvSpPr>
            <xdr:cNvPr id="1032" name="CmdEliminaERipristinaRiga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A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0</xdr:row>
          <xdr:rowOff>95250</xdr:rowOff>
        </xdr:from>
        <xdr:to>
          <xdr:col>16</xdr:col>
          <xdr:colOff>438150</xdr:colOff>
          <xdr:row>2</xdr:row>
          <xdr:rowOff>142875</xdr:rowOff>
        </xdr:to>
        <xdr:sp macro="" textlink="">
          <xdr:nvSpPr>
            <xdr:cNvPr id="1034" name="CmdSelezionaTabella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A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4"/>
  <dimension ref="A2:Z88"/>
  <sheetViews>
    <sheetView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customWidth="1"/>
    <col min="13" max="13" width="10.5703125" customWidth="1"/>
    <col min="14" max="16" width="11.85546875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127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158</v>
      </c>
      <c r="B6" s="104" t="s">
        <v>136</v>
      </c>
      <c r="C6" s="105">
        <v>600</v>
      </c>
      <c r="D6" s="106" t="s">
        <v>4</v>
      </c>
      <c r="E6" s="107">
        <v>1.3</v>
      </c>
      <c r="F6" s="108">
        <v>41627</v>
      </c>
      <c r="G6" s="85" t="s">
        <v>25</v>
      </c>
      <c r="H6" s="104"/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1.4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1.4</v>
      </c>
      <c r="N6" s="110">
        <f ca="1">+IF(ISERROR(OFFSET(Tabella!$G$1,MATCH(G6,Tabella!$G:$G,0)-1,MATCH(H6,Tabella!$G$1:$FG$1,0)-1)=TRUE),0,OFFSET(Tabella!$G$1,MATCH(G6,Tabella!$G:$G,0)-1,MATCH(H6,Tabella!$G$1:$AB$1,0)-1))</f>
        <v>0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51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1.4</v>
      </c>
      <c r="U6" s="109">
        <f t="shared" ref="U6:U51" si="4">+I6*C6</f>
        <v>60</v>
      </c>
      <c r="V6" s="113"/>
      <c r="W6" s="114">
        <f t="shared" ref="W6:W51" ca="1" si="5">+V6-T6-E6</f>
        <v>-2.7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 t="s">
        <v>137</v>
      </c>
      <c r="B7" s="85" t="s">
        <v>138</v>
      </c>
      <c r="C7" s="116">
        <v>806</v>
      </c>
      <c r="D7" s="86" t="s">
        <v>4</v>
      </c>
      <c r="E7" s="117">
        <v>1.33</v>
      </c>
      <c r="F7" s="118">
        <v>41659</v>
      </c>
      <c r="G7" s="85" t="s">
        <v>9</v>
      </c>
      <c r="H7" s="119"/>
      <c r="I7" s="120">
        <v>0.1</v>
      </c>
      <c r="J7" s="110">
        <f ca="1">IF(ISERROR(OFFSET(Tabella!$A$1,MATCH(G7,Tabella!$A:$A,0)-1,MATCH(I7,Tabella!$A$1:$AC$1,0)-1)=TRUE),0,+OFFSET(Tabella!$A$1,MATCH(G7,Tabella!$A:$A,0)-1,MATCH(I7,Tabella!$A$1:$AC$1,0)-1))</f>
        <v>1.75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1.75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1.75</v>
      </c>
      <c r="U7" s="120">
        <f t="shared" si="4"/>
        <v>80.600000000000009</v>
      </c>
      <c r="V7" s="124"/>
      <c r="W7" s="125">
        <f t="shared" ca="1" si="5"/>
        <v>-3.08</v>
      </c>
      <c r="X7" s="120">
        <f t="shared" ca="1" si="6"/>
        <v>0</v>
      </c>
      <c r="Y7" s="126"/>
      <c r="Z7" s="95"/>
    </row>
    <row r="8" spans="1:26" ht="15.75" thickBot="1" x14ac:dyDescent="0.3">
      <c r="A8" s="98" t="s">
        <v>137</v>
      </c>
      <c r="B8" s="85" t="s">
        <v>138</v>
      </c>
      <c r="C8" s="116">
        <v>718</v>
      </c>
      <c r="D8" s="86" t="s">
        <v>4</v>
      </c>
      <c r="E8" s="117">
        <v>1.3</v>
      </c>
      <c r="F8" s="118">
        <v>41662</v>
      </c>
      <c r="G8" s="85" t="s">
        <v>9</v>
      </c>
      <c r="H8" s="85"/>
      <c r="I8" s="120">
        <v>0.1</v>
      </c>
      <c r="J8" s="110">
        <f ca="1">IF(ISERROR(OFFSET(Tabella!$A$1,MATCH(G8,Tabella!$A:$A,0)-1,MATCH(I8,Tabella!$A$1:$AC$1,0)-1)=TRUE),0,+OFFSET(Tabella!$A$1,MATCH(G8,Tabella!$A:$A,0)-1,MATCH(I8,Tabella!$A$1:$AC$1,0)-1))</f>
        <v>1.75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1.75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</v>
      </c>
      <c r="S8" s="122"/>
      <c r="T8" s="123">
        <f t="shared" ca="1" si="3"/>
        <v>1.75</v>
      </c>
      <c r="U8" s="120">
        <f t="shared" si="4"/>
        <v>71.8</v>
      </c>
      <c r="V8" s="124"/>
      <c r="W8" s="125">
        <f t="shared" ca="1" si="5"/>
        <v>-3.05</v>
      </c>
      <c r="X8" s="120">
        <f t="shared" ca="1" si="6"/>
        <v>0</v>
      </c>
      <c r="Y8" s="126"/>
      <c r="Z8" s="95"/>
    </row>
    <row r="9" spans="1:26" ht="15.75" thickBot="1" x14ac:dyDescent="0.3">
      <c r="A9" s="98"/>
      <c r="B9" s="85"/>
      <c r="C9" s="116"/>
      <c r="D9" s="86"/>
      <c r="E9" s="117"/>
      <c r="F9" s="118"/>
      <c r="G9" s="85"/>
      <c r="H9" s="85"/>
      <c r="I9" s="120"/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</v>
      </c>
      <c r="U9" s="120">
        <f t="shared" si="4"/>
        <v>0</v>
      </c>
      <c r="V9" s="124"/>
      <c r="W9" s="125">
        <f t="shared" ca="1" si="5"/>
        <v>0</v>
      </c>
      <c r="X9" s="120">
        <f t="shared" ca="1" si="6"/>
        <v>0</v>
      </c>
      <c r="Y9" s="126"/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/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1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1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1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1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1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1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1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1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2124</v>
      </c>
      <c r="R52" s="142"/>
      <c r="S52" s="143"/>
      <c r="U52" s="88">
        <f>SUM(U6:U51)</f>
        <v>212.40000000000003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600</v>
      </c>
      <c r="D60" s="147">
        <f>SUMIF(B6:B51,"Braga",U6:U51)</f>
        <v>60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0</v>
      </c>
      <c r="D72" s="147">
        <f>SUMIF(B6:B51,"Meca",U6:U51)</f>
        <v>0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1524</v>
      </c>
      <c r="D76" s="147">
        <f>SUMIF(B6:B51,"Newton",U6:U51)</f>
        <v>152.4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2124</v>
      </c>
      <c r="D88" s="93">
        <f ca="1">SUM(D58:D86)</f>
        <v>212.4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57" orientation="landscape" r:id="rId1"/>
  <headerFooter alignWithMargins="0"/>
  <rowBreaks count="1" manualBreakCount="1">
    <brk id="52" max="21" man="1"/>
  </rowBreaks>
  <colBreaks count="1" manualBreakCount="1">
    <brk id="21" max="51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3"/>
  <dimension ref="A2:Z81"/>
  <sheetViews>
    <sheetView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10.28515625" customWidth="1"/>
    <col min="7" max="7" width="11.5703125" customWidth="1"/>
    <col min="8" max="8" width="11.42578125" customWidth="1"/>
    <col min="9" max="9" width="10.85546875" customWidth="1"/>
    <col min="10" max="12" width="11.85546875" hidden="1" customWidth="1"/>
    <col min="13" max="13" width="10.5703125" customWidth="1"/>
    <col min="14" max="14" width="11.85546875" customWidth="1"/>
    <col min="15" max="16" width="11.85546875" hidden="1" customWidth="1"/>
    <col min="17" max="17" width="10.85546875" hidden="1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127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139</v>
      </c>
      <c r="B6" s="104" t="s">
        <v>140</v>
      </c>
      <c r="C6" s="105">
        <v>560</v>
      </c>
      <c r="D6" s="106" t="s">
        <v>6</v>
      </c>
      <c r="E6" s="107">
        <v>6.16</v>
      </c>
      <c r="F6" s="108">
        <v>41619</v>
      </c>
      <c r="G6" s="85" t="s">
        <v>16</v>
      </c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0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0.82</v>
      </c>
      <c r="M6" s="110">
        <f t="shared" ref="M6:M44" ca="1" si="0">SUM(J6:L6)</f>
        <v>0.82</v>
      </c>
      <c r="N6" s="110">
        <f ca="1">+IF(ISERROR(OFFSET(Tabella!$G$1,MATCH(G6,Tabella!$G:$G,0)-1,MATCH(H7,Tabella!$G$1:$FG$1,0)-1)=TRUE),0,OFFSET(Tabella!$G$1,MATCH(G6,Tabella!$G:$G,0)-1,MATCH(H7,Tabella!$G$1:$AB$1,0)-1))</f>
        <v>0</v>
      </c>
      <c r="O6" s="110">
        <f ca="1">IF(ISERROR(OFFSET(Ottone!$F$1,MATCH(G6,Ottone!$A:$A,0)-1,MATCH(H7,Ottone!$F$1:$FF$1,0)-1)=TRUE),0,OFFSET(Ottone!$F$1,MATCH(G6,Ottone!$A:$A,0)-1,MATCH(H7,Ottone!$F$1:$FF$1,0)-1))*IF(D6="Ottone",1,0)</f>
        <v>0</v>
      </c>
      <c r="P6" s="110">
        <f ca="1">IF(ISERROR(OFFSET(Rame!$F$1,MATCH(G6,Rame!$F:$F,0)-1,MATCH(H7,Rame!$F$1:$FF$1,0)-1)=TRUE),0,OFFSET(Rame!$F$1,MATCH(G6,Rame!$F:$F,0)-1,MATCH(H7,Rame!$F$1:$FF$1,0)-1))*IF(D6="Rame",1,0)</f>
        <v>0</v>
      </c>
      <c r="Q6" s="110">
        <f t="shared" ref="Q6:Q44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44" ca="1" si="3">+M6+Q6+R6+S6</f>
        <v>0.82</v>
      </c>
      <c r="U6" s="109">
        <f t="shared" ref="U6:U44" si="4">+I6*C6</f>
        <v>56</v>
      </c>
      <c r="V6" s="113"/>
      <c r="W6" s="114">
        <f t="shared" ref="W6:W44" ca="1" si="5">+V6-T6-E6</f>
        <v>-6.98</v>
      </c>
      <c r="X6" s="109">
        <f t="shared" ref="X6:X44" ca="1" si="6">IF(W6&gt;0,W6,0)</f>
        <v>0</v>
      </c>
      <c r="Y6" s="115"/>
      <c r="Z6" s="97"/>
    </row>
    <row r="7" spans="1:26" ht="15.75" thickBot="1" x14ac:dyDescent="0.3">
      <c r="A7" s="98" t="s">
        <v>139</v>
      </c>
      <c r="B7" s="85" t="s">
        <v>140</v>
      </c>
      <c r="C7" s="116">
        <v>140</v>
      </c>
      <c r="D7" s="86" t="s">
        <v>6</v>
      </c>
      <c r="E7" s="117">
        <v>6.16</v>
      </c>
      <c r="F7" s="118">
        <v>41619</v>
      </c>
      <c r="G7" s="85" t="s">
        <v>16</v>
      </c>
      <c r="H7" s="104"/>
      <c r="I7" s="120">
        <v>0.1</v>
      </c>
      <c r="J7" s="110">
        <f ca="1">IF(ISERROR(OFFSET(Tabella!$A$1,MATCH(G7,Tabella!$A:$A,0)-1,MATCH(I7,Tabella!$A$1:$AC$1,0)-1)=TRUE),0,+OFFSET(Tabella!$A$1,MATCH(G7,Tabella!$A:$A,0)-1,MATCH(I7,Tabella!$A$1:$AC$1,0)-1))</f>
        <v>0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0.82</v>
      </c>
      <c r="M7" s="121">
        <f t="shared" ca="1" si="0"/>
        <v>0.82</v>
      </c>
      <c r="N7" s="121">
        <f ca="1">+IF(ISERROR(OFFSET(Tabella!$G$1,MATCH(G7,Tabella!$G:$G,0)-1,MATCH(#REF!,Tabella!$G$1:$FG$1,0)-1)=TRUE),0,OFFSET(Tabella!$G$1,MATCH(G7,Tabella!$G:$G,0)-1,MATCH(#REF!,Tabella!$G$1:$AB$1,0)-1))</f>
        <v>0</v>
      </c>
      <c r="O7" s="121">
        <f ca="1">IF(ISERROR(OFFSET(Ottone!$F$1,MATCH(G7,Ottone!$A:$A,0)-1,MATCH(#REF!,Ottone!$F$1:$FF$1,0)-1)=TRUE),0,OFFSET(Ottone!$F$1,MATCH(G7,Ottone!$A:$A,0)-1,MATCH(#REF!,Ottone!$F$1:$FF$1,0)-1))*IF(D7="Ottone",1,0)</f>
        <v>0</v>
      </c>
      <c r="P7" s="121">
        <f ca="1">IF(ISERROR(OFFSET(Rame!$F$1,MATCH(G7,Rame!$F:$F,0)-1,MATCH(#REF!,Rame!$F$1:$FF$1,0)-1)=TRUE),0,OFFSET(Rame!$F$1,MATCH(G7,Rame!$F:$F,0)-1,MATCH(#REF!,Rame!$F$1:$FF$1,0)-1))*IF(D7="Rame",1,0)</f>
        <v>0</v>
      </c>
      <c r="Q7" s="121">
        <f t="shared" ca="1" si="1"/>
        <v>0</v>
      </c>
      <c r="R7" s="121">
        <f t="shared" si="2"/>
        <v>0.1</v>
      </c>
      <c r="S7" s="122"/>
      <c r="T7" s="123">
        <f t="shared" ca="1" si="3"/>
        <v>0.91999999999999993</v>
      </c>
      <c r="U7" s="120">
        <f t="shared" si="4"/>
        <v>14</v>
      </c>
      <c r="V7" s="124"/>
      <c r="W7" s="125">
        <f t="shared" ca="1" si="5"/>
        <v>-7.08</v>
      </c>
      <c r="X7" s="120">
        <f t="shared" ca="1" si="6"/>
        <v>0</v>
      </c>
      <c r="Y7" s="126"/>
      <c r="Z7" s="95"/>
    </row>
    <row r="8" spans="1:26" ht="15.75" thickBot="1" x14ac:dyDescent="0.3">
      <c r="A8" s="98" t="s">
        <v>141</v>
      </c>
      <c r="B8" s="85" t="s">
        <v>140</v>
      </c>
      <c r="C8" s="116">
        <v>140</v>
      </c>
      <c r="D8" s="86" t="s">
        <v>6</v>
      </c>
      <c r="E8" s="117">
        <v>6.16</v>
      </c>
      <c r="F8" s="118">
        <v>41619</v>
      </c>
      <c r="G8" s="85" t="s">
        <v>14</v>
      </c>
      <c r="H8" s="85"/>
      <c r="I8" s="120">
        <v>0.1</v>
      </c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0.95</v>
      </c>
      <c r="M8" s="121">
        <f t="shared" ca="1" si="0"/>
        <v>0.95</v>
      </c>
      <c r="N8" s="121">
        <v>0.2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0.2</v>
      </c>
      <c r="R8" s="121">
        <f t="shared" si="2"/>
        <v>0.1</v>
      </c>
      <c r="S8" s="122"/>
      <c r="T8" s="123">
        <f t="shared" ca="1" si="3"/>
        <v>1.25</v>
      </c>
      <c r="U8" s="120">
        <f t="shared" si="4"/>
        <v>14</v>
      </c>
      <c r="V8" s="124"/>
      <c r="W8" s="125">
        <f t="shared" ca="1" si="5"/>
        <v>-7.41</v>
      </c>
      <c r="X8" s="120">
        <f t="shared" ca="1" si="6"/>
        <v>0</v>
      </c>
      <c r="Y8" s="126"/>
      <c r="Z8" s="95"/>
    </row>
    <row r="9" spans="1:26" ht="15.75" thickBot="1" x14ac:dyDescent="0.3">
      <c r="A9" s="98" t="s">
        <v>142</v>
      </c>
      <c r="B9" s="85" t="s">
        <v>143</v>
      </c>
      <c r="C9" s="116">
        <v>520</v>
      </c>
      <c r="D9" s="86" t="s">
        <v>5</v>
      </c>
      <c r="E9" s="117">
        <v>4.99</v>
      </c>
      <c r="F9" s="118">
        <v>41659</v>
      </c>
      <c r="G9" s="85" t="s">
        <v>14</v>
      </c>
      <c r="H9" s="85"/>
      <c r="I9" s="120">
        <v>0.1</v>
      </c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0.65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0.65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0.65</v>
      </c>
      <c r="U9" s="120">
        <f t="shared" si="4"/>
        <v>52</v>
      </c>
      <c r="V9" s="124"/>
      <c r="W9" s="125">
        <f t="shared" ca="1" si="5"/>
        <v>-5.6400000000000006</v>
      </c>
      <c r="X9" s="120">
        <f t="shared" ca="1" si="6"/>
        <v>0</v>
      </c>
      <c r="Y9" s="126"/>
      <c r="Z9" s="95"/>
    </row>
    <row r="10" spans="1:26" ht="15.75" thickBot="1" x14ac:dyDescent="0.3">
      <c r="A10" s="98" t="s">
        <v>144</v>
      </c>
      <c r="B10" s="85" t="s">
        <v>145</v>
      </c>
      <c r="C10" s="116">
        <v>300</v>
      </c>
      <c r="D10" s="86" t="s">
        <v>4</v>
      </c>
      <c r="E10" s="117">
        <v>1.29</v>
      </c>
      <c r="F10" s="118">
        <v>41647</v>
      </c>
      <c r="G10" s="85" t="s">
        <v>11</v>
      </c>
      <c r="H10" s="85"/>
      <c r="I10" s="120">
        <v>0.1</v>
      </c>
      <c r="J10" s="110">
        <f ca="1">IF(ISERROR(OFFSET(Tabella!$A$1,MATCH(G10,Tabella!$A:$A,0)-1,MATCH(I10,Tabella!$A$1:$AC$1,0)-1)=TRUE),0,+OFFSET(Tabella!$A$1,MATCH(G10,Tabella!$A:$A,0)-1,MATCH(I10,Tabella!$A$1:$AC$1,0)-1))</f>
        <v>1.65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1.65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1.65</v>
      </c>
      <c r="U10" s="120">
        <f t="shared" si="4"/>
        <v>30</v>
      </c>
      <c r="V10" s="124"/>
      <c r="W10" s="125">
        <f t="shared" ca="1" si="5"/>
        <v>-2.94</v>
      </c>
      <c r="X10" s="120">
        <f t="shared" ca="1" si="6"/>
        <v>0</v>
      </c>
      <c r="Y10" s="126"/>
      <c r="Z10" s="95"/>
    </row>
    <row r="11" spans="1:26" ht="15.75" thickBot="1" x14ac:dyDescent="0.3">
      <c r="A11" s="99" t="s">
        <v>144</v>
      </c>
      <c r="B11" s="98" t="s">
        <v>145</v>
      </c>
      <c r="C11" s="116">
        <v>276</v>
      </c>
      <c r="D11" s="86" t="s">
        <v>4</v>
      </c>
      <c r="E11" s="117">
        <v>1.29</v>
      </c>
      <c r="F11" s="118">
        <v>41647</v>
      </c>
      <c r="G11" s="85" t="s">
        <v>22</v>
      </c>
      <c r="H11" s="85"/>
      <c r="I11" s="120">
        <v>0.1</v>
      </c>
      <c r="J11" s="110">
        <f ca="1">IF(ISERROR(OFFSET(Tabella!$A$1,MATCH(G11,Tabella!$A:$A,0)-1,MATCH(I11,Tabella!$A$1:$AC$1,0)-1)=TRUE),0,+OFFSET(Tabella!$A$1,MATCH(G11,Tabella!$A:$A,0)-1,MATCH(I11,Tabella!$A$1:$AC$1,0)-1))</f>
        <v>1.4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1.4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1.4</v>
      </c>
      <c r="U11" s="120">
        <f t="shared" si="4"/>
        <v>27.6</v>
      </c>
      <c r="V11" s="124"/>
      <c r="W11" s="125">
        <f t="shared" ca="1" si="5"/>
        <v>-2.69</v>
      </c>
      <c r="X11" s="120">
        <f t="shared" ca="1" si="6"/>
        <v>0</v>
      </c>
      <c r="Y11" s="126"/>
      <c r="Z11" s="95"/>
    </row>
    <row r="12" spans="1:26" ht="15.75" thickBot="1" x14ac:dyDescent="0.3">
      <c r="A12" s="98" t="s">
        <v>144</v>
      </c>
      <c r="B12" s="85" t="s">
        <v>145</v>
      </c>
      <c r="C12" s="116">
        <v>314</v>
      </c>
      <c r="D12" s="86" t="s">
        <v>4</v>
      </c>
      <c r="E12" s="117">
        <v>1.29</v>
      </c>
      <c r="F12" s="118">
        <v>41647</v>
      </c>
      <c r="G12" s="85" t="s">
        <v>15</v>
      </c>
      <c r="H12" s="85"/>
      <c r="I12" s="127">
        <v>0.1</v>
      </c>
      <c r="J12" s="110">
        <f ca="1">IF(ISERROR(OFFSET(Tabella!$A$1,MATCH(G12,Tabella!$A:$A,0)-1,MATCH(I12,Tabella!$A$1:$AC$1,0)-1)=TRUE),0,+OFFSET(Tabella!$A$1,MATCH(G12,Tabella!$A:$A,0)-1,MATCH(I12,Tabella!$A$1:$AC$1,0)-1))</f>
        <v>1.6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1.6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1.6</v>
      </c>
      <c r="U12" s="120">
        <f t="shared" si="4"/>
        <v>31.400000000000002</v>
      </c>
      <c r="V12" s="124"/>
      <c r="W12" s="125">
        <f t="shared" ca="1" si="5"/>
        <v>-2.89</v>
      </c>
      <c r="X12" s="120">
        <f t="shared" ca="1" si="6"/>
        <v>0</v>
      </c>
      <c r="Y12" s="126"/>
      <c r="Z12" s="95"/>
    </row>
    <row r="13" spans="1:26" ht="15.75" thickBot="1" x14ac:dyDescent="0.3">
      <c r="A13" s="98" t="s">
        <v>146</v>
      </c>
      <c r="B13" s="85" t="s">
        <v>147</v>
      </c>
      <c r="C13" s="116">
        <v>1564</v>
      </c>
      <c r="D13" s="86" t="s">
        <v>4</v>
      </c>
      <c r="E13" s="117">
        <v>1.29</v>
      </c>
      <c r="F13" s="118">
        <v>41653</v>
      </c>
      <c r="G13" s="85" t="s">
        <v>25</v>
      </c>
      <c r="H13" s="85"/>
      <c r="I13" s="120">
        <v>0.1</v>
      </c>
      <c r="J13" s="110">
        <f ca="1">IF(ISERROR(OFFSET(Tabella!$A$1,MATCH(G13,Tabella!$A:$A,0)-1,MATCH(I13,Tabella!$A$1:$AC$1,0)-1)=TRUE),0,+OFFSET(Tabella!$A$1,MATCH(G13,Tabella!$A:$A,0)-1,MATCH(I13,Tabella!$A$1:$AC$1,0)-1))</f>
        <v>1.4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1.4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1.4</v>
      </c>
      <c r="U13" s="120">
        <f t="shared" si="4"/>
        <v>156.4</v>
      </c>
      <c r="V13" s="124"/>
      <c r="W13" s="125">
        <f t="shared" ca="1" si="5"/>
        <v>-2.69</v>
      </c>
      <c r="X13" s="120">
        <f t="shared" ca="1" si="6"/>
        <v>0</v>
      </c>
      <c r="Y13" s="126" t="s">
        <v>61</v>
      </c>
      <c r="Z13" s="95"/>
    </row>
    <row r="14" spans="1:26" ht="15.75" thickBot="1" x14ac:dyDescent="0.3">
      <c r="A14" s="98" t="s">
        <v>157</v>
      </c>
      <c r="B14" s="85" t="s">
        <v>148</v>
      </c>
      <c r="C14" s="116">
        <v>734</v>
      </c>
      <c r="D14" s="86" t="s">
        <v>4</v>
      </c>
      <c r="E14" s="117">
        <v>1.29</v>
      </c>
      <c r="F14" s="118">
        <v>41649</v>
      </c>
      <c r="G14" s="85" t="s">
        <v>24</v>
      </c>
      <c r="H14" s="85"/>
      <c r="I14" s="120">
        <v>0.1</v>
      </c>
      <c r="J14" s="110">
        <f ca="1">IF(ISERROR(OFFSET(Tabella!$A$1,MATCH(G14,Tabella!$A:$A,0)-1,MATCH(I14,Tabella!$A$1:$AC$1,0)-1)=TRUE),0,+OFFSET(Tabella!$A$1,MATCH(G14,Tabella!$A:$A,0)-1,MATCH(I14,Tabella!$A$1:$AC$1,0)-1))</f>
        <v>1.4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1.4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1.4</v>
      </c>
      <c r="U14" s="120">
        <f t="shared" si="4"/>
        <v>73.400000000000006</v>
      </c>
      <c r="V14" s="124"/>
      <c r="W14" s="125">
        <f t="shared" ca="1" si="5"/>
        <v>-2.69</v>
      </c>
      <c r="X14" s="120">
        <f t="shared" ca="1" si="6"/>
        <v>0</v>
      </c>
      <c r="Y14" s="126"/>
      <c r="Z14" s="95"/>
    </row>
    <row r="15" spans="1:26" ht="15.75" thickBot="1" x14ac:dyDescent="0.3">
      <c r="A15" s="98" t="s">
        <v>157</v>
      </c>
      <c r="B15" s="85" t="s">
        <v>148</v>
      </c>
      <c r="C15" s="116">
        <v>712</v>
      </c>
      <c r="D15" s="86" t="s">
        <v>4</v>
      </c>
      <c r="E15" s="117">
        <v>1.29</v>
      </c>
      <c r="F15" s="118">
        <v>41649</v>
      </c>
      <c r="G15" s="85" t="s">
        <v>24</v>
      </c>
      <c r="H15" s="85"/>
      <c r="I15" s="120">
        <v>0.1</v>
      </c>
      <c r="J15" s="110">
        <f ca="1">IF(ISERROR(OFFSET(Tabella!$A$1,MATCH(G15,Tabella!$A:$A,0)-1,MATCH(I15,Tabella!$A$1:$AC$1,0)-1)=TRUE),0,+OFFSET(Tabella!$A$1,MATCH(G15,Tabella!$A:$A,0)-1,MATCH(I15,Tabella!$A$1:$AC$1,0)-1))</f>
        <v>1.4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1.4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1.4</v>
      </c>
      <c r="U15" s="120">
        <f t="shared" si="4"/>
        <v>71.2</v>
      </c>
      <c r="V15" s="124"/>
      <c r="W15" s="125">
        <f t="shared" ca="1" si="5"/>
        <v>-2.69</v>
      </c>
      <c r="X15" s="120">
        <f t="shared" ca="1" si="6"/>
        <v>0</v>
      </c>
      <c r="Y15" s="126"/>
      <c r="Z15" s="95"/>
    </row>
    <row r="16" spans="1:26" ht="15.75" thickBot="1" x14ac:dyDescent="0.3">
      <c r="A16" s="98" t="s">
        <v>159</v>
      </c>
      <c r="B16" s="85" t="s">
        <v>149</v>
      </c>
      <c r="C16" s="116">
        <v>1716</v>
      </c>
      <c r="D16" s="86" t="s">
        <v>4</v>
      </c>
      <c r="E16" s="117">
        <v>1.3</v>
      </c>
      <c r="F16" s="118">
        <v>41627</v>
      </c>
      <c r="G16" s="85" t="s">
        <v>23</v>
      </c>
      <c r="H16" s="85"/>
      <c r="I16" s="120">
        <v>7.0000000000000007E-2</v>
      </c>
      <c r="J16" s="110">
        <f ca="1">IF(ISERROR(OFFSET(Tabella!$A$1,MATCH(G16,Tabella!$A:$A,0)-1,MATCH(I16,Tabella!$A$1:$AC$1,0)-1)=TRUE),0,+OFFSET(Tabella!$A$1,MATCH(G16,Tabella!$A:$A,0)-1,MATCH(I16,Tabella!$A$1:$AC$1,0)-1))</f>
        <v>1.25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1.25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1.25</v>
      </c>
      <c r="U16" s="120">
        <f t="shared" si="4"/>
        <v>120.12</v>
      </c>
      <c r="V16" s="124"/>
      <c r="W16" s="125">
        <f t="shared" ca="1" si="5"/>
        <v>-2.5499999999999998</v>
      </c>
      <c r="X16" s="120">
        <f t="shared" ca="1" si="6"/>
        <v>0</v>
      </c>
      <c r="Y16" s="126"/>
      <c r="Z16" s="95"/>
    </row>
    <row r="17" spans="1:26" ht="15.75" thickBot="1" x14ac:dyDescent="0.3">
      <c r="A17" s="98" t="s">
        <v>160</v>
      </c>
      <c r="B17" s="85" t="s">
        <v>149</v>
      </c>
      <c r="C17" s="116">
        <v>308</v>
      </c>
      <c r="D17" s="86" t="s">
        <v>4</v>
      </c>
      <c r="E17" s="117">
        <v>1.3</v>
      </c>
      <c r="F17" s="118">
        <v>41627</v>
      </c>
      <c r="G17" s="85" t="s">
        <v>23</v>
      </c>
      <c r="H17" s="85"/>
      <c r="I17" s="120">
        <v>7.0000000000000007E-2</v>
      </c>
      <c r="J17" s="110">
        <f ca="1">IF(ISERROR(OFFSET(Tabella!$A$1,MATCH(G17,Tabella!$A:$A,0)-1,MATCH(I17,Tabella!$A$1:$AC$1,0)-1)=TRUE),0,+OFFSET(Tabella!$A$1,MATCH(G17,Tabella!$A:$A,0)-1,MATCH(I17,Tabella!$A$1:$AC$1,0)-1))</f>
        <v>1.25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1.25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44" si="7">(IF(C17&gt;500,0,0.1)*IF(D17="Alluminio",0,1))*IF(C17=0,0,1)</f>
        <v>0</v>
      </c>
      <c r="S17" s="122"/>
      <c r="T17" s="123">
        <f t="shared" ca="1" si="3"/>
        <v>1.25</v>
      </c>
      <c r="U17" s="120">
        <f t="shared" si="4"/>
        <v>21.560000000000002</v>
      </c>
      <c r="V17" s="124"/>
      <c r="W17" s="125">
        <f t="shared" ca="1" si="5"/>
        <v>-2.5499999999999998</v>
      </c>
      <c r="X17" s="120">
        <f t="shared" ca="1" si="6"/>
        <v>0</v>
      </c>
      <c r="Y17" s="126"/>
      <c r="Z17" s="95"/>
    </row>
    <row r="18" spans="1:26" ht="15.75" thickBot="1" x14ac:dyDescent="0.3">
      <c r="A18" s="98" t="s">
        <v>150</v>
      </c>
      <c r="B18" s="85" t="s">
        <v>138</v>
      </c>
      <c r="C18" s="116">
        <v>696</v>
      </c>
      <c r="D18" s="86" t="s">
        <v>4</v>
      </c>
      <c r="E18" s="117">
        <v>1.33</v>
      </c>
      <c r="F18" s="118">
        <v>41659</v>
      </c>
      <c r="G18" s="85" t="s">
        <v>21</v>
      </c>
      <c r="H18" s="85"/>
      <c r="I18" s="120">
        <v>0.1</v>
      </c>
      <c r="J18" s="110">
        <f ca="1">IF(ISERROR(OFFSET(Tabella!$A$1,MATCH(G18,Tabella!$A:$A,0)-1,MATCH(I18,Tabella!$A$1:$AC$1,0)-1)=TRUE),0,+OFFSET(Tabella!$A$1,MATCH(G18,Tabella!$A:$A,0)-1,MATCH(I18,Tabella!$A$1:$AC$1,0)-1))</f>
        <v>1.4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1.4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1.4</v>
      </c>
      <c r="U18" s="120">
        <f t="shared" si="4"/>
        <v>69.600000000000009</v>
      </c>
      <c r="V18" s="124"/>
      <c r="W18" s="125">
        <f t="shared" ca="1" si="5"/>
        <v>-2.73</v>
      </c>
      <c r="X18" s="120">
        <f t="shared" ca="1" si="6"/>
        <v>0</v>
      </c>
      <c r="Y18" s="126"/>
      <c r="Z18" s="95"/>
    </row>
    <row r="19" spans="1:26" ht="15.75" thickBot="1" x14ac:dyDescent="0.3">
      <c r="A19" s="98" t="s">
        <v>150</v>
      </c>
      <c r="B19" s="85" t="s">
        <v>138</v>
      </c>
      <c r="C19" s="116">
        <v>2226</v>
      </c>
      <c r="D19" s="86" t="s">
        <v>4</v>
      </c>
      <c r="E19" s="117">
        <v>1.3</v>
      </c>
      <c r="F19" s="118">
        <v>41646</v>
      </c>
      <c r="G19" s="85" t="s">
        <v>27</v>
      </c>
      <c r="H19" s="85"/>
      <c r="I19" s="120">
        <v>0.1</v>
      </c>
      <c r="J19" s="110">
        <f ca="1">IF(ISERROR(OFFSET(Tabella!$A$1,MATCH(G19,Tabella!$A:$A,0)-1,MATCH(I19,Tabella!$A$1:$AC$1,0)-1)=TRUE),0,+OFFSET(Tabella!$A$1,MATCH(G19,Tabella!$A:$A,0)-1,MATCH(I19,Tabella!$A$1:$AC$1,0)-1))</f>
        <v>1.4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1.4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1.4</v>
      </c>
      <c r="U19" s="120">
        <f t="shared" si="4"/>
        <v>222.60000000000002</v>
      </c>
      <c r="V19" s="124"/>
      <c r="W19" s="125">
        <f t="shared" ca="1" si="5"/>
        <v>-2.7</v>
      </c>
      <c r="X19" s="120">
        <f t="shared" ca="1" si="6"/>
        <v>0</v>
      </c>
      <c r="Y19" s="126"/>
      <c r="Z19" s="95"/>
    </row>
    <row r="20" spans="1:26" ht="15.75" thickBot="1" x14ac:dyDescent="0.3">
      <c r="A20" s="98" t="s">
        <v>151</v>
      </c>
      <c r="B20" s="85" t="s">
        <v>138</v>
      </c>
      <c r="C20" s="116">
        <v>584</v>
      </c>
      <c r="D20" s="86" t="s">
        <v>4</v>
      </c>
      <c r="E20" s="117">
        <v>1.33</v>
      </c>
      <c r="F20" s="118">
        <v>41659</v>
      </c>
      <c r="G20" s="85" t="s">
        <v>9</v>
      </c>
      <c r="H20" s="85"/>
      <c r="I20" s="120">
        <v>0.1</v>
      </c>
      <c r="J20" s="110">
        <f ca="1">IF(ISERROR(OFFSET(Tabella!$A$1,MATCH(G20,Tabella!$A:$A,0)-1,MATCH(I20,Tabella!$A$1:$AC$1,0)-1)=TRUE),0,+OFFSET(Tabella!$A$1,MATCH(G20,Tabella!$A:$A,0)-1,MATCH(I20,Tabella!$A$1:$AC$1,0)-1))</f>
        <v>1.75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1.75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1.75</v>
      </c>
      <c r="U20" s="120">
        <f t="shared" si="4"/>
        <v>58.400000000000006</v>
      </c>
      <c r="V20" s="124"/>
      <c r="W20" s="125">
        <f t="shared" ca="1" si="5"/>
        <v>-3.08</v>
      </c>
      <c r="X20" s="120">
        <f t="shared" ca="1" si="6"/>
        <v>0</v>
      </c>
      <c r="Y20" s="126"/>
      <c r="Z20" s="95"/>
    </row>
    <row r="21" spans="1:26" ht="15.75" thickBot="1" x14ac:dyDescent="0.3">
      <c r="A21" s="98" t="s">
        <v>151</v>
      </c>
      <c r="B21" s="85" t="s">
        <v>138</v>
      </c>
      <c r="C21" s="116">
        <v>2136</v>
      </c>
      <c r="D21" s="86" t="s">
        <v>4</v>
      </c>
      <c r="E21" s="117">
        <v>1.33</v>
      </c>
      <c r="F21" s="118">
        <v>41659</v>
      </c>
      <c r="G21" s="85" t="s">
        <v>27</v>
      </c>
      <c r="H21" s="85"/>
      <c r="I21" s="120">
        <v>0.1</v>
      </c>
      <c r="J21" s="110">
        <f ca="1">IF(ISERROR(OFFSET(Tabella!$A$1,MATCH(G21,Tabella!$A:$A,0)-1,MATCH(I21,Tabella!$A$1:$AC$1,0)-1)=TRUE),0,+OFFSET(Tabella!$A$1,MATCH(G21,Tabella!$A:$A,0)-1,MATCH(I21,Tabella!$A$1:$AC$1,0)-1))</f>
        <v>1.4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1.4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1.4</v>
      </c>
      <c r="U21" s="120">
        <f t="shared" si="4"/>
        <v>213.60000000000002</v>
      </c>
      <c r="V21" s="124"/>
      <c r="W21" s="125">
        <f t="shared" ca="1" si="5"/>
        <v>-2.73</v>
      </c>
      <c r="X21" s="120">
        <f t="shared" ca="1" si="6"/>
        <v>0</v>
      </c>
      <c r="Y21" s="126"/>
      <c r="Z21" s="95"/>
    </row>
    <row r="22" spans="1:26" ht="15.75" thickBot="1" x14ac:dyDescent="0.3">
      <c r="A22" s="98" t="s">
        <v>152</v>
      </c>
      <c r="B22" s="85" t="s">
        <v>153</v>
      </c>
      <c r="C22" s="116">
        <v>298</v>
      </c>
      <c r="D22" s="86" t="s">
        <v>4</v>
      </c>
      <c r="E22" s="117">
        <v>1.3</v>
      </c>
      <c r="F22" s="118" t="s">
        <v>154</v>
      </c>
      <c r="G22" s="85" t="s">
        <v>27</v>
      </c>
      <c r="H22" s="85"/>
      <c r="I22" s="120">
        <v>0.18</v>
      </c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53.64</v>
      </c>
      <c r="V22" s="124"/>
      <c r="W22" s="125">
        <f t="shared" ca="1" si="5"/>
        <v>-1.3</v>
      </c>
      <c r="X22" s="120">
        <f t="shared" ca="1" si="6"/>
        <v>0</v>
      </c>
      <c r="Y22" s="126"/>
      <c r="Z22" s="95"/>
    </row>
    <row r="23" spans="1:26" ht="15.75" thickBot="1" x14ac:dyDescent="0.3">
      <c r="A23" s="98" t="s">
        <v>152</v>
      </c>
      <c r="B23" s="85" t="s">
        <v>153</v>
      </c>
      <c r="C23" s="116">
        <v>350</v>
      </c>
      <c r="D23" s="86" t="s">
        <v>4</v>
      </c>
      <c r="E23" s="117">
        <v>1.29</v>
      </c>
      <c r="F23" s="118">
        <v>41613</v>
      </c>
      <c r="G23" s="85" t="s">
        <v>25</v>
      </c>
      <c r="H23" s="85"/>
      <c r="I23" s="120">
        <v>0.18</v>
      </c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63</v>
      </c>
      <c r="V23" s="124"/>
      <c r="W23" s="125">
        <f t="shared" ca="1" si="5"/>
        <v>-1.29</v>
      </c>
      <c r="X23" s="120">
        <f t="shared" ca="1" si="6"/>
        <v>0</v>
      </c>
      <c r="Y23" s="126"/>
      <c r="Z23" s="95"/>
    </row>
    <row r="24" spans="1:26" ht="15.75" thickBot="1" x14ac:dyDescent="0.3">
      <c r="A24" s="98" t="s">
        <v>152</v>
      </c>
      <c r="B24" s="85" t="s">
        <v>153</v>
      </c>
      <c r="C24" s="116">
        <v>540</v>
      </c>
      <c r="D24" s="86" t="s">
        <v>4</v>
      </c>
      <c r="E24" s="117">
        <v>1.29</v>
      </c>
      <c r="F24" s="118">
        <v>41613</v>
      </c>
      <c r="G24" s="85" t="s">
        <v>17</v>
      </c>
      <c r="H24" s="85"/>
      <c r="I24" s="120">
        <v>0.18</v>
      </c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97.2</v>
      </c>
      <c r="V24" s="124"/>
      <c r="W24" s="125">
        <f t="shared" ca="1" si="5"/>
        <v>-1.29</v>
      </c>
      <c r="X24" s="120">
        <f t="shared" ca="1" si="6"/>
        <v>0</v>
      </c>
      <c r="Y24" s="126"/>
      <c r="Z24" s="95"/>
    </row>
    <row r="25" spans="1:26" ht="15.75" thickBot="1" x14ac:dyDescent="0.3">
      <c r="A25" s="98" t="s">
        <v>152</v>
      </c>
      <c r="B25" s="85" t="s">
        <v>153</v>
      </c>
      <c r="C25" s="116">
        <v>244</v>
      </c>
      <c r="D25" s="86" t="s">
        <v>4</v>
      </c>
      <c r="E25" s="117">
        <v>1.29</v>
      </c>
      <c r="F25" s="118">
        <v>41613</v>
      </c>
      <c r="G25" s="85" t="s">
        <v>25</v>
      </c>
      <c r="H25" s="85"/>
      <c r="I25" s="120">
        <v>0.18</v>
      </c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43.92</v>
      </c>
      <c r="V25" s="124"/>
      <c r="W25" s="125">
        <f t="shared" ca="1" si="5"/>
        <v>-1.29</v>
      </c>
      <c r="X25" s="120">
        <f t="shared" ca="1" si="6"/>
        <v>0</v>
      </c>
      <c r="Y25" s="126"/>
      <c r="Z25" s="95"/>
    </row>
    <row r="26" spans="1:26" ht="15.75" thickBot="1" x14ac:dyDescent="0.3">
      <c r="A26" s="98" t="s">
        <v>152</v>
      </c>
      <c r="B26" s="85" t="s">
        <v>153</v>
      </c>
      <c r="C26" s="116">
        <v>244</v>
      </c>
      <c r="D26" s="86" t="s">
        <v>4</v>
      </c>
      <c r="E26" s="117">
        <v>1.32</v>
      </c>
      <c r="F26" s="118">
        <v>41619</v>
      </c>
      <c r="G26" s="85" t="s">
        <v>25</v>
      </c>
      <c r="H26" s="85"/>
      <c r="I26" s="120">
        <v>0.18</v>
      </c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43.92</v>
      </c>
      <c r="V26" s="124"/>
      <c r="W26" s="125">
        <f t="shared" ca="1" si="5"/>
        <v>-1.32</v>
      </c>
      <c r="X26" s="120">
        <f t="shared" ca="1" si="6"/>
        <v>0</v>
      </c>
      <c r="Y26" s="126"/>
      <c r="Z26" s="95"/>
    </row>
    <row r="27" spans="1:26" ht="15.75" thickBot="1" x14ac:dyDescent="0.3">
      <c r="A27" s="98" t="s">
        <v>152</v>
      </c>
      <c r="B27" s="85" t="s">
        <v>153</v>
      </c>
      <c r="C27" s="116">
        <v>94</v>
      </c>
      <c r="D27" s="86" t="s">
        <v>4</v>
      </c>
      <c r="E27" s="117">
        <v>1.32</v>
      </c>
      <c r="F27" s="118">
        <v>41619</v>
      </c>
      <c r="G27" s="85" t="s">
        <v>17</v>
      </c>
      <c r="H27" s="85"/>
      <c r="I27" s="120">
        <v>0.18</v>
      </c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16.919999999999998</v>
      </c>
      <c r="V27" s="124"/>
      <c r="W27" s="125">
        <f t="shared" ca="1" si="5"/>
        <v>-1.32</v>
      </c>
      <c r="X27" s="120">
        <f t="shared" ca="1" si="6"/>
        <v>0</v>
      </c>
      <c r="Y27" s="126"/>
      <c r="Z27" s="95"/>
    </row>
    <row r="28" spans="1:26" ht="15.75" thickBot="1" x14ac:dyDescent="0.3">
      <c r="A28" s="98" t="s">
        <v>152</v>
      </c>
      <c r="B28" s="85" t="s">
        <v>153</v>
      </c>
      <c r="C28" s="116">
        <v>502</v>
      </c>
      <c r="D28" s="86" t="s">
        <v>4</v>
      </c>
      <c r="E28" s="117">
        <v>1.3</v>
      </c>
      <c r="F28" s="118">
        <v>41624</v>
      </c>
      <c r="G28" s="85" t="s">
        <v>13</v>
      </c>
      <c r="H28" s="85"/>
      <c r="I28" s="120">
        <v>0.18</v>
      </c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90.36</v>
      </c>
      <c r="V28" s="124"/>
      <c r="W28" s="125">
        <f t="shared" ca="1" si="5"/>
        <v>-1.3</v>
      </c>
      <c r="X28" s="120">
        <f t="shared" ca="1" si="6"/>
        <v>0</v>
      </c>
      <c r="Y28" s="126"/>
      <c r="Z28" s="95"/>
    </row>
    <row r="29" spans="1:26" ht="15.75" thickBot="1" x14ac:dyDescent="0.3">
      <c r="A29" s="98" t="s">
        <v>152</v>
      </c>
      <c r="B29" s="85" t="s">
        <v>153</v>
      </c>
      <c r="C29" s="116">
        <v>726</v>
      </c>
      <c r="D29" s="86" t="s">
        <v>6</v>
      </c>
      <c r="E29" s="117">
        <v>6.43</v>
      </c>
      <c r="F29" s="118">
        <v>41648</v>
      </c>
      <c r="G29" s="85" t="s">
        <v>14</v>
      </c>
      <c r="H29" s="85"/>
      <c r="I29" s="120">
        <v>0.18</v>
      </c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130.68</v>
      </c>
      <c r="V29" s="124"/>
      <c r="W29" s="125">
        <f t="shared" ca="1" si="5"/>
        <v>-6.43</v>
      </c>
      <c r="X29" s="120">
        <f t="shared" ca="1" si="6"/>
        <v>0</v>
      </c>
      <c r="Y29" s="126"/>
      <c r="Z29" s="95"/>
    </row>
    <row r="30" spans="1:26" ht="15.75" thickBot="1" x14ac:dyDescent="0.3">
      <c r="A30" s="98" t="s">
        <v>155</v>
      </c>
      <c r="B30" s="85" t="s">
        <v>153</v>
      </c>
      <c r="C30" s="116">
        <v>592</v>
      </c>
      <c r="D30" s="86" t="s">
        <v>4</v>
      </c>
      <c r="E30" s="117">
        <v>1.29</v>
      </c>
      <c r="F30" s="118">
        <v>41613</v>
      </c>
      <c r="G30" s="85" t="s">
        <v>19</v>
      </c>
      <c r="H30" s="85"/>
      <c r="I30" s="120">
        <v>0.18</v>
      </c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106.56</v>
      </c>
      <c r="V30" s="124"/>
      <c r="W30" s="125">
        <f t="shared" ca="1" si="5"/>
        <v>-1.29</v>
      </c>
      <c r="X30" s="120">
        <f t="shared" ca="1" si="6"/>
        <v>0</v>
      </c>
      <c r="Y30" s="126"/>
      <c r="Z30" s="95"/>
    </row>
    <row r="31" spans="1:26" ht="15.75" thickBot="1" x14ac:dyDescent="0.3">
      <c r="A31" s="98" t="s">
        <v>155</v>
      </c>
      <c r="B31" s="85" t="s">
        <v>153</v>
      </c>
      <c r="C31" s="116">
        <v>494</v>
      </c>
      <c r="D31" s="86" t="s">
        <v>4</v>
      </c>
      <c r="E31" s="117">
        <v>1.29</v>
      </c>
      <c r="F31" s="118">
        <v>41613</v>
      </c>
      <c r="G31" s="85" t="s">
        <v>26</v>
      </c>
      <c r="H31" s="85"/>
      <c r="I31" s="120">
        <v>0.18</v>
      </c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88.92</v>
      </c>
      <c r="V31" s="124"/>
      <c r="W31" s="125">
        <f t="shared" ca="1" si="5"/>
        <v>-1.29</v>
      </c>
      <c r="X31" s="120">
        <f t="shared" ca="1" si="6"/>
        <v>0</v>
      </c>
      <c r="Y31" s="126"/>
      <c r="Z31" s="95"/>
    </row>
    <row r="32" spans="1:26" ht="15.75" thickBot="1" x14ac:dyDescent="0.3">
      <c r="A32" s="98" t="s">
        <v>155</v>
      </c>
      <c r="B32" s="85" t="s">
        <v>153</v>
      </c>
      <c r="C32" s="116">
        <v>600</v>
      </c>
      <c r="D32" s="86" t="s">
        <v>4</v>
      </c>
      <c r="E32" s="117">
        <v>1.32</v>
      </c>
      <c r="F32" s="118">
        <v>41619</v>
      </c>
      <c r="G32" s="85" t="s">
        <v>19</v>
      </c>
      <c r="H32" s="85"/>
      <c r="I32" s="120">
        <v>0.18</v>
      </c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108</v>
      </c>
      <c r="V32" s="124"/>
      <c r="W32" s="125">
        <f t="shared" ca="1" si="5"/>
        <v>-1.32</v>
      </c>
      <c r="X32" s="120">
        <f t="shared" ca="1" si="6"/>
        <v>0</v>
      </c>
      <c r="Y32" s="126"/>
      <c r="Z32" s="95"/>
    </row>
    <row r="33" spans="1:26" ht="15.75" thickBot="1" x14ac:dyDescent="0.3">
      <c r="A33" s="98" t="s">
        <v>155</v>
      </c>
      <c r="B33" s="85" t="s">
        <v>153</v>
      </c>
      <c r="C33" s="116">
        <v>520</v>
      </c>
      <c r="D33" s="86" t="s">
        <v>4</v>
      </c>
      <c r="E33" s="117">
        <v>1.31</v>
      </c>
      <c r="F33" s="118">
        <v>41625</v>
      </c>
      <c r="G33" s="85" t="s">
        <v>23</v>
      </c>
      <c r="H33" s="85"/>
      <c r="I33" s="120">
        <v>0.18</v>
      </c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93.6</v>
      </c>
      <c r="V33" s="124"/>
      <c r="W33" s="125">
        <f t="shared" ca="1" si="5"/>
        <v>-1.31</v>
      </c>
      <c r="X33" s="120">
        <f t="shared" ca="1" si="6"/>
        <v>0</v>
      </c>
      <c r="Y33" s="126"/>
      <c r="Z33" s="95"/>
    </row>
    <row r="34" spans="1:26" ht="15.75" thickBot="1" x14ac:dyDescent="0.3">
      <c r="A34" s="98" t="s">
        <v>155</v>
      </c>
      <c r="B34" s="85" t="s">
        <v>153</v>
      </c>
      <c r="C34" s="116">
        <v>304</v>
      </c>
      <c r="D34" s="86" t="s">
        <v>4</v>
      </c>
      <c r="E34" s="117">
        <v>1.3</v>
      </c>
      <c r="F34" s="118">
        <v>41635</v>
      </c>
      <c r="G34" s="85" t="s">
        <v>26</v>
      </c>
      <c r="H34" s="85"/>
      <c r="I34" s="120">
        <v>0.18</v>
      </c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54.72</v>
      </c>
      <c r="V34" s="124"/>
      <c r="W34" s="125">
        <f t="shared" ca="1" si="5"/>
        <v>-1.3</v>
      </c>
      <c r="X34" s="120">
        <f t="shared" ca="1" si="6"/>
        <v>0</v>
      </c>
      <c r="Y34" s="126"/>
      <c r="Z34" s="95"/>
    </row>
    <row r="35" spans="1:26" ht="15.75" thickBot="1" x14ac:dyDescent="0.3">
      <c r="A35" s="98" t="s">
        <v>156</v>
      </c>
      <c r="B35" s="85" t="s">
        <v>153</v>
      </c>
      <c r="C35" s="116">
        <v>578</v>
      </c>
      <c r="D35" s="86" t="s">
        <v>4</v>
      </c>
      <c r="E35" s="117">
        <v>1.3</v>
      </c>
      <c r="F35" s="118">
        <v>41627</v>
      </c>
      <c r="G35" s="85" t="s">
        <v>17</v>
      </c>
      <c r="H35" s="85"/>
      <c r="I35" s="120">
        <v>0.18</v>
      </c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104.03999999999999</v>
      </c>
      <c r="V35" s="124"/>
      <c r="W35" s="125">
        <f t="shared" ca="1" si="5"/>
        <v>-1.3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119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128"/>
      <c r="B44" s="129"/>
      <c r="C44" s="130"/>
      <c r="D44" s="131"/>
      <c r="E44" s="132"/>
      <c r="F44" s="133"/>
      <c r="G44" s="129"/>
      <c r="H44" s="129"/>
      <c r="I44" s="134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35">
        <f t="shared" ca="1" si="0"/>
        <v>0</v>
      </c>
      <c r="N44" s="135">
        <f ca="1">+IF(ISERROR(OFFSET(Tabella!$G$1,MATCH(G44,Tabella!$G:$G,0)-1,MATCH(H44,Tabella!$G$1:$FG$1,0)-1)=TRUE),0,OFFSET(Tabella!$G$1,MATCH(G44,Tabella!$G:$G,0)-1,MATCH(H44,Tabella!$G$1:$AB$1,0)-1))</f>
        <v>0</v>
      </c>
      <c r="O44" s="135">
        <f ca="1">IF(ISERROR(OFFSET(Ottone!$F$1,MATCH(G44,Ottone!$A:$A,0)-1,MATCH(H44,Ottone!$F$1:$FF$1,0)-1)=TRUE),0,OFFSET(Ottone!$F$1,MATCH(G44,Ottone!$A:$A,0)-1,MATCH(H44,Ottone!$F$1:$FF$1,0)-1))*IF(D44="Ottone",1,0)</f>
        <v>0</v>
      </c>
      <c r="P44" s="135">
        <f ca="1">IF(ISERROR(OFFSET(Rame!$F$1,MATCH(G44,Rame!$F:$F,0)-1,MATCH(H44,Rame!$F$1:$FF$1,0)-1)=TRUE),0,OFFSET(Rame!$F$1,MATCH(G44,Rame!$F:$F,0)-1,MATCH(H44,Rame!$F$1:$FF$1,0)-1))*IF(D44="Rame",1,0)</f>
        <v>0</v>
      </c>
      <c r="Q44" s="135">
        <f t="shared" ca="1" si="1"/>
        <v>0</v>
      </c>
      <c r="R44" s="135">
        <f t="shared" si="7"/>
        <v>0</v>
      </c>
      <c r="S44" s="136"/>
      <c r="T44" s="137">
        <f t="shared" ca="1" si="3"/>
        <v>0</v>
      </c>
      <c r="U44" s="138">
        <f t="shared" si="4"/>
        <v>0</v>
      </c>
      <c r="V44" s="139"/>
      <c r="W44" s="140">
        <f t="shared" ca="1" si="5"/>
        <v>0</v>
      </c>
      <c r="X44" s="134">
        <f t="shared" ca="1" si="6"/>
        <v>0</v>
      </c>
      <c r="Y44" s="141"/>
      <c r="Z44" s="96"/>
    </row>
    <row r="45" spans="1:26" ht="15.75" thickBot="1" x14ac:dyDescent="0.3">
      <c r="C45" s="87">
        <f>SUM(C6:C44)</f>
        <v>19012</v>
      </c>
      <c r="R45" s="142"/>
      <c r="S45" s="143"/>
      <c r="U45" s="88">
        <f>SUM(U6:U44)</f>
        <v>2327.36</v>
      </c>
      <c r="X45" s="79">
        <f ca="1">SUM(X6:X44)</f>
        <v>0</v>
      </c>
    </row>
    <row r="49" spans="2:4" ht="15.75" thickBot="1" x14ac:dyDescent="0.3"/>
    <row r="50" spans="2:4" ht="15.75" thickBot="1" x14ac:dyDescent="0.3">
      <c r="B50" s="89" t="s">
        <v>37</v>
      </c>
      <c r="C50" s="90" t="s">
        <v>38</v>
      </c>
      <c r="D50" s="91" t="s">
        <v>94</v>
      </c>
    </row>
    <row r="51" spans="2:4" x14ac:dyDescent="0.25">
      <c r="B51" s="144" t="s">
        <v>105</v>
      </c>
      <c r="C51" s="145">
        <f>SUMIF(B6:B44,"Alge",C6:C44)</f>
        <v>0</v>
      </c>
      <c r="D51" s="146">
        <f>SUMIF(B6:B44,"Alge",U6:U44)</f>
        <v>0</v>
      </c>
    </row>
    <row r="52" spans="2:4" x14ac:dyDescent="0.25">
      <c r="B52" s="98" t="s">
        <v>113</v>
      </c>
      <c r="C52" s="116">
        <f>SUMIF(B6:B44,"Amer",C6:C44)</f>
        <v>0</v>
      </c>
      <c r="D52" s="147">
        <f>SUMIF(B6:B44,"Amer",U6:U44)</f>
        <v>0</v>
      </c>
    </row>
    <row r="53" spans="2:4" x14ac:dyDescent="0.25">
      <c r="B53" s="98" t="s">
        <v>95</v>
      </c>
      <c r="C53" s="116">
        <f>SUMIF(B6:B44,"Braga",C6:C44)</f>
        <v>0</v>
      </c>
      <c r="D53" s="147">
        <f>SUMIF(B6:B44,"Braga",U6:U44)</f>
        <v>0</v>
      </c>
    </row>
    <row r="54" spans="2:4" x14ac:dyDescent="0.25">
      <c r="B54" s="98" t="s">
        <v>114</v>
      </c>
      <c r="C54" s="116">
        <f>SUMIF(B6:B44,"Colombo",C6:C44)</f>
        <v>0</v>
      </c>
      <c r="D54" s="147">
        <f ca="1">SUMIF(B5:B44,"Colombo",U6:U44)</f>
        <v>0</v>
      </c>
    </row>
    <row r="55" spans="2:4" x14ac:dyDescent="0.25">
      <c r="B55" s="98" t="s">
        <v>111</v>
      </c>
      <c r="C55" s="116">
        <f>SUMIF(B6:B44,"Elca",C6:C44)</f>
        <v>890</v>
      </c>
      <c r="D55" s="147">
        <f>SUMIF(B6:B44,"Elca",U6:U44)</f>
        <v>89</v>
      </c>
    </row>
    <row r="56" spans="2:4" x14ac:dyDescent="0.25">
      <c r="B56" s="98" t="s">
        <v>106</v>
      </c>
      <c r="C56" s="116">
        <f>SUMIF(B6:B44,"Eletrafo",C6:C44)</f>
        <v>1446</v>
      </c>
      <c r="D56" s="147">
        <f>SUMIF(B6:B44,"Eletrafo",U6:U44)</f>
        <v>144.60000000000002</v>
      </c>
    </row>
    <row r="57" spans="2:4" x14ac:dyDescent="0.25">
      <c r="B57" s="98" t="s">
        <v>91</v>
      </c>
      <c r="C57" s="116">
        <f>SUMIF(B6:B44,"Elettroplastica",C6:C44)</f>
        <v>0</v>
      </c>
      <c r="D57" s="147">
        <f>SUMIF(B6:B44,"Elettroplastica",U6:U44)</f>
        <v>0</v>
      </c>
    </row>
    <row r="58" spans="2:4" x14ac:dyDescent="0.25">
      <c r="B58" s="98" t="s">
        <v>104</v>
      </c>
      <c r="C58" s="116">
        <f>SUMIF(B6:B44,"Elpi Castresin",C6:C44)</f>
        <v>0</v>
      </c>
      <c r="D58" s="147">
        <f>SUMIF(B6:B44,"Alge",U6:U44)</f>
        <v>0</v>
      </c>
    </row>
    <row r="59" spans="2:4" x14ac:dyDescent="0.25">
      <c r="B59" s="98" t="s">
        <v>97</v>
      </c>
      <c r="C59" s="116">
        <f>SUMIF(B6:B44,"Emg",C6:C44)</f>
        <v>0</v>
      </c>
      <c r="D59" s="147">
        <f>SUMIF(B6:B44,"Emg",U6:U44)</f>
        <v>0</v>
      </c>
    </row>
    <row r="60" spans="2:4" x14ac:dyDescent="0.25">
      <c r="B60" s="98" t="s">
        <v>100</v>
      </c>
      <c r="C60" s="116">
        <f>SUMIF(B6:B44,"FdueG",C1:C44)</f>
        <v>0</v>
      </c>
      <c r="D60" s="147">
        <f>SUMIF(B6:B44,"FdueG",U6:U44)</f>
        <v>0</v>
      </c>
    </row>
    <row r="61" spans="2:4" x14ac:dyDescent="0.25">
      <c r="B61" s="98" t="s">
        <v>118</v>
      </c>
      <c r="C61" s="116">
        <f>SUMIF(B6:B44,"Giussani",C6:C44)</f>
        <v>0</v>
      </c>
      <c r="D61" s="147">
        <f>SUMIF(B6:B44,"Giussani",U6:U44)</f>
        <v>0</v>
      </c>
    </row>
    <row r="62" spans="2:4" x14ac:dyDescent="0.25">
      <c r="B62" s="98" t="s">
        <v>93</v>
      </c>
      <c r="C62" s="116">
        <f>SUMIF(B6:B44,"ICAR",C6:C44)</f>
        <v>840</v>
      </c>
      <c r="D62" s="147">
        <f>SUMIF(B6:B44,"Icar",U6:U44)</f>
        <v>84</v>
      </c>
    </row>
    <row r="63" spans="2:4" x14ac:dyDescent="0.25">
      <c r="B63" s="98" t="s">
        <v>116</v>
      </c>
      <c r="C63" s="116">
        <f>SUMIF(B6:B44,"Mace",C6:C44)</f>
        <v>0</v>
      </c>
      <c r="D63" s="147">
        <f>SUMIF(B6:B44,"Mace",U6:U44)</f>
        <v>0</v>
      </c>
    </row>
    <row r="64" spans="2:4" x14ac:dyDescent="0.25">
      <c r="B64" s="98" t="s">
        <v>112</v>
      </c>
      <c r="C64" s="116">
        <f>SUMIF(B6:B44,"Marnate",C6:C44)</f>
        <v>0</v>
      </c>
      <c r="D64" s="147">
        <f>SUMIF(B6:B44,"Marnate",U6:U44)</f>
        <v>0</v>
      </c>
    </row>
    <row r="65" spans="2:4" x14ac:dyDescent="0.25">
      <c r="B65" s="98" t="s">
        <v>92</v>
      </c>
      <c r="C65" s="116">
        <f>SUMIF(B6:B44,"Meca",C6:C44)</f>
        <v>0</v>
      </c>
      <c r="D65" s="147">
        <f>SUMIF(B6:B44,"Meca",U6:U44)</f>
        <v>0</v>
      </c>
    </row>
    <row r="66" spans="2:4" x14ac:dyDescent="0.25">
      <c r="B66" s="98" t="s">
        <v>108</v>
      </c>
      <c r="C66" s="116">
        <f>SUMIF(B6:B44,"MF",C6:C44)</f>
        <v>0</v>
      </c>
      <c r="D66" s="147">
        <f>SUMIF(B6:B44,"MF",U6:U44)</f>
        <v>0</v>
      </c>
    </row>
    <row r="67" spans="2:4" x14ac:dyDescent="0.25">
      <c r="B67" s="98" t="s">
        <v>101</v>
      </c>
      <c r="C67" s="116">
        <f>SUMIF(B6:B44,"MP",C6:C44)</f>
        <v>0</v>
      </c>
      <c r="D67" s="147">
        <f>SUMIF(B6:B44,"MP",U6:U44)</f>
        <v>0</v>
      </c>
    </row>
    <row r="68" spans="2:4" x14ac:dyDescent="0.25">
      <c r="B68" s="98" t="s">
        <v>110</v>
      </c>
      <c r="C68" s="116">
        <f>SUMIF(B6:B44,"Neotrade",C6:C44)</f>
        <v>0</v>
      </c>
      <c r="D68" s="147">
        <f>SUMIF(B6:B44,"Neotrae",U6:U44)</f>
        <v>0</v>
      </c>
    </row>
    <row r="69" spans="2:4" x14ac:dyDescent="0.25">
      <c r="B69" s="98" t="s">
        <v>102</v>
      </c>
      <c r="C69" s="116">
        <f>SUMIF(B6:B44,"Newton",C6:C44)</f>
        <v>5642</v>
      </c>
      <c r="D69" s="147">
        <f>SUMIF(B6:B44,"Newton",U6:U44)</f>
        <v>564.20000000000005</v>
      </c>
    </row>
    <row r="70" spans="2:4" x14ac:dyDescent="0.25">
      <c r="B70" s="98" t="s">
        <v>98</v>
      </c>
      <c r="C70" s="116">
        <f>SUMIF(B6:B44,"Piola",C6:C44)</f>
        <v>520</v>
      </c>
      <c r="D70" s="147">
        <f>SUMIF(B6:B44,"Piola",U6:U44)</f>
        <v>52</v>
      </c>
    </row>
    <row r="71" spans="2:4" x14ac:dyDescent="0.25">
      <c r="B71" s="98" t="s">
        <v>103</v>
      </c>
      <c r="C71" s="116">
        <f>SUMIF(B6:B44,"Piossasco",C6:C44)</f>
        <v>0</v>
      </c>
      <c r="D71" s="147">
        <f>SUMIF(B6:B44,"Piossasco",U6:U44)</f>
        <v>0</v>
      </c>
    </row>
    <row r="72" spans="2:4" x14ac:dyDescent="0.25">
      <c r="B72" s="98" t="s">
        <v>115</v>
      </c>
      <c r="C72" s="116">
        <f>SUMIF(B6:B44,"project",C6:C44)</f>
        <v>0</v>
      </c>
      <c r="D72" s="147">
        <f>SUMIF(B6:B44,"Project",U6:U44)</f>
        <v>0</v>
      </c>
    </row>
    <row r="73" spans="2:4" x14ac:dyDescent="0.25">
      <c r="B73" s="98" t="s">
        <v>109</v>
      </c>
      <c r="C73" s="116">
        <f>SUMIF(B6:B44,"Sirmet",C6:C44)</f>
        <v>0</v>
      </c>
      <c r="D73" s="147">
        <f>SUMIF(B6:B44,"Alge",U6:U44)</f>
        <v>0</v>
      </c>
    </row>
    <row r="74" spans="2:4" x14ac:dyDescent="0.25">
      <c r="B74" s="98" t="s">
        <v>107</v>
      </c>
      <c r="C74" s="116">
        <f>SUMIF(B6:B44,"Tecnomintra",C6:C44)</f>
        <v>0</v>
      </c>
      <c r="D74" s="147">
        <f>SUMIF(B6:B44,"Tecnomintra",U6:U44)</f>
        <v>0</v>
      </c>
    </row>
    <row r="75" spans="2:4" x14ac:dyDescent="0.25">
      <c r="B75" s="98" t="s">
        <v>90</v>
      </c>
      <c r="C75" s="116">
        <f>SUMIF(B6:B44,"Trafomec",C6:C44)</f>
        <v>6086</v>
      </c>
      <c r="D75" s="147">
        <f>SUMIF(B6:B44,"Trafomec",U6:U44)</f>
        <v>1095.48</v>
      </c>
    </row>
    <row r="76" spans="2:4" x14ac:dyDescent="0.25">
      <c r="B76" s="98" t="s">
        <v>119</v>
      </c>
      <c r="C76" s="116">
        <f>SUMIF(B6:B44,"Trafomec SA",C6:C44)</f>
        <v>0</v>
      </c>
      <c r="D76" s="147">
        <f>SUMIF(B6:B44,"Trafomec SA",U6:U44)</f>
        <v>0</v>
      </c>
    </row>
    <row r="77" spans="2:4" x14ac:dyDescent="0.25">
      <c r="B77" s="98" t="s">
        <v>96</v>
      </c>
      <c r="C77" s="116">
        <f>SUMIF(B6:B44,"Wattsud",C6:C44)</f>
        <v>0</v>
      </c>
      <c r="D77" s="147">
        <f>SUMIF(B6:B44,"Wattsud",U6:U44)</f>
        <v>0</v>
      </c>
    </row>
    <row r="78" spans="2:4" x14ac:dyDescent="0.25">
      <c r="B78" s="98" t="s">
        <v>117</v>
      </c>
      <c r="C78" s="116">
        <f>SUMIF(B6:B44,"Wetter",C6:C44)</f>
        <v>1564</v>
      </c>
      <c r="D78" s="147">
        <f>SUMIF(B6:B44,"Wetter",U6:U44)</f>
        <v>156.4</v>
      </c>
    </row>
    <row r="79" spans="2:4" x14ac:dyDescent="0.25">
      <c r="B79" s="148" t="s">
        <v>99</v>
      </c>
      <c r="C79" s="149">
        <f>SUMIF(B6:B44,"Zucchiatti",C6:C44)</f>
        <v>0</v>
      </c>
      <c r="D79" s="150">
        <f>SUMIF(B6:B44,"Zucchiatti",U6:U44)</f>
        <v>0</v>
      </c>
    </row>
    <row r="80" spans="2:4" ht="15.75" thickBot="1" x14ac:dyDescent="0.3">
      <c r="B80" s="128"/>
      <c r="C80" s="151">
        <v>0</v>
      </c>
      <c r="D80" s="152"/>
    </row>
    <row r="81" spans="3:4" ht="15.75" thickBot="1" x14ac:dyDescent="0.3">
      <c r="C81" s="92">
        <f>SUM(C51:C80)</f>
        <v>16988</v>
      </c>
      <c r="D81" s="93">
        <f ca="1">SUM(D51:D79)</f>
        <v>2185.6800000000003</v>
      </c>
    </row>
  </sheetData>
  <autoFilter ref="B5:B45"/>
  <dataConsolidate/>
  <phoneticPr fontId="0" type="noConversion"/>
  <dataValidations count="46">
    <dataValidation type="list" allowBlank="1" showInputMessage="1" showErrorMessage="1" sqref="H7">
      <formula1>IF(D6="Alluminio",LargAl,LarCu)</formula1>
    </dataValidation>
    <dataValidation type="list" allowBlank="1" showInputMessage="1" showErrorMessage="1" sqref="H44">
      <formula1>Larghezza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H8:H43">
      <formula1>IF(D8="Alluminio",LargAl,LarCu)</formula1>
    </dataValidation>
    <dataValidation type="list" allowBlank="1" showInputMessage="1" showErrorMessage="1" sqref="I6:I44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D7:D44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Z6:Z44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60" orientation="landscape" r:id="rId1"/>
  <headerFooter alignWithMargins="0"/>
  <rowBreaks count="1" manualBreakCount="1">
    <brk id="45" max="21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2"/>
  <dimension ref="A2:Z88"/>
  <sheetViews>
    <sheetView topLeftCell="J1"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customWidth="1"/>
    <col min="13" max="13" width="10.5703125" customWidth="1"/>
    <col min="14" max="16" width="11.85546875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127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131</v>
      </c>
      <c r="B6" s="104" t="s">
        <v>132</v>
      </c>
      <c r="C6" s="105">
        <v>370</v>
      </c>
      <c r="D6" s="106" t="s">
        <v>4</v>
      </c>
      <c r="E6" s="107">
        <v>1.31</v>
      </c>
      <c r="F6" s="108">
        <v>41618</v>
      </c>
      <c r="G6" s="85" t="s">
        <v>28</v>
      </c>
      <c r="H6" s="104"/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1.4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1.4</v>
      </c>
      <c r="N6" s="110">
        <f ca="1">+IF(ISERROR(OFFSET(Tabella!$G$1,MATCH(G6,Tabella!$G:$G,0)-1,MATCH(H6,Tabella!$G$1:$FG$1,0)-1)=TRUE),0,OFFSET(Tabella!$G$1,MATCH(G6,Tabella!$G:$G,0)-1,MATCH(H6,Tabella!$G$1:$AB$1,0)-1))</f>
        <v>0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51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1.4</v>
      </c>
      <c r="U6" s="109">
        <f t="shared" ref="U6:U51" si="4">+I6*C6</f>
        <v>37</v>
      </c>
      <c r="V6" s="113"/>
      <c r="W6" s="114">
        <f t="shared" ref="W6:W51" ca="1" si="5">+V6-T6-E6</f>
        <v>-2.71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 t="s">
        <v>133</v>
      </c>
      <c r="B7" s="85" t="s">
        <v>134</v>
      </c>
      <c r="C7" s="116">
        <v>178</v>
      </c>
      <c r="D7" s="86" t="s">
        <v>4</v>
      </c>
      <c r="E7" s="117">
        <v>1.29</v>
      </c>
      <c r="F7" s="118">
        <v>41654</v>
      </c>
      <c r="G7" s="85" t="s">
        <v>25</v>
      </c>
      <c r="H7" s="119"/>
      <c r="I7" s="120">
        <v>0.1</v>
      </c>
      <c r="J7" s="110">
        <f ca="1">IF(ISERROR(OFFSET(Tabella!$A$1,MATCH(G7,Tabella!$A:$A,0)-1,MATCH(I7,Tabella!$A$1:$AC$1,0)-1)=TRUE),0,+OFFSET(Tabella!$A$1,MATCH(G7,Tabella!$A:$A,0)-1,MATCH(I7,Tabella!$A$1:$AC$1,0)-1))</f>
        <v>1.4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1.4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1.4</v>
      </c>
      <c r="U7" s="120">
        <f t="shared" si="4"/>
        <v>17.8</v>
      </c>
      <c r="V7" s="124"/>
      <c r="W7" s="125">
        <f t="shared" ca="1" si="5"/>
        <v>-2.69</v>
      </c>
      <c r="X7" s="120">
        <f t="shared" ca="1" si="6"/>
        <v>0</v>
      </c>
      <c r="Y7" s="126"/>
      <c r="Z7" s="95"/>
    </row>
    <row r="8" spans="1:26" ht="15.75" thickBot="1" x14ac:dyDescent="0.3">
      <c r="A8" s="98" t="s">
        <v>161</v>
      </c>
      <c r="B8" s="85" t="s">
        <v>125</v>
      </c>
      <c r="C8" s="116">
        <v>310</v>
      </c>
      <c r="D8" s="86" t="s">
        <v>5</v>
      </c>
      <c r="E8" s="117">
        <v>4.8499999999999996</v>
      </c>
      <c r="F8" s="118">
        <v>41627</v>
      </c>
      <c r="G8" s="85" t="s">
        <v>18</v>
      </c>
      <c r="H8" s="85"/>
      <c r="I8" s="120">
        <v>0.1</v>
      </c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0.6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0.6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0.1</v>
      </c>
      <c r="S8" s="122"/>
      <c r="T8" s="123">
        <f t="shared" ca="1" si="3"/>
        <v>0.7</v>
      </c>
      <c r="U8" s="120">
        <f t="shared" si="4"/>
        <v>31</v>
      </c>
      <c r="V8" s="124"/>
      <c r="W8" s="125">
        <f t="shared" ca="1" si="5"/>
        <v>-5.55</v>
      </c>
      <c r="X8" s="120">
        <f t="shared" ca="1" si="6"/>
        <v>0</v>
      </c>
      <c r="Y8" s="126" t="s">
        <v>61</v>
      </c>
      <c r="Z8" s="95"/>
    </row>
    <row r="9" spans="1:26" ht="15.75" thickBot="1" x14ac:dyDescent="0.3">
      <c r="A9" s="98" t="s">
        <v>135</v>
      </c>
      <c r="B9" s="85" t="s">
        <v>125</v>
      </c>
      <c r="C9" s="116">
        <v>359</v>
      </c>
      <c r="D9" s="86" t="s">
        <v>5</v>
      </c>
      <c r="E9" s="117">
        <v>4.8499999999999996</v>
      </c>
      <c r="F9" s="118">
        <v>41627</v>
      </c>
      <c r="G9" s="85" t="s">
        <v>20</v>
      </c>
      <c r="H9" s="85"/>
      <c r="I9" s="120">
        <v>0.1</v>
      </c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0.65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0.65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0.1</v>
      </c>
      <c r="S9" s="122"/>
      <c r="T9" s="123">
        <f t="shared" ca="1" si="3"/>
        <v>0.75</v>
      </c>
      <c r="U9" s="120">
        <f t="shared" si="4"/>
        <v>35.9</v>
      </c>
      <c r="V9" s="124"/>
      <c r="W9" s="125">
        <f t="shared" ca="1" si="5"/>
        <v>-5.6</v>
      </c>
      <c r="X9" s="120">
        <f t="shared" ca="1" si="6"/>
        <v>0</v>
      </c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 t="s">
        <v>61</v>
      </c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1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1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1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1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1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1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1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1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1217</v>
      </c>
      <c r="R52" s="142"/>
      <c r="S52" s="143"/>
      <c r="U52" s="88">
        <f>SUM(U6:U51)</f>
        <v>121.69999999999999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0</v>
      </c>
      <c r="D60" s="147">
        <f>SUMIF(B6:B51,"Braga",U6:U51)</f>
        <v>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370</v>
      </c>
      <c r="D72" s="147">
        <f>SUMIF(B6:B51,"Meca",U6:U51)</f>
        <v>37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0</v>
      </c>
      <c r="D76" s="147">
        <f>SUMIF(B6:B51,"Newton",U6:U51)</f>
        <v>0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370</v>
      </c>
      <c r="D88" s="93">
        <f ca="1">SUM(D58:D86)</f>
        <v>37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54" orientation="landscape" r:id="rId1"/>
  <headerFooter alignWithMargins="0"/>
  <rowBreaks count="1" manualBreakCount="1">
    <brk id="52" max="21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1"/>
  <dimension ref="A2:Z88"/>
  <sheetViews>
    <sheetView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customWidth="1"/>
    <col min="13" max="13" width="10.5703125" customWidth="1"/>
    <col min="14" max="16" width="11.85546875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36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/>
      <c r="B6" s="104"/>
      <c r="C6" s="105"/>
      <c r="D6" s="106" t="s">
        <v>4</v>
      </c>
      <c r="E6" s="107"/>
      <c r="F6" s="108"/>
      <c r="G6" s="85" t="s">
        <v>13</v>
      </c>
      <c r="H6" s="104" t="s">
        <v>7</v>
      </c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1.6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1.6</v>
      </c>
      <c r="N6" s="110">
        <f ca="1">+IF(ISERROR(OFFSET(Tabella!$G$1,MATCH(G6,Tabella!$G:$G,0)-1,MATCH(H6,Tabella!$G$1:$FG$1,0)-1)=TRUE),0,OFFSET(Tabella!$G$1,MATCH(G6,Tabella!$G:$G,0)-1,MATCH(H6,Tabella!$G$1:$AB$1,0)-1))</f>
        <v>0.3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51" ca="1" si="1">SUM(N6:P6)</f>
        <v>0.3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1.9000000000000001</v>
      </c>
      <c r="U6" s="109">
        <f t="shared" ref="U6:U51" si="4">+I6*C6</f>
        <v>0</v>
      </c>
      <c r="V6" s="113"/>
      <c r="W6" s="114">
        <f t="shared" ref="W6:W51" ca="1" si="5">+V6-T6-E6</f>
        <v>-1.9000000000000001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/>
      <c r="B7" s="85"/>
      <c r="C7" s="116"/>
      <c r="D7" s="86"/>
      <c r="E7" s="117"/>
      <c r="F7" s="118"/>
      <c r="G7" s="85"/>
      <c r="H7" s="119"/>
      <c r="I7" s="120"/>
      <c r="J7" s="110">
        <f ca="1">IF(ISERROR(OFFSET(Tabella!$A$1,MATCH(G7,Tabella!$A:$A,0)-1,MATCH(I7,Tabella!$A$1:$AC$1,0)-1)=TRUE),0,+OFFSET(Tabella!$A$1,MATCH(G7,Tabella!$A:$A,0)-1,MATCH(I7,Tabella!$A$1:$AC$1,0)-1))</f>
        <v>0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0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0</v>
      </c>
      <c r="U7" s="120">
        <f t="shared" si="4"/>
        <v>0</v>
      </c>
      <c r="V7" s="124"/>
      <c r="W7" s="125">
        <f t="shared" ca="1" si="5"/>
        <v>0</v>
      </c>
      <c r="X7" s="120">
        <f t="shared" ca="1" si="6"/>
        <v>0</v>
      </c>
      <c r="Y7" s="126"/>
      <c r="Z7" s="95"/>
    </row>
    <row r="8" spans="1:26" ht="15.75" thickBot="1" x14ac:dyDescent="0.3">
      <c r="A8" s="98"/>
      <c r="B8" s="85"/>
      <c r="C8" s="116"/>
      <c r="D8" s="86"/>
      <c r="E8" s="117"/>
      <c r="F8" s="118"/>
      <c r="G8" s="85"/>
      <c r="H8" s="85"/>
      <c r="I8" s="120"/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0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</v>
      </c>
      <c r="S8" s="122"/>
      <c r="T8" s="123">
        <f t="shared" ca="1" si="3"/>
        <v>0</v>
      </c>
      <c r="U8" s="120">
        <f t="shared" si="4"/>
        <v>0</v>
      </c>
      <c r="V8" s="124"/>
      <c r="W8" s="125">
        <f t="shared" ca="1" si="5"/>
        <v>0</v>
      </c>
      <c r="X8" s="120">
        <f t="shared" ca="1" si="6"/>
        <v>0</v>
      </c>
      <c r="Y8" s="126"/>
      <c r="Z8" s="95"/>
    </row>
    <row r="9" spans="1:26" ht="15.75" thickBot="1" x14ac:dyDescent="0.3">
      <c r="A9" s="98"/>
      <c r="B9" s="85"/>
      <c r="C9" s="116"/>
      <c r="D9" s="86"/>
      <c r="E9" s="117"/>
      <c r="F9" s="118"/>
      <c r="G9" s="85"/>
      <c r="H9" s="85"/>
      <c r="I9" s="120"/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</v>
      </c>
      <c r="U9" s="120">
        <f t="shared" si="4"/>
        <v>0</v>
      </c>
      <c r="V9" s="124"/>
      <c r="W9" s="125">
        <f t="shared" ca="1" si="5"/>
        <v>0</v>
      </c>
      <c r="X9" s="120">
        <f t="shared" ca="1" si="6"/>
        <v>0</v>
      </c>
      <c r="Y9" s="126"/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/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1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1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1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1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1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1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1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1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0</v>
      </c>
      <c r="R52" s="142"/>
      <c r="S52" s="143"/>
      <c r="U52" s="88">
        <f>SUM(U6:U51)</f>
        <v>0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0</v>
      </c>
      <c r="D60" s="147">
        <f>SUMIF(B6:B51,"Braga",U6:U51)</f>
        <v>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0</v>
      </c>
      <c r="D72" s="147">
        <f>SUMIF(B6:B51,"Meca",U6:U51)</f>
        <v>0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0</v>
      </c>
      <c r="D76" s="147">
        <f>SUMIF(B6:B51,"Newton",U6:U51)</f>
        <v>0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0</v>
      </c>
      <c r="D88" s="93">
        <f ca="1">SUM(D58:D86)</f>
        <v>0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60" orientation="landscape" r:id="rId1"/>
  <headerFooter alignWithMargins="0"/>
  <rowBreaks count="1" manualBreakCount="1">
    <brk id="52" max="21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0"/>
  <dimension ref="A2:Z88"/>
  <sheetViews>
    <sheetView topLeftCell="A70"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12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hidden="1" customWidth="1"/>
    <col min="13" max="13" width="10.5703125" customWidth="1"/>
    <col min="14" max="16" width="11.85546875" hidden="1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127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128</v>
      </c>
      <c r="B6" s="104" t="s">
        <v>129</v>
      </c>
      <c r="C6" s="105">
        <v>2100</v>
      </c>
      <c r="D6" s="106" t="s">
        <v>5</v>
      </c>
      <c r="E6" s="107">
        <v>4.95</v>
      </c>
      <c r="F6" s="108">
        <v>41654</v>
      </c>
      <c r="G6" s="85" t="s">
        <v>16</v>
      </c>
      <c r="H6" s="104"/>
      <c r="I6" s="109">
        <v>0.18</v>
      </c>
      <c r="J6" s="110">
        <f ca="1">IF(ISERROR(OFFSET(Tabella!$A$1,MATCH(G6,Tabella!$A:$A,0)-1,MATCH(I6,Tabella!$A$1:$AC$1,0)-1)=TRUE),0,+OFFSET(Tabella!$A$1,MATCH(G6,Tabella!$A:$A,0)-1,MATCH(I6,Tabella!$A$1:$AC$1,0)-1))</f>
        <v>0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0</v>
      </c>
      <c r="N6" s="110">
        <f ca="1">+IF(ISERROR(OFFSET(Tabella!$G$1,MATCH(G6,Tabella!$G:$G,0)-1,MATCH(H6,Tabella!$G$1:$FG$1,0)-1)=TRUE),0,OFFSET(Tabella!$G$1,MATCH(G6,Tabella!$G:$G,0)-1,MATCH(H6,Tabella!$G$1:$AB$1,0)-1))</f>
        <v>0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15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0</v>
      </c>
      <c r="U6" s="109">
        <f t="shared" ref="U6:U51" si="4">+I6*C6</f>
        <v>378</v>
      </c>
      <c r="V6" s="113"/>
      <c r="W6" s="114">
        <f t="shared" ref="W6:W51" ca="1" si="5">+V6-T6-E6</f>
        <v>-4.95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 t="s">
        <v>130</v>
      </c>
      <c r="B7" s="85" t="s">
        <v>129</v>
      </c>
      <c r="C7" s="116">
        <v>2100</v>
      </c>
      <c r="D7" s="86" t="s">
        <v>5</v>
      </c>
      <c r="E7" s="117">
        <v>4.95</v>
      </c>
      <c r="F7" s="118">
        <v>41654</v>
      </c>
      <c r="G7" s="85" t="s">
        <v>16</v>
      </c>
      <c r="H7" s="119"/>
      <c r="I7" s="120">
        <v>0.18</v>
      </c>
      <c r="J7" s="110">
        <f ca="1">IF(ISERROR(OFFSET(Tabella!$A$1,MATCH(G7,Tabella!$A:$A,0)-1,MATCH(I7,Tabella!$A$1:$AC$1,0)-1)=TRUE),0,+OFFSET(Tabella!$A$1,MATCH(G7,Tabella!$A:$A,0)-1,MATCH(I7,Tabella!$A$1:$AC$1,0)-1))</f>
        <v>0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0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0</v>
      </c>
      <c r="U7" s="120">
        <f t="shared" si="4"/>
        <v>378</v>
      </c>
      <c r="V7" s="124"/>
      <c r="W7" s="125">
        <f t="shared" ca="1" si="5"/>
        <v>-4.95</v>
      </c>
      <c r="X7" s="120">
        <f t="shared" ca="1" si="6"/>
        <v>0</v>
      </c>
      <c r="Y7" s="126"/>
      <c r="Z7" s="95"/>
    </row>
    <row r="8" spans="1:26" ht="15.75" thickBot="1" x14ac:dyDescent="0.3">
      <c r="A8" s="98"/>
      <c r="B8" s="85"/>
      <c r="C8" s="116"/>
      <c r="D8" s="86"/>
      <c r="E8" s="117"/>
      <c r="F8" s="118"/>
      <c r="G8" s="85"/>
      <c r="H8" s="85"/>
      <c r="I8" s="120"/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0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</v>
      </c>
      <c r="S8" s="122"/>
      <c r="T8" s="123">
        <f t="shared" ca="1" si="3"/>
        <v>0</v>
      </c>
      <c r="U8" s="120">
        <f t="shared" si="4"/>
        <v>0</v>
      </c>
      <c r="V8" s="124"/>
      <c r="W8" s="125">
        <f t="shared" ca="1" si="5"/>
        <v>0</v>
      </c>
      <c r="X8" s="120">
        <f t="shared" ca="1" si="6"/>
        <v>0</v>
      </c>
      <c r="Y8" s="126"/>
      <c r="Z8" s="95"/>
    </row>
    <row r="9" spans="1:26" ht="15.75" thickBot="1" x14ac:dyDescent="0.3">
      <c r="A9" s="98"/>
      <c r="B9" s="85"/>
      <c r="C9" s="116"/>
      <c r="D9" s="86"/>
      <c r="E9" s="117"/>
      <c r="F9" s="118"/>
      <c r="G9" s="85"/>
      <c r="H9" s="85"/>
      <c r="I9" s="120"/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</v>
      </c>
      <c r="U9" s="120">
        <f t="shared" si="4"/>
        <v>0</v>
      </c>
      <c r="V9" s="124"/>
      <c r="W9" s="125">
        <f t="shared" ca="1" si="5"/>
        <v>0</v>
      </c>
      <c r="X9" s="120">
        <f t="shared" ca="1" si="6"/>
        <v>0</v>
      </c>
      <c r="Y9" s="126"/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/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ca="1">SUM(N16:P16)</f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ca="1">SUM(N17:P17)</f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ref="Q18:Q51" ca="1" si="8">SUM(N18:P18)</f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8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8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8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8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8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8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8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8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8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8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8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8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8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8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8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8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8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8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8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8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8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8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8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8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8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8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8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8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8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8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8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8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8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4200</v>
      </c>
      <c r="R52" s="142"/>
      <c r="S52" s="143"/>
      <c r="U52" s="88">
        <f>SUM(U6:U51)</f>
        <v>756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0</v>
      </c>
      <c r="D60" s="147">
        <f>SUMIF(B6:B51,"Braga",U6:U51)</f>
        <v>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0</v>
      </c>
      <c r="D72" s="147">
        <f>SUMIF(B6:B51,"Meca",U6:U51)</f>
        <v>0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4200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0</v>
      </c>
      <c r="D76" s="147">
        <f>SUMIF(B6:B51,"Newton",U6:U51)</f>
        <v>0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4200</v>
      </c>
      <c r="D88" s="93">
        <f ca="1">SUM(D58:D86)</f>
        <v>0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54" orientation="landscape" r:id="rId1"/>
  <headerFooter alignWithMargins="0"/>
  <rowBreaks count="1" manualBreakCount="1">
    <brk id="52" max="21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A1:G7"/>
  <sheetViews>
    <sheetView workbookViewId="0">
      <selection activeCell="A2" sqref="A2:A7"/>
    </sheetView>
  </sheetViews>
  <sheetFormatPr defaultRowHeight="15" x14ac:dyDescent="0.25"/>
  <cols>
    <col min="1" max="1" width="16.140625" customWidth="1"/>
    <col min="2" max="2" width="13.7109375" customWidth="1"/>
    <col min="3" max="3" width="14.28515625" customWidth="1"/>
    <col min="4" max="4" width="13.85546875" customWidth="1"/>
    <col min="5" max="5" width="14.140625" customWidth="1"/>
  </cols>
  <sheetData>
    <row r="1" spans="1:7" x14ac:dyDescent="0.25">
      <c r="A1" s="160"/>
      <c r="B1" s="4" t="s">
        <v>178</v>
      </c>
      <c r="C1" s="4" t="s">
        <v>179</v>
      </c>
      <c r="D1" s="4" t="s">
        <v>180</v>
      </c>
      <c r="E1" s="4" t="s">
        <v>181</v>
      </c>
      <c r="F1" s="4"/>
      <c r="G1" s="4"/>
    </row>
    <row r="2" spans="1:7" x14ac:dyDescent="0.25">
      <c r="A2" s="163" t="s">
        <v>183</v>
      </c>
      <c r="B2" s="164"/>
      <c r="C2" s="164"/>
      <c r="D2" s="164"/>
      <c r="E2" s="164"/>
      <c r="F2" s="164"/>
      <c r="G2" s="164"/>
    </row>
    <row r="3" spans="1:7" x14ac:dyDescent="0.25">
      <c r="A3" s="163" t="s">
        <v>184</v>
      </c>
      <c r="B3" s="5">
        <v>1.61</v>
      </c>
      <c r="C3" s="5">
        <v>1.55</v>
      </c>
      <c r="D3" s="5">
        <v>1.41</v>
      </c>
      <c r="E3" s="5">
        <v>1.3</v>
      </c>
      <c r="F3" s="5"/>
      <c r="G3" s="5"/>
    </row>
    <row r="4" spans="1:7" x14ac:dyDescent="0.25">
      <c r="A4" s="163" t="s">
        <v>185</v>
      </c>
      <c r="B4" s="5">
        <v>1.53</v>
      </c>
      <c r="C4" s="5">
        <v>1.48</v>
      </c>
      <c r="D4" s="5">
        <v>1.38</v>
      </c>
      <c r="E4" s="5">
        <v>1.22</v>
      </c>
      <c r="F4" s="5"/>
      <c r="G4" s="5"/>
    </row>
    <row r="5" spans="1:7" x14ac:dyDescent="0.25">
      <c r="A5" s="163" t="s">
        <v>186</v>
      </c>
      <c r="B5" s="5">
        <v>1.47</v>
      </c>
      <c r="C5" s="5">
        <v>1.42</v>
      </c>
      <c r="D5" s="5">
        <v>1.28</v>
      </c>
      <c r="E5" s="5">
        <v>1.1599999999999999</v>
      </c>
      <c r="F5" s="5"/>
      <c r="G5" s="5"/>
    </row>
    <row r="6" spans="1:7" x14ac:dyDescent="0.25">
      <c r="A6" s="163" t="s">
        <v>187</v>
      </c>
      <c r="B6" s="5">
        <v>1.4</v>
      </c>
      <c r="C6" s="5">
        <v>1.34</v>
      </c>
      <c r="D6" s="5">
        <v>1.2</v>
      </c>
      <c r="E6" s="5">
        <v>1.1000000000000001</v>
      </c>
      <c r="F6" s="5"/>
      <c r="G6" s="5"/>
    </row>
    <row r="7" spans="1:7" x14ac:dyDescent="0.25">
      <c r="A7" s="166" t="s">
        <v>188</v>
      </c>
      <c r="B7" s="164"/>
      <c r="C7" s="5">
        <v>1.34</v>
      </c>
      <c r="D7" s="5">
        <v>1.2</v>
      </c>
      <c r="E7" s="5">
        <v>1.19</v>
      </c>
      <c r="F7" s="5"/>
      <c r="G7" s="5"/>
    </row>
  </sheetData>
  <phoneticPr fontId="19" type="noConversion"/>
  <pageMargins left="0.7" right="0.7" top="0.75" bottom="0.75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/>
  <dimension ref="A1:I7"/>
  <sheetViews>
    <sheetView workbookViewId="0">
      <selection activeCell="H11" sqref="H11"/>
    </sheetView>
  </sheetViews>
  <sheetFormatPr defaultRowHeight="15" x14ac:dyDescent="0.25"/>
  <cols>
    <col min="1" max="1" width="12.42578125" customWidth="1"/>
    <col min="2" max="2" width="11" customWidth="1"/>
    <col min="3" max="3" width="10.42578125" customWidth="1"/>
    <col min="6" max="6" width="13" customWidth="1"/>
    <col min="7" max="7" width="11.140625" customWidth="1"/>
    <col min="8" max="8" width="12" customWidth="1"/>
    <col min="9" max="9" width="11.7109375" customWidth="1"/>
  </cols>
  <sheetData>
    <row r="1" spans="1:9" x14ac:dyDescent="0.25">
      <c r="B1" s="8">
        <v>0.1</v>
      </c>
      <c r="C1" s="8">
        <v>0.15</v>
      </c>
      <c r="G1" s="4" t="s">
        <v>7</v>
      </c>
      <c r="H1" s="4" t="s">
        <v>33</v>
      </c>
      <c r="I1" s="4" t="s">
        <v>32</v>
      </c>
    </row>
    <row r="2" spans="1:9" x14ac:dyDescent="0.25">
      <c r="A2" s="5" t="s">
        <v>10</v>
      </c>
      <c r="B2" s="6">
        <v>1.4</v>
      </c>
      <c r="C2" s="6">
        <v>1.43</v>
      </c>
      <c r="F2" s="5" t="s">
        <v>10</v>
      </c>
      <c r="G2" s="6">
        <v>0.5</v>
      </c>
      <c r="H2" s="6">
        <v>0.4</v>
      </c>
      <c r="I2" s="6">
        <v>0.3</v>
      </c>
    </row>
    <row r="3" spans="1:9" x14ac:dyDescent="0.25">
      <c r="A3" s="5" t="s">
        <v>12</v>
      </c>
      <c r="B3" s="6">
        <v>1.1000000000000001</v>
      </c>
      <c r="C3" s="6">
        <v>1.25</v>
      </c>
      <c r="F3" s="5" t="s">
        <v>12</v>
      </c>
      <c r="G3" s="6">
        <v>0.4</v>
      </c>
      <c r="H3" s="6">
        <v>0.3</v>
      </c>
      <c r="I3" s="6">
        <v>0.2</v>
      </c>
    </row>
    <row r="4" spans="1:9" x14ac:dyDescent="0.25">
      <c r="A4" s="5" t="s">
        <v>14</v>
      </c>
      <c r="B4" s="6">
        <v>0.95</v>
      </c>
      <c r="C4" s="6">
        <v>1</v>
      </c>
      <c r="F4" s="5" t="s">
        <v>14</v>
      </c>
      <c r="G4" s="6">
        <v>0.3</v>
      </c>
      <c r="H4" s="6">
        <v>0.2</v>
      </c>
      <c r="I4" s="6">
        <v>0.15</v>
      </c>
    </row>
    <row r="5" spans="1:9" x14ac:dyDescent="0.25">
      <c r="A5" s="5" t="s">
        <v>16</v>
      </c>
      <c r="B5" s="6">
        <v>0.82</v>
      </c>
      <c r="C5" s="6">
        <v>0.85</v>
      </c>
      <c r="F5" s="5" t="s">
        <v>16</v>
      </c>
      <c r="G5" s="6">
        <v>0.2</v>
      </c>
      <c r="H5" s="6">
        <v>0.15</v>
      </c>
      <c r="I5" s="6">
        <v>0.1</v>
      </c>
    </row>
    <row r="6" spans="1:9" x14ac:dyDescent="0.25">
      <c r="A6" s="5" t="s">
        <v>18</v>
      </c>
      <c r="B6" s="6">
        <v>0.78</v>
      </c>
      <c r="C6" s="6">
        <v>0.82</v>
      </c>
      <c r="F6" s="5" t="s">
        <v>18</v>
      </c>
      <c r="G6" s="6">
        <v>0.15</v>
      </c>
      <c r="H6" s="6">
        <v>0.1</v>
      </c>
      <c r="I6" s="6">
        <v>0.05</v>
      </c>
    </row>
    <row r="7" spans="1:9" x14ac:dyDescent="0.25">
      <c r="A7" s="5" t="s">
        <v>20</v>
      </c>
      <c r="B7" s="6">
        <v>0.95</v>
      </c>
      <c r="C7" s="6">
        <v>1</v>
      </c>
      <c r="F7" s="5" t="s">
        <v>20</v>
      </c>
      <c r="G7" s="6">
        <v>0.3</v>
      </c>
      <c r="H7" s="6">
        <v>0.2</v>
      </c>
      <c r="I7" s="6">
        <v>0.1</v>
      </c>
    </row>
  </sheetData>
  <phoneticPr fontId="1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9"/>
  <dimension ref="A1:I7"/>
  <sheetViews>
    <sheetView workbookViewId="0">
      <selection activeCell="B38" sqref="B38"/>
    </sheetView>
  </sheetViews>
  <sheetFormatPr defaultRowHeight="15" x14ac:dyDescent="0.25"/>
  <cols>
    <col min="1" max="1" width="12.42578125" customWidth="1"/>
    <col min="2" max="2" width="11" customWidth="1"/>
    <col min="3" max="3" width="10.42578125" customWidth="1"/>
    <col min="5" max="5" width="7.140625" customWidth="1"/>
    <col min="6" max="6" width="13.85546875" customWidth="1"/>
    <col min="7" max="7" width="11" customWidth="1"/>
    <col min="8" max="8" width="12.7109375" customWidth="1"/>
    <col min="9" max="9" width="13.42578125" customWidth="1"/>
  </cols>
  <sheetData>
    <row r="1" spans="1:9" x14ac:dyDescent="0.25">
      <c r="B1" s="8">
        <v>0.1</v>
      </c>
      <c r="C1" s="8">
        <v>0.15</v>
      </c>
      <c r="G1" s="4" t="s">
        <v>7</v>
      </c>
      <c r="H1" s="4" t="s">
        <v>33</v>
      </c>
      <c r="I1" s="4" t="s">
        <v>32</v>
      </c>
    </row>
    <row r="2" spans="1:9" x14ac:dyDescent="0.25">
      <c r="A2" s="5" t="s">
        <v>10</v>
      </c>
      <c r="B2" s="6">
        <v>1.05</v>
      </c>
      <c r="C2" s="6">
        <v>1.2</v>
      </c>
      <c r="F2" s="5" t="s">
        <v>10</v>
      </c>
      <c r="G2" s="6">
        <v>0.5</v>
      </c>
      <c r="H2" s="6">
        <v>0.4</v>
      </c>
      <c r="I2" s="6">
        <v>0.3</v>
      </c>
    </row>
    <row r="3" spans="1:9" x14ac:dyDescent="0.25">
      <c r="A3" s="5" t="s">
        <v>12</v>
      </c>
      <c r="B3" s="6">
        <v>0.75</v>
      </c>
      <c r="C3" s="6">
        <v>0.9</v>
      </c>
      <c r="F3" s="5" t="s">
        <v>12</v>
      </c>
      <c r="G3" s="6">
        <v>0.4</v>
      </c>
      <c r="H3" s="6">
        <v>0.3</v>
      </c>
      <c r="I3" s="6">
        <v>0.2</v>
      </c>
    </row>
    <row r="4" spans="1:9" x14ac:dyDescent="0.25">
      <c r="A4" s="5" t="s">
        <v>14</v>
      </c>
      <c r="B4" s="6">
        <v>0.65</v>
      </c>
      <c r="C4" s="6">
        <v>0.8</v>
      </c>
      <c r="F4" s="5" t="s">
        <v>14</v>
      </c>
      <c r="G4" s="6">
        <v>0.3</v>
      </c>
      <c r="H4" s="6">
        <v>0.2</v>
      </c>
      <c r="I4" s="6">
        <v>0.15</v>
      </c>
    </row>
    <row r="5" spans="1:9" x14ac:dyDescent="0.25">
      <c r="A5" s="5" t="s">
        <v>16</v>
      </c>
      <c r="B5" s="6">
        <v>0.6</v>
      </c>
      <c r="C5" s="6">
        <v>0.75</v>
      </c>
      <c r="F5" s="5" t="s">
        <v>16</v>
      </c>
      <c r="G5" s="6">
        <v>0.2</v>
      </c>
      <c r="H5" s="6">
        <v>0.15</v>
      </c>
      <c r="I5" s="6">
        <v>0.1</v>
      </c>
    </row>
    <row r="6" spans="1:9" x14ac:dyDescent="0.25">
      <c r="A6" s="5" t="s">
        <v>18</v>
      </c>
      <c r="B6" s="6">
        <v>0.6</v>
      </c>
      <c r="C6" s="6">
        <v>0.7</v>
      </c>
      <c r="F6" s="5" t="s">
        <v>18</v>
      </c>
      <c r="G6" s="6">
        <v>0.15</v>
      </c>
      <c r="H6" s="6">
        <v>0.1</v>
      </c>
      <c r="I6" s="6">
        <v>0.05</v>
      </c>
    </row>
    <row r="7" spans="1:9" x14ac:dyDescent="0.25">
      <c r="A7" s="5" t="s">
        <v>20</v>
      </c>
      <c r="B7" s="6">
        <v>0.65</v>
      </c>
      <c r="C7" s="6">
        <v>0.8</v>
      </c>
      <c r="F7" s="5" t="s">
        <v>20</v>
      </c>
      <c r="G7" s="6">
        <v>0.2</v>
      </c>
      <c r="H7" s="6">
        <v>0.15</v>
      </c>
      <c r="I7" s="6">
        <v>0.1</v>
      </c>
    </row>
  </sheetData>
  <phoneticPr fontId="1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M59"/>
  <sheetViews>
    <sheetView workbookViewId="0">
      <selection activeCell="E11" sqref="E11"/>
    </sheetView>
  </sheetViews>
  <sheetFormatPr defaultRowHeight="15" x14ac:dyDescent="0.25"/>
  <cols>
    <col min="1" max="2" width="14.5703125" customWidth="1"/>
    <col min="3" max="3" width="12.28515625" customWidth="1"/>
    <col min="4" max="4" width="11.42578125" customWidth="1"/>
    <col min="5" max="5" width="11.5703125" customWidth="1"/>
    <col min="7" max="7" width="12.5703125" customWidth="1"/>
    <col min="9" max="9" width="12.42578125" customWidth="1"/>
    <col min="10" max="10" width="18" customWidth="1"/>
  </cols>
  <sheetData>
    <row r="1" spans="1:10" x14ac:dyDescent="0.25">
      <c r="A1" s="77"/>
      <c r="B1" s="77">
        <v>0.04</v>
      </c>
      <c r="C1" s="77">
        <v>7.0000000000000007E-2</v>
      </c>
      <c r="D1" s="77">
        <v>0.1</v>
      </c>
      <c r="E1" s="77">
        <v>0.2</v>
      </c>
      <c r="H1" t="s">
        <v>87</v>
      </c>
      <c r="I1" s="3" t="s">
        <v>7</v>
      </c>
      <c r="J1" s="4" t="s">
        <v>8</v>
      </c>
    </row>
    <row r="2" spans="1:10" x14ac:dyDescent="0.25">
      <c r="A2" s="5" t="s">
        <v>9</v>
      </c>
      <c r="B2" s="5">
        <v>0</v>
      </c>
      <c r="C2" s="6">
        <v>1.6</v>
      </c>
      <c r="D2" s="6">
        <v>1.75</v>
      </c>
      <c r="E2" s="6">
        <v>0</v>
      </c>
      <c r="G2" s="5" t="s">
        <v>9</v>
      </c>
      <c r="H2" s="5">
        <v>0</v>
      </c>
      <c r="I2" s="6">
        <v>0.4</v>
      </c>
      <c r="J2" s="6">
        <v>0.3</v>
      </c>
    </row>
    <row r="3" spans="1:10" x14ac:dyDescent="0.25">
      <c r="A3" s="5" t="s">
        <v>11</v>
      </c>
      <c r="B3" s="5">
        <v>0</v>
      </c>
      <c r="C3" s="6">
        <v>1.5</v>
      </c>
      <c r="D3" s="6">
        <v>1.65</v>
      </c>
      <c r="E3" s="6">
        <v>0</v>
      </c>
      <c r="G3" s="5" t="s">
        <v>11</v>
      </c>
      <c r="H3" s="5">
        <v>0</v>
      </c>
      <c r="I3" s="6">
        <v>0.3</v>
      </c>
      <c r="J3" s="6">
        <v>0.2</v>
      </c>
    </row>
    <row r="4" spans="1:10" x14ac:dyDescent="0.25">
      <c r="A4" s="5" t="s">
        <v>13</v>
      </c>
      <c r="B4" s="5">
        <v>0</v>
      </c>
      <c r="C4" s="6">
        <v>1.4</v>
      </c>
      <c r="D4" s="6">
        <v>1.6</v>
      </c>
      <c r="E4" s="6">
        <v>0</v>
      </c>
      <c r="G4" s="5" t="s">
        <v>13</v>
      </c>
      <c r="H4" s="5">
        <v>0</v>
      </c>
      <c r="I4" s="6">
        <v>0.3</v>
      </c>
      <c r="J4" s="6">
        <v>0.15</v>
      </c>
    </row>
    <row r="5" spans="1:10" x14ac:dyDescent="0.25">
      <c r="A5" s="5" t="s">
        <v>15</v>
      </c>
      <c r="B5" s="5">
        <v>0</v>
      </c>
      <c r="C5" s="6">
        <v>1.4</v>
      </c>
      <c r="D5" s="6">
        <v>1.6</v>
      </c>
      <c r="E5" s="6">
        <v>0</v>
      </c>
      <c r="G5" s="5" t="s">
        <v>15</v>
      </c>
      <c r="H5" s="5">
        <v>0</v>
      </c>
      <c r="I5" s="6">
        <v>0.3</v>
      </c>
      <c r="J5" s="6">
        <v>0.15</v>
      </c>
    </row>
    <row r="6" spans="1:10" x14ac:dyDescent="0.25">
      <c r="A6" s="5" t="s">
        <v>17</v>
      </c>
      <c r="B6" s="5">
        <v>0</v>
      </c>
      <c r="C6" s="6">
        <v>1.4</v>
      </c>
      <c r="D6" s="6">
        <v>1.6</v>
      </c>
      <c r="E6" s="6">
        <v>0</v>
      </c>
      <c r="G6" s="5" t="s">
        <v>17</v>
      </c>
      <c r="H6" s="5">
        <v>0</v>
      </c>
      <c r="I6" s="6">
        <v>0.25</v>
      </c>
      <c r="J6" s="6">
        <v>0.13</v>
      </c>
    </row>
    <row r="7" spans="1:10" x14ac:dyDescent="0.25">
      <c r="A7" s="5" t="s">
        <v>243</v>
      </c>
      <c r="B7" s="5">
        <v>0</v>
      </c>
      <c r="C7" s="6">
        <v>1.4</v>
      </c>
      <c r="D7" s="6">
        <v>1.6</v>
      </c>
      <c r="E7" s="6">
        <v>0</v>
      </c>
      <c r="G7" s="5"/>
      <c r="H7" s="5"/>
      <c r="I7" s="6"/>
      <c r="J7" s="6"/>
    </row>
    <row r="8" spans="1:10" x14ac:dyDescent="0.25">
      <c r="A8" s="5" t="s">
        <v>19</v>
      </c>
      <c r="B8" s="5">
        <v>0</v>
      </c>
      <c r="C8" s="6">
        <v>1.35</v>
      </c>
      <c r="D8" s="6">
        <v>1.6</v>
      </c>
      <c r="E8" s="6">
        <v>0</v>
      </c>
      <c r="G8" s="5" t="s">
        <v>19</v>
      </c>
      <c r="H8" s="5">
        <v>0</v>
      </c>
      <c r="I8" s="6">
        <v>0.2</v>
      </c>
      <c r="J8" s="6">
        <v>0.1</v>
      </c>
    </row>
    <row r="9" spans="1:10" x14ac:dyDescent="0.25">
      <c r="A9" s="5" t="s">
        <v>244</v>
      </c>
      <c r="B9" s="5">
        <v>0</v>
      </c>
      <c r="C9" s="6">
        <v>1.35</v>
      </c>
      <c r="D9" s="6">
        <v>1.45</v>
      </c>
      <c r="E9" s="6">
        <v>0</v>
      </c>
      <c r="G9" s="5"/>
      <c r="H9" s="5"/>
      <c r="I9" s="6"/>
      <c r="J9" s="6"/>
    </row>
    <row r="10" spans="1:10" x14ac:dyDescent="0.25">
      <c r="A10" s="5" t="s">
        <v>21</v>
      </c>
      <c r="B10" s="5">
        <v>0</v>
      </c>
      <c r="C10" s="6">
        <v>1.25</v>
      </c>
      <c r="D10" s="6">
        <v>1.4</v>
      </c>
      <c r="E10" s="6">
        <v>0</v>
      </c>
      <c r="G10" s="5" t="s">
        <v>21</v>
      </c>
      <c r="H10" s="5">
        <v>0</v>
      </c>
      <c r="I10" s="6">
        <v>0.2</v>
      </c>
      <c r="J10" s="6">
        <v>0.1</v>
      </c>
    </row>
    <row r="11" spans="1:10" x14ac:dyDescent="0.25">
      <c r="A11" s="5" t="s">
        <v>305</v>
      </c>
      <c r="B11" s="5">
        <v>0</v>
      </c>
      <c r="C11" s="6">
        <v>1.25</v>
      </c>
      <c r="D11" s="6">
        <v>1.4</v>
      </c>
      <c r="E11" s="6">
        <v>0</v>
      </c>
      <c r="G11" s="5">
        <v>0.65</v>
      </c>
      <c r="H11" s="5"/>
      <c r="I11" s="6"/>
      <c r="J11" s="6"/>
    </row>
    <row r="12" spans="1:10" x14ac:dyDescent="0.25">
      <c r="A12" s="5" t="s">
        <v>22</v>
      </c>
      <c r="B12" s="5">
        <v>0</v>
      </c>
      <c r="C12" s="6">
        <v>1.25</v>
      </c>
      <c r="D12" s="6">
        <v>1.4</v>
      </c>
      <c r="E12" s="6">
        <v>0</v>
      </c>
      <c r="G12" s="5" t="s">
        <v>22</v>
      </c>
      <c r="H12" s="5">
        <v>0</v>
      </c>
      <c r="I12" s="6">
        <v>0.2</v>
      </c>
      <c r="J12" s="6">
        <v>0.1</v>
      </c>
    </row>
    <row r="13" spans="1:10" x14ac:dyDescent="0.25">
      <c r="A13" s="5" t="s">
        <v>325</v>
      </c>
      <c r="B13" s="5">
        <v>0</v>
      </c>
      <c r="C13" s="6">
        <v>1.25</v>
      </c>
      <c r="D13" s="6">
        <v>1.4</v>
      </c>
      <c r="E13" s="6">
        <v>0</v>
      </c>
      <c r="G13" s="5"/>
      <c r="H13" s="5"/>
      <c r="I13" s="6"/>
      <c r="J13" s="6"/>
    </row>
    <row r="14" spans="1:10" x14ac:dyDescent="0.25">
      <c r="A14" s="5" t="s">
        <v>23</v>
      </c>
      <c r="B14" s="5">
        <v>0</v>
      </c>
      <c r="C14" s="6">
        <v>1.25</v>
      </c>
      <c r="D14" s="6">
        <v>1.4</v>
      </c>
      <c r="E14" s="6">
        <v>0</v>
      </c>
      <c r="G14" s="5" t="s">
        <v>23</v>
      </c>
      <c r="H14" s="5">
        <v>0</v>
      </c>
      <c r="I14" s="6">
        <v>0.2</v>
      </c>
      <c r="J14" s="6">
        <v>0.1</v>
      </c>
    </row>
    <row r="15" spans="1:10" x14ac:dyDescent="0.25">
      <c r="A15" s="5" t="s">
        <v>306</v>
      </c>
      <c r="B15" s="5">
        <v>0</v>
      </c>
      <c r="C15" s="6">
        <v>1.25</v>
      </c>
      <c r="D15" s="6">
        <v>1.4</v>
      </c>
      <c r="E15" s="6">
        <v>0</v>
      </c>
      <c r="G15" s="5"/>
      <c r="H15" s="5"/>
      <c r="I15" s="6"/>
      <c r="J15" s="6"/>
    </row>
    <row r="16" spans="1:10" x14ac:dyDescent="0.25">
      <c r="A16" s="5" t="s">
        <v>24</v>
      </c>
      <c r="B16" s="5">
        <v>0</v>
      </c>
      <c r="C16" s="6">
        <v>1.25</v>
      </c>
      <c r="D16" s="6">
        <v>1.4</v>
      </c>
      <c r="E16" s="6">
        <v>0</v>
      </c>
      <c r="G16" s="5" t="s">
        <v>24</v>
      </c>
      <c r="H16" s="5">
        <v>0</v>
      </c>
      <c r="I16" s="6">
        <v>0.2</v>
      </c>
      <c r="J16" s="6">
        <v>0.1</v>
      </c>
    </row>
    <row r="17" spans="1:13" x14ac:dyDescent="0.25">
      <c r="A17" s="5" t="s">
        <v>324</v>
      </c>
      <c r="B17" s="5">
        <v>0</v>
      </c>
      <c r="C17" s="6">
        <v>1.25</v>
      </c>
      <c r="D17" s="6">
        <v>1.4</v>
      </c>
      <c r="E17" s="6">
        <v>0</v>
      </c>
      <c r="G17" s="5"/>
      <c r="H17" s="5"/>
      <c r="I17" s="6"/>
      <c r="J17" s="6"/>
    </row>
    <row r="18" spans="1:13" x14ac:dyDescent="0.25">
      <c r="A18" s="5" t="s">
        <v>25</v>
      </c>
      <c r="B18" s="5">
        <v>0</v>
      </c>
      <c r="C18" s="6">
        <v>1.25</v>
      </c>
      <c r="D18" s="6">
        <v>1.4</v>
      </c>
      <c r="E18" s="6">
        <v>0</v>
      </c>
      <c r="G18" s="5" t="s">
        <v>25</v>
      </c>
      <c r="H18" s="5">
        <v>0</v>
      </c>
      <c r="I18" s="6">
        <v>0.2</v>
      </c>
      <c r="J18" s="6">
        <v>0.1</v>
      </c>
      <c r="M18" s="81">
        <f>+E2+Ottone!C2+Rame!C2</f>
        <v>2.63</v>
      </c>
    </row>
    <row r="19" spans="1:13" x14ac:dyDescent="0.25">
      <c r="A19" s="5" t="s">
        <v>321</v>
      </c>
      <c r="B19" s="5">
        <v>0</v>
      </c>
      <c r="C19" s="6">
        <v>1.25</v>
      </c>
      <c r="D19" s="6">
        <v>1.4</v>
      </c>
      <c r="E19" s="6">
        <v>0</v>
      </c>
      <c r="G19" s="5"/>
      <c r="H19" s="5"/>
      <c r="I19" s="6"/>
      <c r="J19" s="6"/>
      <c r="M19" s="81"/>
    </row>
    <row r="20" spans="1:13" x14ac:dyDescent="0.25">
      <c r="A20" s="5" t="s">
        <v>322</v>
      </c>
      <c r="B20" s="5">
        <v>0</v>
      </c>
      <c r="C20" s="6">
        <v>1.25</v>
      </c>
      <c r="D20" s="6">
        <v>1.4</v>
      </c>
      <c r="E20" s="6">
        <v>0</v>
      </c>
      <c r="G20" s="5"/>
      <c r="H20" s="5"/>
      <c r="I20" s="6"/>
      <c r="J20" s="6"/>
      <c r="M20" s="81"/>
    </row>
    <row r="21" spans="1:13" x14ac:dyDescent="0.25">
      <c r="A21" s="5" t="s">
        <v>323</v>
      </c>
      <c r="B21" s="5">
        <v>0</v>
      </c>
      <c r="C21" s="6">
        <v>1.25</v>
      </c>
      <c r="D21" s="6">
        <v>1.4</v>
      </c>
      <c r="E21" s="6">
        <v>0</v>
      </c>
      <c r="G21" s="5"/>
      <c r="H21" s="5"/>
      <c r="I21" s="6"/>
      <c r="J21" s="6"/>
      <c r="M21" s="81"/>
    </row>
    <row r="22" spans="1:13" x14ac:dyDescent="0.25">
      <c r="A22" s="5" t="s">
        <v>26</v>
      </c>
      <c r="B22" s="5">
        <v>0</v>
      </c>
      <c r="C22" s="6">
        <v>1.25</v>
      </c>
      <c r="D22" s="6">
        <v>1.4</v>
      </c>
      <c r="E22" s="6">
        <v>0</v>
      </c>
      <c r="G22" s="5" t="s">
        <v>26</v>
      </c>
      <c r="H22" s="5">
        <v>0</v>
      </c>
      <c r="I22" s="6">
        <v>0.2</v>
      </c>
      <c r="J22" s="6">
        <v>0.1</v>
      </c>
    </row>
    <row r="23" spans="1:13" x14ac:dyDescent="0.25">
      <c r="A23" s="5" t="s">
        <v>307</v>
      </c>
      <c r="B23" s="5">
        <v>0</v>
      </c>
      <c r="C23" s="6">
        <v>1.25</v>
      </c>
      <c r="D23" s="6">
        <v>1.4</v>
      </c>
      <c r="E23" s="6">
        <v>0</v>
      </c>
      <c r="G23" s="5"/>
      <c r="H23" s="5"/>
      <c r="I23" s="6"/>
      <c r="J23" s="6"/>
    </row>
    <row r="24" spans="1:13" x14ac:dyDescent="0.25">
      <c r="A24" s="5" t="s">
        <v>326</v>
      </c>
      <c r="B24" s="5">
        <v>0</v>
      </c>
      <c r="C24" s="6">
        <v>1.25</v>
      </c>
      <c r="D24" s="6">
        <v>1.4</v>
      </c>
      <c r="E24" s="6">
        <v>0</v>
      </c>
      <c r="G24" s="5"/>
      <c r="H24" s="5"/>
      <c r="I24" s="6"/>
      <c r="J24" s="6"/>
    </row>
    <row r="25" spans="1:13" x14ac:dyDescent="0.25">
      <c r="A25" s="5" t="s">
        <v>313</v>
      </c>
      <c r="B25" s="5">
        <v>0</v>
      </c>
      <c r="C25" s="6">
        <v>1.25</v>
      </c>
      <c r="D25" s="6">
        <v>1.4</v>
      </c>
      <c r="E25" s="6">
        <v>0</v>
      </c>
      <c r="G25" s="5"/>
      <c r="H25" s="5"/>
      <c r="I25" s="6"/>
      <c r="J25" s="6"/>
    </row>
    <row r="26" spans="1:13" x14ac:dyDescent="0.25">
      <c r="A26" s="5" t="s">
        <v>314</v>
      </c>
      <c r="B26" s="5">
        <v>0</v>
      </c>
      <c r="C26" s="6">
        <v>1.25</v>
      </c>
      <c r="D26" s="6">
        <v>1.4</v>
      </c>
      <c r="E26" s="6">
        <v>0</v>
      </c>
      <c r="G26" s="5"/>
      <c r="H26" s="5"/>
      <c r="I26" s="6"/>
      <c r="J26" s="6"/>
    </row>
    <row r="27" spans="1:13" x14ac:dyDescent="0.25">
      <c r="A27" s="5" t="s">
        <v>315</v>
      </c>
      <c r="B27" s="5">
        <v>0</v>
      </c>
      <c r="C27" s="6">
        <v>1.25</v>
      </c>
      <c r="D27" s="6">
        <v>1.4</v>
      </c>
      <c r="E27" s="6">
        <v>0</v>
      </c>
      <c r="G27" s="5"/>
      <c r="H27" s="5"/>
      <c r="I27" s="6"/>
      <c r="J27" s="6"/>
    </row>
    <row r="28" spans="1:13" x14ac:dyDescent="0.25">
      <c r="A28" s="5" t="s">
        <v>27</v>
      </c>
      <c r="B28" s="5">
        <v>0</v>
      </c>
      <c r="C28" s="6">
        <v>1.25</v>
      </c>
      <c r="D28" s="6">
        <v>1.4</v>
      </c>
      <c r="E28" s="6">
        <v>0</v>
      </c>
      <c r="G28" s="5" t="s">
        <v>27</v>
      </c>
      <c r="H28" s="5">
        <v>0</v>
      </c>
      <c r="I28" s="6">
        <v>0.3</v>
      </c>
      <c r="J28" s="6">
        <v>0.15</v>
      </c>
    </row>
    <row r="29" spans="1:13" x14ac:dyDescent="0.25">
      <c r="A29" s="5" t="s">
        <v>316</v>
      </c>
      <c r="B29" s="5">
        <v>0</v>
      </c>
      <c r="C29" s="6">
        <v>1.25</v>
      </c>
      <c r="D29" s="6">
        <v>1.4</v>
      </c>
      <c r="E29" s="6">
        <v>0</v>
      </c>
      <c r="G29" s="5"/>
      <c r="H29" s="5"/>
      <c r="I29" s="6"/>
      <c r="J29" s="6"/>
    </row>
    <row r="30" spans="1:13" x14ac:dyDescent="0.25">
      <c r="A30" s="5" t="s">
        <v>308</v>
      </c>
      <c r="B30" s="5">
        <v>0</v>
      </c>
      <c r="C30" s="6">
        <v>1.25</v>
      </c>
      <c r="D30" s="6">
        <v>1.4</v>
      </c>
      <c r="E30" s="6">
        <v>0</v>
      </c>
      <c r="G30" s="5"/>
      <c r="H30" s="5"/>
      <c r="I30" s="6"/>
      <c r="J30" s="6"/>
    </row>
    <row r="31" spans="1:13" x14ac:dyDescent="0.25">
      <c r="A31" s="5" t="s">
        <v>317</v>
      </c>
      <c r="B31" s="5">
        <v>0</v>
      </c>
      <c r="C31" s="6">
        <v>1.25</v>
      </c>
      <c r="D31" s="6">
        <v>1.4</v>
      </c>
      <c r="E31" s="6">
        <v>0</v>
      </c>
      <c r="G31" s="5"/>
      <c r="H31" s="5"/>
      <c r="I31" s="6"/>
      <c r="J31" s="6"/>
    </row>
    <row r="32" spans="1:13" x14ac:dyDescent="0.25">
      <c r="A32" s="5" t="s">
        <v>309</v>
      </c>
      <c r="B32" s="5">
        <v>0</v>
      </c>
      <c r="C32" s="6">
        <v>1.25</v>
      </c>
      <c r="D32" s="6">
        <v>1.4</v>
      </c>
      <c r="E32" s="6">
        <v>0</v>
      </c>
      <c r="G32" s="5"/>
      <c r="H32" s="5"/>
      <c r="I32" s="6"/>
      <c r="J32" s="6"/>
    </row>
    <row r="33" spans="1:13" x14ac:dyDescent="0.25">
      <c r="A33" s="5" t="s">
        <v>318</v>
      </c>
      <c r="B33" s="5">
        <v>0</v>
      </c>
      <c r="C33" s="6">
        <v>1.25</v>
      </c>
      <c r="D33" s="6">
        <v>1.4</v>
      </c>
      <c r="E33" s="6">
        <v>0</v>
      </c>
      <c r="G33" s="5"/>
      <c r="H33" s="5"/>
      <c r="I33" s="6"/>
      <c r="J33" s="6"/>
    </row>
    <row r="34" spans="1:13" x14ac:dyDescent="0.25">
      <c r="A34" s="5" t="s">
        <v>310</v>
      </c>
      <c r="B34" s="5">
        <v>0</v>
      </c>
      <c r="C34" s="6">
        <v>1.25</v>
      </c>
      <c r="D34" s="6">
        <v>1.4</v>
      </c>
      <c r="E34" s="6">
        <v>0</v>
      </c>
      <c r="G34" s="5"/>
      <c r="H34" s="5"/>
      <c r="I34" s="6"/>
      <c r="J34" s="6"/>
    </row>
    <row r="35" spans="1:13" x14ac:dyDescent="0.25">
      <c r="A35" s="5" t="s">
        <v>319</v>
      </c>
      <c r="B35" s="5">
        <v>0</v>
      </c>
      <c r="C35" s="6">
        <v>1.25</v>
      </c>
      <c r="D35" s="6">
        <v>1.4</v>
      </c>
      <c r="E35" s="6">
        <v>0</v>
      </c>
      <c r="G35" s="5"/>
      <c r="H35" s="5"/>
      <c r="I35" s="6"/>
      <c r="J35" s="6"/>
    </row>
    <row r="36" spans="1:13" x14ac:dyDescent="0.25">
      <c r="A36" s="5" t="s">
        <v>311</v>
      </c>
      <c r="B36" s="5">
        <v>0</v>
      </c>
      <c r="C36" s="6">
        <v>1.25</v>
      </c>
      <c r="D36" s="6">
        <v>1.4</v>
      </c>
      <c r="E36" s="6">
        <v>0</v>
      </c>
      <c r="G36" s="5"/>
      <c r="H36" s="5"/>
      <c r="I36" s="6"/>
      <c r="J36" s="6"/>
    </row>
    <row r="37" spans="1:13" x14ac:dyDescent="0.25">
      <c r="A37" s="5" t="s">
        <v>320</v>
      </c>
      <c r="B37" s="5">
        <v>0</v>
      </c>
      <c r="C37" s="6">
        <v>1.25</v>
      </c>
      <c r="D37" s="6">
        <v>1.4</v>
      </c>
      <c r="E37" s="6">
        <v>0</v>
      </c>
      <c r="G37" s="5"/>
      <c r="H37" s="5"/>
      <c r="I37" s="6"/>
      <c r="J37" s="6"/>
    </row>
    <row r="38" spans="1:13" ht="14.25" customHeight="1" x14ac:dyDescent="0.25">
      <c r="A38" s="5" t="s">
        <v>28</v>
      </c>
      <c r="B38" s="5">
        <v>0</v>
      </c>
      <c r="C38" s="6">
        <v>1.25</v>
      </c>
      <c r="D38" s="6">
        <v>1.4</v>
      </c>
      <c r="E38" s="6">
        <v>0</v>
      </c>
      <c r="G38" s="5" t="s">
        <v>28</v>
      </c>
      <c r="H38" s="5">
        <v>0</v>
      </c>
      <c r="I38" s="6">
        <v>0.4</v>
      </c>
      <c r="J38" s="6">
        <v>0.2</v>
      </c>
    </row>
    <row r="39" spans="1:13" x14ac:dyDescent="0.25">
      <c r="A39" s="5" t="s">
        <v>29</v>
      </c>
      <c r="B39" s="5">
        <v>0</v>
      </c>
      <c r="C39" s="6">
        <v>1.3</v>
      </c>
      <c r="D39" s="6">
        <v>1.5</v>
      </c>
      <c r="E39" s="6">
        <v>0</v>
      </c>
      <c r="G39" s="5" t="s">
        <v>29</v>
      </c>
      <c r="H39" s="5">
        <v>0</v>
      </c>
      <c r="I39" s="6">
        <v>0.4</v>
      </c>
      <c r="J39" s="6">
        <v>0.2</v>
      </c>
    </row>
    <row r="40" spans="1:13" x14ac:dyDescent="0.25">
      <c r="A40" s="5" t="s">
        <v>30</v>
      </c>
      <c r="B40" s="5">
        <v>0</v>
      </c>
      <c r="C40" s="6">
        <v>1.3</v>
      </c>
      <c r="D40" s="6">
        <v>1.5</v>
      </c>
      <c r="E40" s="6">
        <v>0</v>
      </c>
      <c r="G40" s="5" t="s">
        <v>30</v>
      </c>
      <c r="H40" s="5">
        <v>0</v>
      </c>
      <c r="I40" s="6">
        <v>0.4</v>
      </c>
      <c r="J40" s="6">
        <v>0.25</v>
      </c>
      <c r="M40" t="s">
        <v>121</v>
      </c>
    </row>
    <row r="41" spans="1:13" x14ac:dyDescent="0.25">
      <c r="M41" t="s">
        <v>122</v>
      </c>
    </row>
    <row r="42" spans="1:13" x14ac:dyDescent="0.25">
      <c r="M42" t="s">
        <v>123</v>
      </c>
    </row>
    <row r="43" spans="1:13" x14ac:dyDescent="0.25">
      <c r="C43" s="8"/>
    </row>
    <row r="44" spans="1:13" x14ac:dyDescent="0.25">
      <c r="C44" s="8"/>
    </row>
    <row r="45" spans="1:13" x14ac:dyDescent="0.25">
      <c r="C45" s="8"/>
    </row>
    <row r="46" spans="1:13" x14ac:dyDescent="0.25">
      <c r="C46" s="8"/>
    </row>
    <row r="47" spans="1:13" x14ac:dyDescent="0.25">
      <c r="C47" s="8"/>
    </row>
    <row r="48" spans="1:13" x14ac:dyDescent="0.25">
      <c r="C48" s="8"/>
    </row>
    <row r="49" spans="3:5" x14ac:dyDescent="0.25">
      <c r="C49" s="8"/>
    </row>
    <row r="54" spans="3:5" x14ac:dyDescent="0.25">
      <c r="E54">
        <v>0</v>
      </c>
    </row>
    <row r="55" spans="3:5" x14ac:dyDescent="0.25">
      <c r="E55">
        <v>0</v>
      </c>
    </row>
    <row r="56" spans="3:5" x14ac:dyDescent="0.25">
      <c r="E56">
        <v>0</v>
      </c>
    </row>
    <row r="57" spans="3:5" x14ac:dyDescent="0.25">
      <c r="E57">
        <v>0</v>
      </c>
    </row>
    <row r="58" spans="3:5" x14ac:dyDescent="0.25">
      <c r="E58">
        <v>0</v>
      </c>
    </row>
    <row r="59" spans="3:5" x14ac:dyDescent="0.25">
      <c r="E59">
        <v>0</v>
      </c>
    </row>
  </sheetData>
  <phoneticPr fontId="1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S58"/>
  <sheetViews>
    <sheetView topLeftCell="J1" workbookViewId="0">
      <selection activeCell="S3" sqref="S3:S42"/>
    </sheetView>
  </sheetViews>
  <sheetFormatPr defaultRowHeight="15" x14ac:dyDescent="0.25"/>
  <cols>
    <col min="1" max="6" width="23.140625" customWidth="1"/>
    <col min="8" max="8" width="11.28515625" customWidth="1"/>
    <col min="9" max="9" width="12.85546875" customWidth="1"/>
    <col min="10" max="10" width="12.140625" customWidth="1"/>
    <col min="11" max="12" width="10.42578125" customWidth="1"/>
    <col min="14" max="14" width="11" customWidth="1"/>
    <col min="15" max="15" width="11.42578125" customWidth="1"/>
    <col min="19" max="19" width="11" customWidth="1"/>
  </cols>
  <sheetData>
    <row r="1" spans="1:19" ht="23.25" x14ac:dyDescent="0.35">
      <c r="A1" s="413" t="s">
        <v>0</v>
      </c>
      <c r="B1" s="413"/>
      <c r="C1" s="413"/>
      <c r="D1" s="413"/>
      <c r="E1" s="413"/>
      <c r="F1" s="413"/>
    </row>
    <row r="2" spans="1:19" ht="21" x14ac:dyDescent="0.35">
      <c r="A2" s="1"/>
      <c r="B2" s="1"/>
      <c r="C2" s="1"/>
      <c r="D2" s="1"/>
      <c r="E2" s="2"/>
    </row>
    <row r="3" spans="1:19" ht="21" x14ac:dyDescent="0.35">
      <c r="A3" s="414" t="s">
        <v>1</v>
      </c>
      <c r="B3" s="414"/>
      <c r="C3" s="414"/>
      <c r="D3" s="414"/>
      <c r="E3" s="414"/>
      <c r="F3" s="414"/>
      <c r="H3" t="s">
        <v>4</v>
      </c>
      <c r="I3" t="s">
        <v>5</v>
      </c>
      <c r="J3" t="s">
        <v>6</v>
      </c>
      <c r="K3" t="s">
        <v>173</v>
      </c>
    </row>
    <row r="4" spans="1:19" x14ac:dyDescent="0.25">
      <c r="S4" s="5" t="s">
        <v>9</v>
      </c>
    </row>
    <row r="5" spans="1:19" x14ac:dyDescent="0.25">
      <c r="A5" s="415" t="s">
        <v>2</v>
      </c>
      <c r="B5" s="417">
        <v>7.0000000000000007E-2</v>
      </c>
      <c r="C5" s="417">
        <v>0.1</v>
      </c>
      <c r="D5" s="417">
        <v>0.18</v>
      </c>
      <c r="E5" s="418" t="s">
        <v>3</v>
      </c>
      <c r="F5" s="418"/>
      <c r="H5" s="5" t="s">
        <v>9</v>
      </c>
      <c r="I5" s="5" t="s">
        <v>10</v>
      </c>
      <c r="J5" s="5" t="s">
        <v>10</v>
      </c>
      <c r="K5" s="167" t="s">
        <v>183</v>
      </c>
      <c r="L5" s="169"/>
      <c r="S5" s="5" t="s">
        <v>11</v>
      </c>
    </row>
    <row r="6" spans="1:19" x14ac:dyDescent="0.25">
      <c r="A6" s="416"/>
      <c r="B6" s="416"/>
      <c r="C6" s="416"/>
      <c r="D6" s="416"/>
      <c r="E6" s="3" t="s">
        <v>7</v>
      </c>
      <c r="F6" s="4" t="s">
        <v>8</v>
      </c>
      <c r="H6" s="5" t="s">
        <v>11</v>
      </c>
      <c r="I6" s="5" t="s">
        <v>12</v>
      </c>
      <c r="J6" s="5" t="s">
        <v>12</v>
      </c>
      <c r="K6" s="167" t="s">
        <v>184</v>
      </c>
      <c r="L6" s="169"/>
      <c r="S6" s="5" t="s">
        <v>13</v>
      </c>
    </row>
    <row r="7" spans="1:19" x14ac:dyDescent="0.25">
      <c r="A7" s="5" t="s">
        <v>9</v>
      </c>
      <c r="B7" s="6">
        <v>1.65</v>
      </c>
      <c r="C7" s="6">
        <v>1.85</v>
      </c>
      <c r="D7" s="6">
        <v>2.0499999999999998</v>
      </c>
      <c r="E7" s="6">
        <v>0.4</v>
      </c>
      <c r="F7" s="6">
        <v>0.3</v>
      </c>
      <c r="H7" s="5" t="s">
        <v>13</v>
      </c>
      <c r="I7" s="5" t="s">
        <v>14</v>
      </c>
      <c r="J7" s="5" t="s">
        <v>14</v>
      </c>
      <c r="K7" s="167" t="s">
        <v>185</v>
      </c>
      <c r="L7" s="169"/>
      <c r="M7" s="170" t="s">
        <v>189</v>
      </c>
      <c r="N7" s="3" t="s">
        <v>7</v>
      </c>
      <c r="O7" s="4" t="s">
        <v>8</v>
      </c>
      <c r="S7" s="5" t="s">
        <v>15</v>
      </c>
    </row>
    <row r="8" spans="1:19" x14ac:dyDescent="0.25">
      <c r="A8" s="5" t="s">
        <v>11</v>
      </c>
      <c r="B8" s="6">
        <v>1.55</v>
      </c>
      <c r="C8" s="6">
        <v>1.75</v>
      </c>
      <c r="D8" s="6">
        <v>1.95</v>
      </c>
      <c r="E8" s="6">
        <v>0.3</v>
      </c>
      <c r="F8" s="6">
        <v>0.2</v>
      </c>
      <c r="H8" s="5" t="s">
        <v>15</v>
      </c>
      <c r="I8" s="5" t="s">
        <v>16</v>
      </c>
      <c r="J8" s="5" t="s">
        <v>16</v>
      </c>
      <c r="K8" s="167" t="s">
        <v>186</v>
      </c>
      <c r="L8" s="169"/>
      <c r="S8" s="5" t="s">
        <v>17</v>
      </c>
    </row>
    <row r="9" spans="1:19" x14ac:dyDescent="0.25">
      <c r="A9" s="5" t="s">
        <v>13</v>
      </c>
      <c r="B9" s="6">
        <v>1.45</v>
      </c>
      <c r="C9" s="6">
        <v>1.65</v>
      </c>
      <c r="D9" s="6">
        <v>1.85</v>
      </c>
      <c r="E9" s="6">
        <v>0.3</v>
      </c>
      <c r="F9" s="6">
        <v>0.15</v>
      </c>
      <c r="H9" s="5" t="s">
        <v>17</v>
      </c>
      <c r="I9" s="5" t="s">
        <v>18</v>
      </c>
      <c r="J9" s="5" t="s">
        <v>18</v>
      </c>
      <c r="K9" s="167" t="s">
        <v>187</v>
      </c>
      <c r="L9" s="169"/>
      <c r="M9" s="170" t="s">
        <v>189</v>
      </c>
      <c r="N9" s="4" t="s">
        <v>7</v>
      </c>
      <c r="O9" s="4" t="s">
        <v>33</v>
      </c>
      <c r="P9" s="4" t="s">
        <v>32</v>
      </c>
      <c r="S9" s="5" t="s">
        <v>243</v>
      </c>
    </row>
    <row r="10" spans="1:19" x14ac:dyDescent="0.25">
      <c r="A10" s="5" t="s">
        <v>15</v>
      </c>
      <c r="B10" s="6">
        <v>1.45</v>
      </c>
      <c r="C10" s="6">
        <v>1.6</v>
      </c>
      <c r="D10" s="6">
        <v>1.8</v>
      </c>
      <c r="E10" s="6">
        <v>0.3</v>
      </c>
      <c r="F10" s="6">
        <v>0.15</v>
      </c>
      <c r="H10" s="5" t="s">
        <v>19</v>
      </c>
      <c r="I10" s="5" t="s">
        <v>20</v>
      </c>
      <c r="J10" s="5" t="s">
        <v>20</v>
      </c>
      <c r="K10" s="168" t="s">
        <v>188</v>
      </c>
      <c r="L10" s="169"/>
      <c r="S10" s="5" t="s">
        <v>19</v>
      </c>
    </row>
    <row r="11" spans="1:19" x14ac:dyDescent="0.25">
      <c r="A11" s="5" t="s">
        <v>17</v>
      </c>
      <c r="B11" s="6">
        <v>1.4</v>
      </c>
      <c r="C11" s="6">
        <v>1.55</v>
      </c>
      <c r="D11" s="6">
        <v>1.75</v>
      </c>
      <c r="E11" s="6">
        <v>0.25</v>
      </c>
      <c r="F11" s="6">
        <v>0.13</v>
      </c>
      <c r="H11" s="5" t="s">
        <v>21</v>
      </c>
      <c r="M11" s="170" t="s">
        <v>189</v>
      </c>
      <c r="N11" s="4" t="s">
        <v>178</v>
      </c>
      <c r="O11" s="4" t="s">
        <v>179</v>
      </c>
      <c r="P11" s="4" t="s">
        <v>180</v>
      </c>
      <c r="Q11" s="4" t="s">
        <v>181</v>
      </c>
      <c r="S11" s="5" t="s">
        <v>244</v>
      </c>
    </row>
    <row r="12" spans="1:19" x14ac:dyDescent="0.25">
      <c r="A12" s="5" t="s">
        <v>19</v>
      </c>
      <c r="B12" s="6">
        <v>1.35</v>
      </c>
      <c r="C12" s="6">
        <v>1.5</v>
      </c>
      <c r="D12" s="6">
        <v>1.7</v>
      </c>
      <c r="E12" s="6">
        <v>0.2</v>
      </c>
      <c r="F12" s="6">
        <v>0.1</v>
      </c>
      <c r="H12" s="189" t="s">
        <v>305</v>
      </c>
      <c r="S12" s="5" t="s">
        <v>21</v>
      </c>
    </row>
    <row r="13" spans="1:19" x14ac:dyDescent="0.25">
      <c r="A13" s="5" t="s">
        <v>21</v>
      </c>
      <c r="B13" s="6">
        <v>1.3</v>
      </c>
      <c r="C13" s="6">
        <v>1.48</v>
      </c>
      <c r="D13" s="6">
        <v>1.68</v>
      </c>
      <c r="E13" s="6">
        <v>0.2</v>
      </c>
      <c r="F13" s="6">
        <v>0.1</v>
      </c>
      <c r="H13" s="5" t="s">
        <v>22</v>
      </c>
      <c r="S13" s="189" t="s">
        <v>305</v>
      </c>
    </row>
    <row r="14" spans="1:19" x14ac:dyDescent="0.25">
      <c r="A14" s="5" t="s">
        <v>22</v>
      </c>
      <c r="B14" s="6">
        <v>1.28</v>
      </c>
      <c r="C14" s="6">
        <v>1.45</v>
      </c>
      <c r="D14" s="6">
        <v>1.65</v>
      </c>
      <c r="E14" s="6">
        <v>0.2</v>
      </c>
      <c r="F14" s="6">
        <v>0.1</v>
      </c>
      <c r="H14" s="5" t="s">
        <v>23</v>
      </c>
      <c r="S14" s="5" t="s">
        <v>22</v>
      </c>
    </row>
    <row r="15" spans="1:19" x14ac:dyDescent="0.25">
      <c r="A15" s="5" t="s">
        <v>23</v>
      </c>
      <c r="B15" s="6">
        <v>1.25</v>
      </c>
      <c r="C15" s="6">
        <v>1.4</v>
      </c>
      <c r="D15" s="6">
        <v>1.6</v>
      </c>
      <c r="E15" s="6">
        <v>0.2</v>
      </c>
      <c r="F15" s="6">
        <v>0.1</v>
      </c>
      <c r="H15" s="5" t="s">
        <v>24</v>
      </c>
      <c r="S15" s="189" t="s">
        <v>325</v>
      </c>
    </row>
    <row r="16" spans="1:19" x14ac:dyDescent="0.25">
      <c r="A16" s="5" t="s">
        <v>24</v>
      </c>
      <c r="B16" s="6">
        <v>1.25</v>
      </c>
      <c r="C16" s="6">
        <v>1.4</v>
      </c>
      <c r="D16" s="6">
        <v>1.6</v>
      </c>
      <c r="E16" s="6">
        <v>0.2</v>
      </c>
      <c r="F16" s="6">
        <v>0.1</v>
      </c>
      <c r="H16" s="5" t="s">
        <v>25</v>
      </c>
      <c r="S16" s="5" t="s">
        <v>23</v>
      </c>
    </row>
    <row r="17" spans="1:19" x14ac:dyDescent="0.25">
      <c r="A17" s="5" t="s">
        <v>25</v>
      </c>
      <c r="B17" s="6">
        <v>1.25</v>
      </c>
      <c r="C17" s="6">
        <v>1.4</v>
      </c>
      <c r="D17" s="6">
        <v>1.6</v>
      </c>
      <c r="E17" s="6">
        <v>0.2</v>
      </c>
      <c r="F17" s="6">
        <v>0.1</v>
      </c>
      <c r="H17" s="5" t="s">
        <v>26</v>
      </c>
      <c r="S17" s="189" t="s">
        <v>306</v>
      </c>
    </row>
    <row r="18" spans="1:19" x14ac:dyDescent="0.25">
      <c r="A18" s="5" t="s">
        <v>26</v>
      </c>
      <c r="B18" s="6">
        <v>1.25</v>
      </c>
      <c r="C18" s="6">
        <v>1.4</v>
      </c>
      <c r="D18" s="6">
        <v>1.6</v>
      </c>
      <c r="E18" s="6">
        <v>0.2</v>
      </c>
      <c r="F18" s="6">
        <v>0.1</v>
      </c>
      <c r="H18" s="5" t="s">
        <v>27</v>
      </c>
      <c r="S18" s="5" t="s">
        <v>24</v>
      </c>
    </row>
    <row r="19" spans="1:19" x14ac:dyDescent="0.25">
      <c r="A19" s="5" t="s">
        <v>27</v>
      </c>
      <c r="B19" s="6">
        <v>1.28</v>
      </c>
      <c r="C19" s="6">
        <v>1.45</v>
      </c>
      <c r="D19" s="6">
        <v>1.65</v>
      </c>
      <c r="E19" s="6">
        <v>0.3</v>
      </c>
      <c r="F19" s="6">
        <v>0.15</v>
      </c>
      <c r="H19" s="5" t="s">
        <v>28</v>
      </c>
      <c r="S19" s="189" t="s">
        <v>324</v>
      </c>
    </row>
    <row r="20" spans="1:19" x14ac:dyDescent="0.25">
      <c r="A20" s="5" t="s">
        <v>28</v>
      </c>
      <c r="B20" s="6">
        <v>1.3</v>
      </c>
      <c r="C20" s="6">
        <v>1.48</v>
      </c>
      <c r="D20" s="6">
        <v>1.68</v>
      </c>
      <c r="E20" s="6">
        <v>0.4</v>
      </c>
      <c r="F20" s="6">
        <v>0.2</v>
      </c>
      <c r="H20" s="5" t="s">
        <v>29</v>
      </c>
      <c r="S20" s="5" t="s">
        <v>25</v>
      </c>
    </row>
    <row r="21" spans="1:19" x14ac:dyDescent="0.25">
      <c r="A21" s="5" t="s">
        <v>29</v>
      </c>
      <c r="B21" s="6">
        <v>1.35</v>
      </c>
      <c r="C21" s="6">
        <v>1.5</v>
      </c>
      <c r="D21" s="6">
        <v>1.7</v>
      </c>
      <c r="E21" s="6">
        <v>0.4</v>
      </c>
      <c r="F21" s="6">
        <v>0.2</v>
      </c>
      <c r="H21" s="5" t="s">
        <v>30</v>
      </c>
      <c r="S21" s="189" t="s">
        <v>321</v>
      </c>
    </row>
    <row r="22" spans="1:19" x14ac:dyDescent="0.25">
      <c r="A22" s="5" t="s">
        <v>30</v>
      </c>
      <c r="B22" s="6">
        <v>1.4</v>
      </c>
      <c r="C22" s="6">
        <v>1.5</v>
      </c>
      <c r="D22" s="6">
        <v>1.7</v>
      </c>
      <c r="E22" s="6">
        <v>0.4</v>
      </c>
      <c r="F22" s="6">
        <v>0.25</v>
      </c>
      <c r="S22" s="189" t="s">
        <v>322</v>
      </c>
    </row>
    <row r="23" spans="1:19" x14ac:dyDescent="0.25">
      <c r="A23" s="7"/>
      <c r="B23" s="8"/>
      <c r="C23" s="8"/>
      <c r="D23" s="8"/>
      <c r="E23" s="8"/>
      <c r="F23" s="8"/>
      <c r="S23" s="189" t="s">
        <v>323</v>
      </c>
    </row>
    <row r="24" spans="1:19" ht="21" x14ac:dyDescent="0.35">
      <c r="A24" s="419" t="s">
        <v>31</v>
      </c>
      <c r="B24" s="419"/>
      <c r="C24" s="419"/>
      <c r="D24" s="419"/>
      <c r="E24" s="419"/>
      <c r="F24" s="419"/>
      <c r="J24" s="4"/>
      <c r="K24" s="4"/>
      <c r="L24" s="170"/>
      <c r="S24" s="5" t="s">
        <v>26</v>
      </c>
    </row>
    <row r="25" spans="1:19" x14ac:dyDescent="0.25">
      <c r="S25" s="189" t="s">
        <v>307</v>
      </c>
    </row>
    <row r="26" spans="1:19" x14ac:dyDescent="0.25">
      <c r="A26" s="415" t="s">
        <v>2</v>
      </c>
      <c r="B26" s="417">
        <v>0.1</v>
      </c>
      <c r="C26" s="417">
        <v>0.18</v>
      </c>
      <c r="D26" s="418" t="s">
        <v>3</v>
      </c>
      <c r="E26" s="418"/>
      <c r="F26" s="418"/>
      <c r="S26" s="189" t="s">
        <v>326</v>
      </c>
    </row>
    <row r="27" spans="1:19" x14ac:dyDescent="0.25">
      <c r="A27" s="416"/>
      <c r="B27" s="416"/>
      <c r="C27" s="416"/>
      <c r="D27" s="4" t="s">
        <v>7</v>
      </c>
      <c r="E27" s="4" t="s">
        <v>33</v>
      </c>
      <c r="F27" s="4" t="s">
        <v>32</v>
      </c>
      <c r="H27" s="417">
        <v>7.0000000000000007E-2</v>
      </c>
      <c r="I27" s="417">
        <v>0.1</v>
      </c>
      <c r="J27" s="417">
        <v>0.18</v>
      </c>
      <c r="S27" s="189" t="s">
        <v>313</v>
      </c>
    </row>
    <row r="28" spans="1:19" x14ac:dyDescent="0.25">
      <c r="A28" s="5" t="s">
        <v>10</v>
      </c>
      <c r="B28" s="6">
        <v>1.1000000000000001</v>
      </c>
      <c r="C28" s="6">
        <v>1.25</v>
      </c>
      <c r="D28" s="6">
        <v>0.5</v>
      </c>
      <c r="E28" s="6">
        <v>0.4</v>
      </c>
      <c r="F28" s="6">
        <v>0.3</v>
      </c>
      <c r="H28" s="416"/>
      <c r="I28" s="416"/>
      <c r="J28" s="416"/>
      <c r="S28" s="189" t="s">
        <v>314</v>
      </c>
    </row>
    <row r="29" spans="1:19" x14ac:dyDescent="0.25">
      <c r="A29" s="5" t="s">
        <v>12</v>
      </c>
      <c r="B29" s="6">
        <v>0.8</v>
      </c>
      <c r="C29" s="6">
        <v>0.95</v>
      </c>
      <c r="D29" s="6">
        <v>0.4</v>
      </c>
      <c r="E29" s="6">
        <v>0.3</v>
      </c>
      <c r="F29" s="6">
        <v>0.2</v>
      </c>
      <c r="S29" s="189" t="s">
        <v>315</v>
      </c>
    </row>
    <row r="30" spans="1:19" x14ac:dyDescent="0.25">
      <c r="A30" s="5" t="s">
        <v>14</v>
      </c>
      <c r="B30" s="6">
        <v>0.7</v>
      </c>
      <c r="C30" s="6">
        <v>0.85</v>
      </c>
      <c r="D30" s="6">
        <v>0.3</v>
      </c>
      <c r="E30" s="6">
        <v>0.2</v>
      </c>
      <c r="F30" s="6">
        <v>0.15</v>
      </c>
      <c r="S30" s="5" t="s">
        <v>27</v>
      </c>
    </row>
    <row r="31" spans="1:19" x14ac:dyDescent="0.25">
      <c r="A31" s="5" t="s">
        <v>16</v>
      </c>
      <c r="B31" s="6">
        <v>0.65</v>
      </c>
      <c r="C31" s="6">
        <v>0.8</v>
      </c>
      <c r="D31" s="6">
        <v>0.2</v>
      </c>
      <c r="E31" s="6">
        <v>0.15</v>
      </c>
      <c r="F31" s="6">
        <v>0.1</v>
      </c>
      <c r="H31" s="9">
        <v>7.0000000000000007E-2</v>
      </c>
      <c r="I31" s="9">
        <v>0.1</v>
      </c>
      <c r="J31" s="9">
        <v>0.18</v>
      </c>
      <c r="M31" s="9">
        <v>0.04</v>
      </c>
      <c r="N31" s="9">
        <v>7.0000000000000007E-2</v>
      </c>
      <c r="O31" s="9">
        <v>0.1</v>
      </c>
      <c r="P31" s="9">
        <v>0.2</v>
      </c>
      <c r="Q31" s="9">
        <v>0.35</v>
      </c>
      <c r="S31" s="189" t="s">
        <v>316</v>
      </c>
    </row>
    <row r="32" spans="1:19" x14ac:dyDescent="0.25">
      <c r="A32" s="5" t="s">
        <v>18</v>
      </c>
      <c r="B32" s="6">
        <v>0.6</v>
      </c>
      <c r="C32" s="6">
        <v>0.75</v>
      </c>
      <c r="D32" s="6">
        <v>0.15</v>
      </c>
      <c r="E32" s="6">
        <v>0.1</v>
      </c>
      <c r="F32" s="6">
        <v>0.05</v>
      </c>
      <c r="H32" s="9">
        <v>0.1</v>
      </c>
      <c r="I32" s="9">
        <v>0.15</v>
      </c>
      <c r="J32">
        <v>0.35</v>
      </c>
      <c r="K32">
        <v>0.55000000000000004</v>
      </c>
      <c r="S32" s="5" t="s">
        <v>308</v>
      </c>
    </row>
    <row r="33" spans="1:19" x14ac:dyDescent="0.25">
      <c r="A33" s="5" t="s">
        <v>20</v>
      </c>
      <c r="B33" s="6">
        <v>0.7</v>
      </c>
      <c r="C33" s="6">
        <v>0.85</v>
      </c>
      <c r="D33" s="6">
        <v>0.2</v>
      </c>
      <c r="E33" s="6">
        <v>0.15</v>
      </c>
      <c r="F33" s="6">
        <v>0.1</v>
      </c>
      <c r="H33" s="171">
        <v>0</v>
      </c>
      <c r="S33" s="189" t="s">
        <v>317</v>
      </c>
    </row>
    <row r="34" spans="1:19" x14ac:dyDescent="0.25">
      <c r="S34" s="5" t="s">
        <v>309</v>
      </c>
    </row>
    <row r="35" spans="1:19" ht="21" x14ac:dyDescent="0.35">
      <c r="A35" s="427" t="s">
        <v>34</v>
      </c>
      <c r="B35" s="427"/>
      <c r="C35" s="427"/>
      <c r="D35" s="427"/>
      <c r="E35" s="427"/>
      <c r="F35" s="427"/>
      <c r="S35" s="189" t="s">
        <v>318</v>
      </c>
    </row>
    <row r="36" spans="1:19" x14ac:dyDescent="0.25">
      <c r="S36" s="5" t="s">
        <v>310</v>
      </c>
    </row>
    <row r="37" spans="1:19" x14ac:dyDescent="0.25">
      <c r="A37" s="415" t="s">
        <v>2</v>
      </c>
      <c r="B37" s="417">
        <v>0.1</v>
      </c>
      <c r="C37" s="417">
        <v>0.18</v>
      </c>
      <c r="D37" s="418" t="s">
        <v>3</v>
      </c>
      <c r="E37" s="418"/>
      <c r="F37" s="418"/>
      <c r="S37" s="189" t="s">
        <v>319</v>
      </c>
    </row>
    <row r="38" spans="1:19" x14ac:dyDescent="0.25">
      <c r="A38" s="416"/>
      <c r="B38" s="416"/>
      <c r="C38" s="416"/>
      <c r="D38" s="4" t="s">
        <v>7</v>
      </c>
      <c r="E38" s="4" t="s">
        <v>33</v>
      </c>
      <c r="F38" s="4" t="s">
        <v>32</v>
      </c>
      <c r="S38" s="5" t="s">
        <v>311</v>
      </c>
    </row>
    <row r="39" spans="1:19" x14ac:dyDescent="0.25">
      <c r="A39" s="5" t="s">
        <v>10</v>
      </c>
      <c r="B39" s="6">
        <v>1.3</v>
      </c>
      <c r="C39" s="6">
        <v>1.45</v>
      </c>
      <c r="D39" s="6">
        <v>0.5</v>
      </c>
      <c r="E39" s="6">
        <v>0.4</v>
      </c>
      <c r="F39" s="6">
        <v>0.3</v>
      </c>
      <c r="S39" s="189" t="s">
        <v>320</v>
      </c>
    </row>
    <row r="40" spans="1:19" x14ac:dyDescent="0.25">
      <c r="A40" s="5" t="s">
        <v>12</v>
      </c>
      <c r="B40" s="6">
        <v>1.05</v>
      </c>
      <c r="C40" s="6">
        <v>1.3</v>
      </c>
      <c r="D40" s="6">
        <v>0.4</v>
      </c>
      <c r="E40" s="6">
        <v>0.3</v>
      </c>
      <c r="F40" s="6">
        <v>0.2</v>
      </c>
      <c r="S40" s="5" t="s">
        <v>28</v>
      </c>
    </row>
    <row r="41" spans="1:19" x14ac:dyDescent="0.25">
      <c r="A41" s="5" t="s">
        <v>14</v>
      </c>
      <c r="B41" s="6">
        <v>0.9</v>
      </c>
      <c r="C41" s="6">
        <v>1.05</v>
      </c>
      <c r="D41" s="6">
        <v>0.3</v>
      </c>
      <c r="E41" s="6">
        <v>0.2</v>
      </c>
      <c r="F41" s="6">
        <v>0.15</v>
      </c>
      <c r="S41" s="5" t="s">
        <v>29</v>
      </c>
    </row>
    <row r="42" spans="1:19" x14ac:dyDescent="0.25">
      <c r="A42" s="5" t="s">
        <v>16</v>
      </c>
      <c r="B42" s="6">
        <v>0.8</v>
      </c>
      <c r="C42" s="6">
        <v>0.95</v>
      </c>
      <c r="D42" s="6">
        <v>0.2</v>
      </c>
      <c r="E42" s="6">
        <v>0.15</v>
      </c>
      <c r="F42" s="6">
        <v>0.1</v>
      </c>
      <c r="S42" s="5" t="s">
        <v>30</v>
      </c>
    </row>
    <row r="43" spans="1:19" x14ac:dyDescent="0.25">
      <c r="A43" s="5" t="s">
        <v>18</v>
      </c>
      <c r="B43" s="6">
        <v>0.75</v>
      </c>
      <c r="C43" s="6">
        <v>0.9</v>
      </c>
      <c r="D43" s="6">
        <v>0.15</v>
      </c>
      <c r="E43" s="6">
        <v>0.1</v>
      </c>
      <c r="F43" s="6">
        <v>0.05</v>
      </c>
    </row>
    <row r="44" spans="1:19" x14ac:dyDescent="0.25">
      <c r="A44" s="5" t="s">
        <v>20</v>
      </c>
      <c r="B44" s="6">
        <v>0.9</v>
      </c>
      <c r="C44" s="6">
        <v>1.05</v>
      </c>
      <c r="D44" s="6">
        <v>0.3</v>
      </c>
      <c r="E44" s="6">
        <v>0.2</v>
      </c>
      <c r="F44" s="6">
        <v>0.1</v>
      </c>
    </row>
    <row r="46" spans="1:19" ht="21" x14ac:dyDescent="0.35">
      <c r="A46" s="424" t="s">
        <v>35</v>
      </c>
      <c r="B46" s="425"/>
      <c r="C46" s="425"/>
      <c r="D46" s="425"/>
      <c r="E46" s="425"/>
      <c r="F46" s="426"/>
    </row>
    <row r="50" spans="1:6" x14ac:dyDescent="0.25">
      <c r="B50" s="159" t="s">
        <v>174</v>
      </c>
      <c r="C50" s="420" t="s">
        <v>175</v>
      </c>
      <c r="D50" s="420"/>
      <c r="E50" s="421" t="s">
        <v>176</v>
      </c>
      <c r="F50" s="422"/>
    </row>
    <row r="51" spans="1:6" x14ac:dyDescent="0.25">
      <c r="B51" s="160" t="s">
        <v>177</v>
      </c>
      <c r="C51" s="4" t="s">
        <v>178</v>
      </c>
      <c r="D51" s="4" t="s">
        <v>179</v>
      </c>
      <c r="E51" s="4" t="s">
        <v>180</v>
      </c>
      <c r="F51" s="4" t="s">
        <v>181</v>
      </c>
    </row>
    <row r="52" spans="1:6" x14ac:dyDescent="0.25">
      <c r="A52" s="423" t="s">
        <v>182</v>
      </c>
      <c r="B52" s="423"/>
      <c r="F52" s="161"/>
    </row>
    <row r="53" spans="1:6" x14ac:dyDescent="0.25">
      <c r="A53" s="162"/>
      <c r="B53" s="163" t="s">
        <v>183</v>
      </c>
      <c r="C53" s="164"/>
      <c r="D53" s="164"/>
      <c r="E53" s="164"/>
      <c r="F53" s="164"/>
    </row>
    <row r="54" spans="1:6" x14ac:dyDescent="0.25">
      <c r="A54" s="162"/>
      <c r="B54" s="163" t="s">
        <v>184</v>
      </c>
      <c r="C54" s="5">
        <v>1.61</v>
      </c>
      <c r="D54" s="5">
        <v>1.55</v>
      </c>
      <c r="E54" s="5">
        <v>1.41</v>
      </c>
      <c r="F54" s="5">
        <v>1.3</v>
      </c>
    </row>
    <row r="55" spans="1:6" x14ac:dyDescent="0.25">
      <c r="A55" s="162"/>
      <c r="B55" s="163" t="s">
        <v>185</v>
      </c>
      <c r="C55" s="5">
        <v>1.53</v>
      </c>
      <c r="D55" s="5">
        <v>1.48</v>
      </c>
      <c r="E55" s="5">
        <v>1.38</v>
      </c>
      <c r="F55" s="5">
        <v>1.22</v>
      </c>
    </row>
    <row r="56" spans="1:6" x14ac:dyDescent="0.25">
      <c r="A56" s="162"/>
      <c r="B56" s="163" t="s">
        <v>186</v>
      </c>
      <c r="C56" s="5">
        <v>1.47</v>
      </c>
      <c r="D56" s="5">
        <v>1.42</v>
      </c>
      <c r="E56" s="5">
        <v>1.28</v>
      </c>
      <c r="F56" s="5">
        <v>1.1599999999999999</v>
      </c>
    </row>
    <row r="57" spans="1:6" x14ac:dyDescent="0.25">
      <c r="A57" s="162"/>
      <c r="B57" s="163" t="s">
        <v>187</v>
      </c>
      <c r="C57" s="5">
        <v>1.4</v>
      </c>
      <c r="D57" s="5">
        <v>1.34</v>
      </c>
      <c r="E57" s="5">
        <v>1.2</v>
      </c>
      <c r="F57" s="5">
        <v>1.1000000000000001</v>
      </c>
    </row>
    <row r="58" spans="1:6" x14ac:dyDescent="0.25">
      <c r="A58" s="165"/>
      <c r="B58" s="166" t="s">
        <v>188</v>
      </c>
      <c r="C58" s="164"/>
      <c r="D58" s="5">
        <v>1.34</v>
      </c>
      <c r="E58" s="5">
        <v>1.2</v>
      </c>
      <c r="F58" s="5">
        <v>1.19</v>
      </c>
    </row>
  </sheetData>
  <mergeCells count="24">
    <mergeCell ref="C50:D50"/>
    <mergeCell ref="E50:F50"/>
    <mergeCell ref="A52:B52"/>
    <mergeCell ref="I27:I28"/>
    <mergeCell ref="J27:J28"/>
    <mergeCell ref="A37:A38"/>
    <mergeCell ref="B37:B38"/>
    <mergeCell ref="C37:C38"/>
    <mergeCell ref="D37:F37"/>
    <mergeCell ref="A46:F46"/>
    <mergeCell ref="H27:H28"/>
    <mergeCell ref="A35:F35"/>
    <mergeCell ref="A24:F24"/>
    <mergeCell ref="A26:A27"/>
    <mergeCell ref="B26:B27"/>
    <mergeCell ref="C26:C27"/>
    <mergeCell ref="D26:F26"/>
    <mergeCell ref="A1:F1"/>
    <mergeCell ref="A3:F3"/>
    <mergeCell ref="A5:A6"/>
    <mergeCell ref="B5:B6"/>
    <mergeCell ref="C5:C6"/>
    <mergeCell ref="D5:D6"/>
    <mergeCell ref="E5:F5"/>
  </mergeCells>
  <phoneticPr fontId="19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/>
  <dimension ref="A1:AT1288"/>
  <sheetViews>
    <sheetView tabSelected="1" topLeftCell="B1" zoomScaleNormal="100" zoomScaleSheetLayoutView="90" workbookViewId="0">
      <selection activeCell="I287" sqref="I287"/>
    </sheetView>
  </sheetViews>
  <sheetFormatPr defaultRowHeight="15" x14ac:dyDescent="0.25"/>
  <cols>
    <col min="1" max="1" width="4.140625" style="222" customWidth="1"/>
    <col min="2" max="2" width="24.42578125" style="223" customWidth="1"/>
    <col min="3" max="3" width="17.7109375" style="223" bestFit="1" customWidth="1"/>
    <col min="4" max="4" width="18.5703125" style="223" customWidth="1"/>
    <col min="5" max="5" width="12" style="223" bestFit="1" customWidth="1"/>
    <col min="6" max="6" width="14.85546875" style="223" bestFit="1" customWidth="1"/>
    <col min="7" max="7" width="11.85546875" style="223" bestFit="1" customWidth="1"/>
    <col min="8" max="8" width="15" style="223" bestFit="1" customWidth="1"/>
    <col min="9" max="9" width="11" style="223" bestFit="1" customWidth="1"/>
    <col min="10" max="10" width="16.7109375" style="223" customWidth="1"/>
    <col min="11" max="13" width="0.5703125" style="223" hidden="1" customWidth="1"/>
    <col min="14" max="14" width="0.140625" style="223" customWidth="1"/>
    <col min="15" max="16" width="10.42578125" style="223" bestFit="1" customWidth="1"/>
    <col min="17" max="18" width="9.42578125" style="223" bestFit="1" customWidth="1"/>
    <col min="19" max="19" width="9.42578125" style="223" customWidth="1"/>
    <col min="20" max="20" width="21.85546875" style="223" hidden="1" customWidth="1"/>
    <col min="21" max="21" width="10.28515625" style="223" hidden="1" customWidth="1"/>
    <col min="22" max="22" width="9.85546875" style="223" hidden="1" customWidth="1"/>
    <col min="23" max="23" width="10.5703125" style="223" bestFit="1" customWidth="1"/>
    <col min="24" max="24" width="13.28515625" style="223" bestFit="1" customWidth="1"/>
    <col min="25" max="25" width="9.7109375" style="223" bestFit="1" customWidth="1"/>
    <col min="26" max="26" width="10.85546875" style="223" bestFit="1" customWidth="1"/>
    <col min="27" max="27" width="10.5703125" style="223" customWidth="1"/>
    <col min="28" max="28" width="0.85546875" style="223" hidden="1" customWidth="1"/>
    <col min="29" max="29" width="0.42578125" style="223" hidden="1" customWidth="1"/>
    <col min="30" max="30" width="19.140625" style="223" customWidth="1"/>
    <col min="31" max="31" width="18.85546875" style="223" customWidth="1"/>
    <col min="32" max="32" width="10.7109375" style="225" bestFit="1" customWidth="1"/>
    <col min="33" max="33" width="10.42578125" style="225" bestFit="1" customWidth="1"/>
    <col min="34" max="34" width="8.140625" style="223" bestFit="1" customWidth="1"/>
    <col min="35" max="36" width="9.140625" style="223" customWidth="1"/>
    <col min="37" max="37" width="8.140625" style="223" bestFit="1" customWidth="1"/>
    <col min="38" max="38" width="5" style="223" bestFit="1" customWidth="1"/>
    <col min="39" max="39" width="11" style="223" bestFit="1" customWidth="1"/>
    <col min="40" max="43" width="12.28515625" style="223" customWidth="1"/>
    <col min="44" max="44" width="9.140625" style="223"/>
    <col min="45" max="45" width="3" style="223" bestFit="1" customWidth="1"/>
    <col min="46" max="46" width="5" style="223" bestFit="1" customWidth="1"/>
    <col min="47" max="16384" width="9.140625" style="223"/>
  </cols>
  <sheetData>
    <row r="1" spans="1:46" x14ac:dyDescent="0.25">
      <c r="D1" s="224"/>
    </row>
    <row r="2" spans="1:46" ht="29.25" thickBot="1" x14ac:dyDescent="0.5">
      <c r="F2" s="226" t="s">
        <v>451</v>
      </c>
      <c r="G2" s="227"/>
      <c r="H2" s="227"/>
      <c r="I2" s="227"/>
      <c r="J2" s="227"/>
      <c r="K2" s="407" t="s">
        <v>519</v>
      </c>
    </row>
    <row r="3" spans="1:46" customFormat="1" ht="15.75" thickBot="1" x14ac:dyDescent="0.3">
      <c r="A3" s="369"/>
      <c r="B3" s="370"/>
      <c r="AD3" s="371" t="s">
        <v>493</v>
      </c>
      <c r="AF3" s="372"/>
      <c r="AG3" s="372"/>
    </row>
    <row r="4" spans="1:46" customFormat="1" ht="15.75" thickBot="1" x14ac:dyDescent="0.3">
      <c r="A4" s="369"/>
      <c r="B4" s="373"/>
      <c r="C4" s="11"/>
      <c r="D4" s="11"/>
      <c r="E4" s="374"/>
      <c r="F4" s="375" t="s">
        <v>53</v>
      </c>
      <c r="G4" s="376"/>
      <c r="H4" s="11"/>
      <c r="I4" s="11"/>
      <c r="J4" s="11"/>
      <c r="K4" s="377"/>
      <c r="L4" s="378"/>
      <c r="M4" s="378"/>
      <c r="N4" s="378"/>
      <c r="O4" s="374"/>
      <c r="P4" s="379"/>
      <c r="Q4" s="379"/>
      <c r="R4" s="379"/>
      <c r="S4" s="379"/>
      <c r="T4" s="375" t="s">
        <v>49</v>
      </c>
      <c r="U4" s="379"/>
      <c r="V4" s="379"/>
      <c r="W4" s="376"/>
      <c r="X4" s="11"/>
      <c r="Y4" s="11"/>
      <c r="Z4" s="11"/>
      <c r="AA4" s="11"/>
      <c r="AB4" s="11"/>
      <c r="AD4" s="380" t="s">
        <v>328</v>
      </c>
      <c r="AE4" s="381" t="s">
        <v>302</v>
      </c>
      <c r="AF4" s="382"/>
      <c r="AG4" s="382"/>
      <c r="AH4" s="381"/>
    </row>
    <row r="5" spans="1:46" customFormat="1" ht="27.75" customHeight="1" thickBot="1" x14ac:dyDescent="0.3">
      <c r="A5" s="369"/>
      <c r="B5" s="383" t="s">
        <v>372</v>
      </c>
      <c r="C5" s="384" t="s">
        <v>37</v>
      </c>
      <c r="D5" s="385" t="str">
        <f>IF(D1089=D1255,"Kg","ERRORE KG")</f>
        <v>Kg</v>
      </c>
      <c r="E5" s="386" t="s">
        <v>39</v>
      </c>
      <c r="F5" s="387" t="s">
        <v>51</v>
      </c>
      <c r="G5" s="388" t="s">
        <v>52</v>
      </c>
      <c r="H5" s="389" t="s">
        <v>40</v>
      </c>
      <c r="I5" s="389" t="s">
        <v>41</v>
      </c>
      <c r="J5" s="389" t="s">
        <v>42</v>
      </c>
      <c r="K5" s="390" t="s">
        <v>4</v>
      </c>
      <c r="L5" s="391" t="s">
        <v>5</v>
      </c>
      <c r="M5" s="391" t="s">
        <v>6</v>
      </c>
      <c r="N5" s="391" t="s">
        <v>190</v>
      </c>
      <c r="O5" s="386" t="s">
        <v>43</v>
      </c>
      <c r="P5" s="391" t="s">
        <v>4</v>
      </c>
      <c r="Q5" s="391" t="s">
        <v>5</v>
      </c>
      <c r="R5" s="391" t="s">
        <v>6</v>
      </c>
      <c r="S5" s="391" t="s">
        <v>173</v>
      </c>
      <c r="T5" s="387" t="s">
        <v>44</v>
      </c>
      <c r="U5" s="387" t="s">
        <v>88</v>
      </c>
      <c r="V5" s="392" t="s">
        <v>89</v>
      </c>
      <c r="W5" s="388" t="s">
        <v>45</v>
      </c>
      <c r="X5" s="384" t="str">
        <f>IF(ROUND(X1089,2)=ROUND(E1255,2),"Commissioni","ERRORE COMMISSIONI")</f>
        <v>Commissioni</v>
      </c>
      <c r="Y5" s="393" t="s">
        <v>46</v>
      </c>
      <c r="Z5" s="394" t="s">
        <v>50</v>
      </c>
      <c r="AA5" s="395" t="s">
        <v>292</v>
      </c>
      <c r="AB5" s="94" t="s">
        <v>47</v>
      </c>
      <c r="AC5" s="20" t="s">
        <v>120</v>
      </c>
      <c r="AD5" s="368">
        <f>SUMIF(AD7:AD1088,"OK",X7:X1088)</f>
        <v>8665.409999999998</v>
      </c>
      <c r="AE5" s="396">
        <f>SUMIF(AD7:AD1088,"OK",D7:D1088)</f>
        <v>142697</v>
      </c>
      <c r="AF5" s="397"/>
      <c r="AG5" s="397"/>
      <c r="AH5" s="396"/>
      <c r="AM5" s="78">
        <f>+AD5</f>
        <v>8665.409999999998</v>
      </c>
      <c r="AN5" s="78"/>
      <c r="AO5" s="78"/>
      <c r="AP5" s="78"/>
      <c r="AQ5" s="78"/>
    </row>
    <row r="6" spans="1:46" customFormat="1" ht="15.75" x14ac:dyDescent="0.25">
      <c r="A6" s="369"/>
      <c r="B6" s="398"/>
      <c r="C6" s="399"/>
      <c r="D6" s="400"/>
      <c r="E6" s="401"/>
      <c r="F6" s="434"/>
      <c r="G6" s="402"/>
      <c r="H6" s="403"/>
      <c r="I6" s="403"/>
      <c r="J6" s="439"/>
      <c r="K6" s="442">
        <f ca="1">ROUND(IF(ISERROR(OFFSET(Tabella!$A$1,MATCH(H6,Tabella!$A:$A,0)-1,MATCH(J6,Tabella!$A$1:$AC$1,0)-1)=TRUE),0,+OFFSET(Tabella!$A$1,MATCH(H6,Tabella!$A:$A,0)-1,MATCH(J6,Tabella!$A$1:$AC$1,0)-1)),4)</f>
        <v>0</v>
      </c>
      <c r="L6" s="445">
        <f ca="1">ROUND(IF(ISERROR(OFFSET(Ottone!$A$1,MATCH(H6,Ottone!$A:$A,0)-1,MATCH(J6,Ottone!$A$1:$Z$1,0)-1)=TRUE),0,OFFSET(Ottone!$A$1,MATCH(H6,Ottone!$A:$A,0)-1,MATCH(J6,Ottone!$A$1:$Z$1,0)-1))*IF(E6="Ottone",1,0),4)</f>
        <v>0</v>
      </c>
      <c r="M6" s="445">
        <f ca="1">ROUND(IF(ISERROR(OFFSET(Rame!$A$1,MATCH(H6,Rame!$A:$A,0)-1,MATCH(J6,Rame!$A$1:$AA$1,0)-1)=TRUE),0,OFFSET(Rame!$A$1,MATCH(H6,Rame!$A:$A,0)-1,MATCH(J6,Rame!$A$1:$AA$1,0)-1))*IF(E6="Rame",1,0),4)</f>
        <v>0</v>
      </c>
      <c r="N6" s="445"/>
      <c r="O6" s="445">
        <f ca="1">ROUND(SUM(K6:N6),4)</f>
        <v>0</v>
      </c>
      <c r="P6" s="445">
        <f ca="1">ROUND(+IF(ISERROR(OFFSET(Tabella!$G$1,MATCH(H6,Tabella!$G:$G,0)-1,MATCH(I6,Tabella!$G$1:$FG$1,0)-1)=TRUE),0,OFFSET(Tabella!$G$1,MATCH(H6,Tabella!$G:$G,0)-1,MATCH(I6,Tabella!$G$1:$AB$1,0)-1)),4)</f>
        <v>0</v>
      </c>
      <c r="Q6" s="445">
        <f ca="1">ROUND(IF(ISERROR(OFFSET(Ottone!$F$1,MATCH(H6,Ottone!$A:$A,0)-1,MATCH(I6,Ottone!$F$1:$FF$1,0)-1)=TRUE),0,OFFSET(Ottone!$F$1,MATCH(H6,Ottone!$A:$A,0)-1,MATCH(I6,Ottone!$F$1:$FF$1,0)-1))*IF(E6="Ottone",1,0),4)</f>
        <v>0</v>
      </c>
      <c r="R6" s="445">
        <f ca="1">ROUND(IF(ISERROR(OFFSET(Rame!$F$1,MATCH(H6,Rame!$F:$F,0)-1,MATCH(I6,Rame!$F$1:$FF$1,0)-1)=TRUE),0,OFFSET(Rame!$F$1,MATCH(H6,Rame!$F:$F,0)-1,MATCH(I6,Rame!$F$1:$FF$1,0)-1))*IF(E6="Rame",1,0),4)</f>
        <v>0</v>
      </c>
      <c r="S6" s="445">
        <f ca="1">ROUND(IF(ISERROR(OFFSET(Bronzo!$A$1,MATCH(H6,Bronzo!$A:$A,0)-1,MATCH(I6,Bronzo!$A$1:$AA$1,0)-1)=TRUE),0,OFFSET(Bronzo!$A$1,MATCH(H6,Bronzo!$A:$A,0)-1,MATCH(I6,Bronzo!$A$1:$AA$1,0)-1)),4)</f>
        <v>0</v>
      </c>
      <c r="T6" s="445">
        <f t="shared" ref="T6:T20" ca="1" si="0">ROUND(SUM(P6:S6),4)</f>
        <v>0</v>
      </c>
      <c r="U6" s="442"/>
      <c r="V6" s="445">
        <v>0</v>
      </c>
      <c r="W6" s="448">
        <f t="shared" ref="W6:W20" ca="1" si="1">ROUND(+O6+T6+U6+V6,4)</f>
        <v>0</v>
      </c>
      <c r="X6" s="451">
        <f t="shared" ref="X6:X69" si="2">ROUND(+J6*D6,4)</f>
        <v>0</v>
      </c>
      <c r="Y6" s="439"/>
      <c r="Z6" s="439">
        <f t="shared" ref="Z6:Z20" ca="1" si="3">ROUND(+Y6-W6-F6,4)</f>
        <v>0</v>
      </c>
      <c r="AA6" s="404"/>
      <c r="AF6" s="372">
        <f ca="1">TODAY()</f>
        <v>46156</v>
      </c>
      <c r="AG6" s="372" t="b">
        <f>ISBLANK(AA6)</f>
        <v>1</v>
      </c>
      <c r="AH6" s="405" t="str">
        <f>IF(AG6=FALSE,_xlfn.DAYS(AA6,AF6),"")</f>
        <v/>
      </c>
      <c r="AK6">
        <f>WEEKNUM(AA6)</f>
        <v>0</v>
      </c>
      <c r="AL6">
        <f>YEAR(AA6)</f>
        <v>1900</v>
      </c>
      <c r="AS6">
        <f>IF(AA6="",0,MONTH(AA6))</f>
        <v>0</v>
      </c>
      <c r="AT6">
        <f>IF(AA6="",0,YEAR(AA6))</f>
        <v>0</v>
      </c>
    </row>
    <row r="7" spans="1:46" ht="15.75" x14ac:dyDescent="0.25">
      <c r="B7" s="229" t="s">
        <v>419</v>
      </c>
      <c r="C7" s="230" t="s">
        <v>297</v>
      </c>
      <c r="D7" s="231">
        <v>550</v>
      </c>
      <c r="E7" s="232" t="s">
        <v>4</v>
      </c>
      <c r="F7" s="435">
        <v>2.4700000000000002</v>
      </c>
      <c r="G7" s="234">
        <v>45727</v>
      </c>
      <c r="H7" s="235" t="s">
        <v>23</v>
      </c>
      <c r="I7" s="235"/>
      <c r="J7" s="440">
        <v>7.0000000000000007E-2</v>
      </c>
      <c r="K7" s="443">
        <f ca="1">ROUND(IF(ISERROR(OFFSET(Tabella!$A$1,MATCH(H7,Tabella!$A:$A,0)-1,MATCH(J7,Tabella!$A$1:$AC$1,0)-1)=TRUE),0,+OFFSET(Tabella!$A$1,MATCH(H7,Tabella!$A:$A,0)-1,MATCH(J7,Tabella!$A$1:$AC$1,0)-1)),4)</f>
        <v>1.25</v>
      </c>
      <c r="L7" s="446">
        <f ca="1">ROUND(IF(ISERROR(OFFSET(Ottone!$A$1,MATCH(H7,Ottone!$A:$A,0)-1,MATCH(J7,Ottone!$A$1:$Z$1,0)-1)=TRUE),0,OFFSET(Ottone!$A$1,MATCH(H7,Ottone!$A:$A,0)-1,MATCH(J7,Ottone!$A$1:$Z$1,0)-1))*IF(E7="Ottone",1,0),4)</f>
        <v>0</v>
      </c>
      <c r="M7" s="446">
        <f ca="1">ROUND(IF(ISERROR(OFFSET(Rame!$A$1,MATCH(H7,Rame!$A:$A,0)-1,MATCH(J7,Rame!$A$1:$AA$1,0)-1)=TRUE),0,OFFSET(Rame!$A$1,MATCH(H7,Rame!$A:$A,0)-1,MATCH(J7,Rame!$A$1:$AA$1,0)-1))*IF(E7="Rame",1,0),4)</f>
        <v>0</v>
      </c>
      <c r="N7" s="446">
        <v>0</v>
      </c>
      <c r="O7" s="446">
        <v>1.5</v>
      </c>
      <c r="P7" s="446">
        <f ca="1">ROUND(+IF(ISERROR(OFFSET(Tabella!$G$1,MATCH(H7,Tabella!$G:$G,0)-1,MATCH(I7,Tabella!$G$1:$FG$1,0)-1)=TRUE),0,OFFSET(Tabella!$G$1,MATCH(H7,Tabella!$G:$G,0)-1,MATCH(I7,Tabella!$G$1:$AB$1,0)-1)),4)</f>
        <v>0</v>
      </c>
      <c r="Q7" s="446">
        <f ca="1">ROUND(IF(ISERROR(OFFSET(Ottone!$F$1,MATCH(H7,Ottone!$A:$A,0)-1,MATCH(I7,Ottone!$F$1:$FF$1,0)-1)=TRUE),0,OFFSET(Ottone!$F$1,MATCH(H7,Ottone!$A:$A,0)-1,MATCH(I7,Ottone!$F$1:$FF$1,0)-1))*IF(E7="Ottone",1,0),4)</f>
        <v>0</v>
      </c>
      <c r="R7" s="446">
        <f ca="1">ROUND(IF(ISERROR(OFFSET(Rame!$F$1,MATCH(H7,Rame!$F:$F,0)-1,MATCH(I7,Rame!$F$1:$FF$1,0)-1)=TRUE),0,OFFSET(Rame!$F$1,MATCH(H7,Rame!$F:$F,0)-1,MATCH(I7,Rame!$F$1:$FF$1,0)-1))*IF(E7="Rame",1,0),4)</f>
        <v>0</v>
      </c>
      <c r="S7" s="446">
        <f ca="1">ROUND(IF(ISERROR(OFFSET(Bronzo!$A$1,MATCH(H7,Bronzo!$A:$A,0)-1,MATCH(I7,Bronzo!$A$1:$AA$1,0)-1)=TRUE),0,OFFSET(Bronzo!$A$1,MATCH(H7,Bronzo!$A:$A,0)-1,MATCH(I7,Bronzo!$A$1:$AA$1,0)-1)),4)</f>
        <v>0</v>
      </c>
      <c r="T7" s="446">
        <f t="shared" ca="1" si="0"/>
        <v>0</v>
      </c>
      <c r="U7" s="443"/>
      <c r="V7" s="446">
        <v>0</v>
      </c>
      <c r="W7" s="449">
        <f t="shared" ca="1" si="1"/>
        <v>1.5</v>
      </c>
      <c r="X7" s="452">
        <f t="shared" si="2"/>
        <v>38.5</v>
      </c>
      <c r="Y7" s="440">
        <v>4</v>
      </c>
      <c r="Z7" s="440">
        <f t="shared" ca="1" si="3"/>
        <v>0.03</v>
      </c>
      <c r="AA7" s="241"/>
      <c r="AE7" s="223" t="s">
        <v>417</v>
      </c>
      <c r="AF7" s="225">
        <f t="shared" ref="AF7" ca="1" si="4">TODAY()</f>
        <v>46156</v>
      </c>
      <c r="AG7" s="225" t="b">
        <f t="shared" ref="AG7" si="5">ISBLANK(AA7)</f>
        <v>1</v>
      </c>
      <c r="AH7" s="242" t="str">
        <f t="shared" ref="AH7" si="6">IF(AG7=FALSE,_xlfn.DAYS(AA7,AF7),"")</f>
        <v/>
      </c>
      <c r="AK7" s="223">
        <f t="shared" ref="AK7" si="7">WEEKNUM(AA7)</f>
        <v>0</v>
      </c>
      <c r="AL7" s="223">
        <f t="shared" ref="AL7" si="8">YEAR(AA7)</f>
        <v>1900</v>
      </c>
      <c r="AS7" s="223">
        <f t="shared" ref="AS7" si="9">IF(AA7="",0,MONTH(AA7))</f>
        <v>0</v>
      </c>
      <c r="AT7" s="223">
        <f t="shared" ref="AT7" si="10">IF(AA7="",0,YEAR(AA7))</f>
        <v>0</v>
      </c>
    </row>
    <row r="8" spans="1:46" ht="15.75" x14ac:dyDescent="0.25">
      <c r="B8" s="229" t="s">
        <v>441</v>
      </c>
      <c r="C8" s="230" t="s">
        <v>212</v>
      </c>
      <c r="D8" s="231">
        <v>500</v>
      </c>
      <c r="E8" s="232" t="s">
        <v>4</v>
      </c>
      <c r="F8" s="435">
        <v>2.2599999999999998</v>
      </c>
      <c r="G8" s="234">
        <v>45931</v>
      </c>
      <c r="H8" s="235" t="s">
        <v>309</v>
      </c>
      <c r="I8" s="235"/>
      <c r="J8" s="440">
        <v>0.05</v>
      </c>
      <c r="K8" s="443">
        <f ca="1">ROUND(IF(ISERROR(OFFSET(Tabella!$A$1,MATCH(H8,Tabella!$A:$A,0)-1,MATCH(J8,Tabella!$A$1:$AC$1,0)-1)=TRUE),0,+OFFSET(Tabella!$A$1,MATCH(H8,Tabella!$A:$A,0)-1,MATCH(J8,Tabella!$A$1:$AC$1,0)-1)),4)</f>
        <v>0</v>
      </c>
      <c r="L8" s="446">
        <f ca="1">ROUND(IF(ISERROR(OFFSET(Ottone!$A$1,MATCH(H8,Ottone!$A:$A,0)-1,MATCH(J8,Ottone!$A$1:$Z$1,0)-1)=TRUE),0,OFFSET(Ottone!$A$1,MATCH(H8,Ottone!$A:$A,0)-1,MATCH(J8,Ottone!$A$1:$Z$1,0)-1))*IF(E8="Ottone",1,0),4)</f>
        <v>0</v>
      </c>
      <c r="M8" s="446">
        <f ca="1">ROUND(IF(ISERROR(OFFSET(Rame!$A$1,MATCH(H8,Rame!$A:$A,0)-1,MATCH(J8,Rame!$A$1:$AA$1,0)-1)=TRUE),0,OFFSET(Rame!$A$1,MATCH(H8,Rame!$A:$A,0)-1,MATCH(J8,Rame!$A$1:$AA$1,0)-1))*IF(E8="Rame",1,0),4)</f>
        <v>0</v>
      </c>
      <c r="N8" s="446">
        <v>0</v>
      </c>
      <c r="O8" s="446">
        <v>1.5</v>
      </c>
      <c r="P8" s="446">
        <f ca="1">ROUND(+IF(ISERROR(OFFSET(Tabella!$G$1,MATCH(H8,Tabella!$G:$G,0)-1,MATCH(I8,Tabella!$G$1:$FG$1,0)-1)=TRUE),0,OFFSET(Tabella!$G$1,MATCH(H8,Tabella!$G:$G,0)-1,MATCH(I8,Tabella!$G$1:$AB$1,0)-1)),4)</f>
        <v>0</v>
      </c>
      <c r="Q8" s="446">
        <f ca="1">ROUND(IF(ISERROR(OFFSET(Ottone!$F$1,MATCH(H8,Ottone!$A:$A,0)-1,MATCH(I8,Ottone!$F$1:$FF$1,0)-1)=TRUE),0,OFFSET(Ottone!$F$1,MATCH(H8,Ottone!$A:$A,0)-1,MATCH(I8,Ottone!$F$1:$FF$1,0)-1))*IF(E8="Ottone",1,0),4)</f>
        <v>0</v>
      </c>
      <c r="R8" s="446">
        <f ca="1">ROUND(IF(ISERROR(OFFSET(Rame!$F$1,MATCH(H8,Rame!$F:$F,0)-1,MATCH(I8,Rame!$F$1:$FF$1,0)-1)=TRUE),0,OFFSET(Rame!$F$1,MATCH(H8,Rame!$F:$F,0)-1,MATCH(I8,Rame!$F$1:$FF$1,0)-1))*IF(E8="Rame",1,0),4)</f>
        <v>0</v>
      </c>
      <c r="S8" s="446">
        <f ca="1">ROUND(IF(ISERROR(OFFSET(Bronzo!$A$1,MATCH(H8,Bronzo!$A:$A,0)-1,MATCH(I8,Bronzo!$A$1:$AA$1,0)-1)=TRUE),0,OFFSET(Bronzo!$A$1,MATCH(H8,Bronzo!$A:$A,0)-1,MATCH(I8,Bronzo!$A$1:$AA$1,0)-1)),4)</f>
        <v>0</v>
      </c>
      <c r="T8" s="446">
        <f t="shared" ca="1" si="0"/>
        <v>0</v>
      </c>
      <c r="U8" s="443"/>
      <c r="V8" s="446">
        <v>0</v>
      </c>
      <c r="W8" s="449">
        <f t="shared" ca="1" si="1"/>
        <v>1.5</v>
      </c>
      <c r="X8" s="452">
        <f t="shared" si="2"/>
        <v>25</v>
      </c>
      <c r="Y8" s="440">
        <v>3.73</v>
      </c>
      <c r="Z8" s="440">
        <f t="shared" ca="1" si="3"/>
        <v>-0.03</v>
      </c>
      <c r="AA8" s="241"/>
      <c r="AD8" s="223" t="s">
        <v>440</v>
      </c>
      <c r="AE8" s="223" t="s">
        <v>417</v>
      </c>
      <c r="AF8" s="225">
        <f t="shared" ref="AF8" ca="1" si="11">TODAY()</f>
        <v>46156</v>
      </c>
      <c r="AG8" s="225" t="b">
        <f t="shared" ref="AG8" si="12">ISBLANK(AA8)</f>
        <v>1</v>
      </c>
      <c r="AH8" s="242" t="str">
        <f t="shared" ref="AH8" si="13">IF(AG8=FALSE,_xlfn.DAYS(AA8,AF8),"")</f>
        <v/>
      </c>
      <c r="AK8" s="223">
        <f t="shared" ref="AK8" si="14">WEEKNUM(AA8)</f>
        <v>0</v>
      </c>
      <c r="AL8" s="223">
        <f t="shared" ref="AL8" si="15">YEAR(AA8)</f>
        <v>1900</v>
      </c>
      <c r="AS8" s="223">
        <f t="shared" ref="AS8" si="16">IF(AA8="",0,MONTH(AA8))</f>
        <v>0</v>
      </c>
      <c r="AT8" s="223">
        <f t="shared" ref="AT8" si="17">IF(AA8="",0,YEAR(AA8))</f>
        <v>0</v>
      </c>
    </row>
    <row r="9" spans="1:46" ht="15.75" x14ac:dyDescent="0.25">
      <c r="B9" s="229" t="s">
        <v>442</v>
      </c>
      <c r="C9" s="235" t="s">
        <v>330</v>
      </c>
      <c r="D9" s="243">
        <v>1000</v>
      </c>
      <c r="E9" s="232" t="s">
        <v>4</v>
      </c>
      <c r="F9" s="436">
        <v>1.6</v>
      </c>
      <c r="G9" s="234">
        <v>46009</v>
      </c>
      <c r="H9" s="235" t="s">
        <v>314</v>
      </c>
      <c r="I9" s="235"/>
      <c r="J9" s="440">
        <v>7.0000000000000007E-2</v>
      </c>
      <c r="K9" s="443">
        <f ca="1">ROUND(IF(ISERROR(OFFSET(Tabella!$A$1,MATCH(H9,Tabella!$A:$A,0)-1,MATCH(J9,Tabella!$A$1:$AC$1,0)-1)=TRUE),0,+OFFSET(Tabella!$A$1,MATCH(H9,Tabella!$A:$A,0)-1,MATCH(J9,Tabella!$A$1:$AC$1,0)-1)),4)</f>
        <v>1.25</v>
      </c>
      <c r="L9" s="446">
        <f ca="1">ROUND(IF(ISERROR(OFFSET(Ottone!$A$1,MATCH(H9,Ottone!$A:$A,0)-1,MATCH(J9,Ottone!$A$1:$Z$1,0)-1)=TRUE),0,OFFSET(Ottone!$A$1,MATCH(H9,Ottone!$A:$A,0)-1,MATCH(J9,Ottone!$A$1:$Z$1,0)-1))*IF(E9="Ottone",1,0),4)</f>
        <v>0</v>
      </c>
      <c r="M9" s="446">
        <f ca="1">ROUND(IF(ISERROR(OFFSET(Rame!$A$1,MATCH(H9,Rame!$A:$A,0)-1,MATCH(J9,Rame!$A$1:$AA$1,0)-1)=TRUE),0,OFFSET(Rame!$A$1,MATCH(H9,Rame!$A:$A,0)-1,MATCH(J9,Rame!$A$1:$AA$1,0)-1))*IF(E9="Rame",1,0),4)</f>
        <v>0</v>
      </c>
      <c r="N9" s="446">
        <v>0</v>
      </c>
      <c r="O9" s="446">
        <f ca="1">ROUND(SUM(K9:N9),4)</f>
        <v>1.25</v>
      </c>
      <c r="P9" s="446">
        <f ca="1">ROUND(+IF(ISERROR(OFFSET(Tabella!$G$1,MATCH(H9,Tabella!$G:$G,0)-1,MATCH(I9,Tabella!$G$1:$FG$1,0)-1)=TRUE),0,OFFSET(Tabella!$G$1,MATCH(H9,Tabella!$G:$G,0)-1,MATCH(I9,Tabella!$G$1:$AB$1,0)-1)),4)</f>
        <v>0</v>
      </c>
      <c r="Q9" s="446">
        <f ca="1">ROUND(IF(ISERROR(OFFSET(Ottone!$F$1,MATCH(H9,Ottone!$A:$A,0)-1,MATCH(I9,Ottone!$F$1:$FF$1,0)-1)=TRUE),0,OFFSET(Ottone!$F$1,MATCH(H9,Ottone!$A:$A,0)-1,MATCH(I9,Ottone!$F$1:$FF$1,0)-1))*IF(E9="Ottone",1,0),4)</f>
        <v>0</v>
      </c>
      <c r="R9" s="446">
        <f ca="1">ROUND(IF(ISERROR(OFFSET(Rame!$F$1,MATCH(H9,Rame!$F:$F,0)-1,MATCH(I9,Rame!$F$1:$FF$1,0)-1)=TRUE),0,OFFSET(Rame!$F$1,MATCH(H9,Rame!$F:$F,0)-1,MATCH(I9,Rame!$F$1:$FF$1,0)-1))*IF(E9="Rame",1,0),4)</f>
        <v>0</v>
      </c>
      <c r="S9" s="446">
        <f ca="1">ROUND(IF(ISERROR(OFFSET(Bronzo!$A$1,MATCH(H9,Bronzo!$A:$A,0)-1,MATCH(I9,Bronzo!$A$1:$AA$1,0)-1)=TRUE),0,OFFSET(Bronzo!$A$1,MATCH(H9,Bronzo!$A:$A,0)-1,MATCH(I9,Bronzo!$A$1:$AA$1,0)-1)),4)</f>
        <v>0</v>
      </c>
      <c r="T9" s="446">
        <f t="shared" ca="1" si="0"/>
        <v>0</v>
      </c>
      <c r="U9" s="443"/>
      <c r="V9" s="446">
        <v>0</v>
      </c>
      <c r="W9" s="449">
        <f t="shared" ca="1" si="1"/>
        <v>1.25</v>
      </c>
      <c r="X9" s="452">
        <f t="shared" si="2"/>
        <v>70</v>
      </c>
      <c r="Y9" s="458">
        <v>1.6</v>
      </c>
      <c r="Z9" s="440">
        <f t="shared" ca="1" si="3"/>
        <v>-1.25</v>
      </c>
      <c r="AA9" s="241">
        <v>46135</v>
      </c>
      <c r="AF9" s="225">
        <f t="shared" ref="AF9:AF11" ca="1" si="18">TODAY()</f>
        <v>46156</v>
      </c>
      <c r="AG9" s="225" t="b">
        <f t="shared" ref="AG9:AG11" si="19">ISBLANK(AA9)</f>
        <v>0</v>
      </c>
      <c r="AH9" s="242">
        <f t="shared" ref="AH9:AH11" ca="1" si="20">IF(AG9=FALSE,_xlfn.DAYS(AA9,AF9),"")</f>
        <v>-21</v>
      </c>
      <c r="AK9" s="223">
        <f t="shared" ref="AK9:AK11" si="21">WEEKNUM(AA9)</f>
        <v>17</v>
      </c>
      <c r="AL9" s="223">
        <f t="shared" ref="AL9:AL11" si="22">YEAR(AA9)</f>
        <v>2026</v>
      </c>
      <c r="AS9" s="223">
        <f t="shared" ref="AS9:AS11" si="23">IF(AA9="",0,MONTH(AA9))</f>
        <v>4</v>
      </c>
      <c r="AT9" s="223">
        <f t="shared" ref="AT9:AT11" si="24">IF(AA9="",0,YEAR(AA9))</f>
        <v>2026</v>
      </c>
    </row>
    <row r="10" spans="1:46" ht="15.75" x14ac:dyDescent="0.25">
      <c r="B10" s="229" t="s">
        <v>442</v>
      </c>
      <c r="C10" s="230" t="s">
        <v>330</v>
      </c>
      <c r="D10" s="231">
        <v>900</v>
      </c>
      <c r="E10" s="232" t="s">
        <v>4</v>
      </c>
      <c r="F10" s="436">
        <v>1.6</v>
      </c>
      <c r="G10" s="234">
        <v>46009</v>
      </c>
      <c r="H10" s="235" t="s">
        <v>17</v>
      </c>
      <c r="I10" s="235"/>
      <c r="J10" s="440">
        <v>7.0000000000000007E-2</v>
      </c>
      <c r="K10" s="443">
        <f ca="1">ROUND(IF(ISERROR(OFFSET(Tabella!$A$1,MATCH(H10,Tabella!$A:$A,0)-1,MATCH(J10,Tabella!$A$1:$AC$1,0)-1)=TRUE),0,+OFFSET(Tabella!$A$1,MATCH(H10,Tabella!$A:$A,0)-1,MATCH(J10,Tabella!$A$1:$AC$1,0)-1)),4)</f>
        <v>1.4</v>
      </c>
      <c r="L10" s="446">
        <f ca="1">ROUND(IF(ISERROR(OFFSET(Ottone!$A$1,MATCH(H10,Ottone!$A:$A,0)-1,MATCH(J10,Ottone!$A$1:$Z$1,0)-1)=TRUE),0,OFFSET(Ottone!$A$1,MATCH(H10,Ottone!$A:$A,0)-1,MATCH(J10,Ottone!$A$1:$Z$1,0)-1))*IF(E10="Ottone",1,0),4)</f>
        <v>0</v>
      </c>
      <c r="M10" s="446">
        <f ca="1">ROUND(IF(ISERROR(OFFSET(Rame!$A$1,MATCH(H10,Rame!$A:$A,0)-1,MATCH(J10,Rame!$A$1:$AA$1,0)-1)=TRUE),0,OFFSET(Rame!$A$1,MATCH(H10,Rame!$A:$A,0)-1,MATCH(J10,Rame!$A$1:$AA$1,0)-1))*IF(E10="Rame",1,0),4)</f>
        <v>0</v>
      </c>
      <c r="N10" s="446">
        <v>0</v>
      </c>
      <c r="O10" s="446">
        <f ca="1">ROUND(SUM(K10:N10),4)</f>
        <v>1.4</v>
      </c>
      <c r="P10" s="446">
        <f ca="1">ROUND(+IF(ISERROR(OFFSET(Tabella!$G$1,MATCH(H10,Tabella!$G:$G,0)-1,MATCH(I10,Tabella!$G$1:$FG$1,0)-1)=TRUE),0,OFFSET(Tabella!$G$1,MATCH(H10,Tabella!$G:$G,0)-1,MATCH(I10,Tabella!$G$1:$AB$1,0)-1)),4)</f>
        <v>0</v>
      </c>
      <c r="Q10" s="446">
        <f ca="1">ROUND(IF(ISERROR(OFFSET(Ottone!$F$1,MATCH(H10,Ottone!$A:$A,0)-1,MATCH(I10,Ottone!$F$1:$FF$1,0)-1)=TRUE),0,OFFSET(Ottone!$F$1,MATCH(H10,Ottone!$A:$A,0)-1,MATCH(I10,Ottone!$F$1:$FF$1,0)-1))*IF(E10="Ottone",1,0),4)</f>
        <v>0</v>
      </c>
      <c r="R10" s="446">
        <f ca="1">ROUND(IF(ISERROR(OFFSET(Rame!$F$1,MATCH(H10,Rame!$F:$F,0)-1,MATCH(I10,Rame!$F$1:$FF$1,0)-1)=TRUE),0,OFFSET(Rame!$F$1,MATCH(H10,Rame!$F:$F,0)-1,MATCH(I10,Rame!$F$1:$FF$1,0)-1))*IF(E10="Rame",1,0),4)</f>
        <v>0</v>
      </c>
      <c r="S10" s="446">
        <f ca="1">ROUND(IF(ISERROR(OFFSET(Bronzo!$A$1,MATCH(H10,Bronzo!$A:$A,0)-1,MATCH(I10,Bronzo!$A$1:$AA$1,0)-1)=TRUE),0,OFFSET(Bronzo!$A$1,MATCH(H10,Bronzo!$A:$A,0)-1,MATCH(I10,Bronzo!$A$1:$AA$1,0)-1)),4)</f>
        <v>0</v>
      </c>
      <c r="T10" s="446">
        <f t="shared" ca="1" si="0"/>
        <v>0</v>
      </c>
      <c r="U10" s="443"/>
      <c r="V10" s="446">
        <v>0</v>
      </c>
      <c r="W10" s="449">
        <f t="shared" ca="1" si="1"/>
        <v>1.4</v>
      </c>
      <c r="X10" s="452">
        <f t="shared" si="2"/>
        <v>63</v>
      </c>
      <c r="Y10" s="458">
        <v>1.6</v>
      </c>
      <c r="Z10" s="440">
        <f t="shared" ca="1" si="3"/>
        <v>-1.4</v>
      </c>
      <c r="AA10" s="241"/>
      <c r="AE10" s="223" t="s">
        <v>417</v>
      </c>
      <c r="AF10" s="225">
        <f t="shared" ca="1" si="18"/>
        <v>46156</v>
      </c>
      <c r="AG10" s="225" t="b">
        <f t="shared" si="19"/>
        <v>1</v>
      </c>
      <c r="AH10" s="242" t="str">
        <f t="shared" si="20"/>
        <v/>
      </c>
      <c r="AK10" s="223">
        <f t="shared" si="21"/>
        <v>0</v>
      </c>
      <c r="AL10" s="223">
        <f t="shared" si="22"/>
        <v>1900</v>
      </c>
      <c r="AS10" s="223">
        <f t="shared" si="23"/>
        <v>0</v>
      </c>
      <c r="AT10" s="223">
        <f t="shared" si="24"/>
        <v>0</v>
      </c>
    </row>
    <row r="11" spans="1:46" ht="15.75" x14ac:dyDescent="0.25">
      <c r="B11" s="229" t="s">
        <v>565</v>
      </c>
      <c r="C11" s="235" t="s">
        <v>330</v>
      </c>
      <c r="D11" s="243">
        <v>600</v>
      </c>
      <c r="E11" s="232" t="s">
        <v>4</v>
      </c>
      <c r="F11" s="437">
        <v>2.88</v>
      </c>
      <c r="G11" s="234">
        <v>46009</v>
      </c>
      <c r="H11" s="235" t="s">
        <v>17</v>
      </c>
      <c r="I11" s="235"/>
      <c r="J11" s="440">
        <v>7.0000000000000007E-2</v>
      </c>
      <c r="K11" s="443">
        <f ca="1">ROUND(IF(ISERROR(OFFSET(Tabella!$A$1,MATCH(H11,Tabella!$A:$A,0)-1,MATCH(J11,Tabella!$A$1:$AC$1,0)-1)=TRUE),0,+OFFSET(Tabella!$A$1,MATCH(H11,Tabella!$A:$A,0)-1,MATCH(J11,Tabella!$A$1:$AC$1,0)-1)),4)</f>
        <v>1.4</v>
      </c>
      <c r="L11" s="446">
        <f ca="1">ROUND(IF(ISERROR(OFFSET(Ottone!$A$1,MATCH(H11,Ottone!$A:$A,0)-1,MATCH(J11,Ottone!$A$1:$Z$1,0)-1)=TRUE),0,OFFSET(Ottone!$A$1,MATCH(H11,Ottone!$A:$A,0)-1,MATCH(J11,Ottone!$A$1:$Z$1,0)-1))*IF(E11="Ottone",1,0),4)</f>
        <v>0</v>
      </c>
      <c r="M11" s="446">
        <f ca="1">ROUND(IF(ISERROR(OFFSET(Rame!$A$1,MATCH(H11,Rame!$A:$A,0)-1,MATCH(J11,Rame!$A$1:$AA$1,0)-1)=TRUE),0,OFFSET(Rame!$A$1,MATCH(H11,Rame!$A:$A,0)-1,MATCH(J11,Rame!$A$1:$AA$1,0)-1))*IF(E11="Rame",1,0),4)</f>
        <v>0</v>
      </c>
      <c r="N11" s="446">
        <v>0</v>
      </c>
      <c r="O11" s="446">
        <f ca="1">ROUND(SUM(K11:N11),4)</f>
        <v>1.4</v>
      </c>
      <c r="P11" s="446">
        <f ca="1">ROUND(+IF(ISERROR(OFFSET(Tabella!$G$1,MATCH(H11,Tabella!$G:$G,0)-1,MATCH(I11,Tabella!$G$1:$FG$1,0)-1)=TRUE),0,OFFSET(Tabella!$G$1,MATCH(H11,Tabella!$G:$G,0)-1,MATCH(I11,Tabella!$G$1:$AB$1,0)-1)),4)</f>
        <v>0</v>
      </c>
      <c r="Q11" s="446">
        <f ca="1">ROUND(IF(ISERROR(OFFSET(Ottone!$F$1,MATCH(H11,Ottone!$A:$A,0)-1,MATCH(I11,Ottone!$F$1:$FF$1,0)-1)=TRUE),0,OFFSET(Ottone!$F$1,MATCH(H11,Ottone!$A:$A,0)-1,MATCH(I11,Ottone!$F$1:$FF$1,0)-1))*IF(E11="Ottone",1,0),4)</f>
        <v>0</v>
      </c>
      <c r="R11" s="446">
        <f ca="1">ROUND(IF(ISERROR(OFFSET(Rame!$F$1,MATCH(H11,Rame!$F:$F,0)-1,MATCH(I11,Rame!$F$1:$FF$1,0)-1)=TRUE),0,OFFSET(Rame!$F$1,MATCH(H11,Rame!$F:$F,0)-1,MATCH(I11,Rame!$F$1:$FF$1,0)-1))*IF(E11="Rame",1,0),4)</f>
        <v>0</v>
      </c>
      <c r="S11" s="446">
        <f ca="1">ROUND(IF(ISERROR(OFFSET(Bronzo!$A$1,MATCH(H11,Bronzo!$A:$A,0)-1,MATCH(I11,Bronzo!$A$1:$AA$1,0)-1)=TRUE),0,OFFSET(Bronzo!$A$1,MATCH(H11,Bronzo!$A:$A,0)-1,MATCH(I11,Bronzo!$A$1:$AA$1,0)-1)),4)</f>
        <v>0</v>
      </c>
      <c r="T11" s="446">
        <f t="shared" ca="1" si="0"/>
        <v>0</v>
      </c>
      <c r="U11" s="443"/>
      <c r="V11" s="446">
        <v>0</v>
      </c>
      <c r="W11" s="449">
        <f t="shared" ca="1" si="1"/>
        <v>1.4</v>
      </c>
      <c r="X11" s="453">
        <f t="shared" si="2"/>
        <v>42</v>
      </c>
      <c r="Y11" s="459">
        <v>4.4800000000000004</v>
      </c>
      <c r="Z11" s="440">
        <f t="shared" ca="1" si="3"/>
        <v>0.2</v>
      </c>
      <c r="AA11" s="241">
        <v>46161</v>
      </c>
      <c r="AF11" s="225">
        <f t="shared" ca="1" si="18"/>
        <v>46156</v>
      </c>
      <c r="AG11" s="225" t="b">
        <f t="shared" si="19"/>
        <v>0</v>
      </c>
      <c r="AH11" s="242">
        <f t="shared" ca="1" si="20"/>
        <v>5</v>
      </c>
      <c r="AK11" s="223">
        <f t="shared" si="21"/>
        <v>21</v>
      </c>
      <c r="AL11" s="223">
        <f t="shared" si="22"/>
        <v>2026</v>
      </c>
      <c r="AS11" s="223">
        <f t="shared" si="23"/>
        <v>5</v>
      </c>
      <c r="AT11" s="223">
        <f t="shared" si="24"/>
        <v>2026</v>
      </c>
    </row>
    <row r="12" spans="1:46" ht="15.75" x14ac:dyDescent="0.25">
      <c r="B12" s="229" t="s">
        <v>447</v>
      </c>
      <c r="C12" s="235" t="s">
        <v>396</v>
      </c>
      <c r="D12" s="243">
        <v>2100</v>
      </c>
      <c r="E12" s="232" t="s">
        <v>4</v>
      </c>
      <c r="F12" s="435">
        <v>2.68</v>
      </c>
      <c r="G12" s="234">
        <v>46048</v>
      </c>
      <c r="H12" s="235" t="s">
        <v>28</v>
      </c>
      <c r="I12" s="235"/>
      <c r="J12" s="440">
        <v>7.0000000000000007E-2</v>
      </c>
      <c r="K12" s="443">
        <f ca="1">ROUND(IF(ISERROR(OFFSET(Tabella!$A$1,MATCH(H12,Tabella!$A:$A,0)-1,MATCH(J12,Tabella!$A$1:$AC$1,0)-1)=TRUE),0,+OFFSET(Tabella!$A$1,MATCH(H12,Tabella!$A:$A,0)-1,MATCH(J12,Tabella!$A$1:$AC$1,0)-1)),4)</f>
        <v>1.25</v>
      </c>
      <c r="L12" s="446">
        <f ca="1">ROUND(IF(ISERROR(OFFSET(Ottone!$A$1,MATCH(H12,Ottone!$A:$A,0)-1,MATCH(J12,Ottone!$A$1:$Z$1,0)-1)=TRUE),0,OFFSET(Ottone!$A$1,MATCH(H12,Ottone!$A:$A,0)-1,MATCH(J12,Ottone!$A$1:$Z$1,0)-1))*IF(E12="Ottone",1,0),4)</f>
        <v>0</v>
      </c>
      <c r="M12" s="446">
        <f ca="1">ROUND(IF(ISERROR(OFFSET(Rame!$A$1,MATCH(H12,Rame!$A:$A,0)-1,MATCH(J12,Rame!$A$1:$AA$1,0)-1)=TRUE),0,OFFSET(Rame!$A$1,MATCH(H12,Rame!$A:$A,0)-1,MATCH(J12,Rame!$A$1:$AA$1,0)-1))*IF(E12="Rame",1,0),4)</f>
        <v>0</v>
      </c>
      <c r="N12" s="446">
        <v>0</v>
      </c>
      <c r="O12" s="446">
        <f ca="1">ROUND(SUM(K12:N12),4)</f>
        <v>1.25</v>
      </c>
      <c r="P12" s="446">
        <f ca="1">ROUND(+IF(ISERROR(OFFSET(Tabella!$G$1,MATCH(H12,Tabella!$G:$G,0)-1,MATCH(I12,Tabella!$G$1:$FG$1,0)-1)=TRUE),0,OFFSET(Tabella!$G$1,MATCH(H12,Tabella!$G:$G,0)-1,MATCH(I12,Tabella!$G$1:$AB$1,0)-1)),4)</f>
        <v>0</v>
      </c>
      <c r="Q12" s="446">
        <f ca="1">ROUND(IF(ISERROR(OFFSET(Ottone!$F$1,MATCH(H12,Ottone!$A:$A,0)-1,MATCH(I12,Ottone!$F$1:$FF$1,0)-1)=TRUE),0,OFFSET(Ottone!$F$1,MATCH(H12,Ottone!$A:$A,0)-1,MATCH(I12,Ottone!$F$1:$FF$1,0)-1))*IF(E12="Ottone",1,0),4)</f>
        <v>0</v>
      </c>
      <c r="R12" s="446">
        <f ca="1">ROUND(IF(ISERROR(OFFSET(Rame!$F$1,MATCH(H12,Rame!$F:$F,0)-1,MATCH(I12,Rame!$F$1:$FF$1,0)-1)=TRUE),0,OFFSET(Rame!$F$1,MATCH(H12,Rame!$F:$F,0)-1,MATCH(I12,Rame!$F$1:$FF$1,0)-1))*IF(E12="Rame",1,0),4)</f>
        <v>0</v>
      </c>
      <c r="S12" s="446">
        <f ca="1">ROUND(IF(ISERROR(OFFSET(Bronzo!$A$1,MATCH(H12,Bronzo!$A:$A,0)-1,MATCH(I12,Bronzo!$A$1:$AA$1,0)-1)=TRUE),0,OFFSET(Bronzo!$A$1,MATCH(H12,Bronzo!$A:$A,0)-1,MATCH(I12,Bronzo!$A$1:$AA$1,0)-1)),4)</f>
        <v>0</v>
      </c>
      <c r="T12" s="446">
        <f t="shared" ca="1" si="0"/>
        <v>0</v>
      </c>
      <c r="U12" s="443"/>
      <c r="V12" s="446">
        <v>0</v>
      </c>
      <c r="W12" s="449">
        <f t="shared" ca="1" si="1"/>
        <v>1.25</v>
      </c>
      <c r="X12" s="452">
        <f t="shared" si="2"/>
        <v>147</v>
      </c>
      <c r="Y12" s="440">
        <v>4.4000000000000004</v>
      </c>
      <c r="Z12" s="440">
        <f t="shared" ca="1" si="3"/>
        <v>0.47</v>
      </c>
      <c r="AA12" s="241">
        <v>46157</v>
      </c>
      <c r="AF12" s="225">
        <f t="shared" ref="AF12:AF18" ca="1" si="25">TODAY()</f>
        <v>46156</v>
      </c>
      <c r="AG12" s="225" t="b">
        <f t="shared" ref="AG12:AG16" si="26">ISBLANK(AA12)</f>
        <v>0</v>
      </c>
      <c r="AH12" s="242">
        <f t="shared" ref="AH12:AH16" ca="1" si="27">IF(AG12=FALSE,_xlfn.DAYS(AA12,AF12),"")</f>
        <v>1</v>
      </c>
      <c r="AK12" s="223">
        <f t="shared" ref="AK12:AK16" si="28">WEEKNUM(AA12)</f>
        <v>20</v>
      </c>
      <c r="AL12" s="223">
        <f t="shared" ref="AL12:AL16" si="29">YEAR(AA12)</f>
        <v>2026</v>
      </c>
      <c r="AS12" s="223">
        <f t="shared" ref="AS12:AS16" si="30">IF(AA12="",0,MONTH(AA12))</f>
        <v>5</v>
      </c>
      <c r="AT12" s="223">
        <f t="shared" ref="AT12:AT16" si="31">IF(AA12="",0,YEAR(AA12))</f>
        <v>2026</v>
      </c>
    </row>
    <row r="13" spans="1:46" ht="15.75" x14ac:dyDescent="0.25">
      <c r="B13" s="229" t="s">
        <v>445</v>
      </c>
      <c r="C13" s="235" t="s">
        <v>260</v>
      </c>
      <c r="D13" s="243">
        <v>279</v>
      </c>
      <c r="E13" s="232" t="s">
        <v>4</v>
      </c>
      <c r="F13" s="435">
        <v>2.68</v>
      </c>
      <c r="G13" s="234">
        <v>46048</v>
      </c>
      <c r="H13" s="235" t="s">
        <v>19</v>
      </c>
      <c r="I13" s="235"/>
      <c r="J13" s="440">
        <v>0.05</v>
      </c>
      <c r="K13" s="443">
        <f ca="1">ROUND(IF(ISERROR(OFFSET(Tabella!$A$1,MATCH(H13,Tabella!$A:$A,0)-1,MATCH(J13,Tabella!$A$1:$AC$1,0)-1)=TRUE),0,+OFFSET(Tabella!$A$1,MATCH(H13,Tabella!$A:$A,0)-1,MATCH(J13,Tabella!$A$1:$AC$1,0)-1)),4)</f>
        <v>0</v>
      </c>
      <c r="L13" s="446">
        <f ca="1">ROUND(IF(ISERROR(OFFSET(Ottone!$A$1,MATCH(H13,Ottone!$A:$A,0)-1,MATCH(J13,Ottone!$A$1:$Z$1,0)-1)=TRUE),0,OFFSET(Ottone!$A$1,MATCH(H13,Ottone!$A:$A,0)-1,MATCH(J13,Ottone!$A$1:$Z$1,0)-1))*IF(E13="Ottone",1,0),4)</f>
        <v>0</v>
      </c>
      <c r="M13" s="446">
        <f ca="1">ROUND(IF(ISERROR(OFFSET(Rame!$A$1,MATCH(H13,Rame!$A:$A,0)-1,MATCH(J13,Rame!$A$1:$AA$1,0)-1)=TRUE),0,OFFSET(Rame!$A$1,MATCH(H13,Rame!$A:$A,0)-1,MATCH(J13,Rame!$A$1:$AA$1,0)-1))*IF(E13="Rame",1,0),4)</f>
        <v>0</v>
      </c>
      <c r="N13" s="446">
        <v>0</v>
      </c>
      <c r="O13" s="446">
        <v>1.55</v>
      </c>
      <c r="P13" s="446">
        <f ca="1">ROUND(+IF(ISERROR(OFFSET(Tabella!$G$1,MATCH(H13,Tabella!$G:$G,0)-1,MATCH(I13,Tabella!$G$1:$FG$1,0)-1)=TRUE),0,OFFSET(Tabella!$G$1,MATCH(H13,Tabella!$G:$G,0)-1,MATCH(I13,Tabella!$G$1:$AB$1,0)-1)),4)</f>
        <v>0</v>
      </c>
      <c r="Q13" s="446">
        <f ca="1">ROUND(IF(ISERROR(OFFSET(Ottone!$F$1,MATCH(H13,Ottone!$A:$A,0)-1,MATCH(I13,Ottone!$F$1:$FF$1,0)-1)=TRUE),0,OFFSET(Ottone!$F$1,MATCH(H13,Ottone!$A:$A,0)-1,MATCH(I13,Ottone!$F$1:$FF$1,0)-1))*IF(E13="Ottone",1,0),4)</f>
        <v>0</v>
      </c>
      <c r="R13" s="446">
        <f ca="1">ROUND(IF(ISERROR(OFFSET(Rame!$F$1,MATCH(H13,Rame!$F:$F,0)-1,MATCH(I13,Rame!$F$1:$FF$1,0)-1)=TRUE),0,OFFSET(Rame!$F$1,MATCH(H13,Rame!$F:$F,0)-1,MATCH(I13,Rame!$F$1:$FF$1,0)-1))*IF(E13="Rame",1,0),4)</f>
        <v>0</v>
      </c>
      <c r="S13" s="446">
        <f ca="1">ROUND(IF(ISERROR(OFFSET(Bronzo!$A$1,MATCH(H13,Bronzo!$A:$A,0)-1,MATCH(I13,Bronzo!$A$1:$AA$1,0)-1)=TRUE),0,OFFSET(Bronzo!$A$1,MATCH(H13,Bronzo!$A:$A,0)-1,MATCH(I13,Bronzo!$A$1:$AA$1,0)-1)),4)</f>
        <v>0</v>
      </c>
      <c r="T13" s="446">
        <f t="shared" ca="1" si="0"/>
        <v>0</v>
      </c>
      <c r="U13" s="443"/>
      <c r="V13" s="446">
        <v>0</v>
      </c>
      <c r="W13" s="449">
        <f t="shared" ca="1" si="1"/>
        <v>1.55</v>
      </c>
      <c r="X13" s="452">
        <f t="shared" si="2"/>
        <v>13.95</v>
      </c>
      <c r="Y13" s="440">
        <v>4</v>
      </c>
      <c r="Z13" s="440">
        <f t="shared" ca="1" si="3"/>
        <v>-0.23</v>
      </c>
      <c r="AA13" s="241">
        <v>46176</v>
      </c>
      <c r="AF13" s="225">
        <f t="shared" ca="1" si="25"/>
        <v>46156</v>
      </c>
      <c r="AG13" s="225" t="b">
        <f t="shared" si="26"/>
        <v>0</v>
      </c>
      <c r="AH13" s="242">
        <f t="shared" ca="1" si="27"/>
        <v>20</v>
      </c>
      <c r="AK13" s="223">
        <f t="shared" si="28"/>
        <v>23</v>
      </c>
      <c r="AL13" s="223">
        <f t="shared" si="29"/>
        <v>2026</v>
      </c>
      <c r="AS13" s="223">
        <f t="shared" si="30"/>
        <v>6</v>
      </c>
      <c r="AT13" s="223">
        <f t="shared" si="31"/>
        <v>2026</v>
      </c>
    </row>
    <row r="14" spans="1:46" ht="15.75" x14ac:dyDescent="0.25">
      <c r="B14" s="229" t="s">
        <v>446</v>
      </c>
      <c r="C14" s="235" t="s">
        <v>396</v>
      </c>
      <c r="D14" s="243">
        <v>1000</v>
      </c>
      <c r="E14" s="232" t="s">
        <v>4</v>
      </c>
      <c r="F14" s="435">
        <v>2.68</v>
      </c>
      <c r="G14" s="234">
        <v>46048</v>
      </c>
      <c r="H14" s="235" t="s">
        <v>28</v>
      </c>
      <c r="I14" s="235"/>
      <c r="J14" s="440">
        <v>7.0000000000000007E-2</v>
      </c>
      <c r="K14" s="443">
        <f ca="1">ROUND(IF(ISERROR(OFFSET(Tabella!$A$1,MATCH(H14,Tabella!$A:$A,0)-1,MATCH(J14,Tabella!$A$1:$AC$1,0)-1)=TRUE),0,+OFFSET(Tabella!$A$1,MATCH(H14,Tabella!$A:$A,0)-1,MATCH(J14,Tabella!$A$1:$AC$1,0)-1)),4)</f>
        <v>1.25</v>
      </c>
      <c r="L14" s="446">
        <f ca="1">ROUND(IF(ISERROR(OFFSET(Ottone!$A$1,MATCH(H14,Ottone!$A:$A,0)-1,MATCH(J14,Ottone!$A$1:$Z$1,0)-1)=TRUE),0,OFFSET(Ottone!$A$1,MATCH(H14,Ottone!$A:$A,0)-1,MATCH(J14,Ottone!$A$1:$Z$1,0)-1))*IF(E14="Ottone",1,0),4)</f>
        <v>0</v>
      </c>
      <c r="M14" s="446">
        <f ca="1">ROUND(IF(ISERROR(OFFSET(Rame!$A$1,MATCH(H14,Rame!$A:$A,0)-1,MATCH(J14,Rame!$A$1:$AA$1,0)-1)=TRUE),0,OFFSET(Rame!$A$1,MATCH(H14,Rame!$A:$A,0)-1,MATCH(J14,Rame!$A$1:$AA$1,0)-1))*IF(E14="Rame",1,0),4)</f>
        <v>0</v>
      </c>
      <c r="N14" s="446">
        <v>0</v>
      </c>
      <c r="O14" s="446">
        <f ca="1">ROUND(SUM(K14:N14),4)</f>
        <v>1.25</v>
      </c>
      <c r="P14" s="446">
        <f ca="1">ROUND(+IF(ISERROR(OFFSET(Tabella!$G$1,MATCH(H14,Tabella!$G:$G,0)-1,MATCH(I14,Tabella!$G$1:$FG$1,0)-1)=TRUE),0,OFFSET(Tabella!$G$1,MATCH(H14,Tabella!$G:$G,0)-1,MATCH(I14,Tabella!$G$1:$AB$1,0)-1)),4)</f>
        <v>0</v>
      </c>
      <c r="Q14" s="446">
        <f ca="1">ROUND(IF(ISERROR(OFFSET(Ottone!$F$1,MATCH(H14,Ottone!$A:$A,0)-1,MATCH(I14,Ottone!$F$1:$FF$1,0)-1)=TRUE),0,OFFSET(Ottone!$F$1,MATCH(H14,Ottone!$A:$A,0)-1,MATCH(I14,Ottone!$F$1:$FF$1,0)-1))*IF(E14="Ottone",1,0),4)</f>
        <v>0</v>
      </c>
      <c r="R14" s="446">
        <f ca="1">ROUND(IF(ISERROR(OFFSET(Rame!$F$1,MATCH(H14,Rame!$F:$F,0)-1,MATCH(I14,Rame!$F$1:$FF$1,0)-1)=TRUE),0,OFFSET(Rame!$F$1,MATCH(H14,Rame!$F:$F,0)-1,MATCH(I14,Rame!$F$1:$FF$1,0)-1))*IF(E14="Rame",1,0),4)</f>
        <v>0</v>
      </c>
      <c r="S14" s="446">
        <f ca="1">ROUND(IF(ISERROR(OFFSET(Bronzo!$A$1,MATCH(H14,Bronzo!$A:$A,0)-1,MATCH(I14,Bronzo!$A$1:$AA$1,0)-1)=TRUE),0,OFFSET(Bronzo!$A$1,MATCH(H14,Bronzo!$A:$A,0)-1,MATCH(I14,Bronzo!$A$1:$AA$1,0)-1)),4)</f>
        <v>0</v>
      </c>
      <c r="T14" s="446">
        <f t="shared" ca="1" si="0"/>
        <v>0</v>
      </c>
      <c r="U14" s="443"/>
      <c r="V14" s="446">
        <v>0</v>
      </c>
      <c r="W14" s="449">
        <f t="shared" ca="1" si="1"/>
        <v>1.25</v>
      </c>
      <c r="X14" s="452">
        <f t="shared" si="2"/>
        <v>70</v>
      </c>
      <c r="Y14" s="440">
        <v>4.4000000000000004</v>
      </c>
      <c r="Z14" s="440">
        <f t="shared" ca="1" si="3"/>
        <v>0.47</v>
      </c>
      <c r="AA14" s="241">
        <v>46238</v>
      </c>
      <c r="AF14" s="225">
        <f t="shared" ca="1" si="25"/>
        <v>46156</v>
      </c>
      <c r="AG14" s="225" t="b">
        <f t="shared" si="26"/>
        <v>0</v>
      </c>
      <c r="AH14" s="242">
        <f t="shared" ca="1" si="27"/>
        <v>82</v>
      </c>
      <c r="AK14" s="223">
        <f t="shared" si="28"/>
        <v>32</v>
      </c>
      <c r="AL14" s="223">
        <f t="shared" si="29"/>
        <v>2026</v>
      </c>
      <c r="AS14" s="223">
        <f t="shared" si="30"/>
        <v>8</v>
      </c>
      <c r="AT14" s="223">
        <f t="shared" si="31"/>
        <v>2026</v>
      </c>
    </row>
    <row r="15" spans="1:46" ht="15.75" x14ac:dyDescent="0.25">
      <c r="B15" s="229" t="s">
        <v>448</v>
      </c>
      <c r="C15" s="235" t="s">
        <v>396</v>
      </c>
      <c r="D15" s="243">
        <v>1000</v>
      </c>
      <c r="E15" s="232" t="s">
        <v>4</v>
      </c>
      <c r="F15" s="435">
        <v>2.68</v>
      </c>
      <c r="G15" s="234">
        <v>46048</v>
      </c>
      <c r="H15" s="235" t="s">
        <v>28</v>
      </c>
      <c r="I15" s="235"/>
      <c r="J15" s="440">
        <v>7.0000000000000007E-2</v>
      </c>
      <c r="K15" s="443">
        <f ca="1">ROUND(IF(ISERROR(OFFSET(Tabella!$A$1,MATCH(H15,Tabella!$A:$A,0)-1,MATCH(J15,Tabella!$A$1:$AC$1,0)-1)=TRUE),0,+OFFSET(Tabella!$A$1,MATCH(H15,Tabella!$A:$A,0)-1,MATCH(J15,Tabella!$A$1:$AC$1,0)-1)),4)</f>
        <v>1.25</v>
      </c>
      <c r="L15" s="446">
        <f ca="1">ROUND(IF(ISERROR(OFFSET(Ottone!$A$1,MATCH(H15,Ottone!$A:$A,0)-1,MATCH(J15,Ottone!$A$1:$Z$1,0)-1)=TRUE),0,OFFSET(Ottone!$A$1,MATCH(H15,Ottone!$A:$A,0)-1,MATCH(J15,Ottone!$A$1:$Z$1,0)-1))*IF(E15="Ottone",1,0),4)</f>
        <v>0</v>
      </c>
      <c r="M15" s="446">
        <f ca="1">ROUND(IF(ISERROR(OFFSET(Rame!$A$1,MATCH(H15,Rame!$A:$A,0)-1,MATCH(J15,Rame!$A$1:$AA$1,0)-1)=TRUE),0,OFFSET(Rame!$A$1,MATCH(H15,Rame!$A:$A,0)-1,MATCH(J15,Rame!$A$1:$AA$1,0)-1))*IF(E15="Rame",1,0),4)</f>
        <v>0</v>
      </c>
      <c r="N15" s="446">
        <v>0</v>
      </c>
      <c r="O15" s="446">
        <f ca="1">ROUND(SUM(K15:N15),4)</f>
        <v>1.25</v>
      </c>
      <c r="P15" s="446">
        <f ca="1">ROUND(+IF(ISERROR(OFFSET(Tabella!$G$1,MATCH(H15,Tabella!$G:$G,0)-1,MATCH(I15,Tabella!$G$1:$FG$1,0)-1)=TRUE),0,OFFSET(Tabella!$G$1,MATCH(H15,Tabella!$G:$G,0)-1,MATCH(I15,Tabella!$G$1:$AB$1,0)-1)),4)</f>
        <v>0</v>
      </c>
      <c r="Q15" s="446">
        <f ca="1">ROUND(IF(ISERROR(OFFSET(Ottone!$F$1,MATCH(H15,Ottone!$A:$A,0)-1,MATCH(I15,Ottone!$F$1:$FF$1,0)-1)=TRUE),0,OFFSET(Ottone!$F$1,MATCH(H15,Ottone!$A:$A,0)-1,MATCH(I15,Ottone!$F$1:$FF$1,0)-1))*IF(E15="Ottone",1,0),4)</f>
        <v>0</v>
      </c>
      <c r="R15" s="446">
        <f ca="1">ROUND(IF(ISERROR(OFFSET(Rame!$F$1,MATCH(H15,Rame!$F:$F,0)-1,MATCH(I15,Rame!$F$1:$FF$1,0)-1)=TRUE),0,OFFSET(Rame!$F$1,MATCH(H15,Rame!$F:$F,0)-1,MATCH(I15,Rame!$F$1:$FF$1,0)-1))*IF(E15="Rame",1,0),4)</f>
        <v>0</v>
      </c>
      <c r="S15" s="446">
        <f ca="1">ROUND(IF(ISERROR(OFFSET(Bronzo!$A$1,MATCH(H15,Bronzo!$A:$A,0)-1,MATCH(I15,Bronzo!$A$1:$AA$1,0)-1)=TRUE),0,OFFSET(Bronzo!$A$1,MATCH(H15,Bronzo!$A:$A,0)-1,MATCH(I15,Bronzo!$A$1:$AA$1,0)-1)),4)</f>
        <v>0</v>
      </c>
      <c r="T15" s="446">
        <f t="shared" ca="1" si="0"/>
        <v>0</v>
      </c>
      <c r="U15" s="443"/>
      <c r="V15" s="446">
        <v>0</v>
      </c>
      <c r="W15" s="449">
        <f t="shared" ca="1" si="1"/>
        <v>1.25</v>
      </c>
      <c r="X15" s="452">
        <f t="shared" si="2"/>
        <v>70</v>
      </c>
      <c r="Y15" s="440">
        <v>4.4000000000000004</v>
      </c>
      <c r="Z15" s="440">
        <f t="shared" ca="1" si="3"/>
        <v>0.47</v>
      </c>
      <c r="AA15" s="241">
        <v>46304</v>
      </c>
      <c r="AF15" s="225">
        <f t="shared" ca="1" si="25"/>
        <v>46156</v>
      </c>
      <c r="AG15" s="225" t="b">
        <f t="shared" si="26"/>
        <v>0</v>
      </c>
      <c r="AH15" s="242">
        <f t="shared" ca="1" si="27"/>
        <v>148</v>
      </c>
      <c r="AK15" s="223">
        <f t="shared" si="28"/>
        <v>41</v>
      </c>
      <c r="AL15" s="223">
        <f t="shared" si="29"/>
        <v>2026</v>
      </c>
      <c r="AS15" s="223">
        <f t="shared" si="30"/>
        <v>10</v>
      </c>
      <c r="AT15" s="223">
        <f t="shared" si="31"/>
        <v>2026</v>
      </c>
    </row>
    <row r="16" spans="1:46" ht="15.75" x14ac:dyDescent="0.25">
      <c r="B16" s="229" t="s">
        <v>449</v>
      </c>
      <c r="C16" s="235" t="s">
        <v>396</v>
      </c>
      <c r="D16" s="243">
        <v>1000</v>
      </c>
      <c r="E16" s="232" t="s">
        <v>4</v>
      </c>
      <c r="F16" s="435">
        <v>2.68</v>
      </c>
      <c r="G16" s="234">
        <v>46048</v>
      </c>
      <c r="H16" s="235" t="s">
        <v>28</v>
      </c>
      <c r="I16" s="235"/>
      <c r="J16" s="440">
        <v>7.0000000000000007E-2</v>
      </c>
      <c r="K16" s="443">
        <f ca="1">ROUND(IF(ISERROR(OFFSET(Tabella!$A$1,MATCH(H16,Tabella!$A:$A,0)-1,MATCH(J16,Tabella!$A$1:$AC$1,0)-1)=TRUE),0,+OFFSET(Tabella!$A$1,MATCH(H16,Tabella!$A:$A,0)-1,MATCH(J16,Tabella!$A$1:$AC$1,0)-1)),4)</f>
        <v>1.25</v>
      </c>
      <c r="L16" s="446">
        <f ca="1">ROUND(IF(ISERROR(OFFSET(Ottone!$A$1,MATCH(H16,Ottone!$A:$A,0)-1,MATCH(J16,Ottone!$A$1:$Z$1,0)-1)=TRUE),0,OFFSET(Ottone!$A$1,MATCH(H16,Ottone!$A:$A,0)-1,MATCH(J16,Ottone!$A$1:$Z$1,0)-1))*IF(E16="Ottone",1,0),4)</f>
        <v>0</v>
      </c>
      <c r="M16" s="446">
        <f ca="1">ROUND(IF(ISERROR(OFFSET(Rame!$A$1,MATCH(H16,Rame!$A:$A,0)-1,MATCH(J16,Rame!$A$1:$AA$1,0)-1)=TRUE),0,OFFSET(Rame!$A$1,MATCH(H16,Rame!$A:$A,0)-1,MATCH(J16,Rame!$A$1:$AA$1,0)-1))*IF(E16="Rame",1,0),4)</f>
        <v>0</v>
      </c>
      <c r="N16" s="446">
        <v>0</v>
      </c>
      <c r="O16" s="446">
        <f ca="1">ROUND(SUM(K16:N16),4)</f>
        <v>1.25</v>
      </c>
      <c r="P16" s="446">
        <f ca="1">ROUND(+IF(ISERROR(OFFSET(Tabella!$G$1,MATCH(H16,Tabella!$G:$G,0)-1,MATCH(I16,Tabella!$G$1:$FG$1,0)-1)=TRUE),0,OFFSET(Tabella!$G$1,MATCH(H16,Tabella!$G:$G,0)-1,MATCH(I16,Tabella!$G$1:$AB$1,0)-1)),4)</f>
        <v>0</v>
      </c>
      <c r="Q16" s="446">
        <f ca="1">ROUND(IF(ISERROR(OFFSET(Ottone!$F$1,MATCH(H16,Ottone!$A:$A,0)-1,MATCH(I16,Ottone!$F$1:$FF$1,0)-1)=TRUE),0,OFFSET(Ottone!$F$1,MATCH(H16,Ottone!$A:$A,0)-1,MATCH(I16,Ottone!$F$1:$FF$1,0)-1))*IF(E16="Ottone",1,0),4)</f>
        <v>0</v>
      </c>
      <c r="R16" s="446">
        <f ca="1">ROUND(IF(ISERROR(OFFSET(Rame!$F$1,MATCH(H16,Rame!$F:$F,0)-1,MATCH(I16,Rame!$F$1:$FF$1,0)-1)=TRUE),0,OFFSET(Rame!$F$1,MATCH(H16,Rame!$F:$F,0)-1,MATCH(I16,Rame!$F$1:$FF$1,0)-1))*IF(E16="Rame",1,0),4)</f>
        <v>0</v>
      </c>
      <c r="S16" s="446">
        <f ca="1">ROUND(IF(ISERROR(OFFSET(Bronzo!$A$1,MATCH(H16,Bronzo!$A:$A,0)-1,MATCH(I16,Bronzo!$A$1:$AA$1,0)-1)=TRUE),0,OFFSET(Bronzo!$A$1,MATCH(H16,Bronzo!$A:$A,0)-1,MATCH(I16,Bronzo!$A$1:$AA$1,0)-1)),4)</f>
        <v>0</v>
      </c>
      <c r="T16" s="446">
        <f t="shared" ca="1" si="0"/>
        <v>0</v>
      </c>
      <c r="U16" s="443"/>
      <c r="V16" s="446">
        <v>0</v>
      </c>
      <c r="W16" s="449">
        <f t="shared" ca="1" si="1"/>
        <v>1.25</v>
      </c>
      <c r="X16" s="452">
        <f t="shared" si="2"/>
        <v>70</v>
      </c>
      <c r="Y16" s="440">
        <v>4.4000000000000004</v>
      </c>
      <c r="Z16" s="440">
        <f t="shared" ca="1" si="3"/>
        <v>0.47</v>
      </c>
      <c r="AA16" s="241">
        <v>46269</v>
      </c>
      <c r="AF16" s="225">
        <f t="shared" ca="1" si="25"/>
        <v>46156</v>
      </c>
      <c r="AG16" s="225" t="b">
        <f t="shared" si="26"/>
        <v>0</v>
      </c>
      <c r="AH16" s="242">
        <f t="shared" ca="1" si="27"/>
        <v>113</v>
      </c>
      <c r="AK16" s="223">
        <f t="shared" si="28"/>
        <v>36</v>
      </c>
      <c r="AL16" s="223">
        <f t="shared" si="29"/>
        <v>2026</v>
      </c>
      <c r="AS16" s="223">
        <f t="shared" si="30"/>
        <v>9</v>
      </c>
      <c r="AT16" s="223">
        <f t="shared" si="31"/>
        <v>2026</v>
      </c>
    </row>
    <row r="17" spans="2:46" ht="15.75" x14ac:dyDescent="0.25">
      <c r="B17" s="229" t="s">
        <v>450</v>
      </c>
      <c r="C17" s="235" t="s">
        <v>396</v>
      </c>
      <c r="D17" s="243">
        <v>1000</v>
      </c>
      <c r="E17" s="232" t="s">
        <v>4</v>
      </c>
      <c r="F17" s="435">
        <v>2.68</v>
      </c>
      <c r="G17" s="234">
        <v>46048</v>
      </c>
      <c r="H17" s="235" t="s">
        <v>28</v>
      </c>
      <c r="I17" s="235"/>
      <c r="J17" s="440">
        <v>7.0000000000000007E-2</v>
      </c>
      <c r="K17" s="443">
        <f ca="1">ROUND(IF(ISERROR(OFFSET(Tabella!$A$1,MATCH(H17,Tabella!$A:$A,0)-1,MATCH(J17,Tabella!$A$1:$AC$1,0)-1)=TRUE),0,+OFFSET(Tabella!$A$1,MATCH(H17,Tabella!$A:$A,0)-1,MATCH(J17,Tabella!$A$1:$AC$1,0)-1)),4)</f>
        <v>1.25</v>
      </c>
      <c r="L17" s="446">
        <f ca="1">ROUND(IF(ISERROR(OFFSET(Ottone!$A$1,MATCH(H17,Ottone!$A:$A,0)-1,MATCH(J17,Ottone!$A$1:$Z$1,0)-1)=TRUE),0,OFFSET(Ottone!$A$1,MATCH(H17,Ottone!$A:$A,0)-1,MATCH(J17,Ottone!$A$1:$Z$1,0)-1))*IF(E17="Ottone",1,0),4)</f>
        <v>0</v>
      </c>
      <c r="M17" s="446">
        <f ca="1">ROUND(IF(ISERROR(OFFSET(Rame!$A$1,MATCH(H17,Rame!$A:$A,0)-1,MATCH(J17,Rame!$A$1:$AA$1,0)-1)=TRUE),0,OFFSET(Rame!$A$1,MATCH(H17,Rame!$A:$A,0)-1,MATCH(J17,Rame!$A$1:$AA$1,0)-1))*IF(E17="Rame",1,0),4)</f>
        <v>0</v>
      </c>
      <c r="N17" s="446">
        <v>0</v>
      </c>
      <c r="O17" s="446">
        <f ca="1">ROUND(SUM(K17:N17),4)</f>
        <v>1.25</v>
      </c>
      <c r="P17" s="446">
        <f ca="1">ROUND(+IF(ISERROR(OFFSET(Tabella!$G$1,MATCH(H17,Tabella!$G:$G,0)-1,MATCH(I17,Tabella!$G$1:$FG$1,0)-1)=TRUE),0,OFFSET(Tabella!$G$1,MATCH(H17,Tabella!$G:$G,0)-1,MATCH(I17,Tabella!$G$1:$AB$1,0)-1)),4)</f>
        <v>0</v>
      </c>
      <c r="Q17" s="446">
        <f ca="1">ROUND(IF(ISERROR(OFFSET(Ottone!$F$1,MATCH(H17,Ottone!$A:$A,0)-1,MATCH(I17,Ottone!$F$1:$FF$1,0)-1)=TRUE),0,OFFSET(Ottone!$F$1,MATCH(H17,Ottone!$A:$A,0)-1,MATCH(I17,Ottone!$F$1:$FF$1,0)-1))*IF(E17="Ottone",1,0),4)</f>
        <v>0</v>
      </c>
      <c r="R17" s="446">
        <f ca="1">ROUND(IF(ISERROR(OFFSET(Rame!$F$1,MATCH(H17,Rame!$F:$F,0)-1,MATCH(I17,Rame!$F$1:$FF$1,0)-1)=TRUE),0,OFFSET(Rame!$F$1,MATCH(H17,Rame!$F:$F,0)-1,MATCH(I17,Rame!$F$1:$FF$1,0)-1))*IF(E17="Rame",1,0),4)</f>
        <v>0</v>
      </c>
      <c r="S17" s="446">
        <f ca="1">ROUND(IF(ISERROR(OFFSET(Bronzo!$A$1,MATCH(H17,Bronzo!$A:$A,0)-1,MATCH(I17,Bronzo!$A$1:$AA$1,0)-1)=TRUE),0,OFFSET(Bronzo!$A$1,MATCH(H17,Bronzo!$A:$A,0)-1,MATCH(I17,Bronzo!$A$1:$AA$1,0)-1)),4)</f>
        <v>0</v>
      </c>
      <c r="T17" s="446">
        <f t="shared" ca="1" si="0"/>
        <v>0</v>
      </c>
      <c r="U17" s="443"/>
      <c r="V17" s="446">
        <v>0</v>
      </c>
      <c r="W17" s="449">
        <f t="shared" ca="1" si="1"/>
        <v>1.25</v>
      </c>
      <c r="X17" s="452">
        <f t="shared" si="2"/>
        <v>70</v>
      </c>
      <c r="Y17" s="440">
        <v>4.4000000000000004</v>
      </c>
      <c r="Z17" s="440">
        <f t="shared" ca="1" si="3"/>
        <v>0.47</v>
      </c>
      <c r="AA17" s="241">
        <v>46192</v>
      </c>
      <c r="AF17" s="225">
        <f t="shared" ca="1" si="25"/>
        <v>46156</v>
      </c>
      <c r="AG17" s="225" t="b">
        <f t="shared" ref="AG17:AG21" si="32">ISBLANK(AA17)</f>
        <v>0</v>
      </c>
      <c r="AH17" s="242">
        <f t="shared" ref="AH17:AH20" ca="1" si="33">IF(AG17=FALSE,_xlfn.DAYS(AA17,AF17),"")</f>
        <v>36</v>
      </c>
      <c r="AK17" s="223">
        <f t="shared" ref="AK17:AK21" si="34">WEEKNUM(AA17)</f>
        <v>25</v>
      </c>
      <c r="AL17" s="223">
        <f t="shared" ref="AL17:AL21" si="35">YEAR(AA17)</f>
        <v>2026</v>
      </c>
      <c r="AS17" s="223">
        <f t="shared" ref="AS17" si="36">IF(AA17="",0,MONTH(AA17))</f>
        <v>6</v>
      </c>
      <c r="AT17" s="223">
        <f t="shared" ref="AT17" si="37">IF(AA17="",0,YEAR(AA17))</f>
        <v>2026</v>
      </c>
    </row>
    <row r="18" spans="2:46" ht="15.75" x14ac:dyDescent="0.25">
      <c r="B18" s="229" t="s">
        <v>523</v>
      </c>
      <c r="C18" s="244" t="s">
        <v>212</v>
      </c>
      <c r="D18" s="245">
        <v>394</v>
      </c>
      <c r="E18" s="232" t="s">
        <v>6</v>
      </c>
      <c r="F18" s="437">
        <v>10.88</v>
      </c>
      <c r="G18" s="234">
        <v>46050</v>
      </c>
      <c r="H18" s="235" t="s">
        <v>14</v>
      </c>
      <c r="I18" s="235"/>
      <c r="J18" s="440">
        <v>0.1</v>
      </c>
      <c r="K18" s="443">
        <f ca="1">ROUND(IF(ISERROR(OFFSET(Tabella!$A$1,MATCH(H18,Tabella!$A:$A,0)-1,MATCH(J18,Tabella!$A$1:$AC$1,0)-1)=TRUE),0,+OFFSET(Tabella!$A$1,MATCH(H18,Tabella!$A:$A,0)-1,MATCH(J18,Tabella!$A$1:$AC$1,0)-1)),4)</f>
        <v>0</v>
      </c>
      <c r="L18" s="446">
        <f ca="1">ROUND(IF(ISERROR(OFFSET(Ottone!$A$1,MATCH(H18,Ottone!$A:$A,0)-1,MATCH(J18,Ottone!$A$1:$Z$1,0)-1)=TRUE),0,OFFSET(Ottone!$A$1,MATCH(H18,Ottone!$A:$A,0)-1,MATCH(J18,Ottone!$A$1:$Z$1,0)-1))*IF(E18="Ottone",1,0),4)</f>
        <v>0</v>
      </c>
      <c r="M18" s="446">
        <f ca="1">ROUND(IF(ISERROR(OFFSET(Rame!$A$1,MATCH(H18,Rame!$A:$A,0)-1,MATCH(J18,Rame!$A$1:$AA$1,0)-1)=TRUE),0,OFFSET(Rame!$A$1,MATCH(H18,Rame!$A:$A,0)-1,MATCH(J18,Rame!$A$1:$AA$1,0)-1))*IF(E18="Rame",1,0),4)</f>
        <v>0.95</v>
      </c>
      <c r="N18" s="446">
        <v>0</v>
      </c>
      <c r="O18" s="446">
        <f ca="1">ROUND(SUM(K18:N18),4)</f>
        <v>0.95</v>
      </c>
      <c r="P18" s="446">
        <f ca="1">ROUND(+IF(ISERROR(OFFSET(Tabella!$G$1,MATCH(H18,Tabella!$G:$G,0)-1,MATCH(I18,Tabella!$G$1:$FG$1,0)-1)=TRUE),0,OFFSET(Tabella!$G$1,MATCH(H18,Tabella!$G:$G,0)-1,MATCH(I18,Tabella!$G$1:$AB$1,0)-1)),4)</f>
        <v>0</v>
      </c>
      <c r="Q18" s="446">
        <f ca="1">ROUND(IF(ISERROR(OFFSET(Ottone!$F$1,MATCH(H18,Ottone!$A:$A,0)-1,MATCH(I18,Ottone!$F$1:$FF$1,0)-1)=TRUE),0,OFFSET(Ottone!$F$1,MATCH(H18,Ottone!$A:$A,0)-1,MATCH(I18,Ottone!$F$1:$FF$1,0)-1))*IF(E18="Ottone",1,0),4)</f>
        <v>0</v>
      </c>
      <c r="R18" s="446">
        <f ca="1">ROUND(IF(ISERROR(OFFSET(Rame!$F$1,MATCH(H18,Rame!$F:$F,0)-1,MATCH(I18,Rame!$F$1:$FF$1,0)-1)=TRUE),0,OFFSET(Rame!$F$1,MATCH(H18,Rame!$F:$F,0)-1,MATCH(I18,Rame!$F$1:$FF$1,0)-1))*IF(E18="Rame",1,0),4)</f>
        <v>0</v>
      </c>
      <c r="S18" s="446">
        <f ca="1">ROUND(IF(ISERROR(OFFSET(Bronzo!$A$1,MATCH(H18,Bronzo!$A:$A,0)-1,MATCH(I18,Bronzo!$A$1:$AA$1,0)-1)=TRUE),0,OFFSET(Bronzo!$A$1,MATCH(H18,Bronzo!$A:$A,0)-1,MATCH(I18,Bronzo!$A$1:$AA$1,0)-1)),4)</f>
        <v>0</v>
      </c>
      <c r="T18" s="446">
        <f t="shared" ca="1" si="0"/>
        <v>0</v>
      </c>
      <c r="U18" s="443"/>
      <c r="V18" s="446">
        <v>0</v>
      </c>
      <c r="W18" s="449">
        <f t="shared" ca="1" si="1"/>
        <v>0.95</v>
      </c>
      <c r="X18" s="454">
        <f t="shared" si="2"/>
        <v>39.4</v>
      </c>
      <c r="Y18" s="459">
        <v>14.28</v>
      </c>
      <c r="Z18" s="440">
        <f t="shared" ca="1" si="3"/>
        <v>2.4500000000000002</v>
      </c>
      <c r="AA18" s="241"/>
      <c r="AD18" s="223" t="s">
        <v>403</v>
      </c>
      <c r="AF18" s="225">
        <f t="shared" ca="1" si="25"/>
        <v>46156</v>
      </c>
      <c r="AG18" s="225" t="b">
        <f t="shared" si="32"/>
        <v>1</v>
      </c>
      <c r="AH18" s="242" t="str">
        <f t="shared" si="33"/>
        <v/>
      </c>
      <c r="AK18" s="223">
        <f t="shared" si="34"/>
        <v>0</v>
      </c>
      <c r="AL18" s="223">
        <f t="shared" si="35"/>
        <v>1900</v>
      </c>
      <c r="AS18" s="223">
        <f t="shared" ref="AS18:AS21" si="38">IF(AA18="",0,MONTH(AA18))</f>
        <v>0</v>
      </c>
      <c r="AT18" s="223">
        <f t="shared" ref="AT18:AT21" si="39">IF(AA18="",0,YEAR(AA18))</f>
        <v>0</v>
      </c>
    </row>
    <row r="19" spans="2:46" ht="15.75" x14ac:dyDescent="0.25">
      <c r="B19" s="229" t="s">
        <v>483</v>
      </c>
      <c r="C19" s="230" t="s">
        <v>212</v>
      </c>
      <c r="D19" s="231">
        <v>900</v>
      </c>
      <c r="E19" s="232" t="s">
        <v>4</v>
      </c>
      <c r="F19" s="435">
        <v>2.48</v>
      </c>
      <c r="G19" s="234">
        <v>46052</v>
      </c>
      <c r="H19" s="235" t="s">
        <v>21</v>
      </c>
      <c r="I19" s="235"/>
      <c r="J19" s="440">
        <v>0.05</v>
      </c>
      <c r="K19" s="443">
        <f ca="1">ROUND(IF(ISERROR(OFFSET(Tabella!$A$1,MATCH(H19,Tabella!$A:$A,0)-1,MATCH(J19,Tabella!$A$1:$AC$1,0)-1)=TRUE),0,+OFFSET(Tabella!$A$1,MATCH(H19,Tabella!$A:$A,0)-1,MATCH(J19,Tabella!$A$1:$AC$1,0)-1)),4)</f>
        <v>0</v>
      </c>
      <c r="L19" s="446">
        <f ca="1">ROUND(IF(ISERROR(OFFSET(Ottone!$A$1,MATCH(H19,Ottone!$A:$A,0)-1,MATCH(J19,Ottone!$A$1:$Z$1,0)-1)=TRUE),0,OFFSET(Ottone!$A$1,MATCH(H19,Ottone!$A:$A,0)-1,MATCH(J19,Ottone!$A$1:$Z$1,0)-1))*IF(E19="Ottone",1,0),4)</f>
        <v>0</v>
      </c>
      <c r="M19" s="446">
        <f ca="1">ROUND(IF(ISERROR(OFFSET(Rame!$A$1,MATCH(H19,Rame!$A:$A,0)-1,MATCH(J19,Rame!$A$1:$AA$1,0)-1)=TRUE),0,OFFSET(Rame!$A$1,MATCH(H19,Rame!$A:$A,0)-1,MATCH(J19,Rame!$A$1:$AA$1,0)-1))*IF(E19="Rame",1,0),4)</f>
        <v>0</v>
      </c>
      <c r="N19" s="446">
        <v>0</v>
      </c>
      <c r="O19" s="446">
        <v>1.47</v>
      </c>
      <c r="P19" s="446">
        <f ca="1">ROUND(+IF(ISERROR(OFFSET(Tabella!$G$1,MATCH(H19,Tabella!$G:$G,0)-1,MATCH(I19,Tabella!$G$1:$FG$1,0)-1)=TRUE),0,OFFSET(Tabella!$G$1,MATCH(H19,Tabella!$G:$G,0)-1,MATCH(I19,Tabella!$G$1:$AB$1,0)-1)),4)</f>
        <v>0</v>
      </c>
      <c r="Q19" s="446">
        <f ca="1">ROUND(IF(ISERROR(OFFSET(Ottone!$F$1,MATCH(H19,Ottone!$A:$A,0)-1,MATCH(I19,Ottone!$F$1:$FF$1,0)-1)=TRUE),0,OFFSET(Ottone!$F$1,MATCH(H19,Ottone!$A:$A,0)-1,MATCH(I19,Ottone!$F$1:$FF$1,0)-1))*IF(E19="Ottone",1,0),4)</f>
        <v>0</v>
      </c>
      <c r="R19" s="446">
        <f ca="1">ROUND(IF(ISERROR(OFFSET(Rame!$F$1,MATCH(H19,Rame!$F:$F,0)-1,MATCH(I19,Rame!$F$1:$FF$1,0)-1)=TRUE),0,OFFSET(Rame!$F$1,MATCH(H19,Rame!$F:$F,0)-1,MATCH(I19,Rame!$F$1:$FF$1,0)-1))*IF(E19="Rame",1,0),4)</f>
        <v>0</v>
      </c>
      <c r="S19" s="446">
        <f ca="1">ROUND(IF(ISERROR(OFFSET(Bronzo!$A$1,MATCH(H19,Bronzo!$A:$A,0)-1,MATCH(I19,Bronzo!$A$1:$AA$1,0)-1)=TRUE),0,OFFSET(Bronzo!$A$1,MATCH(H19,Bronzo!$A:$A,0)-1,MATCH(I19,Bronzo!$A$1:$AA$1,0)-1)),4)</f>
        <v>0</v>
      </c>
      <c r="T19" s="446">
        <f t="shared" ca="1" si="0"/>
        <v>0</v>
      </c>
      <c r="U19" s="443"/>
      <c r="V19" s="446">
        <v>0</v>
      </c>
      <c r="W19" s="449">
        <f t="shared" ca="1" si="1"/>
        <v>1.47</v>
      </c>
      <c r="X19" s="452">
        <f t="shared" si="2"/>
        <v>45</v>
      </c>
      <c r="Y19" s="440">
        <v>3.95</v>
      </c>
      <c r="Z19" s="440">
        <f t="shared" ca="1" si="3"/>
        <v>0</v>
      </c>
      <c r="AA19" s="241"/>
      <c r="AE19" s="223" t="s">
        <v>417</v>
      </c>
      <c r="AF19" s="225">
        <f t="shared" ref="AF19:AF20" ca="1" si="40">TODAY()</f>
        <v>46156</v>
      </c>
      <c r="AG19" s="225" t="b">
        <f t="shared" si="32"/>
        <v>1</v>
      </c>
      <c r="AH19" s="242" t="str">
        <f t="shared" si="33"/>
        <v/>
      </c>
      <c r="AK19" s="223">
        <f t="shared" si="34"/>
        <v>0</v>
      </c>
      <c r="AL19" s="223">
        <f t="shared" si="35"/>
        <v>1900</v>
      </c>
      <c r="AS19" s="223">
        <f t="shared" si="38"/>
        <v>0</v>
      </c>
      <c r="AT19" s="223">
        <f t="shared" si="39"/>
        <v>0</v>
      </c>
    </row>
    <row r="20" spans="2:46" ht="15.75" x14ac:dyDescent="0.25">
      <c r="B20" s="229" t="s">
        <v>450</v>
      </c>
      <c r="C20" s="235" t="s">
        <v>396</v>
      </c>
      <c r="D20" s="243">
        <v>600</v>
      </c>
      <c r="E20" s="232" t="s">
        <v>4</v>
      </c>
      <c r="F20" s="435">
        <v>2.65</v>
      </c>
      <c r="G20" s="234">
        <v>46052</v>
      </c>
      <c r="H20" s="235" t="s">
        <v>13</v>
      </c>
      <c r="I20" s="235"/>
      <c r="J20" s="440">
        <v>7.0000000000000007E-2</v>
      </c>
      <c r="K20" s="443">
        <f ca="1">ROUND(IF(ISERROR(OFFSET(Tabella!$A$1,MATCH(H20,Tabella!$A:$A,0)-1,MATCH(J20,Tabella!$A$1:$AC$1,0)-1)=TRUE),0,+OFFSET(Tabella!$A$1,MATCH(H20,Tabella!$A:$A,0)-1,MATCH(J20,Tabella!$A$1:$AC$1,0)-1)),4)</f>
        <v>1.4</v>
      </c>
      <c r="L20" s="446">
        <f ca="1">ROUND(IF(ISERROR(OFFSET(Ottone!$A$1,MATCH(H20,Ottone!$A:$A,0)-1,MATCH(J20,Ottone!$A$1:$Z$1,0)-1)=TRUE),0,OFFSET(Ottone!$A$1,MATCH(H20,Ottone!$A:$A,0)-1,MATCH(J20,Ottone!$A$1:$Z$1,0)-1))*IF(E20="Ottone",1,0),4)</f>
        <v>0</v>
      </c>
      <c r="M20" s="446">
        <f ca="1">ROUND(IF(ISERROR(OFFSET(Rame!$A$1,MATCH(H20,Rame!$A:$A,0)-1,MATCH(J20,Rame!$A$1:$AA$1,0)-1)=TRUE),0,OFFSET(Rame!$A$1,MATCH(H20,Rame!$A:$A,0)-1,MATCH(J20,Rame!$A$1:$AA$1,0)-1))*IF(E20="Rame",1,0),4)</f>
        <v>0</v>
      </c>
      <c r="N20" s="446">
        <v>0</v>
      </c>
      <c r="O20" s="446">
        <f ca="1">ROUND(SUM(K20:N20),4)</f>
        <v>1.4</v>
      </c>
      <c r="P20" s="446">
        <f ca="1">ROUND(+IF(ISERROR(OFFSET(Tabella!$G$1,MATCH(H20,Tabella!$G:$G,0)-1,MATCH(I20,Tabella!$G$1:$FG$1,0)-1)=TRUE),0,OFFSET(Tabella!$G$1,MATCH(H20,Tabella!$G:$G,0)-1,MATCH(I20,Tabella!$G$1:$AB$1,0)-1)),4)</f>
        <v>0</v>
      </c>
      <c r="Q20" s="446">
        <f ca="1">ROUND(IF(ISERROR(OFFSET(Ottone!$F$1,MATCH(H20,Ottone!$A:$A,0)-1,MATCH(I20,Ottone!$F$1:$FF$1,0)-1)=TRUE),0,OFFSET(Ottone!$F$1,MATCH(H20,Ottone!$A:$A,0)-1,MATCH(I20,Ottone!$F$1:$FF$1,0)-1))*IF(E20="Ottone",1,0),4)</f>
        <v>0</v>
      </c>
      <c r="R20" s="446">
        <f ca="1">ROUND(IF(ISERROR(OFFSET(Rame!$F$1,MATCH(H20,Rame!$F:$F,0)-1,MATCH(I20,Rame!$F$1:$FF$1,0)-1)=TRUE),0,OFFSET(Rame!$F$1,MATCH(H20,Rame!$F:$F,0)-1,MATCH(I20,Rame!$F$1:$FF$1,0)-1))*IF(E20="Rame",1,0),4)</f>
        <v>0</v>
      </c>
      <c r="S20" s="446">
        <f ca="1">ROUND(IF(ISERROR(OFFSET(Bronzo!$A$1,MATCH(H20,Bronzo!$A:$A,0)-1,MATCH(I20,Bronzo!$A$1:$AA$1,0)-1)=TRUE),0,OFFSET(Bronzo!$A$1,MATCH(H20,Bronzo!$A:$A,0)-1,MATCH(I20,Bronzo!$A$1:$AA$1,0)-1)),4)</f>
        <v>0</v>
      </c>
      <c r="T20" s="446">
        <f t="shared" ca="1" si="0"/>
        <v>0</v>
      </c>
      <c r="U20" s="443"/>
      <c r="V20" s="446">
        <v>0</v>
      </c>
      <c r="W20" s="449">
        <f t="shared" ca="1" si="1"/>
        <v>1.4</v>
      </c>
      <c r="X20" s="452">
        <f t="shared" si="2"/>
        <v>42</v>
      </c>
      <c r="Y20" s="440">
        <v>4.55</v>
      </c>
      <c r="Z20" s="440">
        <f t="shared" ca="1" si="3"/>
        <v>0.5</v>
      </c>
      <c r="AA20" s="241">
        <v>46192</v>
      </c>
      <c r="AF20" s="225">
        <f t="shared" ca="1" si="40"/>
        <v>46156</v>
      </c>
      <c r="AG20" s="225" t="b">
        <f t="shared" si="32"/>
        <v>0</v>
      </c>
      <c r="AH20" s="242">
        <f t="shared" ca="1" si="33"/>
        <v>36</v>
      </c>
      <c r="AK20" s="223">
        <f t="shared" si="34"/>
        <v>25</v>
      </c>
      <c r="AL20" s="223">
        <f t="shared" si="35"/>
        <v>2026</v>
      </c>
      <c r="AS20" s="223">
        <f t="shared" si="38"/>
        <v>6</v>
      </c>
      <c r="AT20" s="223">
        <f t="shared" si="39"/>
        <v>2026</v>
      </c>
    </row>
    <row r="21" spans="2:46" ht="15.75" x14ac:dyDescent="0.25">
      <c r="B21" s="229" t="s">
        <v>450</v>
      </c>
      <c r="C21" s="235" t="s">
        <v>396</v>
      </c>
      <c r="D21" s="243">
        <v>500</v>
      </c>
      <c r="E21" s="232" t="s">
        <v>4</v>
      </c>
      <c r="F21" s="435">
        <v>2.6</v>
      </c>
      <c r="G21" s="234">
        <v>46052</v>
      </c>
      <c r="H21" s="235" t="s">
        <v>13</v>
      </c>
      <c r="I21" s="235"/>
      <c r="J21" s="440">
        <v>7.0000000000000007E-2</v>
      </c>
      <c r="K21" s="443"/>
      <c r="L21" s="446"/>
      <c r="M21" s="446"/>
      <c r="N21" s="446"/>
      <c r="O21" s="446">
        <v>1.5</v>
      </c>
      <c r="P21" s="446"/>
      <c r="Q21" s="446"/>
      <c r="R21" s="446"/>
      <c r="S21" s="446"/>
      <c r="T21" s="446"/>
      <c r="U21" s="443"/>
      <c r="V21" s="446"/>
      <c r="W21" s="449">
        <v>1.5</v>
      </c>
      <c r="X21" s="452">
        <f t="shared" si="2"/>
        <v>35</v>
      </c>
      <c r="Y21" s="440">
        <v>4.47</v>
      </c>
      <c r="Z21" s="440"/>
      <c r="AA21" s="241">
        <v>46192</v>
      </c>
      <c r="AG21" s="225" t="b">
        <f t="shared" si="32"/>
        <v>0</v>
      </c>
      <c r="AH21" s="242"/>
      <c r="AK21" s="223">
        <f t="shared" si="34"/>
        <v>25</v>
      </c>
      <c r="AL21" s="223">
        <f t="shared" si="35"/>
        <v>2026</v>
      </c>
      <c r="AS21" s="223">
        <f t="shared" si="38"/>
        <v>6</v>
      </c>
      <c r="AT21" s="223">
        <f t="shared" si="39"/>
        <v>2026</v>
      </c>
    </row>
    <row r="22" spans="2:46" ht="15.75" x14ac:dyDescent="0.25">
      <c r="B22" s="229" t="s">
        <v>450</v>
      </c>
      <c r="C22" s="235" t="s">
        <v>396</v>
      </c>
      <c r="D22" s="243">
        <v>1800</v>
      </c>
      <c r="E22" s="232" t="s">
        <v>4</v>
      </c>
      <c r="F22" s="435">
        <v>2.62</v>
      </c>
      <c r="G22" s="234">
        <v>46052</v>
      </c>
      <c r="H22" s="235" t="s">
        <v>28</v>
      </c>
      <c r="I22" s="235"/>
      <c r="J22" s="440">
        <v>7.0000000000000007E-2</v>
      </c>
      <c r="K22" s="443"/>
      <c r="L22" s="446"/>
      <c r="M22" s="446"/>
      <c r="N22" s="446"/>
      <c r="O22" s="446">
        <v>1.5</v>
      </c>
      <c r="P22" s="446"/>
      <c r="Q22" s="446"/>
      <c r="R22" s="446"/>
      <c r="S22" s="446"/>
      <c r="T22" s="446"/>
      <c r="U22" s="443"/>
      <c r="V22" s="446"/>
      <c r="W22" s="449">
        <v>1.5</v>
      </c>
      <c r="X22" s="452">
        <f t="shared" si="2"/>
        <v>126</v>
      </c>
      <c r="Y22" s="440">
        <v>4.55</v>
      </c>
      <c r="Z22" s="440"/>
      <c r="AA22" s="241">
        <v>46192</v>
      </c>
      <c r="AG22" s="225" t="b">
        <f t="shared" ref="AG22:AG30" si="41">ISBLANK(AA22)</f>
        <v>0</v>
      </c>
      <c r="AH22" s="242"/>
      <c r="AK22" s="223">
        <f t="shared" ref="AK22:AK30" si="42">WEEKNUM(AA22)</f>
        <v>25</v>
      </c>
      <c r="AL22" s="223">
        <f t="shared" ref="AL22:AL30" si="43">YEAR(AA22)</f>
        <v>2026</v>
      </c>
      <c r="AS22" s="223">
        <f t="shared" ref="AS22:AS31" si="44">IF(AA22="",0,MONTH(AA22))</f>
        <v>6</v>
      </c>
      <c r="AT22" s="223">
        <f t="shared" ref="AT22:AT31" si="45">IF(AA22="",0,YEAR(AA22))</f>
        <v>2026</v>
      </c>
    </row>
    <row r="23" spans="2:46" ht="15.75" x14ac:dyDescent="0.25">
      <c r="B23" s="229" t="s">
        <v>455</v>
      </c>
      <c r="C23" s="235" t="s">
        <v>330</v>
      </c>
      <c r="D23" s="243">
        <v>500</v>
      </c>
      <c r="E23" s="232" t="s">
        <v>4</v>
      </c>
      <c r="F23" s="436">
        <v>1.6</v>
      </c>
      <c r="G23" s="234">
        <v>46057</v>
      </c>
      <c r="H23" s="235" t="s">
        <v>21</v>
      </c>
      <c r="I23" s="235"/>
      <c r="J23" s="440">
        <v>7.0000000000000007E-2</v>
      </c>
      <c r="K23" s="443">
        <f ca="1">ROUND(IF(ISERROR(OFFSET(Tabella!$A$1,MATCH(H23,Tabella!$A:$A,0)-1,MATCH(J23,Tabella!$A$1:$AC$1,0)-1)=TRUE),0,+OFFSET(Tabella!$A$1,MATCH(H23,Tabella!$A:$A,0)-1,MATCH(J23,Tabella!$A$1:$AC$1,0)-1)),4)</f>
        <v>1.25</v>
      </c>
      <c r="L23" s="446">
        <f ca="1">ROUND(IF(ISERROR(OFFSET(Ottone!$A$1,MATCH(H23,Ottone!$A:$A,0)-1,MATCH(J23,Ottone!$A$1:$Z$1,0)-1)=TRUE),0,OFFSET(Ottone!$A$1,MATCH(H23,Ottone!$A:$A,0)-1,MATCH(J23,Ottone!$A$1:$Z$1,0)-1))*IF(E23="Ottone",1,0),4)</f>
        <v>0</v>
      </c>
      <c r="M23" s="446">
        <f ca="1">ROUND(IF(ISERROR(OFFSET(Rame!$A$1,MATCH(H23,Rame!$A:$A,0)-1,MATCH(J23,Rame!$A$1:$AA$1,0)-1)=TRUE),0,OFFSET(Rame!$A$1,MATCH(H23,Rame!$A:$A,0)-1,MATCH(J23,Rame!$A$1:$AA$1,0)-1))*IF(E23="Rame",1,0),4)</f>
        <v>0</v>
      </c>
      <c r="N23" s="446">
        <v>0</v>
      </c>
      <c r="O23" s="446">
        <v>1.5</v>
      </c>
      <c r="P23" s="446">
        <f ca="1">ROUND(+IF(ISERROR(OFFSET(Tabella!$G$1,MATCH(H23,Tabella!$G:$G,0)-1,MATCH(I23,Tabella!$G$1:$FG$1,0)-1)=TRUE),0,OFFSET(Tabella!$G$1,MATCH(H23,Tabella!$G:$G,0)-1,MATCH(I23,Tabella!$G$1:$AB$1,0)-1)),4)</f>
        <v>0</v>
      </c>
      <c r="Q23" s="446">
        <f ca="1">ROUND(IF(ISERROR(OFFSET(Ottone!$F$1,MATCH(H23,Ottone!$A:$A,0)-1,MATCH(I23,Ottone!$F$1:$FF$1,0)-1)=TRUE),0,OFFSET(Ottone!$F$1,MATCH(H23,Ottone!$A:$A,0)-1,MATCH(I23,Ottone!$F$1:$FF$1,0)-1))*IF(E23="Ottone",1,0),4)</f>
        <v>0</v>
      </c>
      <c r="R23" s="446">
        <f ca="1">ROUND(IF(ISERROR(OFFSET(Rame!$F$1,MATCH(H23,Rame!$F:$F,0)-1,MATCH(I23,Rame!$F$1:$FF$1,0)-1)=TRUE),0,OFFSET(Rame!$F$1,MATCH(H23,Rame!$F:$F,0)-1,MATCH(I23,Rame!$F$1:$FF$1,0)-1))*IF(E23="Rame",1,0),4)</f>
        <v>0</v>
      </c>
      <c r="S23" s="446">
        <f ca="1">ROUND(IF(ISERROR(OFFSET(Bronzo!$A$1,MATCH(H23,Bronzo!$A:$A,0)-1,MATCH(I23,Bronzo!$A$1:$AA$1,0)-1)=TRUE),0,OFFSET(Bronzo!$A$1,MATCH(H23,Bronzo!$A:$A,0)-1,MATCH(I23,Bronzo!$A$1:$AA$1,0)-1)),4)</f>
        <v>0</v>
      </c>
      <c r="T23" s="446">
        <f t="shared" ref="T23:T86" ca="1" si="46">ROUND(SUM(P23:S23),4)</f>
        <v>0</v>
      </c>
      <c r="U23" s="443"/>
      <c r="V23" s="446">
        <v>0</v>
      </c>
      <c r="W23" s="449">
        <f t="shared" ref="W23:W86" ca="1" si="47">ROUND(+O23+T23+U23+V23,4)</f>
        <v>1.5</v>
      </c>
      <c r="X23" s="452">
        <f t="shared" si="2"/>
        <v>35</v>
      </c>
      <c r="Y23" s="458">
        <v>1.5</v>
      </c>
      <c r="Z23" s="440">
        <f t="shared" ref="Z23:Z86" ca="1" si="48">ROUND(+Y23-W23-F23,4)</f>
        <v>-1.6</v>
      </c>
      <c r="AA23" s="241">
        <v>46167</v>
      </c>
      <c r="AF23" s="225">
        <f t="shared" ref="AF23:AF33" ca="1" si="49">TODAY()</f>
        <v>46156</v>
      </c>
      <c r="AG23" s="225" t="b">
        <f t="shared" si="41"/>
        <v>0</v>
      </c>
      <c r="AH23" s="242">
        <f t="shared" ref="AH23:AH30" ca="1" si="50">IF(AG23=FALSE,_xlfn.DAYS(AA23,AF23),"")</f>
        <v>11</v>
      </c>
      <c r="AK23" s="223">
        <f t="shared" si="42"/>
        <v>22</v>
      </c>
      <c r="AL23" s="223">
        <f t="shared" si="43"/>
        <v>2026</v>
      </c>
      <c r="AS23" s="223">
        <f t="shared" si="44"/>
        <v>5</v>
      </c>
      <c r="AT23" s="223">
        <f t="shared" si="45"/>
        <v>2026</v>
      </c>
    </row>
    <row r="24" spans="2:46" ht="15.75" x14ac:dyDescent="0.25">
      <c r="B24" s="229" t="s">
        <v>455</v>
      </c>
      <c r="C24" s="235" t="s">
        <v>330</v>
      </c>
      <c r="D24" s="243">
        <v>2000</v>
      </c>
      <c r="E24" s="232" t="s">
        <v>4</v>
      </c>
      <c r="F24" s="436">
        <v>1.6</v>
      </c>
      <c r="G24" s="234">
        <v>46057</v>
      </c>
      <c r="H24" s="235" t="s">
        <v>24</v>
      </c>
      <c r="I24" s="235"/>
      <c r="J24" s="440">
        <v>7.0000000000000007E-2</v>
      </c>
      <c r="K24" s="443">
        <f ca="1">ROUND(IF(ISERROR(OFFSET(Tabella!$A$1,MATCH(H24,Tabella!$A:$A,0)-1,MATCH(J24,Tabella!$A$1:$AC$1,0)-1)=TRUE),0,+OFFSET(Tabella!$A$1,MATCH(H24,Tabella!$A:$A,0)-1,MATCH(J24,Tabella!$A$1:$AC$1,0)-1)),4)</f>
        <v>1.25</v>
      </c>
      <c r="L24" s="446">
        <f ca="1">ROUND(IF(ISERROR(OFFSET(Ottone!$A$1,MATCH(H24,Ottone!$A:$A,0)-1,MATCH(J24,Ottone!$A$1:$Z$1,0)-1)=TRUE),0,OFFSET(Ottone!$A$1,MATCH(H24,Ottone!$A:$A,0)-1,MATCH(J24,Ottone!$A$1:$Z$1,0)-1))*IF(E24="Ottone",1,0),4)</f>
        <v>0</v>
      </c>
      <c r="M24" s="446">
        <f ca="1">ROUND(IF(ISERROR(OFFSET(Rame!$A$1,MATCH(H24,Rame!$A:$A,0)-1,MATCH(J24,Rame!$A$1:$AA$1,0)-1)=TRUE),0,OFFSET(Rame!$A$1,MATCH(H24,Rame!$A:$A,0)-1,MATCH(J24,Rame!$A$1:$AA$1,0)-1))*IF(E24="Rame",1,0),4)</f>
        <v>0</v>
      </c>
      <c r="N24" s="446">
        <v>0</v>
      </c>
      <c r="O24" s="446">
        <v>1.5</v>
      </c>
      <c r="P24" s="446">
        <f ca="1">ROUND(+IF(ISERROR(OFFSET(Tabella!$G$1,MATCH(H24,Tabella!$G:$G,0)-1,MATCH(I24,Tabella!$G$1:$FG$1,0)-1)=TRUE),0,OFFSET(Tabella!$G$1,MATCH(H24,Tabella!$G:$G,0)-1,MATCH(I24,Tabella!$G$1:$AB$1,0)-1)),4)</f>
        <v>0</v>
      </c>
      <c r="Q24" s="446">
        <f ca="1">ROUND(IF(ISERROR(OFFSET(Ottone!$F$1,MATCH(H24,Ottone!$A:$A,0)-1,MATCH(I24,Ottone!$F$1:$FF$1,0)-1)=TRUE),0,OFFSET(Ottone!$F$1,MATCH(H24,Ottone!$A:$A,0)-1,MATCH(I24,Ottone!$F$1:$FF$1,0)-1))*IF(E24="Ottone",1,0),4)</f>
        <v>0</v>
      </c>
      <c r="R24" s="446">
        <f ca="1">ROUND(IF(ISERROR(OFFSET(Rame!$F$1,MATCH(H24,Rame!$F:$F,0)-1,MATCH(I24,Rame!$F$1:$FF$1,0)-1)=TRUE),0,OFFSET(Rame!$F$1,MATCH(H24,Rame!$F:$F,0)-1,MATCH(I24,Rame!$F$1:$FF$1,0)-1))*IF(E24="Rame",1,0),4)</f>
        <v>0</v>
      </c>
      <c r="S24" s="446">
        <f ca="1">ROUND(IF(ISERROR(OFFSET(Bronzo!$A$1,MATCH(H24,Bronzo!$A:$A,0)-1,MATCH(I24,Bronzo!$A$1:$AA$1,0)-1)=TRUE),0,OFFSET(Bronzo!$A$1,MATCH(H24,Bronzo!$A:$A,0)-1,MATCH(I24,Bronzo!$A$1:$AA$1,0)-1)),4)</f>
        <v>0</v>
      </c>
      <c r="T24" s="446">
        <f t="shared" ca="1" si="46"/>
        <v>0</v>
      </c>
      <c r="U24" s="443"/>
      <c r="V24" s="446">
        <v>0</v>
      </c>
      <c r="W24" s="449">
        <f t="shared" ca="1" si="47"/>
        <v>1.5</v>
      </c>
      <c r="X24" s="452">
        <f t="shared" si="2"/>
        <v>140</v>
      </c>
      <c r="Y24" s="458">
        <v>1.5</v>
      </c>
      <c r="Z24" s="440">
        <f t="shared" ca="1" si="48"/>
        <v>-1.6</v>
      </c>
      <c r="AA24" s="241">
        <v>46142</v>
      </c>
      <c r="AF24" s="225">
        <f t="shared" ca="1" si="49"/>
        <v>46156</v>
      </c>
      <c r="AG24" s="225" t="b">
        <f t="shared" si="41"/>
        <v>0</v>
      </c>
      <c r="AH24" s="242">
        <f t="shared" ca="1" si="50"/>
        <v>-14</v>
      </c>
      <c r="AK24" s="223">
        <f t="shared" si="42"/>
        <v>18</v>
      </c>
      <c r="AL24" s="223">
        <f t="shared" si="43"/>
        <v>2026</v>
      </c>
      <c r="AS24" s="223">
        <f t="shared" si="44"/>
        <v>4</v>
      </c>
      <c r="AT24" s="223">
        <f t="shared" si="45"/>
        <v>2026</v>
      </c>
    </row>
    <row r="25" spans="2:46" ht="15.75" x14ac:dyDescent="0.25">
      <c r="B25" s="229" t="s">
        <v>455</v>
      </c>
      <c r="C25" s="235" t="s">
        <v>330</v>
      </c>
      <c r="D25" s="243">
        <v>1800</v>
      </c>
      <c r="E25" s="232" t="s">
        <v>4</v>
      </c>
      <c r="F25" s="436">
        <v>1.6</v>
      </c>
      <c r="G25" s="234">
        <v>46057</v>
      </c>
      <c r="H25" s="235" t="s">
        <v>22</v>
      </c>
      <c r="I25" s="235"/>
      <c r="J25" s="440">
        <v>7.0000000000000007E-2</v>
      </c>
      <c r="K25" s="443">
        <f ca="1">ROUND(IF(ISERROR(OFFSET(Tabella!$A$1,MATCH(H25,Tabella!$A:$A,0)-1,MATCH(J25,Tabella!$A$1:$AC$1,0)-1)=TRUE),0,+OFFSET(Tabella!$A$1,MATCH(H25,Tabella!$A:$A,0)-1,MATCH(J25,Tabella!$A$1:$AC$1,0)-1)),4)</f>
        <v>1.25</v>
      </c>
      <c r="L25" s="446">
        <f ca="1">ROUND(IF(ISERROR(OFFSET(Ottone!$A$1,MATCH(H25,Ottone!$A:$A,0)-1,MATCH(J25,Ottone!$A$1:$Z$1,0)-1)=TRUE),0,OFFSET(Ottone!$A$1,MATCH(H25,Ottone!$A:$A,0)-1,MATCH(J25,Ottone!$A$1:$Z$1,0)-1))*IF(E25="Ottone",1,0),4)</f>
        <v>0</v>
      </c>
      <c r="M25" s="446">
        <f ca="1">ROUND(IF(ISERROR(OFFSET(Rame!$A$1,MATCH(H25,Rame!$A:$A,0)-1,MATCH(J25,Rame!$A$1:$AA$1,0)-1)=TRUE),0,OFFSET(Rame!$A$1,MATCH(H25,Rame!$A:$A,0)-1,MATCH(J25,Rame!$A$1:$AA$1,0)-1))*IF(E25="Rame",1,0),4)</f>
        <v>0</v>
      </c>
      <c r="N25" s="446">
        <v>0</v>
      </c>
      <c r="O25" s="446">
        <v>1.5</v>
      </c>
      <c r="P25" s="446">
        <f ca="1">ROUND(+IF(ISERROR(OFFSET(Tabella!$G$1,MATCH(H25,Tabella!$G:$G,0)-1,MATCH(I25,Tabella!$G$1:$FG$1,0)-1)=TRUE),0,OFFSET(Tabella!$G$1,MATCH(H25,Tabella!$G:$G,0)-1,MATCH(I25,Tabella!$G$1:$AB$1,0)-1)),4)</f>
        <v>0</v>
      </c>
      <c r="Q25" s="446">
        <f ca="1">ROUND(IF(ISERROR(OFFSET(Ottone!$F$1,MATCH(H25,Ottone!$A:$A,0)-1,MATCH(I25,Ottone!$F$1:$FF$1,0)-1)=TRUE),0,OFFSET(Ottone!$F$1,MATCH(H25,Ottone!$A:$A,0)-1,MATCH(I25,Ottone!$F$1:$FF$1,0)-1))*IF(E25="Ottone",1,0),4)</f>
        <v>0</v>
      </c>
      <c r="R25" s="446">
        <f ca="1">ROUND(IF(ISERROR(OFFSET(Rame!$F$1,MATCH(H25,Rame!$F:$F,0)-1,MATCH(I25,Rame!$F$1:$FF$1,0)-1)=TRUE),0,OFFSET(Rame!$F$1,MATCH(H25,Rame!$F:$F,0)-1,MATCH(I25,Rame!$F$1:$FF$1,0)-1))*IF(E25="Rame",1,0),4)</f>
        <v>0</v>
      </c>
      <c r="S25" s="446">
        <f ca="1">ROUND(IF(ISERROR(OFFSET(Bronzo!$A$1,MATCH(H25,Bronzo!$A:$A,0)-1,MATCH(I25,Bronzo!$A$1:$AA$1,0)-1)=TRUE),0,OFFSET(Bronzo!$A$1,MATCH(H25,Bronzo!$A:$A,0)-1,MATCH(I25,Bronzo!$A$1:$AA$1,0)-1)),4)</f>
        <v>0</v>
      </c>
      <c r="T25" s="446">
        <f t="shared" ca="1" si="46"/>
        <v>0</v>
      </c>
      <c r="U25" s="443"/>
      <c r="V25" s="446">
        <v>0</v>
      </c>
      <c r="W25" s="449">
        <f t="shared" ca="1" si="47"/>
        <v>1.5</v>
      </c>
      <c r="X25" s="452">
        <f t="shared" si="2"/>
        <v>126</v>
      </c>
      <c r="Y25" s="458">
        <v>1.5</v>
      </c>
      <c r="Z25" s="440">
        <f t="shared" ca="1" si="48"/>
        <v>-1.6</v>
      </c>
      <c r="AA25" s="241">
        <v>46146</v>
      </c>
      <c r="AF25" s="225">
        <f t="shared" ca="1" si="49"/>
        <v>46156</v>
      </c>
      <c r="AG25" s="225" t="b">
        <f t="shared" si="41"/>
        <v>0</v>
      </c>
      <c r="AH25" s="242">
        <f t="shared" ca="1" si="50"/>
        <v>-10</v>
      </c>
      <c r="AK25" s="223">
        <f t="shared" si="42"/>
        <v>19</v>
      </c>
      <c r="AL25" s="223">
        <f t="shared" si="43"/>
        <v>2026</v>
      </c>
      <c r="AS25" s="223">
        <f t="shared" si="44"/>
        <v>5</v>
      </c>
      <c r="AT25" s="223">
        <f t="shared" si="45"/>
        <v>2026</v>
      </c>
    </row>
    <row r="26" spans="2:46" ht="15.75" x14ac:dyDescent="0.25">
      <c r="B26" s="229" t="s">
        <v>455</v>
      </c>
      <c r="C26" s="235" t="s">
        <v>330</v>
      </c>
      <c r="D26" s="243">
        <v>2200</v>
      </c>
      <c r="E26" s="232" t="s">
        <v>4</v>
      </c>
      <c r="F26" s="436">
        <v>1.6</v>
      </c>
      <c r="G26" s="234">
        <v>46057</v>
      </c>
      <c r="H26" s="235" t="s">
        <v>26</v>
      </c>
      <c r="I26" s="235"/>
      <c r="J26" s="440">
        <v>7.0000000000000007E-2</v>
      </c>
      <c r="K26" s="443">
        <f ca="1">ROUND(IF(ISERROR(OFFSET(Tabella!$A$1,MATCH(H26,Tabella!$A:$A,0)-1,MATCH(J26,Tabella!$A$1:$AC$1,0)-1)=TRUE),0,+OFFSET(Tabella!$A$1,MATCH(H26,Tabella!$A:$A,0)-1,MATCH(J26,Tabella!$A$1:$AC$1,0)-1)),4)</f>
        <v>1.25</v>
      </c>
      <c r="L26" s="446">
        <f ca="1">ROUND(IF(ISERROR(OFFSET(Ottone!$A$1,MATCH(H26,Ottone!$A:$A,0)-1,MATCH(J26,Ottone!$A$1:$Z$1,0)-1)=TRUE),0,OFFSET(Ottone!$A$1,MATCH(H26,Ottone!$A:$A,0)-1,MATCH(J26,Ottone!$A$1:$Z$1,0)-1))*IF(E26="Ottone",1,0),4)</f>
        <v>0</v>
      </c>
      <c r="M26" s="446">
        <f ca="1">ROUND(IF(ISERROR(OFFSET(Rame!$A$1,MATCH(H26,Rame!$A:$A,0)-1,MATCH(J26,Rame!$A$1:$AA$1,0)-1)=TRUE),0,OFFSET(Rame!$A$1,MATCH(H26,Rame!$A:$A,0)-1,MATCH(J26,Rame!$A$1:$AA$1,0)-1))*IF(E26="Rame",1,0),4)</f>
        <v>0</v>
      </c>
      <c r="N26" s="446">
        <v>0</v>
      </c>
      <c r="O26" s="446">
        <v>1.5</v>
      </c>
      <c r="P26" s="446">
        <f ca="1">ROUND(+IF(ISERROR(OFFSET(Tabella!$G$1,MATCH(H26,Tabella!$G:$G,0)-1,MATCH(I26,Tabella!$G$1:$FG$1,0)-1)=TRUE),0,OFFSET(Tabella!$G$1,MATCH(H26,Tabella!$G:$G,0)-1,MATCH(I26,Tabella!$G$1:$AB$1,0)-1)),4)</f>
        <v>0</v>
      </c>
      <c r="Q26" s="446">
        <f ca="1">ROUND(IF(ISERROR(OFFSET(Ottone!$F$1,MATCH(H26,Ottone!$A:$A,0)-1,MATCH(I26,Ottone!$F$1:$FF$1,0)-1)=TRUE),0,OFFSET(Ottone!$F$1,MATCH(H26,Ottone!$A:$A,0)-1,MATCH(I26,Ottone!$F$1:$FF$1,0)-1))*IF(E26="Ottone",1,0),4)</f>
        <v>0</v>
      </c>
      <c r="R26" s="446">
        <f ca="1">ROUND(IF(ISERROR(OFFSET(Rame!$F$1,MATCH(H26,Rame!$F:$F,0)-1,MATCH(I26,Rame!$F$1:$FF$1,0)-1)=TRUE),0,OFFSET(Rame!$F$1,MATCH(H26,Rame!$F:$F,0)-1,MATCH(I26,Rame!$F$1:$FF$1,0)-1))*IF(E26="Rame",1,0),4)</f>
        <v>0</v>
      </c>
      <c r="S26" s="446">
        <f ca="1">ROUND(IF(ISERROR(OFFSET(Bronzo!$A$1,MATCH(H26,Bronzo!$A:$A,0)-1,MATCH(I26,Bronzo!$A$1:$AA$1,0)-1)=TRUE),0,OFFSET(Bronzo!$A$1,MATCH(H26,Bronzo!$A:$A,0)-1,MATCH(I26,Bronzo!$A$1:$AA$1,0)-1)),4)</f>
        <v>0</v>
      </c>
      <c r="T26" s="446">
        <f t="shared" ca="1" si="46"/>
        <v>0</v>
      </c>
      <c r="U26" s="443"/>
      <c r="V26" s="446">
        <v>0</v>
      </c>
      <c r="W26" s="449">
        <f t="shared" ca="1" si="47"/>
        <v>1.5</v>
      </c>
      <c r="X26" s="452">
        <f t="shared" si="2"/>
        <v>154</v>
      </c>
      <c r="Y26" s="458">
        <v>1.5</v>
      </c>
      <c r="Z26" s="440">
        <f t="shared" ca="1" si="48"/>
        <v>-1.6</v>
      </c>
      <c r="AA26" s="241">
        <v>46136</v>
      </c>
      <c r="AF26" s="225">
        <f t="shared" ca="1" si="49"/>
        <v>46156</v>
      </c>
      <c r="AG26" s="225" t="b">
        <f t="shared" si="41"/>
        <v>0</v>
      </c>
      <c r="AH26" s="242">
        <f t="shared" ca="1" si="50"/>
        <v>-20</v>
      </c>
      <c r="AK26" s="223">
        <f t="shared" si="42"/>
        <v>17</v>
      </c>
      <c r="AL26" s="223">
        <f t="shared" si="43"/>
        <v>2026</v>
      </c>
      <c r="AS26" s="223">
        <f t="shared" si="44"/>
        <v>4</v>
      </c>
      <c r="AT26" s="223">
        <f t="shared" si="45"/>
        <v>2026</v>
      </c>
    </row>
    <row r="27" spans="2:46" ht="15.75" x14ac:dyDescent="0.25">
      <c r="B27" s="229" t="s">
        <v>455</v>
      </c>
      <c r="C27" s="235" t="s">
        <v>330</v>
      </c>
      <c r="D27" s="243">
        <v>500</v>
      </c>
      <c r="E27" s="232" t="s">
        <v>4</v>
      </c>
      <c r="F27" s="436">
        <v>1.6</v>
      </c>
      <c r="G27" s="234">
        <v>46057</v>
      </c>
      <c r="H27" s="235" t="s">
        <v>314</v>
      </c>
      <c r="I27" s="235"/>
      <c r="J27" s="440">
        <v>7.0000000000000007E-2</v>
      </c>
      <c r="K27" s="443">
        <f ca="1">ROUND(IF(ISERROR(OFFSET(Tabella!$A$1,MATCH(H27,Tabella!$A:$A,0)-1,MATCH(J27,Tabella!$A$1:$AC$1,0)-1)=TRUE),0,+OFFSET(Tabella!$A$1,MATCH(H27,Tabella!$A:$A,0)-1,MATCH(J27,Tabella!$A$1:$AC$1,0)-1)),4)</f>
        <v>1.25</v>
      </c>
      <c r="L27" s="446">
        <f ca="1">ROUND(IF(ISERROR(OFFSET(Ottone!$A$1,MATCH(H27,Ottone!$A:$A,0)-1,MATCH(J27,Ottone!$A$1:$Z$1,0)-1)=TRUE),0,OFFSET(Ottone!$A$1,MATCH(H27,Ottone!$A:$A,0)-1,MATCH(J27,Ottone!$A$1:$Z$1,0)-1))*IF(E27="Ottone",1,0),4)</f>
        <v>0</v>
      </c>
      <c r="M27" s="446">
        <f ca="1">ROUND(IF(ISERROR(OFFSET(Rame!$A$1,MATCH(H27,Rame!$A:$A,0)-1,MATCH(J27,Rame!$A$1:$AA$1,0)-1)=TRUE),0,OFFSET(Rame!$A$1,MATCH(H27,Rame!$A:$A,0)-1,MATCH(J27,Rame!$A$1:$AA$1,0)-1))*IF(E27="Rame",1,0),4)</f>
        <v>0</v>
      </c>
      <c r="N27" s="446">
        <v>0</v>
      </c>
      <c r="O27" s="446">
        <v>1.5</v>
      </c>
      <c r="P27" s="446">
        <f ca="1">ROUND(+IF(ISERROR(OFFSET(Tabella!$G$1,MATCH(H27,Tabella!$G:$G,0)-1,MATCH(I27,Tabella!$G$1:$FG$1,0)-1)=TRUE),0,OFFSET(Tabella!$G$1,MATCH(H27,Tabella!$G:$G,0)-1,MATCH(I27,Tabella!$G$1:$AB$1,0)-1)),4)</f>
        <v>0</v>
      </c>
      <c r="Q27" s="446">
        <f ca="1">ROUND(IF(ISERROR(OFFSET(Ottone!$F$1,MATCH(H27,Ottone!$A:$A,0)-1,MATCH(I27,Ottone!$F$1:$FF$1,0)-1)=TRUE),0,OFFSET(Ottone!$F$1,MATCH(H27,Ottone!$A:$A,0)-1,MATCH(I27,Ottone!$F$1:$FF$1,0)-1))*IF(E27="Ottone",1,0),4)</f>
        <v>0</v>
      </c>
      <c r="R27" s="446">
        <f ca="1">ROUND(IF(ISERROR(OFFSET(Rame!$F$1,MATCH(H27,Rame!$F:$F,0)-1,MATCH(I27,Rame!$F$1:$FF$1,0)-1)=TRUE),0,OFFSET(Rame!$F$1,MATCH(H27,Rame!$F:$F,0)-1,MATCH(I27,Rame!$F$1:$FF$1,0)-1))*IF(E27="Rame",1,0),4)</f>
        <v>0</v>
      </c>
      <c r="S27" s="446">
        <f ca="1">ROUND(IF(ISERROR(OFFSET(Bronzo!$A$1,MATCH(H27,Bronzo!$A:$A,0)-1,MATCH(I27,Bronzo!$A$1:$AA$1,0)-1)=TRUE),0,OFFSET(Bronzo!$A$1,MATCH(H27,Bronzo!$A:$A,0)-1,MATCH(I27,Bronzo!$A$1:$AA$1,0)-1)),4)</f>
        <v>0</v>
      </c>
      <c r="T27" s="446">
        <f t="shared" ca="1" si="46"/>
        <v>0</v>
      </c>
      <c r="U27" s="443"/>
      <c r="V27" s="446">
        <v>0</v>
      </c>
      <c r="W27" s="449">
        <f t="shared" ca="1" si="47"/>
        <v>1.5</v>
      </c>
      <c r="X27" s="452">
        <f t="shared" si="2"/>
        <v>35</v>
      </c>
      <c r="Y27" s="458">
        <v>1.5</v>
      </c>
      <c r="Z27" s="440">
        <f t="shared" ca="1" si="48"/>
        <v>-1.6</v>
      </c>
      <c r="AA27" s="241">
        <v>46136</v>
      </c>
      <c r="AF27" s="225">
        <f t="shared" ca="1" si="49"/>
        <v>46156</v>
      </c>
      <c r="AG27" s="225" t="b">
        <f t="shared" si="41"/>
        <v>0</v>
      </c>
      <c r="AH27" s="242">
        <f t="shared" ca="1" si="50"/>
        <v>-20</v>
      </c>
      <c r="AK27" s="223">
        <f t="shared" si="42"/>
        <v>17</v>
      </c>
      <c r="AL27" s="223">
        <f t="shared" si="43"/>
        <v>2026</v>
      </c>
      <c r="AS27" s="223">
        <f t="shared" si="44"/>
        <v>4</v>
      </c>
      <c r="AT27" s="223">
        <f t="shared" si="45"/>
        <v>2026</v>
      </c>
    </row>
    <row r="28" spans="2:46" ht="15.75" x14ac:dyDescent="0.25">
      <c r="B28" s="229" t="s">
        <v>455</v>
      </c>
      <c r="C28" s="235" t="s">
        <v>330</v>
      </c>
      <c r="D28" s="243">
        <v>2500</v>
      </c>
      <c r="E28" s="232" t="s">
        <v>4</v>
      </c>
      <c r="F28" s="436">
        <v>1.6</v>
      </c>
      <c r="G28" s="234">
        <v>46057</v>
      </c>
      <c r="H28" s="235" t="s">
        <v>28</v>
      </c>
      <c r="I28" s="235"/>
      <c r="J28" s="440">
        <v>7.0000000000000007E-2</v>
      </c>
      <c r="K28" s="443">
        <f ca="1">ROUND(IF(ISERROR(OFFSET(Tabella!$A$1,MATCH(H28,Tabella!$A:$A,0)-1,MATCH(J28,Tabella!$A$1:$AC$1,0)-1)=TRUE),0,+OFFSET(Tabella!$A$1,MATCH(H28,Tabella!$A:$A,0)-1,MATCH(J28,Tabella!$A$1:$AC$1,0)-1)),4)</f>
        <v>1.25</v>
      </c>
      <c r="L28" s="446">
        <f ca="1">ROUND(IF(ISERROR(OFFSET(Ottone!$A$1,MATCH(H28,Ottone!$A:$A,0)-1,MATCH(J28,Ottone!$A$1:$Z$1,0)-1)=TRUE),0,OFFSET(Ottone!$A$1,MATCH(H28,Ottone!$A:$A,0)-1,MATCH(J28,Ottone!$A$1:$Z$1,0)-1))*IF(E28="Ottone",1,0),4)</f>
        <v>0</v>
      </c>
      <c r="M28" s="446">
        <f ca="1">ROUND(IF(ISERROR(OFFSET(Rame!$A$1,MATCH(H28,Rame!$A:$A,0)-1,MATCH(J28,Rame!$A$1:$AA$1,0)-1)=TRUE),0,OFFSET(Rame!$A$1,MATCH(H28,Rame!$A:$A,0)-1,MATCH(J28,Rame!$A$1:$AA$1,0)-1))*IF(E28="Rame",1,0),4)</f>
        <v>0</v>
      </c>
      <c r="N28" s="446">
        <v>0</v>
      </c>
      <c r="O28" s="446">
        <v>1.5</v>
      </c>
      <c r="P28" s="446">
        <f ca="1">ROUND(+IF(ISERROR(OFFSET(Tabella!$G$1,MATCH(H28,Tabella!$G:$G,0)-1,MATCH(I28,Tabella!$G$1:$FG$1,0)-1)=TRUE),0,OFFSET(Tabella!$G$1,MATCH(H28,Tabella!$G:$G,0)-1,MATCH(I28,Tabella!$G$1:$AB$1,0)-1)),4)</f>
        <v>0</v>
      </c>
      <c r="Q28" s="446">
        <f ca="1">ROUND(IF(ISERROR(OFFSET(Ottone!$F$1,MATCH(H28,Ottone!$A:$A,0)-1,MATCH(I28,Ottone!$F$1:$FF$1,0)-1)=TRUE),0,OFFSET(Ottone!$F$1,MATCH(H28,Ottone!$A:$A,0)-1,MATCH(I28,Ottone!$F$1:$FF$1,0)-1))*IF(E28="Ottone",1,0),4)</f>
        <v>0</v>
      </c>
      <c r="R28" s="446">
        <f ca="1">ROUND(IF(ISERROR(OFFSET(Rame!$F$1,MATCH(H28,Rame!$F:$F,0)-1,MATCH(I28,Rame!$F$1:$FF$1,0)-1)=TRUE),0,OFFSET(Rame!$F$1,MATCH(H28,Rame!$F:$F,0)-1,MATCH(I28,Rame!$F$1:$FF$1,0)-1))*IF(E28="Rame",1,0),4)</f>
        <v>0</v>
      </c>
      <c r="S28" s="446">
        <f ca="1">ROUND(IF(ISERROR(OFFSET(Bronzo!$A$1,MATCH(H28,Bronzo!$A:$A,0)-1,MATCH(I28,Bronzo!$A$1:$AA$1,0)-1)=TRUE),0,OFFSET(Bronzo!$A$1,MATCH(H28,Bronzo!$A:$A,0)-1,MATCH(I28,Bronzo!$A$1:$AA$1,0)-1)),4)</f>
        <v>0</v>
      </c>
      <c r="T28" s="446">
        <f t="shared" ca="1" si="46"/>
        <v>0</v>
      </c>
      <c r="U28" s="443"/>
      <c r="V28" s="446">
        <v>0</v>
      </c>
      <c r="W28" s="449">
        <f t="shared" ca="1" si="47"/>
        <v>1.5</v>
      </c>
      <c r="X28" s="452">
        <f t="shared" si="2"/>
        <v>175</v>
      </c>
      <c r="Y28" s="458">
        <v>1.5</v>
      </c>
      <c r="Z28" s="440">
        <f t="shared" ca="1" si="48"/>
        <v>-1.6</v>
      </c>
      <c r="AA28" s="241">
        <v>46148</v>
      </c>
      <c r="AF28" s="225">
        <f t="shared" ca="1" si="49"/>
        <v>46156</v>
      </c>
      <c r="AG28" s="225" t="b">
        <f t="shared" si="41"/>
        <v>0</v>
      </c>
      <c r="AH28" s="242">
        <f t="shared" ca="1" si="50"/>
        <v>-8</v>
      </c>
      <c r="AK28" s="223">
        <f t="shared" si="42"/>
        <v>19</v>
      </c>
      <c r="AL28" s="223">
        <f t="shared" si="43"/>
        <v>2026</v>
      </c>
      <c r="AS28" s="223">
        <f t="shared" si="44"/>
        <v>5</v>
      </c>
      <c r="AT28" s="223">
        <f t="shared" si="45"/>
        <v>2026</v>
      </c>
    </row>
    <row r="29" spans="2:46" ht="15.75" x14ac:dyDescent="0.25">
      <c r="B29" s="229" t="s">
        <v>516</v>
      </c>
      <c r="C29" s="244" t="s">
        <v>212</v>
      </c>
      <c r="D29" s="245">
        <v>7067</v>
      </c>
      <c r="E29" s="232" t="s">
        <v>4</v>
      </c>
      <c r="F29" s="435">
        <v>2.62</v>
      </c>
      <c r="G29" s="234">
        <v>46058</v>
      </c>
      <c r="H29" s="235" t="s">
        <v>23</v>
      </c>
      <c r="I29" s="235"/>
      <c r="J29" s="440">
        <v>0.05</v>
      </c>
      <c r="K29" s="443">
        <f ca="1">ROUND(IF(ISERROR(OFFSET(Tabella!$A$1,MATCH(H29,Tabella!$A:$A,0)-1,MATCH(J29,Tabella!$A$1:$AC$1,0)-1)=TRUE),0,+OFFSET(Tabella!$A$1,MATCH(H29,Tabella!$A:$A,0)-1,MATCH(J29,Tabella!$A$1:$AC$1,0)-1)),4)</f>
        <v>0</v>
      </c>
      <c r="L29" s="446">
        <f ca="1">ROUND(IF(ISERROR(OFFSET(Ottone!$A$1,MATCH(H29,Ottone!$A:$A,0)-1,MATCH(J29,Ottone!$A$1:$Z$1,0)-1)=TRUE),0,OFFSET(Ottone!$A$1,MATCH(H29,Ottone!$A:$A,0)-1,MATCH(J29,Ottone!$A$1:$Z$1,0)-1))*IF(E29="Ottone",1,0),4)</f>
        <v>0</v>
      </c>
      <c r="M29" s="446">
        <f ca="1">ROUND(IF(ISERROR(OFFSET(Rame!$A$1,MATCH(H29,Rame!$A:$A,0)-1,MATCH(J29,Rame!$A$1:$AA$1,0)-1)=TRUE),0,OFFSET(Rame!$A$1,MATCH(H29,Rame!$A:$A,0)-1,MATCH(J29,Rame!$A$1:$AA$1,0)-1))*IF(E29="Rame",1,0),4)</f>
        <v>0</v>
      </c>
      <c r="N29" s="446">
        <v>0</v>
      </c>
      <c r="O29" s="446">
        <v>1.37</v>
      </c>
      <c r="P29" s="446">
        <f ca="1">ROUND(+IF(ISERROR(OFFSET(Tabella!$G$1,MATCH(H29,Tabella!$G:$G,0)-1,MATCH(I29,Tabella!$G$1:$FG$1,0)-1)=TRUE),0,OFFSET(Tabella!$G$1,MATCH(H29,Tabella!$G:$G,0)-1,MATCH(I29,Tabella!$G$1:$AB$1,0)-1)),4)</f>
        <v>0</v>
      </c>
      <c r="Q29" s="446">
        <f ca="1">ROUND(IF(ISERROR(OFFSET(Ottone!$F$1,MATCH(H29,Ottone!$A:$A,0)-1,MATCH(I29,Ottone!$F$1:$FF$1,0)-1)=TRUE),0,OFFSET(Ottone!$F$1,MATCH(H29,Ottone!$A:$A,0)-1,MATCH(I29,Ottone!$F$1:$FF$1,0)-1))*IF(E29="Ottone",1,0),4)</f>
        <v>0</v>
      </c>
      <c r="R29" s="446">
        <f ca="1">ROUND(IF(ISERROR(OFFSET(Rame!$F$1,MATCH(H29,Rame!$F:$F,0)-1,MATCH(I29,Rame!$F$1:$FF$1,0)-1)=TRUE),0,OFFSET(Rame!$F$1,MATCH(H29,Rame!$F:$F,0)-1,MATCH(I29,Rame!$F$1:$FF$1,0)-1))*IF(E29="Rame",1,0),4)</f>
        <v>0</v>
      </c>
      <c r="S29" s="446">
        <f ca="1">ROUND(IF(ISERROR(OFFSET(Bronzo!$A$1,MATCH(H29,Bronzo!$A:$A,0)-1,MATCH(I29,Bronzo!$A$1:$AA$1,0)-1)=TRUE),0,OFFSET(Bronzo!$A$1,MATCH(H29,Bronzo!$A:$A,0)-1,MATCH(I29,Bronzo!$A$1:$AA$1,0)-1)),4)</f>
        <v>0</v>
      </c>
      <c r="T29" s="446">
        <f t="shared" ca="1" si="46"/>
        <v>0</v>
      </c>
      <c r="U29" s="443"/>
      <c r="V29" s="446">
        <v>0</v>
      </c>
      <c r="W29" s="449">
        <f t="shared" ca="1" si="47"/>
        <v>1.37</v>
      </c>
      <c r="X29" s="454">
        <f t="shared" si="2"/>
        <v>353.35</v>
      </c>
      <c r="Y29" s="440">
        <v>3.99</v>
      </c>
      <c r="Z29" s="440">
        <f t="shared" ca="1" si="48"/>
        <v>0</v>
      </c>
      <c r="AA29" s="241"/>
      <c r="AD29" s="223" t="s">
        <v>403</v>
      </c>
      <c r="AF29" s="225">
        <f t="shared" ca="1" si="49"/>
        <v>46156</v>
      </c>
      <c r="AG29" s="225" t="b">
        <f t="shared" si="41"/>
        <v>1</v>
      </c>
      <c r="AH29" s="242" t="str">
        <f t="shared" si="50"/>
        <v/>
      </c>
      <c r="AK29" s="223">
        <f t="shared" si="42"/>
        <v>0</v>
      </c>
      <c r="AL29" s="223">
        <f t="shared" si="43"/>
        <v>1900</v>
      </c>
      <c r="AS29" s="223">
        <f t="shared" si="44"/>
        <v>0</v>
      </c>
      <c r="AT29" s="223">
        <f t="shared" si="45"/>
        <v>0</v>
      </c>
    </row>
    <row r="30" spans="2:46" ht="15.75" x14ac:dyDescent="0.25">
      <c r="B30" s="229" t="s">
        <v>516</v>
      </c>
      <c r="C30" s="244" t="s">
        <v>212</v>
      </c>
      <c r="D30" s="245">
        <v>4653</v>
      </c>
      <c r="E30" s="232" t="s">
        <v>4</v>
      </c>
      <c r="F30" s="435">
        <v>2.62</v>
      </c>
      <c r="G30" s="234">
        <v>46058</v>
      </c>
      <c r="H30" s="235" t="s">
        <v>23</v>
      </c>
      <c r="I30" s="235"/>
      <c r="J30" s="440">
        <v>0.05</v>
      </c>
      <c r="K30" s="443">
        <f ca="1">ROUND(IF(ISERROR(OFFSET(Tabella!$A$1,MATCH(H30,Tabella!$A:$A,0)-1,MATCH(J30,Tabella!$A$1:$AC$1,0)-1)=TRUE),0,+OFFSET(Tabella!$A$1,MATCH(H30,Tabella!$A:$A,0)-1,MATCH(J30,Tabella!$A$1:$AC$1,0)-1)),4)</f>
        <v>0</v>
      </c>
      <c r="L30" s="446">
        <f ca="1">ROUND(IF(ISERROR(OFFSET(Ottone!$A$1,MATCH(H30,Ottone!$A:$A,0)-1,MATCH(J30,Ottone!$A$1:$Z$1,0)-1)=TRUE),0,OFFSET(Ottone!$A$1,MATCH(H30,Ottone!$A:$A,0)-1,MATCH(J30,Ottone!$A$1:$Z$1,0)-1))*IF(E30="Ottone",1,0),4)</f>
        <v>0</v>
      </c>
      <c r="M30" s="446">
        <f ca="1">ROUND(IF(ISERROR(OFFSET(Rame!$A$1,MATCH(H30,Rame!$A:$A,0)-1,MATCH(J30,Rame!$A$1:$AA$1,0)-1)=TRUE),0,OFFSET(Rame!$A$1,MATCH(H30,Rame!$A:$A,0)-1,MATCH(J30,Rame!$A$1:$AA$1,0)-1))*IF(E30="Rame",1,0),4)</f>
        <v>0</v>
      </c>
      <c r="N30" s="446">
        <v>0</v>
      </c>
      <c r="O30" s="446">
        <v>1.37</v>
      </c>
      <c r="P30" s="446">
        <f ca="1">ROUND(+IF(ISERROR(OFFSET(Tabella!$G$1,MATCH(H30,Tabella!$G:$G,0)-1,MATCH(I30,Tabella!$G$1:$FG$1,0)-1)=TRUE),0,OFFSET(Tabella!$G$1,MATCH(H30,Tabella!$G:$G,0)-1,MATCH(I30,Tabella!$G$1:$AB$1,0)-1)),4)</f>
        <v>0</v>
      </c>
      <c r="Q30" s="446">
        <f ca="1">ROUND(IF(ISERROR(OFFSET(Ottone!$F$1,MATCH(H30,Ottone!$A:$A,0)-1,MATCH(I30,Ottone!$F$1:$FF$1,0)-1)=TRUE),0,OFFSET(Ottone!$F$1,MATCH(H30,Ottone!$A:$A,0)-1,MATCH(I30,Ottone!$F$1:$FF$1,0)-1))*IF(E30="Ottone",1,0),4)</f>
        <v>0</v>
      </c>
      <c r="R30" s="446">
        <f ca="1">ROUND(IF(ISERROR(OFFSET(Rame!$F$1,MATCH(H30,Rame!$F:$F,0)-1,MATCH(I30,Rame!$F$1:$FF$1,0)-1)=TRUE),0,OFFSET(Rame!$F$1,MATCH(H30,Rame!$F:$F,0)-1,MATCH(I30,Rame!$F$1:$FF$1,0)-1))*IF(E30="Rame",1,0),4)</f>
        <v>0</v>
      </c>
      <c r="S30" s="446">
        <f ca="1">ROUND(IF(ISERROR(OFFSET(Bronzo!$A$1,MATCH(H30,Bronzo!$A:$A,0)-1,MATCH(I30,Bronzo!$A$1:$AA$1,0)-1)=TRUE),0,OFFSET(Bronzo!$A$1,MATCH(H30,Bronzo!$A:$A,0)-1,MATCH(I30,Bronzo!$A$1:$AA$1,0)-1)),4)</f>
        <v>0</v>
      </c>
      <c r="T30" s="446">
        <f t="shared" ca="1" si="46"/>
        <v>0</v>
      </c>
      <c r="U30" s="443"/>
      <c r="V30" s="446">
        <v>0</v>
      </c>
      <c r="W30" s="449">
        <f t="shared" ca="1" si="47"/>
        <v>1.37</v>
      </c>
      <c r="X30" s="454">
        <f t="shared" si="2"/>
        <v>232.65</v>
      </c>
      <c r="Y30" s="440">
        <v>3.99</v>
      </c>
      <c r="Z30" s="440">
        <f t="shared" ca="1" si="48"/>
        <v>0</v>
      </c>
      <c r="AA30" s="241"/>
      <c r="AD30" s="223" t="s">
        <v>403</v>
      </c>
      <c r="AF30" s="225">
        <f t="shared" ca="1" si="49"/>
        <v>46156</v>
      </c>
      <c r="AG30" s="225" t="b">
        <f t="shared" si="41"/>
        <v>1</v>
      </c>
      <c r="AH30" s="242" t="str">
        <f t="shared" si="50"/>
        <v/>
      </c>
      <c r="AK30" s="223">
        <f t="shared" si="42"/>
        <v>0</v>
      </c>
      <c r="AL30" s="223">
        <f t="shared" si="43"/>
        <v>1900</v>
      </c>
      <c r="AS30" s="223">
        <f t="shared" si="44"/>
        <v>0</v>
      </c>
      <c r="AT30" s="223">
        <f t="shared" si="45"/>
        <v>0</v>
      </c>
    </row>
    <row r="31" spans="2:46" ht="15.75" x14ac:dyDescent="0.25">
      <c r="B31" s="229" t="s">
        <v>453</v>
      </c>
      <c r="C31" s="235" t="s">
        <v>396</v>
      </c>
      <c r="D31" s="243">
        <v>300</v>
      </c>
      <c r="E31" s="232" t="s">
        <v>4</v>
      </c>
      <c r="F31" s="435">
        <v>2.6</v>
      </c>
      <c r="G31" s="234">
        <v>46063</v>
      </c>
      <c r="H31" s="235" t="s">
        <v>9</v>
      </c>
      <c r="I31" s="235"/>
      <c r="J31" s="440">
        <v>7.0000000000000007E-2</v>
      </c>
      <c r="K31" s="443">
        <f ca="1">ROUND(IF(ISERROR(OFFSET(Tabella!$A$1,MATCH(H31,Tabella!$A:$A,0)-1,MATCH(J31,Tabella!$A$1:$AC$1,0)-1)=TRUE),0,+OFFSET(Tabella!$A$1,MATCH(H31,Tabella!$A:$A,0)-1,MATCH(J31,Tabella!$A$1:$AC$1,0)-1)),4)</f>
        <v>1.6</v>
      </c>
      <c r="L31" s="446">
        <f ca="1">ROUND(IF(ISERROR(OFFSET(Ottone!$A$1,MATCH(H31,Ottone!$A:$A,0)-1,MATCH(J31,Ottone!$A$1:$Z$1,0)-1)=TRUE),0,OFFSET(Ottone!$A$1,MATCH(H31,Ottone!$A:$A,0)-1,MATCH(J31,Ottone!$A$1:$Z$1,0)-1))*IF(E31="Ottone",1,0),4)</f>
        <v>0</v>
      </c>
      <c r="M31" s="446">
        <f ca="1">ROUND(IF(ISERROR(OFFSET(Rame!$A$1,MATCH(H31,Rame!$A:$A,0)-1,MATCH(J31,Rame!$A$1:$AA$1,0)-1)=TRUE),0,OFFSET(Rame!$A$1,MATCH(H31,Rame!$A:$A,0)-1,MATCH(J31,Rame!$A$1:$AA$1,0)-1))*IF(E31="Rame",1,0),4)</f>
        <v>0</v>
      </c>
      <c r="N31" s="446">
        <v>0</v>
      </c>
      <c r="O31" s="446">
        <v>1.8</v>
      </c>
      <c r="P31" s="446">
        <f ca="1">ROUND(+IF(ISERROR(OFFSET(Tabella!$G$1,MATCH(H31,Tabella!$G:$G,0)-1,MATCH(I31,Tabella!$G$1:$FG$1,0)-1)=TRUE),0,OFFSET(Tabella!$G$1,MATCH(H31,Tabella!$G:$G,0)-1,MATCH(I31,Tabella!$G$1:$AB$1,0)-1)),4)</f>
        <v>0</v>
      </c>
      <c r="Q31" s="446">
        <f ca="1">ROUND(IF(ISERROR(OFFSET(Ottone!$F$1,MATCH(H31,Ottone!$A:$A,0)-1,MATCH(I31,Ottone!$F$1:$FF$1,0)-1)=TRUE),0,OFFSET(Ottone!$F$1,MATCH(H31,Ottone!$A:$A,0)-1,MATCH(I31,Ottone!$F$1:$FF$1,0)-1))*IF(E31="Ottone",1,0),4)</f>
        <v>0</v>
      </c>
      <c r="R31" s="446">
        <f ca="1">ROUND(IF(ISERROR(OFFSET(Rame!$F$1,MATCH(H31,Rame!$F:$F,0)-1,MATCH(I31,Rame!$F$1:$FF$1,0)-1)=TRUE),0,OFFSET(Rame!$F$1,MATCH(H31,Rame!$F:$F,0)-1,MATCH(I31,Rame!$F$1:$FF$1,0)-1))*IF(E31="Rame",1,0),4)</f>
        <v>0</v>
      </c>
      <c r="S31" s="446">
        <f ca="1">ROUND(IF(ISERROR(OFFSET(Bronzo!$A$1,MATCH(H31,Bronzo!$A:$A,0)-1,MATCH(I31,Bronzo!$A$1:$AA$1,0)-1)=TRUE),0,OFFSET(Bronzo!$A$1,MATCH(H31,Bronzo!$A:$A,0)-1,MATCH(I31,Bronzo!$A$1:$AA$1,0)-1)),4)</f>
        <v>0</v>
      </c>
      <c r="T31" s="446">
        <f t="shared" ca="1" si="46"/>
        <v>0</v>
      </c>
      <c r="U31" s="443"/>
      <c r="V31" s="446">
        <v>0</v>
      </c>
      <c r="W31" s="449">
        <f t="shared" ca="1" si="47"/>
        <v>1.8</v>
      </c>
      <c r="X31" s="452">
        <f t="shared" si="2"/>
        <v>21</v>
      </c>
      <c r="Y31" s="440">
        <v>4.62</v>
      </c>
      <c r="Z31" s="440">
        <f t="shared" ca="1" si="48"/>
        <v>0.22</v>
      </c>
      <c r="AA31" s="241">
        <v>46185</v>
      </c>
      <c r="AF31" s="225">
        <f t="shared" ca="1" si="49"/>
        <v>46156</v>
      </c>
      <c r="AG31" s="225" t="b">
        <f t="shared" ref="AG31:AG33" si="51">ISBLANK(AA31)</f>
        <v>0</v>
      </c>
      <c r="AH31" s="242">
        <f t="shared" ref="AH31:AH33" ca="1" si="52">IF(AG31=FALSE,_xlfn.DAYS(AA31,AF31),"")</f>
        <v>29</v>
      </c>
      <c r="AK31" s="223">
        <f t="shared" ref="AK31:AK33" si="53">WEEKNUM(AA31)</f>
        <v>24</v>
      </c>
      <c r="AL31" s="223">
        <f t="shared" ref="AL31:AL33" si="54">YEAR(AA31)</f>
        <v>2026</v>
      </c>
      <c r="AS31" s="223">
        <f t="shared" si="44"/>
        <v>6</v>
      </c>
      <c r="AT31" s="223">
        <f t="shared" si="45"/>
        <v>2026</v>
      </c>
    </row>
    <row r="32" spans="2:46" ht="15.75" x14ac:dyDescent="0.25">
      <c r="B32" s="229" t="s">
        <v>454</v>
      </c>
      <c r="C32" s="235" t="s">
        <v>438</v>
      </c>
      <c r="D32" s="243">
        <v>500</v>
      </c>
      <c r="E32" s="232" t="s">
        <v>6</v>
      </c>
      <c r="F32" s="435">
        <v>10.92</v>
      </c>
      <c r="G32" s="234">
        <v>46063</v>
      </c>
      <c r="H32" s="235" t="s">
        <v>12</v>
      </c>
      <c r="I32" s="235"/>
      <c r="J32" s="440">
        <v>0.15</v>
      </c>
      <c r="K32" s="443">
        <f ca="1">ROUND(IF(ISERROR(OFFSET(Tabella!$A$1,MATCH(H32,Tabella!$A:$A,0)-1,MATCH(J32,Tabella!$A$1:$AC$1,0)-1)=TRUE),0,+OFFSET(Tabella!$A$1,MATCH(H32,Tabella!$A:$A,0)-1,MATCH(J32,Tabella!$A$1:$AC$1,0)-1)),4)</f>
        <v>0</v>
      </c>
      <c r="L32" s="446">
        <f ca="1">ROUND(IF(ISERROR(OFFSET(Ottone!$A$1,MATCH(H32,Ottone!$A:$A,0)-1,MATCH(J32,Ottone!$A$1:$Z$1,0)-1)=TRUE),0,OFFSET(Ottone!$A$1,MATCH(H32,Ottone!$A:$A,0)-1,MATCH(J32,Ottone!$A$1:$Z$1,0)-1))*IF(E32="Ottone",1,0),4)</f>
        <v>0</v>
      </c>
      <c r="M32" s="446">
        <f ca="1">ROUND(IF(ISERROR(OFFSET(Rame!$A$1,MATCH(H32,Rame!$A:$A,0)-1,MATCH(J32,Rame!$A$1:$AA$1,0)-1)=TRUE),0,OFFSET(Rame!$A$1,MATCH(H32,Rame!$A:$A,0)-1,MATCH(J32,Rame!$A$1:$AA$1,0)-1))*IF(E32="Rame",1,0),4)</f>
        <v>1.25</v>
      </c>
      <c r="N32" s="446">
        <v>0</v>
      </c>
      <c r="O32" s="446">
        <f ca="1">ROUND(SUM(K32:N32),4)</f>
        <v>1.25</v>
      </c>
      <c r="P32" s="446">
        <f ca="1">ROUND(+IF(ISERROR(OFFSET(Tabella!$G$1,MATCH(H32,Tabella!$G:$G,0)-1,MATCH(I32,Tabella!$G$1:$FG$1,0)-1)=TRUE),0,OFFSET(Tabella!$G$1,MATCH(H32,Tabella!$G:$G,0)-1,MATCH(I32,Tabella!$G$1:$AB$1,0)-1)),4)</f>
        <v>0</v>
      </c>
      <c r="Q32" s="446">
        <f ca="1">ROUND(IF(ISERROR(OFFSET(Ottone!$F$1,MATCH(H32,Ottone!$A:$A,0)-1,MATCH(I32,Ottone!$F$1:$FF$1,0)-1)=TRUE),0,OFFSET(Ottone!$F$1,MATCH(H32,Ottone!$A:$A,0)-1,MATCH(I32,Ottone!$F$1:$FF$1,0)-1))*IF(E32="Ottone",1,0),4)</f>
        <v>0</v>
      </c>
      <c r="R32" s="446">
        <f ca="1">ROUND(IF(ISERROR(OFFSET(Rame!$F$1,MATCH(H32,Rame!$F:$F,0)-1,MATCH(I32,Rame!$F$1:$FF$1,0)-1)=TRUE),0,OFFSET(Rame!$F$1,MATCH(H32,Rame!$F:$F,0)-1,MATCH(I32,Rame!$F$1:$FF$1,0)-1))*IF(E32="Rame",1,0),4)</f>
        <v>0</v>
      </c>
      <c r="S32" s="446">
        <f ca="1">ROUND(IF(ISERROR(OFFSET(Bronzo!$A$1,MATCH(H32,Bronzo!$A:$A,0)-1,MATCH(I32,Bronzo!$A$1:$AA$1,0)-1)=TRUE),0,OFFSET(Bronzo!$A$1,MATCH(H32,Bronzo!$A:$A,0)-1,MATCH(I32,Bronzo!$A$1:$AA$1,0)-1)),4)</f>
        <v>0</v>
      </c>
      <c r="T32" s="446">
        <f t="shared" ca="1" si="46"/>
        <v>0</v>
      </c>
      <c r="U32" s="443"/>
      <c r="V32" s="446">
        <v>0</v>
      </c>
      <c r="W32" s="449">
        <f t="shared" ca="1" si="47"/>
        <v>1.25</v>
      </c>
      <c r="X32" s="452">
        <f t="shared" si="2"/>
        <v>75</v>
      </c>
      <c r="Y32" s="440">
        <v>14.55</v>
      </c>
      <c r="Z32" s="440">
        <f t="shared" ca="1" si="48"/>
        <v>2.38</v>
      </c>
      <c r="AA32" s="241">
        <v>46141</v>
      </c>
      <c r="AF32" s="225">
        <f t="shared" ca="1" si="49"/>
        <v>46156</v>
      </c>
      <c r="AG32" s="225" t="b">
        <f t="shared" si="51"/>
        <v>0</v>
      </c>
      <c r="AH32" s="242">
        <f t="shared" ca="1" si="52"/>
        <v>-15</v>
      </c>
      <c r="AK32" s="223">
        <f t="shared" si="53"/>
        <v>18</v>
      </c>
      <c r="AL32" s="223">
        <f t="shared" si="54"/>
        <v>2026</v>
      </c>
      <c r="AS32" s="223">
        <f t="shared" ref="AS32:AS33" si="55">IF(AA32="",0,MONTH(AA32))</f>
        <v>4</v>
      </c>
      <c r="AT32" s="223">
        <f t="shared" ref="AT32:AT33" si="56">IF(AA32="",0,YEAR(AA32))</f>
        <v>2026</v>
      </c>
    </row>
    <row r="33" spans="2:46" ht="15.75" x14ac:dyDescent="0.25">
      <c r="B33" s="229" t="s">
        <v>534</v>
      </c>
      <c r="C33" s="244" t="s">
        <v>212</v>
      </c>
      <c r="D33" s="245">
        <v>7337</v>
      </c>
      <c r="E33" s="232" t="s">
        <v>4</v>
      </c>
      <c r="F33" s="435">
        <v>2.62</v>
      </c>
      <c r="G33" s="234">
        <v>46058</v>
      </c>
      <c r="H33" s="235" t="s">
        <v>23</v>
      </c>
      <c r="I33" s="235"/>
      <c r="J33" s="440">
        <v>0.05</v>
      </c>
      <c r="K33" s="443">
        <f ca="1">ROUND(IF(ISERROR(OFFSET(Tabella!$A$1,MATCH(H33,Tabella!$A:$A,0)-1,MATCH(J33,Tabella!$A$1:$AC$1,0)-1)=TRUE),0,+OFFSET(Tabella!$A$1,MATCH(H33,Tabella!$A:$A,0)-1,MATCH(J33,Tabella!$A$1:$AC$1,0)-1)),4)</f>
        <v>0</v>
      </c>
      <c r="L33" s="446">
        <f ca="1">ROUND(IF(ISERROR(OFFSET(Ottone!$A$1,MATCH(H33,Ottone!$A:$A,0)-1,MATCH(J33,Ottone!$A$1:$Z$1,0)-1)=TRUE),0,OFFSET(Ottone!$A$1,MATCH(H33,Ottone!$A:$A,0)-1,MATCH(J33,Ottone!$A$1:$Z$1,0)-1))*IF(E33="Ottone",1,0),4)</f>
        <v>0</v>
      </c>
      <c r="M33" s="446">
        <f ca="1">ROUND(IF(ISERROR(OFFSET(Rame!$A$1,MATCH(H33,Rame!$A:$A,0)-1,MATCH(J33,Rame!$A$1:$AA$1,0)-1)=TRUE),0,OFFSET(Rame!$A$1,MATCH(H33,Rame!$A:$A,0)-1,MATCH(J33,Rame!$A$1:$AA$1,0)-1))*IF(E33="Rame",1,0),4)</f>
        <v>0</v>
      </c>
      <c r="N33" s="446">
        <v>0</v>
      </c>
      <c r="O33" s="446">
        <v>1.37</v>
      </c>
      <c r="P33" s="446">
        <f ca="1">ROUND(+IF(ISERROR(OFFSET(Tabella!$G$1,MATCH(H33,Tabella!$G:$G,0)-1,MATCH(I33,Tabella!$G$1:$FG$1,0)-1)=TRUE),0,OFFSET(Tabella!$G$1,MATCH(H33,Tabella!$G:$G,0)-1,MATCH(I33,Tabella!$G$1:$AB$1,0)-1)),4)</f>
        <v>0</v>
      </c>
      <c r="Q33" s="446">
        <f ca="1">ROUND(IF(ISERROR(OFFSET(Ottone!$F$1,MATCH(H33,Ottone!$A:$A,0)-1,MATCH(I33,Ottone!$F$1:$FF$1,0)-1)=TRUE),0,OFFSET(Ottone!$F$1,MATCH(H33,Ottone!$A:$A,0)-1,MATCH(I33,Ottone!$F$1:$FF$1,0)-1))*IF(E33="Ottone",1,0),4)</f>
        <v>0</v>
      </c>
      <c r="R33" s="446">
        <f ca="1">ROUND(IF(ISERROR(OFFSET(Rame!$F$1,MATCH(H33,Rame!$F:$F,0)-1,MATCH(I33,Rame!$F$1:$FF$1,0)-1)=TRUE),0,OFFSET(Rame!$F$1,MATCH(H33,Rame!$F:$F,0)-1,MATCH(I33,Rame!$F$1:$FF$1,0)-1))*IF(E33="Rame",1,0),4)</f>
        <v>0</v>
      </c>
      <c r="S33" s="446">
        <f ca="1">ROUND(IF(ISERROR(OFFSET(Bronzo!$A$1,MATCH(H33,Bronzo!$A:$A,0)-1,MATCH(I33,Bronzo!$A$1:$AA$1,0)-1)=TRUE),0,OFFSET(Bronzo!$A$1,MATCH(H33,Bronzo!$A:$A,0)-1,MATCH(I33,Bronzo!$A$1:$AA$1,0)-1)),4)</f>
        <v>0</v>
      </c>
      <c r="T33" s="446">
        <f t="shared" ca="1" si="46"/>
        <v>0</v>
      </c>
      <c r="U33" s="443"/>
      <c r="V33" s="446">
        <v>0</v>
      </c>
      <c r="W33" s="449">
        <f t="shared" ca="1" si="47"/>
        <v>1.37</v>
      </c>
      <c r="X33" s="454">
        <f t="shared" si="2"/>
        <v>366.85</v>
      </c>
      <c r="Y33" s="440">
        <v>3.99</v>
      </c>
      <c r="Z33" s="440">
        <f t="shared" ca="1" si="48"/>
        <v>0</v>
      </c>
      <c r="AA33" s="241"/>
      <c r="AD33" s="223" t="s">
        <v>403</v>
      </c>
      <c r="AF33" s="225">
        <f t="shared" ca="1" si="49"/>
        <v>46156</v>
      </c>
      <c r="AG33" s="225" t="b">
        <f t="shared" si="51"/>
        <v>1</v>
      </c>
      <c r="AH33" s="242" t="str">
        <f t="shared" si="52"/>
        <v/>
      </c>
      <c r="AK33" s="223">
        <f t="shared" si="53"/>
        <v>0</v>
      </c>
      <c r="AL33" s="223">
        <f t="shared" si="54"/>
        <v>1900</v>
      </c>
      <c r="AS33" s="223">
        <f t="shared" si="55"/>
        <v>0</v>
      </c>
      <c r="AT33" s="223">
        <f t="shared" si="56"/>
        <v>0</v>
      </c>
    </row>
    <row r="34" spans="2:46" ht="15.75" x14ac:dyDescent="0.25">
      <c r="B34" s="229" t="s">
        <v>456</v>
      </c>
      <c r="C34" s="235" t="s">
        <v>260</v>
      </c>
      <c r="D34" s="243">
        <v>800</v>
      </c>
      <c r="E34" s="232" t="s">
        <v>4</v>
      </c>
      <c r="F34" s="435">
        <v>2.58</v>
      </c>
      <c r="G34" s="234">
        <v>46071</v>
      </c>
      <c r="H34" s="235" t="s">
        <v>24</v>
      </c>
      <c r="I34" s="235"/>
      <c r="J34" s="440">
        <v>7.0000000000000007E-2</v>
      </c>
      <c r="K34" s="443">
        <f ca="1">ROUND(IF(ISERROR(OFFSET(Tabella!$A$1,MATCH(H34,Tabella!$A:$A,0)-1,MATCH(J34,Tabella!$A$1:$AC$1,0)-1)=TRUE),0,+OFFSET(Tabella!$A$1,MATCH(H34,Tabella!$A:$A,0)-1,MATCH(J34,Tabella!$A$1:$AC$1,0)-1)),4)</f>
        <v>1.25</v>
      </c>
      <c r="L34" s="446">
        <f ca="1">ROUND(IF(ISERROR(OFFSET(Ottone!$A$1,MATCH(H34,Ottone!$A:$A,0)-1,MATCH(J34,Ottone!$A$1:$Z$1,0)-1)=TRUE),0,OFFSET(Ottone!$A$1,MATCH(H34,Ottone!$A:$A,0)-1,MATCH(J34,Ottone!$A$1:$Z$1,0)-1))*IF(E34="Ottone",1,0),4)</f>
        <v>0</v>
      </c>
      <c r="M34" s="446">
        <f ca="1">ROUND(IF(ISERROR(OFFSET(Rame!$A$1,MATCH(H34,Rame!$A:$A,0)-1,MATCH(J34,Rame!$A$1:$AA$1,0)-1)=TRUE),0,OFFSET(Rame!$A$1,MATCH(H34,Rame!$A:$A,0)-1,MATCH(J34,Rame!$A$1:$AA$1,0)-1))*IF(E34="Rame",1,0),4)</f>
        <v>0</v>
      </c>
      <c r="N34" s="446">
        <v>0</v>
      </c>
      <c r="O34" s="446">
        <f ca="1">ROUND(SUM(K34:N34),4)</f>
        <v>1.25</v>
      </c>
      <c r="P34" s="446">
        <f ca="1">ROUND(+IF(ISERROR(OFFSET(Tabella!$G$1,MATCH(H34,Tabella!$G:$G,0)-1,MATCH(I34,Tabella!$G$1:$FG$1,0)-1)=TRUE),0,OFFSET(Tabella!$G$1,MATCH(H34,Tabella!$G:$G,0)-1,MATCH(I34,Tabella!$G$1:$AB$1,0)-1)),4)</f>
        <v>0</v>
      </c>
      <c r="Q34" s="446">
        <f ca="1">ROUND(IF(ISERROR(OFFSET(Ottone!$F$1,MATCH(H34,Ottone!$A:$A,0)-1,MATCH(I34,Ottone!$F$1:$FF$1,0)-1)=TRUE),0,OFFSET(Ottone!$F$1,MATCH(H34,Ottone!$A:$A,0)-1,MATCH(I34,Ottone!$F$1:$FF$1,0)-1))*IF(E34="Ottone",1,0),4)</f>
        <v>0</v>
      </c>
      <c r="R34" s="446">
        <f ca="1">ROUND(IF(ISERROR(OFFSET(Rame!$F$1,MATCH(H34,Rame!$F:$F,0)-1,MATCH(I34,Rame!$F$1:$FF$1,0)-1)=TRUE),0,OFFSET(Rame!$F$1,MATCH(H34,Rame!$F:$F,0)-1,MATCH(I34,Rame!$F$1:$FF$1,0)-1))*IF(E34="Rame",1,0),4)</f>
        <v>0</v>
      </c>
      <c r="S34" s="446">
        <f ca="1">ROUND(IF(ISERROR(OFFSET(Bronzo!$A$1,MATCH(H34,Bronzo!$A:$A,0)-1,MATCH(I34,Bronzo!$A$1:$AA$1,0)-1)=TRUE),0,OFFSET(Bronzo!$A$1,MATCH(H34,Bronzo!$A:$A,0)-1,MATCH(I34,Bronzo!$A$1:$AA$1,0)-1)),4)</f>
        <v>0</v>
      </c>
      <c r="T34" s="446">
        <f t="shared" ca="1" si="46"/>
        <v>0</v>
      </c>
      <c r="U34" s="443"/>
      <c r="V34" s="446">
        <v>0</v>
      </c>
      <c r="W34" s="449">
        <f t="shared" ca="1" si="47"/>
        <v>1.25</v>
      </c>
      <c r="X34" s="452">
        <f t="shared" si="2"/>
        <v>56</v>
      </c>
      <c r="Y34" s="440">
        <v>4.0999999999999996</v>
      </c>
      <c r="Z34" s="440">
        <f t="shared" ca="1" si="48"/>
        <v>0.27</v>
      </c>
      <c r="AA34" s="241">
        <v>46087</v>
      </c>
      <c r="AF34" s="225">
        <f t="shared" ref="AF34" ca="1" si="57">TODAY()</f>
        <v>46156</v>
      </c>
      <c r="AG34" s="225" t="b">
        <f t="shared" ref="AG34:AG35" si="58">ISBLANK(AA34)</f>
        <v>0</v>
      </c>
      <c r="AH34" s="242">
        <f t="shared" ref="AH34:AH35" ca="1" si="59">IF(AG34=FALSE,_xlfn.DAYS(AA34,AF34),"")</f>
        <v>-69</v>
      </c>
      <c r="AK34" s="223">
        <f t="shared" ref="AK34:AK35" si="60">WEEKNUM(AA34)</f>
        <v>10</v>
      </c>
      <c r="AL34" s="223">
        <f t="shared" ref="AL34:AL35" si="61">YEAR(AA34)</f>
        <v>2026</v>
      </c>
      <c r="AS34" s="223">
        <f t="shared" ref="AS34:AS35" si="62">IF(AA34="",0,MONTH(AA34))</f>
        <v>3</v>
      </c>
      <c r="AT34" s="223">
        <f t="shared" ref="AT34:AT35" si="63">IF(AA34="",0,YEAR(AA34))</f>
        <v>2026</v>
      </c>
    </row>
    <row r="35" spans="2:46" ht="15.75" x14ac:dyDescent="0.25">
      <c r="B35" s="229" t="s">
        <v>457</v>
      </c>
      <c r="C35" s="235" t="s">
        <v>396</v>
      </c>
      <c r="D35" s="243">
        <v>500</v>
      </c>
      <c r="E35" s="232" t="s">
        <v>4</v>
      </c>
      <c r="F35" s="435">
        <v>2.62</v>
      </c>
      <c r="G35" s="234">
        <v>46073</v>
      </c>
      <c r="H35" s="235" t="s">
        <v>28</v>
      </c>
      <c r="I35" s="235"/>
      <c r="J35" s="440">
        <v>7.0000000000000007E-2</v>
      </c>
      <c r="K35" s="443">
        <f ca="1">ROUND(IF(ISERROR(OFFSET(Tabella!$A$1,MATCH(H35,Tabella!$A:$A,0)-1,MATCH(J35,Tabella!$A$1:$AC$1,0)-1)=TRUE),0,+OFFSET(Tabella!$A$1,MATCH(H35,Tabella!$A:$A,0)-1,MATCH(J35,Tabella!$A$1:$AC$1,0)-1)),4)</f>
        <v>1.25</v>
      </c>
      <c r="L35" s="446">
        <f ca="1">ROUND(IF(ISERROR(OFFSET(Ottone!$A$1,MATCH(H35,Ottone!$A:$A,0)-1,MATCH(J35,Ottone!$A$1:$Z$1,0)-1)=TRUE),0,OFFSET(Ottone!$A$1,MATCH(H35,Ottone!$A:$A,0)-1,MATCH(J35,Ottone!$A$1:$Z$1,0)-1))*IF(E35="Ottone",1,0),4)</f>
        <v>0</v>
      </c>
      <c r="M35" s="446">
        <f ca="1">ROUND(IF(ISERROR(OFFSET(Rame!$A$1,MATCH(H35,Rame!$A:$A,0)-1,MATCH(J35,Rame!$A$1:$AA$1,0)-1)=TRUE),0,OFFSET(Rame!$A$1,MATCH(H35,Rame!$A:$A,0)-1,MATCH(J35,Rame!$A$1:$AA$1,0)-1))*IF(E35="Rame",1,0),4)</f>
        <v>0</v>
      </c>
      <c r="N35" s="446">
        <v>0</v>
      </c>
      <c r="O35" s="446">
        <v>1.5</v>
      </c>
      <c r="P35" s="446">
        <f ca="1">ROUND(+IF(ISERROR(OFFSET(Tabella!$G$1,MATCH(H35,Tabella!$G:$G,0)-1,MATCH(I35,Tabella!$G$1:$FG$1,0)-1)=TRUE),0,OFFSET(Tabella!$G$1,MATCH(H35,Tabella!$G:$G,0)-1,MATCH(I35,Tabella!$G$1:$AB$1,0)-1)),4)</f>
        <v>0</v>
      </c>
      <c r="Q35" s="446">
        <f ca="1">ROUND(IF(ISERROR(OFFSET(Ottone!$F$1,MATCH(H35,Ottone!$A:$A,0)-1,MATCH(I35,Ottone!$F$1:$FF$1,0)-1)=TRUE),0,OFFSET(Ottone!$F$1,MATCH(H35,Ottone!$A:$A,0)-1,MATCH(I35,Ottone!$F$1:$FF$1,0)-1))*IF(E35="Ottone",1,0),4)</f>
        <v>0</v>
      </c>
      <c r="R35" s="446">
        <f ca="1">ROUND(IF(ISERROR(OFFSET(Rame!$F$1,MATCH(H35,Rame!$F:$F,0)-1,MATCH(I35,Rame!$F$1:$FF$1,0)-1)=TRUE),0,OFFSET(Rame!$F$1,MATCH(H35,Rame!$F:$F,0)-1,MATCH(I35,Rame!$F$1:$FF$1,0)-1))*IF(E35="Rame",1,0),4)</f>
        <v>0</v>
      </c>
      <c r="S35" s="446">
        <f ca="1">ROUND(IF(ISERROR(OFFSET(Bronzo!$A$1,MATCH(H35,Bronzo!$A:$A,0)-1,MATCH(I35,Bronzo!$A$1:$AA$1,0)-1)=TRUE),0,OFFSET(Bronzo!$A$1,MATCH(H35,Bronzo!$A:$A,0)-1,MATCH(I35,Bronzo!$A$1:$AA$1,0)-1)),4)</f>
        <v>0</v>
      </c>
      <c r="T35" s="446">
        <f t="shared" ca="1" si="46"/>
        <v>0</v>
      </c>
      <c r="U35" s="443"/>
      <c r="V35" s="446">
        <v>0</v>
      </c>
      <c r="W35" s="449">
        <f t="shared" ca="1" si="47"/>
        <v>1.5</v>
      </c>
      <c r="X35" s="452">
        <f t="shared" si="2"/>
        <v>35</v>
      </c>
      <c r="Y35" s="440">
        <v>4.34</v>
      </c>
      <c r="Z35" s="440">
        <f t="shared" ca="1" si="48"/>
        <v>0.22</v>
      </c>
      <c r="AA35" s="241">
        <v>46213</v>
      </c>
      <c r="AF35" s="225">
        <f t="shared" ref="AF35:AF37" ca="1" si="64">TODAY()</f>
        <v>46156</v>
      </c>
      <c r="AG35" s="225" t="b">
        <f t="shared" si="58"/>
        <v>0</v>
      </c>
      <c r="AH35" s="242">
        <f t="shared" ca="1" si="59"/>
        <v>57</v>
      </c>
      <c r="AK35" s="223">
        <f t="shared" si="60"/>
        <v>28</v>
      </c>
      <c r="AL35" s="223">
        <f t="shared" si="61"/>
        <v>2026</v>
      </c>
      <c r="AS35" s="223">
        <f t="shared" si="62"/>
        <v>7</v>
      </c>
      <c r="AT35" s="223">
        <f t="shared" si="63"/>
        <v>2026</v>
      </c>
    </row>
    <row r="36" spans="2:46" ht="15.75" x14ac:dyDescent="0.25">
      <c r="B36" s="229" t="s">
        <v>505</v>
      </c>
      <c r="C36" s="244" t="s">
        <v>263</v>
      </c>
      <c r="D36" s="245">
        <v>1011</v>
      </c>
      <c r="E36" s="232" t="s">
        <v>4</v>
      </c>
      <c r="F36" s="435">
        <v>2.69</v>
      </c>
      <c r="G36" s="234">
        <v>46079</v>
      </c>
      <c r="H36" s="235" t="s">
        <v>19</v>
      </c>
      <c r="I36" s="235"/>
      <c r="J36" s="440">
        <v>7.0000000000000007E-2</v>
      </c>
      <c r="K36" s="443">
        <f ca="1">ROUND(IF(ISERROR(OFFSET(Tabella!$A$1,MATCH(H36,Tabella!$A:$A,0)-1,MATCH(J36,Tabella!$A$1:$AC$1,0)-1)=TRUE),0,+OFFSET(Tabella!$A$1,MATCH(H36,Tabella!$A:$A,0)-1,MATCH(J36,Tabella!$A$1:$AC$1,0)-1)),4)</f>
        <v>1.35</v>
      </c>
      <c r="L36" s="446">
        <f ca="1">ROUND(IF(ISERROR(OFFSET(Ottone!$A$1,MATCH(H36,Ottone!$A:$A,0)-1,MATCH(J36,Ottone!$A$1:$Z$1,0)-1)=TRUE),0,OFFSET(Ottone!$A$1,MATCH(H36,Ottone!$A:$A,0)-1,MATCH(J36,Ottone!$A$1:$Z$1,0)-1))*IF(E36="Ottone",1,0),4)</f>
        <v>0</v>
      </c>
      <c r="M36" s="446">
        <f ca="1">ROUND(IF(ISERROR(OFFSET(Rame!$A$1,MATCH(H36,Rame!$A:$A,0)-1,MATCH(J36,Rame!$A$1:$AA$1,0)-1)=TRUE),0,OFFSET(Rame!$A$1,MATCH(H36,Rame!$A:$A,0)-1,MATCH(J36,Rame!$A$1:$AA$1,0)-1))*IF(E36="Rame",1,0),4)</f>
        <v>0</v>
      </c>
      <c r="N36" s="446">
        <v>0</v>
      </c>
      <c r="O36" s="446">
        <f t="shared" ref="O36:O41" ca="1" si="65">ROUND(SUM(K36:N36),4)</f>
        <v>1.35</v>
      </c>
      <c r="P36" s="446">
        <f ca="1">ROUND(+IF(ISERROR(OFFSET(Tabella!$G$1,MATCH(H36,Tabella!$G:$G,0)-1,MATCH(I36,Tabella!$G$1:$FG$1,0)-1)=TRUE),0,OFFSET(Tabella!$G$1,MATCH(H36,Tabella!$G:$G,0)-1,MATCH(I36,Tabella!$G$1:$AB$1,0)-1)),4)</f>
        <v>0</v>
      </c>
      <c r="Q36" s="446">
        <f ca="1">ROUND(IF(ISERROR(OFFSET(Ottone!$F$1,MATCH(H36,Ottone!$A:$A,0)-1,MATCH(I36,Ottone!$F$1:$FF$1,0)-1)=TRUE),0,OFFSET(Ottone!$F$1,MATCH(H36,Ottone!$A:$A,0)-1,MATCH(I36,Ottone!$F$1:$FF$1,0)-1))*IF(E36="Ottone",1,0),4)</f>
        <v>0</v>
      </c>
      <c r="R36" s="446">
        <f ca="1">ROUND(IF(ISERROR(OFFSET(Rame!$F$1,MATCH(H36,Rame!$F:$F,0)-1,MATCH(I36,Rame!$F$1:$FF$1,0)-1)=TRUE),0,OFFSET(Rame!$F$1,MATCH(H36,Rame!$F:$F,0)-1,MATCH(I36,Rame!$F$1:$FF$1,0)-1))*IF(E36="Rame",1,0),4)</f>
        <v>0</v>
      </c>
      <c r="S36" s="446">
        <f ca="1">ROUND(IF(ISERROR(OFFSET(Bronzo!$A$1,MATCH(H36,Bronzo!$A:$A,0)-1,MATCH(I36,Bronzo!$A$1:$AA$1,0)-1)=TRUE),0,OFFSET(Bronzo!$A$1,MATCH(H36,Bronzo!$A:$A,0)-1,MATCH(I36,Bronzo!$A$1:$AA$1,0)-1)),4)</f>
        <v>0</v>
      </c>
      <c r="T36" s="446">
        <f t="shared" ca="1" si="46"/>
        <v>0</v>
      </c>
      <c r="U36" s="443"/>
      <c r="V36" s="446">
        <v>0</v>
      </c>
      <c r="W36" s="449">
        <f t="shared" ca="1" si="47"/>
        <v>1.35</v>
      </c>
      <c r="X36" s="454">
        <f t="shared" si="2"/>
        <v>70.77</v>
      </c>
      <c r="Y36" s="440">
        <v>4.26</v>
      </c>
      <c r="Z36" s="440">
        <f t="shared" ca="1" si="48"/>
        <v>0.22</v>
      </c>
      <c r="AA36" s="241"/>
      <c r="AD36" s="223" t="s">
        <v>403</v>
      </c>
      <c r="AF36" s="225">
        <f t="shared" ca="1" si="64"/>
        <v>46156</v>
      </c>
      <c r="AG36" s="225" t="b">
        <f t="shared" ref="AG36:AG50" si="66">ISBLANK(AA36)</f>
        <v>1</v>
      </c>
      <c r="AH36" s="242" t="str">
        <f t="shared" ref="AH36:AH50" si="67">IF(AG36=FALSE,_xlfn.DAYS(AA36,AF36),"")</f>
        <v/>
      </c>
      <c r="AK36" s="223">
        <f t="shared" ref="AK36:AK50" si="68">WEEKNUM(AA36)</f>
        <v>0</v>
      </c>
      <c r="AL36" s="223">
        <f t="shared" ref="AL36:AL50" si="69">YEAR(AA36)</f>
        <v>1900</v>
      </c>
      <c r="AS36" s="223">
        <f t="shared" ref="AS36:AS51" si="70">IF(AA36="",0,MONTH(AA36))</f>
        <v>0</v>
      </c>
      <c r="AT36" s="223">
        <f t="shared" ref="AT36:AT51" si="71">IF(AA36="",0,YEAR(AA36))</f>
        <v>0</v>
      </c>
    </row>
    <row r="37" spans="2:46" ht="15.75" x14ac:dyDescent="0.25">
      <c r="B37" s="229" t="s">
        <v>506</v>
      </c>
      <c r="C37" s="244" t="s">
        <v>263</v>
      </c>
      <c r="D37" s="245">
        <v>1604</v>
      </c>
      <c r="E37" s="232" t="s">
        <v>4</v>
      </c>
      <c r="F37" s="435">
        <v>2.69</v>
      </c>
      <c r="G37" s="234">
        <v>46079</v>
      </c>
      <c r="H37" s="235" t="s">
        <v>243</v>
      </c>
      <c r="I37" s="235"/>
      <c r="J37" s="440">
        <v>7.0000000000000007E-2</v>
      </c>
      <c r="K37" s="443">
        <f ca="1">ROUND(IF(ISERROR(OFFSET(Tabella!$A$1,MATCH(H37,Tabella!$A:$A,0)-1,MATCH(J37,Tabella!$A$1:$AC$1,0)-1)=TRUE),0,+OFFSET(Tabella!$A$1,MATCH(H37,Tabella!$A:$A,0)-1,MATCH(J37,Tabella!$A$1:$AC$1,0)-1)),4)</f>
        <v>1.4</v>
      </c>
      <c r="L37" s="446">
        <f ca="1">ROUND(IF(ISERROR(OFFSET(Ottone!$A$1,MATCH(H37,Ottone!$A:$A,0)-1,MATCH(J37,Ottone!$A$1:$Z$1,0)-1)=TRUE),0,OFFSET(Ottone!$A$1,MATCH(H37,Ottone!$A:$A,0)-1,MATCH(J37,Ottone!$A$1:$Z$1,0)-1))*IF(E37="Ottone",1,0),4)</f>
        <v>0</v>
      </c>
      <c r="M37" s="446">
        <f ca="1">ROUND(IF(ISERROR(OFFSET(Rame!$A$1,MATCH(H37,Rame!$A:$A,0)-1,MATCH(J37,Rame!$A$1:$AA$1,0)-1)=TRUE),0,OFFSET(Rame!$A$1,MATCH(H37,Rame!$A:$A,0)-1,MATCH(J37,Rame!$A$1:$AA$1,0)-1))*IF(E37="Rame",1,0),4)</f>
        <v>0</v>
      </c>
      <c r="N37" s="446">
        <v>0</v>
      </c>
      <c r="O37" s="446">
        <f t="shared" ca="1" si="65"/>
        <v>1.4</v>
      </c>
      <c r="P37" s="446">
        <f ca="1">ROUND(+IF(ISERROR(OFFSET(Tabella!$G$1,MATCH(H37,Tabella!$G:$G,0)-1,MATCH(I37,Tabella!$G$1:$FG$1,0)-1)=TRUE),0,OFFSET(Tabella!$G$1,MATCH(H37,Tabella!$G:$G,0)-1,MATCH(I37,Tabella!$G$1:$AB$1,0)-1)),4)</f>
        <v>0</v>
      </c>
      <c r="Q37" s="446">
        <f ca="1">ROUND(IF(ISERROR(OFFSET(Ottone!$F$1,MATCH(H37,Ottone!$A:$A,0)-1,MATCH(I37,Ottone!$F$1:$FF$1,0)-1)=TRUE),0,OFFSET(Ottone!$F$1,MATCH(H37,Ottone!$A:$A,0)-1,MATCH(I37,Ottone!$F$1:$FF$1,0)-1))*IF(E37="Ottone",1,0),4)</f>
        <v>0</v>
      </c>
      <c r="R37" s="446">
        <f ca="1">ROUND(IF(ISERROR(OFFSET(Rame!$F$1,MATCH(H37,Rame!$F:$F,0)-1,MATCH(I37,Rame!$F$1:$FF$1,0)-1)=TRUE),0,OFFSET(Rame!$F$1,MATCH(H37,Rame!$F:$F,0)-1,MATCH(I37,Rame!$F$1:$FF$1,0)-1))*IF(E37="Rame",1,0),4)</f>
        <v>0</v>
      </c>
      <c r="S37" s="446">
        <f ca="1">ROUND(IF(ISERROR(OFFSET(Bronzo!$A$1,MATCH(H37,Bronzo!$A:$A,0)-1,MATCH(I37,Bronzo!$A$1:$AA$1,0)-1)=TRUE),0,OFFSET(Bronzo!$A$1,MATCH(H37,Bronzo!$A:$A,0)-1,MATCH(I37,Bronzo!$A$1:$AA$1,0)-1)),4)</f>
        <v>0</v>
      </c>
      <c r="T37" s="446">
        <f t="shared" ca="1" si="46"/>
        <v>0</v>
      </c>
      <c r="U37" s="443"/>
      <c r="V37" s="446">
        <v>0</v>
      </c>
      <c r="W37" s="449">
        <f t="shared" ca="1" si="47"/>
        <v>1.4</v>
      </c>
      <c r="X37" s="454">
        <f t="shared" si="2"/>
        <v>112.28</v>
      </c>
      <c r="Y37" s="440">
        <v>4.3600000000000003</v>
      </c>
      <c r="Z37" s="440">
        <f t="shared" ca="1" si="48"/>
        <v>0.27</v>
      </c>
      <c r="AA37" s="241"/>
      <c r="AD37" s="223" t="s">
        <v>403</v>
      </c>
      <c r="AF37" s="225">
        <f t="shared" ca="1" si="64"/>
        <v>46156</v>
      </c>
      <c r="AG37" s="225" t="b">
        <f t="shared" si="66"/>
        <v>1</v>
      </c>
      <c r="AH37" s="242" t="str">
        <f t="shared" si="67"/>
        <v/>
      </c>
      <c r="AK37" s="223">
        <f t="shared" si="68"/>
        <v>0</v>
      </c>
      <c r="AL37" s="223">
        <f t="shared" si="69"/>
        <v>1900</v>
      </c>
      <c r="AS37" s="223">
        <f t="shared" si="70"/>
        <v>0</v>
      </c>
      <c r="AT37" s="223">
        <f t="shared" si="71"/>
        <v>0</v>
      </c>
    </row>
    <row r="38" spans="2:46" ht="15.75" x14ac:dyDescent="0.25">
      <c r="B38" s="229" t="s">
        <v>481</v>
      </c>
      <c r="C38" s="235" t="s">
        <v>396</v>
      </c>
      <c r="D38" s="243">
        <v>700</v>
      </c>
      <c r="E38" s="232" t="s">
        <v>4</v>
      </c>
      <c r="F38" s="435">
        <v>2.65</v>
      </c>
      <c r="G38" s="234">
        <v>46079</v>
      </c>
      <c r="H38" s="235" t="s">
        <v>9</v>
      </c>
      <c r="I38" s="235"/>
      <c r="J38" s="440">
        <v>7.0000000000000007E-2</v>
      </c>
      <c r="K38" s="443">
        <f ca="1">ROUND(IF(ISERROR(OFFSET(Tabella!$A$1,MATCH(H38,Tabella!$A:$A,0)-1,MATCH(J38,Tabella!$A$1:$AC$1,0)-1)=TRUE),0,+OFFSET(Tabella!$A$1,MATCH(H38,Tabella!$A:$A,0)-1,MATCH(J38,Tabella!$A$1:$AC$1,0)-1)),4)</f>
        <v>1.6</v>
      </c>
      <c r="L38" s="446">
        <f ca="1">ROUND(IF(ISERROR(OFFSET(Ottone!$A$1,MATCH(H38,Ottone!$A:$A,0)-1,MATCH(J38,Ottone!$A$1:$Z$1,0)-1)=TRUE),0,OFFSET(Ottone!$A$1,MATCH(H38,Ottone!$A:$A,0)-1,MATCH(J38,Ottone!$A$1:$Z$1,0)-1))*IF(E38="Ottone",1,0),4)</f>
        <v>0</v>
      </c>
      <c r="M38" s="446">
        <f ca="1">ROUND(IF(ISERROR(OFFSET(Rame!$A$1,MATCH(H38,Rame!$A:$A,0)-1,MATCH(J38,Rame!$A$1:$AA$1,0)-1)=TRUE),0,OFFSET(Rame!$A$1,MATCH(H38,Rame!$A:$A,0)-1,MATCH(J38,Rame!$A$1:$AA$1,0)-1))*IF(E38="Rame",1,0),4)</f>
        <v>0</v>
      </c>
      <c r="N38" s="446">
        <v>0</v>
      </c>
      <c r="O38" s="446">
        <f t="shared" ca="1" si="65"/>
        <v>1.6</v>
      </c>
      <c r="P38" s="446">
        <f ca="1">ROUND(+IF(ISERROR(OFFSET(Tabella!$G$1,MATCH(H38,Tabella!$G:$G,0)-1,MATCH(I38,Tabella!$G$1:$FG$1,0)-1)=TRUE),0,OFFSET(Tabella!$G$1,MATCH(H38,Tabella!$G:$G,0)-1,MATCH(I38,Tabella!$G$1:$AB$1,0)-1)),4)</f>
        <v>0</v>
      </c>
      <c r="Q38" s="446">
        <f ca="1">ROUND(IF(ISERROR(OFFSET(Ottone!$F$1,MATCH(H38,Ottone!$A:$A,0)-1,MATCH(I38,Ottone!$F$1:$FF$1,0)-1)=TRUE),0,OFFSET(Ottone!$F$1,MATCH(H38,Ottone!$A:$A,0)-1,MATCH(I38,Ottone!$F$1:$FF$1,0)-1))*IF(E38="Ottone",1,0),4)</f>
        <v>0</v>
      </c>
      <c r="R38" s="446">
        <f ca="1">ROUND(IF(ISERROR(OFFSET(Rame!$F$1,MATCH(H38,Rame!$F:$F,0)-1,MATCH(I38,Rame!$F$1:$FF$1,0)-1)=TRUE),0,OFFSET(Rame!$F$1,MATCH(H38,Rame!$F:$F,0)-1,MATCH(I38,Rame!$F$1:$FF$1,0)-1))*IF(E38="Rame",1,0),4)</f>
        <v>0</v>
      </c>
      <c r="S38" s="446">
        <f ca="1">ROUND(IF(ISERROR(OFFSET(Bronzo!$A$1,MATCH(H38,Bronzo!$A:$A,0)-1,MATCH(I38,Bronzo!$A$1:$AA$1,0)-1)=TRUE),0,OFFSET(Bronzo!$A$1,MATCH(H38,Bronzo!$A:$A,0)-1,MATCH(I38,Bronzo!$A$1:$AA$1,0)-1)),4)</f>
        <v>0</v>
      </c>
      <c r="T38" s="446">
        <f t="shared" ca="1" si="46"/>
        <v>0</v>
      </c>
      <c r="U38" s="443"/>
      <c r="V38" s="446">
        <v>0</v>
      </c>
      <c r="W38" s="449">
        <f t="shared" ca="1" si="47"/>
        <v>1.6</v>
      </c>
      <c r="X38" s="452">
        <f t="shared" si="2"/>
        <v>49</v>
      </c>
      <c r="Y38" s="440">
        <v>4.67</v>
      </c>
      <c r="Z38" s="440">
        <f t="shared" ca="1" si="48"/>
        <v>0.42</v>
      </c>
      <c r="AA38" s="241">
        <v>46192</v>
      </c>
      <c r="AF38" s="225">
        <f t="shared" ref="AF38:AF58" ca="1" si="72">TODAY()</f>
        <v>46156</v>
      </c>
      <c r="AG38" s="225" t="b">
        <f t="shared" si="66"/>
        <v>0</v>
      </c>
      <c r="AH38" s="242">
        <f t="shared" ca="1" si="67"/>
        <v>36</v>
      </c>
      <c r="AK38" s="223">
        <f t="shared" si="68"/>
        <v>25</v>
      </c>
      <c r="AL38" s="223">
        <f t="shared" si="69"/>
        <v>2026</v>
      </c>
      <c r="AS38" s="223">
        <f t="shared" si="70"/>
        <v>6</v>
      </c>
      <c r="AT38" s="223">
        <f t="shared" si="71"/>
        <v>2026</v>
      </c>
    </row>
    <row r="39" spans="2:46" ht="15.75" x14ac:dyDescent="0.25">
      <c r="B39" s="229" t="s">
        <v>459</v>
      </c>
      <c r="C39" s="235" t="s">
        <v>92</v>
      </c>
      <c r="D39" s="243">
        <v>2200</v>
      </c>
      <c r="E39" s="232" t="s">
        <v>4</v>
      </c>
      <c r="F39" s="435">
        <v>2.68</v>
      </c>
      <c r="G39" s="234">
        <v>46080</v>
      </c>
      <c r="H39" s="235" t="s">
        <v>21</v>
      </c>
      <c r="I39" s="235"/>
      <c r="J39" s="440">
        <v>7.0000000000000007E-2</v>
      </c>
      <c r="K39" s="443">
        <f ca="1">ROUND(IF(ISERROR(OFFSET(Tabella!$A$1,MATCH(H39,Tabella!$A:$A,0)-1,MATCH(J39,Tabella!$A$1:$AC$1,0)-1)=TRUE),0,+OFFSET(Tabella!$A$1,MATCH(H39,Tabella!$A:$A,0)-1,MATCH(J39,Tabella!$A$1:$AC$1,0)-1)),4)</f>
        <v>1.25</v>
      </c>
      <c r="L39" s="446">
        <f ca="1">ROUND(IF(ISERROR(OFFSET(Ottone!$A$1,MATCH(H39,Ottone!$A:$A,0)-1,MATCH(J39,Ottone!$A$1:$Z$1,0)-1)=TRUE),0,OFFSET(Ottone!$A$1,MATCH(H39,Ottone!$A:$A,0)-1,MATCH(J39,Ottone!$A$1:$Z$1,0)-1))*IF(E39="Ottone",1,0),4)</f>
        <v>0</v>
      </c>
      <c r="M39" s="446">
        <f ca="1">ROUND(IF(ISERROR(OFFSET(Rame!$A$1,MATCH(H39,Rame!$A:$A,0)-1,MATCH(J39,Rame!$A$1:$AA$1,0)-1)=TRUE),0,OFFSET(Rame!$A$1,MATCH(H39,Rame!$A:$A,0)-1,MATCH(J39,Rame!$A$1:$AA$1,0)-1))*IF(E39="Rame",1,0),4)</f>
        <v>0</v>
      </c>
      <c r="N39" s="446">
        <v>0</v>
      </c>
      <c r="O39" s="446">
        <f t="shared" ca="1" si="65"/>
        <v>1.25</v>
      </c>
      <c r="P39" s="446">
        <f ca="1">ROUND(+IF(ISERROR(OFFSET(Tabella!$G$1,MATCH(H39,Tabella!$G:$G,0)-1,MATCH(I39,Tabella!$G$1:$FG$1,0)-1)=TRUE),0,OFFSET(Tabella!$G$1,MATCH(H39,Tabella!$G:$G,0)-1,MATCH(I39,Tabella!$G$1:$AB$1,0)-1)),4)</f>
        <v>0</v>
      </c>
      <c r="Q39" s="446">
        <f ca="1">ROUND(IF(ISERROR(OFFSET(Ottone!$F$1,MATCH(H39,Ottone!$A:$A,0)-1,MATCH(I39,Ottone!$F$1:$FF$1,0)-1)=TRUE),0,OFFSET(Ottone!$F$1,MATCH(H39,Ottone!$A:$A,0)-1,MATCH(I39,Ottone!$F$1:$FF$1,0)-1))*IF(E39="Ottone",1,0),4)</f>
        <v>0</v>
      </c>
      <c r="R39" s="446">
        <f ca="1">ROUND(IF(ISERROR(OFFSET(Rame!$F$1,MATCH(H39,Rame!$F:$F,0)-1,MATCH(I39,Rame!$F$1:$FF$1,0)-1)=TRUE),0,OFFSET(Rame!$F$1,MATCH(H39,Rame!$F:$F,0)-1,MATCH(I39,Rame!$F$1:$FF$1,0)-1))*IF(E39="Rame",1,0),4)</f>
        <v>0</v>
      </c>
      <c r="S39" s="446">
        <f ca="1">ROUND(IF(ISERROR(OFFSET(Bronzo!$A$1,MATCH(H39,Bronzo!$A:$A,0)-1,MATCH(I39,Bronzo!$A$1:$AA$1,0)-1)=TRUE),0,OFFSET(Bronzo!$A$1,MATCH(H39,Bronzo!$A:$A,0)-1,MATCH(I39,Bronzo!$A$1:$AA$1,0)-1)),4)</f>
        <v>0</v>
      </c>
      <c r="T39" s="446">
        <f t="shared" ca="1" si="46"/>
        <v>0</v>
      </c>
      <c r="U39" s="443"/>
      <c r="V39" s="446">
        <v>0</v>
      </c>
      <c r="W39" s="449">
        <f t="shared" ca="1" si="47"/>
        <v>1.25</v>
      </c>
      <c r="X39" s="452">
        <f t="shared" si="2"/>
        <v>154</v>
      </c>
      <c r="Y39" s="440">
        <v>4.18</v>
      </c>
      <c r="Z39" s="440">
        <f t="shared" ca="1" si="48"/>
        <v>0.25</v>
      </c>
      <c r="AA39" s="241">
        <v>46147</v>
      </c>
      <c r="AF39" s="225">
        <f t="shared" ca="1" si="72"/>
        <v>46156</v>
      </c>
      <c r="AG39" s="225" t="b">
        <f t="shared" si="66"/>
        <v>0</v>
      </c>
      <c r="AH39" s="242">
        <f t="shared" ca="1" si="67"/>
        <v>-9</v>
      </c>
      <c r="AK39" s="223">
        <f t="shared" si="68"/>
        <v>19</v>
      </c>
      <c r="AL39" s="223">
        <f t="shared" si="69"/>
        <v>2026</v>
      </c>
      <c r="AS39" s="223">
        <f t="shared" si="70"/>
        <v>5</v>
      </c>
      <c r="AT39" s="223">
        <f t="shared" si="71"/>
        <v>2026</v>
      </c>
    </row>
    <row r="40" spans="2:46" ht="15.75" x14ac:dyDescent="0.25">
      <c r="B40" s="229" t="s">
        <v>459</v>
      </c>
      <c r="C40" s="235" t="s">
        <v>92</v>
      </c>
      <c r="D40" s="243">
        <v>12000</v>
      </c>
      <c r="E40" s="232" t="s">
        <v>4</v>
      </c>
      <c r="F40" s="435">
        <v>2.68</v>
      </c>
      <c r="G40" s="234">
        <v>46080</v>
      </c>
      <c r="H40" s="235" t="s">
        <v>24</v>
      </c>
      <c r="I40" s="235"/>
      <c r="J40" s="440">
        <v>7.0000000000000007E-2</v>
      </c>
      <c r="K40" s="443">
        <f ca="1">ROUND(IF(ISERROR(OFFSET(Tabella!$A$1,MATCH(H40,Tabella!$A:$A,0)-1,MATCH(J40,Tabella!$A$1:$AC$1,0)-1)=TRUE),0,+OFFSET(Tabella!$A$1,MATCH(H40,Tabella!$A:$A,0)-1,MATCH(J40,Tabella!$A$1:$AC$1,0)-1)),4)</f>
        <v>1.25</v>
      </c>
      <c r="L40" s="446">
        <f ca="1">ROUND(IF(ISERROR(OFFSET(Ottone!$A$1,MATCH(H40,Ottone!$A:$A,0)-1,MATCH(J40,Ottone!$A$1:$Z$1,0)-1)=TRUE),0,OFFSET(Ottone!$A$1,MATCH(H40,Ottone!$A:$A,0)-1,MATCH(J40,Ottone!$A$1:$Z$1,0)-1))*IF(E40="Ottone",1,0),4)</f>
        <v>0</v>
      </c>
      <c r="M40" s="446">
        <f ca="1">ROUND(IF(ISERROR(OFFSET(Rame!$A$1,MATCH(H40,Rame!$A:$A,0)-1,MATCH(J40,Rame!$A$1:$AA$1,0)-1)=TRUE),0,OFFSET(Rame!$A$1,MATCH(H40,Rame!$A:$A,0)-1,MATCH(J40,Rame!$A$1:$AA$1,0)-1))*IF(E40="Rame",1,0),4)</f>
        <v>0</v>
      </c>
      <c r="N40" s="446">
        <v>0</v>
      </c>
      <c r="O40" s="446">
        <f t="shared" ca="1" si="65"/>
        <v>1.25</v>
      </c>
      <c r="P40" s="446">
        <f ca="1">ROUND(+IF(ISERROR(OFFSET(Tabella!$G$1,MATCH(H40,Tabella!$G:$G,0)-1,MATCH(I40,Tabella!$G$1:$FG$1,0)-1)=TRUE),0,OFFSET(Tabella!$G$1,MATCH(H40,Tabella!$G:$G,0)-1,MATCH(I40,Tabella!$G$1:$AB$1,0)-1)),4)</f>
        <v>0</v>
      </c>
      <c r="Q40" s="446">
        <f ca="1">ROUND(IF(ISERROR(OFFSET(Ottone!$F$1,MATCH(H40,Ottone!$A:$A,0)-1,MATCH(I40,Ottone!$F$1:$FF$1,0)-1)=TRUE),0,OFFSET(Ottone!$F$1,MATCH(H40,Ottone!$A:$A,0)-1,MATCH(I40,Ottone!$F$1:$FF$1,0)-1))*IF(E40="Ottone",1,0),4)</f>
        <v>0</v>
      </c>
      <c r="R40" s="446">
        <f ca="1">ROUND(IF(ISERROR(OFFSET(Rame!$F$1,MATCH(H40,Rame!$F:$F,0)-1,MATCH(I40,Rame!$F$1:$FF$1,0)-1)=TRUE),0,OFFSET(Rame!$F$1,MATCH(H40,Rame!$F:$F,0)-1,MATCH(I40,Rame!$F$1:$FF$1,0)-1))*IF(E40="Rame",1,0),4)</f>
        <v>0</v>
      </c>
      <c r="S40" s="446">
        <f ca="1">ROUND(IF(ISERROR(OFFSET(Bronzo!$A$1,MATCH(H40,Bronzo!$A:$A,0)-1,MATCH(I40,Bronzo!$A$1:$AA$1,0)-1)=TRUE),0,OFFSET(Bronzo!$A$1,MATCH(H40,Bronzo!$A:$A,0)-1,MATCH(I40,Bronzo!$A$1:$AA$1,0)-1)),4)</f>
        <v>0</v>
      </c>
      <c r="T40" s="446">
        <f t="shared" ca="1" si="46"/>
        <v>0</v>
      </c>
      <c r="U40" s="443"/>
      <c r="V40" s="446">
        <v>0</v>
      </c>
      <c r="W40" s="449">
        <f t="shared" ca="1" si="47"/>
        <v>1.25</v>
      </c>
      <c r="X40" s="452">
        <f t="shared" si="2"/>
        <v>840</v>
      </c>
      <c r="Y40" s="440">
        <v>4.18</v>
      </c>
      <c r="Z40" s="440">
        <f t="shared" ca="1" si="48"/>
        <v>0.25</v>
      </c>
      <c r="AA40" s="241">
        <v>46147</v>
      </c>
      <c r="AF40" s="225">
        <f t="shared" ca="1" si="72"/>
        <v>46156</v>
      </c>
      <c r="AG40" s="225" t="b">
        <f t="shared" si="66"/>
        <v>0</v>
      </c>
      <c r="AH40" s="242">
        <f t="shared" ca="1" si="67"/>
        <v>-9</v>
      </c>
      <c r="AK40" s="223">
        <f t="shared" si="68"/>
        <v>19</v>
      </c>
      <c r="AL40" s="223">
        <f t="shared" si="69"/>
        <v>2026</v>
      </c>
      <c r="AS40" s="223">
        <f t="shared" si="70"/>
        <v>5</v>
      </c>
      <c r="AT40" s="223">
        <f t="shared" si="71"/>
        <v>2026</v>
      </c>
    </row>
    <row r="41" spans="2:46" ht="15.75" x14ac:dyDescent="0.25">
      <c r="B41" s="229" t="s">
        <v>459</v>
      </c>
      <c r="C41" s="235" t="s">
        <v>92</v>
      </c>
      <c r="D41" s="243">
        <v>1300</v>
      </c>
      <c r="E41" s="232" t="s">
        <v>4</v>
      </c>
      <c r="F41" s="435">
        <v>2.68</v>
      </c>
      <c r="G41" s="234">
        <v>46080</v>
      </c>
      <c r="H41" s="235" t="s">
        <v>315</v>
      </c>
      <c r="I41" s="235"/>
      <c r="J41" s="440">
        <v>7.0000000000000007E-2</v>
      </c>
      <c r="K41" s="443">
        <f ca="1">ROUND(IF(ISERROR(OFFSET(Tabella!$A$1,MATCH(H41,Tabella!$A:$A,0)-1,MATCH(J41,Tabella!$A$1:$AC$1,0)-1)=TRUE),0,+OFFSET(Tabella!$A$1,MATCH(H41,Tabella!$A:$A,0)-1,MATCH(J41,Tabella!$A$1:$AC$1,0)-1)),4)</f>
        <v>1.25</v>
      </c>
      <c r="L41" s="446">
        <f ca="1">ROUND(IF(ISERROR(OFFSET(Ottone!$A$1,MATCH(H41,Ottone!$A:$A,0)-1,MATCH(J41,Ottone!$A$1:$Z$1,0)-1)=TRUE),0,OFFSET(Ottone!$A$1,MATCH(H41,Ottone!$A:$A,0)-1,MATCH(J41,Ottone!$A$1:$Z$1,0)-1))*IF(E41="Ottone",1,0),4)</f>
        <v>0</v>
      </c>
      <c r="M41" s="446">
        <f ca="1">ROUND(IF(ISERROR(OFFSET(Rame!$A$1,MATCH(H41,Rame!$A:$A,0)-1,MATCH(J41,Rame!$A$1:$AA$1,0)-1)=TRUE),0,OFFSET(Rame!$A$1,MATCH(H41,Rame!$A:$A,0)-1,MATCH(J41,Rame!$A$1:$AA$1,0)-1))*IF(E41="Rame",1,0),4)</f>
        <v>0</v>
      </c>
      <c r="N41" s="446">
        <v>0</v>
      </c>
      <c r="O41" s="446">
        <f t="shared" ca="1" si="65"/>
        <v>1.25</v>
      </c>
      <c r="P41" s="446">
        <f ca="1">ROUND(+IF(ISERROR(OFFSET(Tabella!$G$1,MATCH(H41,Tabella!$G:$G,0)-1,MATCH(I41,Tabella!$G$1:$FG$1,0)-1)=TRUE),0,OFFSET(Tabella!$G$1,MATCH(H41,Tabella!$G:$G,0)-1,MATCH(I41,Tabella!$G$1:$AB$1,0)-1)),4)</f>
        <v>0</v>
      </c>
      <c r="Q41" s="446">
        <f ca="1">ROUND(IF(ISERROR(OFFSET(Ottone!$F$1,MATCH(H41,Ottone!$A:$A,0)-1,MATCH(I41,Ottone!$F$1:$FF$1,0)-1)=TRUE),0,OFFSET(Ottone!$F$1,MATCH(H41,Ottone!$A:$A,0)-1,MATCH(I41,Ottone!$F$1:$FF$1,0)-1))*IF(E41="Ottone",1,0),4)</f>
        <v>0</v>
      </c>
      <c r="R41" s="446">
        <f ca="1">ROUND(IF(ISERROR(OFFSET(Rame!$F$1,MATCH(H41,Rame!$F:$F,0)-1,MATCH(I41,Rame!$F$1:$FF$1,0)-1)=TRUE),0,OFFSET(Rame!$F$1,MATCH(H41,Rame!$F:$F,0)-1,MATCH(I41,Rame!$F$1:$FF$1,0)-1))*IF(E41="Rame",1,0),4)</f>
        <v>0</v>
      </c>
      <c r="S41" s="446">
        <f ca="1">ROUND(IF(ISERROR(OFFSET(Bronzo!$A$1,MATCH(H41,Bronzo!$A:$A,0)-1,MATCH(I41,Bronzo!$A$1:$AA$1,0)-1)=TRUE),0,OFFSET(Bronzo!$A$1,MATCH(H41,Bronzo!$A:$A,0)-1,MATCH(I41,Bronzo!$A$1:$AA$1,0)-1)),4)</f>
        <v>0</v>
      </c>
      <c r="T41" s="446">
        <f t="shared" ca="1" si="46"/>
        <v>0</v>
      </c>
      <c r="U41" s="443"/>
      <c r="V41" s="446">
        <v>0</v>
      </c>
      <c r="W41" s="449">
        <f t="shared" ca="1" si="47"/>
        <v>1.25</v>
      </c>
      <c r="X41" s="452">
        <f t="shared" si="2"/>
        <v>91</v>
      </c>
      <c r="Y41" s="440">
        <v>4.18</v>
      </c>
      <c r="Z41" s="440">
        <f t="shared" ca="1" si="48"/>
        <v>0.25</v>
      </c>
      <c r="AA41" s="241">
        <v>46147</v>
      </c>
      <c r="AF41" s="225">
        <f t="shared" ca="1" si="72"/>
        <v>46156</v>
      </c>
      <c r="AG41" s="225" t="b">
        <f t="shared" si="66"/>
        <v>0</v>
      </c>
      <c r="AH41" s="242">
        <f t="shared" ca="1" si="67"/>
        <v>-9</v>
      </c>
      <c r="AK41" s="223">
        <f t="shared" si="68"/>
        <v>19</v>
      </c>
      <c r="AL41" s="223">
        <f t="shared" si="69"/>
        <v>2026</v>
      </c>
      <c r="AS41" s="223">
        <f t="shared" si="70"/>
        <v>5</v>
      </c>
      <c r="AT41" s="223">
        <f t="shared" si="71"/>
        <v>2026</v>
      </c>
    </row>
    <row r="42" spans="2:46" ht="15.75" x14ac:dyDescent="0.25">
      <c r="B42" s="229" t="s">
        <v>507</v>
      </c>
      <c r="C42" s="244" t="s">
        <v>263</v>
      </c>
      <c r="D42" s="245">
        <v>2624</v>
      </c>
      <c r="E42" s="232" t="s">
        <v>4</v>
      </c>
      <c r="F42" s="435">
        <v>2.61</v>
      </c>
      <c r="G42" s="234">
        <v>46084</v>
      </c>
      <c r="H42" s="235" t="s">
        <v>15</v>
      </c>
      <c r="I42" s="235"/>
      <c r="J42" s="440">
        <v>7.0000000000000007E-2</v>
      </c>
      <c r="K42" s="443">
        <f ca="1">ROUND(IF(ISERROR(OFFSET(Tabella!$A$1,MATCH(H42,Tabella!$A:$A,0)-1,MATCH(J42,Tabella!$A$1:$AC$1,0)-1)=TRUE),0,+OFFSET(Tabella!$A$1,MATCH(H42,Tabella!$A:$A,0)-1,MATCH(J42,Tabella!$A$1:$AC$1,0)-1)),4)</f>
        <v>1.4</v>
      </c>
      <c r="L42" s="446">
        <f ca="1">ROUND(IF(ISERROR(OFFSET(Ottone!$A$1,MATCH(H42,Ottone!$A:$A,0)-1,MATCH(J42,Ottone!$A$1:$Z$1,0)-1)=TRUE),0,OFFSET(Ottone!$A$1,MATCH(H42,Ottone!$A:$A,0)-1,MATCH(J42,Ottone!$A$1:$Z$1,0)-1))*IF(E42="Ottone",1,0),4)</f>
        <v>0</v>
      </c>
      <c r="M42" s="446">
        <f ca="1">ROUND(IF(ISERROR(OFFSET(Rame!$A$1,MATCH(H42,Rame!$A:$A,0)-1,MATCH(J42,Rame!$A$1:$AA$1,0)-1)=TRUE),0,OFFSET(Rame!$A$1,MATCH(H42,Rame!$A:$A,0)-1,MATCH(J42,Rame!$A$1:$AA$1,0)-1))*IF(E42="Rame",1,0),4)</f>
        <v>0</v>
      </c>
      <c r="N42" s="446">
        <v>0</v>
      </c>
      <c r="O42" s="446">
        <v>1.65</v>
      </c>
      <c r="P42" s="446">
        <f ca="1">ROUND(+IF(ISERROR(OFFSET(Tabella!$G$1,MATCH(H42,Tabella!$G:$G,0)-1,MATCH(I42,Tabella!$G$1:$FG$1,0)-1)=TRUE),0,OFFSET(Tabella!$G$1,MATCH(H42,Tabella!$G:$G,0)-1,MATCH(I42,Tabella!$G$1:$AB$1,0)-1)),4)</f>
        <v>0</v>
      </c>
      <c r="Q42" s="446">
        <f ca="1">ROUND(IF(ISERROR(OFFSET(Ottone!$F$1,MATCH(H42,Ottone!$A:$A,0)-1,MATCH(I42,Ottone!$F$1:$FF$1,0)-1)=TRUE),0,OFFSET(Ottone!$F$1,MATCH(H42,Ottone!$A:$A,0)-1,MATCH(I42,Ottone!$F$1:$FF$1,0)-1))*IF(E42="Ottone",1,0),4)</f>
        <v>0</v>
      </c>
      <c r="R42" s="446">
        <f ca="1">ROUND(IF(ISERROR(OFFSET(Rame!$F$1,MATCH(H42,Rame!$F:$F,0)-1,MATCH(I42,Rame!$F$1:$FF$1,0)-1)=TRUE),0,OFFSET(Rame!$F$1,MATCH(H42,Rame!$F:$F,0)-1,MATCH(I42,Rame!$F$1:$FF$1,0)-1))*IF(E42="Rame",1,0),4)</f>
        <v>0</v>
      </c>
      <c r="S42" s="446">
        <f ca="1">ROUND(IF(ISERROR(OFFSET(Bronzo!$A$1,MATCH(H42,Bronzo!$A:$A,0)-1,MATCH(I42,Bronzo!$A$1:$AA$1,0)-1)=TRUE),0,OFFSET(Bronzo!$A$1,MATCH(H42,Bronzo!$A:$A,0)-1,MATCH(I42,Bronzo!$A$1:$AA$1,0)-1)),4)</f>
        <v>0</v>
      </c>
      <c r="T42" s="446">
        <f t="shared" ca="1" si="46"/>
        <v>0</v>
      </c>
      <c r="U42" s="443"/>
      <c r="V42" s="446">
        <v>0</v>
      </c>
      <c r="W42" s="449">
        <f t="shared" ca="1" si="47"/>
        <v>1.65</v>
      </c>
      <c r="X42" s="454">
        <f t="shared" si="2"/>
        <v>183.68</v>
      </c>
      <c r="Y42" s="440">
        <v>4.33</v>
      </c>
      <c r="Z42" s="440">
        <f t="shared" ca="1" si="48"/>
        <v>7.0000000000000007E-2</v>
      </c>
      <c r="AA42" s="241"/>
      <c r="AD42" s="223" t="s">
        <v>403</v>
      </c>
      <c r="AF42" s="225">
        <f t="shared" ca="1" si="72"/>
        <v>46156</v>
      </c>
      <c r="AG42" s="225" t="b">
        <f t="shared" si="66"/>
        <v>1</v>
      </c>
      <c r="AH42" s="242" t="str">
        <f t="shared" si="67"/>
        <v/>
      </c>
      <c r="AK42" s="223">
        <f t="shared" si="68"/>
        <v>0</v>
      </c>
      <c r="AL42" s="223">
        <f t="shared" si="69"/>
        <v>1900</v>
      </c>
      <c r="AS42" s="223">
        <f t="shared" si="70"/>
        <v>0</v>
      </c>
      <c r="AT42" s="223">
        <f t="shared" si="71"/>
        <v>0</v>
      </c>
    </row>
    <row r="43" spans="2:46" ht="15.75" x14ac:dyDescent="0.25">
      <c r="B43" s="229" t="s">
        <v>507</v>
      </c>
      <c r="C43" s="244" t="s">
        <v>263</v>
      </c>
      <c r="D43" s="245">
        <v>891</v>
      </c>
      <c r="E43" s="232" t="s">
        <v>4</v>
      </c>
      <c r="F43" s="435">
        <v>2.61</v>
      </c>
      <c r="G43" s="234">
        <v>46084</v>
      </c>
      <c r="H43" s="235" t="s">
        <v>9</v>
      </c>
      <c r="I43" s="235"/>
      <c r="J43" s="440">
        <v>7.0000000000000007E-2</v>
      </c>
      <c r="K43" s="443">
        <f ca="1">ROUND(IF(ISERROR(OFFSET(Tabella!$A$1,MATCH(H43,Tabella!$A:$A,0)-1,MATCH(J43,Tabella!$A$1:$AC$1,0)-1)=TRUE),0,+OFFSET(Tabella!$A$1,MATCH(H43,Tabella!$A:$A,0)-1,MATCH(J43,Tabella!$A$1:$AC$1,0)-1)),4)</f>
        <v>1.6</v>
      </c>
      <c r="L43" s="446">
        <f ca="1">ROUND(IF(ISERROR(OFFSET(Ottone!$A$1,MATCH(H43,Ottone!$A:$A,0)-1,MATCH(J43,Ottone!$A$1:$Z$1,0)-1)=TRUE),0,OFFSET(Ottone!$A$1,MATCH(H43,Ottone!$A:$A,0)-1,MATCH(J43,Ottone!$A$1:$Z$1,0)-1))*IF(E43="Ottone",1,0),4)</f>
        <v>0</v>
      </c>
      <c r="M43" s="446">
        <f ca="1">ROUND(IF(ISERROR(OFFSET(Rame!$A$1,MATCH(H43,Rame!$A:$A,0)-1,MATCH(J43,Rame!$A$1:$AA$1,0)-1)=TRUE),0,OFFSET(Rame!$A$1,MATCH(H43,Rame!$A:$A,0)-1,MATCH(J43,Rame!$A$1:$AA$1,0)-1))*IF(E43="Rame",1,0),4)</f>
        <v>0</v>
      </c>
      <c r="N43" s="446">
        <v>0</v>
      </c>
      <c r="O43" s="446">
        <v>1.8</v>
      </c>
      <c r="P43" s="446">
        <f ca="1">ROUND(+IF(ISERROR(OFFSET(Tabella!$G$1,MATCH(H43,Tabella!$G:$G,0)-1,MATCH(I43,Tabella!$G$1:$FG$1,0)-1)=TRUE),0,OFFSET(Tabella!$G$1,MATCH(H43,Tabella!$G:$G,0)-1,MATCH(I43,Tabella!$G$1:$AB$1,0)-1)),4)</f>
        <v>0</v>
      </c>
      <c r="Q43" s="446">
        <f ca="1">ROUND(IF(ISERROR(OFFSET(Ottone!$F$1,MATCH(H43,Ottone!$A:$A,0)-1,MATCH(I43,Ottone!$F$1:$FF$1,0)-1)=TRUE),0,OFFSET(Ottone!$F$1,MATCH(H43,Ottone!$A:$A,0)-1,MATCH(I43,Ottone!$F$1:$FF$1,0)-1))*IF(E43="Ottone",1,0),4)</f>
        <v>0</v>
      </c>
      <c r="R43" s="446">
        <f ca="1">ROUND(IF(ISERROR(OFFSET(Rame!$F$1,MATCH(H43,Rame!$F:$F,0)-1,MATCH(I43,Rame!$F$1:$FF$1,0)-1)=TRUE),0,OFFSET(Rame!$F$1,MATCH(H43,Rame!$F:$F,0)-1,MATCH(I43,Rame!$F$1:$FF$1,0)-1))*IF(E43="Rame",1,0),4)</f>
        <v>0</v>
      </c>
      <c r="S43" s="446">
        <f ca="1">ROUND(IF(ISERROR(OFFSET(Bronzo!$A$1,MATCH(H43,Bronzo!$A:$A,0)-1,MATCH(I43,Bronzo!$A$1:$AA$1,0)-1)=TRUE),0,OFFSET(Bronzo!$A$1,MATCH(H43,Bronzo!$A:$A,0)-1,MATCH(I43,Bronzo!$A$1:$AA$1,0)-1)),4)</f>
        <v>0</v>
      </c>
      <c r="T43" s="446">
        <f t="shared" ca="1" si="46"/>
        <v>0</v>
      </c>
      <c r="U43" s="443"/>
      <c r="V43" s="446">
        <v>0</v>
      </c>
      <c r="W43" s="449">
        <f t="shared" ca="1" si="47"/>
        <v>1.8</v>
      </c>
      <c r="X43" s="454">
        <f t="shared" si="2"/>
        <v>62.37</v>
      </c>
      <c r="Y43" s="440">
        <v>4.4800000000000004</v>
      </c>
      <c r="Z43" s="440">
        <f t="shared" ca="1" si="48"/>
        <v>7.0000000000000007E-2</v>
      </c>
      <c r="AA43" s="241"/>
      <c r="AD43" s="223" t="s">
        <v>403</v>
      </c>
      <c r="AF43" s="225">
        <f t="shared" ca="1" si="72"/>
        <v>46156</v>
      </c>
      <c r="AG43" s="225" t="b">
        <f t="shared" si="66"/>
        <v>1</v>
      </c>
      <c r="AH43" s="242" t="str">
        <f t="shared" si="67"/>
        <v/>
      </c>
      <c r="AK43" s="223">
        <f t="shared" si="68"/>
        <v>0</v>
      </c>
      <c r="AL43" s="223">
        <f t="shared" si="69"/>
        <v>1900</v>
      </c>
      <c r="AS43" s="223">
        <f t="shared" si="70"/>
        <v>0</v>
      </c>
      <c r="AT43" s="223">
        <f t="shared" si="71"/>
        <v>0</v>
      </c>
    </row>
    <row r="44" spans="2:46" ht="15.75" x14ac:dyDescent="0.25">
      <c r="B44" s="229" t="s">
        <v>507</v>
      </c>
      <c r="C44" s="244" t="s">
        <v>263</v>
      </c>
      <c r="D44" s="245">
        <v>1636</v>
      </c>
      <c r="E44" s="232" t="s">
        <v>4</v>
      </c>
      <c r="F44" s="435">
        <v>2.61</v>
      </c>
      <c r="G44" s="234">
        <v>46084</v>
      </c>
      <c r="H44" s="235" t="s">
        <v>309</v>
      </c>
      <c r="I44" s="235"/>
      <c r="J44" s="440">
        <v>7.0000000000000007E-2</v>
      </c>
      <c r="K44" s="443">
        <f ca="1">ROUND(IF(ISERROR(OFFSET(Tabella!$A$1,MATCH(H44,Tabella!$A:$A,0)-1,MATCH(J44,Tabella!$A$1:$AC$1,0)-1)=TRUE),0,+OFFSET(Tabella!$A$1,MATCH(H44,Tabella!$A:$A,0)-1,MATCH(J44,Tabella!$A$1:$AC$1,0)-1)),4)</f>
        <v>1.25</v>
      </c>
      <c r="L44" s="446">
        <f ca="1">ROUND(IF(ISERROR(OFFSET(Ottone!$A$1,MATCH(H44,Ottone!$A:$A,0)-1,MATCH(J44,Ottone!$A$1:$Z$1,0)-1)=TRUE),0,OFFSET(Ottone!$A$1,MATCH(H44,Ottone!$A:$A,0)-1,MATCH(J44,Ottone!$A$1:$Z$1,0)-1))*IF(E44="Ottone",1,0),4)</f>
        <v>0</v>
      </c>
      <c r="M44" s="446">
        <f ca="1">ROUND(IF(ISERROR(OFFSET(Rame!$A$1,MATCH(H44,Rame!$A:$A,0)-1,MATCH(J44,Rame!$A$1:$AA$1,0)-1)=TRUE),0,OFFSET(Rame!$A$1,MATCH(H44,Rame!$A:$A,0)-1,MATCH(J44,Rame!$A$1:$AA$1,0)-1))*IF(E44="Rame",1,0),4)</f>
        <v>0</v>
      </c>
      <c r="N44" s="446">
        <v>0</v>
      </c>
      <c r="O44" s="446">
        <v>1.5</v>
      </c>
      <c r="P44" s="446">
        <f ca="1">ROUND(+IF(ISERROR(OFFSET(Tabella!$G$1,MATCH(H44,Tabella!$G:$G,0)-1,MATCH(I44,Tabella!$G$1:$FG$1,0)-1)=TRUE),0,OFFSET(Tabella!$G$1,MATCH(H44,Tabella!$G:$G,0)-1,MATCH(I44,Tabella!$G$1:$AB$1,0)-1)),4)</f>
        <v>0</v>
      </c>
      <c r="Q44" s="446">
        <f ca="1">ROUND(IF(ISERROR(OFFSET(Ottone!$F$1,MATCH(H44,Ottone!$A:$A,0)-1,MATCH(I44,Ottone!$F$1:$FF$1,0)-1)=TRUE),0,OFFSET(Ottone!$F$1,MATCH(H44,Ottone!$A:$A,0)-1,MATCH(I44,Ottone!$F$1:$FF$1,0)-1))*IF(E44="Ottone",1,0),4)</f>
        <v>0</v>
      </c>
      <c r="R44" s="446">
        <f ca="1">ROUND(IF(ISERROR(OFFSET(Rame!$F$1,MATCH(H44,Rame!$F:$F,0)-1,MATCH(I44,Rame!$F$1:$FF$1,0)-1)=TRUE),0,OFFSET(Rame!$F$1,MATCH(H44,Rame!$F:$F,0)-1,MATCH(I44,Rame!$F$1:$FF$1,0)-1))*IF(E44="Rame",1,0),4)</f>
        <v>0</v>
      </c>
      <c r="S44" s="446">
        <f ca="1">ROUND(IF(ISERROR(OFFSET(Bronzo!$A$1,MATCH(H44,Bronzo!$A:$A,0)-1,MATCH(I44,Bronzo!$A$1:$AA$1,0)-1)=TRUE),0,OFFSET(Bronzo!$A$1,MATCH(H44,Bronzo!$A:$A,0)-1,MATCH(I44,Bronzo!$A$1:$AA$1,0)-1)),4)</f>
        <v>0</v>
      </c>
      <c r="T44" s="446">
        <f t="shared" ca="1" si="46"/>
        <v>0</v>
      </c>
      <c r="U44" s="443"/>
      <c r="V44" s="446">
        <v>0</v>
      </c>
      <c r="W44" s="449">
        <f t="shared" ca="1" si="47"/>
        <v>1.5</v>
      </c>
      <c r="X44" s="454">
        <f t="shared" si="2"/>
        <v>114.52</v>
      </c>
      <c r="Y44" s="440">
        <v>4.18</v>
      </c>
      <c r="Z44" s="440">
        <f t="shared" ca="1" si="48"/>
        <v>7.0000000000000007E-2</v>
      </c>
      <c r="AA44" s="241"/>
      <c r="AD44" s="223" t="s">
        <v>403</v>
      </c>
      <c r="AF44" s="225">
        <f t="shared" ca="1" si="72"/>
        <v>46156</v>
      </c>
      <c r="AG44" s="225" t="b">
        <f t="shared" si="66"/>
        <v>1</v>
      </c>
      <c r="AH44" s="242" t="str">
        <f t="shared" si="67"/>
        <v/>
      </c>
      <c r="AK44" s="223">
        <f t="shared" si="68"/>
        <v>0</v>
      </c>
      <c r="AL44" s="223">
        <f t="shared" si="69"/>
        <v>1900</v>
      </c>
      <c r="AS44" s="223">
        <f t="shared" si="70"/>
        <v>0</v>
      </c>
      <c r="AT44" s="223">
        <f t="shared" si="71"/>
        <v>0</v>
      </c>
    </row>
    <row r="45" spans="2:46" ht="15.75" x14ac:dyDescent="0.25">
      <c r="B45" s="229" t="s">
        <v>507</v>
      </c>
      <c r="C45" s="244" t="s">
        <v>263</v>
      </c>
      <c r="D45" s="245">
        <v>1598</v>
      </c>
      <c r="E45" s="232" t="s">
        <v>4</v>
      </c>
      <c r="F45" s="435">
        <v>2.61</v>
      </c>
      <c r="G45" s="234">
        <v>46084</v>
      </c>
      <c r="H45" s="235" t="s">
        <v>322</v>
      </c>
      <c r="I45" s="235"/>
      <c r="J45" s="440">
        <v>7.0000000000000007E-2</v>
      </c>
      <c r="K45" s="443">
        <f ca="1">ROUND(IF(ISERROR(OFFSET(Tabella!$A$1,MATCH(H45,Tabella!$A:$A,0)-1,MATCH(J45,Tabella!$A$1:$AC$1,0)-1)=TRUE),0,+OFFSET(Tabella!$A$1,MATCH(H45,Tabella!$A:$A,0)-1,MATCH(J45,Tabella!$A$1:$AC$1,0)-1)),4)</f>
        <v>1.25</v>
      </c>
      <c r="L45" s="446">
        <f ca="1">ROUND(IF(ISERROR(OFFSET(Ottone!$A$1,MATCH(H45,Ottone!$A:$A,0)-1,MATCH(J45,Ottone!$A$1:$Z$1,0)-1)=TRUE),0,OFFSET(Ottone!$A$1,MATCH(H45,Ottone!$A:$A,0)-1,MATCH(J45,Ottone!$A$1:$Z$1,0)-1))*IF(E45="Ottone",1,0),4)</f>
        <v>0</v>
      </c>
      <c r="M45" s="446">
        <f ca="1">ROUND(IF(ISERROR(OFFSET(Rame!$A$1,MATCH(H45,Rame!$A:$A,0)-1,MATCH(J45,Rame!$A$1:$AA$1,0)-1)=TRUE),0,OFFSET(Rame!$A$1,MATCH(H45,Rame!$A:$A,0)-1,MATCH(J45,Rame!$A$1:$AA$1,0)-1))*IF(E45="Rame",1,0),4)</f>
        <v>0</v>
      </c>
      <c r="N45" s="446">
        <v>0</v>
      </c>
      <c r="O45" s="446">
        <v>1.5</v>
      </c>
      <c r="P45" s="446">
        <f ca="1">ROUND(+IF(ISERROR(OFFSET(Tabella!$G$1,MATCH(H45,Tabella!$G:$G,0)-1,MATCH(I45,Tabella!$G$1:$FG$1,0)-1)=TRUE),0,OFFSET(Tabella!$G$1,MATCH(H45,Tabella!$G:$G,0)-1,MATCH(I45,Tabella!$G$1:$AB$1,0)-1)),4)</f>
        <v>0</v>
      </c>
      <c r="Q45" s="446">
        <f ca="1">ROUND(IF(ISERROR(OFFSET(Ottone!$F$1,MATCH(H45,Ottone!$A:$A,0)-1,MATCH(I45,Ottone!$F$1:$FF$1,0)-1)=TRUE),0,OFFSET(Ottone!$F$1,MATCH(H45,Ottone!$A:$A,0)-1,MATCH(I45,Ottone!$F$1:$FF$1,0)-1))*IF(E45="Ottone",1,0),4)</f>
        <v>0</v>
      </c>
      <c r="R45" s="446">
        <f ca="1">ROUND(IF(ISERROR(OFFSET(Rame!$F$1,MATCH(H45,Rame!$F:$F,0)-1,MATCH(I45,Rame!$F$1:$FF$1,0)-1)=TRUE),0,OFFSET(Rame!$F$1,MATCH(H45,Rame!$F:$F,0)-1,MATCH(I45,Rame!$F$1:$FF$1,0)-1))*IF(E45="Rame",1,0),4)</f>
        <v>0</v>
      </c>
      <c r="S45" s="446">
        <f ca="1">ROUND(IF(ISERROR(OFFSET(Bronzo!$A$1,MATCH(H45,Bronzo!$A:$A,0)-1,MATCH(I45,Bronzo!$A$1:$AA$1,0)-1)=TRUE),0,OFFSET(Bronzo!$A$1,MATCH(H45,Bronzo!$A:$A,0)-1,MATCH(I45,Bronzo!$A$1:$AA$1,0)-1)),4)</f>
        <v>0</v>
      </c>
      <c r="T45" s="446">
        <f t="shared" ca="1" si="46"/>
        <v>0</v>
      </c>
      <c r="U45" s="443"/>
      <c r="V45" s="446">
        <v>0</v>
      </c>
      <c r="W45" s="449">
        <f t="shared" ca="1" si="47"/>
        <v>1.5</v>
      </c>
      <c r="X45" s="454">
        <f t="shared" si="2"/>
        <v>111.86</v>
      </c>
      <c r="Y45" s="440">
        <v>4.18</v>
      </c>
      <c r="Z45" s="440">
        <f t="shared" ca="1" si="48"/>
        <v>7.0000000000000007E-2</v>
      </c>
      <c r="AA45" s="241"/>
      <c r="AD45" s="223" t="s">
        <v>403</v>
      </c>
      <c r="AF45" s="225">
        <f t="shared" ca="1" si="72"/>
        <v>46156</v>
      </c>
      <c r="AG45" s="225" t="b">
        <f t="shared" si="66"/>
        <v>1</v>
      </c>
      <c r="AH45" s="242" t="str">
        <f t="shared" si="67"/>
        <v/>
      </c>
      <c r="AK45" s="223">
        <f t="shared" si="68"/>
        <v>0</v>
      </c>
      <c r="AL45" s="223">
        <f t="shared" si="69"/>
        <v>1900</v>
      </c>
      <c r="AS45" s="223">
        <f t="shared" si="70"/>
        <v>0</v>
      </c>
      <c r="AT45" s="223">
        <f t="shared" si="71"/>
        <v>0</v>
      </c>
    </row>
    <row r="46" spans="2:46" ht="15.75" x14ac:dyDescent="0.25">
      <c r="B46" s="229" t="s">
        <v>507</v>
      </c>
      <c r="C46" s="244" t="s">
        <v>263</v>
      </c>
      <c r="D46" s="245">
        <v>786</v>
      </c>
      <c r="E46" s="232" t="s">
        <v>4</v>
      </c>
      <c r="F46" s="435">
        <v>2.61</v>
      </c>
      <c r="G46" s="234">
        <v>46084</v>
      </c>
      <c r="H46" s="235" t="s">
        <v>314</v>
      </c>
      <c r="I46" s="235"/>
      <c r="J46" s="440">
        <v>7.0000000000000007E-2</v>
      </c>
      <c r="K46" s="443">
        <f ca="1">ROUND(IF(ISERROR(OFFSET(Tabella!$A$1,MATCH(H46,Tabella!$A:$A,0)-1,MATCH(J46,Tabella!$A$1:$AC$1,0)-1)=TRUE),0,+OFFSET(Tabella!$A$1,MATCH(H46,Tabella!$A:$A,0)-1,MATCH(J46,Tabella!$A$1:$AC$1,0)-1)),4)</f>
        <v>1.25</v>
      </c>
      <c r="L46" s="446">
        <f ca="1">ROUND(IF(ISERROR(OFFSET(Ottone!$A$1,MATCH(H46,Ottone!$A:$A,0)-1,MATCH(J46,Ottone!$A$1:$Z$1,0)-1)=TRUE),0,OFFSET(Ottone!$A$1,MATCH(H46,Ottone!$A:$A,0)-1,MATCH(J46,Ottone!$A$1:$Z$1,0)-1))*IF(E46="Ottone",1,0),4)</f>
        <v>0</v>
      </c>
      <c r="M46" s="446">
        <f ca="1">ROUND(IF(ISERROR(OFFSET(Rame!$A$1,MATCH(H46,Rame!$A:$A,0)-1,MATCH(J46,Rame!$A$1:$AA$1,0)-1)=TRUE),0,OFFSET(Rame!$A$1,MATCH(H46,Rame!$A:$A,0)-1,MATCH(J46,Rame!$A$1:$AA$1,0)-1))*IF(E46="Rame",1,0),4)</f>
        <v>0</v>
      </c>
      <c r="N46" s="446">
        <v>0</v>
      </c>
      <c r="O46" s="446">
        <v>1.5</v>
      </c>
      <c r="P46" s="446">
        <f ca="1">ROUND(+IF(ISERROR(OFFSET(Tabella!$G$1,MATCH(H46,Tabella!$G:$G,0)-1,MATCH(I46,Tabella!$G$1:$FG$1,0)-1)=TRUE),0,OFFSET(Tabella!$G$1,MATCH(H46,Tabella!$G:$G,0)-1,MATCH(I46,Tabella!$G$1:$AB$1,0)-1)),4)</f>
        <v>0</v>
      </c>
      <c r="Q46" s="446">
        <f ca="1">ROUND(IF(ISERROR(OFFSET(Ottone!$F$1,MATCH(H46,Ottone!$A:$A,0)-1,MATCH(I46,Ottone!$F$1:$FF$1,0)-1)=TRUE),0,OFFSET(Ottone!$F$1,MATCH(H46,Ottone!$A:$A,0)-1,MATCH(I46,Ottone!$F$1:$FF$1,0)-1))*IF(E46="Ottone",1,0),4)</f>
        <v>0</v>
      </c>
      <c r="R46" s="446">
        <f ca="1">ROUND(IF(ISERROR(OFFSET(Rame!$F$1,MATCH(H46,Rame!$F:$F,0)-1,MATCH(I46,Rame!$F$1:$FF$1,0)-1)=TRUE),0,OFFSET(Rame!$F$1,MATCH(H46,Rame!$F:$F,0)-1,MATCH(I46,Rame!$F$1:$FF$1,0)-1))*IF(E46="Rame",1,0),4)</f>
        <v>0</v>
      </c>
      <c r="S46" s="446">
        <f ca="1">ROUND(IF(ISERROR(OFFSET(Bronzo!$A$1,MATCH(H46,Bronzo!$A:$A,0)-1,MATCH(I46,Bronzo!$A$1:$AA$1,0)-1)=TRUE),0,OFFSET(Bronzo!$A$1,MATCH(H46,Bronzo!$A:$A,0)-1,MATCH(I46,Bronzo!$A$1:$AA$1,0)-1)),4)</f>
        <v>0</v>
      </c>
      <c r="T46" s="446">
        <f t="shared" ca="1" si="46"/>
        <v>0</v>
      </c>
      <c r="U46" s="443"/>
      <c r="V46" s="446">
        <v>0</v>
      </c>
      <c r="W46" s="449">
        <f t="shared" ca="1" si="47"/>
        <v>1.5</v>
      </c>
      <c r="X46" s="454">
        <f t="shared" si="2"/>
        <v>55.02</v>
      </c>
      <c r="Y46" s="440">
        <v>4.18</v>
      </c>
      <c r="Z46" s="440">
        <f t="shared" ca="1" si="48"/>
        <v>7.0000000000000007E-2</v>
      </c>
      <c r="AA46" s="241"/>
      <c r="AD46" s="223" t="s">
        <v>403</v>
      </c>
      <c r="AF46" s="225">
        <f t="shared" ca="1" si="72"/>
        <v>46156</v>
      </c>
      <c r="AG46" s="225" t="b">
        <f t="shared" si="66"/>
        <v>1</v>
      </c>
      <c r="AH46" s="242" t="str">
        <f t="shared" si="67"/>
        <v/>
      </c>
      <c r="AK46" s="223">
        <f t="shared" si="68"/>
        <v>0</v>
      </c>
      <c r="AL46" s="223">
        <f t="shared" si="69"/>
        <v>1900</v>
      </c>
      <c r="AS46" s="223">
        <f t="shared" si="70"/>
        <v>0</v>
      </c>
      <c r="AT46" s="223">
        <f t="shared" si="71"/>
        <v>0</v>
      </c>
    </row>
    <row r="47" spans="2:46" ht="15.75" x14ac:dyDescent="0.25">
      <c r="B47" s="229" t="s">
        <v>551</v>
      </c>
      <c r="C47" s="244" t="s">
        <v>263</v>
      </c>
      <c r="D47" s="245">
        <v>481</v>
      </c>
      <c r="E47" s="232" t="s">
        <v>4</v>
      </c>
      <c r="F47" s="435">
        <v>2.61</v>
      </c>
      <c r="G47" s="234">
        <v>46084</v>
      </c>
      <c r="H47" s="235" t="s">
        <v>15</v>
      </c>
      <c r="I47" s="235"/>
      <c r="J47" s="440">
        <v>7.0000000000000007E-2</v>
      </c>
      <c r="K47" s="443">
        <f ca="1">ROUND(IF(ISERROR(OFFSET(Tabella!$A$1,MATCH(H47,Tabella!$A:$A,0)-1,MATCH(J47,Tabella!$A$1:$AC$1,0)-1)=TRUE),0,+OFFSET(Tabella!$A$1,MATCH(H47,Tabella!$A:$A,0)-1,MATCH(J47,Tabella!$A$1:$AC$1,0)-1)),4)</f>
        <v>1.4</v>
      </c>
      <c r="L47" s="446">
        <f ca="1">ROUND(IF(ISERROR(OFFSET(Ottone!$A$1,MATCH(H47,Ottone!$A:$A,0)-1,MATCH(J47,Ottone!$A$1:$Z$1,0)-1)=TRUE),0,OFFSET(Ottone!$A$1,MATCH(H47,Ottone!$A:$A,0)-1,MATCH(J47,Ottone!$A$1:$Z$1,0)-1))*IF(E47="Ottone",1,0),4)</f>
        <v>0</v>
      </c>
      <c r="M47" s="446">
        <f ca="1">ROUND(IF(ISERROR(OFFSET(Rame!$A$1,MATCH(H47,Rame!$A:$A,0)-1,MATCH(J47,Rame!$A$1:$AA$1,0)-1)=TRUE),0,OFFSET(Rame!$A$1,MATCH(H47,Rame!$A:$A,0)-1,MATCH(J47,Rame!$A$1:$AA$1,0)-1))*IF(E47="Rame",1,0),4)</f>
        <v>0</v>
      </c>
      <c r="N47" s="446">
        <v>0</v>
      </c>
      <c r="O47" s="446">
        <v>1.65</v>
      </c>
      <c r="P47" s="446">
        <f ca="1">ROUND(+IF(ISERROR(OFFSET(Tabella!$G$1,MATCH(H47,Tabella!$G:$G,0)-1,MATCH(I47,Tabella!$G$1:$FG$1,0)-1)=TRUE),0,OFFSET(Tabella!$G$1,MATCH(H47,Tabella!$G:$G,0)-1,MATCH(I47,Tabella!$G$1:$AB$1,0)-1)),4)</f>
        <v>0</v>
      </c>
      <c r="Q47" s="446">
        <f ca="1">ROUND(IF(ISERROR(OFFSET(Ottone!$F$1,MATCH(H47,Ottone!$A:$A,0)-1,MATCH(I47,Ottone!$F$1:$FF$1,0)-1)=TRUE),0,OFFSET(Ottone!$F$1,MATCH(H47,Ottone!$A:$A,0)-1,MATCH(I47,Ottone!$F$1:$FF$1,0)-1))*IF(E47="Ottone",1,0),4)</f>
        <v>0</v>
      </c>
      <c r="R47" s="446">
        <f ca="1">ROUND(IF(ISERROR(OFFSET(Rame!$F$1,MATCH(H47,Rame!$F:$F,0)-1,MATCH(I47,Rame!$F$1:$FF$1,0)-1)=TRUE),0,OFFSET(Rame!$F$1,MATCH(H47,Rame!$F:$F,0)-1,MATCH(I47,Rame!$F$1:$FF$1,0)-1))*IF(E47="Rame",1,0),4)</f>
        <v>0</v>
      </c>
      <c r="S47" s="446">
        <f ca="1">ROUND(IF(ISERROR(OFFSET(Bronzo!$A$1,MATCH(H47,Bronzo!$A:$A,0)-1,MATCH(I47,Bronzo!$A$1:$AA$1,0)-1)=TRUE),0,OFFSET(Bronzo!$A$1,MATCH(H47,Bronzo!$A:$A,0)-1,MATCH(I47,Bronzo!$A$1:$AA$1,0)-1)),4)</f>
        <v>0</v>
      </c>
      <c r="T47" s="446">
        <f t="shared" ca="1" si="46"/>
        <v>0</v>
      </c>
      <c r="U47" s="443"/>
      <c r="V47" s="446">
        <v>0</v>
      </c>
      <c r="W47" s="449">
        <f t="shared" ca="1" si="47"/>
        <v>1.65</v>
      </c>
      <c r="X47" s="454">
        <f t="shared" si="2"/>
        <v>33.67</v>
      </c>
      <c r="Y47" s="440">
        <v>4.33</v>
      </c>
      <c r="Z47" s="440">
        <f t="shared" ca="1" si="48"/>
        <v>7.0000000000000007E-2</v>
      </c>
      <c r="AA47" s="241"/>
      <c r="AD47" s="223" t="s">
        <v>403</v>
      </c>
      <c r="AF47" s="225">
        <f t="shared" ca="1" si="72"/>
        <v>46156</v>
      </c>
      <c r="AG47" s="225" t="b">
        <f t="shared" si="66"/>
        <v>1</v>
      </c>
      <c r="AH47" s="242" t="str">
        <f t="shared" si="67"/>
        <v/>
      </c>
      <c r="AK47" s="223">
        <f t="shared" si="68"/>
        <v>0</v>
      </c>
      <c r="AL47" s="223">
        <f t="shared" si="69"/>
        <v>1900</v>
      </c>
      <c r="AS47" s="223">
        <f t="shared" si="70"/>
        <v>0</v>
      </c>
      <c r="AT47" s="223">
        <f t="shared" si="71"/>
        <v>0</v>
      </c>
    </row>
    <row r="48" spans="2:46" ht="15.75" x14ac:dyDescent="0.25">
      <c r="B48" s="229" t="s">
        <v>610</v>
      </c>
      <c r="C48" s="244" t="s">
        <v>439</v>
      </c>
      <c r="D48" s="245">
        <v>554</v>
      </c>
      <c r="E48" s="232" t="s">
        <v>4</v>
      </c>
      <c r="F48" s="435">
        <v>2.68</v>
      </c>
      <c r="G48" s="234">
        <v>46083</v>
      </c>
      <c r="H48" s="235" t="s">
        <v>21</v>
      </c>
      <c r="I48" s="235"/>
      <c r="J48" s="440">
        <v>0.1</v>
      </c>
      <c r="K48" s="443">
        <f ca="1">ROUND(IF(ISERROR(OFFSET(Tabella!$A$1,MATCH(H48,Tabella!$A:$A,0)-1,MATCH(J48,Tabella!$A$1:$AC$1,0)-1)=TRUE),0,+OFFSET(Tabella!$A$1,MATCH(H48,Tabella!$A:$A,0)-1,MATCH(J48,Tabella!$A$1:$AC$1,0)-1)),4)</f>
        <v>1.4</v>
      </c>
      <c r="L48" s="446">
        <f ca="1">ROUND(IF(ISERROR(OFFSET(Ottone!$A$1,MATCH(H48,Ottone!$A:$A,0)-1,MATCH(J48,Ottone!$A$1:$Z$1,0)-1)=TRUE),0,OFFSET(Ottone!$A$1,MATCH(H48,Ottone!$A:$A,0)-1,MATCH(J48,Ottone!$A$1:$Z$1,0)-1))*IF(E48="Ottone",1,0),4)</f>
        <v>0</v>
      </c>
      <c r="M48" s="446">
        <f ca="1">ROUND(IF(ISERROR(OFFSET(Rame!$A$1,MATCH(H48,Rame!$A:$A,0)-1,MATCH(J48,Rame!$A$1:$AA$1,0)-1)=TRUE),0,OFFSET(Rame!$A$1,MATCH(H48,Rame!$A:$A,0)-1,MATCH(J48,Rame!$A$1:$AA$1,0)-1))*IF(E48="Rame",1,0),4)</f>
        <v>0</v>
      </c>
      <c r="N48" s="446">
        <v>0</v>
      </c>
      <c r="O48" s="446">
        <v>1.5</v>
      </c>
      <c r="P48" s="446">
        <f ca="1">ROUND(+IF(ISERROR(OFFSET(Tabella!$G$1,MATCH(H48,Tabella!$G:$G,0)-1,MATCH(I48,Tabella!$G$1:$FG$1,0)-1)=TRUE),0,OFFSET(Tabella!$G$1,MATCH(H48,Tabella!$G:$G,0)-1,MATCH(I48,Tabella!$G$1:$AB$1,0)-1)),4)</f>
        <v>0</v>
      </c>
      <c r="Q48" s="446">
        <f ca="1">ROUND(IF(ISERROR(OFFSET(Ottone!$F$1,MATCH(H48,Ottone!$A:$A,0)-1,MATCH(I48,Ottone!$F$1:$FF$1,0)-1)=TRUE),0,OFFSET(Ottone!$F$1,MATCH(H48,Ottone!$A:$A,0)-1,MATCH(I48,Ottone!$F$1:$FF$1,0)-1))*IF(E48="Ottone",1,0),4)</f>
        <v>0</v>
      </c>
      <c r="R48" s="446">
        <f ca="1">ROUND(IF(ISERROR(OFFSET(Rame!$F$1,MATCH(H48,Rame!$F:$F,0)-1,MATCH(I48,Rame!$F$1:$FF$1,0)-1)=TRUE),0,OFFSET(Rame!$F$1,MATCH(H48,Rame!$F:$F,0)-1,MATCH(I48,Rame!$F$1:$FF$1,0)-1))*IF(E48="Rame",1,0),4)</f>
        <v>0</v>
      </c>
      <c r="S48" s="446">
        <f ca="1">ROUND(IF(ISERROR(OFFSET(Bronzo!$A$1,MATCH(H48,Bronzo!$A:$A,0)-1,MATCH(I48,Bronzo!$A$1:$AA$1,0)-1)=TRUE),0,OFFSET(Bronzo!$A$1,MATCH(H48,Bronzo!$A:$A,0)-1,MATCH(I48,Bronzo!$A$1:$AA$1,0)-1)),4)</f>
        <v>0</v>
      </c>
      <c r="T48" s="446">
        <f t="shared" ca="1" si="46"/>
        <v>0</v>
      </c>
      <c r="U48" s="443"/>
      <c r="V48" s="446">
        <v>0</v>
      </c>
      <c r="W48" s="449">
        <f t="shared" ca="1" si="47"/>
        <v>1.5</v>
      </c>
      <c r="X48" s="454">
        <f t="shared" si="2"/>
        <v>55.4</v>
      </c>
      <c r="Y48" s="440">
        <v>4.5</v>
      </c>
      <c r="Z48" s="440">
        <f t="shared" ca="1" si="48"/>
        <v>0.32</v>
      </c>
      <c r="AA48" s="241"/>
      <c r="AD48" s="223" t="s">
        <v>403</v>
      </c>
      <c r="AE48" s="223" t="s">
        <v>417</v>
      </c>
      <c r="AF48" s="225">
        <f t="shared" ca="1" si="72"/>
        <v>46156</v>
      </c>
      <c r="AG48" s="225" t="b">
        <f t="shared" si="66"/>
        <v>1</v>
      </c>
      <c r="AH48" s="242" t="str">
        <f t="shared" si="67"/>
        <v/>
      </c>
      <c r="AK48" s="223">
        <f t="shared" si="68"/>
        <v>0</v>
      </c>
      <c r="AL48" s="223">
        <f t="shared" si="69"/>
        <v>1900</v>
      </c>
      <c r="AS48" s="223">
        <f t="shared" si="70"/>
        <v>0</v>
      </c>
      <c r="AT48" s="223">
        <f t="shared" si="71"/>
        <v>0</v>
      </c>
    </row>
    <row r="49" spans="2:46" ht="15.75" x14ac:dyDescent="0.25">
      <c r="B49" s="229" t="s">
        <v>458</v>
      </c>
      <c r="C49" s="235" t="s">
        <v>439</v>
      </c>
      <c r="D49" s="243">
        <v>1100</v>
      </c>
      <c r="E49" s="232" t="s">
        <v>4</v>
      </c>
      <c r="F49" s="435">
        <v>2.68</v>
      </c>
      <c r="G49" s="234">
        <v>46083</v>
      </c>
      <c r="H49" s="235" t="s">
        <v>21</v>
      </c>
      <c r="I49" s="235"/>
      <c r="J49" s="440">
        <v>0.1</v>
      </c>
      <c r="K49" s="443">
        <f ca="1">ROUND(IF(ISERROR(OFFSET(Tabella!$A$1,MATCH(H49,Tabella!$A:$A,0)-1,MATCH(J49,Tabella!$A$1:$AC$1,0)-1)=TRUE),0,+OFFSET(Tabella!$A$1,MATCH(H49,Tabella!$A:$A,0)-1,MATCH(J49,Tabella!$A$1:$AC$1,0)-1)),4)</f>
        <v>1.4</v>
      </c>
      <c r="L49" s="446">
        <f ca="1">ROUND(IF(ISERROR(OFFSET(Ottone!$A$1,MATCH(H49,Ottone!$A:$A,0)-1,MATCH(J49,Ottone!$A$1:$Z$1,0)-1)=TRUE),0,OFFSET(Ottone!$A$1,MATCH(H49,Ottone!$A:$A,0)-1,MATCH(J49,Ottone!$A$1:$Z$1,0)-1))*IF(E49="Ottone",1,0),4)</f>
        <v>0</v>
      </c>
      <c r="M49" s="446">
        <f ca="1">ROUND(IF(ISERROR(OFFSET(Rame!$A$1,MATCH(H49,Rame!$A:$A,0)-1,MATCH(J49,Rame!$A$1:$AA$1,0)-1)=TRUE),0,OFFSET(Rame!$A$1,MATCH(H49,Rame!$A:$A,0)-1,MATCH(J49,Rame!$A$1:$AA$1,0)-1))*IF(E49="Rame",1,0),4)</f>
        <v>0</v>
      </c>
      <c r="N49" s="446">
        <v>0</v>
      </c>
      <c r="O49" s="446">
        <v>1.5</v>
      </c>
      <c r="P49" s="446">
        <f ca="1">ROUND(+IF(ISERROR(OFFSET(Tabella!$G$1,MATCH(H49,Tabella!$G:$G,0)-1,MATCH(I49,Tabella!$G$1:$FG$1,0)-1)=TRUE),0,OFFSET(Tabella!$G$1,MATCH(H49,Tabella!$G:$G,0)-1,MATCH(I49,Tabella!$G$1:$AB$1,0)-1)),4)</f>
        <v>0</v>
      </c>
      <c r="Q49" s="446">
        <f ca="1">ROUND(IF(ISERROR(OFFSET(Ottone!$F$1,MATCH(H49,Ottone!$A:$A,0)-1,MATCH(I49,Ottone!$F$1:$FF$1,0)-1)=TRUE),0,OFFSET(Ottone!$F$1,MATCH(H49,Ottone!$A:$A,0)-1,MATCH(I49,Ottone!$F$1:$FF$1,0)-1))*IF(E49="Ottone",1,0),4)</f>
        <v>0</v>
      </c>
      <c r="R49" s="446">
        <f ca="1">ROUND(IF(ISERROR(OFFSET(Rame!$F$1,MATCH(H49,Rame!$F:$F,0)-1,MATCH(I49,Rame!$F$1:$FF$1,0)-1)=TRUE),0,OFFSET(Rame!$F$1,MATCH(H49,Rame!$F:$F,0)-1,MATCH(I49,Rame!$F$1:$FF$1,0)-1))*IF(E49="Rame",1,0),4)</f>
        <v>0</v>
      </c>
      <c r="S49" s="446">
        <f ca="1">ROUND(IF(ISERROR(OFFSET(Bronzo!$A$1,MATCH(H49,Bronzo!$A:$A,0)-1,MATCH(I49,Bronzo!$A$1:$AA$1,0)-1)=TRUE),0,OFFSET(Bronzo!$A$1,MATCH(H49,Bronzo!$A:$A,0)-1,MATCH(I49,Bronzo!$A$1:$AA$1,0)-1)),4)</f>
        <v>0</v>
      </c>
      <c r="T49" s="446">
        <f t="shared" ca="1" si="46"/>
        <v>0</v>
      </c>
      <c r="U49" s="443"/>
      <c r="V49" s="446">
        <v>0</v>
      </c>
      <c r="W49" s="449">
        <f t="shared" ca="1" si="47"/>
        <v>1.5</v>
      </c>
      <c r="X49" s="452">
        <f t="shared" si="2"/>
        <v>110</v>
      </c>
      <c r="Y49" s="440">
        <v>4.5</v>
      </c>
      <c r="Z49" s="440">
        <f t="shared" ca="1" si="48"/>
        <v>0.32</v>
      </c>
      <c r="AA49" s="241">
        <v>46177</v>
      </c>
      <c r="AF49" s="225">
        <f t="shared" ca="1" si="72"/>
        <v>46156</v>
      </c>
      <c r="AG49" s="225" t="b">
        <f t="shared" si="66"/>
        <v>0</v>
      </c>
      <c r="AH49" s="242">
        <f t="shared" ca="1" si="67"/>
        <v>21</v>
      </c>
      <c r="AK49" s="223">
        <f t="shared" si="68"/>
        <v>23</v>
      </c>
      <c r="AL49" s="223">
        <f t="shared" si="69"/>
        <v>2026</v>
      </c>
      <c r="AS49" s="223">
        <f t="shared" si="70"/>
        <v>6</v>
      </c>
      <c r="AT49" s="223">
        <f t="shared" si="71"/>
        <v>2026</v>
      </c>
    </row>
    <row r="50" spans="2:46" ht="15.75" x14ac:dyDescent="0.25">
      <c r="B50" s="229" t="s">
        <v>458</v>
      </c>
      <c r="C50" s="235" t="s">
        <v>439</v>
      </c>
      <c r="D50" s="243">
        <v>1400</v>
      </c>
      <c r="E50" s="232" t="s">
        <v>4</v>
      </c>
      <c r="F50" s="435">
        <v>2.68</v>
      </c>
      <c r="G50" s="234">
        <v>46083</v>
      </c>
      <c r="H50" s="235" t="s">
        <v>21</v>
      </c>
      <c r="I50" s="235"/>
      <c r="J50" s="440">
        <v>0.1</v>
      </c>
      <c r="K50" s="443">
        <f ca="1">ROUND(IF(ISERROR(OFFSET(Tabella!$A$1,MATCH(H50,Tabella!$A:$A,0)-1,MATCH(J50,Tabella!$A$1:$AC$1,0)-1)=TRUE),0,+OFFSET(Tabella!$A$1,MATCH(H50,Tabella!$A:$A,0)-1,MATCH(J50,Tabella!$A$1:$AC$1,0)-1)),4)</f>
        <v>1.4</v>
      </c>
      <c r="L50" s="446">
        <f ca="1">ROUND(IF(ISERROR(OFFSET(Ottone!$A$1,MATCH(H50,Ottone!$A:$A,0)-1,MATCH(J50,Ottone!$A$1:$Z$1,0)-1)=TRUE),0,OFFSET(Ottone!$A$1,MATCH(H50,Ottone!$A:$A,0)-1,MATCH(J50,Ottone!$A$1:$Z$1,0)-1))*IF(E50="Ottone",1,0),4)</f>
        <v>0</v>
      </c>
      <c r="M50" s="446">
        <f ca="1">ROUND(IF(ISERROR(OFFSET(Rame!$A$1,MATCH(H50,Rame!$A:$A,0)-1,MATCH(J50,Rame!$A$1:$AA$1,0)-1)=TRUE),0,OFFSET(Rame!$A$1,MATCH(H50,Rame!$A:$A,0)-1,MATCH(J50,Rame!$A$1:$AA$1,0)-1))*IF(E50="Rame",1,0),4)</f>
        <v>0</v>
      </c>
      <c r="N50" s="446">
        <v>0</v>
      </c>
      <c r="O50" s="446">
        <v>1.5</v>
      </c>
      <c r="P50" s="446">
        <f ca="1">ROUND(+IF(ISERROR(OFFSET(Tabella!$G$1,MATCH(H50,Tabella!$G:$G,0)-1,MATCH(I50,Tabella!$G$1:$FG$1,0)-1)=TRUE),0,OFFSET(Tabella!$G$1,MATCH(H50,Tabella!$G:$G,0)-1,MATCH(I50,Tabella!$G$1:$AB$1,0)-1)),4)</f>
        <v>0</v>
      </c>
      <c r="Q50" s="446">
        <f ca="1">ROUND(IF(ISERROR(OFFSET(Ottone!$F$1,MATCH(H50,Ottone!$A:$A,0)-1,MATCH(I50,Ottone!$F$1:$FF$1,0)-1)=TRUE),0,OFFSET(Ottone!$F$1,MATCH(H50,Ottone!$A:$A,0)-1,MATCH(I50,Ottone!$F$1:$FF$1,0)-1))*IF(E50="Ottone",1,0),4)</f>
        <v>0</v>
      </c>
      <c r="R50" s="446">
        <f ca="1">ROUND(IF(ISERROR(OFFSET(Rame!$F$1,MATCH(H50,Rame!$F:$F,0)-1,MATCH(I50,Rame!$F$1:$FF$1,0)-1)=TRUE),0,OFFSET(Rame!$F$1,MATCH(H50,Rame!$F:$F,0)-1,MATCH(I50,Rame!$F$1:$FF$1,0)-1))*IF(E50="Rame",1,0),4)</f>
        <v>0</v>
      </c>
      <c r="S50" s="446">
        <f ca="1">ROUND(IF(ISERROR(OFFSET(Bronzo!$A$1,MATCH(H50,Bronzo!$A:$A,0)-1,MATCH(I50,Bronzo!$A$1:$AA$1,0)-1)=TRUE),0,OFFSET(Bronzo!$A$1,MATCH(H50,Bronzo!$A:$A,0)-1,MATCH(I50,Bronzo!$A$1:$AA$1,0)-1)),4)</f>
        <v>0</v>
      </c>
      <c r="T50" s="446">
        <f t="shared" ca="1" si="46"/>
        <v>0</v>
      </c>
      <c r="U50" s="443"/>
      <c r="V50" s="446">
        <v>0</v>
      </c>
      <c r="W50" s="449">
        <f t="shared" ca="1" si="47"/>
        <v>1.5</v>
      </c>
      <c r="X50" s="452">
        <f t="shared" si="2"/>
        <v>140</v>
      </c>
      <c r="Y50" s="440">
        <v>4.5</v>
      </c>
      <c r="Z50" s="440">
        <f t="shared" ca="1" si="48"/>
        <v>0.32</v>
      </c>
      <c r="AA50" s="241">
        <v>46209</v>
      </c>
      <c r="AF50" s="225">
        <f t="shared" ca="1" si="72"/>
        <v>46156</v>
      </c>
      <c r="AG50" s="225" t="b">
        <f t="shared" si="66"/>
        <v>0</v>
      </c>
      <c r="AH50" s="242">
        <f t="shared" ca="1" si="67"/>
        <v>53</v>
      </c>
      <c r="AK50" s="223">
        <f t="shared" si="68"/>
        <v>28</v>
      </c>
      <c r="AL50" s="223">
        <f t="shared" si="69"/>
        <v>2026</v>
      </c>
      <c r="AS50" s="223">
        <f t="shared" si="70"/>
        <v>7</v>
      </c>
      <c r="AT50" s="223">
        <f t="shared" si="71"/>
        <v>2026</v>
      </c>
    </row>
    <row r="51" spans="2:46" ht="15.75" x14ac:dyDescent="0.25">
      <c r="B51" s="229" t="s">
        <v>463</v>
      </c>
      <c r="C51" s="235" t="s">
        <v>396</v>
      </c>
      <c r="D51" s="243">
        <v>1300</v>
      </c>
      <c r="E51" s="232" t="s">
        <v>4</v>
      </c>
      <c r="F51" s="435">
        <v>2.87</v>
      </c>
      <c r="G51" s="234">
        <v>46084</v>
      </c>
      <c r="H51" s="235" t="s">
        <v>307</v>
      </c>
      <c r="I51" s="235"/>
      <c r="J51" s="440">
        <v>7.0000000000000007E-2</v>
      </c>
      <c r="K51" s="443">
        <f ca="1">ROUND(IF(ISERROR(OFFSET(Tabella!$A$1,MATCH(H51,Tabella!$A:$A,0)-1,MATCH(J51,Tabella!$A$1:$AC$1,0)-1)=TRUE),0,+OFFSET(Tabella!$A$1,MATCH(H51,Tabella!$A:$A,0)-1,MATCH(J51,Tabella!$A$1:$AC$1,0)-1)),4)</f>
        <v>1.25</v>
      </c>
      <c r="L51" s="446">
        <f ca="1">ROUND(IF(ISERROR(OFFSET(Ottone!$A$1,MATCH(H51,Ottone!$A:$A,0)-1,MATCH(J51,Ottone!$A$1:$Z$1,0)-1)=TRUE),0,OFFSET(Ottone!$A$1,MATCH(H51,Ottone!$A:$A,0)-1,MATCH(J51,Ottone!$A$1:$Z$1,0)-1))*IF(E51="Ottone",1,0),4)</f>
        <v>0</v>
      </c>
      <c r="M51" s="446">
        <f ca="1">ROUND(IF(ISERROR(OFFSET(Rame!$A$1,MATCH(H51,Rame!$A:$A,0)-1,MATCH(J51,Rame!$A$1:$AA$1,0)-1)=TRUE),0,OFFSET(Rame!$A$1,MATCH(H51,Rame!$A:$A,0)-1,MATCH(J51,Rame!$A$1:$AA$1,0)-1))*IF(E51="Rame",1,0),4)</f>
        <v>0</v>
      </c>
      <c r="N51" s="446">
        <v>0</v>
      </c>
      <c r="O51" s="446">
        <f ca="1">ROUND(SUM(K51:N51),4)</f>
        <v>1.25</v>
      </c>
      <c r="P51" s="446">
        <f ca="1">ROUND(+IF(ISERROR(OFFSET(Tabella!$G$1,MATCH(H51,Tabella!$G:$G,0)-1,MATCH(I51,Tabella!$G$1:$FG$1,0)-1)=TRUE),0,OFFSET(Tabella!$G$1,MATCH(H51,Tabella!$G:$G,0)-1,MATCH(I51,Tabella!$G$1:$AB$1,0)-1)),4)</f>
        <v>0</v>
      </c>
      <c r="Q51" s="446">
        <f ca="1">ROUND(IF(ISERROR(OFFSET(Ottone!$F$1,MATCH(H51,Ottone!$A:$A,0)-1,MATCH(I51,Ottone!$F$1:$FF$1,0)-1)=TRUE),0,OFFSET(Ottone!$F$1,MATCH(H51,Ottone!$A:$A,0)-1,MATCH(I51,Ottone!$F$1:$FF$1,0)-1))*IF(E51="Ottone",1,0),4)</f>
        <v>0</v>
      </c>
      <c r="R51" s="446">
        <f ca="1">ROUND(IF(ISERROR(OFFSET(Rame!$F$1,MATCH(H51,Rame!$F:$F,0)-1,MATCH(I51,Rame!$F$1:$FF$1,0)-1)=TRUE),0,OFFSET(Rame!$F$1,MATCH(H51,Rame!$F:$F,0)-1,MATCH(I51,Rame!$F$1:$FF$1,0)-1))*IF(E51="Rame",1,0),4)</f>
        <v>0</v>
      </c>
      <c r="S51" s="446">
        <f ca="1">ROUND(IF(ISERROR(OFFSET(Bronzo!$A$1,MATCH(H51,Bronzo!$A:$A,0)-1,MATCH(I51,Bronzo!$A$1:$AA$1,0)-1)=TRUE),0,OFFSET(Bronzo!$A$1,MATCH(H51,Bronzo!$A:$A,0)-1,MATCH(I51,Bronzo!$A$1:$AA$1,0)-1)),4)</f>
        <v>0</v>
      </c>
      <c r="T51" s="446">
        <f t="shared" ca="1" si="46"/>
        <v>0</v>
      </c>
      <c r="U51" s="443"/>
      <c r="V51" s="446">
        <v>0</v>
      </c>
      <c r="W51" s="449">
        <f t="shared" ca="1" si="47"/>
        <v>1.25</v>
      </c>
      <c r="X51" s="452">
        <f t="shared" si="2"/>
        <v>91</v>
      </c>
      <c r="Y51" s="440">
        <v>4.59</v>
      </c>
      <c r="Z51" s="440">
        <f t="shared" ca="1" si="48"/>
        <v>0.47</v>
      </c>
      <c r="AA51" s="241">
        <v>46239</v>
      </c>
      <c r="AF51" s="225">
        <f t="shared" ca="1" si="72"/>
        <v>46156</v>
      </c>
      <c r="AG51" s="225" t="b">
        <f t="shared" ref="AG51:AG66" si="73">ISBLANK(AA51)</f>
        <v>0</v>
      </c>
      <c r="AH51" s="242">
        <f t="shared" ref="AH51:AH66" ca="1" si="74">IF(AG51=FALSE,_xlfn.DAYS(AA51,AF51),"")</f>
        <v>83</v>
      </c>
      <c r="AK51" s="223">
        <f t="shared" ref="AK51:AK66" si="75">WEEKNUM(AA51)</f>
        <v>32</v>
      </c>
      <c r="AL51" s="223">
        <f t="shared" ref="AL51:AL66" si="76">YEAR(AA51)</f>
        <v>2026</v>
      </c>
      <c r="AS51" s="223">
        <f t="shared" si="70"/>
        <v>8</v>
      </c>
      <c r="AT51" s="223">
        <f t="shared" si="71"/>
        <v>2026</v>
      </c>
    </row>
    <row r="52" spans="2:46" ht="15.75" x14ac:dyDescent="0.25">
      <c r="B52" s="229" t="s">
        <v>462</v>
      </c>
      <c r="C52" s="235" t="s">
        <v>396</v>
      </c>
      <c r="D52" s="243">
        <v>1000</v>
      </c>
      <c r="E52" s="232" t="s">
        <v>4</v>
      </c>
      <c r="F52" s="435">
        <v>2.87</v>
      </c>
      <c r="G52" s="234">
        <v>46084</v>
      </c>
      <c r="H52" s="235" t="s">
        <v>308</v>
      </c>
      <c r="I52" s="235"/>
      <c r="J52" s="440">
        <v>7.0000000000000007E-2</v>
      </c>
      <c r="K52" s="443">
        <f ca="1">ROUND(IF(ISERROR(OFFSET(Tabella!$A$1,MATCH(H52,Tabella!$A:$A,0)-1,MATCH(J52,Tabella!$A$1:$AC$1,0)-1)=TRUE),0,+OFFSET(Tabella!$A$1,MATCH(H52,Tabella!$A:$A,0)-1,MATCH(J52,Tabella!$A$1:$AC$1,0)-1)),4)</f>
        <v>1.25</v>
      </c>
      <c r="L52" s="446">
        <f ca="1">ROUND(IF(ISERROR(OFFSET(Ottone!$A$1,MATCH(H52,Ottone!$A:$A,0)-1,MATCH(J52,Ottone!$A$1:$Z$1,0)-1)=TRUE),0,OFFSET(Ottone!$A$1,MATCH(H52,Ottone!$A:$A,0)-1,MATCH(J52,Ottone!$A$1:$Z$1,0)-1))*IF(E52="Ottone",1,0),4)</f>
        <v>0</v>
      </c>
      <c r="M52" s="446">
        <f ca="1">ROUND(IF(ISERROR(OFFSET(Rame!$A$1,MATCH(H52,Rame!$A:$A,0)-1,MATCH(J52,Rame!$A$1:$AA$1,0)-1)=TRUE),0,OFFSET(Rame!$A$1,MATCH(H52,Rame!$A:$A,0)-1,MATCH(J52,Rame!$A$1:$AA$1,0)-1))*IF(E52="Rame",1,0),4)</f>
        <v>0</v>
      </c>
      <c r="N52" s="446">
        <v>0</v>
      </c>
      <c r="O52" s="446">
        <f ca="1">ROUND(SUM(K52:N52),4)</f>
        <v>1.25</v>
      </c>
      <c r="P52" s="446">
        <f ca="1">ROUND(+IF(ISERROR(OFFSET(Tabella!$G$1,MATCH(H52,Tabella!$G:$G,0)-1,MATCH(I52,Tabella!$G$1:$FG$1,0)-1)=TRUE),0,OFFSET(Tabella!$G$1,MATCH(H52,Tabella!$G:$G,0)-1,MATCH(I52,Tabella!$G$1:$AB$1,0)-1)),4)</f>
        <v>0</v>
      </c>
      <c r="Q52" s="446">
        <f ca="1">ROUND(IF(ISERROR(OFFSET(Ottone!$F$1,MATCH(H52,Ottone!$A:$A,0)-1,MATCH(I52,Ottone!$F$1:$FF$1,0)-1)=TRUE),0,OFFSET(Ottone!$F$1,MATCH(H52,Ottone!$A:$A,0)-1,MATCH(I52,Ottone!$F$1:$FF$1,0)-1))*IF(E52="Ottone",1,0),4)</f>
        <v>0</v>
      </c>
      <c r="R52" s="446">
        <f ca="1">ROUND(IF(ISERROR(OFFSET(Rame!$F$1,MATCH(H52,Rame!$F:$F,0)-1,MATCH(I52,Rame!$F$1:$FF$1,0)-1)=TRUE),0,OFFSET(Rame!$F$1,MATCH(H52,Rame!$F:$F,0)-1,MATCH(I52,Rame!$F$1:$FF$1,0)-1))*IF(E52="Rame",1,0),4)</f>
        <v>0</v>
      </c>
      <c r="S52" s="446">
        <f ca="1">ROUND(IF(ISERROR(OFFSET(Bronzo!$A$1,MATCH(H52,Bronzo!$A:$A,0)-1,MATCH(I52,Bronzo!$A$1:$AA$1,0)-1)=TRUE),0,OFFSET(Bronzo!$A$1,MATCH(H52,Bronzo!$A:$A,0)-1,MATCH(I52,Bronzo!$A$1:$AA$1,0)-1)),4)</f>
        <v>0</v>
      </c>
      <c r="T52" s="446">
        <f t="shared" ca="1" si="46"/>
        <v>0</v>
      </c>
      <c r="U52" s="443"/>
      <c r="V52" s="446">
        <v>0</v>
      </c>
      <c r="W52" s="449">
        <f t="shared" ca="1" si="47"/>
        <v>1.25</v>
      </c>
      <c r="X52" s="452">
        <f t="shared" si="2"/>
        <v>70</v>
      </c>
      <c r="Y52" s="440">
        <v>4.59</v>
      </c>
      <c r="Z52" s="440">
        <f t="shared" ca="1" si="48"/>
        <v>0.47</v>
      </c>
      <c r="AA52" s="241">
        <v>46213</v>
      </c>
      <c r="AF52" s="225">
        <f t="shared" ca="1" si="72"/>
        <v>46156</v>
      </c>
      <c r="AG52" s="225" t="b">
        <f t="shared" si="73"/>
        <v>0</v>
      </c>
      <c r="AH52" s="242">
        <f t="shared" ca="1" si="74"/>
        <v>57</v>
      </c>
      <c r="AK52" s="223">
        <f t="shared" si="75"/>
        <v>28</v>
      </c>
      <c r="AL52" s="223">
        <f t="shared" si="76"/>
        <v>2026</v>
      </c>
      <c r="AS52" s="223">
        <f t="shared" ref="AS52:AS66" si="77">IF(AA52="",0,MONTH(AA52))</f>
        <v>7</v>
      </c>
      <c r="AT52" s="223">
        <f t="shared" ref="AT52:AT66" si="78">IF(AA52="",0,YEAR(AA52))</f>
        <v>2026</v>
      </c>
    </row>
    <row r="53" spans="2:46" ht="15.75" x14ac:dyDescent="0.25">
      <c r="B53" s="229" t="s">
        <v>461</v>
      </c>
      <c r="C53" s="235" t="s">
        <v>396</v>
      </c>
      <c r="D53" s="243">
        <v>500</v>
      </c>
      <c r="E53" s="232" t="s">
        <v>4</v>
      </c>
      <c r="F53" s="435">
        <v>2.85</v>
      </c>
      <c r="G53" s="234">
        <v>46086</v>
      </c>
      <c r="H53" s="235" t="s">
        <v>307</v>
      </c>
      <c r="I53" s="235"/>
      <c r="J53" s="440">
        <v>7.0000000000000007E-2</v>
      </c>
      <c r="K53" s="443">
        <f ca="1">ROUND(IF(ISERROR(OFFSET(Tabella!$A$1,MATCH(H53,Tabella!$A:$A,0)-1,MATCH(J53,Tabella!$A$1:$AC$1,0)-1)=TRUE),0,+OFFSET(Tabella!$A$1,MATCH(H53,Tabella!$A:$A,0)-1,MATCH(J53,Tabella!$A$1:$AC$1,0)-1)),4)</f>
        <v>1.25</v>
      </c>
      <c r="L53" s="446">
        <f ca="1">ROUND(IF(ISERROR(OFFSET(Ottone!$A$1,MATCH(H53,Ottone!$A:$A,0)-1,MATCH(J53,Ottone!$A$1:$Z$1,0)-1)=TRUE),0,OFFSET(Ottone!$A$1,MATCH(H53,Ottone!$A:$A,0)-1,MATCH(J53,Ottone!$A$1:$Z$1,0)-1))*IF(E53="Ottone",1,0),4)</f>
        <v>0</v>
      </c>
      <c r="M53" s="446">
        <f ca="1">ROUND(IF(ISERROR(OFFSET(Rame!$A$1,MATCH(H53,Rame!$A:$A,0)-1,MATCH(J53,Rame!$A$1:$AA$1,0)-1)=TRUE),0,OFFSET(Rame!$A$1,MATCH(H53,Rame!$A:$A,0)-1,MATCH(J53,Rame!$A$1:$AA$1,0)-1))*IF(E53="Rame",1,0),4)</f>
        <v>0</v>
      </c>
      <c r="N53" s="446">
        <v>0</v>
      </c>
      <c r="O53" s="446">
        <v>1.5</v>
      </c>
      <c r="P53" s="446">
        <f ca="1">ROUND(+IF(ISERROR(OFFSET(Tabella!$G$1,MATCH(H53,Tabella!$G:$G,0)-1,MATCH(I53,Tabella!$G$1:$FG$1,0)-1)=TRUE),0,OFFSET(Tabella!$G$1,MATCH(H53,Tabella!$G:$G,0)-1,MATCH(I53,Tabella!$G$1:$AB$1,0)-1)),4)</f>
        <v>0</v>
      </c>
      <c r="Q53" s="446">
        <f ca="1">ROUND(IF(ISERROR(OFFSET(Ottone!$F$1,MATCH(H53,Ottone!$A:$A,0)-1,MATCH(I53,Ottone!$F$1:$FF$1,0)-1)=TRUE),0,OFFSET(Ottone!$F$1,MATCH(H53,Ottone!$A:$A,0)-1,MATCH(I53,Ottone!$F$1:$FF$1,0)-1))*IF(E53="Ottone",1,0),4)</f>
        <v>0</v>
      </c>
      <c r="R53" s="446">
        <f ca="1">ROUND(IF(ISERROR(OFFSET(Rame!$F$1,MATCH(H53,Rame!$F:$F,0)-1,MATCH(I53,Rame!$F$1:$FF$1,0)-1)=TRUE),0,OFFSET(Rame!$F$1,MATCH(H53,Rame!$F:$F,0)-1,MATCH(I53,Rame!$F$1:$FF$1,0)-1))*IF(E53="Rame",1,0),4)</f>
        <v>0</v>
      </c>
      <c r="S53" s="446">
        <f ca="1">ROUND(IF(ISERROR(OFFSET(Bronzo!$A$1,MATCH(H53,Bronzo!$A:$A,0)-1,MATCH(I53,Bronzo!$A$1:$AA$1,0)-1)=TRUE),0,OFFSET(Bronzo!$A$1,MATCH(H53,Bronzo!$A:$A,0)-1,MATCH(I53,Bronzo!$A$1:$AA$1,0)-1)),4)</f>
        <v>0</v>
      </c>
      <c r="T53" s="446">
        <f t="shared" ca="1" si="46"/>
        <v>0</v>
      </c>
      <c r="U53" s="443"/>
      <c r="V53" s="446">
        <v>0</v>
      </c>
      <c r="W53" s="449">
        <f t="shared" ca="1" si="47"/>
        <v>1.5</v>
      </c>
      <c r="X53" s="452">
        <f t="shared" si="2"/>
        <v>35</v>
      </c>
      <c r="Y53" s="440">
        <v>4.57</v>
      </c>
      <c r="Z53" s="440">
        <f t="shared" ca="1" si="48"/>
        <v>0.22</v>
      </c>
      <c r="AA53" s="241">
        <v>46140</v>
      </c>
      <c r="AF53" s="225">
        <f t="shared" ca="1" si="72"/>
        <v>46156</v>
      </c>
      <c r="AG53" s="225" t="b">
        <f t="shared" si="73"/>
        <v>0</v>
      </c>
      <c r="AH53" s="242">
        <f t="shared" ca="1" si="74"/>
        <v>-16</v>
      </c>
      <c r="AK53" s="223">
        <f t="shared" si="75"/>
        <v>18</v>
      </c>
      <c r="AL53" s="223">
        <f t="shared" si="76"/>
        <v>2026</v>
      </c>
      <c r="AS53" s="223">
        <f t="shared" si="77"/>
        <v>4</v>
      </c>
      <c r="AT53" s="223">
        <f t="shared" si="78"/>
        <v>2026</v>
      </c>
    </row>
    <row r="54" spans="2:46" ht="15.75" x14ac:dyDescent="0.25">
      <c r="B54" s="229" t="s">
        <v>467</v>
      </c>
      <c r="C54" s="235" t="s">
        <v>396</v>
      </c>
      <c r="D54" s="243">
        <v>1000</v>
      </c>
      <c r="E54" s="232" t="s">
        <v>4</v>
      </c>
      <c r="F54" s="435">
        <v>2.85</v>
      </c>
      <c r="G54" s="234">
        <v>46086</v>
      </c>
      <c r="H54" s="235" t="s">
        <v>308</v>
      </c>
      <c r="I54" s="235"/>
      <c r="J54" s="440">
        <v>7.0000000000000007E-2</v>
      </c>
      <c r="K54" s="443">
        <f ca="1">ROUND(IF(ISERROR(OFFSET(Tabella!$A$1,MATCH(H54,Tabella!$A:$A,0)-1,MATCH(J54,Tabella!$A$1:$AC$1,0)-1)=TRUE),0,+OFFSET(Tabella!$A$1,MATCH(H54,Tabella!$A:$A,0)-1,MATCH(J54,Tabella!$A$1:$AC$1,0)-1)),4)</f>
        <v>1.25</v>
      </c>
      <c r="L54" s="446">
        <f ca="1">ROUND(IF(ISERROR(OFFSET(Ottone!$A$1,MATCH(H54,Ottone!$A:$A,0)-1,MATCH(J54,Ottone!$A$1:$Z$1,0)-1)=TRUE),0,OFFSET(Ottone!$A$1,MATCH(H54,Ottone!$A:$A,0)-1,MATCH(J54,Ottone!$A$1:$Z$1,0)-1))*IF(E54="Ottone",1,0),4)</f>
        <v>0</v>
      </c>
      <c r="M54" s="446">
        <f ca="1">ROUND(IF(ISERROR(OFFSET(Rame!$A$1,MATCH(H54,Rame!$A:$A,0)-1,MATCH(J54,Rame!$A$1:$AA$1,0)-1)=TRUE),0,OFFSET(Rame!$A$1,MATCH(H54,Rame!$A:$A,0)-1,MATCH(J54,Rame!$A$1:$AA$1,0)-1))*IF(E54="Rame",1,0),4)</f>
        <v>0</v>
      </c>
      <c r="N54" s="446">
        <v>0</v>
      </c>
      <c r="O54" s="446">
        <v>1.5</v>
      </c>
      <c r="P54" s="446">
        <f ca="1">ROUND(+IF(ISERROR(OFFSET(Tabella!$G$1,MATCH(H54,Tabella!$G:$G,0)-1,MATCH(I54,Tabella!$G$1:$FG$1,0)-1)=TRUE),0,OFFSET(Tabella!$G$1,MATCH(H54,Tabella!$G:$G,0)-1,MATCH(I54,Tabella!$G$1:$AB$1,0)-1)),4)</f>
        <v>0</v>
      </c>
      <c r="Q54" s="446">
        <f ca="1">ROUND(IF(ISERROR(OFFSET(Ottone!$F$1,MATCH(H54,Ottone!$A:$A,0)-1,MATCH(I54,Ottone!$F$1:$FF$1,0)-1)=TRUE),0,OFFSET(Ottone!$F$1,MATCH(H54,Ottone!$A:$A,0)-1,MATCH(I54,Ottone!$F$1:$FF$1,0)-1))*IF(E54="Ottone",1,0),4)</f>
        <v>0</v>
      </c>
      <c r="R54" s="446">
        <f ca="1">ROUND(IF(ISERROR(OFFSET(Rame!$F$1,MATCH(H54,Rame!$F:$F,0)-1,MATCH(I54,Rame!$F$1:$FF$1,0)-1)=TRUE),0,OFFSET(Rame!$F$1,MATCH(H54,Rame!$F:$F,0)-1,MATCH(I54,Rame!$F$1:$FF$1,0)-1))*IF(E54="Rame",1,0),4)</f>
        <v>0</v>
      </c>
      <c r="S54" s="446">
        <f ca="1">ROUND(IF(ISERROR(OFFSET(Bronzo!$A$1,MATCH(H54,Bronzo!$A:$A,0)-1,MATCH(I54,Bronzo!$A$1:$AA$1,0)-1)=TRUE),0,OFFSET(Bronzo!$A$1,MATCH(H54,Bronzo!$A:$A,0)-1,MATCH(I54,Bronzo!$A$1:$AA$1,0)-1)),4)</f>
        <v>0</v>
      </c>
      <c r="T54" s="446">
        <f t="shared" ca="1" si="46"/>
        <v>0</v>
      </c>
      <c r="U54" s="443"/>
      <c r="V54" s="446">
        <v>0</v>
      </c>
      <c r="W54" s="449">
        <f t="shared" ca="1" si="47"/>
        <v>1.5</v>
      </c>
      <c r="X54" s="452">
        <f t="shared" si="2"/>
        <v>70</v>
      </c>
      <c r="Y54" s="440">
        <v>4.57</v>
      </c>
      <c r="Z54" s="440">
        <f t="shared" ca="1" si="48"/>
        <v>0.22</v>
      </c>
      <c r="AA54" s="241">
        <v>46213</v>
      </c>
      <c r="AF54" s="225">
        <f t="shared" ca="1" si="72"/>
        <v>46156</v>
      </c>
      <c r="AG54" s="225" t="b">
        <f t="shared" si="73"/>
        <v>0</v>
      </c>
      <c r="AH54" s="242">
        <f t="shared" ca="1" si="74"/>
        <v>57</v>
      </c>
      <c r="AK54" s="223">
        <f t="shared" si="75"/>
        <v>28</v>
      </c>
      <c r="AL54" s="223">
        <f t="shared" si="76"/>
        <v>2026</v>
      </c>
      <c r="AS54" s="223">
        <f t="shared" si="77"/>
        <v>7</v>
      </c>
      <c r="AT54" s="223">
        <f t="shared" si="78"/>
        <v>2026</v>
      </c>
    </row>
    <row r="55" spans="2:46" ht="15.75" x14ac:dyDescent="0.25">
      <c r="B55" s="229" t="s">
        <v>468</v>
      </c>
      <c r="C55" s="235" t="s">
        <v>396</v>
      </c>
      <c r="D55" s="243">
        <v>1500</v>
      </c>
      <c r="E55" s="232" t="s">
        <v>4</v>
      </c>
      <c r="F55" s="435">
        <v>2.85</v>
      </c>
      <c r="G55" s="234">
        <v>46086</v>
      </c>
      <c r="H55" s="235" t="s">
        <v>308</v>
      </c>
      <c r="I55" s="235"/>
      <c r="J55" s="440">
        <v>7.0000000000000007E-2</v>
      </c>
      <c r="K55" s="443">
        <f ca="1">ROUND(IF(ISERROR(OFFSET(Tabella!$A$1,MATCH(H55,Tabella!$A:$A,0)-1,MATCH(J55,Tabella!$A$1:$AC$1,0)-1)=TRUE),0,+OFFSET(Tabella!$A$1,MATCH(H55,Tabella!$A:$A,0)-1,MATCH(J55,Tabella!$A$1:$AC$1,0)-1)),4)</f>
        <v>1.25</v>
      </c>
      <c r="L55" s="446">
        <f ca="1">ROUND(IF(ISERROR(OFFSET(Ottone!$A$1,MATCH(H55,Ottone!$A:$A,0)-1,MATCH(J55,Ottone!$A$1:$Z$1,0)-1)=TRUE),0,OFFSET(Ottone!$A$1,MATCH(H55,Ottone!$A:$A,0)-1,MATCH(J55,Ottone!$A$1:$Z$1,0)-1))*IF(E55="Ottone",1,0),4)</f>
        <v>0</v>
      </c>
      <c r="M55" s="446">
        <f ca="1">ROUND(IF(ISERROR(OFFSET(Rame!$A$1,MATCH(H55,Rame!$A:$A,0)-1,MATCH(J55,Rame!$A$1:$AA$1,0)-1)=TRUE),0,OFFSET(Rame!$A$1,MATCH(H55,Rame!$A:$A,0)-1,MATCH(J55,Rame!$A$1:$AA$1,0)-1))*IF(E55="Rame",1,0),4)</f>
        <v>0</v>
      </c>
      <c r="N55" s="446">
        <v>0</v>
      </c>
      <c r="O55" s="446">
        <v>1.5</v>
      </c>
      <c r="P55" s="446">
        <f ca="1">ROUND(+IF(ISERROR(OFFSET(Tabella!$G$1,MATCH(H55,Tabella!$G:$G,0)-1,MATCH(I55,Tabella!$G$1:$FG$1,0)-1)=TRUE),0,OFFSET(Tabella!$G$1,MATCH(H55,Tabella!$G:$G,0)-1,MATCH(I55,Tabella!$G$1:$AB$1,0)-1)),4)</f>
        <v>0</v>
      </c>
      <c r="Q55" s="446">
        <f ca="1">ROUND(IF(ISERROR(OFFSET(Ottone!$F$1,MATCH(H55,Ottone!$A:$A,0)-1,MATCH(I55,Ottone!$F$1:$FF$1,0)-1)=TRUE),0,OFFSET(Ottone!$F$1,MATCH(H55,Ottone!$A:$A,0)-1,MATCH(I55,Ottone!$F$1:$FF$1,0)-1))*IF(E55="Ottone",1,0),4)</f>
        <v>0</v>
      </c>
      <c r="R55" s="446">
        <f ca="1">ROUND(IF(ISERROR(OFFSET(Rame!$F$1,MATCH(H55,Rame!$F:$F,0)-1,MATCH(I55,Rame!$F$1:$FF$1,0)-1)=TRUE),0,OFFSET(Rame!$F$1,MATCH(H55,Rame!$F:$F,0)-1,MATCH(I55,Rame!$F$1:$FF$1,0)-1))*IF(E55="Rame",1,0),4)</f>
        <v>0</v>
      </c>
      <c r="S55" s="446">
        <f ca="1">ROUND(IF(ISERROR(OFFSET(Bronzo!$A$1,MATCH(H55,Bronzo!$A:$A,0)-1,MATCH(I55,Bronzo!$A$1:$AA$1,0)-1)=TRUE),0,OFFSET(Bronzo!$A$1,MATCH(H55,Bronzo!$A:$A,0)-1,MATCH(I55,Bronzo!$A$1:$AA$1,0)-1)),4)</f>
        <v>0</v>
      </c>
      <c r="T55" s="446">
        <f t="shared" ca="1" si="46"/>
        <v>0</v>
      </c>
      <c r="U55" s="443"/>
      <c r="V55" s="446">
        <v>0</v>
      </c>
      <c r="W55" s="449">
        <f t="shared" ca="1" si="47"/>
        <v>1.5</v>
      </c>
      <c r="X55" s="452">
        <f t="shared" si="2"/>
        <v>105</v>
      </c>
      <c r="Y55" s="440">
        <v>4.57</v>
      </c>
      <c r="Z55" s="440">
        <f t="shared" ca="1" si="48"/>
        <v>0.22</v>
      </c>
      <c r="AA55" s="241">
        <v>46316</v>
      </c>
      <c r="AF55" s="225">
        <f t="shared" ca="1" si="72"/>
        <v>46156</v>
      </c>
      <c r="AG55" s="225" t="b">
        <f t="shared" si="73"/>
        <v>0</v>
      </c>
      <c r="AH55" s="242">
        <f t="shared" ca="1" si="74"/>
        <v>160</v>
      </c>
      <c r="AK55" s="223">
        <f t="shared" si="75"/>
        <v>43</v>
      </c>
      <c r="AL55" s="223">
        <f t="shared" si="76"/>
        <v>2026</v>
      </c>
      <c r="AS55" s="223">
        <f t="shared" si="77"/>
        <v>10</v>
      </c>
      <c r="AT55" s="223">
        <f t="shared" si="78"/>
        <v>2026</v>
      </c>
    </row>
    <row r="56" spans="2:46" ht="15.75" x14ac:dyDescent="0.25">
      <c r="B56" s="229" t="s">
        <v>472</v>
      </c>
      <c r="C56" s="235" t="s">
        <v>102</v>
      </c>
      <c r="D56" s="243">
        <v>3000</v>
      </c>
      <c r="E56" s="232" t="s">
        <v>4</v>
      </c>
      <c r="F56" s="435">
        <v>2.65</v>
      </c>
      <c r="G56" s="234">
        <v>46050</v>
      </c>
      <c r="H56" s="235" t="s">
        <v>23</v>
      </c>
      <c r="I56" s="235"/>
      <c r="J56" s="440">
        <v>7.0000000000000007E-2</v>
      </c>
      <c r="K56" s="443">
        <f ca="1">ROUND(IF(ISERROR(OFFSET(Tabella!$A$1,MATCH(H56,Tabella!$A:$A,0)-1,MATCH(J56,Tabella!$A$1:$AC$1,0)-1)=TRUE),0,+OFFSET(Tabella!$A$1,MATCH(H56,Tabella!$A:$A,0)-1,MATCH(J56,Tabella!$A$1:$AC$1,0)-1)),4)</f>
        <v>1.25</v>
      </c>
      <c r="L56" s="446">
        <f ca="1">ROUND(IF(ISERROR(OFFSET(Ottone!$A$1,MATCH(H56,Ottone!$A:$A,0)-1,MATCH(J56,Ottone!$A$1:$Z$1,0)-1)=TRUE),0,OFFSET(Ottone!$A$1,MATCH(H56,Ottone!$A:$A,0)-1,MATCH(J56,Ottone!$A$1:$Z$1,0)-1))*IF(E56="Ottone",1,0),4)</f>
        <v>0</v>
      </c>
      <c r="M56" s="446">
        <f ca="1">ROUND(IF(ISERROR(OFFSET(Rame!$A$1,MATCH(H56,Rame!$A:$A,0)-1,MATCH(J56,Rame!$A$1:$AA$1,0)-1)=TRUE),0,OFFSET(Rame!$A$1,MATCH(H56,Rame!$A:$A,0)-1,MATCH(J56,Rame!$A$1:$AA$1,0)-1))*IF(E56="Rame",1,0),4)</f>
        <v>0</v>
      </c>
      <c r="N56" s="446">
        <v>0</v>
      </c>
      <c r="O56" s="446">
        <f ca="1">ROUND(SUM(K56:N56),4)</f>
        <v>1.25</v>
      </c>
      <c r="P56" s="446">
        <f ca="1">ROUND(+IF(ISERROR(OFFSET(Tabella!$G$1,MATCH(H56,Tabella!$G:$G,0)-1,MATCH(I56,Tabella!$G$1:$FG$1,0)-1)=TRUE),0,OFFSET(Tabella!$G$1,MATCH(H56,Tabella!$G:$G,0)-1,MATCH(I56,Tabella!$G$1:$AB$1,0)-1)),4)</f>
        <v>0</v>
      </c>
      <c r="Q56" s="446">
        <f ca="1">ROUND(IF(ISERROR(OFFSET(Ottone!$F$1,MATCH(H56,Ottone!$A:$A,0)-1,MATCH(I56,Ottone!$F$1:$FF$1,0)-1)=TRUE),0,OFFSET(Ottone!$F$1,MATCH(H56,Ottone!$A:$A,0)-1,MATCH(I56,Ottone!$F$1:$FF$1,0)-1))*IF(E56="Ottone",1,0),4)</f>
        <v>0</v>
      </c>
      <c r="R56" s="446">
        <f ca="1">ROUND(IF(ISERROR(OFFSET(Rame!$F$1,MATCH(H56,Rame!$F:$F,0)-1,MATCH(I56,Rame!$F$1:$FF$1,0)-1)=TRUE),0,OFFSET(Rame!$F$1,MATCH(H56,Rame!$F:$F,0)-1,MATCH(I56,Rame!$F$1:$FF$1,0)-1))*IF(E56="Rame",1,0),4)</f>
        <v>0</v>
      </c>
      <c r="S56" s="446">
        <f ca="1">ROUND(IF(ISERROR(OFFSET(Bronzo!$A$1,MATCH(H56,Bronzo!$A:$A,0)-1,MATCH(I56,Bronzo!$A$1:$AA$1,0)-1)=TRUE),0,OFFSET(Bronzo!$A$1,MATCH(H56,Bronzo!$A:$A,0)-1,MATCH(I56,Bronzo!$A$1:$AA$1,0)-1)),4)</f>
        <v>0</v>
      </c>
      <c r="T56" s="446">
        <f t="shared" ca="1" si="46"/>
        <v>0</v>
      </c>
      <c r="U56" s="443"/>
      <c r="V56" s="446">
        <v>0</v>
      </c>
      <c r="W56" s="449">
        <f t="shared" ca="1" si="47"/>
        <v>1.25</v>
      </c>
      <c r="X56" s="452">
        <f t="shared" si="2"/>
        <v>210</v>
      </c>
      <c r="Y56" s="440">
        <v>4.1500000000000004</v>
      </c>
      <c r="Z56" s="440">
        <f t="shared" ca="1" si="48"/>
        <v>0.25</v>
      </c>
      <c r="AA56" s="241">
        <v>46146</v>
      </c>
      <c r="AF56" s="225">
        <f t="shared" ca="1" si="72"/>
        <v>46156</v>
      </c>
      <c r="AG56" s="225" t="b">
        <f t="shared" si="73"/>
        <v>0</v>
      </c>
      <c r="AH56" s="242">
        <f t="shared" ca="1" si="74"/>
        <v>-10</v>
      </c>
      <c r="AK56" s="223">
        <f t="shared" si="75"/>
        <v>19</v>
      </c>
      <c r="AL56" s="223">
        <f t="shared" si="76"/>
        <v>2026</v>
      </c>
      <c r="AS56" s="223">
        <f t="shared" si="77"/>
        <v>5</v>
      </c>
      <c r="AT56" s="223">
        <f t="shared" si="78"/>
        <v>2026</v>
      </c>
    </row>
    <row r="57" spans="2:46" ht="15.75" x14ac:dyDescent="0.25">
      <c r="B57" s="229" t="s">
        <v>460</v>
      </c>
      <c r="C57" s="235" t="s">
        <v>269</v>
      </c>
      <c r="D57" s="243">
        <v>1000</v>
      </c>
      <c r="E57" s="232" t="s">
        <v>4</v>
      </c>
      <c r="F57" s="435">
        <v>2.9</v>
      </c>
      <c r="G57" s="234">
        <v>46087</v>
      </c>
      <c r="H57" s="235" t="s">
        <v>26</v>
      </c>
      <c r="I57" s="235"/>
      <c r="J57" s="440">
        <v>0.13</v>
      </c>
      <c r="K57" s="443">
        <f ca="1">ROUND(IF(ISERROR(OFFSET(Tabella!$A$1,MATCH(H57,Tabella!$A:$A,0)-1,MATCH(J57,Tabella!$A$1:$AC$1,0)-1)=TRUE),0,+OFFSET(Tabella!$A$1,MATCH(H57,Tabella!$A:$A,0)-1,MATCH(J57,Tabella!$A$1:$AC$1,0)-1)),4)</f>
        <v>0</v>
      </c>
      <c r="L57" s="446">
        <f ca="1">ROUND(IF(ISERROR(OFFSET(Ottone!$A$1,MATCH(H57,Ottone!$A:$A,0)-1,MATCH(J57,Ottone!$A$1:$Z$1,0)-1)=TRUE),0,OFFSET(Ottone!$A$1,MATCH(H57,Ottone!$A:$A,0)-1,MATCH(J57,Ottone!$A$1:$Z$1,0)-1))*IF(E57="Ottone",1,0),4)</f>
        <v>0</v>
      </c>
      <c r="M57" s="446">
        <f ca="1">ROUND(IF(ISERROR(OFFSET(Rame!$A$1,MATCH(H57,Rame!$A:$A,0)-1,MATCH(J57,Rame!$A$1:$AA$1,0)-1)=TRUE),0,OFFSET(Rame!$A$1,MATCH(H57,Rame!$A:$A,0)-1,MATCH(J57,Rame!$A$1:$AA$1,0)-1))*IF(E57="Rame",1,0),4)</f>
        <v>0</v>
      </c>
      <c r="N57" s="446">
        <v>0</v>
      </c>
      <c r="O57" s="446">
        <v>1.6</v>
      </c>
      <c r="P57" s="446">
        <f ca="1">ROUND(+IF(ISERROR(OFFSET(Tabella!$G$1,MATCH(H57,Tabella!$G:$G,0)-1,MATCH(I57,Tabella!$G$1:$FG$1,0)-1)=TRUE),0,OFFSET(Tabella!$G$1,MATCH(H57,Tabella!$G:$G,0)-1,MATCH(I57,Tabella!$G$1:$AB$1,0)-1)),4)</f>
        <v>0</v>
      </c>
      <c r="Q57" s="446">
        <f ca="1">ROUND(IF(ISERROR(OFFSET(Ottone!$F$1,MATCH(H57,Ottone!$A:$A,0)-1,MATCH(I57,Ottone!$F$1:$FF$1,0)-1)=TRUE),0,OFFSET(Ottone!$F$1,MATCH(H57,Ottone!$A:$A,0)-1,MATCH(I57,Ottone!$F$1:$FF$1,0)-1))*IF(E57="Ottone",1,0),4)</f>
        <v>0</v>
      </c>
      <c r="R57" s="446">
        <f ca="1">ROUND(IF(ISERROR(OFFSET(Rame!$F$1,MATCH(H57,Rame!$F:$F,0)-1,MATCH(I57,Rame!$F$1:$FF$1,0)-1)=TRUE),0,OFFSET(Rame!$F$1,MATCH(H57,Rame!$F:$F,0)-1,MATCH(I57,Rame!$F$1:$FF$1,0)-1))*IF(E57="Rame",1,0),4)</f>
        <v>0</v>
      </c>
      <c r="S57" s="446">
        <f ca="1">ROUND(IF(ISERROR(OFFSET(Bronzo!$A$1,MATCH(H57,Bronzo!$A:$A,0)-1,MATCH(I57,Bronzo!$A$1:$AA$1,0)-1)=TRUE),0,OFFSET(Bronzo!$A$1,MATCH(H57,Bronzo!$A:$A,0)-1,MATCH(I57,Bronzo!$A$1:$AA$1,0)-1)),4)</f>
        <v>0</v>
      </c>
      <c r="T57" s="446">
        <f t="shared" ca="1" si="46"/>
        <v>0</v>
      </c>
      <c r="U57" s="443"/>
      <c r="V57" s="446">
        <v>0</v>
      </c>
      <c r="W57" s="449">
        <f t="shared" ca="1" si="47"/>
        <v>1.6</v>
      </c>
      <c r="X57" s="452">
        <f t="shared" si="2"/>
        <v>130</v>
      </c>
      <c r="Y57" s="440">
        <v>4.5999999999999996</v>
      </c>
      <c r="Z57" s="440">
        <f t="shared" ca="1" si="48"/>
        <v>0.1</v>
      </c>
      <c r="AA57" s="241">
        <v>46178</v>
      </c>
      <c r="AF57" s="225">
        <f t="shared" ca="1" si="72"/>
        <v>46156</v>
      </c>
      <c r="AG57" s="225" t="b">
        <f t="shared" si="73"/>
        <v>0</v>
      </c>
      <c r="AH57" s="242">
        <f t="shared" ca="1" si="74"/>
        <v>22</v>
      </c>
      <c r="AK57" s="223">
        <f t="shared" si="75"/>
        <v>23</v>
      </c>
      <c r="AL57" s="223">
        <f t="shared" si="76"/>
        <v>2026</v>
      </c>
      <c r="AS57" s="223">
        <f t="shared" si="77"/>
        <v>6</v>
      </c>
      <c r="AT57" s="223">
        <f t="shared" si="78"/>
        <v>2026</v>
      </c>
    </row>
    <row r="58" spans="2:46" ht="15.75" x14ac:dyDescent="0.25">
      <c r="B58" s="229" t="s">
        <v>460</v>
      </c>
      <c r="C58" s="235" t="s">
        <v>269</v>
      </c>
      <c r="D58" s="243">
        <v>1000</v>
      </c>
      <c r="E58" s="232" t="s">
        <v>4</v>
      </c>
      <c r="F58" s="435">
        <v>2.9</v>
      </c>
      <c r="G58" s="234">
        <v>46087</v>
      </c>
      <c r="H58" s="235" t="s">
        <v>26</v>
      </c>
      <c r="I58" s="235"/>
      <c r="J58" s="440">
        <v>0.13</v>
      </c>
      <c r="K58" s="443">
        <f ca="1">ROUND(IF(ISERROR(OFFSET(Tabella!$A$1,MATCH(H58,Tabella!$A:$A,0)-1,MATCH(J58,Tabella!$A$1:$AC$1,0)-1)=TRUE),0,+OFFSET(Tabella!$A$1,MATCH(H58,Tabella!$A:$A,0)-1,MATCH(J58,Tabella!$A$1:$AC$1,0)-1)),4)</f>
        <v>0</v>
      </c>
      <c r="L58" s="446">
        <f ca="1">ROUND(IF(ISERROR(OFFSET(Ottone!$A$1,MATCH(H58,Ottone!$A:$A,0)-1,MATCH(J58,Ottone!$A$1:$Z$1,0)-1)=TRUE),0,OFFSET(Ottone!$A$1,MATCH(H58,Ottone!$A:$A,0)-1,MATCH(J58,Ottone!$A$1:$Z$1,0)-1))*IF(E58="Ottone",1,0),4)</f>
        <v>0</v>
      </c>
      <c r="M58" s="446">
        <f ca="1">ROUND(IF(ISERROR(OFFSET(Rame!$A$1,MATCH(H58,Rame!$A:$A,0)-1,MATCH(J58,Rame!$A$1:$AA$1,0)-1)=TRUE),0,OFFSET(Rame!$A$1,MATCH(H58,Rame!$A:$A,0)-1,MATCH(J58,Rame!$A$1:$AA$1,0)-1))*IF(E58="Rame",1,0),4)</f>
        <v>0</v>
      </c>
      <c r="N58" s="446">
        <v>0</v>
      </c>
      <c r="O58" s="446">
        <v>1.6</v>
      </c>
      <c r="P58" s="446">
        <f ca="1">ROUND(+IF(ISERROR(OFFSET(Tabella!$G$1,MATCH(H58,Tabella!$G:$G,0)-1,MATCH(I58,Tabella!$G$1:$FG$1,0)-1)=TRUE),0,OFFSET(Tabella!$G$1,MATCH(H58,Tabella!$G:$G,0)-1,MATCH(I58,Tabella!$G$1:$AB$1,0)-1)),4)</f>
        <v>0</v>
      </c>
      <c r="Q58" s="446">
        <f ca="1">ROUND(IF(ISERROR(OFFSET(Ottone!$F$1,MATCH(H58,Ottone!$A:$A,0)-1,MATCH(I58,Ottone!$F$1:$FF$1,0)-1)=TRUE),0,OFFSET(Ottone!$F$1,MATCH(H58,Ottone!$A:$A,0)-1,MATCH(I58,Ottone!$F$1:$FF$1,0)-1))*IF(E58="Ottone",1,0),4)</f>
        <v>0</v>
      </c>
      <c r="R58" s="446">
        <f ca="1">ROUND(IF(ISERROR(OFFSET(Rame!$F$1,MATCH(H58,Rame!$F:$F,0)-1,MATCH(I58,Rame!$F$1:$FF$1,0)-1)=TRUE),0,OFFSET(Rame!$F$1,MATCH(H58,Rame!$F:$F,0)-1,MATCH(I58,Rame!$F$1:$FF$1,0)-1))*IF(E58="Rame",1,0),4)</f>
        <v>0</v>
      </c>
      <c r="S58" s="446">
        <f ca="1">ROUND(IF(ISERROR(OFFSET(Bronzo!$A$1,MATCH(H58,Bronzo!$A:$A,0)-1,MATCH(I58,Bronzo!$A$1:$AA$1,0)-1)=TRUE),0,OFFSET(Bronzo!$A$1,MATCH(H58,Bronzo!$A:$A,0)-1,MATCH(I58,Bronzo!$A$1:$AA$1,0)-1)),4)</f>
        <v>0</v>
      </c>
      <c r="T58" s="446">
        <f t="shared" ca="1" si="46"/>
        <v>0</v>
      </c>
      <c r="U58" s="443"/>
      <c r="V58" s="446">
        <v>0</v>
      </c>
      <c r="W58" s="449">
        <f t="shared" ca="1" si="47"/>
        <v>1.6</v>
      </c>
      <c r="X58" s="452">
        <f t="shared" si="2"/>
        <v>130</v>
      </c>
      <c r="Y58" s="440">
        <v>4.5999999999999996</v>
      </c>
      <c r="Z58" s="440">
        <f t="shared" ca="1" si="48"/>
        <v>0.1</v>
      </c>
      <c r="AA58" s="241">
        <v>46275</v>
      </c>
      <c r="AF58" s="225">
        <f t="shared" ca="1" si="72"/>
        <v>46156</v>
      </c>
      <c r="AG58" s="225" t="b">
        <f t="shared" si="73"/>
        <v>0</v>
      </c>
      <c r="AH58" s="242">
        <f t="shared" ca="1" si="74"/>
        <v>119</v>
      </c>
      <c r="AK58" s="223">
        <f t="shared" si="75"/>
        <v>37</v>
      </c>
      <c r="AL58" s="223">
        <f t="shared" si="76"/>
        <v>2026</v>
      </c>
      <c r="AS58" s="223">
        <f t="shared" si="77"/>
        <v>9</v>
      </c>
      <c r="AT58" s="223">
        <f t="shared" si="78"/>
        <v>2026</v>
      </c>
    </row>
    <row r="59" spans="2:46" ht="15.75" x14ac:dyDescent="0.25">
      <c r="B59" s="229" t="s">
        <v>632</v>
      </c>
      <c r="C59" s="244" t="s">
        <v>212</v>
      </c>
      <c r="D59" s="245">
        <v>649</v>
      </c>
      <c r="E59" s="232" t="s">
        <v>4</v>
      </c>
      <c r="F59" s="435">
        <v>2.61</v>
      </c>
      <c r="G59" s="234">
        <v>46087</v>
      </c>
      <c r="H59" s="235" t="s">
        <v>22</v>
      </c>
      <c r="I59" s="235"/>
      <c r="J59" s="440">
        <v>0.05</v>
      </c>
      <c r="K59" s="443">
        <f ca="1">ROUND(IF(ISERROR(OFFSET(Tabella!$A$1,MATCH(H59,Tabella!$A:$A,0)-1,MATCH(J59,Tabella!$A$1:$AC$1,0)-1)=TRUE),0,+OFFSET(Tabella!$A$1,MATCH(H59,Tabella!$A:$A,0)-1,MATCH(J59,Tabella!$A$1:$AC$1,0)-1)),4)</f>
        <v>0</v>
      </c>
      <c r="L59" s="446">
        <f ca="1">ROUND(IF(ISERROR(OFFSET(Ottone!$A$1,MATCH(H59,Ottone!$A:$A,0)-1,MATCH(J59,Ottone!$A$1:$Z$1,0)-1)=TRUE),0,OFFSET(Ottone!$A$1,MATCH(H59,Ottone!$A:$A,0)-1,MATCH(J59,Ottone!$A$1:$Z$1,0)-1))*IF(E59="Ottone",1,0),4)</f>
        <v>0</v>
      </c>
      <c r="M59" s="446">
        <f ca="1">ROUND(IF(ISERROR(OFFSET(Rame!$A$1,MATCH(H59,Rame!$A:$A,0)-1,MATCH(J59,Rame!$A$1:$AA$1,0)-1)=TRUE),0,OFFSET(Rame!$A$1,MATCH(H59,Rame!$A:$A,0)-1,MATCH(J59,Rame!$A$1:$AA$1,0)-1))*IF(E59="Rame",1,0),4)</f>
        <v>0</v>
      </c>
      <c r="N59" s="446">
        <v>0</v>
      </c>
      <c r="O59" s="446">
        <v>1.47</v>
      </c>
      <c r="P59" s="446">
        <f ca="1">ROUND(+IF(ISERROR(OFFSET(Tabella!$G$1,MATCH(H59,Tabella!$G:$G,0)-1,MATCH(I59,Tabella!$G$1:$FG$1,0)-1)=TRUE),0,OFFSET(Tabella!$G$1,MATCH(H59,Tabella!$G:$G,0)-1,MATCH(I59,Tabella!$G$1:$AB$1,0)-1)),4)</f>
        <v>0</v>
      </c>
      <c r="Q59" s="446">
        <f ca="1">ROUND(IF(ISERROR(OFFSET(Ottone!$F$1,MATCH(H59,Ottone!$A:$A,0)-1,MATCH(I59,Ottone!$F$1:$FF$1,0)-1)=TRUE),0,OFFSET(Ottone!$F$1,MATCH(H59,Ottone!$A:$A,0)-1,MATCH(I59,Ottone!$F$1:$FF$1,0)-1))*IF(E59="Ottone",1,0),4)</f>
        <v>0</v>
      </c>
      <c r="R59" s="446">
        <f ca="1">ROUND(IF(ISERROR(OFFSET(Rame!$F$1,MATCH(H59,Rame!$F:$F,0)-1,MATCH(I59,Rame!$F$1:$FF$1,0)-1)=TRUE),0,OFFSET(Rame!$F$1,MATCH(H59,Rame!$F:$F,0)-1,MATCH(I59,Rame!$F$1:$FF$1,0)-1))*IF(E59="Rame",1,0),4)</f>
        <v>0</v>
      </c>
      <c r="S59" s="446">
        <f ca="1">ROUND(IF(ISERROR(OFFSET(Bronzo!$A$1,MATCH(H59,Bronzo!$A:$A,0)-1,MATCH(I59,Bronzo!$A$1:$AA$1,0)-1)=TRUE),0,OFFSET(Bronzo!$A$1,MATCH(H59,Bronzo!$A:$A,0)-1,MATCH(I59,Bronzo!$A$1:$AA$1,0)-1)),4)</f>
        <v>0</v>
      </c>
      <c r="T59" s="446">
        <f t="shared" ca="1" si="46"/>
        <v>0</v>
      </c>
      <c r="U59" s="443"/>
      <c r="V59" s="446">
        <v>0</v>
      </c>
      <c r="W59" s="449">
        <f t="shared" ca="1" si="47"/>
        <v>1.47</v>
      </c>
      <c r="X59" s="454">
        <f t="shared" si="2"/>
        <v>32.450000000000003</v>
      </c>
      <c r="Y59" s="440">
        <v>4.08</v>
      </c>
      <c r="Z59" s="440">
        <f t="shared" ca="1" si="48"/>
        <v>0</v>
      </c>
      <c r="AA59" s="241"/>
      <c r="AD59" s="223" t="s">
        <v>403</v>
      </c>
      <c r="AF59" s="225">
        <f t="shared" ref="AF59:AF79" ca="1" si="79">TODAY()</f>
        <v>46156</v>
      </c>
      <c r="AG59" s="225" t="b">
        <f t="shared" si="73"/>
        <v>1</v>
      </c>
      <c r="AH59" s="242" t="str">
        <f t="shared" si="74"/>
        <v/>
      </c>
      <c r="AK59" s="223">
        <f t="shared" si="75"/>
        <v>0</v>
      </c>
      <c r="AL59" s="223">
        <f t="shared" si="76"/>
        <v>1900</v>
      </c>
      <c r="AS59" s="223">
        <f t="shared" si="77"/>
        <v>0</v>
      </c>
      <c r="AT59" s="223">
        <f t="shared" si="78"/>
        <v>0</v>
      </c>
    </row>
    <row r="60" spans="2:46" ht="15.75" x14ac:dyDescent="0.25">
      <c r="B60" s="229" t="s">
        <v>633</v>
      </c>
      <c r="C60" s="244" t="s">
        <v>212</v>
      </c>
      <c r="D60" s="245">
        <v>3042</v>
      </c>
      <c r="E60" s="232" t="s">
        <v>4</v>
      </c>
      <c r="F60" s="435">
        <v>2.61</v>
      </c>
      <c r="G60" s="234">
        <v>6</v>
      </c>
      <c r="H60" s="235" t="s">
        <v>322</v>
      </c>
      <c r="I60" s="235"/>
      <c r="J60" s="440">
        <v>0.05</v>
      </c>
      <c r="K60" s="443">
        <f ca="1">ROUND(IF(ISERROR(OFFSET(Tabella!$A$1,MATCH(H60,Tabella!$A:$A,0)-1,MATCH(J60,Tabella!$A$1:$AC$1,0)-1)=TRUE),0,+OFFSET(Tabella!$A$1,MATCH(H60,Tabella!$A:$A,0)-1,MATCH(J60,Tabella!$A$1:$AC$1,0)-1)),4)</f>
        <v>0</v>
      </c>
      <c r="L60" s="446">
        <f ca="1">ROUND(IF(ISERROR(OFFSET(Ottone!$A$1,MATCH(H60,Ottone!$A:$A,0)-1,MATCH(J60,Ottone!$A$1:$Z$1,0)-1)=TRUE),0,OFFSET(Ottone!$A$1,MATCH(H60,Ottone!$A:$A,0)-1,MATCH(J60,Ottone!$A$1:$Z$1,0)-1))*IF(E60="Ottone",1,0),4)</f>
        <v>0</v>
      </c>
      <c r="M60" s="446">
        <f ca="1">ROUND(IF(ISERROR(OFFSET(Rame!$A$1,MATCH(H60,Rame!$A:$A,0)-1,MATCH(J60,Rame!$A$1:$AA$1,0)-1)=TRUE),0,OFFSET(Rame!$A$1,MATCH(H60,Rame!$A:$A,0)-1,MATCH(J60,Rame!$A$1:$AA$1,0)-1))*IF(E60="Rame",1,0),4)</f>
        <v>0</v>
      </c>
      <c r="N60" s="446">
        <v>0</v>
      </c>
      <c r="O60" s="446">
        <v>1.47</v>
      </c>
      <c r="P60" s="446">
        <f ca="1">ROUND(+IF(ISERROR(OFFSET(Tabella!$G$1,MATCH(H60,Tabella!$G:$G,0)-1,MATCH(I60,Tabella!$G$1:$FG$1,0)-1)=TRUE),0,OFFSET(Tabella!$G$1,MATCH(H60,Tabella!$G:$G,0)-1,MATCH(I60,Tabella!$G$1:$AB$1,0)-1)),4)</f>
        <v>0</v>
      </c>
      <c r="Q60" s="446">
        <f ca="1">ROUND(IF(ISERROR(OFFSET(Ottone!$F$1,MATCH(H60,Ottone!$A:$A,0)-1,MATCH(I60,Ottone!$F$1:$FF$1,0)-1)=TRUE),0,OFFSET(Ottone!$F$1,MATCH(H60,Ottone!$A:$A,0)-1,MATCH(I60,Ottone!$F$1:$FF$1,0)-1))*IF(E60="Ottone",1,0),4)</f>
        <v>0</v>
      </c>
      <c r="R60" s="446">
        <f ca="1">ROUND(IF(ISERROR(OFFSET(Rame!$F$1,MATCH(H60,Rame!$F:$F,0)-1,MATCH(I60,Rame!$F$1:$FF$1,0)-1)=TRUE),0,OFFSET(Rame!$F$1,MATCH(H60,Rame!$F:$F,0)-1,MATCH(I60,Rame!$F$1:$FF$1,0)-1))*IF(E60="Rame",1,0),4)</f>
        <v>0</v>
      </c>
      <c r="S60" s="446">
        <f ca="1">ROUND(IF(ISERROR(OFFSET(Bronzo!$A$1,MATCH(H60,Bronzo!$A:$A,0)-1,MATCH(I60,Bronzo!$A$1:$AA$1,0)-1)=TRUE),0,OFFSET(Bronzo!$A$1,MATCH(H60,Bronzo!$A:$A,0)-1,MATCH(I60,Bronzo!$A$1:$AA$1,0)-1)),4)</f>
        <v>0</v>
      </c>
      <c r="T60" s="446">
        <f t="shared" ca="1" si="46"/>
        <v>0</v>
      </c>
      <c r="U60" s="443"/>
      <c r="V60" s="446">
        <v>0</v>
      </c>
      <c r="W60" s="449">
        <f t="shared" ca="1" si="47"/>
        <v>1.47</v>
      </c>
      <c r="X60" s="454">
        <f t="shared" si="2"/>
        <v>152.1</v>
      </c>
      <c r="Y60" s="440">
        <v>4.08</v>
      </c>
      <c r="Z60" s="440">
        <f t="shared" ca="1" si="48"/>
        <v>0</v>
      </c>
      <c r="AA60" s="241"/>
      <c r="AD60" s="223" t="s">
        <v>403</v>
      </c>
      <c r="AF60" s="225">
        <f t="shared" ca="1" si="79"/>
        <v>46156</v>
      </c>
      <c r="AG60" s="225" t="b">
        <f t="shared" si="73"/>
        <v>1</v>
      </c>
      <c r="AH60" s="242" t="str">
        <f t="shared" si="74"/>
        <v/>
      </c>
      <c r="AK60" s="223">
        <f t="shared" si="75"/>
        <v>0</v>
      </c>
      <c r="AL60" s="223">
        <f t="shared" si="76"/>
        <v>1900</v>
      </c>
      <c r="AS60" s="223">
        <f t="shared" si="77"/>
        <v>0</v>
      </c>
      <c r="AT60" s="223">
        <f t="shared" si="78"/>
        <v>0</v>
      </c>
    </row>
    <row r="61" spans="2:46" ht="15.75" x14ac:dyDescent="0.25">
      <c r="B61" s="229" t="s">
        <v>634</v>
      </c>
      <c r="C61" s="244" t="s">
        <v>212</v>
      </c>
      <c r="D61" s="245">
        <v>354</v>
      </c>
      <c r="E61" s="232" t="s">
        <v>4</v>
      </c>
      <c r="F61" s="435">
        <v>2.61</v>
      </c>
      <c r="G61" s="234">
        <v>46087</v>
      </c>
      <c r="H61" s="235" t="s">
        <v>21</v>
      </c>
      <c r="I61" s="235"/>
      <c r="J61" s="440">
        <v>0.05</v>
      </c>
      <c r="K61" s="443">
        <f ca="1">ROUND(IF(ISERROR(OFFSET(Tabella!$A$1,MATCH(H61,Tabella!$A:$A,0)-1,MATCH(J61,Tabella!$A$1:$AC$1,0)-1)=TRUE),0,+OFFSET(Tabella!$A$1,MATCH(H61,Tabella!$A:$A,0)-1,MATCH(J61,Tabella!$A$1:$AC$1,0)-1)),4)</f>
        <v>0</v>
      </c>
      <c r="L61" s="446">
        <f ca="1">ROUND(IF(ISERROR(OFFSET(Ottone!$A$1,MATCH(H61,Ottone!$A:$A,0)-1,MATCH(J61,Ottone!$A$1:$Z$1,0)-1)=TRUE),0,OFFSET(Ottone!$A$1,MATCH(H61,Ottone!$A:$A,0)-1,MATCH(J61,Ottone!$A$1:$Z$1,0)-1))*IF(E61="Ottone",1,0),4)</f>
        <v>0</v>
      </c>
      <c r="M61" s="446">
        <f ca="1">ROUND(IF(ISERROR(OFFSET(Rame!$A$1,MATCH(H61,Rame!$A:$A,0)-1,MATCH(J61,Rame!$A$1:$AA$1,0)-1)=TRUE),0,OFFSET(Rame!$A$1,MATCH(H61,Rame!$A:$A,0)-1,MATCH(J61,Rame!$A$1:$AA$1,0)-1))*IF(E61="Rame",1,0),4)</f>
        <v>0</v>
      </c>
      <c r="N61" s="446">
        <v>0</v>
      </c>
      <c r="O61" s="446">
        <v>1.47</v>
      </c>
      <c r="P61" s="446">
        <f ca="1">ROUND(+IF(ISERROR(OFFSET(Tabella!$G$1,MATCH(H61,Tabella!$G:$G,0)-1,MATCH(I61,Tabella!$G$1:$FG$1,0)-1)=TRUE),0,OFFSET(Tabella!$G$1,MATCH(H61,Tabella!$G:$G,0)-1,MATCH(I61,Tabella!$G$1:$AB$1,0)-1)),4)</f>
        <v>0</v>
      </c>
      <c r="Q61" s="446">
        <f ca="1">ROUND(IF(ISERROR(OFFSET(Ottone!$F$1,MATCH(H61,Ottone!$A:$A,0)-1,MATCH(I61,Ottone!$F$1:$FF$1,0)-1)=TRUE),0,OFFSET(Ottone!$F$1,MATCH(H61,Ottone!$A:$A,0)-1,MATCH(I61,Ottone!$F$1:$FF$1,0)-1))*IF(E61="Ottone",1,0),4)</f>
        <v>0</v>
      </c>
      <c r="R61" s="446">
        <f ca="1">ROUND(IF(ISERROR(OFFSET(Rame!$F$1,MATCH(H61,Rame!$F:$F,0)-1,MATCH(I61,Rame!$F$1:$FF$1,0)-1)=TRUE),0,OFFSET(Rame!$F$1,MATCH(H61,Rame!$F:$F,0)-1,MATCH(I61,Rame!$F$1:$FF$1,0)-1))*IF(E61="Rame",1,0),4)</f>
        <v>0</v>
      </c>
      <c r="S61" s="446">
        <f ca="1">ROUND(IF(ISERROR(OFFSET(Bronzo!$A$1,MATCH(H61,Bronzo!$A:$A,0)-1,MATCH(I61,Bronzo!$A$1:$AA$1,0)-1)=TRUE),0,OFFSET(Bronzo!$A$1,MATCH(H61,Bronzo!$A:$A,0)-1,MATCH(I61,Bronzo!$A$1:$AA$1,0)-1)),4)</f>
        <v>0</v>
      </c>
      <c r="T61" s="446">
        <f t="shared" ca="1" si="46"/>
        <v>0</v>
      </c>
      <c r="U61" s="443"/>
      <c r="V61" s="446">
        <v>0</v>
      </c>
      <c r="W61" s="449">
        <f t="shared" ca="1" si="47"/>
        <v>1.47</v>
      </c>
      <c r="X61" s="454">
        <f t="shared" si="2"/>
        <v>17.7</v>
      </c>
      <c r="Y61" s="440">
        <v>4.08</v>
      </c>
      <c r="Z61" s="440">
        <f t="shared" ca="1" si="48"/>
        <v>0</v>
      </c>
      <c r="AA61" s="241"/>
      <c r="AD61" s="223" t="s">
        <v>403</v>
      </c>
      <c r="AF61" s="225">
        <f t="shared" ca="1" si="79"/>
        <v>46156</v>
      </c>
      <c r="AG61" s="225" t="b">
        <f t="shared" si="73"/>
        <v>1</v>
      </c>
      <c r="AH61" s="242" t="str">
        <f t="shared" si="74"/>
        <v/>
      </c>
      <c r="AK61" s="223">
        <f t="shared" si="75"/>
        <v>0</v>
      </c>
      <c r="AL61" s="223">
        <f t="shared" si="76"/>
        <v>1900</v>
      </c>
      <c r="AS61" s="223">
        <f t="shared" si="77"/>
        <v>0</v>
      </c>
      <c r="AT61" s="223">
        <f t="shared" si="78"/>
        <v>0</v>
      </c>
    </row>
    <row r="62" spans="2:46" ht="15.75" x14ac:dyDescent="0.25">
      <c r="B62" s="229" t="s">
        <v>632</v>
      </c>
      <c r="C62" s="244" t="s">
        <v>212</v>
      </c>
      <c r="D62" s="245">
        <v>661</v>
      </c>
      <c r="E62" s="232" t="s">
        <v>4</v>
      </c>
      <c r="F62" s="435">
        <v>2.61</v>
      </c>
      <c r="G62" s="234">
        <v>46087</v>
      </c>
      <c r="H62" s="235" t="s">
        <v>22</v>
      </c>
      <c r="I62" s="235"/>
      <c r="J62" s="440">
        <v>0.05</v>
      </c>
      <c r="K62" s="443">
        <f ca="1">ROUND(IF(ISERROR(OFFSET(Tabella!$A$1,MATCH(H62,Tabella!$A:$A,0)-1,MATCH(J62,Tabella!$A$1:$AC$1,0)-1)=TRUE),0,+OFFSET(Tabella!$A$1,MATCH(H62,Tabella!$A:$A,0)-1,MATCH(J62,Tabella!$A$1:$AC$1,0)-1)),4)</f>
        <v>0</v>
      </c>
      <c r="L62" s="446">
        <f ca="1">ROUND(IF(ISERROR(OFFSET(Ottone!$A$1,MATCH(H62,Ottone!$A:$A,0)-1,MATCH(J62,Ottone!$A$1:$Z$1,0)-1)=TRUE),0,OFFSET(Ottone!$A$1,MATCH(H62,Ottone!$A:$A,0)-1,MATCH(J62,Ottone!$A$1:$Z$1,0)-1))*IF(E62="Ottone",1,0),4)</f>
        <v>0</v>
      </c>
      <c r="M62" s="446">
        <f ca="1">ROUND(IF(ISERROR(OFFSET(Rame!$A$1,MATCH(H62,Rame!$A:$A,0)-1,MATCH(J62,Rame!$A$1:$AA$1,0)-1)=TRUE),0,OFFSET(Rame!$A$1,MATCH(H62,Rame!$A:$A,0)-1,MATCH(J62,Rame!$A$1:$AA$1,0)-1))*IF(E62="Rame",1,0),4)</f>
        <v>0</v>
      </c>
      <c r="N62" s="446">
        <v>0</v>
      </c>
      <c r="O62" s="446">
        <v>1.47</v>
      </c>
      <c r="P62" s="446">
        <f ca="1">ROUND(+IF(ISERROR(OFFSET(Tabella!$G$1,MATCH(H62,Tabella!$G:$G,0)-1,MATCH(I62,Tabella!$G$1:$FG$1,0)-1)=TRUE),0,OFFSET(Tabella!$G$1,MATCH(H62,Tabella!$G:$G,0)-1,MATCH(I62,Tabella!$G$1:$AB$1,0)-1)),4)</f>
        <v>0</v>
      </c>
      <c r="Q62" s="446">
        <f ca="1">ROUND(IF(ISERROR(OFFSET(Ottone!$F$1,MATCH(H62,Ottone!$A:$A,0)-1,MATCH(I62,Ottone!$F$1:$FF$1,0)-1)=TRUE),0,OFFSET(Ottone!$F$1,MATCH(H62,Ottone!$A:$A,0)-1,MATCH(I62,Ottone!$F$1:$FF$1,0)-1))*IF(E62="Ottone",1,0),4)</f>
        <v>0</v>
      </c>
      <c r="R62" s="446">
        <f ca="1">ROUND(IF(ISERROR(OFFSET(Rame!$F$1,MATCH(H62,Rame!$F:$F,0)-1,MATCH(I62,Rame!$F$1:$FF$1,0)-1)=TRUE),0,OFFSET(Rame!$F$1,MATCH(H62,Rame!$F:$F,0)-1,MATCH(I62,Rame!$F$1:$FF$1,0)-1))*IF(E62="Rame",1,0),4)</f>
        <v>0</v>
      </c>
      <c r="S62" s="446">
        <f ca="1">ROUND(IF(ISERROR(OFFSET(Bronzo!$A$1,MATCH(H62,Bronzo!$A:$A,0)-1,MATCH(I62,Bronzo!$A$1:$AA$1,0)-1)=TRUE),0,OFFSET(Bronzo!$A$1,MATCH(H62,Bronzo!$A:$A,0)-1,MATCH(I62,Bronzo!$A$1:$AA$1,0)-1)),4)</f>
        <v>0</v>
      </c>
      <c r="T62" s="446">
        <f t="shared" ca="1" si="46"/>
        <v>0</v>
      </c>
      <c r="U62" s="443"/>
      <c r="V62" s="446">
        <v>0</v>
      </c>
      <c r="W62" s="449">
        <f t="shared" ca="1" si="47"/>
        <v>1.47</v>
      </c>
      <c r="X62" s="454">
        <f t="shared" si="2"/>
        <v>33.049999999999997</v>
      </c>
      <c r="Y62" s="440">
        <v>4.08</v>
      </c>
      <c r="Z62" s="440">
        <f t="shared" ca="1" si="48"/>
        <v>0</v>
      </c>
      <c r="AA62" s="241"/>
      <c r="AD62" s="223" t="s">
        <v>403</v>
      </c>
      <c r="AF62" s="225">
        <f t="shared" ca="1" si="79"/>
        <v>46156</v>
      </c>
      <c r="AG62" s="225" t="b">
        <f t="shared" si="73"/>
        <v>1</v>
      </c>
      <c r="AH62" s="242" t="str">
        <f t="shared" si="74"/>
        <v/>
      </c>
      <c r="AK62" s="223">
        <f t="shared" si="75"/>
        <v>0</v>
      </c>
      <c r="AL62" s="223">
        <f t="shared" si="76"/>
        <v>1900</v>
      </c>
      <c r="AS62" s="223">
        <f t="shared" si="77"/>
        <v>0</v>
      </c>
      <c r="AT62" s="223">
        <f t="shared" si="78"/>
        <v>0</v>
      </c>
    </row>
    <row r="63" spans="2:46" ht="15.75" x14ac:dyDescent="0.25">
      <c r="B63" s="229" t="s">
        <v>632</v>
      </c>
      <c r="C63" s="244" t="s">
        <v>212</v>
      </c>
      <c r="D63" s="245">
        <v>1536</v>
      </c>
      <c r="E63" s="232" t="s">
        <v>4</v>
      </c>
      <c r="F63" s="435">
        <v>2.61</v>
      </c>
      <c r="G63" s="234">
        <v>46087</v>
      </c>
      <c r="H63" s="235" t="s">
        <v>308</v>
      </c>
      <c r="I63" s="235"/>
      <c r="J63" s="440">
        <v>0.05</v>
      </c>
      <c r="K63" s="443">
        <f ca="1">ROUND(IF(ISERROR(OFFSET(Tabella!$A$1,MATCH(H63,Tabella!$A:$A,0)-1,MATCH(J63,Tabella!$A$1:$AC$1,0)-1)=TRUE),0,+OFFSET(Tabella!$A$1,MATCH(H63,Tabella!$A:$A,0)-1,MATCH(J63,Tabella!$A$1:$AC$1,0)-1)),4)</f>
        <v>0</v>
      </c>
      <c r="L63" s="446">
        <f ca="1">ROUND(IF(ISERROR(OFFSET(Ottone!$A$1,MATCH(H63,Ottone!$A:$A,0)-1,MATCH(J63,Ottone!$A$1:$Z$1,0)-1)=TRUE),0,OFFSET(Ottone!$A$1,MATCH(H63,Ottone!$A:$A,0)-1,MATCH(J63,Ottone!$A$1:$Z$1,0)-1))*IF(E63="Ottone",1,0),4)</f>
        <v>0</v>
      </c>
      <c r="M63" s="446">
        <f ca="1">ROUND(IF(ISERROR(OFFSET(Rame!$A$1,MATCH(H63,Rame!$A:$A,0)-1,MATCH(J63,Rame!$A$1:$AA$1,0)-1)=TRUE),0,OFFSET(Rame!$A$1,MATCH(H63,Rame!$A:$A,0)-1,MATCH(J63,Rame!$A$1:$AA$1,0)-1))*IF(E63="Rame",1,0),4)</f>
        <v>0</v>
      </c>
      <c r="N63" s="446">
        <v>0</v>
      </c>
      <c r="O63" s="446">
        <v>1.47</v>
      </c>
      <c r="P63" s="446">
        <f ca="1">ROUND(+IF(ISERROR(OFFSET(Tabella!$G$1,MATCH(H63,Tabella!$G:$G,0)-1,MATCH(I63,Tabella!$G$1:$FG$1,0)-1)=TRUE),0,OFFSET(Tabella!$G$1,MATCH(H63,Tabella!$G:$G,0)-1,MATCH(I63,Tabella!$G$1:$AB$1,0)-1)),4)</f>
        <v>0</v>
      </c>
      <c r="Q63" s="446">
        <f ca="1">ROUND(IF(ISERROR(OFFSET(Ottone!$F$1,MATCH(H63,Ottone!$A:$A,0)-1,MATCH(I63,Ottone!$F$1:$FF$1,0)-1)=TRUE),0,OFFSET(Ottone!$F$1,MATCH(H63,Ottone!$A:$A,0)-1,MATCH(I63,Ottone!$F$1:$FF$1,0)-1))*IF(E63="Ottone",1,0),4)</f>
        <v>0</v>
      </c>
      <c r="R63" s="446">
        <f ca="1">ROUND(IF(ISERROR(OFFSET(Rame!$F$1,MATCH(H63,Rame!$F:$F,0)-1,MATCH(I63,Rame!$F$1:$FF$1,0)-1)=TRUE),0,OFFSET(Rame!$F$1,MATCH(H63,Rame!$F:$F,0)-1,MATCH(I63,Rame!$F$1:$FF$1,0)-1))*IF(E63="Rame",1,0),4)</f>
        <v>0</v>
      </c>
      <c r="S63" s="446">
        <f ca="1">ROUND(IF(ISERROR(OFFSET(Bronzo!$A$1,MATCH(H63,Bronzo!$A:$A,0)-1,MATCH(I63,Bronzo!$A$1:$AA$1,0)-1)=TRUE),0,OFFSET(Bronzo!$A$1,MATCH(H63,Bronzo!$A:$A,0)-1,MATCH(I63,Bronzo!$A$1:$AA$1,0)-1)),4)</f>
        <v>0</v>
      </c>
      <c r="T63" s="446">
        <f t="shared" ca="1" si="46"/>
        <v>0</v>
      </c>
      <c r="U63" s="443"/>
      <c r="V63" s="446">
        <v>0</v>
      </c>
      <c r="W63" s="449">
        <f t="shared" ca="1" si="47"/>
        <v>1.47</v>
      </c>
      <c r="X63" s="454">
        <f t="shared" si="2"/>
        <v>76.8</v>
      </c>
      <c r="Y63" s="440">
        <v>4.08</v>
      </c>
      <c r="Z63" s="440">
        <f t="shared" ca="1" si="48"/>
        <v>0</v>
      </c>
      <c r="AA63" s="241"/>
      <c r="AD63" s="223" t="s">
        <v>403</v>
      </c>
      <c r="AE63" s="223" t="s">
        <v>488</v>
      </c>
      <c r="AF63" s="225">
        <f t="shared" ca="1" si="79"/>
        <v>46156</v>
      </c>
      <c r="AG63" s="225" t="b">
        <f t="shared" si="73"/>
        <v>1</v>
      </c>
      <c r="AH63" s="242" t="str">
        <f t="shared" si="74"/>
        <v/>
      </c>
      <c r="AK63" s="223">
        <f t="shared" si="75"/>
        <v>0</v>
      </c>
      <c r="AL63" s="223">
        <f t="shared" si="76"/>
        <v>1900</v>
      </c>
      <c r="AS63" s="223">
        <f t="shared" si="77"/>
        <v>0</v>
      </c>
      <c r="AT63" s="223">
        <f t="shared" si="78"/>
        <v>0</v>
      </c>
    </row>
    <row r="64" spans="2:46" ht="15.75" x14ac:dyDescent="0.25">
      <c r="B64" s="229" t="s">
        <v>632</v>
      </c>
      <c r="C64" s="244" t="s">
        <v>212</v>
      </c>
      <c r="D64" s="245">
        <v>1358</v>
      </c>
      <c r="E64" s="232" t="s">
        <v>4</v>
      </c>
      <c r="F64" s="435">
        <v>2.61</v>
      </c>
      <c r="G64" s="234">
        <v>46087</v>
      </c>
      <c r="H64" s="235" t="s">
        <v>28</v>
      </c>
      <c r="I64" s="235"/>
      <c r="J64" s="440">
        <v>0.05</v>
      </c>
      <c r="K64" s="443">
        <f ca="1">ROUND(IF(ISERROR(OFFSET(Tabella!$A$1,MATCH(H64,Tabella!$A:$A,0)-1,MATCH(J64,Tabella!$A$1:$AC$1,0)-1)=TRUE),0,+OFFSET(Tabella!$A$1,MATCH(H64,Tabella!$A:$A,0)-1,MATCH(J64,Tabella!$A$1:$AC$1,0)-1)),4)</f>
        <v>0</v>
      </c>
      <c r="L64" s="446">
        <f ca="1">ROUND(IF(ISERROR(OFFSET(Ottone!$A$1,MATCH(H64,Ottone!$A:$A,0)-1,MATCH(J64,Ottone!$A$1:$Z$1,0)-1)=TRUE),0,OFFSET(Ottone!$A$1,MATCH(H64,Ottone!$A:$A,0)-1,MATCH(J64,Ottone!$A$1:$Z$1,0)-1))*IF(E64="Ottone",1,0),4)</f>
        <v>0</v>
      </c>
      <c r="M64" s="446">
        <f ca="1">ROUND(IF(ISERROR(OFFSET(Rame!$A$1,MATCH(H64,Rame!$A:$A,0)-1,MATCH(J64,Rame!$A$1:$AA$1,0)-1)=TRUE),0,OFFSET(Rame!$A$1,MATCH(H64,Rame!$A:$A,0)-1,MATCH(J64,Rame!$A$1:$AA$1,0)-1))*IF(E64="Rame",1,0),4)</f>
        <v>0</v>
      </c>
      <c r="N64" s="446">
        <v>0</v>
      </c>
      <c r="O64" s="446">
        <v>1.47</v>
      </c>
      <c r="P64" s="446">
        <f ca="1">ROUND(+IF(ISERROR(OFFSET(Tabella!$G$1,MATCH(H64,Tabella!$G:$G,0)-1,MATCH(I64,Tabella!$G$1:$FG$1,0)-1)=TRUE),0,OFFSET(Tabella!$G$1,MATCH(H64,Tabella!$G:$G,0)-1,MATCH(I64,Tabella!$G$1:$AB$1,0)-1)),4)</f>
        <v>0</v>
      </c>
      <c r="Q64" s="446">
        <f ca="1">ROUND(IF(ISERROR(OFFSET(Ottone!$F$1,MATCH(H64,Ottone!$A:$A,0)-1,MATCH(I64,Ottone!$F$1:$FF$1,0)-1)=TRUE),0,OFFSET(Ottone!$F$1,MATCH(H64,Ottone!$A:$A,0)-1,MATCH(I64,Ottone!$F$1:$FF$1,0)-1))*IF(E64="Ottone",1,0),4)</f>
        <v>0</v>
      </c>
      <c r="R64" s="446">
        <f ca="1">ROUND(IF(ISERROR(OFFSET(Rame!$F$1,MATCH(H64,Rame!$F:$F,0)-1,MATCH(I64,Rame!$F$1:$FF$1,0)-1)=TRUE),0,OFFSET(Rame!$F$1,MATCH(H64,Rame!$F:$F,0)-1,MATCH(I64,Rame!$F$1:$FF$1,0)-1))*IF(E64="Rame",1,0),4)</f>
        <v>0</v>
      </c>
      <c r="S64" s="446">
        <f ca="1">ROUND(IF(ISERROR(OFFSET(Bronzo!$A$1,MATCH(H64,Bronzo!$A:$A,0)-1,MATCH(I64,Bronzo!$A$1:$AA$1,0)-1)=TRUE),0,OFFSET(Bronzo!$A$1,MATCH(H64,Bronzo!$A:$A,0)-1,MATCH(I64,Bronzo!$A$1:$AA$1,0)-1)),4)</f>
        <v>0</v>
      </c>
      <c r="T64" s="446">
        <f t="shared" ca="1" si="46"/>
        <v>0</v>
      </c>
      <c r="U64" s="443"/>
      <c r="V64" s="446">
        <v>0</v>
      </c>
      <c r="W64" s="449">
        <f t="shared" ca="1" si="47"/>
        <v>1.47</v>
      </c>
      <c r="X64" s="454">
        <f t="shared" si="2"/>
        <v>67.900000000000006</v>
      </c>
      <c r="Y64" s="440">
        <v>4.08</v>
      </c>
      <c r="Z64" s="440">
        <f t="shared" ca="1" si="48"/>
        <v>0</v>
      </c>
      <c r="AA64" s="241"/>
      <c r="AD64" s="223" t="s">
        <v>403</v>
      </c>
      <c r="AF64" s="225">
        <f t="shared" ca="1" si="79"/>
        <v>46156</v>
      </c>
      <c r="AG64" s="225" t="b">
        <f t="shared" si="73"/>
        <v>1</v>
      </c>
      <c r="AH64" s="242" t="str">
        <f t="shared" si="74"/>
        <v/>
      </c>
      <c r="AK64" s="223">
        <f t="shared" si="75"/>
        <v>0</v>
      </c>
      <c r="AL64" s="223">
        <f t="shared" si="76"/>
        <v>1900</v>
      </c>
      <c r="AS64" s="223">
        <f t="shared" si="77"/>
        <v>0</v>
      </c>
      <c r="AT64" s="223">
        <f t="shared" si="78"/>
        <v>0</v>
      </c>
    </row>
    <row r="65" spans="2:46" ht="15.75" x14ac:dyDescent="0.25">
      <c r="B65" s="229" t="s">
        <v>632</v>
      </c>
      <c r="C65" s="244" t="s">
        <v>212</v>
      </c>
      <c r="D65" s="245">
        <v>852</v>
      </c>
      <c r="E65" s="232" t="s">
        <v>4</v>
      </c>
      <c r="F65" s="435">
        <v>2.61</v>
      </c>
      <c r="G65" s="234">
        <v>46087</v>
      </c>
      <c r="H65" s="235" t="s">
        <v>26</v>
      </c>
      <c r="I65" s="235"/>
      <c r="J65" s="440">
        <v>0.05</v>
      </c>
      <c r="K65" s="443">
        <f ca="1">ROUND(IF(ISERROR(OFFSET(Tabella!$A$1,MATCH(H65,Tabella!$A:$A,0)-1,MATCH(J65,Tabella!$A$1:$AC$1,0)-1)=TRUE),0,+OFFSET(Tabella!$A$1,MATCH(H65,Tabella!$A:$A,0)-1,MATCH(J65,Tabella!$A$1:$AC$1,0)-1)),4)</f>
        <v>0</v>
      </c>
      <c r="L65" s="446">
        <f ca="1">ROUND(IF(ISERROR(OFFSET(Ottone!$A$1,MATCH(H65,Ottone!$A:$A,0)-1,MATCH(J65,Ottone!$A$1:$Z$1,0)-1)=TRUE),0,OFFSET(Ottone!$A$1,MATCH(H65,Ottone!$A:$A,0)-1,MATCH(J65,Ottone!$A$1:$Z$1,0)-1))*IF(E65="Ottone",1,0),4)</f>
        <v>0</v>
      </c>
      <c r="M65" s="446">
        <f ca="1">ROUND(IF(ISERROR(OFFSET(Rame!$A$1,MATCH(H65,Rame!$A:$A,0)-1,MATCH(J65,Rame!$A$1:$AA$1,0)-1)=TRUE),0,OFFSET(Rame!$A$1,MATCH(H65,Rame!$A:$A,0)-1,MATCH(J65,Rame!$A$1:$AA$1,0)-1))*IF(E65="Rame",1,0),4)</f>
        <v>0</v>
      </c>
      <c r="N65" s="446">
        <v>0</v>
      </c>
      <c r="O65" s="446">
        <v>1.47</v>
      </c>
      <c r="P65" s="446">
        <f ca="1">ROUND(+IF(ISERROR(OFFSET(Tabella!$G$1,MATCH(H65,Tabella!$G:$G,0)-1,MATCH(I65,Tabella!$G$1:$FG$1,0)-1)=TRUE),0,OFFSET(Tabella!$G$1,MATCH(H65,Tabella!$G:$G,0)-1,MATCH(I65,Tabella!$G$1:$AB$1,0)-1)),4)</f>
        <v>0</v>
      </c>
      <c r="Q65" s="446">
        <f ca="1">ROUND(IF(ISERROR(OFFSET(Ottone!$F$1,MATCH(H65,Ottone!$A:$A,0)-1,MATCH(I65,Ottone!$F$1:$FF$1,0)-1)=TRUE),0,OFFSET(Ottone!$F$1,MATCH(H65,Ottone!$A:$A,0)-1,MATCH(I65,Ottone!$F$1:$FF$1,0)-1))*IF(E65="Ottone",1,0),4)</f>
        <v>0</v>
      </c>
      <c r="R65" s="446">
        <f ca="1">ROUND(IF(ISERROR(OFFSET(Rame!$F$1,MATCH(H65,Rame!$F:$F,0)-1,MATCH(I65,Rame!$F$1:$FF$1,0)-1)=TRUE),0,OFFSET(Rame!$F$1,MATCH(H65,Rame!$F:$F,0)-1,MATCH(I65,Rame!$F$1:$FF$1,0)-1))*IF(E65="Rame",1,0),4)</f>
        <v>0</v>
      </c>
      <c r="S65" s="446">
        <f ca="1">ROUND(IF(ISERROR(OFFSET(Bronzo!$A$1,MATCH(H65,Bronzo!$A:$A,0)-1,MATCH(I65,Bronzo!$A$1:$AA$1,0)-1)=TRUE),0,OFFSET(Bronzo!$A$1,MATCH(H65,Bronzo!$A:$A,0)-1,MATCH(I65,Bronzo!$A$1:$AA$1,0)-1)),4)</f>
        <v>0</v>
      </c>
      <c r="T65" s="446">
        <f t="shared" ca="1" si="46"/>
        <v>0</v>
      </c>
      <c r="U65" s="443"/>
      <c r="V65" s="446">
        <v>0</v>
      </c>
      <c r="W65" s="449">
        <f t="shared" ca="1" si="47"/>
        <v>1.47</v>
      </c>
      <c r="X65" s="454">
        <f t="shared" si="2"/>
        <v>42.6</v>
      </c>
      <c r="Y65" s="440">
        <v>4.08</v>
      </c>
      <c r="Z65" s="440">
        <f t="shared" ca="1" si="48"/>
        <v>0</v>
      </c>
      <c r="AA65" s="241"/>
      <c r="AD65" s="223" t="s">
        <v>403</v>
      </c>
      <c r="AF65" s="225">
        <f t="shared" ca="1" si="79"/>
        <v>46156</v>
      </c>
      <c r="AG65" s="225" t="b">
        <f t="shared" si="73"/>
        <v>1</v>
      </c>
      <c r="AH65" s="242" t="str">
        <f t="shared" si="74"/>
        <v/>
      </c>
      <c r="AK65" s="223">
        <f t="shared" si="75"/>
        <v>0</v>
      </c>
      <c r="AL65" s="223">
        <f t="shared" si="76"/>
        <v>1900</v>
      </c>
      <c r="AS65" s="223">
        <f t="shared" si="77"/>
        <v>0</v>
      </c>
      <c r="AT65" s="223">
        <f t="shared" si="78"/>
        <v>0</v>
      </c>
    </row>
    <row r="66" spans="2:46" ht="15.75" x14ac:dyDescent="0.25">
      <c r="B66" s="229" t="s">
        <v>469</v>
      </c>
      <c r="C66" s="235" t="s">
        <v>259</v>
      </c>
      <c r="D66" s="243">
        <v>400</v>
      </c>
      <c r="E66" s="232" t="s">
        <v>6</v>
      </c>
      <c r="F66" s="435">
        <v>11.05</v>
      </c>
      <c r="G66" s="234">
        <v>46087</v>
      </c>
      <c r="H66" s="235" t="s">
        <v>14</v>
      </c>
      <c r="I66" s="235"/>
      <c r="J66" s="440">
        <v>0.15</v>
      </c>
      <c r="K66" s="443">
        <f ca="1">ROUND(IF(ISERROR(OFFSET(Tabella!$A$1,MATCH(H66,Tabella!$A:$A,0)-1,MATCH(J66,Tabella!$A$1:$AC$1,0)-1)=TRUE),0,+OFFSET(Tabella!$A$1,MATCH(H66,Tabella!$A:$A,0)-1,MATCH(J66,Tabella!$A$1:$AC$1,0)-1)),4)</f>
        <v>0</v>
      </c>
      <c r="L66" s="446">
        <f ca="1">ROUND(IF(ISERROR(OFFSET(Ottone!$A$1,MATCH(H66,Ottone!$A:$A,0)-1,MATCH(J66,Ottone!$A$1:$Z$1,0)-1)=TRUE),0,OFFSET(Ottone!$A$1,MATCH(H66,Ottone!$A:$A,0)-1,MATCH(J66,Ottone!$A$1:$Z$1,0)-1))*IF(E66="Ottone",1,0),4)</f>
        <v>0</v>
      </c>
      <c r="M66" s="446">
        <f ca="1">ROUND(IF(ISERROR(OFFSET(Rame!$A$1,MATCH(H66,Rame!$A:$A,0)-1,MATCH(J66,Rame!$A$1:$AA$1,0)-1)=TRUE),0,OFFSET(Rame!$A$1,MATCH(H66,Rame!$A:$A,0)-1,MATCH(J66,Rame!$A$1:$AA$1,0)-1))*IF(E66="Rame",1,0),4)</f>
        <v>1</v>
      </c>
      <c r="N66" s="446">
        <v>0</v>
      </c>
      <c r="O66" s="446">
        <f ca="1">ROUND(SUM(K66:N66),4)</f>
        <v>1</v>
      </c>
      <c r="P66" s="446">
        <f ca="1">ROUND(+IF(ISERROR(OFFSET(Tabella!$G$1,MATCH(H66,Tabella!$G:$G,0)-1,MATCH(I66,Tabella!$G$1:$FG$1,0)-1)=TRUE),0,OFFSET(Tabella!$G$1,MATCH(H66,Tabella!$G:$G,0)-1,MATCH(I66,Tabella!$G$1:$AB$1,0)-1)),4)</f>
        <v>0</v>
      </c>
      <c r="Q66" s="446">
        <f ca="1">ROUND(IF(ISERROR(OFFSET(Ottone!$F$1,MATCH(H66,Ottone!$A:$A,0)-1,MATCH(I66,Ottone!$F$1:$FF$1,0)-1)=TRUE),0,OFFSET(Ottone!$F$1,MATCH(H66,Ottone!$A:$A,0)-1,MATCH(I66,Ottone!$F$1:$FF$1,0)-1))*IF(E66="Ottone",1,0),4)</f>
        <v>0</v>
      </c>
      <c r="R66" s="446">
        <f ca="1">ROUND(IF(ISERROR(OFFSET(Rame!$F$1,MATCH(H66,Rame!$F:$F,0)-1,MATCH(I66,Rame!$F$1:$FF$1,0)-1)=TRUE),0,OFFSET(Rame!$F$1,MATCH(H66,Rame!$F:$F,0)-1,MATCH(I66,Rame!$F$1:$FF$1,0)-1))*IF(E66="Rame",1,0),4)</f>
        <v>0</v>
      </c>
      <c r="S66" s="446">
        <f ca="1">ROUND(IF(ISERROR(OFFSET(Bronzo!$A$1,MATCH(H66,Bronzo!$A:$A,0)-1,MATCH(I66,Bronzo!$A$1:$AA$1,0)-1)=TRUE),0,OFFSET(Bronzo!$A$1,MATCH(H66,Bronzo!$A:$A,0)-1,MATCH(I66,Bronzo!$A$1:$AA$1,0)-1)),4)</f>
        <v>0</v>
      </c>
      <c r="T66" s="446">
        <f t="shared" ca="1" si="46"/>
        <v>0</v>
      </c>
      <c r="U66" s="443"/>
      <c r="V66" s="446">
        <v>0</v>
      </c>
      <c r="W66" s="449">
        <f t="shared" ca="1" si="47"/>
        <v>1</v>
      </c>
      <c r="X66" s="452">
        <f t="shared" si="2"/>
        <v>60</v>
      </c>
      <c r="Y66" s="440">
        <v>14.7</v>
      </c>
      <c r="Z66" s="440">
        <f t="shared" ca="1" si="48"/>
        <v>2.65</v>
      </c>
      <c r="AA66" s="241">
        <v>46122</v>
      </c>
      <c r="AF66" s="225">
        <f t="shared" ca="1" si="79"/>
        <v>46156</v>
      </c>
      <c r="AG66" s="225" t="b">
        <f t="shared" si="73"/>
        <v>0</v>
      </c>
      <c r="AH66" s="242">
        <f t="shared" ca="1" si="74"/>
        <v>-34</v>
      </c>
      <c r="AK66" s="223">
        <f t="shared" si="75"/>
        <v>15</v>
      </c>
      <c r="AL66" s="223">
        <f t="shared" si="76"/>
        <v>2026</v>
      </c>
      <c r="AS66" s="223">
        <f t="shared" si="77"/>
        <v>4</v>
      </c>
      <c r="AT66" s="223">
        <f t="shared" si="78"/>
        <v>2026</v>
      </c>
    </row>
    <row r="67" spans="2:46" ht="15.75" x14ac:dyDescent="0.25">
      <c r="B67" s="229" t="s">
        <v>631</v>
      </c>
      <c r="C67" s="244" t="s">
        <v>212</v>
      </c>
      <c r="D67" s="245">
        <v>516</v>
      </c>
      <c r="E67" s="232" t="s">
        <v>4</v>
      </c>
      <c r="F67" s="435">
        <v>2.61</v>
      </c>
      <c r="G67" s="234">
        <v>46091</v>
      </c>
      <c r="H67" s="235" t="s">
        <v>21</v>
      </c>
      <c r="I67" s="235"/>
      <c r="J67" s="440">
        <v>0.05</v>
      </c>
      <c r="K67" s="443">
        <f ca="1">ROUND(IF(ISERROR(OFFSET(Tabella!$A$1,MATCH(H67,Tabella!$A:$A,0)-1,MATCH(J67,Tabella!$A$1:$AC$1,0)-1)=TRUE),0,+OFFSET(Tabella!$A$1,MATCH(H67,Tabella!$A:$A,0)-1,MATCH(J67,Tabella!$A$1:$AC$1,0)-1)),4)</f>
        <v>0</v>
      </c>
      <c r="L67" s="446">
        <f ca="1">ROUND(IF(ISERROR(OFFSET(Ottone!$A$1,MATCH(H67,Ottone!$A:$A,0)-1,MATCH(J67,Ottone!$A$1:$Z$1,0)-1)=TRUE),0,OFFSET(Ottone!$A$1,MATCH(H67,Ottone!$A:$A,0)-1,MATCH(J67,Ottone!$A$1:$Z$1,0)-1))*IF(E67="Ottone",1,0),4)</f>
        <v>0</v>
      </c>
      <c r="M67" s="446">
        <f ca="1">ROUND(IF(ISERROR(OFFSET(Rame!$A$1,MATCH(H67,Rame!$A:$A,0)-1,MATCH(J67,Rame!$A$1:$AA$1,0)-1)=TRUE),0,OFFSET(Rame!$A$1,MATCH(H67,Rame!$A:$A,0)-1,MATCH(J67,Rame!$A$1:$AA$1,0)-1))*IF(E67="Rame",1,0),4)</f>
        <v>0</v>
      </c>
      <c r="N67" s="446">
        <v>0</v>
      </c>
      <c r="O67" s="446">
        <v>1.5</v>
      </c>
      <c r="P67" s="446">
        <f ca="1">ROUND(+IF(ISERROR(OFFSET(Tabella!$G$1,MATCH(H67,Tabella!$G:$G,0)-1,MATCH(I67,Tabella!$G$1:$FG$1,0)-1)=TRUE),0,OFFSET(Tabella!$G$1,MATCH(H67,Tabella!$G:$G,0)-1,MATCH(I67,Tabella!$G$1:$AB$1,0)-1)),4)</f>
        <v>0</v>
      </c>
      <c r="Q67" s="446">
        <f ca="1">ROUND(IF(ISERROR(OFFSET(Ottone!$F$1,MATCH(H67,Ottone!$A:$A,0)-1,MATCH(I67,Ottone!$F$1:$FF$1,0)-1)=TRUE),0,OFFSET(Ottone!$F$1,MATCH(H67,Ottone!$A:$A,0)-1,MATCH(I67,Ottone!$F$1:$FF$1,0)-1))*IF(E67="Ottone",1,0),4)</f>
        <v>0</v>
      </c>
      <c r="R67" s="446">
        <f ca="1">ROUND(IF(ISERROR(OFFSET(Rame!$F$1,MATCH(H67,Rame!$F:$F,0)-1,MATCH(I67,Rame!$F$1:$FF$1,0)-1)=TRUE),0,OFFSET(Rame!$F$1,MATCH(H67,Rame!$F:$F,0)-1,MATCH(I67,Rame!$F$1:$FF$1,0)-1))*IF(E67="Rame",1,0),4)</f>
        <v>0</v>
      </c>
      <c r="S67" s="446">
        <f ca="1">ROUND(IF(ISERROR(OFFSET(Bronzo!$A$1,MATCH(H67,Bronzo!$A:$A,0)-1,MATCH(I67,Bronzo!$A$1:$AA$1,0)-1)=TRUE),0,OFFSET(Bronzo!$A$1,MATCH(H67,Bronzo!$A:$A,0)-1,MATCH(I67,Bronzo!$A$1:$AA$1,0)-1)),4)</f>
        <v>0</v>
      </c>
      <c r="T67" s="446">
        <f t="shared" ca="1" si="46"/>
        <v>0</v>
      </c>
      <c r="U67" s="443"/>
      <c r="V67" s="446">
        <v>0</v>
      </c>
      <c r="W67" s="449">
        <f t="shared" ca="1" si="47"/>
        <v>1.5</v>
      </c>
      <c r="X67" s="454">
        <f t="shared" si="2"/>
        <v>25.8</v>
      </c>
      <c r="Y67" s="440">
        <v>4.08</v>
      </c>
      <c r="Z67" s="440">
        <f t="shared" ca="1" si="48"/>
        <v>-0.03</v>
      </c>
      <c r="AA67" s="241"/>
      <c r="AD67" s="223" t="s">
        <v>403</v>
      </c>
      <c r="AF67" s="225">
        <f t="shared" ca="1" si="79"/>
        <v>46156</v>
      </c>
      <c r="AG67" s="225" t="b">
        <f t="shared" ref="AG67:AG98" si="80">ISBLANK(AA67)</f>
        <v>1</v>
      </c>
      <c r="AH67" s="242" t="str">
        <f t="shared" ref="AH67:AH98" si="81">IF(AG67=FALSE,_xlfn.DAYS(AA67,AF67),"")</f>
        <v/>
      </c>
      <c r="AK67" s="223">
        <f t="shared" ref="AK67:AK98" si="82">WEEKNUM(AA67)</f>
        <v>0</v>
      </c>
      <c r="AL67" s="223">
        <f t="shared" ref="AL67:AL98" si="83">YEAR(AA67)</f>
        <v>1900</v>
      </c>
      <c r="AS67" s="223">
        <f t="shared" ref="AS67:AS101" si="84">IF(AA67="",0,MONTH(AA67))</f>
        <v>0</v>
      </c>
      <c r="AT67" s="223">
        <f t="shared" ref="AT67:AT101" si="85">IF(AA67="",0,YEAR(AA67))</f>
        <v>0</v>
      </c>
    </row>
    <row r="68" spans="2:46" ht="15.75" x14ac:dyDescent="0.25">
      <c r="B68" s="229" t="s">
        <v>630</v>
      </c>
      <c r="C68" s="244" t="s">
        <v>212</v>
      </c>
      <c r="D68" s="245">
        <v>903</v>
      </c>
      <c r="E68" s="232" t="s">
        <v>4</v>
      </c>
      <c r="F68" s="435">
        <v>2.61</v>
      </c>
      <c r="G68" s="234">
        <v>46091</v>
      </c>
      <c r="H68" s="235" t="s">
        <v>21</v>
      </c>
      <c r="I68" s="235"/>
      <c r="J68" s="440">
        <v>0.05</v>
      </c>
      <c r="K68" s="443">
        <f ca="1">ROUND(IF(ISERROR(OFFSET(Tabella!$A$1,MATCH(H68,Tabella!$A:$A,0)-1,MATCH(J68,Tabella!$A$1:$AC$1,0)-1)=TRUE),0,+OFFSET(Tabella!$A$1,MATCH(H68,Tabella!$A:$A,0)-1,MATCH(J68,Tabella!$A$1:$AC$1,0)-1)),4)</f>
        <v>0</v>
      </c>
      <c r="L68" s="446">
        <f ca="1">ROUND(IF(ISERROR(OFFSET(Ottone!$A$1,MATCH(H68,Ottone!$A:$A,0)-1,MATCH(J68,Ottone!$A$1:$Z$1,0)-1)=TRUE),0,OFFSET(Ottone!$A$1,MATCH(H68,Ottone!$A:$A,0)-1,MATCH(J68,Ottone!$A$1:$Z$1,0)-1))*IF(E68="Ottone",1,0),4)</f>
        <v>0</v>
      </c>
      <c r="M68" s="446">
        <f ca="1">ROUND(IF(ISERROR(OFFSET(Rame!$A$1,MATCH(H68,Rame!$A:$A,0)-1,MATCH(J68,Rame!$A$1:$AA$1,0)-1)=TRUE),0,OFFSET(Rame!$A$1,MATCH(H68,Rame!$A:$A,0)-1,MATCH(J68,Rame!$A$1:$AA$1,0)-1))*IF(E68="Rame",1,0),4)</f>
        <v>0</v>
      </c>
      <c r="N68" s="446">
        <v>0</v>
      </c>
      <c r="O68" s="446">
        <v>1.5</v>
      </c>
      <c r="P68" s="446">
        <f ca="1">ROUND(+IF(ISERROR(OFFSET(Tabella!$G$1,MATCH(H68,Tabella!$G:$G,0)-1,MATCH(I68,Tabella!$G$1:$FG$1,0)-1)=TRUE),0,OFFSET(Tabella!$G$1,MATCH(H68,Tabella!$G:$G,0)-1,MATCH(I68,Tabella!$G$1:$AB$1,0)-1)),4)</f>
        <v>0</v>
      </c>
      <c r="Q68" s="446">
        <f ca="1">ROUND(IF(ISERROR(OFFSET(Ottone!$F$1,MATCH(H68,Ottone!$A:$A,0)-1,MATCH(I68,Ottone!$F$1:$FF$1,0)-1)=TRUE),0,OFFSET(Ottone!$F$1,MATCH(H68,Ottone!$A:$A,0)-1,MATCH(I68,Ottone!$F$1:$FF$1,0)-1))*IF(E68="Ottone",1,0),4)</f>
        <v>0</v>
      </c>
      <c r="R68" s="446">
        <f ca="1">ROUND(IF(ISERROR(OFFSET(Rame!$F$1,MATCH(H68,Rame!$F:$F,0)-1,MATCH(I68,Rame!$F$1:$FF$1,0)-1)=TRUE),0,OFFSET(Rame!$F$1,MATCH(H68,Rame!$F:$F,0)-1,MATCH(I68,Rame!$F$1:$FF$1,0)-1))*IF(E68="Rame",1,0),4)</f>
        <v>0</v>
      </c>
      <c r="S68" s="446">
        <f ca="1">ROUND(IF(ISERROR(OFFSET(Bronzo!$A$1,MATCH(H68,Bronzo!$A:$A,0)-1,MATCH(I68,Bronzo!$A$1:$AA$1,0)-1)=TRUE),0,OFFSET(Bronzo!$A$1,MATCH(H68,Bronzo!$A:$A,0)-1,MATCH(I68,Bronzo!$A$1:$AA$1,0)-1)),4)</f>
        <v>0</v>
      </c>
      <c r="T68" s="446">
        <f t="shared" ca="1" si="46"/>
        <v>0</v>
      </c>
      <c r="U68" s="443"/>
      <c r="V68" s="446">
        <v>0</v>
      </c>
      <c r="W68" s="449">
        <f t="shared" ca="1" si="47"/>
        <v>1.5</v>
      </c>
      <c r="X68" s="454">
        <f t="shared" si="2"/>
        <v>45.15</v>
      </c>
      <c r="Y68" s="440">
        <v>4.08</v>
      </c>
      <c r="Z68" s="440">
        <f t="shared" ca="1" si="48"/>
        <v>-0.03</v>
      </c>
      <c r="AA68" s="241"/>
      <c r="AD68" s="223" t="s">
        <v>403</v>
      </c>
      <c r="AF68" s="225">
        <f t="shared" ca="1" si="79"/>
        <v>46156</v>
      </c>
      <c r="AG68" s="225" t="b">
        <f t="shared" ref="AG68" si="86">ISBLANK(AA68)</f>
        <v>1</v>
      </c>
      <c r="AH68" s="242" t="str">
        <f t="shared" ref="AH68" si="87">IF(AG68=FALSE,_xlfn.DAYS(AA68,AF68),"")</f>
        <v/>
      </c>
      <c r="AK68" s="223">
        <f t="shared" ref="AK68" si="88">WEEKNUM(AA68)</f>
        <v>0</v>
      </c>
      <c r="AL68" s="223">
        <f t="shared" ref="AL68" si="89">YEAR(AA68)</f>
        <v>1900</v>
      </c>
      <c r="AS68" s="223">
        <f t="shared" ref="AS68" si="90">IF(AA68="",0,MONTH(AA68))</f>
        <v>0</v>
      </c>
      <c r="AT68" s="223">
        <f t="shared" ref="AT68" si="91">IF(AA68="",0,YEAR(AA68))</f>
        <v>0</v>
      </c>
    </row>
    <row r="69" spans="2:46" ht="15.75" x14ac:dyDescent="0.25">
      <c r="B69" s="229" t="s">
        <v>465</v>
      </c>
      <c r="C69" s="235" t="s">
        <v>304</v>
      </c>
      <c r="D69" s="243">
        <v>300</v>
      </c>
      <c r="E69" s="232" t="s">
        <v>6</v>
      </c>
      <c r="F69" s="435">
        <v>11.1</v>
      </c>
      <c r="G69" s="234">
        <v>46091</v>
      </c>
      <c r="H69" s="235" t="s">
        <v>14</v>
      </c>
      <c r="I69" s="235"/>
      <c r="J69" s="440">
        <v>0.15</v>
      </c>
      <c r="K69" s="443">
        <f ca="1">ROUND(IF(ISERROR(OFFSET(Tabella!$A$1,MATCH(H69,Tabella!$A:$A,0)-1,MATCH(J69,Tabella!$A$1:$AC$1,0)-1)=TRUE),0,+OFFSET(Tabella!$A$1,MATCH(H69,Tabella!$A:$A,0)-1,MATCH(J69,Tabella!$A$1:$AC$1,0)-1)),4)</f>
        <v>0</v>
      </c>
      <c r="L69" s="446">
        <f ca="1">ROUND(IF(ISERROR(OFFSET(Ottone!$A$1,MATCH(H69,Ottone!$A:$A,0)-1,MATCH(J69,Ottone!$A$1:$Z$1,0)-1)=TRUE),0,OFFSET(Ottone!$A$1,MATCH(H69,Ottone!$A:$A,0)-1,MATCH(J69,Ottone!$A$1:$Z$1,0)-1))*IF(E69="Ottone",1,0),4)</f>
        <v>0</v>
      </c>
      <c r="M69" s="446">
        <f ca="1">ROUND(IF(ISERROR(OFFSET(Rame!$A$1,MATCH(H69,Rame!$A:$A,0)-1,MATCH(J69,Rame!$A$1:$AA$1,0)-1)=TRUE),0,OFFSET(Rame!$A$1,MATCH(H69,Rame!$A:$A,0)-1,MATCH(J69,Rame!$A$1:$AA$1,0)-1))*IF(E69="Rame",1,0),4)</f>
        <v>1</v>
      </c>
      <c r="N69" s="446">
        <v>0</v>
      </c>
      <c r="O69" s="446">
        <f ca="1">ROUND(SUM(K69:N69),4)</f>
        <v>1</v>
      </c>
      <c r="P69" s="446">
        <f ca="1">ROUND(+IF(ISERROR(OFFSET(Tabella!$G$1,MATCH(H69,Tabella!$G:$G,0)-1,MATCH(I69,Tabella!$G$1:$FG$1,0)-1)=TRUE),0,OFFSET(Tabella!$G$1,MATCH(H69,Tabella!$G:$G,0)-1,MATCH(I69,Tabella!$G$1:$AB$1,0)-1)),4)</f>
        <v>0</v>
      </c>
      <c r="Q69" s="446">
        <f ca="1">ROUND(IF(ISERROR(OFFSET(Ottone!$F$1,MATCH(H69,Ottone!$A:$A,0)-1,MATCH(I69,Ottone!$F$1:$FF$1,0)-1)=TRUE),0,OFFSET(Ottone!$F$1,MATCH(H69,Ottone!$A:$A,0)-1,MATCH(I69,Ottone!$F$1:$FF$1,0)-1))*IF(E69="Ottone",1,0),4)</f>
        <v>0</v>
      </c>
      <c r="R69" s="446">
        <f ca="1">ROUND(IF(ISERROR(OFFSET(Rame!$F$1,MATCH(H69,Rame!$F:$F,0)-1,MATCH(I69,Rame!$F$1:$FF$1,0)-1)=TRUE),0,OFFSET(Rame!$F$1,MATCH(H69,Rame!$F:$F,0)-1,MATCH(I69,Rame!$F$1:$FF$1,0)-1))*IF(E69="Rame",1,0),4)</f>
        <v>0</v>
      </c>
      <c r="S69" s="446">
        <f ca="1">ROUND(IF(ISERROR(OFFSET(Bronzo!$A$1,MATCH(H69,Bronzo!$A:$A,0)-1,MATCH(I69,Bronzo!$A$1:$AA$1,0)-1)=TRUE),0,OFFSET(Bronzo!$A$1,MATCH(H69,Bronzo!$A:$A,0)-1,MATCH(I69,Bronzo!$A$1:$AA$1,0)-1)),4)</f>
        <v>0</v>
      </c>
      <c r="T69" s="446">
        <f t="shared" ca="1" si="46"/>
        <v>0</v>
      </c>
      <c r="U69" s="443"/>
      <c r="V69" s="446">
        <v>0</v>
      </c>
      <c r="W69" s="449">
        <f t="shared" ca="1" si="47"/>
        <v>1</v>
      </c>
      <c r="X69" s="452">
        <f t="shared" si="2"/>
        <v>45</v>
      </c>
      <c r="Y69" s="440">
        <v>14.8</v>
      </c>
      <c r="Z69" s="440">
        <f t="shared" ca="1" si="48"/>
        <v>2.7</v>
      </c>
      <c r="AA69" s="241">
        <v>46115</v>
      </c>
      <c r="AF69" s="225">
        <f t="shared" ca="1" si="79"/>
        <v>46156</v>
      </c>
      <c r="AG69" s="225" t="b">
        <f t="shared" si="80"/>
        <v>0</v>
      </c>
      <c r="AH69" s="242">
        <f t="shared" ca="1" si="81"/>
        <v>-41</v>
      </c>
      <c r="AK69" s="223">
        <f t="shared" si="82"/>
        <v>14</v>
      </c>
      <c r="AL69" s="223">
        <f t="shared" si="83"/>
        <v>2026</v>
      </c>
      <c r="AS69" s="223">
        <f t="shared" si="84"/>
        <v>4</v>
      </c>
      <c r="AT69" s="223">
        <f t="shared" si="85"/>
        <v>2026</v>
      </c>
    </row>
    <row r="70" spans="2:46" ht="15.75" x14ac:dyDescent="0.25">
      <c r="B70" s="229" t="s">
        <v>466</v>
      </c>
      <c r="C70" s="235" t="s">
        <v>396</v>
      </c>
      <c r="D70" s="243">
        <v>300</v>
      </c>
      <c r="E70" s="232" t="s">
        <v>4</v>
      </c>
      <c r="F70" s="435">
        <v>2.86</v>
      </c>
      <c r="G70" s="234">
        <v>46091</v>
      </c>
      <c r="H70" s="235" t="s">
        <v>9</v>
      </c>
      <c r="I70" s="235"/>
      <c r="J70" s="440">
        <v>7.0000000000000007E-2</v>
      </c>
      <c r="K70" s="443">
        <f ca="1">ROUND(IF(ISERROR(OFFSET(Tabella!$A$1,MATCH(H70,Tabella!$A:$A,0)-1,MATCH(J70,Tabella!$A$1:$AC$1,0)-1)=TRUE),0,+OFFSET(Tabella!$A$1,MATCH(H70,Tabella!$A:$A,0)-1,MATCH(J70,Tabella!$A$1:$AC$1,0)-1)),4)</f>
        <v>1.6</v>
      </c>
      <c r="L70" s="446">
        <f ca="1">ROUND(IF(ISERROR(OFFSET(Ottone!$A$1,MATCH(H70,Ottone!$A:$A,0)-1,MATCH(J70,Ottone!$A$1:$Z$1,0)-1)=TRUE),0,OFFSET(Ottone!$A$1,MATCH(H70,Ottone!$A:$A,0)-1,MATCH(J70,Ottone!$A$1:$Z$1,0)-1))*IF(E70="Ottone",1,0),4)</f>
        <v>0</v>
      </c>
      <c r="M70" s="446">
        <f ca="1">ROUND(IF(ISERROR(OFFSET(Rame!$A$1,MATCH(H70,Rame!$A:$A,0)-1,MATCH(J70,Rame!$A$1:$AA$1,0)-1)=TRUE),0,OFFSET(Rame!$A$1,MATCH(H70,Rame!$A:$A,0)-1,MATCH(J70,Rame!$A$1:$AA$1,0)-1))*IF(E70="Rame",1,0),4)</f>
        <v>0</v>
      </c>
      <c r="N70" s="446">
        <v>0</v>
      </c>
      <c r="O70" s="446">
        <f ca="1">ROUND(SUM(K70:N70),4)</f>
        <v>1.6</v>
      </c>
      <c r="P70" s="446">
        <f ca="1">ROUND(+IF(ISERROR(OFFSET(Tabella!$G$1,MATCH(H70,Tabella!$G:$G,0)-1,MATCH(I70,Tabella!$G$1:$FG$1,0)-1)=TRUE),0,OFFSET(Tabella!$G$1,MATCH(H70,Tabella!$G:$G,0)-1,MATCH(I70,Tabella!$G$1:$AB$1,0)-1)),4)</f>
        <v>0</v>
      </c>
      <c r="Q70" s="446">
        <f ca="1">ROUND(IF(ISERROR(OFFSET(Ottone!$F$1,MATCH(H70,Ottone!$A:$A,0)-1,MATCH(I70,Ottone!$F$1:$FF$1,0)-1)=TRUE),0,OFFSET(Ottone!$F$1,MATCH(H70,Ottone!$A:$A,0)-1,MATCH(I70,Ottone!$F$1:$FF$1,0)-1))*IF(E70="Ottone",1,0),4)</f>
        <v>0</v>
      </c>
      <c r="R70" s="446">
        <f ca="1">ROUND(IF(ISERROR(OFFSET(Rame!$F$1,MATCH(H70,Rame!$F:$F,0)-1,MATCH(I70,Rame!$F$1:$FF$1,0)-1)=TRUE),0,OFFSET(Rame!$F$1,MATCH(H70,Rame!$F:$F,0)-1,MATCH(I70,Rame!$F$1:$FF$1,0)-1))*IF(E70="Rame",1,0),4)</f>
        <v>0</v>
      </c>
      <c r="S70" s="446">
        <f ca="1">ROUND(IF(ISERROR(OFFSET(Bronzo!$A$1,MATCH(H70,Bronzo!$A:$A,0)-1,MATCH(I70,Bronzo!$A$1:$AA$1,0)-1)=TRUE),0,OFFSET(Bronzo!$A$1,MATCH(H70,Bronzo!$A:$A,0)-1,MATCH(I70,Bronzo!$A$1:$AA$1,0)-1)),4)</f>
        <v>0</v>
      </c>
      <c r="T70" s="446">
        <f t="shared" ca="1" si="46"/>
        <v>0</v>
      </c>
      <c r="U70" s="443"/>
      <c r="V70" s="446">
        <v>0</v>
      </c>
      <c r="W70" s="449">
        <f t="shared" ca="1" si="47"/>
        <v>1.6</v>
      </c>
      <c r="X70" s="452">
        <f t="shared" ref="X70:X133" si="92">ROUND(+J70*D70,4)</f>
        <v>21</v>
      </c>
      <c r="Y70" s="440">
        <v>4.88</v>
      </c>
      <c r="Z70" s="440">
        <f t="shared" ca="1" si="48"/>
        <v>0.42</v>
      </c>
      <c r="AA70" s="241">
        <v>46192</v>
      </c>
      <c r="AF70" s="225">
        <f t="shared" ca="1" si="79"/>
        <v>46156</v>
      </c>
      <c r="AG70" s="225" t="b">
        <f t="shared" si="80"/>
        <v>0</v>
      </c>
      <c r="AH70" s="242">
        <f t="shared" ca="1" si="81"/>
        <v>36</v>
      </c>
      <c r="AK70" s="223">
        <f t="shared" si="82"/>
        <v>25</v>
      </c>
      <c r="AL70" s="223">
        <f t="shared" si="83"/>
        <v>2026</v>
      </c>
      <c r="AS70" s="223">
        <f t="shared" si="84"/>
        <v>6</v>
      </c>
      <c r="AT70" s="223">
        <f t="shared" si="85"/>
        <v>2026</v>
      </c>
    </row>
    <row r="71" spans="2:46" ht="15.75" x14ac:dyDescent="0.25">
      <c r="B71" s="229" t="s">
        <v>470</v>
      </c>
      <c r="C71" s="408" t="s">
        <v>438</v>
      </c>
      <c r="D71" s="243">
        <v>1500</v>
      </c>
      <c r="E71" s="232" t="s">
        <v>6</v>
      </c>
      <c r="F71" s="435">
        <v>11.22</v>
      </c>
      <c r="G71" s="234">
        <v>46091</v>
      </c>
      <c r="H71" s="235" t="s">
        <v>18</v>
      </c>
      <c r="I71" s="235"/>
      <c r="J71" s="440">
        <v>0.15</v>
      </c>
      <c r="K71" s="443">
        <f ca="1">ROUND(IF(ISERROR(OFFSET(Tabella!$A$1,MATCH(H71,Tabella!$A:$A,0)-1,MATCH(J71,Tabella!$A$1:$AC$1,0)-1)=TRUE),0,+OFFSET(Tabella!$A$1,MATCH(H71,Tabella!$A:$A,0)-1,MATCH(J71,Tabella!$A$1:$AC$1,0)-1)),4)</f>
        <v>0</v>
      </c>
      <c r="L71" s="446">
        <f ca="1">ROUND(IF(ISERROR(OFFSET(Ottone!$A$1,MATCH(H71,Ottone!$A:$A,0)-1,MATCH(J71,Ottone!$A$1:$Z$1,0)-1)=TRUE),0,OFFSET(Ottone!$A$1,MATCH(H71,Ottone!$A:$A,0)-1,MATCH(J71,Ottone!$A$1:$Z$1,0)-1))*IF(E71="Ottone",1,0),4)</f>
        <v>0</v>
      </c>
      <c r="M71" s="446">
        <f ca="1">ROUND(IF(ISERROR(OFFSET(Rame!$A$1,MATCH(H71,Rame!$A:$A,0)-1,MATCH(J71,Rame!$A$1:$AA$1,0)-1)=TRUE),0,OFFSET(Rame!$A$1,MATCH(H71,Rame!$A:$A,0)-1,MATCH(J71,Rame!$A$1:$AA$1,0)-1))*IF(E71="Rame",1,0),4)</f>
        <v>0.82</v>
      </c>
      <c r="N71" s="446">
        <v>0</v>
      </c>
      <c r="O71" s="446">
        <f ca="1">ROUND(SUM(K71:N71),4)</f>
        <v>0.82</v>
      </c>
      <c r="P71" s="446">
        <f ca="1">ROUND(+IF(ISERROR(OFFSET(Tabella!$G$1,MATCH(H71,Tabella!$G:$G,0)-1,MATCH(I71,Tabella!$G$1:$FG$1,0)-1)=TRUE),0,OFFSET(Tabella!$G$1,MATCH(H71,Tabella!$G:$G,0)-1,MATCH(I71,Tabella!$G$1:$AB$1,0)-1)),4)</f>
        <v>0</v>
      </c>
      <c r="Q71" s="446">
        <f ca="1">ROUND(IF(ISERROR(OFFSET(Ottone!$F$1,MATCH(H71,Ottone!$A:$A,0)-1,MATCH(I71,Ottone!$F$1:$FF$1,0)-1)=TRUE),0,OFFSET(Ottone!$F$1,MATCH(H71,Ottone!$A:$A,0)-1,MATCH(I71,Ottone!$F$1:$FF$1,0)-1))*IF(E71="Ottone",1,0),4)</f>
        <v>0</v>
      </c>
      <c r="R71" s="446">
        <f ca="1">ROUND(IF(ISERROR(OFFSET(Rame!$F$1,MATCH(H71,Rame!$F:$F,0)-1,MATCH(I71,Rame!$F$1:$FF$1,0)-1)=TRUE),0,OFFSET(Rame!$F$1,MATCH(H71,Rame!$F:$F,0)-1,MATCH(I71,Rame!$F$1:$FF$1,0)-1))*IF(E71="Rame",1,0),4)</f>
        <v>0</v>
      </c>
      <c r="S71" s="446">
        <f ca="1">ROUND(IF(ISERROR(OFFSET(Bronzo!$A$1,MATCH(H71,Bronzo!$A:$A,0)-1,MATCH(I71,Bronzo!$A$1:$AA$1,0)-1)=TRUE),0,OFFSET(Bronzo!$A$1,MATCH(H71,Bronzo!$A:$A,0)-1,MATCH(I71,Bronzo!$A$1:$AA$1,0)-1)),4)</f>
        <v>0</v>
      </c>
      <c r="T71" s="446">
        <f t="shared" ca="1" si="46"/>
        <v>0</v>
      </c>
      <c r="U71" s="443"/>
      <c r="V71" s="446">
        <v>0</v>
      </c>
      <c r="W71" s="449">
        <f t="shared" ca="1" si="47"/>
        <v>0.82</v>
      </c>
      <c r="X71" s="452">
        <f t="shared" si="92"/>
        <v>225</v>
      </c>
      <c r="Y71" s="440">
        <v>14.77</v>
      </c>
      <c r="Z71" s="440">
        <f t="shared" ca="1" si="48"/>
        <v>2.73</v>
      </c>
      <c r="AA71" s="241">
        <v>46169</v>
      </c>
      <c r="AF71" s="225">
        <f t="shared" ca="1" si="79"/>
        <v>46156</v>
      </c>
      <c r="AG71" s="225" t="b">
        <f t="shared" si="80"/>
        <v>0</v>
      </c>
      <c r="AH71" s="242">
        <f t="shared" ca="1" si="81"/>
        <v>13</v>
      </c>
      <c r="AK71" s="223">
        <f t="shared" si="82"/>
        <v>22</v>
      </c>
      <c r="AL71" s="223">
        <f t="shared" si="83"/>
        <v>2026</v>
      </c>
      <c r="AS71" s="223">
        <f t="shared" si="84"/>
        <v>5</v>
      </c>
      <c r="AT71" s="223">
        <f t="shared" si="85"/>
        <v>2026</v>
      </c>
    </row>
    <row r="72" spans="2:46" ht="15.75" x14ac:dyDescent="0.25">
      <c r="B72" s="229" t="s">
        <v>471</v>
      </c>
      <c r="C72" s="235" t="s">
        <v>208</v>
      </c>
      <c r="D72" s="243">
        <v>5000</v>
      </c>
      <c r="E72" s="232" t="s">
        <v>4</v>
      </c>
      <c r="F72" s="435">
        <v>2.91</v>
      </c>
      <c r="G72" s="234">
        <v>46091</v>
      </c>
      <c r="H72" s="235" t="s">
        <v>13</v>
      </c>
      <c r="I72" s="235"/>
      <c r="J72" s="440">
        <v>0.05</v>
      </c>
      <c r="K72" s="443">
        <f ca="1">ROUND(IF(ISERROR(OFFSET(Tabella!$A$1,MATCH(H72,Tabella!$A:$A,0)-1,MATCH(J72,Tabella!$A$1:$AC$1,0)-1)=TRUE),0,+OFFSET(Tabella!$A$1,MATCH(H72,Tabella!$A:$A,0)-1,MATCH(J72,Tabella!$A$1:$AC$1,0)-1)),4)</f>
        <v>0</v>
      </c>
      <c r="L72" s="446">
        <f ca="1">ROUND(IF(ISERROR(OFFSET(Ottone!$A$1,MATCH(H72,Ottone!$A:$A,0)-1,MATCH(J72,Ottone!$A$1:$Z$1,0)-1)=TRUE),0,OFFSET(Ottone!$A$1,MATCH(H72,Ottone!$A:$A,0)-1,MATCH(J72,Ottone!$A$1:$Z$1,0)-1))*IF(E72="Ottone",1,0),4)</f>
        <v>0</v>
      </c>
      <c r="M72" s="446">
        <f ca="1">ROUND(IF(ISERROR(OFFSET(Rame!$A$1,MATCH(H72,Rame!$A:$A,0)-1,MATCH(J72,Rame!$A$1:$AA$1,0)-1)=TRUE),0,OFFSET(Rame!$A$1,MATCH(H72,Rame!$A:$A,0)-1,MATCH(J72,Rame!$A$1:$AA$1,0)-1))*IF(E72="Rame",1,0),4)</f>
        <v>0</v>
      </c>
      <c r="N72" s="446">
        <v>0</v>
      </c>
      <c r="O72" s="446">
        <v>1.75</v>
      </c>
      <c r="P72" s="446">
        <f ca="1">ROUND(+IF(ISERROR(OFFSET(Tabella!$G$1,MATCH(H72,Tabella!$G:$G,0)-1,MATCH(I72,Tabella!$G$1:$FG$1,0)-1)=TRUE),0,OFFSET(Tabella!$G$1,MATCH(H72,Tabella!$G:$G,0)-1,MATCH(I72,Tabella!$G$1:$AB$1,0)-1)),4)</f>
        <v>0</v>
      </c>
      <c r="Q72" s="446">
        <f ca="1">ROUND(IF(ISERROR(OFFSET(Ottone!$F$1,MATCH(H72,Ottone!$A:$A,0)-1,MATCH(I72,Ottone!$F$1:$FF$1,0)-1)=TRUE),0,OFFSET(Ottone!$F$1,MATCH(H72,Ottone!$A:$A,0)-1,MATCH(I72,Ottone!$F$1:$FF$1,0)-1))*IF(E72="Ottone",1,0),4)</f>
        <v>0</v>
      </c>
      <c r="R72" s="446">
        <f ca="1">ROUND(IF(ISERROR(OFFSET(Rame!$F$1,MATCH(H72,Rame!$F:$F,0)-1,MATCH(I72,Rame!$F$1:$FF$1,0)-1)=TRUE),0,OFFSET(Rame!$F$1,MATCH(H72,Rame!$F:$F,0)-1,MATCH(I72,Rame!$F$1:$FF$1,0)-1))*IF(E72="Rame",1,0),4)</f>
        <v>0</v>
      </c>
      <c r="S72" s="446">
        <f ca="1">ROUND(IF(ISERROR(OFFSET(Bronzo!$A$1,MATCH(H72,Bronzo!$A:$A,0)-1,MATCH(I72,Bronzo!$A$1:$AA$1,0)-1)=TRUE),0,OFFSET(Bronzo!$A$1,MATCH(H72,Bronzo!$A:$A,0)-1,MATCH(I72,Bronzo!$A$1:$AA$1,0)-1)),4)</f>
        <v>0</v>
      </c>
      <c r="T72" s="446">
        <f t="shared" ca="1" si="46"/>
        <v>0</v>
      </c>
      <c r="U72" s="443"/>
      <c r="V72" s="446">
        <v>0</v>
      </c>
      <c r="W72" s="449">
        <f t="shared" ca="1" si="47"/>
        <v>1.75</v>
      </c>
      <c r="X72" s="452">
        <f t="shared" si="92"/>
        <v>250</v>
      </c>
      <c r="Y72" s="440">
        <v>4.45</v>
      </c>
      <c r="Z72" s="440">
        <f t="shared" ca="1" si="48"/>
        <v>-0.21</v>
      </c>
      <c r="AA72" s="241">
        <v>46152</v>
      </c>
      <c r="AF72" s="225">
        <f t="shared" ca="1" si="79"/>
        <v>46156</v>
      </c>
      <c r="AG72" s="225" t="b">
        <f t="shared" si="80"/>
        <v>0</v>
      </c>
      <c r="AH72" s="242">
        <f t="shared" ca="1" si="81"/>
        <v>-4</v>
      </c>
      <c r="AK72" s="223">
        <f t="shared" si="82"/>
        <v>20</v>
      </c>
      <c r="AL72" s="223">
        <f t="shared" si="83"/>
        <v>2026</v>
      </c>
      <c r="AS72" s="223">
        <f t="shared" si="84"/>
        <v>5</v>
      </c>
      <c r="AT72" s="223">
        <f t="shared" si="85"/>
        <v>2026</v>
      </c>
    </row>
    <row r="73" spans="2:46" ht="15.75" x14ac:dyDescent="0.25">
      <c r="B73" s="229" t="s">
        <v>471</v>
      </c>
      <c r="C73" s="235" t="s">
        <v>208</v>
      </c>
      <c r="D73" s="243">
        <v>5000</v>
      </c>
      <c r="E73" s="232" t="s">
        <v>4</v>
      </c>
      <c r="F73" s="435">
        <v>2.91</v>
      </c>
      <c r="G73" s="234">
        <v>46091</v>
      </c>
      <c r="H73" s="235" t="s">
        <v>13</v>
      </c>
      <c r="I73" s="235"/>
      <c r="J73" s="440">
        <v>0.05</v>
      </c>
      <c r="K73" s="443">
        <f ca="1">ROUND(IF(ISERROR(OFFSET(Tabella!$A$1,MATCH(H73,Tabella!$A:$A,0)-1,MATCH(J73,Tabella!$A$1:$AC$1,0)-1)=TRUE),0,+OFFSET(Tabella!$A$1,MATCH(H73,Tabella!$A:$A,0)-1,MATCH(J73,Tabella!$A$1:$AC$1,0)-1)),4)</f>
        <v>0</v>
      </c>
      <c r="L73" s="446">
        <f ca="1">ROUND(IF(ISERROR(OFFSET(Ottone!$A$1,MATCH(H73,Ottone!$A:$A,0)-1,MATCH(J73,Ottone!$A$1:$Z$1,0)-1)=TRUE),0,OFFSET(Ottone!$A$1,MATCH(H73,Ottone!$A:$A,0)-1,MATCH(J73,Ottone!$A$1:$Z$1,0)-1))*IF(E73="Ottone",1,0),4)</f>
        <v>0</v>
      </c>
      <c r="M73" s="446">
        <f ca="1">ROUND(IF(ISERROR(OFFSET(Rame!$A$1,MATCH(H73,Rame!$A:$A,0)-1,MATCH(J73,Rame!$A$1:$AA$1,0)-1)=TRUE),0,OFFSET(Rame!$A$1,MATCH(H73,Rame!$A:$A,0)-1,MATCH(J73,Rame!$A$1:$AA$1,0)-1))*IF(E73="Rame",1,0),4)</f>
        <v>0</v>
      </c>
      <c r="N73" s="446">
        <v>0</v>
      </c>
      <c r="O73" s="446">
        <v>1.75</v>
      </c>
      <c r="P73" s="446">
        <f ca="1">ROUND(+IF(ISERROR(OFFSET(Tabella!$G$1,MATCH(H73,Tabella!$G:$G,0)-1,MATCH(I73,Tabella!$G$1:$FG$1,0)-1)=TRUE),0,OFFSET(Tabella!$G$1,MATCH(H73,Tabella!$G:$G,0)-1,MATCH(I73,Tabella!$G$1:$AB$1,0)-1)),4)</f>
        <v>0</v>
      </c>
      <c r="Q73" s="446">
        <f ca="1">ROUND(IF(ISERROR(OFFSET(Ottone!$F$1,MATCH(H73,Ottone!$A:$A,0)-1,MATCH(I73,Ottone!$F$1:$FF$1,0)-1)=TRUE),0,OFFSET(Ottone!$F$1,MATCH(H73,Ottone!$A:$A,0)-1,MATCH(I73,Ottone!$F$1:$FF$1,0)-1))*IF(E73="Ottone",1,0),4)</f>
        <v>0</v>
      </c>
      <c r="R73" s="446">
        <f ca="1">ROUND(IF(ISERROR(OFFSET(Rame!$F$1,MATCH(H73,Rame!$F:$F,0)-1,MATCH(I73,Rame!$F$1:$FF$1,0)-1)=TRUE),0,OFFSET(Rame!$F$1,MATCH(H73,Rame!$F:$F,0)-1,MATCH(I73,Rame!$F$1:$FF$1,0)-1))*IF(E73="Rame",1,0),4)</f>
        <v>0</v>
      </c>
      <c r="S73" s="446">
        <f ca="1">ROUND(IF(ISERROR(OFFSET(Bronzo!$A$1,MATCH(H73,Bronzo!$A:$A,0)-1,MATCH(I73,Bronzo!$A$1:$AA$1,0)-1)=TRUE),0,OFFSET(Bronzo!$A$1,MATCH(H73,Bronzo!$A:$A,0)-1,MATCH(I73,Bronzo!$A$1:$AA$1,0)-1)),4)</f>
        <v>0</v>
      </c>
      <c r="T73" s="446">
        <f t="shared" ca="1" si="46"/>
        <v>0</v>
      </c>
      <c r="U73" s="443"/>
      <c r="V73" s="446">
        <v>0</v>
      </c>
      <c r="W73" s="449">
        <f t="shared" ca="1" si="47"/>
        <v>1.75</v>
      </c>
      <c r="X73" s="452">
        <f t="shared" si="92"/>
        <v>250</v>
      </c>
      <c r="Y73" s="440">
        <v>4.45</v>
      </c>
      <c r="Z73" s="440">
        <f t="shared" ca="1" si="48"/>
        <v>-0.21</v>
      </c>
      <c r="AA73" s="241">
        <v>46183</v>
      </c>
      <c r="AF73" s="225">
        <f t="shared" ca="1" si="79"/>
        <v>46156</v>
      </c>
      <c r="AG73" s="225" t="b">
        <f t="shared" si="80"/>
        <v>0</v>
      </c>
      <c r="AH73" s="242">
        <f t="shared" ca="1" si="81"/>
        <v>27</v>
      </c>
      <c r="AK73" s="223">
        <f t="shared" si="82"/>
        <v>24</v>
      </c>
      <c r="AL73" s="223">
        <f t="shared" si="83"/>
        <v>2026</v>
      </c>
      <c r="AS73" s="223">
        <f t="shared" si="84"/>
        <v>6</v>
      </c>
      <c r="AT73" s="223">
        <f t="shared" si="85"/>
        <v>2026</v>
      </c>
    </row>
    <row r="74" spans="2:46" ht="15.75" x14ac:dyDescent="0.25">
      <c r="B74" s="229" t="s">
        <v>471</v>
      </c>
      <c r="C74" s="235" t="s">
        <v>208</v>
      </c>
      <c r="D74" s="243">
        <v>5000</v>
      </c>
      <c r="E74" s="232" t="s">
        <v>4</v>
      </c>
      <c r="F74" s="435">
        <v>2.91</v>
      </c>
      <c r="G74" s="234">
        <v>46091</v>
      </c>
      <c r="H74" s="235" t="s">
        <v>13</v>
      </c>
      <c r="I74" s="235"/>
      <c r="J74" s="440">
        <v>0.05</v>
      </c>
      <c r="K74" s="443">
        <f ca="1">ROUND(IF(ISERROR(OFFSET(Tabella!$A$1,MATCH(H74,Tabella!$A:$A,0)-1,MATCH(J74,Tabella!$A$1:$AC$1,0)-1)=TRUE),0,+OFFSET(Tabella!$A$1,MATCH(H74,Tabella!$A:$A,0)-1,MATCH(J74,Tabella!$A$1:$AC$1,0)-1)),4)</f>
        <v>0</v>
      </c>
      <c r="L74" s="446">
        <f ca="1">ROUND(IF(ISERROR(OFFSET(Ottone!$A$1,MATCH(H74,Ottone!$A:$A,0)-1,MATCH(J74,Ottone!$A$1:$Z$1,0)-1)=TRUE),0,OFFSET(Ottone!$A$1,MATCH(H74,Ottone!$A:$A,0)-1,MATCH(J74,Ottone!$A$1:$Z$1,0)-1))*IF(E74="Ottone",1,0),4)</f>
        <v>0</v>
      </c>
      <c r="M74" s="446">
        <f ca="1">ROUND(IF(ISERROR(OFFSET(Rame!$A$1,MATCH(H74,Rame!$A:$A,0)-1,MATCH(J74,Rame!$A$1:$AA$1,0)-1)=TRUE),0,OFFSET(Rame!$A$1,MATCH(H74,Rame!$A:$A,0)-1,MATCH(J74,Rame!$A$1:$AA$1,0)-1))*IF(E74="Rame",1,0),4)</f>
        <v>0</v>
      </c>
      <c r="N74" s="446">
        <v>0</v>
      </c>
      <c r="O74" s="446">
        <v>1.75</v>
      </c>
      <c r="P74" s="446">
        <f ca="1">ROUND(+IF(ISERROR(OFFSET(Tabella!$G$1,MATCH(H74,Tabella!$G:$G,0)-1,MATCH(I74,Tabella!$G$1:$FG$1,0)-1)=TRUE),0,OFFSET(Tabella!$G$1,MATCH(H74,Tabella!$G:$G,0)-1,MATCH(I74,Tabella!$G$1:$AB$1,0)-1)),4)</f>
        <v>0</v>
      </c>
      <c r="Q74" s="446">
        <f ca="1">ROUND(IF(ISERROR(OFFSET(Ottone!$F$1,MATCH(H74,Ottone!$A:$A,0)-1,MATCH(I74,Ottone!$F$1:$FF$1,0)-1)=TRUE),0,OFFSET(Ottone!$F$1,MATCH(H74,Ottone!$A:$A,0)-1,MATCH(I74,Ottone!$F$1:$FF$1,0)-1))*IF(E74="Ottone",1,0),4)</f>
        <v>0</v>
      </c>
      <c r="R74" s="446">
        <f ca="1">ROUND(IF(ISERROR(OFFSET(Rame!$F$1,MATCH(H74,Rame!$F:$F,0)-1,MATCH(I74,Rame!$F$1:$FF$1,0)-1)=TRUE),0,OFFSET(Rame!$F$1,MATCH(H74,Rame!$F:$F,0)-1,MATCH(I74,Rame!$F$1:$FF$1,0)-1))*IF(E74="Rame",1,0),4)</f>
        <v>0</v>
      </c>
      <c r="S74" s="446">
        <f ca="1">ROUND(IF(ISERROR(OFFSET(Bronzo!$A$1,MATCH(H74,Bronzo!$A:$A,0)-1,MATCH(I74,Bronzo!$A$1:$AA$1,0)-1)=TRUE),0,OFFSET(Bronzo!$A$1,MATCH(H74,Bronzo!$A:$A,0)-1,MATCH(I74,Bronzo!$A$1:$AA$1,0)-1)),4)</f>
        <v>0</v>
      </c>
      <c r="T74" s="446">
        <f t="shared" ca="1" si="46"/>
        <v>0</v>
      </c>
      <c r="U74" s="443"/>
      <c r="V74" s="446">
        <v>0</v>
      </c>
      <c r="W74" s="449">
        <f t="shared" ca="1" si="47"/>
        <v>1.75</v>
      </c>
      <c r="X74" s="452">
        <f t="shared" si="92"/>
        <v>250</v>
      </c>
      <c r="Y74" s="440">
        <v>4.45</v>
      </c>
      <c r="Z74" s="440">
        <f t="shared" ca="1" si="48"/>
        <v>-0.21</v>
      </c>
      <c r="AA74" s="241">
        <v>46213</v>
      </c>
      <c r="AF74" s="225">
        <f t="shared" ca="1" si="79"/>
        <v>46156</v>
      </c>
      <c r="AG74" s="225" t="b">
        <f t="shared" si="80"/>
        <v>0</v>
      </c>
      <c r="AH74" s="242">
        <f t="shared" ca="1" si="81"/>
        <v>57</v>
      </c>
      <c r="AK74" s="223">
        <f t="shared" si="82"/>
        <v>28</v>
      </c>
      <c r="AL74" s="223">
        <f t="shared" si="83"/>
        <v>2026</v>
      </c>
      <c r="AS74" s="223">
        <f t="shared" si="84"/>
        <v>7</v>
      </c>
      <c r="AT74" s="223">
        <f t="shared" si="85"/>
        <v>2026</v>
      </c>
    </row>
    <row r="75" spans="2:46" ht="15.75" x14ac:dyDescent="0.25">
      <c r="B75" s="229" t="s">
        <v>464</v>
      </c>
      <c r="C75" s="235" t="s">
        <v>439</v>
      </c>
      <c r="D75" s="243">
        <v>480</v>
      </c>
      <c r="E75" s="232" t="s">
        <v>4</v>
      </c>
      <c r="F75" s="435">
        <v>2.97</v>
      </c>
      <c r="G75" s="234">
        <v>46093</v>
      </c>
      <c r="H75" s="235" t="s">
        <v>28</v>
      </c>
      <c r="I75" s="235"/>
      <c r="J75" s="440">
        <v>0.1</v>
      </c>
      <c r="K75" s="443">
        <f ca="1">ROUND(IF(ISERROR(OFFSET(Tabella!$A$1,MATCH(H75,Tabella!$A:$A,0)-1,MATCH(J75,Tabella!$A$1:$AC$1,0)-1)=TRUE),0,+OFFSET(Tabella!$A$1,MATCH(H75,Tabella!$A:$A,0)-1,MATCH(J75,Tabella!$A$1:$AC$1,0)-1)),4)</f>
        <v>1.4</v>
      </c>
      <c r="L75" s="446">
        <f ca="1">ROUND(IF(ISERROR(OFFSET(Ottone!$A$1,MATCH(H75,Ottone!$A:$A,0)-1,MATCH(J75,Ottone!$A$1:$Z$1,0)-1)=TRUE),0,OFFSET(Ottone!$A$1,MATCH(H75,Ottone!$A:$A,0)-1,MATCH(J75,Ottone!$A$1:$Z$1,0)-1))*IF(E75="Ottone",1,0),4)</f>
        <v>0</v>
      </c>
      <c r="M75" s="446">
        <f ca="1">ROUND(IF(ISERROR(OFFSET(Rame!$A$1,MATCH(H75,Rame!$A:$A,0)-1,MATCH(J75,Rame!$A$1:$AA$1,0)-1)=TRUE),0,OFFSET(Rame!$A$1,MATCH(H75,Rame!$A:$A,0)-1,MATCH(J75,Rame!$A$1:$AA$1,0)-1))*IF(E75="Rame",1,0),4)</f>
        <v>0</v>
      </c>
      <c r="N75" s="446">
        <v>0</v>
      </c>
      <c r="O75" s="446">
        <f ca="1">ROUND(SUM(K75:N75),4)</f>
        <v>1.4</v>
      </c>
      <c r="P75" s="446">
        <f ca="1">ROUND(+IF(ISERROR(OFFSET(Tabella!$G$1,MATCH(H75,Tabella!$G:$G,0)-1,MATCH(I75,Tabella!$G$1:$FG$1,0)-1)=TRUE),0,OFFSET(Tabella!$G$1,MATCH(H75,Tabella!$G:$G,0)-1,MATCH(I75,Tabella!$G$1:$AB$1,0)-1)),4)</f>
        <v>0</v>
      </c>
      <c r="Q75" s="446">
        <f ca="1">ROUND(IF(ISERROR(OFFSET(Ottone!$F$1,MATCH(H75,Ottone!$A:$A,0)-1,MATCH(I75,Ottone!$F$1:$FF$1,0)-1)=TRUE),0,OFFSET(Ottone!$F$1,MATCH(H75,Ottone!$A:$A,0)-1,MATCH(I75,Ottone!$F$1:$FF$1,0)-1))*IF(E75="Ottone",1,0),4)</f>
        <v>0</v>
      </c>
      <c r="R75" s="446">
        <f ca="1">ROUND(IF(ISERROR(OFFSET(Rame!$F$1,MATCH(H75,Rame!$F:$F,0)-1,MATCH(I75,Rame!$F$1:$FF$1,0)-1)=TRUE),0,OFFSET(Rame!$F$1,MATCH(H75,Rame!$F:$F,0)-1,MATCH(I75,Rame!$F$1:$FF$1,0)-1))*IF(E75="Rame",1,0),4)</f>
        <v>0</v>
      </c>
      <c r="S75" s="446">
        <f ca="1">ROUND(IF(ISERROR(OFFSET(Bronzo!$A$1,MATCH(H75,Bronzo!$A:$A,0)-1,MATCH(I75,Bronzo!$A$1:$AA$1,0)-1)=TRUE),0,OFFSET(Bronzo!$A$1,MATCH(H75,Bronzo!$A:$A,0)-1,MATCH(I75,Bronzo!$A$1:$AA$1,0)-1)),4)</f>
        <v>0</v>
      </c>
      <c r="T75" s="446">
        <f t="shared" ca="1" si="46"/>
        <v>0</v>
      </c>
      <c r="U75" s="443"/>
      <c r="V75" s="446">
        <v>0</v>
      </c>
      <c r="W75" s="449">
        <f t="shared" ca="1" si="47"/>
        <v>1.4</v>
      </c>
      <c r="X75" s="452">
        <f t="shared" si="92"/>
        <v>48</v>
      </c>
      <c r="Y75" s="440">
        <v>4.7</v>
      </c>
      <c r="Z75" s="440">
        <f t="shared" ca="1" si="48"/>
        <v>0.33</v>
      </c>
      <c r="AA75" s="241">
        <v>46175</v>
      </c>
      <c r="AF75" s="225">
        <f t="shared" ca="1" si="79"/>
        <v>46156</v>
      </c>
      <c r="AG75" s="225" t="b">
        <f t="shared" si="80"/>
        <v>0</v>
      </c>
      <c r="AH75" s="242">
        <f t="shared" ca="1" si="81"/>
        <v>19</v>
      </c>
      <c r="AK75" s="223">
        <f t="shared" si="82"/>
        <v>23</v>
      </c>
      <c r="AL75" s="223">
        <f t="shared" si="83"/>
        <v>2026</v>
      </c>
      <c r="AS75" s="223">
        <f t="shared" si="84"/>
        <v>6</v>
      </c>
      <c r="AT75" s="223">
        <f t="shared" si="85"/>
        <v>2026</v>
      </c>
    </row>
    <row r="76" spans="2:46" ht="15.75" x14ac:dyDescent="0.25">
      <c r="B76" s="229" t="s">
        <v>577</v>
      </c>
      <c r="C76" s="244" t="s">
        <v>212</v>
      </c>
      <c r="D76" s="245">
        <v>3523</v>
      </c>
      <c r="E76" s="232" t="s">
        <v>4</v>
      </c>
      <c r="F76" s="435">
        <v>2.61</v>
      </c>
      <c r="G76" s="234">
        <v>46093</v>
      </c>
      <c r="H76" s="235" t="s">
        <v>26</v>
      </c>
      <c r="I76" s="235"/>
      <c r="J76" s="440">
        <v>0.05</v>
      </c>
      <c r="K76" s="443">
        <f ca="1">ROUND(IF(ISERROR(OFFSET(Tabella!$A$1,MATCH(H76,Tabella!$A:$A,0)-1,MATCH(J76,Tabella!$A$1:$AC$1,0)-1)=TRUE),0,+OFFSET(Tabella!$A$1,MATCH(H76,Tabella!$A:$A,0)-1,MATCH(J76,Tabella!$A$1:$AC$1,0)-1)),4)</f>
        <v>0</v>
      </c>
      <c r="L76" s="446">
        <f ca="1">ROUND(IF(ISERROR(OFFSET(Ottone!$A$1,MATCH(H76,Ottone!$A:$A,0)-1,MATCH(J76,Ottone!$A$1:$Z$1,0)-1)=TRUE),0,OFFSET(Ottone!$A$1,MATCH(H76,Ottone!$A:$A,0)-1,MATCH(J76,Ottone!$A$1:$Z$1,0)-1))*IF(E76="Ottone",1,0),4)</f>
        <v>0</v>
      </c>
      <c r="M76" s="446">
        <f ca="1">ROUND(IF(ISERROR(OFFSET(Rame!$A$1,MATCH(H76,Rame!$A:$A,0)-1,MATCH(J76,Rame!$A$1:$AA$1,0)-1)=TRUE),0,OFFSET(Rame!$A$1,MATCH(H76,Rame!$A:$A,0)-1,MATCH(J76,Rame!$A$1:$AA$1,0)-1))*IF(E76="Rame",1,0),4)</f>
        <v>0</v>
      </c>
      <c r="N76" s="446">
        <v>0</v>
      </c>
      <c r="O76" s="446">
        <v>1.47</v>
      </c>
      <c r="P76" s="446">
        <f ca="1">ROUND(+IF(ISERROR(OFFSET(Tabella!$G$1,MATCH(H76,Tabella!$G:$G,0)-1,MATCH(I76,Tabella!$G$1:$FG$1,0)-1)=TRUE),0,OFFSET(Tabella!$G$1,MATCH(H76,Tabella!$G:$G,0)-1,MATCH(I76,Tabella!$G$1:$AB$1,0)-1)),4)</f>
        <v>0</v>
      </c>
      <c r="Q76" s="446">
        <f ca="1">ROUND(IF(ISERROR(OFFSET(Ottone!$F$1,MATCH(H76,Ottone!$A:$A,0)-1,MATCH(I76,Ottone!$F$1:$FF$1,0)-1)=TRUE),0,OFFSET(Ottone!$F$1,MATCH(H76,Ottone!$A:$A,0)-1,MATCH(I76,Ottone!$F$1:$FF$1,0)-1))*IF(E76="Ottone",1,0),4)</f>
        <v>0</v>
      </c>
      <c r="R76" s="446">
        <f ca="1">ROUND(IF(ISERROR(OFFSET(Rame!$F$1,MATCH(H76,Rame!$F:$F,0)-1,MATCH(I76,Rame!$F$1:$FF$1,0)-1)=TRUE),0,OFFSET(Rame!$F$1,MATCH(H76,Rame!$F:$F,0)-1,MATCH(I76,Rame!$F$1:$FF$1,0)-1))*IF(E76="Rame",1,0),4)</f>
        <v>0</v>
      </c>
      <c r="S76" s="446">
        <f ca="1">ROUND(IF(ISERROR(OFFSET(Bronzo!$A$1,MATCH(H76,Bronzo!$A:$A,0)-1,MATCH(I76,Bronzo!$A$1:$AA$1,0)-1)=TRUE),0,OFFSET(Bronzo!$A$1,MATCH(H76,Bronzo!$A:$A,0)-1,MATCH(I76,Bronzo!$A$1:$AA$1,0)-1)),4)</f>
        <v>0</v>
      </c>
      <c r="T76" s="446">
        <f t="shared" ca="1" si="46"/>
        <v>0</v>
      </c>
      <c r="U76" s="443"/>
      <c r="V76" s="446">
        <v>0</v>
      </c>
      <c r="W76" s="449">
        <f t="shared" ca="1" si="47"/>
        <v>1.47</v>
      </c>
      <c r="X76" s="454">
        <f t="shared" si="92"/>
        <v>176.15</v>
      </c>
      <c r="Y76" s="440">
        <v>4.08</v>
      </c>
      <c r="Z76" s="440">
        <f t="shared" ca="1" si="48"/>
        <v>0</v>
      </c>
      <c r="AA76" s="241"/>
      <c r="AD76" s="223" t="s">
        <v>403</v>
      </c>
      <c r="AE76" s="223" t="s">
        <v>489</v>
      </c>
      <c r="AF76" s="225">
        <f t="shared" ca="1" si="79"/>
        <v>46156</v>
      </c>
      <c r="AG76" s="225" t="b">
        <f t="shared" si="80"/>
        <v>1</v>
      </c>
      <c r="AH76" s="242" t="str">
        <f t="shared" si="81"/>
        <v/>
      </c>
      <c r="AK76" s="223">
        <f t="shared" si="82"/>
        <v>0</v>
      </c>
      <c r="AL76" s="223">
        <f t="shared" si="83"/>
        <v>1900</v>
      </c>
      <c r="AS76" s="223">
        <f t="shared" si="84"/>
        <v>0</v>
      </c>
      <c r="AT76" s="223">
        <f t="shared" si="85"/>
        <v>0</v>
      </c>
    </row>
    <row r="77" spans="2:46" ht="15.75" x14ac:dyDescent="0.25">
      <c r="B77" s="229" t="s">
        <v>576</v>
      </c>
      <c r="C77" s="244" t="s">
        <v>212</v>
      </c>
      <c r="D77" s="245">
        <v>2508</v>
      </c>
      <c r="E77" s="232" t="s">
        <v>4</v>
      </c>
      <c r="F77" s="435">
        <v>2.61</v>
      </c>
      <c r="G77" s="234">
        <v>46094</v>
      </c>
      <c r="H77" s="235" t="s">
        <v>17</v>
      </c>
      <c r="I77" s="235"/>
      <c r="J77" s="440">
        <v>0.05</v>
      </c>
      <c r="K77" s="443">
        <f ca="1">ROUND(IF(ISERROR(OFFSET(Tabella!$A$1,MATCH(H77,Tabella!$A:$A,0)-1,MATCH(J77,Tabella!$A$1:$AC$1,0)-1)=TRUE),0,+OFFSET(Tabella!$A$1,MATCH(H77,Tabella!$A:$A,0)-1,MATCH(J77,Tabella!$A$1:$AC$1,0)-1)),4)</f>
        <v>0</v>
      </c>
      <c r="L77" s="446">
        <f ca="1">ROUND(IF(ISERROR(OFFSET(Ottone!$A$1,MATCH(H77,Ottone!$A:$A,0)-1,MATCH(J77,Ottone!$A$1:$Z$1,0)-1)=TRUE),0,OFFSET(Ottone!$A$1,MATCH(H77,Ottone!$A:$A,0)-1,MATCH(J77,Ottone!$A$1:$Z$1,0)-1))*IF(E77="Ottone",1,0),4)</f>
        <v>0</v>
      </c>
      <c r="M77" s="446">
        <f ca="1">ROUND(IF(ISERROR(OFFSET(Rame!$A$1,MATCH(H77,Rame!$A:$A,0)-1,MATCH(J77,Rame!$A$1:$AA$1,0)-1)=TRUE),0,OFFSET(Rame!$A$1,MATCH(H77,Rame!$A:$A,0)-1,MATCH(J77,Rame!$A$1:$AA$1,0)-1))*IF(E77="Rame",1,0),4)</f>
        <v>0</v>
      </c>
      <c r="N77" s="446">
        <v>0</v>
      </c>
      <c r="O77" s="446">
        <v>1.52</v>
      </c>
      <c r="P77" s="446">
        <f ca="1">ROUND(+IF(ISERROR(OFFSET(Tabella!$G$1,MATCH(H77,Tabella!$G:$G,0)-1,MATCH(I77,Tabella!$G$1:$FG$1,0)-1)=TRUE),0,OFFSET(Tabella!$G$1,MATCH(H77,Tabella!$G:$G,0)-1,MATCH(I77,Tabella!$G$1:$AB$1,0)-1)),4)</f>
        <v>0</v>
      </c>
      <c r="Q77" s="446">
        <f ca="1">ROUND(IF(ISERROR(OFFSET(Ottone!$F$1,MATCH(H77,Ottone!$A:$A,0)-1,MATCH(I77,Ottone!$F$1:$FF$1,0)-1)=TRUE),0,OFFSET(Ottone!$F$1,MATCH(H77,Ottone!$A:$A,0)-1,MATCH(I77,Ottone!$F$1:$FF$1,0)-1))*IF(E77="Ottone",1,0),4)</f>
        <v>0</v>
      </c>
      <c r="R77" s="446">
        <f ca="1">ROUND(IF(ISERROR(OFFSET(Rame!$F$1,MATCH(H77,Rame!$F:$F,0)-1,MATCH(I77,Rame!$F$1:$FF$1,0)-1)=TRUE),0,OFFSET(Rame!$F$1,MATCH(H77,Rame!$F:$F,0)-1,MATCH(I77,Rame!$F$1:$FF$1,0)-1))*IF(E77="Rame",1,0),4)</f>
        <v>0</v>
      </c>
      <c r="S77" s="446">
        <f ca="1">ROUND(IF(ISERROR(OFFSET(Bronzo!$A$1,MATCH(H77,Bronzo!$A:$A,0)-1,MATCH(I77,Bronzo!$A$1:$AA$1,0)-1)=TRUE),0,OFFSET(Bronzo!$A$1,MATCH(H77,Bronzo!$A:$A,0)-1,MATCH(I77,Bronzo!$A$1:$AA$1,0)-1)),4)</f>
        <v>0</v>
      </c>
      <c r="T77" s="446">
        <f t="shared" ca="1" si="46"/>
        <v>0</v>
      </c>
      <c r="U77" s="443"/>
      <c r="V77" s="446">
        <v>0</v>
      </c>
      <c r="W77" s="449">
        <f t="shared" ca="1" si="47"/>
        <v>1.52</v>
      </c>
      <c r="X77" s="454">
        <f t="shared" si="92"/>
        <v>125.4</v>
      </c>
      <c r="Y77" s="440">
        <v>4.13</v>
      </c>
      <c r="Z77" s="440">
        <f t="shared" ca="1" si="48"/>
        <v>0</v>
      </c>
      <c r="AA77" s="241"/>
      <c r="AD77" s="223" t="s">
        <v>403</v>
      </c>
      <c r="AF77" s="225">
        <f t="shared" ca="1" si="79"/>
        <v>46156</v>
      </c>
      <c r="AG77" s="225" t="b">
        <f t="shared" si="80"/>
        <v>1</v>
      </c>
      <c r="AH77" s="242" t="str">
        <f t="shared" si="81"/>
        <v/>
      </c>
      <c r="AK77" s="223">
        <f t="shared" si="82"/>
        <v>0</v>
      </c>
      <c r="AL77" s="223">
        <f t="shared" si="83"/>
        <v>1900</v>
      </c>
      <c r="AS77" s="223">
        <f t="shared" si="84"/>
        <v>0</v>
      </c>
      <c r="AT77" s="223">
        <f t="shared" si="85"/>
        <v>0</v>
      </c>
    </row>
    <row r="78" spans="2:46" ht="15.75" x14ac:dyDescent="0.25">
      <c r="B78" s="229" t="s">
        <v>575</v>
      </c>
      <c r="C78" s="244" t="s">
        <v>212</v>
      </c>
      <c r="D78" s="245">
        <v>1116</v>
      </c>
      <c r="E78" s="232" t="s">
        <v>4</v>
      </c>
      <c r="F78" s="435">
        <v>2.61</v>
      </c>
      <c r="G78" s="234">
        <v>46094</v>
      </c>
      <c r="H78" s="235" t="s">
        <v>28</v>
      </c>
      <c r="I78" s="235"/>
      <c r="J78" s="440">
        <v>0.05</v>
      </c>
      <c r="K78" s="443">
        <f ca="1">ROUND(IF(ISERROR(OFFSET(Tabella!$A$1,MATCH(H78,Tabella!$A:$A,0)-1,MATCH(J78,Tabella!$A$1:$AC$1,0)-1)=TRUE),0,+OFFSET(Tabella!$A$1,MATCH(H78,Tabella!$A:$A,0)-1,MATCH(J78,Tabella!$A$1:$AC$1,0)-1)),4)</f>
        <v>0</v>
      </c>
      <c r="L78" s="446">
        <f ca="1">ROUND(IF(ISERROR(OFFSET(Ottone!$A$1,MATCH(H78,Ottone!$A:$A,0)-1,MATCH(J78,Ottone!$A$1:$Z$1,0)-1)=TRUE),0,OFFSET(Ottone!$A$1,MATCH(H78,Ottone!$A:$A,0)-1,MATCH(J78,Ottone!$A$1:$Z$1,0)-1))*IF(E78="Ottone",1,0),4)</f>
        <v>0</v>
      </c>
      <c r="M78" s="446">
        <f ca="1">ROUND(IF(ISERROR(OFFSET(Rame!$A$1,MATCH(H78,Rame!$A:$A,0)-1,MATCH(J78,Rame!$A$1:$AA$1,0)-1)=TRUE),0,OFFSET(Rame!$A$1,MATCH(H78,Rame!$A:$A,0)-1,MATCH(J78,Rame!$A$1:$AA$1,0)-1))*IF(E78="Rame",1,0),4)</f>
        <v>0</v>
      </c>
      <c r="N78" s="446">
        <v>0</v>
      </c>
      <c r="O78" s="446">
        <v>1.47</v>
      </c>
      <c r="P78" s="446">
        <f ca="1">ROUND(+IF(ISERROR(OFFSET(Tabella!$G$1,MATCH(H78,Tabella!$G:$G,0)-1,MATCH(I78,Tabella!$G$1:$FG$1,0)-1)=TRUE),0,OFFSET(Tabella!$G$1,MATCH(H78,Tabella!$G:$G,0)-1,MATCH(I78,Tabella!$G$1:$AB$1,0)-1)),4)</f>
        <v>0</v>
      </c>
      <c r="Q78" s="446">
        <f ca="1">ROUND(IF(ISERROR(OFFSET(Ottone!$F$1,MATCH(H78,Ottone!$A:$A,0)-1,MATCH(I78,Ottone!$F$1:$FF$1,0)-1)=TRUE),0,OFFSET(Ottone!$F$1,MATCH(H78,Ottone!$A:$A,0)-1,MATCH(I78,Ottone!$F$1:$FF$1,0)-1))*IF(E78="Ottone",1,0),4)</f>
        <v>0</v>
      </c>
      <c r="R78" s="446">
        <f ca="1">ROUND(IF(ISERROR(OFFSET(Rame!$F$1,MATCH(H78,Rame!$F:$F,0)-1,MATCH(I78,Rame!$F$1:$FF$1,0)-1)=TRUE),0,OFFSET(Rame!$F$1,MATCH(H78,Rame!$F:$F,0)-1,MATCH(I78,Rame!$F$1:$FF$1,0)-1))*IF(E78="Rame",1,0),4)</f>
        <v>0</v>
      </c>
      <c r="S78" s="446">
        <f ca="1">ROUND(IF(ISERROR(OFFSET(Bronzo!$A$1,MATCH(H78,Bronzo!$A:$A,0)-1,MATCH(I78,Bronzo!$A$1:$AA$1,0)-1)=TRUE),0,OFFSET(Bronzo!$A$1,MATCH(H78,Bronzo!$A:$A,0)-1,MATCH(I78,Bronzo!$A$1:$AA$1,0)-1)),4)</f>
        <v>0</v>
      </c>
      <c r="T78" s="446">
        <f t="shared" ca="1" si="46"/>
        <v>0</v>
      </c>
      <c r="U78" s="443"/>
      <c r="V78" s="446">
        <v>0</v>
      </c>
      <c r="W78" s="449">
        <f t="shared" ca="1" si="47"/>
        <v>1.47</v>
      </c>
      <c r="X78" s="454">
        <f t="shared" si="92"/>
        <v>55.8</v>
      </c>
      <c r="Y78" s="440">
        <v>4.08</v>
      </c>
      <c r="Z78" s="440">
        <f t="shared" ca="1" si="48"/>
        <v>0</v>
      </c>
      <c r="AA78" s="241"/>
      <c r="AD78" s="223" t="s">
        <v>403</v>
      </c>
      <c r="AF78" s="225">
        <f t="shared" ca="1" si="79"/>
        <v>46156</v>
      </c>
      <c r="AG78" s="225" t="b">
        <f t="shared" si="80"/>
        <v>1</v>
      </c>
      <c r="AH78" s="242" t="str">
        <f t="shared" si="81"/>
        <v/>
      </c>
      <c r="AK78" s="223">
        <f t="shared" si="82"/>
        <v>0</v>
      </c>
      <c r="AL78" s="223">
        <f t="shared" si="83"/>
        <v>1900</v>
      </c>
      <c r="AS78" s="223">
        <f t="shared" si="84"/>
        <v>0</v>
      </c>
      <c r="AT78" s="223">
        <f t="shared" si="85"/>
        <v>0</v>
      </c>
    </row>
    <row r="79" spans="2:46" ht="15.75" x14ac:dyDescent="0.25">
      <c r="B79" s="229" t="s">
        <v>574</v>
      </c>
      <c r="C79" s="244" t="s">
        <v>212</v>
      </c>
      <c r="D79" s="245">
        <v>4309</v>
      </c>
      <c r="E79" s="232" t="s">
        <v>4</v>
      </c>
      <c r="F79" s="435">
        <v>2.61</v>
      </c>
      <c r="G79" s="234">
        <v>46094</v>
      </c>
      <c r="H79" s="235" t="s">
        <v>310</v>
      </c>
      <c r="I79" s="235"/>
      <c r="J79" s="440">
        <v>0.05</v>
      </c>
      <c r="K79" s="443">
        <f ca="1">ROUND(IF(ISERROR(OFFSET(Tabella!$A$1,MATCH(H79,Tabella!$A:$A,0)-1,MATCH(J79,Tabella!$A$1:$AC$1,0)-1)=TRUE),0,+OFFSET(Tabella!$A$1,MATCH(H79,Tabella!$A:$A,0)-1,MATCH(J79,Tabella!$A$1:$AC$1,0)-1)),4)</f>
        <v>0</v>
      </c>
      <c r="L79" s="446">
        <f ca="1">ROUND(IF(ISERROR(OFFSET(Ottone!$A$1,MATCH(H79,Ottone!$A:$A,0)-1,MATCH(J79,Ottone!$A$1:$Z$1,0)-1)=TRUE),0,OFFSET(Ottone!$A$1,MATCH(H79,Ottone!$A:$A,0)-1,MATCH(J79,Ottone!$A$1:$Z$1,0)-1))*IF(E79="Ottone",1,0),4)</f>
        <v>0</v>
      </c>
      <c r="M79" s="446">
        <f ca="1">ROUND(IF(ISERROR(OFFSET(Rame!$A$1,MATCH(H79,Rame!$A:$A,0)-1,MATCH(J79,Rame!$A$1:$AA$1,0)-1)=TRUE),0,OFFSET(Rame!$A$1,MATCH(H79,Rame!$A:$A,0)-1,MATCH(J79,Rame!$A$1:$AA$1,0)-1))*IF(E79="Rame",1,0),4)</f>
        <v>0</v>
      </c>
      <c r="N79" s="446">
        <v>0</v>
      </c>
      <c r="O79" s="446">
        <v>1.37</v>
      </c>
      <c r="P79" s="446">
        <f ca="1">ROUND(+IF(ISERROR(OFFSET(Tabella!$G$1,MATCH(H79,Tabella!$G:$G,0)-1,MATCH(I79,Tabella!$G$1:$FG$1,0)-1)=TRUE),0,OFFSET(Tabella!$G$1,MATCH(H79,Tabella!$G:$G,0)-1,MATCH(I79,Tabella!$G$1:$AB$1,0)-1)),4)</f>
        <v>0</v>
      </c>
      <c r="Q79" s="446">
        <f ca="1">ROUND(IF(ISERROR(OFFSET(Ottone!$F$1,MATCH(H79,Ottone!$A:$A,0)-1,MATCH(I79,Ottone!$F$1:$FF$1,0)-1)=TRUE),0,OFFSET(Ottone!$F$1,MATCH(H79,Ottone!$A:$A,0)-1,MATCH(I79,Ottone!$F$1:$FF$1,0)-1))*IF(E79="Ottone",1,0),4)</f>
        <v>0</v>
      </c>
      <c r="R79" s="446">
        <f ca="1">ROUND(IF(ISERROR(OFFSET(Rame!$F$1,MATCH(H79,Rame!$F:$F,0)-1,MATCH(I79,Rame!$F$1:$FF$1,0)-1)=TRUE),0,OFFSET(Rame!$F$1,MATCH(H79,Rame!$F:$F,0)-1,MATCH(I79,Rame!$F$1:$FF$1,0)-1))*IF(E79="Rame",1,0),4)</f>
        <v>0</v>
      </c>
      <c r="S79" s="446">
        <f ca="1">ROUND(IF(ISERROR(OFFSET(Bronzo!$A$1,MATCH(H79,Bronzo!$A:$A,0)-1,MATCH(I79,Bronzo!$A$1:$AA$1,0)-1)=TRUE),0,OFFSET(Bronzo!$A$1,MATCH(H79,Bronzo!$A:$A,0)-1,MATCH(I79,Bronzo!$A$1:$AA$1,0)-1)),4)</f>
        <v>0</v>
      </c>
      <c r="T79" s="446">
        <f t="shared" ca="1" si="46"/>
        <v>0</v>
      </c>
      <c r="U79" s="443"/>
      <c r="V79" s="446">
        <v>0</v>
      </c>
      <c r="W79" s="449">
        <f t="shared" ca="1" si="47"/>
        <v>1.37</v>
      </c>
      <c r="X79" s="454">
        <f t="shared" si="92"/>
        <v>215.45</v>
      </c>
      <c r="Y79" s="440">
        <v>3.98</v>
      </c>
      <c r="Z79" s="440">
        <f t="shared" ca="1" si="48"/>
        <v>0</v>
      </c>
      <c r="AA79" s="241"/>
      <c r="AD79" s="223" t="s">
        <v>403</v>
      </c>
      <c r="AE79" s="223" t="s">
        <v>517</v>
      </c>
      <c r="AF79" s="225">
        <f t="shared" ca="1" si="79"/>
        <v>46156</v>
      </c>
      <c r="AG79" s="225" t="b">
        <f t="shared" si="80"/>
        <v>1</v>
      </c>
      <c r="AH79" s="242" t="str">
        <f t="shared" si="81"/>
        <v/>
      </c>
      <c r="AK79" s="223">
        <f t="shared" si="82"/>
        <v>0</v>
      </c>
      <c r="AL79" s="223">
        <f t="shared" si="83"/>
        <v>1900</v>
      </c>
      <c r="AS79" s="223">
        <f t="shared" si="84"/>
        <v>0</v>
      </c>
      <c r="AT79" s="223">
        <f t="shared" si="85"/>
        <v>0</v>
      </c>
    </row>
    <row r="80" spans="2:46" ht="15.75" x14ac:dyDescent="0.25">
      <c r="B80" s="229" t="s">
        <v>629</v>
      </c>
      <c r="C80" s="244" t="s">
        <v>212</v>
      </c>
      <c r="D80" s="245">
        <v>9486</v>
      </c>
      <c r="E80" s="232" t="s">
        <v>4</v>
      </c>
      <c r="F80" s="435">
        <v>2.61</v>
      </c>
      <c r="G80" s="234">
        <v>46094</v>
      </c>
      <c r="H80" s="235" t="s">
        <v>23</v>
      </c>
      <c r="I80" s="235"/>
      <c r="J80" s="440">
        <v>0.05</v>
      </c>
      <c r="K80" s="443">
        <f ca="1">ROUND(IF(ISERROR(OFFSET(Tabella!$A$1,MATCH(H80,Tabella!$A:$A,0)-1,MATCH(J80,Tabella!$A$1:$AC$1,0)-1)=TRUE),0,+OFFSET(Tabella!$A$1,MATCH(H80,Tabella!$A:$A,0)-1,MATCH(J80,Tabella!$A$1:$AC$1,0)-1)),4)</f>
        <v>0</v>
      </c>
      <c r="L80" s="446">
        <f ca="1">ROUND(IF(ISERROR(OFFSET(Ottone!$A$1,MATCH(H80,Ottone!$A:$A,0)-1,MATCH(J80,Ottone!$A$1:$Z$1,0)-1)=TRUE),0,OFFSET(Ottone!$A$1,MATCH(H80,Ottone!$A:$A,0)-1,MATCH(J80,Ottone!$A$1:$Z$1,0)-1))*IF(E80="Ottone",1,0),4)</f>
        <v>0</v>
      </c>
      <c r="M80" s="446">
        <f ca="1">ROUND(IF(ISERROR(OFFSET(Rame!$A$1,MATCH(H80,Rame!$A:$A,0)-1,MATCH(J80,Rame!$A$1:$AA$1,0)-1)=TRUE),0,OFFSET(Rame!$A$1,MATCH(H80,Rame!$A:$A,0)-1,MATCH(J80,Rame!$A$1:$AA$1,0)-1))*IF(E80="Rame",1,0),4)</f>
        <v>0</v>
      </c>
      <c r="N80" s="446">
        <v>0</v>
      </c>
      <c r="O80" s="446">
        <v>1.37</v>
      </c>
      <c r="P80" s="446">
        <f ca="1">ROUND(+IF(ISERROR(OFFSET(Tabella!$G$1,MATCH(H80,Tabella!$G:$G,0)-1,MATCH(I80,Tabella!$G$1:$FG$1,0)-1)=TRUE),0,OFFSET(Tabella!$G$1,MATCH(H80,Tabella!$G:$G,0)-1,MATCH(I80,Tabella!$G$1:$AB$1,0)-1)),4)</f>
        <v>0</v>
      </c>
      <c r="Q80" s="446">
        <f ca="1">ROUND(IF(ISERROR(OFFSET(Ottone!$F$1,MATCH(H80,Ottone!$A:$A,0)-1,MATCH(I80,Ottone!$F$1:$FF$1,0)-1)=TRUE),0,OFFSET(Ottone!$F$1,MATCH(H80,Ottone!$A:$A,0)-1,MATCH(I80,Ottone!$F$1:$FF$1,0)-1))*IF(E80="Ottone",1,0),4)</f>
        <v>0</v>
      </c>
      <c r="R80" s="446">
        <f ca="1">ROUND(IF(ISERROR(OFFSET(Rame!$F$1,MATCH(H80,Rame!$F:$F,0)-1,MATCH(I80,Rame!$F$1:$FF$1,0)-1)=TRUE),0,OFFSET(Rame!$F$1,MATCH(H80,Rame!$F:$F,0)-1,MATCH(I80,Rame!$F$1:$FF$1,0)-1))*IF(E80="Rame",1,0),4)</f>
        <v>0</v>
      </c>
      <c r="S80" s="446">
        <f ca="1">ROUND(IF(ISERROR(OFFSET(Bronzo!$A$1,MATCH(H80,Bronzo!$A:$A,0)-1,MATCH(I80,Bronzo!$A$1:$AA$1,0)-1)=TRUE),0,OFFSET(Bronzo!$A$1,MATCH(H80,Bronzo!$A:$A,0)-1,MATCH(I80,Bronzo!$A$1:$AA$1,0)-1)),4)</f>
        <v>0</v>
      </c>
      <c r="T80" s="446">
        <f t="shared" ca="1" si="46"/>
        <v>0</v>
      </c>
      <c r="U80" s="443"/>
      <c r="V80" s="446">
        <v>0</v>
      </c>
      <c r="W80" s="449">
        <f t="shared" ca="1" si="47"/>
        <v>1.37</v>
      </c>
      <c r="X80" s="454">
        <f t="shared" si="92"/>
        <v>474.3</v>
      </c>
      <c r="Y80" s="440">
        <v>3.98</v>
      </c>
      <c r="Z80" s="440">
        <f t="shared" ca="1" si="48"/>
        <v>0</v>
      </c>
      <c r="AA80" s="241"/>
      <c r="AD80" s="223" t="s">
        <v>403</v>
      </c>
      <c r="AF80" s="225">
        <f t="shared" ref="AF80:AF116" ca="1" si="93">TODAY()</f>
        <v>46156</v>
      </c>
      <c r="AG80" s="225" t="b">
        <f t="shared" si="80"/>
        <v>1</v>
      </c>
      <c r="AH80" s="242" t="str">
        <f t="shared" si="81"/>
        <v/>
      </c>
      <c r="AK80" s="223">
        <f t="shared" si="82"/>
        <v>0</v>
      </c>
      <c r="AL80" s="223">
        <f t="shared" si="83"/>
        <v>1900</v>
      </c>
      <c r="AS80" s="223">
        <f t="shared" si="84"/>
        <v>0</v>
      </c>
      <c r="AT80" s="223">
        <f t="shared" si="85"/>
        <v>0</v>
      </c>
    </row>
    <row r="81" spans="2:46" ht="15.75" x14ac:dyDescent="0.25">
      <c r="B81" s="229" t="s">
        <v>573</v>
      </c>
      <c r="C81" s="244" t="s">
        <v>212</v>
      </c>
      <c r="D81" s="245">
        <v>4356</v>
      </c>
      <c r="E81" s="232" t="s">
        <v>4</v>
      </c>
      <c r="F81" s="435">
        <v>2.61</v>
      </c>
      <c r="G81" s="234">
        <v>46094</v>
      </c>
      <c r="H81" s="235" t="s">
        <v>310</v>
      </c>
      <c r="I81" s="235"/>
      <c r="J81" s="440">
        <v>0.05</v>
      </c>
      <c r="K81" s="443">
        <f ca="1">ROUND(IF(ISERROR(OFFSET(Tabella!$A$1,MATCH(H81,Tabella!$A:$A,0)-1,MATCH(J81,Tabella!$A$1:$AC$1,0)-1)=TRUE),0,+OFFSET(Tabella!$A$1,MATCH(H81,Tabella!$A:$A,0)-1,MATCH(J81,Tabella!$A$1:$AC$1,0)-1)),4)</f>
        <v>0</v>
      </c>
      <c r="L81" s="446">
        <f ca="1">ROUND(IF(ISERROR(OFFSET(Ottone!$A$1,MATCH(H81,Ottone!$A:$A,0)-1,MATCH(J81,Ottone!$A$1:$Z$1,0)-1)=TRUE),0,OFFSET(Ottone!$A$1,MATCH(H81,Ottone!$A:$A,0)-1,MATCH(J81,Ottone!$A$1:$Z$1,0)-1))*IF(E81="Ottone",1,0),4)</f>
        <v>0</v>
      </c>
      <c r="M81" s="446">
        <f ca="1">ROUND(IF(ISERROR(OFFSET(Rame!$A$1,MATCH(H81,Rame!$A:$A,0)-1,MATCH(J81,Rame!$A$1:$AA$1,0)-1)=TRUE),0,OFFSET(Rame!$A$1,MATCH(H81,Rame!$A:$A,0)-1,MATCH(J81,Rame!$A$1:$AA$1,0)-1))*IF(E81="Rame",1,0),4)</f>
        <v>0</v>
      </c>
      <c r="N81" s="446">
        <v>0</v>
      </c>
      <c r="O81" s="446">
        <v>1.37</v>
      </c>
      <c r="P81" s="446">
        <f ca="1">ROUND(+IF(ISERROR(OFFSET(Tabella!$G$1,MATCH(H81,Tabella!$G:$G,0)-1,MATCH(I81,Tabella!$G$1:$FG$1,0)-1)=TRUE),0,OFFSET(Tabella!$G$1,MATCH(H81,Tabella!$G:$G,0)-1,MATCH(I81,Tabella!$G$1:$AB$1,0)-1)),4)</f>
        <v>0</v>
      </c>
      <c r="Q81" s="446">
        <f ca="1">ROUND(IF(ISERROR(OFFSET(Ottone!$F$1,MATCH(H81,Ottone!$A:$A,0)-1,MATCH(I81,Ottone!$F$1:$FF$1,0)-1)=TRUE),0,OFFSET(Ottone!$F$1,MATCH(H81,Ottone!$A:$A,0)-1,MATCH(I81,Ottone!$F$1:$FF$1,0)-1))*IF(E81="Ottone",1,0),4)</f>
        <v>0</v>
      </c>
      <c r="R81" s="446">
        <f ca="1">ROUND(IF(ISERROR(OFFSET(Rame!$F$1,MATCH(H81,Rame!$F:$F,0)-1,MATCH(I81,Rame!$F$1:$FF$1,0)-1)=TRUE),0,OFFSET(Rame!$F$1,MATCH(H81,Rame!$F:$F,0)-1,MATCH(I81,Rame!$F$1:$FF$1,0)-1))*IF(E81="Rame",1,0),4)</f>
        <v>0</v>
      </c>
      <c r="S81" s="446">
        <f ca="1">ROUND(IF(ISERROR(OFFSET(Bronzo!$A$1,MATCH(H81,Bronzo!$A:$A,0)-1,MATCH(I81,Bronzo!$A$1:$AA$1,0)-1)=TRUE),0,OFFSET(Bronzo!$A$1,MATCH(H81,Bronzo!$A:$A,0)-1,MATCH(I81,Bronzo!$A$1:$AA$1,0)-1)),4)</f>
        <v>0</v>
      </c>
      <c r="T81" s="446">
        <f t="shared" ca="1" si="46"/>
        <v>0</v>
      </c>
      <c r="U81" s="443"/>
      <c r="V81" s="446">
        <v>0</v>
      </c>
      <c r="W81" s="449">
        <f t="shared" ca="1" si="47"/>
        <v>1.37</v>
      </c>
      <c r="X81" s="454">
        <f t="shared" si="92"/>
        <v>217.8</v>
      </c>
      <c r="Y81" s="440">
        <v>3.98</v>
      </c>
      <c r="Z81" s="440">
        <f t="shared" ca="1" si="48"/>
        <v>0</v>
      </c>
      <c r="AA81" s="241"/>
      <c r="AD81" s="223" t="s">
        <v>403</v>
      </c>
      <c r="AF81" s="225">
        <f t="shared" ca="1" si="93"/>
        <v>46156</v>
      </c>
      <c r="AG81" s="225" t="b">
        <f t="shared" si="80"/>
        <v>1</v>
      </c>
      <c r="AH81" s="242" t="str">
        <f t="shared" si="81"/>
        <v/>
      </c>
      <c r="AK81" s="223">
        <f t="shared" si="82"/>
        <v>0</v>
      </c>
      <c r="AL81" s="223">
        <f t="shared" si="83"/>
        <v>1900</v>
      </c>
      <c r="AS81" s="223">
        <f t="shared" si="84"/>
        <v>0</v>
      </c>
      <c r="AT81" s="223">
        <f t="shared" si="85"/>
        <v>0</v>
      </c>
    </row>
    <row r="82" spans="2:46" ht="15.75" x14ac:dyDescent="0.25">
      <c r="B82" s="229" t="s">
        <v>580</v>
      </c>
      <c r="C82" s="230" t="s">
        <v>212</v>
      </c>
      <c r="D82" s="231">
        <v>1000</v>
      </c>
      <c r="E82" s="232" t="s">
        <v>4</v>
      </c>
      <c r="F82" s="435">
        <v>2.61</v>
      </c>
      <c r="G82" s="234">
        <v>46094</v>
      </c>
      <c r="H82" s="235" t="s">
        <v>310</v>
      </c>
      <c r="I82" s="235"/>
      <c r="J82" s="440">
        <v>0.05</v>
      </c>
      <c r="K82" s="443">
        <f ca="1">ROUND(IF(ISERROR(OFFSET(Tabella!$A$1,MATCH(H82,Tabella!$A:$A,0)-1,MATCH(J82,Tabella!$A$1:$AC$1,0)-1)=TRUE),0,+OFFSET(Tabella!$A$1,MATCH(H82,Tabella!$A:$A,0)-1,MATCH(J82,Tabella!$A$1:$AC$1,0)-1)),4)</f>
        <v>0</v>
      </c>
      <c r="L82" s="446">
        <f ca="1">ROUND(IF(ISERROR(OFFSET(Ottone!$A$1,MATCH(H82,Ottone!$A:$A,0)-1,MATCH(J82,Ottone!$A$1:$Z$1,0)-1)=TRUE),0,OFFSET(Ottone!$A$1,MATCH(H82,Ottone!$A:$A,0)-1,MATCH(J82,Ottone!$A$1:$Z$1,0)-1))*IF(E82="Ottone",1,0),4)</f>
        <v>0</v>
      </c>
      <c r="M82" s="446">
        <f ca="1">ROUND(IF(ISERROR(OFFSET(Rame!$A$1,MATCH(H82,Rame!$A:$A,0)-1,MATCH(J82,Rame!$A$1:$AA$1,0)-1)=TRUE),0,OFFSET(Rame!$A$1,MATCH(H82,Rame!$A:$A,0)-1,MATCH(J82,Rame!$A$1:$AA$1,0)-1))*IF(E82="Rame",1,0),4)</f>
        <v>0</v>
      </c>
      <c r="N82" s="446">
        <v>0</v>
      </c>
      <c r="O82" s="446">
        <v>1.37</v>
      </c>
      <c r="P82" s="446">
        <f ca="1">ROUND(+IF(ISERROR(OFFSET(Tabella!$G$1,MATCH(H82,Tabella!$G:$G,0)-1,MATCH(I82,Tabella!$G$1:$FG$1,0)-1)=TRUE),0,OFFSET(Tabella!$G$1,MATCH(H82,Tabella!$G:$G,0)-1,MATCH(I82,Tabella!$G$1:$AB$1,0)-1)),4)</f>
        <v>0</v>
      </c>
      <c r="Q82" s="446">
        <f ca="1">ROUND(IF(ISERROR(OFFSET(Ottone!$F$1,MATCH(H82,Ottone!$A:$A,0)-1,MATCH(I82,Ottone!$F$1:$FF$1,0)-1)=TRUE),0,OFFSET(Ottone!$F$1,MATCH(H82,Ottone!$A:$A,0)-1,MATCH(I82,Ottone!$F$1:$FF$1,0)-1))*IF(E82="Ottone",1,0),4)</f>
        <v>0</v>
      </c>
      <c r="R82" s="446">
        <f ca="1">ROUND(IF(ISERROR(OFFSET(Rame!$F$1,MATCH(H82,Rame!$F:$F,0)-1,MATCH(I82,Rame!$F$1:$FF$1,0)-1)=TRUE),0,OFFSET(Rame!$F$1,MATCH(H82,Rame!$F:$F,0)-1,MATCH(I82,Rame!$F$1:$FF$1,0)-1))*IF(E82="Rame",1,0),4)</f>
        <v>0</v>
      </c>
      <c r="S82" s="446">
        <f ca="1">ROUND(IF(ISERROR(OFFSET(Bronzo!$A$1,MATCH(H82,Bronzo!$A:$A,0)-1,MATCH(I82,Bronzo!$A$1:$AA$1,0)-1)=TRUE),0,OFFSET(Bronzo!$A$1,MATCH(H82,Bronzo!$A:$A,0)-1,MATCH(I82,Bronzo!$A$1:$AA$1,0)-1)),4)</f>
        <v>0</v>
      </c>
      <c r="T82" s="446">
        <f t="shared" ca="1" si="46"/>
        <v>0</v>
      </c>
      <c r="U82" s="443"/>
      <c r="V82" s="446">
        <v>0</v>
      </c>
      <c r="W82" s="449">
        <f t="shared" ca="1" si="47"/>
        <v>1.37</v>
      </c>
      <c r="X82" s="452">
        <f t="shared" si="92"/>
        <v>50</v>
      </c>
      <c r="Y82" s="440">
        <v>3.98</v>
      </c>
      <c r="Z82" s="440">
        <f t="shared" ca="1" si="48"/>
        <v>0</v>
      </c>
      <c r="AA82" s="241"/>
      <c r="AE82" s="223" t="s">
        <v>417</v>
      </c>
      <c r="AF82" s="225">
        <f t="shared" ca="1" si="93"/>
        <v>46156</v>
      </c>
      <c r="AG82" s="225" t="b">
        <f t="shared" ref="AG82" si="94">ISBLANK(AA82)</f>
        <v>1</v>
      </c>
      <c r="AH82" s="242" t="str">
        <f t="shared" ref="AH82" si="95">IF(AG82=FALSE,_xlfn.DAYS(AA82,AF82),"")</f>
        <v/>
      </c>
      <c r="AK82" s="223">
        <f t="shared" ref="AK82" si="96">WEEKNUM(AA82)</f>
        <v>0</v>
      </c>
      <c r="AL82" s="223">
        <f t="shared" ref="AL82" si="97">YEAR(AA82)</f>
        <v>1900</v>
      </c>
      <c r="AS82" s="223">
        <f t="shared" ref="AS82" si="98">IF(AA82="",0,MONTH(AA82))</f>
        <v>0</v>
      </c>
      <c r="AT82" s="223">
        <f t="shared" ref="AT82" si="99">IF(AA82="",0,YEAR(AA82))</f>
        <v>0</v>
      </c>
    </row>
    <row r="83" spans="2:46" ht="15.75" x14ac:dyDescent="0.25">
      <c r="B83" s="229" t="s">
        <v>473</v>
      </c>
      <c r="C83" s="230" t="s">
        <v>208</v>
      </c>
      <c r="D83" s="231">
        <v>350</v>
      </c>
      <c r="E83" s="232" t="s">
        <v>4</v>
      </c>
      <c r="F83" s="435">
        <v>2.62</v>
      </c>
      <c r="G83" s="234">
        <v>46094</v>
      </c>
      <c r="H83" s="235" t="s">
        <v>243</v>
      </c>
      <c r="I83" s="235"/>
      <c r="J83" s="440">
        <v>0.05</v>
      </c>
      <c r="K83" s="443">
        <f ca="1">ROUND(IF(ISERROR(OFFSET(Tabella!$A$1,MATCH(H83,Tabella!$A:$A,0)-1,MATCH(J83,Tabella!$A$1:$AC$1,0)-1)=TRUE),0,+OFFSET(Tabella!$A$1,MATCH(H83,Tabella!$A:$A,0)-1,MATCH(J83,Tabella!$A$1:$AC$1,0)-1)),4)</f>
        <v>0</v>
      </c>
      <c r="L83" s="446">
        <f ca="1">ROUND(IF(ISERROR(OFFSET(Ottone!$A$1,MATCH(H83,Ottone!$A:$A,0)-1,MATCH(J83,Ottone!$A$1:$Z$1,0)-1)=TRUE),0,OFFSET(Ottone!$A$1,MATCH(H83,Ottone!$A:$A,0)-1,MATCH(J83,Ottone!$A$1:$Z$1,0)-1))*IF(E83="Ottone",1,0),4)</f>
        <v>0</v>
      </c>
      <c r="M83" s="446">
        <f ca="1">ROUND(IF(ISERROR(OFFSET(Rame!$A$1,MATCH(H83,Rame!$A:$A,0)-1,MATCH(J83,Rame!$A$1:$AA$1,0)-1)=TRUE),0,OFFSET(Rame!$A$1,MATCH(H83,Rame!$A:$A,0)-1,MATCH(J83,Rame!$A$1:$AA$1,0)-1))*IF(E83="Rame",1,0),4)</f>
        <v>0</v>
      </c>
      <c r="N83" s="446">
        <v>0</v>
      </c>
      <c r="O83" s="446">
        <v>1.6</v>
      </c>
      <c r="P83" s="446">
        <f ca="1">ROUND(+IF(ISERROR(OFFSET(Tabella!$G$1,MATCH(H83,Tabella!$G:$G,0)-1,MATCH(I83,Tabella!$G$1:$FG$1,0)-1)=TRUE),0,OFFSET(Tabella!$G$1,MATCH(H83,Tabella!$G:$G,0)-1,MATCH(I83,Tabella!$G$1:$AB$1,0)-1)),4)</f>
        <v>0</v>
      </c>
      <c r="Q83" s="446">
        <f ca="1">ROUND(IF(ISERROR(OFFSET(Ottone!$F$1,MATCH(H83,Ottone!$A:$A,0)-1,MATCH(I83,Ottone!$F$1:$FF$1,0)-1)=TRUE),0,OFFSET(Ottone!$F$1,MATCH(H83,Ottone!$A:$A,0)-1,MATCH(I83,Ottone!$F$1:$FF$1,0)-1))*IF(E83="Ottone",1,0),4)</f>
        <v>0</v>
      </c>
      <c r="R83" s="446">
        <f ca="1">ROUND(IF(ISERROR(OFFSET(Rame!$F$1,MATCH(H83,Rame!$F:$F,0)-1,MATCH(I83,Rame!$F$1:$FF$1,0)-1)=TRUE),0,OFFSET(Rame!$F$1,MATCH(H83,Rame!$F:$F,0)-1,MATCH(I83,Rame!$F$1:$FF$1,0)-1))*IF(E83="Rame",1,0),4)</f>
        <v>0</v>
      </c>
      <c r="S83" s="446">
        <f ca="1">ROUND(IF(ISERROR(OFFSET(Bronzo!$A$1,MATCH(H83,Bronzo!$A:$A,0)-1,MATCH(I83,Bronzo!$A$1:$AA$1,0)-1)=TRUE),0,OFFSET(Bronzo!$A$1,MATCH(H83,Bronzo!$A:$A,0)-1,MATCH(I83,Bronzo!$A$1:$AA$1,0)-1)),4)</f>
        <v>0</v>
      </c>
      <c r="T83" s="446">
        <f t="shared" ca="1" si="46"/>
        <v>0</v>
      </c>
      <c r="U83" s="443"/>
      <c r="V83" s="446">
        <v>0</v>
      </c>
      <c r="W83" s="449">
        <f t="shared" ca="1" si="47"/>
        <v>1.6</v>
      </c>
      <c r="X83" s="452">
        <f t="shared" si="92"/>
        <v>17.5</v>
      </c>
      <c r="Y83" s="440">
        <v>4.2</v>
      </c>
      <c r="Z83" s="440">
        <f t="shared" ca="1" si="48"/>
        <v>-0.02</v>
      </c>
      <c r="AA83" s="241"/>
      <c r="AF83" s="225">
        <f t="shared" ca="1" si="93"/>
        <v>46156</v>
      </c>
      <c r="AG83" s="225" t="b">
        <f t="shared" ref="AG83" si="100">ISBLANK(AA83)</f>
        <v>1</v>
      </c>
      <c r="AH83" s="242" t="str">
        <f t="shared" ref="AH83" si="101">IF(AG83=FALSE,_xlfn.DAYS(AA83,AF83),"")</f>
        <v/>
      </c>
      <c r="AK83" s="223">
        <f t="shared" ref="AK83" si="102">WEEKNUM(AA83)</f>
        <v>0</v>
      </c>
      <c r="AL83" s="223">
        <f t="shared" ref="AL83" si="103">YEAR(AA83)</f>
        <v>1900</v>
      </c>
      <c r="AS83" s="223">
        <f t="shared" ref="AS83" si="104">IF(AA83="",0,MONTH(AA83))</f>
        <v>0</v>
      </c>
      <c r="AT83" s="223">
        <f t="shared" ref="AT83" si="105">IF(AA83="",0,YEAR(AA83))</f>
        <v>0</v>
      </c>
    </row>
    <row r="84" spans="2:46" ht="15.75" x14ac:dyDescent="0.25">
      <c r="B84" s="229" t="s">
        <v>475</v>
      </c>
      <c r="C84" s="235" t="s">
        <v>92</v>
      </c>
      <c r="D84" s="243">
        <v>1500</v>
      </c>
      <c r="E84" s="232" t="s">
        <v>4</v>
      </c>
      <c r="F84" s="435">
        <v>3.04</v>
      </c>
      <c r="G84" s="234">
        <v>46097</v>
      </c>
      <c r="H84" s="235" t="s">
        <v>28</v>
      </c>
      <c r="I84" s="235"/>
      <c r="J84" s="440">
        <v>7.0000000000000007E-2</v>
      </c>
      <c r="K84" s="443">
        <f ca="1">ROUND(IF(ISERROR(OFFSET(Tabella!$A$1,MATCH(H84,Tabella!$A:$A,0)-1,MATCH(J84,Tabella!$A$1:$AC$1,0)-1)=TRUE),0,+OFFSET(Tabella!$A$1,MATCH(H84,Tabella!$A:$A,0)-1,MATCH(J84,Tabella!$A$1:$AC$1,0)-1)),4)</f>
        <v>1.25</v>
      </c>
      <c r="L84" s="446">
        <f ca="1">ROUND(IF(ISERROR(OFFSET(Ottone!$A$1,MATCH(H84,Ottone!$A:$A,0)-1,MATCH(J84,Ottone!$A$1:$Z$1,0)-1)=TRUE),0,OFFSET(Ottone!$A$1,MATCH(H84,Ottone!$A:$A,0)-1,MATCH(J84,Ottone!$A$1:$Z$1,0)-1))*IF(E84="Ottone",1,0),4)</f>
        <v>0</v>
      </c>
      <c r="M84" s="446">
        <f ca="1">ROUND(IF(ISERROR(OFFSET(Rame!$A$1,MATCH(H84,Rame!$A:$A,0)-1,MATCH(J84,Rame!$A$1:$AA$1,0)-1)=TRUE),0,OFFSET(Rame!$A$1,MATCH(H84,Rame!$A:$A,0)-1,MATCH(J84,Rame!$A$1:$AA$1,0)-1))*IF(E84="Rame",1,0),4)</f>
        <v>0</v>
      </c>
      <c r="N84" s="446">
        <v>0</v>
      </c>
      <c r="O84" s="446">
        <f ca="1">ROUND(SUM(K84:N84),4)</f>
        <v>1.25</v>
      </c>
      <c r="P84" s="446">
        <f ca="1">ROUND(+IF(ISERROR(OFFSET(Tabella!$G$1,MATCH(H84,Tabella!$G:$G,0)-1,MATCH(I84,Tabella!$G$1:$FG$1,0)-1)=TRUE),0,OFFSET(Tabella!$G$1,MATCH(H84,Tabella!$G:$G,0)-1,MATCH(I84,Tabella!$G$1:$AB$1,0)-1)),4)</f>
        <v>0</v>
      </c>
      <c r="Q84" s="446">
        <f ca="1">ROUND(IF(ISERROR(OFFSET(Ottone!$F$1,MATCH(H84,Ottone!$A:$A,0)-1,MATCH(I84,Ottone!$F$1:$FF$1,0)-1)=TRUE),0,OFFSET(Ottone!$F$1,MATCH(H84,Ottone!$A:$A,0)-1,MATCH(I84,Ottone!$F$1:$FF$1,0)-1))*IF(E84="Ottone",1,0),4)</f>
        <v>0</v>
      </c>
      <c r="R84" s="446">
        <f ca="1">ROUND(IF(ISERROR(OFFSET(Rame!$F$1,MATCH(H84,Rame!$F:$F,0)-1,MATCH(I84,Rame!$F$1:$FF$1,0)-1)=TRUE),0,OFFSET(Rame!$F$1,MATCH(H84,Rame!$F:$F,0)-1,MATCH(I84,Rame!$F$1:$FF$1,0)-1))*IF(E84="Rame",1,0),4)</f>
        <v>0</v>
      </c>
      <c r="S84" s="446">
        <f ca="1">ROUND(IF(ISERROR(OFFSET(Bronzo!$A$1,MATCH(H84,Bronzo!$A:$A,0)-1,MATCH(I84,Bronzo!$A$1:$AA$1,0)-1)=TRUE),0,OFFSET(Bronzo!$A$1,MATCH(H84,Bronzo!$A:$A,0)-1,MATCH(I84,Bronzo!$A$1:$AA$1,0)-1)),4)</f>
        <v>0</v>
      </c>
      <c r="T84" s="446">
        <f t="shared" ca="1" si="46"/>
        <v>0</v>
      </c>
      <c r="U84" s="443"/>
      <c r="V84" s="446">
        <v>0</v>
      </c>
      <c r="W84" s="449">
        <f t="shared" ca="1" si="47"/>
        <v>1.25</v>
      </c>
      <c r="X84" s="452">
        <f t="shared" si="92"/>
        <v>105</v>
      </c>
      <c r="Y84" s="440">
        <v>4.6399999999999997</v>
      </c>
      <c r="Z84" s="440">
        <f t="shared" ca="1" si="48"/>
        <v>0.35</v>
      </c>
      <c r="AA84" s="241">
        <v>46147</v>
      </c>
      <c r="AF84" s="225">
        <f t="shared" ca="1" si="93"/>
        <v>46156</v>
      </c>
      <c r="AG84" s="225" t="b">
        <f t="shared" si="80"/>
        <v>0</v>
      </c>
      <c r="AH84" s="242">
        <f t="shared" ca="1" si="81"/>
        <v>-9</v>
      </c>
      <c r="AK84" s="223">
        <f t="shared" si="82"/>
        <v>19</v>
      </c>
      <c r="AL84" s="223">
        <f t="shared" si="83"/>
        <v>2026</v>
      </c>
      <c r="AS84" s="223">
        <f t="shared" si="84"/>
        <v>5</v>
      </c>
      <c r="AT84" s="223">
        <f t="shared" si="85"/>
        <v>2026</v>
      </c>
    </row>
    <row r="85" spans="2:46" ht="15.75" x14ac:dyDescent="0.25">
      <c r="B85" s="229" t="s">
        <v>474</v>
      </c>
      <c r="C85" s="235" t="s">
        <v>263</v>
      </c>
      <c r="D85" s="243">
        <v>2300</v>
      </c>
      <c r="E85" s="232" t="s">
        <v>4</v>
      </c>
      <c r="F85" s="435">
        <v>2.61</v>
      </c>
      <c r="G85" s="234">
        <v>46094</v>
      </c>
      <c r="H85" s="235" t="s">
        <v>30</v>
      </c>
      <c r="I85" s="235"/>
      <c r="J85" s="440">
        <v>7.0000000000000007E-2</v>
      </c>
      <c r="K85" s="443">
        <f ca="1">ROUND(IF(ISERROR(OFFSET(Tabella!$A$1,MATCH(H85,Tabella!$A:$A,0)-1,MATCH(J85,Tabella!$A$1:$AC$1,0)-1)=TRUE),0,+OFFSET(Tabella!$A$1,MATCH(H85,Tabella!$A:$A,0)-1,MATCH(J85,Tabella!$A$1:$AC$1,0)-1)),4)</f>
        <v>1.3</v>
      </c>
      <c r="L85" s="446">
        <f ca="1">ROUND(IF(ISERROR(OFFSET(Ottone!$A$1,MATCH(H85,Ottone!$A:$A,0)-1,MATCH(J85,Ottone!$A$1:$Z$1,0)-1)=TRUE),0,OFFSET(Ottone!$A$1,MATCH(H85,Ottone!$A:$A,0)-1,MATCH(J85,Ottone!$A$1:$Z$1,0)-1))*IF(E85="Ottone",1,0),4)</f>
        <v>0</v>
      </c>
      <c r="M85" s="446">
        <f ca="1">ROUND(IF(ISERROR(OFFSET(Rame!$A$1,MATCH(H85,Rame!$A:$A,0)-1,MATCH(J85,Rame!$A$1:$AA$1,0)-1)=TRUE),0,OFFSET(Rame!$A$1,MATCH(H85,Rame!$A:$A,0)-1,MATCH(J85,Rame!$A$1:$AA$1,0)-1))*IF(E85="Rame",1,0),4)</f>
        <v>0</v>
      </c>
      <c r="N85" s="446">
        <v>0</v>
      </c>
      <c r="O85" s="446">
        <v>1.57</v>
      </c>
      <c r="P85" s="446">
        <f ca="1">ROUND(+IF(ISERROR(OFFSET(Tabella!$G$1,MATCH(H85,Tabella!$G:$G,0)-1,MATCH(I85,Tabella!$G$1:$FG$1,0)-1)=TRUE),0,OFFSET(Tabella!$G$1,MATCH(H85,Tabella!$G:$G,0)-1,MATCH(I85,Tabella!$G$1:$AB$1,0)-1)),4)</f>
        <v>0</v>
      </c>
      <c r="Q85" s="446">
        <f ca="1">ROUND(IF(ISERROR(OFFSET(Ottone!$F$1,MATCH(H85,Ottone!$A:$A,0)-1,MATCH(I85,Ottone!$F$1:$FF$1,0)-1)=TRUE),0,OFFSET(Ottone!$F$1,MATCH(H85,Ottone!$A:$A,0)-1,MATCH(I85,Ottone!$F$1:$FF$1,0)-1))*IF(E85="Ottone",1,0),4)</f>
        <v>0</v>
      </c>
      <c r="R85" s="446">
        <f ca="1">ROUND(IF(ISERROR(OFFSET(Rame!$F$1,MATCH(H85,Rame!$F:$F,0)-1,MATCH(I85,Rame!$F$1:$FF$1,0)-1)=TRUE),0,OFFSET(Rame!$F$1,MATCH(H85,Rame!$F:$F,0)-1,MATCH(I85,Rame!$F$1:$FF$1,0)-1))*IF(E85="Rame",1,0),4)</f>
        <v>0</v>
      </c>
      <c r="S85" s="446">
        <f ca="1">ROUND(IF(ISERROR(OFFSET(Bronzo!$A$1,MATCH(H85,Bronzo!$A:$A,0)-1,MATCH(I85,Bronzo!$A$1:$AA$1,0)-1)=TRUE),0,OFFSET(Bronzo!$A$1,MATCH(H85,Bronzo!$A:$A,0)-1,MATCH(I85,Bronzo!$A$1:$AA$1,0)-1)),4)</f>
        <v>0</v>
      </c>
      <c r="T85" s="446">
        <f t="shared" ca="1" si="46"/>
        <v>0</v>
      </c>
      <c r="U85" s="443"/>
      <c r="V85" s="446">
        <v>0</v>
      </c>
      <c r="W85" s="449">
        <f t="shared" ca="1" si="47"/>
        <v>1.57</v>
      </c>
      <c r="X85" s="452">
        <f t="shared" si="92"/>
        <v>161</v>
      </c>
      <c r="Y85" s="440">
        <v>4.18</v>
      </c>
      <c r="Z85" s="440">
        <f t="shared" ca="1" si="48"/>
        <v>0</v>
      </c>
      <c r="AA85" s="241">
        <v>46150</v>
      </c>
      <c r="AF85" s="225">
        <f t="shared" ca="1" si="93"/>
        <v>46156</v>
      </c>
      <c r="AG85" s="225" t="b">
        <f t="shared" si="80"/>
        <v>0</v>
      </c>
      <c r="AH85" s="242">
        <f t="shared" ca="1" si="81"/>
        <v>-6</v>
      </c>
      <c r="AK85" s="223">
        <f t="shared" si="82"/>
        <v>19</v>
      </c>
      <c r="AL85" s="223">
        <f t="shared" si="83"/>
        <v>2026</v>
      </c>
      <c r="AS85" s="223">
        <f t="shared" si="84"/>
        <v>5</v>
      </c>
      <c r="AT85" s="223">
        <f t="shared" si="85"/>
        <v>2026</v>
      </c>
    </row>
    <row r="86" spans="2:46" ht="15.75" x14ac:dyDescent="0.25">
      <c r="B86" s="229" t="s">
        <v>560</v>
      </c>
      <c r="C86" s="244" t="s">
        <v>263</v>
      </c>
      <c r="D86" s="245">
        <v>903</v>
      </c>
      <c r="E86" s="232" t="s">
        <v>4</v>
      </c>
      <c r="F86" s="435">
        <v>2.61</v>
      </c>
      <c r="G86" s="234">
        <v>46094</v>
      </c>
      <c r="H86" s="235" t="s">
        <v>13</v>
      </c>
      <c r="I86" s="235"/>
      <c r="J86" s="440">
        <v>7.0000000000000007E-2</v>
      </c>
      <c r="K86" s="443">
        <f ca="1">ROUND(IF(ISERROR(OFFSET(Tabella!$A$1,MATCH(H86,Tabella!$A:$A,0)-1,MATCH(J86,Tabella!$A$1:$AC$1,0)-1)=TRUE),0,+OFFSET(Tabella!$A$1,MATCH(H86,Tabella!$A:$A,0)-1,MATCH(J86,Tabella!$A$1:$AC$1,0)-1)),4)</f>
        <v>1.4</v>
      </c>
      <c r="L86" s="446">
        <f ca="1">ROUND(IF(ISERROR(OFFSET(Ottone!$A$1,MATCH(H86,Ottone!$A:$A,0)-1,MATCH(J86,Ottone!$A$1:$Z$1,0)-1)=TRUE),0,OFFSET(Ottone!$A$1,MATCH(H86,Ottone!$A:$A,0)-1,MATCH(J86,Ottone!$A$1:$Z$1,0)-1))*IF(E86="Ottone",1,0),4)</f>
        <v>0</v>
      </c>
      <c r="M86" s="446">
        <f ca="1">ROUND(IF(ISERROR(OFFSET(Rame!$A$1,MATCH(H86,Rame!$A:$A,0)-1,MATCH(J86,Rame!$A$1:$AA$1,0)-1)=TRUE),0,OFFSET(Rame!$A$1,MATCH(H86,Rame!$A:$A,0)-1,MATCH(J86,Rame!$A$1:$AA$1,0)-1))*IF(E86="Rame",1,0),4)</f>
        <v>0</v>
      </c>
      <c r="N86" s="446">
        <v>0</v>
      </c>
      <c r="O86" s="446">
        <v>1.65</v>
      </c>
      <c r="P86" s="446">
        <f ca="1">ROUND(+IF(ISERROR(OFFSET(Tabella!$G$1,MATCH(H86,Tabella!$G:$G,0)-1,MATCH(I86,Tabella!$G$1:$FG$1,0)-1)=TRUE),0,OFFSET(Tabella!$G$1,MATCH(H86,Tabella!$G:$G,0)-1,MATCH(I86,Tabella!$G$1:$AB$1,0)-1)),4)</f>
        <v>0</v>
      </c>
      <c r="Q86" s="446">
        <f ca="1">ROUND(IF(ISERROR(OFFSET(Ottone!$F$1,MATCH(H86,Ottone!$A:$A,0)-1,MATCH(I86,Ottone!$F$1:$FF$1,0)-1)=TRUE),0,OFFSET(Ottone!$F$1,MATCH(H86,Ottone!$A:$A,0)-1,MATCH(I86,Ottone!$F$1:$FF$1,0)-1))*IF(E86="Ottone",1,0),4)</f>
        <v>0</v>
      </c>
      <c r="R86" s="446">
        <f ca="1">ROUND(IF(ISERROR(OFFSET(Rame!$F$1,MATCH(H86,Rame!$F:$F,0)-1,MATCH(I86,Rame!$F$1:$FF$1,0)-1)=TRUE),0,OFFSET(Rame!$F$1,MATCH(H86,Rame!$F:$F,0)-1,MATCH(I86,Rame!$F$1:$FF$1,0)-1))*IF(E86="Rame",1,0),4)</f>
        <v>0</v>
      </c>
      <c r="S86" s="446">
        <f ca="1">ROUND(IF(ISERROR(OFFSET(Bronzo!$A$1,MATCH(H86,Bronzo!$A:$A,0)-1,MATCH(I86,Bronzo!$A$1:$AA$1,0)-1)=TRUE),0,OFFSET(Bronzo!$A$1,MATCH(H86,Bronzo!$A:$A,0)-1,MATCH(I86,Bronzo!$A$1:$AA$1,0)-1)),4)</f>
        <v>0</v>
      </c>
      <c r="T86" s="446">
        <f t="shared" ca="1" si="46"/>
        <v>0</v>
      </c>
      <c r="U86" s="443"/>
      <c r="V86" s="446">
        <v>0</v>
      </c>
      <c r="W86" s="449">
        <f t="shared" ca="1" si="47"/>
        <v>1.65</v>
      </c>
      <c r="X86" s="454">
        <f t="shared" si="92"/>
        <v>63.21</v>
      </c>
      <c r="Y86" s="440">
        <v>4.33</v>
      </c>
      <c r="Z86" s="440">
        <f t="shared" ca="1" si="48"/>
        <v>7.0000000000000007E-2</v>
      </c>
      <c r="AA86" s="241"/>
      <c r="AD86" s="223" t="s">
        <v>403</v>
      </c>
      <c r="AF86" s="225">
        <f t="shared" ca="1" si="93"/>
        <v>46156</v>
      </c>
      <c r="AG86" s="225" t="b">
        <f t="shared" si="80"/>
        <v>1</v>
      </c>
      <c r="AH86" s="242" t="str">
        <f t="shared" si="81"/>
        <v/>
      </c>
      <c r="AK86" s="223">
        <f t="shared" si="82"/>
        <v>0</v>
      </c>
      <c r="AL86" s="223">
        <f t="shared" si="83"/>
        <v>1900</v>
      </c>
      <c r="AS86" s="223">
        <f t="shared" si="84"/>
        <v>0</v>
      </c>
      <c r="AT86" s="223">
        <f t="shared" si="85"/>
        <v>0</v>
      </c>
    </row>
    <row r="87" spans="2:46" ht="15.75" x14ac:dyDescent="0.25">
      <c r="B87" s="229" t="s">
        <v>553</v>
      </c>
      <c r="C87" s="244" t="s">
        <v>263</v>
      </c>
      <c r="D87" s="245">
        <v>686</v>
      </c>
      <c r="E87" s="232" t="s">
        <v>4</v>
      </c>
      <c r="F87" s="435">
        <v>2.61</v>
      </c>
      <c r="G87" s="234">
        <v>46094</v>
      </c>
      <c r="H87" s="235" t="s">
        <v>25</v>
      </c>
      <c r="I87" s="235"/>
      <c r="J87" s="440">
        <v>7.0000000000000007E-2</v>
      </c>
      <c r="K87" s="443">
        <f ca="1">ROUND(IF(ISERROR(OFFSET(Tabella!$A$1,MATCH(H87,Tabella!$A:$A,0)-1,MATCH(J87,Tabella!$A$1:$AC$1,0)-1)=TRUE),0,+OFFSET(Tabella!$A$1,MATCH(H87,Tabella!$A:$A,0)-1,MATCH(J87,Tabella!$A$1:$AC$1,0)-1)),4)</f>
        <v>1.25</v>
      </c>
      <c r="L87" s="446">
        <f ca="1">ROUND(IF(ISERROR(OFFSET(Ottone!$A$1,MATCH(H87,Ottone!$A:$A,0)-1,MATCH(J87,Ottone!$A$1:$Z$1,0)-1)=TRUE),0,OFFSET(Ottone!$A$1,MATCH(H87,Ottone!$A:$A,0)-1,MATCH(J87,Ottone!$A$1:$Z$1,0)-1))*IF(E87="Ottone",1,0),4)</f>
        <v>0</v>
      </c>
      <c r="M87" s="446">
        <f ca="1">ROUND(IF(ISERROR(OFFSET(Rame!$A$1,MATCH(H87,Rame!$A:$A,0)-1,MATCH(J87,Rame!$A$1:$AA$1,0)-1)=TRUE),0,OFFSET(Rame!$A$1,MATCH(H87,Rame!$A:$A,0)-1,MATCH(J87,Rame!$A$1:$AA$1,0)-1))*IF(E87="Rame",1,0),4)</f>
        <v>0</v>
      </c>
      <c r="N87" s="446">
        <v>0</v>
      </c>
      <c r="O87" s="446">
        <v>1.5</v>
      </c>
      <c r="P87" s="446">
        <f ca="1">ROUND(+IF(ISERROR(OFFSET(Tabella!$G$1,MATCH(H87,Tabella!$G:$G,0)-1,MATCH(I87,Tabella!$G$1:$FG$1,0)-1)=TRUE),0,OFFSET(Tabella!$G$1,MATCH(H87,Tabella!$G:$G,0)-1,MATCH(I87,Tabella!$G$1:$AB$1,0)-1)),4)</f>
        <v>0</v>
      </c>
      <c r="Q87" s="446">
        <f ca="1">ROUND(IF(ISERROR(OFFSET(Ottone!$F$1,MATCH(H87,Ottone!$A:$A,0)-1,MATCH(I87,Ottone!$F$1:$FF$1,0)-1)=TRUE),0,OFFSET(Ottone!$F$1,MATCH(H87,Ottone!$A:$A,0)-1,MATCH(I87,Ottone!$F$1:$FF$1,0)-1))*IF(E87="Ottone",1,0),4)</f>
        <v>0</v>
      </c>
      <c r="R87" s="446">
        <f ca="1">ROUND(IF(ISERROR(OFFSET(Rame!$F$1,MATCH(H87,Rame!$F:$F,0)-1,MATCH(I87,Rame!$F$1:$FF$1,0)-1)=TRUE),0,OFFSET(Rame!$F$1,MATCH(H87,Rame!$F:$F,0)-1,MATCH(I87,Rame!$F$1:$FF$1,0)-1))*IF(E87="Rame",1,0),4)</f>
        <v>0</v>
      </c>
      <c r="S87" s="446">
        <f ca="1">ROUND(IF(ISERROR(OFFSET(Bronzo!$A$1,MATCH(H87,Bronzo!$A:$A,0)-1,MATCH(I87,Bronzo!$A$1:$AA$1,0)-1)=TRUE),0,OFFSET(Bronzo!$A$1,MATCH(H87,Bronzo!$A:$A,0)-1,MATCH(I87,Bronzo!$A$1:$AA$1,0)-1)),4)</f>
        <v>0</v>
      </c>
      <c r="T87" s="446">
        <f t="shared" ref="T87:T150" ca="1" si="106">ROUND(SUM(P87:S87),4)</f>
        <v>0</v>
      </c>
      <c r="U87" s="443"/>
      <c r="V87" s="446">
        <v>0</v>
      </c>
      <c r="W87" s="449">
        <f t="shared" ref="W87:W150" ca="1" si="107">ROUND(+O87+T87+U87+V87,4)</f>
        <v>1.5</v>
      </c>
      <c r="X87" s="454">
        <f t="shared" si="92"/>
        <v>48.02</v>
      </c>
      <c r="Y87" s="440">
        <v>4.18</v>
      </c>
      <c r="Z87" s="440">
        <f t="shared" ref="Z87:Z150" ca="1" si="108">ROUND(+Y87-W87-F87,4)</f>
        <v>7.0000000000000007E-2</v>
      </c>
      <c r="AA87" s="241"/>
      <c r="AD87" s="223" t="s">
        <v>403</v>
      </c>
      <c r="AF87" s="225">
        <f t="shared" ca="1" si="93"/>
        <v>46156</v>
      </c>
      <c r="AG87" s="225" t="b">
        <f t="shared" si="80"/>
        <v>1</v>
      </c>
      <c r="AH87" s="242" t="str">
        <f t="shared" si="81"/>
        <v/>
      </c>
      <c r="AK87" s="223">
        <f t="shared" si="82"/>
        <v>0</v>
      </c>
      <c r="AL87" s="223">
        <f t="shared" si="83"/>
        <v>1900</v>
      </c>
      <c r="AS87" s="223">
        <f t="shared" si="84"/>
        <v>0</v>
      </c>
      <c r="AT87" s="223">
        <f t="shared" si="85"/>
        <v>0</v>
      </c>
    </row>
    <row r="88" spans="2:46" ht="15.75" x14ac:dyDescent="0.25">
      <c r="B88" s="229" t="s">
        <v>553</v>
      </c>
      <c r="C88" s="244" t="s">
        <v>263</v>
      </c>
      <c r="D88" s="245">
        <v>1486</v>
      </c>
      <c r="E88" s="232" t="s">
        <v>4</v>
      </c>
      <c r="F88" s="435">
        <v>2.61</v>
      </c>
      <c r="G88" s="234">
        <v>46094</v>
      </c>
      <c r="H88" s="235" t="s">
        <v>322</v>
      </c>
      <c r="I88" s="235"/>
      <c r="J88" s="440">
        <v>7.0000000000000007E-2</v>
      </c>
      <c r="K88" s="443">
        <f ca="1">ROUND(IF(ISERROR(OFFSET(Tabella!$A$1,MATCH(H88,Tabella!$A:$A,0)-1,MATCH(J88,Tabella!$A$1:$AC$1,0)-1)=TRUE),0,+OFFSET(Tabella!$A$1,MATCH(H88,Tabella!$A:$A,0)-1,MATCH(J88,Tabella!$A$1:$AC$1,0)-1)),4)</f>
        <v>1.25</v>
      </c>
      <c r="L88" s="446">
        <f ca="1">ROUND(IF(ISERROR(OFFSET(Ottone!$A$1,MATCH(H88,Ottone!$A:$A,0)-1,MATCH(J88,Ottone!$A$1:$Z$1,0)-1)=TRUE),0,OFFSET(Ottone!$A$1,MATCH(H88,Ottone!$A:$A,0)-1,MATCH(J88,Ottone!$A$1:$Z$1,0)-1))*IF(E88="Ottone",1,0),4)</f>
        <v>0</v>
      </c>
      <c r="M88" s="446">
        <f ca="1">ROUND(IF(ISERROR(OFFSET(Rame!$A$1,MATCH(H88,Rame!$A:$A,0)-1,MATCH(J88,Rame!$A$1:$AA$1,0)-1)=TRUE),0,OFFSET(Rame!$A$1,MATCH(H88,Rame!$A:$A,0)-1,MATCH(J88,Rame!$A$1:$AA$1,0)-1))*IF(E88="Rame",1,0),4)</f>
        <v>0</v>
      </c>
      <c r="N88" s="446">
        <v>0</v>
      </c>
      <c r="O88" s="446">
        <v>1.5</v>
      </c>
      <c r="P88" s="446">
        <f ca="1">ROUND(+IF(ISERROR(OFFSET(Tabella!$G$1,MATCH(H88,Tabella!$G:$G,0)-1,MATCH(I88,Tabella!$G$1:$FG$1,0)-1)=TRUE),0,OFFSET(Tabella!$G$1,MATCH(H88,Tabella!$G:$G,0)-1,MATCH(I88,Tabella!$G$1:$AB$1,0)-1)),4)</f>
        <v>0</v>
      </c>
      <c r="Q88" s="446">
        <f ca="1">ROUND(IF(ISERROR(OFFSET(Ottone!$F$1,MATCH(H88,Ottone!$A:$A,0)-1,MATCH(I88,Ottone!$F$1:$FF$1,0)-1)=TRUE),0,OFFSET(Ottone!$F$1,MATCH(H88,Ottone!$A:$A,0)-1,MATCH(I88,Ottone!$F$1:$FF$1,0)-1))*IF(E88="Ottone",1,0),4)</f>
        <v>0</v>
      </c>
      <c r="R88" s="446">
        <f ca="1">ROUND(IF(ISERROR(OFFSET(Rame!$F$1,MATCH(H88,Rame!$F:$F,0)-1,MATCH(I88,Rame!$F$1:$FF$1,0)-1)=TRUE),0,OFFSET(Rame!$F$1,MATCH(H88,Rame!$F:$F,0)-1,MATCH(I88,Rame!$F$1:$FF$1,0)-1))*IF(E88="Rame",1,0),4)</f>
        <v>0</v>
      </c>
      <c r="S88" s="446">
        <f ca="1">ROUND(IF(ISERROR(OFFSET(Bronzo!$A$1,MATCH(H88,Bronzo!$A:$A,0)-1,MATCH(I88,Bronzo!$A$1:$AA$1,0)-1)=TRUE),0,OFFSET(Bronzo!$A$1,MATCH(H88,Bronzo!$A:$A,0)-1,MATCH(I88,Bronzo!$A$1:$AA$1,0)-1)),4)</f>
        <v>0</v>
      </c>
      <c r="T88" s="446">
        <f t="shared" ca="1" si="106"/>
        <v>0</v>
      </c>
      <c r="U88" s="443"/>
      <c r="V88" s="446">
        <v>0</v>
      </c>
      <c r="W88" s="449">
        <f t="shared" ca="1" si="107"/>
        <v>1.5</v>
      </c>
      <c r="X88" s="454">
        <f t="shared" si="92"/>
        <v>104.02</v>
      </c>
      <c r="Y88" s="440">
        <v>4.18</v>
      </c>
      <c r="Z88" s="440">
        <f t="shared" ca="1" si="108"/>
        <v>7.0000000000000007E-2</v>
      </c>
      <c r="AA88" s="241"/>
      <c r="AD88" s="223" t="s">
        <v>403</v>
      </c>
      <c r="AF88" s="225">
        <f t="shared" ca="1" si="93"/>
        <v>46156</v>
      </c>
      <c r="AG88" s="225" t="b">
        <f t="shared" si="80"/>
        <v>1</v>
      </c>
      <c r="AH88" s="242" t="str">
        <f t="shared" si="81"/>
        <v/>
      </c>
      <c r="AK88" s="223">
        <f t="shared" si="82"/>
        <v>0</v>
      </c>
      <c r="AL88" s="223">
        <f t="shared" si="83"/>
        <v>1900</v>
      </c>
      <c r="AS88" s="223">
        <f t="shared" si="84"/>
        <v>0</v>
      </c>
      <c r="AT88" s="223">
        <f t="shared" si="85"/>
        <v>0</v>
      </c>
    </row>
    <row r="89" spans="2:46" ht="15.75" x14ac:dyDescent="0.25">
      <c r="B89" s="229" t="s">
        <v>509</v>
      </c>
      <c r="C89" s="244" t="s">
        <v>263</v>
      </c>
      <c r="D89" s="245">
        <v>790</v>
      </c>
      <c r="E89" s="232" t="s">
        <v>4</v>
      </c>
      <c r="F89" s="435">
        <v>2.61</v>
      </c>
      <c r="G89" s="234">
        <v>46094</v>
      </c>
      <c r="H89" s="235" t="s">
        <v>314</v>
      </c>
      <c r="I89" s="235"/>
      <c r="J89" s="440">
        <v>7.0000000000000007E-2</v>
      </c>
      <c r="K89" s="443">
        <f ca="1">ROUND(IF(ISERROR(OFFSET(Tabella!$A$1,MATCH(H89,Tabella!$A:$A,0)-1,MATCH(J89,Tabella!$A$1:$AC$1,0)-1)=TRUE),0,+OFFSET(Tabella!$A$1,MATCH(H89,Tabella!$A:$A,0)-1,MATCH(J89,Tabella!$A$1:$AC$1,0)-1)),4)</f>
        <v>1.25</v>
      </c>
      <c r="L89" s="446">
        <f ca="1">ROUND(IF(ISERROR(OFFSET(Ottone!$A$1,MATCH(H89,Ottone!$A:$A,0)-1,MATCH(J89,Ottone!$A$1:$Z$1,0)-1)=TRUE),0,OFFSET(Ottone!$A$1,MATCH(H89,Ottone!$A:$A,0)-1,MATCH(J89,Ottone!$A$1:$Z$1,0)-1))*IF(E89="Ottone",1,0),4)</f>
        <v>0</v>
      </c>
      <c r="M89" s="446">
        <f ca="1">ROUND(IF(ISERROR(OFFSET(Rame!$A$1,MATCH(H89,Rame!$A:$A,0)-1,MATCH(J89,Rame!$A$1:$AA$1,0)-1)=TRUE),0,OFFSET(Rame!$A$1,MATCH(H89,Rame!$A:$A,0)-1,MATCH(J89,Rame!$A$1:$AA$1,0)-1))*IF(E89="Rame",1,0),4)</f>
        <v>0</v>
      </c>
      <c r="N89" s="446">
        <v>0</v>
      </c>
      <c r="O89" s="446">
        <v>1.5</v>
      </c>
      <c r="P89" s="446">
        <f ca="1">ROUND(+IF(ISERROR(OFFSET(Tabella!$G$1,MATCH(H89,Tabella!$G:$G,0)-1,MATCH(I89,Tabella!$G$1:$FG$1,0)-1)=TRUE),0,OFFSET(Tabella!$G$1,MATCH(H89,Tabella!$G:$G,0)-1,MATCH(I89,Tabella!$G$1:$AB$1,0)-1)),4)</f>
        <v>0</v>
      </c>
      <c r="Q89" s="446">
        <f ca="1">ROUND(IF(ISERROR(OFFSET(Ottone!$F$1,MATCH(H89,Ottone!$A:$A,0)-1,MATCH(I89,Ottone!$F$1:$FF$1,0)-1)=TRUE),0,OFFSET(Ottone!$F$1,MATCH(H89,Ottone!$A:$A,0)-1,MATCH(I89,Ottone!$F$1:$FF$1,0)-1))*IF(E89="Ottone",1,0),4)</f>
        <v>0</v>
      </c>
      <c r="R89" s="446">
        <f ca="1">ROUND(IF(ISERROR(OFFSET(Rame!$F$1,MATCH(H89,Rame!$F:$F,0)-1,MATCH(I89,Rame!$F$1:$FF$1,0)-1)=TRUE),0,OFFSET(Rame!$F$1,MATCH(H89,Rame!$F:$F,0)-1,MATCH(I89,Rame!$F$1:$FF$1,0)-1))*IF(E89="Rame",1,0),4)</f>
        <v>0</v>
      </c>
      <c r="S89" s="446">
        <f ca="1">ROUND(IF(ISERROR(OFFSET(Bronzo!$A$1,MATCH(H89,Bronzo!$A:$A,0)-1,MATCH(I89,Bronzo!$A$1:$AA$1,0)-1)=TRUE),0,OFFSET(Bronzo!$A$1,MATCH(H89,Bronzo!$A:$A,0)-1,MATCH(I89,Bronzo!$A$1:$AA$1,0)-1)),4)</f>
        <v>0</v>
      </c>
      <c r="T89" s="446">
        <f t="shared" ca="1" si="106"/>
        <v>0</v>
      </c>
      <c r="U89" s="443"/>
      <c r="V89" s="446">
        <v>0</v>
      </c>
      <c r="W89" s="449">
        <f t="shared" ca="1" si="107"/>
        <v>1.5</v>
      </c>
      <c r="X89" s="454">
        <f t="shared" si="92"/>
        <v>55.3</v>
      </c>
      <c r="Y89" s="440">
        <v>4.18</v>
      </c>
      <c r="Z89" s="440">
        <f t="shared" ca="1" si="108"/>
        <v>7.0000000000000007E-2</v>
      </c>
      <c r="AA89" s="241"/>
      <c r="AD89" s="223" t="s">
        <v>403</v>
      </c>
      <c r="AF89" s="225">
        <f t="shared" ca="1" si="93"/>
        <v>46156</v>
      </c>
      <c r="AG89" s="225" t="b">
        <f t="shared" si="80"/>
        <v>1</v>
      </c>
      <c r="AH89" s="242" t="str">
        <f t="shared" si="81"/>
        <v/>
      </c>
      <c r="AK89" s="223">
        <f t="shared" si="82"/>
        <v>0</v>
      </c>
      <c r="AL89" s="223">
        <f t="shared" si="83"/>
        <v>1900</v>
      </c>
      <c r="AS89" s="223">
        <f t="shared" si="84"/>
        <v>0</v>
      </c>
      <c r="AT89" s="223">
        <f t="shared" si="85"/>
        <v>0</v>
      </c>
    </row>
    <row r="90" spans="2:46" ht="15.75" x14ac:dyDescent="0.25">
      <c r="B90" s="229" t="s">
        <v>553</v>
      </c>
      <c r="C90" s="244" t="s">
        <v>263</v>
      </c>
      <c r="D90" s="245">
        <v>1472</v>
      </c>
      <c r="E90" s="232" t="s">
        <v>4</v>
      </c>
      <c r="F90" s="435">
        <v>2.61</v>
      </c>
      <c r="G90" s="234">
        <v>46094</v>
      </c>
      <c r="H90" s="235" t="s">
        <v>314</v>
      </c>
      <c r="I90" s="235"/>
      <c r="J90" s="440">
        <v>7.0000000000000007E-2</v>
      </c>
      <c r="K90" s="443">
        <f ca="1">ROUND(IF(ISERROR(OFFSET(Tabella!$A$1,MATCH(H90,Tabella!$A:$A,0)-1,MATCH(J90,Tabella!$A$1:$AC$1,0)-1)=TRUE),0,+OFFSET(Tabella!$A$1,MATCH(H90,Tabella!$A:$A,0)-1,MATCH(J90,Tabella!$A$1:$AC$1,0)-1)),4)</f>
        <v>1.25</v>
      </c>
      <c r="L90" s="446">
        <f ca="1">ROUND(IF(ISERROR(OFFSET(Ottone!$A$1,MATCH(H90,Ottone!$A:$A,0)-1,MATCH(J90,Ottone!$A$1:$Z$1,0)-1)=TRUE),0,OFFSET(Ottone!$A$1,MATCH(H90,Ottone!$A:$A,0)-1,MATCH(J90,Ottone!$A$1:$Z$1,0)-1))*IF(E90="Ottone",1,0),4)</f>
        <v>0</v>
      </c>
      <c r="M90" s="446">
        <f ca="1">ROUND(IF(ISERROR(OFFSET(Rame!$A$1,MATCH(H90,Rame!$A:$A,0)-1,MATCH(J90,Rame!$A$1:$AA$1,0)-1)=TRUE),0,OFFSET(Rame!$A$1,MATCH(H90,Rame!$A:$A,0)-1,MATCH(J90,Rame!$A$1:$AA$1,0)-1))*IF(E90="Rame",1,0),4)</f>
        <v>0</v>
      </c>
      <c r="N90" s="446">
        <v>0</v>
      </c>
      <c r="O90" s="446">
        <v>1.5</v>
      </c>
      <c r="P90" s="446">
        <f ca="1">ROUND(+IF(ISERROR(OFFSET(Tabella!$G$1,MATCH(H90,Tabella!$G:$G,0)-1,MATCH(I90,Tabella!$G$1:$FG$1,0)-1)=TRUE),0,OFFSET(Tabella!$G$1,MATCH(H90,Tabella!$G:$G,0)-1,MATCH(I90,Tabella!$G$1:$AB$1,0)-1)),4)</f>
        <v>0</v>
      </c>
      <c r="Q90" s="446">
        <f ca="1">ROUND(IF(ISERROR(OFFSET(Ottone!$F$1,MATCH(H90,Ottone!$A:$A,0)-1,MATCH(I90,Ottone!$F$1:$FF$1,0)-1)=TRUE),0,OFFSET(Ottone!$F$1,MATCH(H90,Ottone!$A:$A,0)-1,MATCH(I90,Ottone!$F$1:$FF$1,0)-1))*IF(E90="Ottone",1,0),4)</f>
        <v>0</v>
      </c>
      <c r="R90" s="446">
        <f ca="1">ROUND(IF(ISERROR(OFFSET(Rame!$F$1,MATCH(H90,Rame!$F:$F,0)-1,MATCH(I90,Rame!$F$1:$FF$1,0)-1)=TRUE),0,OFFSET(Rame!$F$1,MATCH(H90,Rame!$F:$F,0)-1,MATCH(I90,Rame!$F$1:$FF$1,0)-1))*IF(E90="Rame",1,0),4)</f>
        <v>0</v>
      </c>
      <c r="S90" s="446">
        <f ca="1">ROUND(IF(ISERROR(OFFSET(Bronzo!$A$1,MATCH(H90,Bronzo!$A:$A,0)-1,MATCH(I90,Bronzo!$A$1:$AA$1,0)-1)=TRUE),0,OFFSET(Bronzo!$A$1,MATCH(H90,Bronzo!$A:$A,0)-1,MATCH(I90,Bronzo!$A$1:$AA$1,0)-1)),4)</f>
        <v>0</v>
      </c>
      <c r="T90" s="446">
        <f t="shared" ca="1" si="106"/>
        <v>0</v>
      </c>
      <c r="U90" s="443"/>
      <c r="V90" s="446">
        <v>0</v>
      </c>
      <c r="W90" s="449">
        <f t="shared" ca="1" si="107"/>
        <v>1.5</v>
      </c>
      <c r="X90" s="454">
        <f t="shared" si="92"/>
        <v>103.04</v>
      </c>
      <c r="Y90" s="440">
        <v>4.18</v>
      </c>
      <c r="Z90" s="440">
        <f t="shared" ca="1" si="108"/>
        <v>7.0000000000000007E-2</v>
      </c>
      <c r="AA90" s="241"/>
      <c r="AD90" s="223" t="s">
        <v>403</v>
      </c>
      <c r="AF90" s="225">
        <f t="shared" ca="1" si="93"/>
        <v>46156</v>
      </c>
      <c r="AG90" s="225" t="b">
        <f t="shared" si="80"/>
        <v>1</v>
      </c>
      <c r="AH90" s="242" t="str">
        <f t="shared" si="81"/>
        <v/>
      </c>
      <c r="AK90" s="223">
        <f t="shared" si="82"/>
        <v>0</v>
      </c>
      <c r="AL90" s="223">
        <f t="shared" si="83"/>
        <v>1900</v>
      </c>
      <c r="AS90" s="223">
        <f t="shared" si="84"/>
        <v>0</v>
      </c>
      <c r="AT90" s="223">
        <f t="shared" si="85"/>
        <v>0</v>
      </c>
    </row>
    <row r="91" spans="2:46" ht="15.75" x14ac:dyDescent="0.25">
      <c r="B91" s="229" t="s">
        <v>509</v>
      </c>
      <c r="C91" s="244" t="s">
        <v>263</v>
      </c>
      <c r="D91" s="245">
        <v>485</v>
      </c>
      <c r="E91" s="232" t="s">
        <v>4</v>
      </c>
      <c r="F91" s="435">
        <v>2.61</v>
      </c>
      <c r="G91" s="234">
        <v>46094</v>
      </c>
      <c r="H91" s="235" t="s">
        <v>15</v>
      </c>
      <c r="I91" s="235"/>
      <c r="J91" s="440">
        <v>7.0000000000000007E-2</v>
      </c>
      <c r="K91" s="443">
        <f ca="1">ROUND(IF(ISERROR(OFFSET(Tabella!$A$1,MATCH(H91,Tabella!$A:$A,0)-1,MATCH(J91,Tabella!$A$1:$AC$1,0)-1)=TRUE),0,+OFFSET(Tabella!$A$1,MATCH(H91,Tabella!$A:$A,0)-1,MATCH(J91,Tabella!$A$1:$AC$1,0)-1)),4)</f>
        <v>1.4</v>
      </c>
      <c r="L91" s="446">
        <f ca="1">ROUND(IF(ISERROR(OFFSET(Ottone!$A$1,MATCH(H91,Ottone!$A:$A,0)-1,MATCH(J91,Ottone!$A$1:$Z$1,0)-1)=TRUE),0,OFFSET(Ottone!$A$1,MATCH(H91,Ottone!$A:$A,0)-1,MATCH(J91,Ottone!$A$1:$Z$1,0)-1))*IF(E91="Ottone",1,0),4)</f>
        <v>0</v>
      </c>
      <c r="M91" s="446">
        <f ca="1">ROUND(IF(ISERROR(OFFSET(Rame!$A$1,MATCH(H91,Rame!$A:$A,0)-1,MATCH(J91,Rame!$A$1:$AA$1,0)-1)=TRUE),0,OFFSET(Rame!$A$1,MATCH(H91,Rame!$A:$A,0)-1,MATCH(J91,Rame!$A$1:$AA$1,0)-1))*IF(E91="Rame",1,0),4)</f>
        <v>0</v>
      </c>
      <c r="N91" s="446">
        <v>0</v>
      </c>
      <c r="O91" s="446">
        <v>1.65</v>
      </c>
      <c r="P91" s="446">
        <f ca="1">ROUND(+IF(ISERROR(OFFSET(Tabella!$G$1,MATCH(H91,Tabella!$G:$G,0)-1,MATCH(I91,Tabella!$G$1:$FG$1,0)-1)=TRUE),0,OFFSET(Tabella!$G$1,MATCH(H91,Tabella!$G:$G,0)-1,MATCH(I91,Tabella!$G$1:$AB$1,0)-1)),4)</f>
        <v>0</v>
      </c>
      <c r="Q91" s="446">
        <f ca="1">ROUND(IF(ISERROR(OFFSET(Ottone!$F$1,MATCH(H91,Ottone!$A:$A,0)-1,MATCH(I91,Ottone!$F$1:$FF$1,0)-1)=TRUE),0,OFFSET(Ottone!$F$1,MATCH(H91,Ottone!$A:$A,0)-1,MATCH(I91,Ottone!$F$1:$FF$1,0)-1))*IF(E91="Ottone",1,0),4)</f>
        <v>0</v>
      </c>
      <c r="R91" s="446">
        <f ca="1">ROUND(IF(ISERROR(OFFSET(Rame!$F$1,MATCH(H91,Rame!$F:$F,0)-1,MATCH(I91,Rame!$F$1:$FF$1,0)-1)=TRUE),0,OFFSET(Rame!$F$1,MATCH(H91,Rame!$F:$F,0)-1,MATCH(I91,Rame!$F$1:$FF$1,0)-1))*IF(E91="Rame",1,0),4)</f>
        <v>0</v>
      </c>
      <c r="S91" s="446">
        <f ca="1">ROUND(IF(ISERROR(OFFSET(Bronzo!$A$1,MATCH(H91,Bronzo!$A:$A,0)-1,MATCH(I91,Bronzo!$A$1:$AA$1,0)-1)=TRUE),0,OFFSET(Bronzo!$A$1,MATCH(H91,Bronzo!$A:$A,0)-1,MATCH(I91,Bronzo!$A$1:$AA$1,0)-1)),4)</f>
        <v>0</v>
      </c>
      <c r="T91" s="446">
        <f t="shared" ca="1" si="106"/>
        <v>0</v>
      </c>
      <c r="U91" s="443"/>
      <c r="V91" s="446">
        <v>0</v>
      </c>
      <c r="W91" s="449">
        <f t="shared" ca="1" si="107"/>
        <v>1.65</v>
      </c>
      <c r="X91" s="454">
        <f t="shared" si="92"/>
        <v>33.950000000000003</v>
      </c>
      <c r="Y91" s="440">
        <v>4.33</v>
      </c>
      <c r="Z91" s="440">
        <f t="shared" ca="1" si="108"/>
        <v>7.0000000000000007E-2</v>
      </c>
      <c r="AA91" s="241"/>
      <c r="AD91" s="223" t="s">
        <v>403</v>
      </c>
      <c r="AF91" s="225">
        <f t="shared" ca="1" si="93"/>
        <v>46156</v>
      </c>
      <c r="AG91" s="225" t="b">
        <f t="shared" si="80"/>
        <v>1</v>
      </c>
      <c r="AH91" s="242" t="str">
        <f t="shared" si="81"/>
        <v/>
      </c>
      <c r="AK91" s="223">
        <f t="shared" si="82"/>
        <v>0</v>
      </c>
      <c r="AL91" s="223">
        <f t="shared" si="83"/>
        <v>1900</v>
      </c>
      <c r="AS91" s="223">
        <f t="shared" si="84"/>
        <v>0</v>
      </c>
      <c r="AT91" s="223">
        <f t="shared" si="85"/>
        <v>0</v>
      </c>
    </row>
    <row r="92" spans="2:46" ht="15.75" x14ac:dyDescent="0.25">
      <c r="B92" s="229" t="s">
        <v>559</v>
      </c>
      <c r="C92" s="244" t="s">
        <v>263</v>
      </c>
      <c r="D92" s="245">
        <v>973</v>
      </c>
      <c r="E92" s="232" t="s">
        <v>4</v>
      </c>
      <c r="F92" s="435">
        <v>2.61</v>
      </c>
      <c r="G92" s="234">
        <v>46094</v>
      </c>
      <c r="H92" s="235" t="s">
        <v>19</v>
      </c>
      <c r="I92" s="235"/>
      <c r="J92" s="440">
        <v>7.0000000000000007E-2</v>
      </c>
      <c r="K92" s="443">
        <f ca="1">ROUND(IF(ISERROR(OFFSET(Tabella!$A$1,MATCH(H92,Tabella!$A:$A,0)-1,MATCH(J92,Tabella!$A$1:$AC$1,0)-1)=TRUE),0,+OFFSET(Tabella!$A$1,MATCH(H92,Tabella!$A:$A,0)-1,MATCH(J92,Tabella!$A$1:$AC$1,0)-1)),4)</f>
        <v>1.35</v>
      </c>
      <c r="L92" s="446">
        <f ca="1">ROUND(IF(ISERROR(OFFSET(Ottone!$A$1,MATCH(H92,Ottone!$A:$A,0)-1,MATCH(J92,Ottone!$A$1:$Z$1,0)-1)=TRUE),0,OFFSET(Ottone!$A$1,MATCH(H92,Ottone!$A:$A,0)-1,MATCH(J92,Ottone!$A$1:$Z$1,0)-1))*IF(E92="Ottone",1,0),4)</f>
        <v>0</v>
      </c>
      <c r="M92" s="446">
        <f ca="1">ROUND(IF(ISERROR(OFFSET(Rame!$A$1,MATCH(H92,Rame!$A:$A,0)-1,MATCH(J92,Rame!$A$1:$AA$1,0)-1)=TRUE),0,OFFSET(Rame!$A$1,MATCH(H92,Rame!$A:$A,0)-1,MATCH(J92,Rame!$A$1:$AA$1,0)-1))*IF(E92="Rame",1,0),4)</f>
        <v>0</v>
      </c>
      <c r="N92" s="446">
        <v>0</v>
      </c>
      <c r="O92" s="446">
        <v>1.55</v>
      </c>
      <c r="P92" s="446">
        <f ca="1">ROUND(+IF(ISERROR(OFFSET(Tabella!$G$1,MATCH(H92,Tabella!$G:$G,0)-1,MATCH(I92,Tabella!$G$1:$FG$1,0)-1)=TRUE),0,OFFSET(Tabella!$G$1,MATCH(H92,Tabella!$G:$G,0)-1,MATCH(I92,Tabella!$G$1:$AB$1,0)-1)),4)</f>
        <v>0</v>
      </c>
      <c r="Q92" s="446">
        <f ca="1">ROUND(IF(ISERROR(OFFSET(Ottone!$F$1,MATCH(H92,Ottone!$A:$A,0)-1,MATCH(I92,Ottone!$F$1:$FF$1,0)-1)=TRUE),0,OFFSET(Ottone!$F$1,MATCH(H92,Ottone!$A:$A,0)-1,MATCH(I92,Ottone!$F$1:$FF$1,0)-1))*IF(E92="Ottone",1,0),4)</f>
        <v>0</v>
      </c>
      <c r="R92" s="446">
        <f ca="1">ROUND(IF(ISERROR(OFFSET(Rame!$F$1,MATCH(H92,Rame!$F:$F,0)-1,MATCH(I92,Rame!$F$1:$FF$1,0)-1)=TRUE),0,OFFSET(Rame!$F$1,MATCH(H92,Rame!$F:$F,0)-1,MATCH(I92,Rame!$F$1:$FF$1,0)-1))*IF(E92="Rame",1,0),4)</f>
        <v>0</v>
      </c>
      <c r="S92" s="446">
        <f ca="1">ROUND(IF(ISERROR(OFFSET(Bronzo!$A$1,MATCH(H92,Bronzo!$A:$A,0)-1,MATCH(I92,Bronzo!$A$1:$AA$1,0)-1)=TRUE),0,OFFSET(Bronzo!$A$1,MATCH(H92,Bronzo!$A:$A,0)-1,MATCH(I92,Bronzo!$A$1:$AA$1,0)-1)),4)</f>
        <v>0</v>
      </c>
      <c r="T92" s="446">
        <f t="shared" ca="1" si="106"/>
        <v>0</v>
      </c>
      <c r="U92" s="443"/>
      <c r="V92" s="446">
        <v>0</v>
      </c>
      <c r="W92" s="449">
        <f t="shared" ca="1" si="107"/>
        <v>1.55</v>
      </c>
      <c r="X92" s="454">
        <f t="shared" si="92"/>
        <v>68.11</v>
      </c>
      <c r="Y92" s="440">
        <v>4.18</v>
      </c>
      <c r="Z92" s="440">
        <f t="shared" ca="1" si="108"/>
        <v>0.02</v>
      </c>
      <c r="AA92" s="241"/>
      <c r="AD92" s="223" t="s">
        <v>403</v>
      </c>
      <c r="AF92" s="225">
        <f t="shared" ca="1" si="93"/>
        <v>46156</v>
      </c>
      <c r="AG92" s="225" t="b">
        <f t="shared" si="80"/>
        <v>1</v>
      </c>
      <c r="AH92" s="242" t="str">
        <f t="shared" si="81"/>
        <v/>
      </c>
      <c r="AK92" s="223">
        <f t="shared" si="82"/>
        <v>0</v>
      </c>
      <c r="AL92" s="223">
        <f t="shared" si="83"/>
        <v>1900</v>
      </c>
      <c r="AS92" s="223">
        <f t="shared" si="84"/>
        <v>0</v>
      </c>
      <c r="AT92" s="223">
        <f t="shared" si="85"/>
        <v>0</v>
      </c>
    </row>
    <row r="93" spans="2:46" ht="15.75" x14ac:dyDescent="0.25">
      <c r="B93" s="229" t="s">
        <v>508</v>
      </c>
      <c r="C93" s="244" t="s">
        <v>263</v>
      </c>
      <c r="D93" s="245">
        <v>902</v>
      </c>
      <c r="E93" s="232" t="s">
        <v>4</v>
      </c>
      <c r="F93" s="435">
        <v>2.61</v>
      </c>
      <c r="G93" s="234">
        <v>46094</v>
      </c>
      <c r="H93" s="235" t="s">
        <v>13</v>
      </c>
      <c r="I93" s="235"/>
      <c r="J93" s="440">
        <v>7.0000000000000007E-2</v>
      </c>
      <c r="K93" s="443">
        <f ca="1">ROUND(IF(ISERROR(OFFSET(Tabella!$A$1,MATCH(H93,Tabella!$A:$A,0)-1,MATCH(J93,Tabella!$A$1:$AC$1,0)-1)=TRUE),0,+OFFSET(Tabella!$A$1,MATCH(H93,Tabella!$A:$A,0)-1,MATCH(J93,Tabella!$A$1:$AC$1,0)-1)),4)</f>
        <v>1.4</v>
      </c>
      <c r="L93" s="446">
        <f ca="1">ROUND(IF(ISERROR(OFFSET(Ottone!$A$1,MATCH(H93,Ottone!$A:$A,0)-1,MATCH(J93,Ottone!$A$1:$Z$1,0)-1)=TRUE),0,OFFSET(Ottone!$A$1,MATCH(H93,Ottone!$A:$A,0)-1,MATCH(J93,Ottone!$A$1:$Z$1,0)-1))*IF(E93="Ottone",1,0),4)</f>
        <v>0</v>
      </c>
      <c r="M93" s="446">
        <f ca="1">ROUND(IF(ISERROR(OFFSET(Rame!$A$1,MATCH(H93,Rame!$A:$A,0)-1,MATCH(J93,Rame!$A$1:$AA$1,0)-1)=TRUE),0,OFFSET(Rame!$A$1,MATCH(H93,Rame!$A:$A,0)-1,MATCH(J93,Rame!$A$1:$AA$1,0)-1))*IF(E93="Rame",1,0),4)</f>
        <v>0</v>
      </c>
      <c r="N93" s="446">
        <v>0</v>
      </c>
      <c r="O93" s="446">
        <v>1.65</v>
      </c>
      <c r="P93" s="446">
        <f ca="1">ROUND(+IF(ISERROR(OFFSET(Tabella!$G$1,MATCH(H93,Tabella!$G:$G,0)-1,MATCH(I93,Tabella!$G$1:$FG$1,0)-1)=TRUE),0,OFFSET(Tabella!$G$1,MATCH(H93,Tabella!$G:$G,0)-1,MATCH(I93,Tabella!$G$1:$AB$1,0)-1)),4)</f>
        <v>0</v>
      </c>
      <c r="Q93" s="446">
        <f ca="1">ROUND(IF(ISERROR(OFFSET(Ottone!$F$1,MATCH(H93,Ottone!$A:$A,0)-1,MATCH(I93,Ottone!$F$1:$FF$1,0)-1)=TRUE),0,OFFSET(Ottone!$F$1,MATCH(H93,Ottone!$A:$A,0)-1,MATCH(I93,Ottone!$F$1:$FF$1,0)-1))*IF(E93="Ottone",1,0),4)</f>
        <v>0</v>
      </c>
      <c r="R93" s="446">
        <f ca="1">ROUND(IF(ISERROR(OFFSET(Rame!$F$1,MATCH(H93,Rame!$F:$F,0)-1,MATCH(I93,Rame!$F$1:$FF$1,0)-1)=TRUE),0,OFFSET(Rame!$F$1,MATCH(H93,Rame!$F:$F,0)-1,MATCH(I93,Rame!$F$1:$FF$1,0)-1))*IF(E93="Rame",1,0),4)</f>
        <v>0</v>
      </c>
      <c r="S93" s="446">
        <f ca="1">ROUND(IF(ISERROR(OFFSET(Bronzo!$A$1,MATCH(H93,Bronzo!$A:$A,0)-1,MATCH(I93,Bronzo!$A$1:$AA$1,0)-1)=TRUE),0,OFFSET(Bronzo!$A$1,MATCH(H93,Bronzo!$A:$A,0)-1,MATCH(I93,Bronzo!$A$1:$AA$1,0)-1)),4)</f>
        <v>0</v>
      </c>
      <c r="T93" s="446">
        <f t="shared" ca="1" si="106"/>
        <v>0</v>
      </c>
      <c r="U93" s="443"/>
      <c r="V93" s="446">
        <v>0</v>
      </c>
      <c r="W93" s="449">
        <f t="shared" ca="1" si="107"/>
        <v>1.65</v>
      </c>
      <c r="X93" s="454">
        <f t="shared" si="92"/>
        <v>63.14</v>
      </c>
      <c r="Y93" s="440">
        <v>4.33</v>
      </c>
      <c r="Z93" s="440">
        <f t="shared" ca="1" si="108"/>
        <v>7.0000000000000007E-2</v>
      </c>
      <c r="AA93" s="241"/>
      <c r="AD93" s="223" t="s">
        <v>403</v>
      </c>
      <c r="AF93" s="225">
        <f t="shared" ca="1" si="93"/>
        <v>46156</v>
      </c>
      <c r="AG93" s="225" t="b">
        <f t="shared" si="80"/>
        <v>1</v>
      </c>
      <c r="AH93" s="242" t="str">
        <f t="shared" si="81"/>
        <v/>
      </c>
      <c r="AK93" s="223">
        <f t="shared" si="82"/>
        <v>0</v>
      </c>
      <c r="AL93" s="223">
        <f t="shared" si="83"/>
        <v>1900</v>
      </c>
      <c r="AS93" s="223">
        <f t="shared" si="84"/>
        <v>0</v>
      </c>
      <c r="AT93" s="223">
        <f t="shared" si="85"/>
        <v>0</v>
      </c>
    </row>
    <row r="94" spans="2:46" ht="15.75" x14ac:dyDescent="0.25">
      <c r="B94" s="229" t="s">
        <v>554</v>
      </c>
      <c r="C94" s="244" t="s">
        <v>263</v>
      </c>
      <c r="D94" s="245">
        <v>1528</v>
      </c>
      <c r="E94" s="232" t="s">
        <v>4</v>
      </c>
      <c r="F94" s="435">
        <v>2.61</v>
      </c>
      <c r="G94" s="234">
        <v>46094</v>
      </c>
      <c r="H94" s="235" t="s">
        <v>322</v>
      </c>
      <c r="I94" s="235"/>
      <c r="J94" s="440">
        <v>7.0000000000000007E-2</v>
      </c>
      <c r="K94" s="443">
        <f ca="1">ROUND(IF(ISERROR(OFFSET(Tabella!$A$1,MATCH(H94,Tabella!$A:$A,0)-1,MATCH(J94,Tabella!$A$1:$AC$1,0)-1)=TRUE),0,+OFFSET(Tabella!$A$1,MATCH(H94,Tabella!$A:$A,0)-1,MATCH(J94,Tabella!$A$1:$AC$1,0)-1)),4)</f>
        <v>1.25</v>
      </c>
      <c r="L94" s="446">
        <f ca="1">ROUND(IF(ISERROR(OFFSET(Ottone!$A$1,MATCH(H94,Ottone!$A:$A,0)-1,MATCH(J94,Ottone!$A$1:$Z$1,0)-1)=TRUE),0,OFFSET(Ottone!$A$1,MATCH(H94,Ottone!$A:$A,0)-1,MATCH(J94,Ottone!$A$1:$Z$1,0)-1))*IF(E94="Ottone",1,0),4)</f>
        <v>0</v>
      </c>
      <c r="M94" s="446">
        <f ca="1">ROUND(IF(ISERROR(OFFSET(Rame!$A$1,MATCH(H94,Rame!$A:$A,0)-1,MATCH(J94,Rame!$A$1:$AA$1,0)-1)=TRUE),0,OFFSET(Rame!$A$1,MATCH(H94,Rame!$A:$A,0)-1,MATCH(J94,Rame!$A$1:$AA$1,0)-1))*IF(E94="Rame",1,0),4)</f>
        <v>0</v>
      </c>
      <c r="N94" s="446">
        <v>0</v>
      </c>
      <c r="O94" s="446">
        <v>1.5</v>
      </c>
      <c r="P94" s="446">
        <f ca="1">ROUND(+IF(ISERROR(OFFSET(Tabella!$G$1,MATCH(H94,Tabella!$G:$G,0)-1,MATCH(I94,Tabella!$G$1:$FG$1,0)-1)=TRUE),0,OFFSET(Tabella!$G$1,MATCH(H94,Tabella!$G:$G,0)-1,MATCH(I94,Tabella!$G$1:$AB$1,0)-1)),4)</f>
        <v>0</v>
      </c>
      <c r="Q94" s="446">
        <f ca="1">ROUND(IF(ISERROR(OFFSET(Ottone!$F$1,MATCH(H94,Ottone!$A:$A,0)-1,MATCH(I94,Ottone!$F$1:$FF$1,0)-1)=TRUE),0,OFFSET(Ottone!$F$1,MATCH(H94,Ottone!$A:$A,0)-1,MATCH(I94,Ottone!$F$1:$FF$1,0)-1))*IF(E94="Ottone",1,0),4)</f>
        <v>0</v>
      </c>
      <c r="R94" s="446">
        <f ca="1">ROUND(IF(ISERROR(OFFSET(Rame!$F$1,MATCH(H94,Rame!$F:$F,0)-1,MATCH(I94,Rame!$F$1:$FF$1,0)-1)=TRUE),0,OFFSET(Rame!$F$1,MATCH(H94,Rame!$F:$F,0)-1,MATCH(I94,Rame!$F$1:$FF$1,0)-1))*IF(E94="Rame",1,0),4)</f>
        <v>0</v>
      </c>
      <c r="S94" s="446">
        <f ca="1">ROUND(IF(ISERROR(OFFSET(Bronzo!$A$1,MATCH(H94,Bronzo!$A:$A,0)-1,MATCH(I94,Bronzo!$A$1:$AA$1,0)-1)=TRUE),0,OFFSET(Bronzo!$A$1,MATCH(H94,Bronzo!$A:$A,0)-1,MATCH(I94,Bronzo!$A$1:$AA$1,0)-1)),4)</f>
        <v>0</v>
      </c>
      <c r="T94" s="446">
        <f t="shared" ca="1" si="106"/>
        <v>0</v>
      </c>
      <c r="U94" s="443"/>
      <c r="V94" s="446">
        <v>0</v>
      </c>
      <c r="W94" s="449">
        <f t="shared" ca="1" si="107"/>
        <v>1.5</v>
      </c>
      <c r="X94" s="454">
        <f t="shared" si="92"/>
        <v>106.96</v>
      </c>
      <c r="Y94" s="440">
        <v>4.18</v>
      </c>
      <c r="Z94" s="440">
        <f t="shared" ca="1" si="108"/>
        <v>7.0000000000000007E-2</v>
      </c>
      <c r="AA94" s="241"/>
      <c r="AD94" s="223" t="s">
        <v>403</v>
      </c>
      <c r="AF94" s="225">
        <f t="shared" ca="1" si="93"/>
        <v>46156</v>
      </c>
      <c r="AG94" s="225" t="b">
        <f t="shared" si="80"/>
        <v>1</v>
      </c>
      <c r="AH94" s="242" t="str">
        <f t="shared" si="81"/>
        <v/>
      </c>
      <c r="AK94" s="223">
        <f t="shared" si="82"/>
        <v>0</v>
      </c>
      <c r="AL94" s="223">
        <f t="shared" si="83"/>
        <v>1900</v>
      </c>
      <c r="AS94" s="223">
        <f t="shared" si="84"/>
        <v>0</v>
      </c>
      <c r="AT94" s="223">
        <f t="shared" si="85"/>
        <v>0</v>
      </c>
    </row>
    <row r="95" spans="2:46" ht="15.75" x14ac:dyDescent="0.25">
      <c r="B95" s="229" t="s">
        <v>559</v>
      </c>
      <c r="C95" s="244" t="s">
        <v>263</v>
      </c>
      <c r="D95" s="245">
        <v>1628</v>
      </c>
      <c r="E95" s="232" t="s">
        <v>4</v>
      </c>
      <c r="F95" s="435">
        <v>2.61</v>
      </c>
      <c r="G95" s="234">
        <v>46094</v>
      </c>
      <c r="H95" s="235" t="s">
        <v>15</v>
      </c>
      <c r="I95" s="235"/>
      <c r="J95" s="440">
        <v>7.0000000000000007E-2</v>
      </c>
      <c r="K95" s="443">
        <f ca="1">ROUND(IF(ISERROR(OFFSET(Tabella!$A$1,MATCH(H95,Tabella!$A:$A,0)-1,MATCH(J95,Tabella!$A$1:$AC$1,0)-1)=TRUE),0,+OFFSET(Tabella!$A$1,MATCH(H95,Tabella!$A:$A,0)-1,MATCH(J95,Tabella!$A$1:$AC$1,0)-1)),4)</f>
        <v>1.4</v>
      </c>
      <c r="L95" s="446">
        <f ca="1">ROUND(IF(ISERROR(OFFSET(Ottone!$A$1,MATCH(H95,Ottone!$A:$A,0)-1,MATCH(J95,Ottone!$A$1:$Z$1,0)-1)=TRUE),0,OFFSET(Ottone!$A$1,MATCH(H95,Ottone!$A:$A,0)-1,MATCH(J95,Ottone!$A$1:$Z$1,0)-1))*IF(E95="Ottone",1,0),4)</f>
        <v>0</v>
      </c>
      <c r="M95" s="446">
        <f ca="1">ROUND(IF(ISERROR(OFFSET(Rame!$A$1,MATCH(H95,Rame!$A:$A,0)-1,MATCH(J95,Rame!$A$1:$AA$1,0)-1)=TRUE),0,OFFSET(Rame!$A$1,MATCH(H95,Rame!$A:$A,0)-1,MATCH(J95,Rame!$A$1:$AA$1,0)-1))*IF(E95="Rame",1,0),4)</f>
        <v>0</v>
      </c>
      <c r="N95" s="446">
        <v>0</v>
      </c>
      <c r="O95" s="446">
        <v>1.65</v>
      </c>
      <c r="P95" s="446">
        <f ca="1">ROUND(+IF(ISERROR(OFFSET(Tabella!$G$1,MATCH(H95,Tabella!$G:$G,0)-1,MATCH(I95,Tabella!$G$1:$FG$1,0)-1)=TRUE),0,OFFSET(Tabella!$G$1,MATCH(H95,Tabella!$G:$G,0)-1,MATCH(I95,Tabella!$G$1:$AB$1,0)-1)),4)</f>
        <v>0</v>
      </c>
      <c r="Q95" s="446">
        <f ca="1">ROUND(IF(ISERROR(OFFSET(Ottone!$F$1,MATCH(H95,Ottone!$A:$A,0)-1,MATCH(I95,Ottone!$F$1:$FF$1,0)-1)=TRUE),0,OFFSET(Ottone!$F$1,MATCH(H95,Ottone!$A:$A,0)-1,MATCH(I95,Ottone!$F$1:$FF$1,0)-1))*IF(E95="Ottone",1,0),4)</f>
        <v>0</v>
      </c>
      <c r="R95" s="446">
        <f ca="1">ROUND(IF(ISERROR(OFFSET(Rame!$F$1,MATCH(H95,Rame!$F:$F,0)-1,MATCH(I95,Rame!$F$1:$FF$1,0)-1)=TRUE),0,OFFSET(Rame!$F$1,MATCH(H95,Rame!$F:$F,0)-1,MATCH(I95,Rame!$F$1:$FF$1,0)-1))*IF(E95="Rame",1,0),4)</f>
        <v>0</v>
      </c>
      <c r="S95" s="446">
        <f ca="1">ROUND(IF(ISERROR(OFFSET(Bronzo!$A$1,MATCH(H95,Bronzo!$A:$A,0)-1,MATCH(I95,Bronzo!$A$1:$AA$1,0)-1)=TRUE),0,OFFSET(Bronzo!$A$1,MATCH(H95,Bronzo!$A:$A,0)-1,MATCH(I95,Bronzo!$A$1:$AA$1,0)-1)),4)</f>
        <v>0</v>
      </c>
      <c r="T95" s="446">
        <f t="shared" ca="1" si="106"/>
        <v>0</v>
      </c>
      <c r="U95" s="443"/>
      <c r="V95" s="446">
        <v>0</v>
      </c>
      <c r="W95" s="449">
        <f t="shared" ca="1" si="107"/>
        <v>1.65</v>
      </c>
      <c r="X95" s="454">
        <f t="shared" si="92"/>
        <v>113.96</v>
      </c>
      <c r="Y95" s="440">
        <v>4.33</v>
      </c>
      <c r="Z95" s="440">
        <f t="shared" ca="1" si="108"/>
        <v>7.0000000000000007E-2</v>
      </c>
      <c r="AA95" s="241"/>
      <c r="AD95" s="223" t="s">
        <v>403</v>
      </c>
      <c r="AF95" s="225">
        <f t="shared" ca="1" si="93"/>
        <v>46156</v>
      </c>
      <c r="AG95" s="225" t="b">
        <f t="shared" si="80"/>
        <v>1</v>
      </c>
      <c r="AH95" s="242" t="str">
        <f t="shared" si="81"/>
        <v/>
      </c>
      <c r="AK95" s="223">
        <f t="shared" si="82"/>
        <v>0</v>
      </c>
      <c r="AL95" s="223">
        <f t="shared" si="83"/>
        <v>1900</v>
      </c>
      <c r="AS95" s="223">
        <f t="shared" si="84"/>
        <v>0</v>
      </c>
      <c r="AT95" s="223">
        <f t="shared" si="85"/>
        <v>0</v>
      </c>
    </row>
    <row r="96" spans="2:46" ht="15.75" x14ac:dyDescent="0.25">
      <c r="B96" s="229" t="s">
        <v>554</v>
      </c>
      <c r="C96" s="244" t="s">
        <v>263</v>
      </c>
      <c r="D96" s="245">
        <v>739</v>
      </c>
      <c r="E96" s="232" t="s">
        <v>4</v>
      </c>
      <c r="F96" s="435">
        <v>2.61</v>
      </c>
      <c r="G96" s="234">
        <v>46094</v>
      </c>
      <c r="H96" s="235" t="s">
        <v>9</v>
      </c>
      <c r="I96" s="235"/>
      <c r="J96" s="440">
        <v>7.0000000000000007E-2</v>
      </c>
      <c r="K96" s="443">
        <f ca="1">ROUND(IF(ISERROR(OFFSET(Tabella!$A$1,MATCH(H96,Tabella!$A:$A,0)-1,MATCH(J96,Tabella!$A$1:$AC$1,0)-1)=TRUE),0,+OFFSET(Tabella!$A$1,MATCH(H96,Tabella!$A:$A,0)-1,MATCH(J96,Tabella!$A$1:$AC$1,0)-1)),4)</f>
        <v>1.6</v>
      </c>
      <c r="L96" s="446">
        <f ca="1">ROUND(IF(ISERROR(OFFSET(Ottone!$A$1,MATCH(H96,Ottone!$A:$A,0)-1,MATCH(J96,Ottone!$A$1:$Z$1,0)-1)=TRUE),0,OFFSET(Ottone!$A$1,MATCH(H96,Ottone!$A:$A,0)-1,MATCH(J96,Ottone!$A$1:$Z$1,0)-1))*IF(E96="Ottone",1,0),4)</f>
        <v>0</v>
      </c>
      <c r="M96" s="446">
        <f ca="1">ROUND(IF(ISERROR(OFFSET(Rame!$A$1,MATCH(H96,Rame!$A:$A,0)-1,MATCH(J96,Rame!$A$1:$AA$1,0)-1)=TRUE),0,OFFSET(Rame!$A$1,MATCH(H96,Rame!$A:$A,0)-1,MATCH(J96,Rame!$A$1:$AA$1,0)-1))*IF(E96="Rame",1,0),4)</f>
        <v>0</v>
      </c>
      <c r="N96" s="446">
        <v>0</v>
      </c>
      <c r="O96" s="446">
        <v>1.8</v>
      </c>
      <c r="P96" s="446">
        <f ca="1">ROUND(+IF(ISERROR(OFFSET(Tabella!$G$1,MATCH(H96,Tabella!$G:$G,0)-1,MATCH(I96,Tabella!$G$1:$FG$1,0)-1)=TRUE),0,OFFSET(Tabella!$G$1,MATCH(H96,Tabella!$G:$G,0)-1,MATCH(I96,Tabella!$G$1:$AB$1,0)-1)),4)</f>
        <v>0</v>
      </c>
      <c r="Q96" s="446">
        <f ca="1">ROUND(IF(ISERROR(OFFSET(Ottone!$F$1,MATCH(H96,Ottone!$A:$A,0)-1,MATCH(I96,Ottone!$F$1:$FF$1,0)-1)=TRUE),0,OFFSET(Ottone!$F$1,MATCH(H96,Ottone!$A:$A,0)-1,MATCH(I96,Ottone!$F$1:$FF$1,0)-1))*IF(E96="Ottone",1,0),4)</f>
        <v>0</v>
      </c>
      <c r="R96" s="446">
        <f ca="1">ROUND(IF(ISERROR(OFFSET(Rame!$F$1,MATCH(H96,Rame!$F:$F,0)-1,MATCH(I96,Rame!$F$1:$FF$1,0)-1)=TRUE),0,OFFSET(Rame!$F$1,MATCH(H96,Rame!$F:$F,0)-1,MATCH(I96,Rame!$F$1:$FF$1,0)-1))*IF(E96="Rame",1,0),4)</f>
        <v>0</v>
      </c>
      <c r="S96" s="446">
        <f ca="1">ROUND(IF(ISERROR(OFFSET(Bronzo!$A$1,MATCH(H96,Bronzo!$A:$A,0)-1,MATCH(I96,Bronzo!$A$1:$AA$1,0)-1)=TRUE),0,OFFSET(Bronzo!$A$1,MATCH(H96,Bronzo!$A:$A,0)-1,MATCH(I96,Bronzo!$A$1:$AA$1,0)-1)),4)</f>
        <v>0</v>
      </c>
      <c r="T96" s="446">
        <f t="shared" ca="1" si="106"/>
        <v>0</v>
      </c>
      <c r="U96" s="443"/>
      <c r="V96" s="446">
        <v>0</v>
      </c>
      <c r="W96" s="449">
        <f t="shared" ca="1" si="107"/>
        <v>1.8</v>
      </c>
      <c r="X96" s="454">
        <f t="shared" si="92"/>
        <v>51.73</v>
      </c>
      <c r="Y96" s="440">
        <v>4.4800000000000004</v>
      </c>
      <c r="Z96" s="440">
        <f t="shared" ca="1" si="108"/>
        <v>7.0000000000000007E-2</v>
      </c>
      <c r="AA96" s="241"/>
      <c r="AD96" s="223" t="s">
        <v>403</v>
      </c>
      <c r="AF96" s="225">
        <f t="shared" ca="1" si="93"/>
        <v>46156</v>
      </c>
      <c r="AG96" s="225" t="b">
        <f t="shared" si="80"/>
        <v>1</v>
      </c>
      <c r="AH96" s="242" t="str">
        <f t="shared" si="81"/>
        <v/>
      </c>
      <c r="AK96" s="223">
        <f t="shared" si="82"/>
        <v>0</v>
      </c>
      <c r="AL96" s="223">
        <f t="shared" si="83"/>
        <v>1900</v>
      </c>
      <c r="AS96" s="223">
        <f t="shared" si="84"/>
        <v>0</v>
      </c>
      <c r="AT96" s="223">
        <f t="shared" si="85"/>
        <v>0</v>
      </c>
    </row>
    <row r="97" spans="2:46" ht="15.75" x14ac:dyDescent="0.25">
      <c r="B97" s="229" t="s">
        <v>559</v>
      </c>
      <c r="C97" s="244" t="s">
        <v>263</v>
      </c>
      <c r="D97" s="245">
        <v>1610</v>
      </c>
      <c r="E97" s="232" t="s">
        <v>4</v>
      </c>
      <c r="F97" s="435">
        <v>2.61</v>
      </c>
      <c r="G97" s="234">
        <v>46094</v>
      </c>
      <c r="H97" s="235" t="s">
        <v>243</v>
      </c>
      <c r="I97" s="235"/>
      <c r="J97" s="440">
        <v>7.0000000000000007E-2</v>
      </c>
      <c r="K97" s="443">
        <f ca="1">ROUND(IF(ISERROR(OFFSET(Tabella!$A$1,MATCH(H97,Tabella!$A:$A,0)-1,MATCH(J97,Tabella!$A$1:$AC$1,0)-1)=TRUE),0,+OFFSET(Tabella!$A$1,MATCH(H97,Tabella!$A:$A,0)-1,MATCH(J97,Tabella!$A$1:$AC$1,0)-1)),4)</f>
        <v>1.4</v>
      </c>
      <c r="L97" s="446">
        <f ca="1">ROUND(IF(ISERROR(OFFSET(Ottone!$A$1,MATCH(H97,Ottone!$A:$A,0)-1,MATCH(J97,Ottone!$A$1:$Z$1,0)-1)=TRUE),0,OFFSET(Ottone!$A$1,MATCH(H97,Ottone!$A:$A,0)-1,MATCH(J97,Ottone!$A$1:$Z$1,0)-1))*IF(E97="Ottone",1,0),4)</f>
        <v>0</v>
      </c>
      <c r="M97" s="446">
        <f ca="1">ROUND(IF(ISERROR(OFFSET(Rame!$A$1,MATCH(H97,Rame!$A:$A,0)-1,MATCH(J97,Rame!$A$1:$AA$1,0)-1)=TRUE),0,OFFSET(Rame!$A$1,MATCH(H97,Rame!$A:$A,0)-1,MATCH(J97,Rame!$A$1:$AA$1,0)-1))*IF(E97="Rame",1,0),4)</f>
        <v>0</v>
      </c>
      <c r="N97" s="446">
        <v>0</v>
      </c>
      <c r="O97" s="446">
        <v>1.6</v>
      </c>
      <c r="P97" s="446">
        <f ca="1">ROUND(+IF(ISERROR(OFFSET(Tabella!$G$1,MATCH(H97,Tabella!$G:$G,0)-1,MATCH(I97,Tabella!$G$1:$FG$1,0)-1)=TRUE),0,OFFSET(Tabella!$G$1,MATCH(H97,Tabella!$G:$G,0)-1,MATCH(I97,Tabella!$G$1:$AB$1,0)-1)),4)</f>
        <v>0</v>
      </c>
      <c r="Q97" s="446">
        <f ca="1">ROUND(IF(ISERROR(OFFSET(Ottone!$F$1,MATCH(H97,Ottone!$A:$A,0)-1,MATCH(I97,Ottone!$F$1:$FF$1,0)-1)=TRUE),0,OFFSET(Ottone!$F$1,MATCH(H97,Ottone!$A:$A,0)-1,MATCH(I97,Ottone!$F$1:$FF$1,0)-1))*IF(E97="Ottone",1,0),4)</f>
        <v>0</v>
      </c>
      <c r="R97" s="446">
        <f ca="1">ROUND(IF(ISERROR(OFFSET(Rame!$F$1,MATCH(H97,Rame!$F:$F,0)-1,MATCH(I97,Rame!$F$1:$FF$1,0)-1)=TRUE),0,OFFSET(Rame!$F$1,MATCH(H97,Rame!$F:$F,0)-1,MATCH(I97,Rame!$F$1:$FF$1,0)-1))*IF(E97="Rame",1,0),4)</f>
        <v>0</v>
      </c>
      <c r="S97" s="446">
        <f ca="1">ROUND(IF(ISERROR(OFFSET(Bronzo!$A$1,MATCH(H97,Bronzo!$A:$A,0)-1,MATCH(I97,Bronzo!$A$1:$AA$1,0)-1)=TRUE),0,OFFSET(Bronzo!$A$1,MATCH(H97,Bronzo!$A:$A,0)-1,MATCH(I97,Bronzo!$A$1:$AA$1,0)-1)),4)</f>
        <v>0</v>
      </c>
      <c r="T97" s="446">
        <f t="shared" ca="1" si="106"/>
        <v>0</v>
      </c>
      <c r="U97" s="443"/>
      <c r="V97" s="446">
        <v>0</v>
      </c>
      <c r="W97" s="449">
        <f t="shared" ca="1" si="107"/>
        <v>1.6</v>
      </c>
      <c r="X97" s="454">
        <f t="shared" si="92"/>
        <v>112.7</v>
      </c>
      <c r="Y97" s="440">
        <v>4.28</v>
      </c>
      <c r="Z97" s="440">
        <f t="shared" ca="1" si="108"/>
        <v>7.0000000000000007E-2</v>
      </c>
      <c r="AA97" s="241"/>
      <c r="AD97" s="223" t="s">
        <v>403</v>
      </c>
      <c r="AF97" s="225">
        <f t="shared" ca="1" si="93"/>
        <v>46156</v>
      </c>
      <c r="AG97" s="225" t="b">
        <f t="shared" si="80"/>
        <v>1</v>
      </c>
      <c r="AH97" s="242" t="str">
        <f t="shared" si="81"/>
        <v/>
      </c>
      <c r="AK97" s="223">
        <f t="shared" si="82"/>
        <v>0</v>
      </c>
      <c r="AL97" s="223">
        <f t="shared" si="83"/>
        <v>1900</v>
      </c>
      <c r="AS97" s="223">
        <f t="shared" si="84"/>
        <v>0</v>
      </c>
      <c r="AT97" s="223">
        <f t="shared" si="85"/>
        <v>0</v>
      </c>
    </row>
    <row r="98" spans="2:46" ht="15.75" x14ac:dyDescent="0.25">
      <c r="B98" s="229"/>
      <c r="C98" s="246" t="s">
        <v>108</v>
      </c>
      <c r="D98" s="247">
        <v>4150</v>
      </c>
      <c r="E98" s="232" t="s">
        <v>4</v>
      </c>
      <c r="F98" s="435">
        <v>2.98</v>
      </c>
      <c r="G98" s="234">
        <v>46097</v>
      </c>
      <c r="H98" s="235" t="s">
        <v>21</v>
      </c>
      <c r="I98" s="235"/>
      <c r="J98" s="440">
        <v>7.0000000000000007E-2</v>
      </c>
      <c r="K98" s="443">
        <f ca="1">ROUND(IF(ISERROR(OFFSET(Tabella!$A$1,MATCH(H98,Tabella!$A:$A,0)-1,MATCH(J98,Tabella!$A$1:$AC$1,0)-1)=TRUE),0,+OFFSET(Tabella!$A$1,MATCH(H98,Tabella!$A:$A,0)-1,MATCH(J98,Tabella!$A$1:$AC$1,0)-1)),4)</f>
        <v>1.25</v>
      </c>
      <c r="L98" s="446">
        <f ca="1">ROUND(IF(ISERROR(OFFSET(Ottone!$A$1,MATCH(H98,Ottone!$A:$A,0)-1,MATCH(J98,Ottone!$A$1:$Z$1,0)-1)=TRUE),0,OFFSET(Ottone!$A$1,MATCH(H98,Ottone!$A:$A,0)-1,MATCH(J98,Ottone!$A$1:$Z$1,0)-1))*IF(E98="Ottone",1,0),4)</f>
        <v>0</v>
      </c>
      <c r="M98" s="446">
        <f ca="1">ROUND(IF(ISERROR(OFFSET(Rame!$A$1,MATCH(H98,Rame!$A:$A,0)-1,MATCH(J98,Rame!$A$1:$AA$1,0)-1)=TRUE),0,OFFSET(Rame!$A$1,MATCH(H98,Rame!$A:$A,0)-1,MATCH(J98,Rame!$A$1:$AA$1,0)-1))*IF(E98="Rame",1,0),4)</f>
        <v>0</v>
      </c>
      <c r="N98" s="446">
        <v>0</v>
      </c>
      <c r="O98" s="446">
        <f ca="1">ROUND(SUM(K98:N98),4)</f>
        <v>1.25</v>
      </c>
      <c r="P98" s="446">
        <f ca="1">ROUND(+IF(ISERROR(OFFSET(Tabella!$G$1,MATCH(H98,Tabella!$G:$G,0)-1,MATCH(I98,Tabella!$G$1:$FG$1,0)-1)=TRUE),0,OFFSET(Tabella!$G$1,MATCH(H98,Tabella!$G:$G,0)-1,MATCH(I98,Tabella!$G$1:$AB$1,0)-1)),4)</f>
        <v>0</v>
      </c>
      <c r="Q98" s="446">
        <f ca="1">ROUND(IF(ISERROR(OFFSET(Ottone!$F$1,MATCH(H98,Ottone!$A:$A,0)-1,MATCH(I98,Ottone!$F$1:$FF$1,0)-1)=TRUE),0,OFFSET(Ottone!$F$1,MATCH(H98,Ottone!$A:$A,0)-1,MATCH(I98,Ottone!$F$1:$FF$1,0)-1))*IF(E98="Ottone",1,0),4)</f>
        <v>0</v>
      </c>
      <c r="R98" s="446">
        <f ca="1">ROUND(IF(ISERROR(OFFSET(Rame!$F$1,MATCH(H98,Rame!$F:$F,0)-1,MATCH(I98,Rame!$F$1:$FF$1,0)-1)=TRUE),0,OFFSET(Rame!$F$1,MATCH(H98,Rame!$F:$F,0)-1,MATCH(I98,Rame!$F$1:$FF$1,0)-1))*IF(E98="Rame",1,0),4)</f>
        <v>0</v>
      </c>
      <c r="S98" s="446">
        <f ca="1">ROUND(IF(ISERROR(OFFSET(Bronzo!$A$1,MATCH(H98,Bronzo!$A:$A,0)-1,MATCH(I98,Bronzo!$A$1:$AA$1,0)-1)=TRUE),0,OFFSET(Bronzo!$A$1,MATCH(H98,Bronzo!$A:$A,0)-1,MATCH(I98,Bronzo!$A$1:$AA$1,0)-1)),4)</f>
        <v>0</v>
      </c>
      <c r="T98" s="446">
        <f t="shared" ca="1" si="106"/>
        <v>0</v>
      </c>
      <c r="U98" s="443"/>
      <c r="V98" s="446">
        <v>0</v>
      </c>
      <c r="W98" s="449">
        <f t="shared" ca="1" si="107"/>
        <v>1.25</v>
      </c>
      <c r="X98" s="455">
        <f t="shared" si="92"/>
        <v>290.5</v>
      </c>
      <c r="Y98" s="440">
        <v>4.58</v>
      </c>
      <c r="Z98" s="440">
        <f t="shared" ca="1" si="108"/>
        <v>0.35</v>
      </c>
      <c r="AA98" s="241"/>
      <c r="AF98" s="225">
        <f t="shared" ca="1" si="93"/>
        <v>46156</v>
      </c>
      <c r="AG98" s="225" t="b">
        <f t="shared" si="80"/>
        <v>1</v>
      </c>
      <c r="AH98" s="242" t="str">
        <f t="shared" si="81"/>
        <v/>
      </c>
      <c r="AK98" s="223">
        <f t="shared" si="82"/>
        <v>0</v>
      </c>
      <c r="AL98" s="223">
        <f t="shared" si="83"/>
        <v>1900</v>
      </c>
      <c r="AS98" s="223">
        <f t="shared" si="84"/>
        <v>0</v>
      </c>
      <c r="AT98" s="223">
        <f t="shared" si="85"/>
        <v>0</v>
      </c>
    </row>
    <row r="99" spans="2:46" ht="15.75" x14ac:dyDescent="0.25">
      <c r="B99" s="229" t="s">
        <v>623</v>
      </c>
      <c r="C99" s="244" t="s">
        <v>97</v>
      </c>
      <c r="D99" s="245">
        <v>276</v>
      </c>
      <c r="E99" s="232" t="s">
        <v>6</v>
      </c>
      <c r="F99" s="435">
        <v>10.99</v>
      </c>
      <c r="G99" s="234">
        <v>46097</v>
      </c>
      <c r="H99" s="235" t="s">
        <v>14</v>
      </c>
      <c r="I99" s="235"/>
      <c r="J99" s="440">
        <v>0.15</v>
      </c>
      <c r="K99" s="443">
        <f ca="1">ROUND(IF(ISERROR(OFFSET(Tabella!$A$1,MATCH(H99,Tabella!$A:$A,0)-1,MATCH(J99,Tabella!$A$1:$AC$1,0)-1)=TRUE),0,+OFFSET(Tabella!$A$1,MATCH(H99,Tabella!$A:$A,0)-1,MATCH(J99,Tabella!$A$1:$AC$1,0)-1)),4)</f>
        <v>0</v>
      </c>
      <c r="L99" s="446">
        <f ca="1">ROUND(IF(ISERROR(OFFSET(Ottone!$A$1,MATCH(H99,Ottone!$A:$A,0)-1,MATCH(J99,Ottone!$A$1:$Z$1,0)-1)=TRUE),0,OFFSET(Ottone!$A$1,MATCH(H99,Ottone!$A:$A,0)-1,MATCH(J99,Ottone!$A$1:$Z$1,0)-1))*IF(E99="Ottone",1,0),4)</f>
        <v>0</v>
      </c>
      <c r="M99" s="446">
        <f ca="1">ROUND(IF(ISERROR(OFFSET(Rame!$A$1,MATCH(H99,Rame!$A:$A,0)-1,MATCH(J99,Rame!$A$1:$AA$1,0)-1)=TRUE),0,OFFSET(Rame!$A$1,MATCH(H99,Rame!$A:$A,0)-1,MATCH(J99,Rame!$A$1:$AA$1,0)-1))*IF(E99="Rame",1,0),4)</f>
        <v>1</v>
      </c>
      <c r="N99" s="446">
        <v>0</v>
      </c>
      <c r="O99" s="446">
        <f ca="1">ROUND(SUM(K99:N99),4)</f>
        <v>1</v>
      </c>
      <c r="P99" s="446">
        <f ca="1">ROUND(+IF(ISERROR(OFFSET(Tabella!$G$1,MATCH(H99,Tabella!$G:$G,0)-1,MATCH(I99,Tabella!$G$1:$FG$1,0)-1)=TRUE),0,OFFSET(Tabella!$G$1,MATCH(H99,Tabella!$G:$G,0)-1,MATCH(I99,Tabella!$G$1:$AB$1,0)-1)),4)</f>
        <v>0</v>
      </c>
      <c r="Q99" s="446">
        <f ca="1">ROUND(IF(ISERROR(OFFSET(Ottone!$F$1,MATCH(H99,Ottone!$A:$A,0)-1,MATCH(I99,Ottone!$F$1:$FF$1,0)-1)=TRUE),0,OFFSET(Ottone!$F$1,MATCH(H99,Ottone!$A:$A,0)-1,MATCH(I99,Ottone!$F$1:$FF$1,0)-1))*IF(E99="Ottone",1,0),4)</f>
        <v>0</v>
      </c>
      <c r="R99" s="446">
        <f ca="1">ROUND(IF(ISERROR(OFFSET(Rame!$F$1,MATCH(H99,Rame!$F:$F,0)-1,MATCH(I99,Rame!$F$1:$FF$1,0)-1)=TRUE),0,OFFSET(Rame!$F$1,MATCH(H99,Rame!$F:$F,0)-1,MATCH(I99,Rame!$F$1:$FF$1,0)-1))*IF(E99="Rame",1,0),4)</f>
        <v>0</v>
      </c>
      <c r="S99" s="446">
        <f ca="1">ROUND(IF(ISERROR(OFFSET(Bronzo!$A$1,MATCH(H99,Bronzo!$A:$A,0)-1,MATCH(I99,Bronzo!$A$1:$AA$1,0)-1)=TRUE),0,OFFSET(Bronzo!$A$1,MATCH(H99,Bronzo!$A:$A,0)-1,MATCH(I99,Bronzo!$A$1:$AA$1,0)-1)),4)</f>
        <v>0</v>
      </c>
      <c r="T99" s="446">
        <f t="shared" ca="1" si="106"/>
        <v>0</v>
      </c>
      <c r="U99" s="443"/>
      <c r="V99" s="446">
        <v>0</v>
      </c>
      <c r="W99" s="449">
        <f t="shared" ca="1" si="107"/>
        <v>1</v>
      </c>
      <c r="X99" s="454">
        <f t="shared" si="92"/>
        <v>41.4</v>
      </c>
      <c r="Y99" s="440">
        <v>14.6</v>
      </c>
      <c r="Z99" s="440">
        <f t="shared" ca="1" si="108"/>
        <v>2.61</v>
      </c>
      <c r="AA99" s="241"/>
      <c r="AD99" s="223" t="s">
        <v>403</v>
      </c>
      <c r="AF99" s="225">
        <f t="shared" ca="1" si="93"/>
        <v>46156</v>
      </c>
      <c r="AG99" s="225" t="b">
        <f t="shared" ref="AG99:AG127" si="109">ISBLANK(AA99)</f>
        <v>1</v>
      </c>
      <c r="AH99" s="242" t="str">
        <f t="shared" ref="AH99:AH127" si="110">IF(AG99=FALSE,_xlfn.DAYS(AA99,AF99),"")</f>
        <v/>
      </c>
      <c r="AK99" s="223">
        <f t="shared" ref="AK99:AK127" si="111">WEEKNUM(AA99)</f>
        <v>0</v>
      </c>
      <c r="AL99" s="223">
        <f t="shared" ref="AL99:AL127" si="112">YEAR(AA99)</f>
        <v>1900</v>
      </c>
      <c r="AS99" s="223">
        <f t="shared" si="84"/>
        <v>0</v>
      </c>
      <c r="AT99" s="223">
        <f t="shared" si="85"/>
        <v>0</v>
      </c>
    </row>
    <row r="100" spans="2:46" ht="15.75" x14ac:dyDescent="0.25">
      <c r="B100" s="229" t="s">
        <v>490</v>
      </c>
      <c r="C100" s="244" t="s">
        <v>212</v>
      </c>
      <c r="D100" s="245">
        <v>6979</v>
      </c>
      <c r="E100" s="232" t="s">
        <v>4</v>
      </c>
      <c r="F100" s="435">
        <v>2.61</v>
      </c>
      <c r="G100" s="234">
        <v>46099</v>
      </c>
      <c r="H100" s="235" t="s">
        <v>23</v>
      </c>
      <c r="I100" s="235"/>
      <c r="J100" s="440">
        <v>0.05</v>
      </c>
      <c r="K100" s="443">
        <f ca="1">ROUND(IF(ISERROR(OFFSET(Tabella!$A$1,MATCH(H100,Tabella!$A:$A,0)-1,MATCH(J100,Tabella!$A$1:$AC$1,0)-1)=TRUE),0,+OFFSET(Tabella!$A$1,MATCH(H100,Tabella!$A:$A,0)-1,MATCH(J100,Tabella!$A$1:$AC$1,0)-1)),4)</f>
        <v>0</v>
      </c>
      <c r="L100" s="446">
        <f ca="1">ROUND(IF(ISERROR(OFFSET(Ottone!$A$1,MATCH(H100,Ottone!$A:$A,0)-1,MATCH(J100,Ottone!$A$1:$Z$1,0)-1)=TRUE),0,OFFSET(Ottone!$A$1,MATCH(H100,Ottone!$A:$A,0)-1,MATCH(J100,Ottone!$A$1:$Z$1,0)-1))*IF(E100="Ottone",1,0),4)</f>
        <v>0</v>
      </c>
      <c r="M100" s="446">
        <f ca="1">ROUND(IF(ISERROR(OFFSET(Rame!$A$1,MATCH(H100,Rame!$A:$A,0)-1,MATCH(J100,Rame!$A$1:$AA$1,0)-1)=TRUE),0,OFFSET(Rame!$A$1,MATCH(H100,Rame!$A:$A,0)-1,MATCH(J100,Rame!$A$1:$AA$1,0)-1))*IF(E100="Rame",1,0),4)</f>
        <v>0</v>
      </c>
      <c r="N100" s="446">
        <v>0</v>
      </c>
      <c r="O100" s="446">
        <v>1.37</v>
      </c>
      <c r="P100" s="446">
        <f ca="1">ROUND(+IF(ISERROR(OFFSET(Tabella!$G$1,MATCH(H100,Tabella!$G:$G,0)-1,MATCH(I100,Tabella!$G$1:$FG$1,0)-1)=TRUE),0,OFFSET(Tabella!$G$1,MATCH(H100,Tabella!$G:$G,0)-1,MATCH(I100,Tabella!$G$1:$AB$1,0)-1)),4)</f>
        <v>0</v>
      </c>
      <c r="Q100" s="446">
        <f ca="1">ROUND(IF(ISERROR(OFFSET(Ottone!$F$1,MATCH(H100,Ottone!$A:$A,0)-1,MATCH(I100,Ottone!$F$1:$FF$1,0)-1)=TRUE),0,OFFSET(Ottone!$F$1,MATCH(H100,Ottone!$A:$A,0)-1,MATCH(I100,Ottone!$F$1:$FF$1,0)-1))*IF(E100="Ottone",1,0),4)</f>
        <v>0</v>
      </c>
      <c r="R100" s="446">
        <f ca="1">ROUND(IF(ISERROR(OFFSET(Rame!$F$1,MATCH(H100,Rame!$F:$F,0)-1,MATCH(I100,Rame!$F$1:$FF$1,0)-1)=TRUE),0,OFFSET(Rame!$F$1,MATCH(H100,Rame!$F:$F,0)-1,MATCH(I100,Rame!$F$1:$FF$1,0)-1))*IF(E100="Rame",1,0),4)</f>
        <v>0</v>
      </c>
      <c r="S100" s="446">
        <f ca="1">ROUND(IF(ISERROR(OFFSET(Bronzo!$A$1,MATCH(H100,Bronzo!$A:$A,0)-1,MATCH(I100,Bronzo!$A$1:$AA$1,0)-1)=TRUE),0,OFFSET(Bronzo!$A$1,MATCH(H100,Bronzo!$A:$A,0)-1,MATCH(I100,Bronzo!$A$1:$AA$1,0)-1)),4)</f>
        <v>0</v>
      </c>
      <c r="T100" s="446">
        <f t="shared" ca="1" si="106"/>
        <v>0</v>
      </c>
      <c r="U100" s="443"/>
      <c r="V100" s="446">
        <v>0</v>
      </c>
      <c r="W100" s="449">
        <f t="shared" ca="1" si="107"/>
        <v>1.37</v>
      </c>
      <c r="X100" s="454">
        <f t="shared" si="92"/>
        <v>348.95</v>
      </c>
      <c r="Y100" s="440">
        <v>3.98</v>
      </c>
      <c r="Z100" s="440">
        <f t="shared" ca="1" si="108"/>
        <v>0</v>
      </c>
      <c r="AA100" s="241"/>
      <c r="AD100" s="223" t="s">
        <v>403</v>
      </c>
      <c r="AE100" s="223" t="s">
        <v>487</v>
      </c>
      <c r="AF100" s="225">
        <f t="shared" ca="1" si="93"/>
        <v>46156</v>
      </c>
      <c r="AG100" s="225" t="b">
        <f t="shared" si="109"/>
        <v>1</v>
      </c>
      <c r="AH100" s="242" t="str">
        <f t="shared" si="110"/>
        <v/>
      </c>
      <c r="AK100" s="223">
        <f t="shared" si="111"/>
        <v>0</v>
      </c>
      <c r="AL100" s="223">
        <f t="shared" si="112"/>
        <v>1900</v>
      </c>
      <c r="AS100" s="223">
        <f t="shared" si="84"/>
        <v>0</v>
      </c>
      <c r="AT100" s="223">
        <f t="shared" si="85"/>
        <v>0</v>
      </c>
    </row>
    <row r="101" spans="2:46" ht="15.75" x14ac:dyDescent="0.25">
      <c r="B101" s="229" t="s">
        <v>535</v>
      </c>
      <c r="C101" s="244" t="s">
        <v>212</v>
      </c>
      <c r="D101" s="245">
        <v>7002</v>
      </c>
      <c r="E101" s="232" t="s">
        <v>4</v>
      </c>
      <c r="F101" s="435">
        <v>2.61</v>
      </c>
      <c r="G101" s="234">
        <v>46099</v>
      </c>
      <c r="H101" s="235" t="s">
        <v>23</v>
      </c>
      <c r="I101" s="235"/>
      <c r="J101" s="440">
        <v>0.05</v>
      </c>
      <c r="K101" s="443">
        <f ca="1">ROUND(IF(ISERROR(OFFSET(Tabella!$A$1,MATCH(H101,Tabella!$A:$A,0)-1,MATCH(J101,Tabella!$A$1:$AC$1,0)-1)=TRUE),0,+OFFSET(Tabella!$A$1,MATCH(H101,Tabella!$A:$A,0)-1,MATCH(J101,Tabella!$A$1:$AC$1,0)-1)),4)</f>
        <v>0</v>
      </c>
      <c r="L101" s="446">
        <f ca="1">ROUND(IF(ISERROR(OFFSET(Ottone!$A$1,MATCH(H101,Ottone!$A:$A,0)-1,MATCH(J101,Ottone!$A$1:$Z$1,0)-1)=TRUE),0,OFFSET(Ottone!$A$1,MATCH(H101,Ottone!$A:$A,0)-1,MATCH(J101,Ottone!$A$1:$Z$1,0)-1))*IF(E101="Ottone",1,0),4)</f>
        <v>0</v>
      </c>
      <c r="M101" s="446">
        <f ca="1">ROUND(IF(ISERROR(OFFSET(Rame!$A$1,MATCH(H101,Rame!$A:$A,0)-1,MATCH(J101,Rame!$A$1:$AA$1,0)-1)=TRUE),0,OFFSET(Rame!$A$1,MATCH(H101,Rame!$A:$A,0)-1,MATCH(J101,Rame!$A$1:$AA$1,0)-1))*IF(E101="Rame",1,0),4)</f>
        <v>0</v>
      </c>
      <c r="N101" s="446">
        <v>0</v>
      </c>
      <c r="O101" s="446">
        <v>1.37</v>
      </c>
      <c r="P101" s="446">
        <f ca="1">ROUND(+IF(ISERROR(OFFSET(Tabella!$G$1,MATCH(H101,Tabella!$G:$G,0)-1,MATCH(I101,Tabella!$G$1:$FG$1,0)-1)=TRUE),0,OFFSET(Tabella!$G$1,MATCH(H101,Tabella!$G:$G,0)-1,MATCH(I101,Tabella!$G$1:$AB$1,0)-1)),4)</f>
        <v>0</v>
      </c>
      <c r="Q101" s="446">
        <f ca="1">ROUND(IF(ISERROR(OFFSET(Ottone!$F$1,MATCH(H101,Ottone!$A:$A,0)-1,MATCH(I101,Ottone!$F$1:$FF$1,0)-1)=TRUE),0,OFFSET(Ottone!$F$1,MATCH(H101,Ottone!$A:$A,0)-1,MATCH(I101,Ottone!$F$1:$FF$1,0)-1))*IF(E101="Ottone",1,0),4)</f>
        <v>0</v>
      </c>
      <c r="R101" s="446">
        <f ca="1">ROUND(IF(ISERROR(OFFSET(Rame!$F$1,MATCH(H101,Rame!$F:$F,0)-1,MATCH(I101,Rame!$F$1:$FF$1,0)-1)=TRUE),0,OFFSET(Rame!$F$1,MATCH(H101,Rame!$F:$F,0)-1,MATCH(I101,Rame!$F$1:$FF$1,0)-1))*IF(E101="Rame",1,0),4)</f>
        <v>0</v>
      </c>
      <c r="S101" s="446">
        <f ca="1">ROUND(IF(ISERROR(OFFSET(Bronzo!$A$1,MATCH(H101,Bronzo!$A:$A,0)-1,MATCH(I101,Bronzo!$A$1:$AA$1,0)-1)=TRUE),0,OFFSET(Bronzo!$A$1,MATCH(H101,Bronzo!$A:$A,0)-1,MATCH(I101,Bronzo!$A$1:$AA$1,0)-1)),4)</f>
        <v>0</v>
      </c>
      <c r="T101" s="446">
        <f t="shared" ca="1" si="106"/>
        <v>0</v>
      </c>
      <c r="U101" s="443"/>
      <c r="V101" s="446">
        <v>0</v>
      </c>
      <c r="W101" s="449">
        <f t="shared" ca="1" si="107"/>
        <v>1.37</v>
      </c>
      <c r="X101" s="454">
        <f t="shared" si="92"/>
        <v>350.1</v>
      </c>
      <c r="Y101" s="440">
        <v>3.98</v>
      </c>
      <c r="Z101" s="440">
        <f t="shared" ca="1" si="108"/>
        <v>0</v>
      </c>
      <c r="AA101" s="241"/>
      <c r="AD101" s="223" t="s">
        <v>403</v>
      </c>
      <c r="AF101" s="225">
        <f t="shared" ca="1" si="93"/>
        <v>46156</v>
      </c>
      <c r="AG101" s="225" t="b">
        <f t="shared" si="109"/>
        <v>1</v>
      </c>
      <c r="AH101" s="242" t="str">
        <f t="shared" si="110"/>
        <v/>
      </c>
      <c r="AK101" s="223">
        <f t="shared" si="111"/>
        <v>0</v>
      </c>
      <c r="AL101" s="223">
        <f t="shared" si="112"/>
        <v>1900</v>
      </c>
      <c r="AS101" s="223">
        <f t="shared" si="84"/>
        <v>0</v>
      </c>
      <c r="AT101" s="223">
        <f t="shared" si="85"/>
        <v>0</v>
      </c>
    </row>
    <row r="102" spans="2:46" ht="15.75" x14ac:dyDescent="0.25">
      <c r="B102" s="229" t="s">
        <v>578</v>
      </c>
      <c r="C102" s="244" t="s">
        <v>212</v>
      </c>
      <c r="D102" s="245">
        <v>2022</v>
      </c>
      <c r="E102" s="232" t="s">
        <v>4</v>
      </c>
      <c r="F102" s="435">
        <v>2.61</v>
      </c>
      <c r="G102" s="234">
        <v>46099</v>
      </c>
      <c r="H102" s="235" t="s">
        <v>24</v>
      </c>
      <c r="I102" s="235"/>
      <c r="J102" s="440">
        <v>0.05</v>
      </c>
      <c r="K102" s="443">
        <f ca="1">ROUND(IF(ISERROR(OFFSET(Tabella!$A$1,MATCH(H102,Tabella!$A:$A,0)-1,MATCH(J102,Tabella!$A$1:$AC$1,0)-1)=TRUE),0,+OFFSET(Tabella!$A$1,MATCH(H102,Tabella!$A:$A,0)-1,MATCH(J102,Tabella!$A$1:$AC$1,0)-1)),4)</f>
        <v>0</v>
      </c>
      <c r="L102" s="446">
        <f ca="1">ROUND(IF(ISERROR(OFFSET(Ottone!$A$1,MATCH(H102,Ottone!$A:$A,0)-1,MATCH(J102,Ottone!$A$1:$Z$1,0)-1)=TRUE),0,OFFSET(Ottone!$A$1,MATCH(H102,Ottone!$A:$A,0)-1,MATCH(J102,Ottone!$A$1:$Z$1,0)-1))*IF(E102="Ottone",1,0),4)</f>
        <v>0</v>
      </c>
      <c r="M102" s="446">
        <f ca="1">ROUND(IF(ISERROR(OFFSET(Rame!$A$1,MATCH(H102,Rame!$A:$A,0)-1,MATCH(J102,Rame!$A$1:$AA$1,0)-1)=TRUE),0,OFFSET(Rame!$A$1,MATCH(H102,Rame!$A:$A,0)-1,MATCH(J102,Rame!$A$1:$AA$1,0)-1))*IF(E102="Rame",1,0),4)</f>
        <v>0</v>
      </c>
      <c r="N102" s="446">
        <v>0</v>
      </c>
      <c r="O102" s="446">
        <v>1.47</v>
      </c>
      <c r="P102" s="446">
        <f ca="1">ROUND(+IF(ISERROR(OFFSET(Tabella!$G$1,MATCH(H102,Tabella!$G:$G,0)-1,MATCH(I102,Tabella!$G$1:$FG$1,0)-1)=TRUE),0,OFFSET(Tabella!$G$1,MATCH(H102,Tabella!$G:$G,0)-1,MATCH(I102,Tabella!$G$1:$AB$1,0)-1)),4)</f>
        <v>0</v>
      </c>
      <c r="Q102" s="446">
        <f ca="1">ROUND(IF(ISERROR(OFFSET(Ottone!$F$1,MATCH(H102,Ottone!$A:$A,0)-1,MATCH(I102,Ottone!$F$1:$FF$1,0)-1)=TRUE),0,OFFSET(Ottone!$F$1,MATCH(H102,Ottone!$A:$A,0)-1,MATCH(I102,Ottone!$F$1:$FF$1,0)-1))*IF(E102="Ottone",1,0),4)</f>
        <v>0</v>
      </c>
      <c r="R102" s="446">
        <f ca="1">ROUND(IF(ISERROR(OFFSET(Rame!$F$1,MATCH(H102,Rame!$F:$F,0)-1,MATCH(I102,Rame!$F$1:$FF$1,0)-1)=TRUE),0,OFFSET(Rame!$F$1,MATCH(H102,Rame!$F:$F,0)-1,MATCH(I102,Rame!$F$1:$FF$1,0)-1))*IF(E102="Rame",1,0),4)</f>
        <v>0</v>
      </c>
      <c r="S102" s="446">
        <f ca="1">ROUND(IF(ISERROR(OFFSET(Bronzo!$A$1,MATCH(H102,Bronzo!$A:$A,0)-1,MATCH(I102,Bronzo!$A$1:$AA$1,0)-1)=TRUE),0,OFFSET(Bronzo!$A$1,MATCH(H102,Bronzo!$A:$A,0)-1,MATCH(I102,Bronzo!$A$1:$AA$1,0)-1)),4)</f>
        <v>0</v>
      </c>
      <c r="T102" s="446">
        <f t="shared" ca="1" si="106"/>
        <v>0</v>
      </c>
      <c r="U102" s="443"/>
      <c r="V102" s="446">
        <v>0</v>
      </c>
      <c r="W102" s="449">
        <f t="shared" ca="1" si="107"/>
        <v>1.47</v>
      </c>
      <c r="X102" s="454">
        <f t="shared" si="92"/>
        <v>101.1</v>
      </c>
      <c r="Y102" s="440">
        <v>4.08</v>
      </c>
      <c r="Z102" s="440">
        <f t="shared" ca="1" si="108"/>
        <v>0</v>
      </c>
      <c r="AA102" s="241"/>
      <c r="AD102" s="223" t="s">
        <v>403</v>
      </c>
      <c r="AF102" s="225">
        <f t="shared" ca="1" si="93"/>
        <v>46156</v>
      </c>
      <c r="AG102" s="225" t="b">
        <f t="shared" si="109"/>
        <v>1</v>
      </c>
      <c r="AH102" s="242" t="str">
        <f t="shared" si="110"/>
        <v/>
      </c>
      <c r="AK102" s="223">
        <f t="shared" si="111"/>
        <v>0</v>
      </c>
      <c r="AL102" s="223">
        <f t="shared" si="112"/>
        <v>1900</v>
      </c>
      <c r="AS102" s="223">
        <f t="shared" ref="AS102:AS130" si="113">IF(AA102="",0,MONTH(AA102))</f>
        <v>0</v>
      </c>
      <c r="AT102" s="223">
        <f t="shared" ref="AT102:AT130" si="114">IF(AA102="",0,YEAR(AA102))</f>
        <v>0</v>
      </c>
    </row>
    <row r="103" spans="2:46" ht="15.75" x14ac:dyDescent="0.25">
      <c r="B103" s="229" t="s">
        <v>552</v>
      </c>
      <c r="C103" s="244" t="s">
        <v>263</v>
      </c>
      <c r="D103" s="245">
        <v>969</v>
      </c>
      <c r="E103" s="232" t="s">
        <v>4</v>
      </c>
      <c r="F103" s="435">
        <v>2.61</v>
      </c>
      <c r="G103" s="234">
        <v>46100</v>
      </c>
      <c r="H103" s="235" t="s">
        <v>21</v>
      </c>
      <c r="I103" s="235"/>
      <c r="J103" s="440">
        <v>7.0000000000000007E-2</v>
      </c>
      <c r="K103" s="443">
        <f ca="1">ROUND(IF(ISERROR(OFFSET(Tabella!$A$1,MATCH(H103,Tabella!$A:$A,0)-1,MATCH(J103,Tabella!$A$1:$AC$1,0)-1)=TRUE),0,+OFFSET(Tabella!$A$1,MATCH(H103,Tabella!$A:$A,0)-1,MATCH(J103,Tabella!$A$1:$AC$1,0)-1)),4)</f>
        <v>1.25</v>
      </c>
      <c r="L103" s="446">
        <f ca="1">ROUND(IF(ISERROR(OFFSET(Ottone!$A$1,MATCH(H103,Ottone!$A:$A,0)-1,MATCH(J103,Ottone!$A$1:$Z$1,0)-1)=TRUE),0,OFFSET(Ottone!$A$1,MATCH(H103,Ottone!$A:$A,0)-1,MATCH(J103,Ottone!$A$1:$Z$1,0)-1))*IF(E103="Ottone",1,0),4)</f>
        <v>0</v>
      </c>
      <c r="M103" s="446">
        <f ca="1">ROUND(IF(ISERROR(OFFSET(Rame!$A$1,MATCH(H103,Rame!$A:$A,0)-1,MATCH(J103,Rame!$A$1:$AA$1,0)-1)=TRUE),0,OFFSET(Rame!$A$1,MATCH(H103,Rame!$A:$A,0)-1,MATCH(J103,Rame!$A$1:$AA$1,0)-1))*IF(E103="Rame",1,0),4)</f>
        <v>0</v>
      </c>
      <c r="N103" s="446">
        <v>0</v>
      </c>
      <c r="O103" s="446">
        <v>1.57</v>
      </c>
      <c r="P103" s="446">
        <f ca="1">ROUND(+IF(ISERROR(OFFSET(Tabella!$G$1,MATCH(H103,Tabella!$G:$G,0)-1,MATCH(I103,Tabella!$G$1:$FG$1,0)-1)=TRUE),0,OFFSET(Tabella!$G$1,MATCH(H103,Tabella!$G:$G,0)-1,MATCH(I103,Tabella!$G$1:$AB$1,0)-1)),4)</f>
        <v>0</v>
      </c>
      <c r="Q103" s="446">
        <f ca="1">ROUND(IF(ISERROR(OFFSET(Ottone!$F$1,MATCH(H103,Ottone!$A:$A,0)-1,MATCH(I103,Ottone!$F$1:$FF$1,0)-1)=TRUE),0,OFFSET(Ottone!$F$1,MATCH(H103,Ottone!$A:$A,0)-1,MATCH(I103,Ottone!$F$1:$FF$1,0)-1))*IF(E103="Ottone",1,0),4)</f>
        <v>0</v>
      </c>
      <c r="R103" s="446">
        <f ca="1">ROUND(IF(ISERROR(OFFSET(Rame!$F$1,MATCH(H103,Rame!$F:$F,0)-1,MATCH(I103,Rame!$F$1:$FF$1,0)-1)=TRUE),0,OFFSET(Rame!$F$1,MATCH(H103,Rame!$F:$F,0)-1,MATCH(I103,Rame!$F$1:$FF$1,0)-1))*IF(E103="Rame",1,0),4)</f>
        <v>0</v>
      </c>
      <c r="S103" s="446">
        <f ca="1">ROUND(IF(ISERROR(OFFSET(Bronzo!$A$1,MATCH(H103,Bronzo!$A:$A,0)-1,MATCH(I103,Bronzo!$A$1:$AA$1,0)-1)=TRUE),0,OFFSET(Bronzo!$A$1,MATCH(H103,Bronzo!$A:$A,0)-1,MATCH(I103,Bronzo!$A$1:$AA$1,0)-1)),4)</f>
        <v>0</v>
      </c>
      <c r="T103" s="446">
        <f t="shared" ca="1" si="106"/>
        <v>0</v>
      </c>
      <c r="U103" s="443"/>
      <c r="V103" s="446">
        <v>0</v>
      </c>
      <c r="W103" s="449">
        <f t="shared" ca="1" si="107"/>
        <v>1.57</v>
      </c>
      <c r="X103" s="454">
        <f t="shared" si="92"/>
        <v>67.83</v>
      </c>
      <c r="Y103" s="440">
        <v>4.18</v>
      </c>
      <c r="Z103" s="440">
        <f t="shared" ca="1" si="108"/>
        <v>0</v>
      </c>
      <c r="AA103" s="241"/>
      <c r="AD103" s="223" t="s">
        <v>403</v>
      </c>
      <c r="AF103" s="225">
        <f t="shared" ca="1" si="93"/>
        <v>46156</v>
      </c>
      <c r="AG103" s="225" t="b">
        <f t="shared" si="109"/>
        <v>1</v>
      </c>
      <c r="AH103" s="242" t="str">
        <f t="shared" si="110"/>
        <v/>
      </c>
      <c r="AK103" s="223">
        <f t="shared" si="111"/>
        <v>0</v>
      </c>
      <c r="AL103" s="223">
        <f t="shared" si="112"/>
        <v>1900</v>
      </c>
      <c r="AS103" s="223">
        <f t="shared" si="113"/>
        <v>0</v>
      </c>
      <c r="AT103" s="223">
        <f t="shared" si="114"/>
        <v>0</v>
      </c>
    </row>
    <row r="104" spans="2:46" ht="15.75" x14ac:dyDescent="0.25">
      <c r="B104" s="229" t="s">
        <v>510</v>
      </c>
      <c r="C104" s="244" t="s">
        <v>263</v>
      </c>
      <c r="D104" s="245">
        <v>686</v>
      </c>
      <c r="E104" s="232" t="s">
        <v>4</v>
      </c>
      <c r="F104" s="435">
        <v>2.61</v>
      </c>
      <c r="G104" s="234">
        <v>46100</v>
      </c>
      <c r="H104" s="235" t="s">
        <v>25</v>
      </c>
      <c r="I104" s="235"/>
      <c r="J104" s="440">
        <v>7.0000000000000007E-2</v>
      </c>
      <c r="K104" s="443">
        <f ca="1">ROUND(IF(ISERROR(OFFSET(Tabella!$A$1,MATCH(H104,Tabella!$A:$A,0)-1,MATCH(J104,Tabella!$A$1:$AC$1,0)-1)=TRUE),0,+OFFSET(Tabella!$A$1,MATCH(H104,Tabella!$A:$A,0)-1,MATCH(J104,Tabella!$A$1:$AC$1,0)-1)),4)</f>
        <v>1.25</v>
      </c>
      <c r="L104" s="446">
        <f ca="1">ROUND(IF(ISERROR(OFFSET(Ottone!$A$1,MATCH(H104,Ottone!$A:$A,0)-1,MATCH(J104,Ottone!$A$1:$Z$1,0)-1)=TRUE),0,OFFSET(Ottone!$A$1,MATCH(H104,Ottone!$A:$A,0)-1,MATCH(J104,Ottone!$A$1:$Z$1,0)-1))*IF(E104="Ottone",1,0),4)</f>
        <v>0</v>
      </c>
      <c r="M104" s="446">
        <f ca="1">ROUND(IF(ISERROR(OFFSET(Rame!$A$1,MATCH(H104,Rame!$A:$A,0)-1,MATCH(J104,Rame!$A$1:$AA$1,0)-1)=TRUE),0,OFFSET(Rame!$A$1,MATCH(H104,Rame!$A:$A,0)-1,MATCH(J104,Rame!$A$1:$AA$1,0)-1))*IF(E104="Rame",1,0),4)</f>
        <v>0</v>
      </c>
      <c r="N104" s="446">
        <v>0</v>
      </c>
      <c r="O104" s="446">
        <v>1.57</v>
      </c>
      <c r="P104" s="446">
        <f ca="1">ROUND(+IF(ISERROR(OFFSET(Tabella!$G$1,MATCH(H104,Tabella!$G:$G,0)-1,MATCH(I104,Tabella!$G$1:$FG$1,0)-1)=TRUE),0,OFFSET(Tabella!$G$1,MATCH(H104,Tabella!$G:$G,0)-1,MATCH(I104,Tabella!$G$1:$AB$1,0)-1)),4)</f>
        <v>0</v>
      </c>
      <c r="Q104" s="446">
        <f ca="1">ROUND(IF(ISERROR(OFFSET(Ottone!$F$1,MATCH(H104,Ottone!$A:$A,0)-1,MATCH(I104,Ottone!$F$1:$FF$1,0)-1)=TRUE),0,OFFSET(Ottone!$F$1,MATCH(H104,Ottone!$A:$A,0)-1,MATCH(I104,Ottone!$F$1:$FF$1,0)-1))*IF(E104="Ottone",1,0),4)</f>
        <v>0</v>
      </c>
      <c r="R104" s="446">
        <f ca="1">ROUND(IF(ISERROR(OFFSET(Rame!$F$1,MATCH(H104,Rame!$F:$F,0)-1,MATCH(I104,Rame!$F$1:$FF$1,0)-1)=TRUE),0,OFFSET(Rame!$F$1,MATCH(H104,Rame!$F:$F,0)-1,MATCH(I104,Rame!$F$1:$FF$1,0)-1))*IF(E104="Rame",1,0),4)</f>
        <v>0</v>
      </c>
      <c r="S104" s="446">
        <f ca="1">ROUND(IF(ISERROR(OFFSET(Bronzo!$A$1,MATCH(H104,Bronzo!$A:$A,0)-1,MATCH(I104,Bronzo!$A$1:$AA$1,0)-1)=TRUE),0,OFFSET(Bronzo!$A$1,MATCH(H104,Bronzo!$A:$A,0)-1,MATCH(I104,Bronzo!$A$1:$AA$1,0)-1)),4)</f>
        <v>0</v>
      </c>
      <c r="T104" s="446">
        <f t="shared" ca="1" si="106"/>
        <v>0</v>
      </c>
      <c r="U104" s="443"/>
      <c r="V104" s="446">
        <v>0</v>
      </c>
      <c r="W104" s="449">
        <f t="shared" ca="1" si="107"/>
        <v>1.57</v>
      </c>
      <c r="X104" s="454">
        <f t="shared" si="92"/>
        <v>48.02</v>
      </c>
      <c r="Y104" s="440">
        <v>4.18</v>
      </c>
      <c r="Z104" s="440">
        <f t="shared" ca="1" si="108"/>
        <v>0</v>
      </c>
      <c r="AA104" s="241"/>
      <c r="AD104" s="223" t="s">
        <v>403</v>
      </c>
      <c r="AF104" s="225">
        <f t="shared" ca="1" si="93"/>
        <v>46156</v>
      </c>
      <c r="AG104" s="225" t="b">
        <f t="shared" si="109"/>
        <v>1</v>
      </c>
      <c r="AH104" s="242" t="str">
        <f t="shared" si="110"/>
        <v/>
      </c>
      <c r="AK104" s="223">
        <f t="shared" si="111"/>
        <v>0</v>
      </c>
      <c r="AL104" s="223">
        <f t="shared" si="112"/>
        <v>1900</v>
      </c>
      <c r="AS104" s="223">
        <f t="shared" si="113"/>
        <v>0</v>
      </c>
      <c r="AT104" s="223">
        <f t="shared" si="114"/>
        <v>0</v>
      </c>
    </row>
    <row r="105" spans="2:46" ht="15.75" x14ac:dyDescent="0.25">
      <c r="B105" s="229" t="s">
        <v>552</v>
      </c>
      <c r="C105" s="244" t="s">
        <v>263</v>
      </c>
      <c r="D105" s="245">
        <v>1049</v>
      </c>
      <c r="E105" s="232" t="s">
        <v>4</v>
      </c>
      <c r="F105" s="435">
        <v>2.61</v>
      </c>
      <c r="G105" s="234">
        <v>46100</v>
      </c>
      <c r="H105" s="235" t="s">
        <v>15</v>
      </c>
      <c r="I105" s="235"/>
      <c r="J105" s="440">
        <v>7.0000000000000007E-2</v>
      </c>
      <c r="K105" s="443">
        <f ca="1">ROUND(IF(ISERROR(OFFSET(Tabella!$A$1,MATCH(H105,Tabella!$A:$A,0)-1,MATCH(J105,Tabella!$A$1:$AC$1,0)-1)=TRUE),0,+OFFSET(Tabella!$A$1,MATCH(H105,Tabella!$A:$A,0)-1,MATCH(J105,Tabella!$A$1:$AC$1,0)-1)),4)</f>
        <v>1.4</v>
      </c>
      <c r="L105" s="446">
        <f ca="1">ROUND(IF(ISERROR(OFFSET(Ottone!$A$1,MATCH(H105,Ottone!$A:$A,0)-1,MATCH(J105,Ottone!$A$1:$Z$1,0)-1)=TRUE),0,OFFSET(Ottone!$A$1,MATCH(H105,Ottone!$A:$A,0)-1,MATCH(J105,Ottone!$A$1:$Z$1,0)-1))*IF(E105="Ottone",1,0),4)</f>
        <v>0</v>
      </c>
      <c r="M105" s="446">
        <f ca="1">ROUND(IF(ISERROR(OFFSET(Rame!$A$1,MATCH(H105,Rame!$A:$A,0)-1,MATCH(J105,Rame!$A$1:$AA$1,0)-1)=TRUE),0,OFFSET(Rame!$A$1,MATCH(H105,Rame!$A:$A,0)-1,MATCH(J105,Rame!$A$1:$AA$1,0)-1))*IF(E105="Rame",1,0),4)</f>
        <v>0</v>
      </c>
      <c r="N105" s="446">
        <v>0</v>
      </c>
      <c r="O105" s="446">
        <v>1.72</v>
      </c>
      <c r="P105" s="446">
        <f ca="1">ROUND(+IF(ISERROR(OFFSET(Tabella!$G$1,MATCH(H105,Tabella!$G:$G,0)-1,MATCH(I105,Tabella!$G$1:$FG$1,0)-1)=TRUE),0,OFFSET(Tabella!$G$1,MATCH(H105,Tabella!$G:$G,0)-1,MATCH(I105,Tabella!$G$1:$AB$1,0)-1)),4)</f>
        <v>0</v>
      </c>
      <c r="Q105" s="446">
        <f ca="1">ROUND(IF(ISERROR(OFFSET(Ottone!$F$1,MATCH(H105,Ottone!$A:$A,0)-1,MATCH(I105,Ottone!$F$1:$FF$1,0)-1)=TRUE),0,OFFSET(Ottone!$F$1,MATCH(H105,Ottone!$A:$A,0)-1,MATCH(I105,Ottone!$F$1:$FF$1,0)-1))*IF(E105="Ottone",1,0),4)</f>
        <v>0</v>
      </c>
      <c r="R105" s="446">
        <f ca="1">ROUND(IF(ISERROR(OFFSET(Rame!$F$1,MATCH(H105,Rame!$F:$F,0)-1,MATCH(I105,Rame!$F$1:$FF$1,0)-1)=TRUE),0,OFFSET(Rame!$F$1,MATCH(H105,Rame!$F:$F,0)-1,MATCH(I105,Rame!$F$1:$FF$1,0)-1))*IF(E105="Rame",1,0),4)</f>
        <v>0</v>
      </c>
      <c r="S105" s="446">
        <f ca="1">ROUND(IF(ISERROR(OFFSET(Bronzo!$A$1,MATCH(H105,Bronzo!$A:$A,0)-1,MATCH(I105,Bronzo!$A$1:$AA$1,0)-1)=TRUE),0,OFFSET(Bronzo!$A$1,MATCH(H105,Bronzo!$A:$A,0)-1,MATCH(I105,Bronzo!$A$1:$AA$1,0)-1)),4)</f>
        <v>0</v>
      </c>
      <c r="T105" s="446">
        <f t="shared" ca="1" si="106"/>
        <v>0</v>
      </c>
      <c r="U105" s="443"/>
      <c r="V105" s="446">
        <v>0</v>
      </c>
      <c r="W105" s="449">
        <f t="shared" ca="1" si="107"/>
        <v>1.72</v>
      </c>
      <c r="X105" s="454">
        <f t="shared" si="92"/>
        <v>73.430000000000007</v>
      </c>
      <c r="Y105" s="440">
        <v>4.33</v>
      </c>
      <c r="Z105" s="440">
        <f t="shared" ca="1" si="108"/>
        <v>0</v>
      </c>
      <c r="AA105" s="241"/>
      <c r="AD105" s="223" t="s">
        <v>403</v>
      </c>
      <c r="AF105" s="225">
        <f t="shared" ca="1" si="93"/>
        <v>46156</v>
      </c>
      <c r="AG105" s="225" t="b">
        <f t="shared" si="109"/>
        <v>1</v>
      </c>
      <c r="AH105" s="242" t="str">
        <f t="shared" si="110"/>
        <v/>
      </c>
      <c r="AK105" s="223">
        <f t="shared" si="111"/>
        <v>0</v>
      </c>
      <c r="AL105" s="223">
        <f t="shared" si="112"/>
        <v>1900</v>
      </c>
      <c r="AS105" s="223">
        <f t="shared" si="113"/>
        <v>0</v>
      </c>
      <c r="AT105" s="223">
        <f t="shared" si="114"/>
        <v>0</v>
      </c>
    </row>
    <row r="106" spans="2:46" ht="15.75" x14ac:dyDescent="0.25">
      <c r="B106" s="229" t="s">
        <v>552</v>
      </c>
      <c r="C106" s="244" t="s">
        <v>263</v>
      </c>
      <c r="D106" s="245">
        <v>1516</v>
      </c>
      <c r="E106" s="232" t="s">
        <v>4</v>
      </c>
      <c r="F106" s="435">
        <v>2.61</v>
      </c>
      <c r="G106" s="234">
        <v>46100</v>
      </c>
      <c r="H106" s="235" t="s">
        <v>309</v>
      </c>
      <c r="I106" s="235"/>
      <c r="J106" s="440">
        <v>7.0000000000000007E-2</v>
      </c>
      <c r="K106" s="443">
        <f ca="1">ROUND(IF(ISERROR(OFFSET(Tabella!$A$1,MATCH(H106,Tabella!$A:$A,0)-1,MATCH(J106,Tabella!$A$1:$AC$1,0)-1)=TRUE),0,+OFFSET(Tabella!$A$1,MATCH(H106,Tabella!$A:$A,0)-1,MATCH(J106,Tabella!$A$1:$AC$1,0)-1)),4)</f>
        <v>1.25</v>
      </c>
      <c r="L106" s="446">
        <f ca="1">ROUND(IF(ISERROR(OFFSET(Ottone!$A$1,MATCH(H106,Ottone!$A:$A,0)-1,MATCH(J106,Ottone!$A$1:$Z$1,0)-1)=TRUE),0,OFFSET(Ottone!$A$1,MATCH(H106,Ottone!$A:$A,0)-1,MATCH(J106,Ottone!$A$1:$Z$1,0)-1))*IF(E106="Ottone",1,0),4)</f>
        <v>0</v>
      </c>
      <c r="M106" s="446">
        <f ca="1">ROUND(IF(ISERROR(OFFSET(Rame!$A$1,MATCH(H106,Rame!$A:$A,0)-1,MATCH(J106,Rame!$A$1:$AA$1,0)-1)=TRUE),0,OFFSET(Rame!$A$1,MATCH(H106,Rame!$A:$A,0)-1,MATCH(J106,Rame!$A$1:$AA$1,0)-1))*IF(E106="Rame",1,0),4)</f>
        <v>0</v>
      </c>
      <c r="N106" s="446">
        <v>0</v>
      </c>
      <c r="O106" s="446">
        <v>1.57</v>
      </c>
      <c r="P106" s="446">
        <f ca="1">ROUND(+IF(ISERROR(OFFSET(Tabella!$G$1,MATCH(H106,Tabella!$G:$G,0)-1,MATCH(I106,Tabella!$G$1:$FG$1,0)-1)=TRUE),0,OFFSET(Tabella!$G$1,MATCH(H106,Tabella!$G:$G,0)-1,MATCH(I106,Tabella!$G$1:$AB$1,0)-1)),4)</f>
        <v>0</v>
      </c>
      <c r="Q106" s="446">
        <f ca="1">ROUND(IF(ISERROR(OFFSET(Ottone!$F$1,MATCH(H106,Ottone!$A:$A,0)-1,MATCH(I106,Ottone!$F$1:$FF$1,0)-1)=TRUE),0,OFFSET(Ottone!$F$1,MATCH(H106,Ottone!$A:$A,0)-1,MATCH(I106,Ottone!$F$1:$FF$1,0)-1))*IF(E106="Ottone",1,0),4)</f>
        <v>0</v>
      </c>
      <c r="R106" s="446">
        <f ca="1">ROUND(IF(ISERROR(OFFSET(Rame!$F$1,MATCH(H106,Rame!$F:$F,0)-1,MATCH(I106,Rame!$F$1:$FF$1,0)-1)=TRUE),0,OFFSET(Rame!$F$1,MATCH(H106,Rame!$F:$F,0)-1,MATCH(I106,Rame!$F$1:$FF$1,0)-1))*IF(E106="Rame",1,0),4)</f>
        <v>0</v>
      </c>
      <c r="S106" s="446">
        <f ca="1">ROUND(IF(ISERROR(OFFSET(Bronzo!$A$1,MATCH(H106,Bronzo!$A:$A,0)-1,MATCH(I106,Bronzo!$A$1:$AA$1,0)-1)=TRUE),0,OFFSET(Bronzo!$A$1,MATCH(H106,Bronzo!$A:$A,0)-1,MATCH(I106,Bronzo!$A$1:$AA$1,0)-1)),4)</f>
        <v>0</v>
      </c>
      <c r="T106" s="446">
        <f t="shared" ca="1" si="106"/>
        <v>0</v>
      </c>
      <c r="U106" s="443"/>
      <c r="V106" s="446">
        <v>0</v>
      </c>
      <c r="W106" s="449">
        <f t="shared" ca="1" si="107"/>
        <v>1.57</v>
      </c>
      <c r="X106" s="454">
        <f t="shared" si="92"/>
        <v>106.12</v>
      </c>
      <c r="Y106" s="440">
        <v>4.18</v>
      </c>
      <c r="Z106" s="440">
        <f t="shared" ca="1" si="108"/>
        <v>0</v>
      </c>
      <c r="AA106" s="241"/>
      <c r="AD106" s="223" t="s">
        <v>403</v>
      </c>
      <c r="AF106" s="225">
        <f t="shared" ca="1" si="93"/>
        <v>46156</v>
      </c>
      <c r="AG106" s="225" t="b">
        <f t="shared" si="109"/>
        <v>1</v>
      </c>
      <c r="AH106" s="242" t="str">
        <f t="shared" si="110"/>
        <v/>
      </c>
      <c r="AK106" s="223">
        <f t="shared" si="111"/>
        <v>0</v>
      </c>
      <c r="AL106" s="223">
        <f t="shared" si="112"/>
        <v>1900</v>
      </c>
      <c r="AS106" s="223">
        <f t="shared" si="113"/>
        <v>0</v>
      </c>
      <c r="AT106" s="223">
        <f t="shared" si="114"/>
        <v>0</v>
      </c>
    </row>
    <row r="107" spans="2:46" ht="15.75" x14ac:dyDescent="0.25">
      <c r="B107" s="229" t="s">
        <v>552</v>
      </c>
      <c r="C107" s="244" t="s">
        <v>263</v>
      </c>
      <c r="D107" s="245">
        <v>1618</v>
      </c>
      <c r="E107" s="232" t="s">
        <v>4</v>
      </c>
      <c r="F107" s="435">
        <v>2.61</v>
      </c>
      <c r="G107" s="234">
        <v>46100</v>
      </c>
      <c r="H107" s="235" t="s">
        <v>9</v>
      </c>
      <c r="I107" s="235"/>
      <c r="J107" s="440">
        <v>7.0000000000000007E-2</v>
      </c>
      <c r="K107" s="443">
        <f ca="1">ROUND(IF(ISERROR(OFFSET(Tabella!$A$1,MATCH(H107,Tabella!$A:$A,0)-1,MATCH(J107,Tabella!$A$1:$AC$1,0)-1)=TRUE),0,+OFFSET(Tabella!$A$1,MATCH(H107,Tabella!$A:$A,0)-1,MATCH(J107,Tabella!$A$1:$AC$1,0)-1)),4)</f>
        <v>1.6</v>
      </c>
      <c r="L107" s="446">
        <f ca="1">ROUND(IF(ISERROR(OFFSET(Ottone!$A$1,MATCH(H107,Ottone!$A:$A,0)-1,MATCH(J107,Ottone!$A$1:$Z$1,0)-1)=TRUE),0,OFFSET(Ottone!$A$1,MATCH(H107,Ottone!$A:$A,0)-1,MATCH(J107,Ottone!$A$1:$Z$1,0)-1))*IF(E107="Ottone",1,0),4)</f>
        <v>0</v>
      </c>
      <c r="M107" s="446">
        <f ca="1">ROUND(IF(ISERROR(OFFSET(Rame!$A$1,MATCH(H107,Rame!$A:$A,0)-1,MATCH(J107,Rame!$A$1:$AA$1,0)-1)=TRUE),0,OFFSET(Rame!$A$1,MATCH(H107,Rame!$A:$A,0)-1,MATCH(J107,Rame!$A$1:$AA$1,0)-1))*IF(E107="Rame",1,0),4)</f>
        <v>0</v>
      </c>
      <c r="N107" s="446">
        <v>0</v>
      </c>
      <c r="O107" s="446">
        <v>1.87</v>
      </c>
      <c r="P107" s="446">
        <f ca="1">ROUND(+IF(ISERROR(OFFSET(Tabella!$G$1,MATCH(H107,Tabella!$G:$G,0)-1,MATCH(I107,Tabella!$G$1:$FG$1,0)-1)=TRUE),0,OFFSET(Tabella!$G$1,MATCH(H107,Tabella!$G:$G,0)-1,MATCH(I107,Tabella!$G$1:$AB$1,0)-1)),4)</f>
        <v>0</v>
      </c>
      <c r="Q107" s="446">
        <f ca="1">ROUND(IF(ISERROR(OFFSET(Ottone!$F$1,MATCH(H107,Ottone!$A:$A,0)-1,MATCH(I107,Ottone!$F$1:$FF$1,0)-1)=TRUE),0,OFFSET(Ottone!$F$1,MATCH(H107,Ottone!$A:$A,0)-1,MATCH(I107,Ottone!$F$1:$FF$1,0)-1))*IF(E107="Ottone",1,0),4)</f>
        <v>0</v>
      </c>
      <c r="R107" s="446">
        <f ca="1">ROUND(IF(ISERROR(OFFSET(Rame!$F$1,MATCH(H107,Rame!$F:$F,0)-1,MATCH(I107,Rame!$F$1:$FF$1,0)-1)=TRUE),0,OFFSET(Rame!$F$1,MATCH(H107,Rame!$F:$F,0)-1,MATCH(I107,Rame!$F$1:$FF$1,0)-1))*IF(E107="Rame",1,0),4)</f>
        <v>0</v>
      </c>
      <c r="S107" s="446">
        <f ca="1">ROUND(IF(ISERROR(OFFSET(Bronzo!$A$1,MATCH(H107,Bronzo!$A:$A,0)-1,MATCH(I107,Bronzo!$A$1:$AA$1,0)-1)=TRUE),0,OFFSET(Bronzo!$A$1,MATCH(H107,Bronzo!$A:$A,0)-1,MATCH(I107,Bronzo!$A$1:$AA$1,0)-1)),4)</f>
        <v>0</v>
      </c>
      <c r="T107" s="446">
        <f t="shared" ca="1" si="106"/>
        <v>0</v>
      </c>
      <c r="U107" s="443"/>
      <c r="V107" s="446">
        <v>0</v>
      </c>
      <c r="W107" s="449">
        <f t="shared" ca="1" si="107"/>
        <v>1.87</v>
      </c>
      <c r="X107" s="454">
        <f t="shared" si="92"/>
        <v>113.26</v>
      </c>
      <c r="Y107" s="440">
        <v>4.4800000000000004</v>
      </c>
      <c r="Z107" s="440">
        <f t="shared" ca="1" si="108"/>
        <v>0</v>
      </c>
      <c r="AA107" s="241"/>
      <c r="AD107" s="223" t="s">
        <v>403</v>
      </c>
      <c r="AF107" s="225">
        <f t="shared" ca="1" si="93"/>
        <v>46156</v>
      </c>
      <c r="AG107" s="225" t="b">
        <f t="shared" si="109"/>
        <v>1</v>
      </c>
      <c r="AH107" s="242" t="str">
        <f t="shared" si="110"/>
        <v/>
      </c>
      <c r="AK107" s="223">
        <f t="shared" si="111"/>
        <v>0</v>
      </c>
      <c r="AL107" s="223">
        <f t="shared" si="112"/>
        <v>1900</v>
      </c>
      <c r="AS107" s="223">
        <f t="shared" si="113"/>
        <v>0</v>
      </c>
      <c r="AT107" s="223">
        <f t="shared" si="114"/>
        <v>0</v>
      </c>
    </row>
    <row r="108" spans="2:46" ht="15.75" x14ac:dyDescent="0.25">
      <c r="B108" s="229" t="s">
        <v>552</v>
      </c>
      <c r="C108" s="244" t="s">
        <v>263</v>
      </c>
      <c r="D108" s="245">
        <v>1003</v>
      </c>
      <c r="E108" s="232" t="s">
        <v>4</v>
      </c>
      <c r="F108" s="435">
        <v>2.61</v>
      </c>
      <c r="G108" s="234">
        <v>46100</v>
      </c>
      <c r="H108" s="235" t="s">
        <v>15</v>
      </c>
      <c r="I108" s="235"/>
      <c r="J108" s="440">
        <v>7.0000000000000007E-2</v>
      </c>
      <c r="K108" s="443">
        <f ca="1">ROUND(IF(ISERROR(OFFSET(Tabella!$A$1,MATCH(H108,Tabella!$A:$A,0)-1,MATCH(J108,Tabella!$A$1:$AC$1,0)-1)=TRUE),0,+OFFSET(Tabella!$A$1,MATCH(H108,Tabella!$A:$A,0)-1,MATCH(J108,Tabella!$A$1:$AC$1,0)-1)),4)</f>
        <v>1.4</v>
      </c>
      <c r="L108" s="446">
        <f ca="1">ROUND(IF(ISERROR(OFFSET(Ottone!$A$1,MATCH(H108,Ottone!$A:$A,0)-1,MATCH(J108,Ottone!$A$1:$Z$1,0)-1)=TRUE),0,OFFSET(Ottone!$A$1,MATCH(H108,Ottone!$A:$A,0)-1,MATCH(J108,Ottone!$A$1:$Z$1,0)-1))*IF(E108="Ottone",1,0),4)</f>
        <v>0</v>
      </c>
      <c r="M108" s="446">
        <f ca="1">ROUND(IF(ISERROR(OFFSET(Rame!$A$1,MATCH(H108,Rame!$A:$A,0)-1,MATCH(J108,Rame!$A$1:$AA$1,0)-1)=TRUE),0,OFFSET(Rame!$A$1,MATCH(H108,Rame!$A:$A,0)-1,MATCH(J108,Rame!$A$1:$AA$1,0)-1))*IF(E108="Rame",1,0),4)</f>
        <v>0</v>
      </c>
      <c r="N108" s="446">
        <v>0</v>
      </c>
      <c r="O108" s="446">
        <v>1.72</v>
      </c>
      <c r="P108" s="446">
        <f ca="1">ROUND(+IF(ISERROR(OFFSET(Tabella!$G$1,MATCH(H108,Tabella!$G:$G,0)-1,MATCH(I108,Tabella!$G$1:$FG$1,0)-1)=TRUE),0,OFFSET(Tabella!$G$1,MATCH(H108,Tabella!$G:$G,0)-1,MATCH(I108,Tabella!$G$1:$AB$1,0)-1)),4)</f>
        <v>0</v>
      </c>
      <c r="Q108" s="446">
        <f ca="1">ROUND(IF(ISERROR(OFFSET(Ottone!$F$1,MATCH(H108,Ottone!$A:$A,0)-1,MATCH(I108,Ottone!$F$1:$FF$1,0)-1)=TRUE),0,OFFSET(Ottone!$F$1,MATCH(H108,Ottone!$A:$A,0)-1,MATCH(I108,Ottone!$F$1:$FF$1,0)-1))*IF(E108="Ottone",1,0),4)</f>
        <v>0</v>
      </c>
      <c r="R108" s="446">
        <f ca="1">ROUND(IF(ISERROR(OFFSET(Rame!$F$1,MATCH(H108,Rame!$F:$F,0)-1,MATCH(I108,Rame!$F$1:$FF$1,0)-1)=TRUE),0,OFFSET(Rame!$F$1,MATCH(H108,Rame!$F:$F,0)-1,MATCH(I108,Rame!$F$1:$FF$1,0)-1))*IF(E108="Rame",1,0),4)</f>
        <v>0</v>
      </c>
      <c r="S108" s="446">
        <f ca="1">ROUND(IF(ISERROR(OFFSET(Bronzo!$A$1,MATCH(H108,Bronzo!$A:$A,0)-1,MATCH(I108,Bronzo!$A$1:$AA$1,0)-1)=TRUE),0,OFFSET(Bronzo!$A$1,MATCH(H108,Bronzo!$A:$A,0)-1,MATCH(I108,Bronzo!$A$1:$AA$1,0)-1)),4)</f>
        <v>0</v>
      </c>
      <c r="T108" s="446">
        <f t="shared" ca="1" si="106"/>
        <v>0</v>
      </c>
      <c r="U108" s="443"/>
      <c r="V108" s="446">
        <v>0</v>
      </c>
      <c r="W108" s="449">
        <f t="shared" ca="1" si="107"/>
        <v>1.72</v>
      </c>
      <c r="X108" s="454">
        <f t="shared" si="92"/>
        <v>70.209999999999994</v>
      </c>
      <c r="Y108" s="440">
        <v>4.33</v>
      </c>
      <c r="Z108" s="440">
        <f t="shared" ca="1" si="108"/>
        <v>0</v>
      </c>
      <c r="AA108" s="241"/>
      <c r="AD108" s="223" t="s">
        <v>403</v>
      </c>
      <c r="AF108" s="225">
        <f t="shared" ca="1" si="93"/>
        <v>46156</v>
      </c>
      <c r="AG108" s="225" t="b">
        <f t="shared" si="109"/>
        <v>1</v>
      </c>
      <c r="AH108" s="242" t="str">
        <f t="shared" si="110"/>
        <v/>
      </c>
      <c r="AK108" s="223">
        <f t="shared" si="111"/>
        <v>0</v>
      </c>
      <c r="AL108" s="223">
        <f t="shared" si="112"/>
        <v>1900</v>
      </c>
      <c r="AS108" s="223">
        <f t="shared" si="113"/>
        <v>0</v>
      </c>
      <c r="AT108" s="223">
        <f t="shared" si="114"/>
        <v>0</v>
      </c>
    </row>
    <row r="109" spans="2:46" ht="15.75" x14ac:dyDescent="0.25">
      <c r="B109" s="229" t="s">
        <v>530</v>
      </c>
      <c r="C109" s="235" t="s">
        <v>396</v>
      </c>
      <c r="D109" s="243">
        <v>500</v>
      </c>
      <c r="E109" s="232" t="s">
        <v>4</v>
      </c>
      <c r="F109" s="435">
        <v>2.91</v>
      </c>
      <c r="G109" s="234">
        <v>46100</v>
      </c>
      <c r="H109" s="235" t="s">
        <v>11</v>
      </c>
      <c r="I109" s="235"/>
      <c r="J109" s="440">
        <v>0.1</v>
      </c>
      <c r="K109" s="443">
        <f ca="1">ROUND(IF(ISERROR(OFFSET(Tabella!$A$1,MATCH(H109,Tabella!$A:$A,0)-1,MATCH(J109,Tabella!$A$1:$AC$1,0)-1)=TRUE),0,+OFFSET(Tabella!$A$1,MATCH(H109,Tabella!$A:$A,0)-1,MATCH(J109,Tabella!$A$1:$AC$1,0)-1)),4)</f>
        <v>1.65</v>
      </c>
      <c r="L109" s="446">
        <f ca="1">ROUND(IF(ISERROR(OFFSET(Ottone!$A$1,MATCH(H109,Ottone!$A:$A,0)-1,MATCH(J109,Ottone!$A$1:$Z$1,0)-1)=TRUE),0,OFFSET(Ottone!$A$1,MATCH(H109,Ottone!$A:$A,0)-1,MATCH(J109,Ottone!$A$1:$Z$1,0)-1))*IF(E109="Ottone",1,0),4)</f>
        <v>0</v>
      </c>
      <c r="M109" s="446">
        <f ca="1">ROUND(IF(ISERROR(OFFSET(Rame!$A$1,MATCH(H109,Rame!$A:$A,0)-1,MATCH(J109,Rame!$A$1:$AA$1,0)-1)=TRUE),0,OFFSET(Rame!$A$1,MATCH(H109,Rame!$A:$A,0)-1,MATCH(J109,Rame!$A$1:$AA$1,0)-1))*IF(E109="Rame",1,0),4)</f>
        <v>0</v>
      </c>
      <c r="N109" s="446">
        <v>0</v>
      </c>
      <c r="O109" s="446">
        <v>1.88</v>
      </c>
      <c r="P109" s="446">
        <f ca="1">ROUND(+IF(ISERROR(OFFSET(Tabella!$G$1,MATCH(H109,Tabella!$G:$G,0)-1,MATCH(I109,Tabella!$G$1:$FG$1,0)-1)=TRUE),0,OFFSET(Tabella!$G$1,MATCH(H109,Tabella!$G:$G,0)-1,MATCH(I109,Tabella!$G$1:$AB$1,0)-1)),4)</f>
        <v>0</v>
      </c>
      <c r="Q109" s="446">
        <f ca="1">ROUND(IF(ISERROR(OFFSET(Ottone!$F$1,MATCH(H109,Ottone!$A:$A,0)-1,MATCH(I109,Ottone!$F$1:$FF$1,0)-1)=TRUE),0,OFFSET(Ottone!$F$1,MATCH(H109,Ottone!$A:$A,0)-1,MATCH(I109,Ottone!$F$1:$FF$1,0)-1))*IF(E109="Ottone",1,0),4)</f>
        <v>0</v>
      </c>
      <c r="R109" s="446">
        <f ca="1">ROUND(IF(ISERROR(OFFSET(Rame!$F$1,MATCH(H109,Rame!$F:$F,0)-1,MATCH(I109,Rame!$F$1:$FF$1,0)-1)=TRUE),0,OFFSET(Rame!$F$1,MATCH(H109,Rame!$F:$F,0)-1,MATCH(I109,Rame!$F$1:$FF$1,0)-1))*IF(E109="Rame",1,0),4)</f>
        <v>0</v>
      </c>
      <c r="S109" s="446">
        <f ca="1">ROUND(IF(ISERROR(OFFSET(Bronzo!$A$1,MATCH(H109,Bronzo!$A:$A,0)-1,MATCH(I109,Bronzo!$A$1:$AA$1,0)-1)=TRUE),0,OFFSET(Bronzo!$A$1,MATCH(H109,Bronzo!$A:$A,0)-1,MATCH(I109,Bronzo!$A$1:$AA$1,0)-1)),4)</f>
        <v>0</v>
      </c>
      <c r="T109" s="446">
        <f t="shared" ca="1" si="106"/>
        <v>0</v>
      </c>
      <c r="U109" s="443"/>
      <c r="V109" s="446">
        <v>0</v>
      </c>
      <c r="W109" s="449">
        <f t="shared" ca="1" si="107"/>
        <v>1.88</v>
      </c>
      <c r="X109" s="452">
        <f t="shared" si="92"/>
        <v>50</v>
      </c>
      <c r="Y109" s="440">
        <v>5.03</v>
      </c>
      <c r="Z109" s="440">
        <f t="shared" ca="1" si="108"/>
        <v>0.24</v>
      </c>
      <c r="AA109" s="241">
        <v>46192</v>
      </c>
      <c r="AF109" s="225">
        <f t="shared" ca="1" si="93"/>
        <v>46156</v>
      </c>
      <c r="AG109" s="225" t="b">
        <f t="shared" si="109"/>
        <v>0</v>
      </c>
      <c r="AH109" s="242">
        <f t="shared" ca="1" si="110"/>
        <v>36</v>
      </c>
      <c r="AK109" s="223">
        <f t="shared" si="111"/>
        <v>25</v>
      </c>
      <c r="AL109" s="223">
        <f t="shared" si="112"/>
        <v>2026</v>
      </c>
      <c r="AS109" s="223">
        <f t="shared" si="113"/>
        <v>6</v>
      </c>
      <c r="AT109" s="223">
        <f t="shared" si="114"/>
        <v>2026</v>
      </c>
    </row>
    <row r="110" spans="2:46" ht="15.75" x14ac:dyDescent="0.25">
      <c r="B110" s="229" t="s">
        <v>530</v>
      </c>
      <c r="C110" s="235" t="s">
        <v>396</v>
      </c>
      <c r="D110" s="243">
        <v>1300</v>
      </c>
      <c r="E110" s="232" t="s">
        <v>4</v>
      </c>
      <c r="F110" s="435">
        <v>2.91</v>
      </c>
      <c r="G110" s="234">
        <v>46100</v>
      </c>
      <c r="H110" s="235" t="s">
        <v>11</v>
      </c>
      <c r="I110" s="235"/>
      <c r="J110" s="440">
        <v>0.1</v>
      </c>
      <c r="K110" s="443">
        <f ca="1">ROUND(IF(ISERROR(OFFSET(Tabella!$A$1,MATCH(H110,Tabella!$A:$A,0)-1,MATCH(J110,Tabella!$A$1:$AC$1,0)-1)=TRUE),0,+OFFSET(Tabella!$A$1,MATCH(H110,Tabella!$A:$A,0)-1,MATCH(J110,Tabella!$A$1:$AC$1,0)-1)),4)</f>
        <v>1.65</v>
      </c>
      <c r="L110" s="446">
        <f ca="1">ROUND(IF(ISERROR(OFFSET(Ottone!$A$1,MATCH(H110,Ottone!$A:$A,0)-1,MATCH(J110,Ottone!$A$1:$Z$1,0)-1)=TRUE),0,OFFSET(Ottone!$A$1,MATCH(H110,Ottone!$A:$A,0)-1,MATCH(J110,Ottone!$A$1:$Z$1,0)-1))*IF(E110="Ottone",1,0),4)</f>
        <v>0</v>
      </c>
      <c r="M110" s="446">
        <f ca="1">ROUND(IF(ISERROR(OFFSET(Rame!$A$1,MATCH(H110,Rame!$A:$A,0)-1,MATCH(J110,Rame!$A$1:$AA$1,0)-1)=TRUE),0,OFFSET(Rame!$A$1,MATCH(H110,Rame!$A:$A,0)-1,MATCH(J110,Rame!$A$1:$AA$1,0)-1))*IF(E110="Rame",1,0),4)</f>
        <v>0</v>
      </c>
      <c r="N110" s="446">
        <v>0</v>
      </c>
      <c r="O110" s="446">
        <v>1.88</v>
      </c>
      <c r="P110" s="446">
        <f ca="1">ROUND(+IF(ISERROR(OFFSET(Tabella!$G$1,MATCH(H110,Tabella!$G:$G,0)-1,MATCH(I110,Tabella!$G$1:$FG$1,0)-1)=TRUE),0,OFFSET(Tabella!$G$1,MATCH(H110,Tabella!$G:$G,0)-1,MATCH(I110,Tabella!$G$1:$AB$1,0)-1)),4)</f>
        <v>0</v>
      </c>
      <c r="Q110" s="446">
        <f ca="1">ROUND(IF(ISERROR(OFFSET(Ottone!$F$1,MATCH(H110,Ottone!$A:$A,0)-1,MATCH(I110,Ottone!$F$1:$FF$1,0)-1)=TRUE),0,OFFSET(Ottone!$F$1,MATCH(H110,Ottone!$A:$A,0)-1,MATCH(I110,Ottone!$F$1:$FF$1,0)-1))*IF(E110="Ottone",1,0),4)</f>
        <v>0</v>
      </c>
      <c r="R110" s="446">
        <f ca="1">ROUND(IF(ISERROR(OFFSET(Rame!$F$1,MATCH(H110,Rame!$F:$F,0)-1,MATCH(I110,Rame!$F$1:$FF$1,0)-1)=TRUE),0,OFFSET(Rame!$F$1,MATCH(H110,Rame!$F:$F,0)-1,MATCH(I110,Rame!$F$1:$FF$1,0)-1))*IF(E110="Rame",1,0),4)</f>
        <v>0</v>
      </c>
      <c r="S110" s="446">
        <f ca="1">ROUND(IF(ISERROR(OFFSET(Bronzo!$A$1,MATCH(H110,Bronzo!$A:$A,0)-1,MATCH(I110,Bronzo!$A$1:$AA$1,0)-1)=TRUE),0,OFFSET(Bronzo!$A$1,MATCH(H110,Bronzo!$A:$A,0)-1,MATCH(I110,Bronzo!$A$1:$AA$1,0)-1)),4)</f>
        <v>0</v>
      </c>
      <c r="T110" s="446">
        <f t="shared" ca="1" si="106"/>
        <v>0</v>
      </c>
      <c r="U110" s="443"/>
      <c r="V110" s="446">
        <v>0</v>
      </c>
      <c r="W110" s="449">
        <f t="shared" ca="1" si="107"/>
        <v>1.88</v>
      </c>
      <c r="X110" s="452">
        <f t="shared" si="92"/>
        <v>130</v>
      </c>
      <c r="Y110" s="440">
        <v>5.03</v>
      </c>
      <c r="Z110" s="440">
        <f t="shared" ca="1" si="108"/>
        <v>0.24</v>
      </c>
      <c r="AA110" s="241">
        <v>46192</v>
      </c>
      <c r="AF110" s="225">
        <f t="shared" ca="1" si="93"/>
        <v>46156</v>
      </c>
      <c r="AG110" s="225" t="b">
        <f t="shared" si="109"/>
        <v>0</v>
      </c>
      <c r="AH110" s="242">
        <f t="shared" ca="1" si="110"/>
        <v>36</v>
      </c>
      <c r="AK110" s="223">
        <f t="shared" si="111"/>
        <v>25</v>
      </c>
      <c r="AL110" s="223">
        <f t="shared" si="112"/>
        <v>2026</v>
      </c>
      <c r="AS110" s="223">
        <f t="shared" si="113"/>
        <v>6</v>
      </c>
      <c r="AT110" s="223">
        <f t="shared" si="114"/>
        <v>2026</v>
      </c>
    </row>
    <row r="111" spans="2:46" ht="15.75" x14ac:dyDescent="0.25">
      <c r="B111" s="229" t="s">
        <v>531</v>
      </c>
      <c r="C111" s="235" t="s">
        <v>396</v>
      </c>
      <c r="D111" s="243">
        <v>1500</v>
      </c>
      <c r="E111" s="232" t="s">
        <v>4</v>
      </c>
      <c r="F111" s="435">
        <v>2.91</v>
      </c>
      <c r="G111" s="234">
        <v>46100</v>
      </c>
      <c r="H111" s="235" t="s">
        <v>9</v>
      </c>
      <c r="I111" s="235"/>
      <c r="J111" s="440">
        <v>7.0000000000000007E-2</v>
      </c>
      <c r="K111" s="443">
        <f ca="1">ROUND(IF(ISERROR(OFFSET(Tabella!$A$1,MATCH(H111,Tabella!$A:$A,0)-1,MATCH(J111,Tabella!$A$1:$AC$1,0)-1)=TRUE),0,+OFFSET(Tabella!$A$1,MATCH(H111,Tabella!$A:$A,0)-1,MATCH(J111,Tabella!$A$1:$AC$1,0)-1)),4)</f>
        <v>1.6</v>
      </c>
      <c r="L111" s="446">
        <f ca="1">ROUND(IF(ISERROR(OFFSET(Ottone!$A$1,MATCH(H111,Ottone!$A:$A,0)-1,MATCH(J111,Ottone!$A$1:$Z$1,0)-1)=TRUE),0,OFFSET(Ottone!$A$1,MATCH(H111,Ottone!$A:$A,0)-1,MATCH(J111,Ottone!$A$1:$Z$1,0)-1))*IF(E111="Ottone",1,0),4)</f>
        <v>0</v>
      </c>
      <c r="M111" s="446">
        <f ca="1">ROUND(IF(ISERROR(OFFSET(Rame!$A$1,MATCH(H111,Rame!$A:$A,0)-1,MATCH(J111,Rame!$A$1:$AA$1,0)-1)=TRUE),0,OFFSET(Rame!$A$1,MATCH(H111,Rame!$A:$A,0)-1,MATCH(J111,Rame!$A$1:$AA$1,0)-1))*IF(E111="Rame",1,0),4)</f>
        <v>0</v>
      </c>
      <c r="N111" s="446">
        <v>0</v>
      </c>
      <c r="O111" s="446">
        <v>1.9</v>
      </c>
      <c r="P111" s="446">
        <f ca="1">ROUND(+IF(ISERROR(OFFSET(Tabella!$G$1,MATCH(H111,Tabella!$G:$G,0)-1,MATCH(I111,Tabella!$G$1:$FG$1,0)-1)=TRUE),0,OFFSET(Tabella!$G$1,MATCH(H111,Tabella!$G:$G,0)-1,MATCH(I111,Tabella!$G$1:$AB$1,0)-1)),4)</f>
        <v>0</v>
      </c>
      <c r="Q111" s="446">
        <f ca="1">ROUND(IF(ISERROR(OFFSET(Ottone!$F$1,MATCH(H111,Ottone!$A:$A,0)-1,MATCH(I111,Ottone!$F$1:$FF$1,0)-1)=TRUE),0,OFFSET(Ottone!$F$1,MATCH(H111,Ottone!$A:$A,0)-1,MATCH(I111,Ottone!$F$1:$FF$1,0)-1))*IF(E111="Ottone",1,0),4)</f>
        <v>0</v>
      </c>
      <c r="R111" s="446">
        <f ca="1">ROUND(IF(ISERROR(OFFSET(Rame!$F$1,MATCH(H111,Rame!$F:$F,0)-1,MATCH(I111,Rame!$F$1:$FF$1,0)-1)=TRUE),0,OFFSET(Rame!$F$1,MATCH(H111,Rame!$F:$F,0)-1,MATCH(I111,Rame!$F$1:$FF$1,0)-1))*IF(E111="Rame",1,0),4)</f>
        <v>0</v>
      </c>
      <c r="S111" s="446">
        <f ca="1">ROUND(IF(ISERROR(OFFSET(Bronzo!$A$1,MATCH(H111,Bronzo!$A:$A,0)-1,MATCH(I111,Bronzo!$A$1:$AA$1,0)-1)=TRUE),0,OFFSET(Bronzo!$A$1,MATCH(H111,Bronzo!$A:$A,0)-1,MATCH(I111,Bronzo!$A$1:$AA$1,0)-1)),4)</f>
        <v>0</v>
      </c>
      <c r="T111" s="446">
        <f t="shared" ca="1" si="106"/>
        <v>0</v>
      </c>
      <c r="U111" s="443"/>
      <c r="V111" s="446">
        <v>0</v>
      </c>
      <c r="W111" s="449">
        <f t="shared" ca="1" si="107"/>
        <v>1.9</v>
      </c>
      <c r="X111" s="452">
        <f t="shared" si="92"/>
        <v>105</v>
      </c>
      <c r="Y111" s="440">
        <v>5.03</v>
      </c>
      <c r="Z111" s="440">
        <f t="shared" ca="1" si="108"/>
        <v>0.22</v>
      </c>
      <c r="AA111" s="241">
        <v>46297</v>
      </c>
      <c r="AF111" s="225">
        <f t="shared" ca="1" si="93"/>
        <v>46156</v>
      </c>
      <c r="AG111" s="225" t="b">
        <f t="shared" si="109"/>
        <v>0</v>
      </c>
      <c r="AH111" s="242">
        <f t="shared" ca="1" si="110"/>
        <v>141</v>
      </c>
      <c r="AK111" s="223">
        <f t="shared" si="111"/>
        <v>40</v>
      </c>
      <c r="AL111" s="223">
        <f t="shared" si="112"/>
        <v>2026</v>
      </c>
      <c r="AS111" s="223">
        <f t="shared" si="113"/>
        <v>10</v>
      </c>
      <c r="AT111" s="223">
        <f t="shared" si="114"/>
        <v>2026</v>
      </c>
    </row>
    <row r="112" spans="2:46" ht="15.75" x14ac:dyDescent="0.25">
      <c r="B112" s="229" t="s">
        <v>476</v>
      </c>
      <c r="C112" s="235" t="s">
        <v>102</v>
      </c>
      <c r="D112" s="243">
        <v>1200</v>
      </c>
      <c r="E112" s="232" t="s">
        <v>4</v>
      </c>
      <c r="F112" s="435">
        <v>2.65</v>
      </c>
      <c r="G112" s="234">
        <v>46050</v>
      </c>
      <c r="H112" s="235" t="s">
        <v>27</v>
      </c>
      <c r="I112" s="235"/>
      <c r="J112" s="440">
        <v>7.0000000000000007E-2</v>
      </c>
      <c r="K112" s="443">
        <f ca="1">ROUND(IF(ISERROR(OFFSET(Tabella!$A$1,MATCH(H112,Tabella!$A:$A,0)-1,MATCH(J112,Tabella!$A$1:$AC$1,0)-1)=TRUE),0,+OFFSET(Tabella!$A$1,MATCH(H112,Tabella!$A:$A,0)-1,MATCH(J112,Tabella!$A$1:$AC$1,0)-1)),4)</f>
        <v>1.25</v>
      </c>
      <c r="L112" s="446">
        <f ca="1">ROUND(IF(ISERROR(OFFSET(Ottone!$A$1,MATCH(H112,Ottone!$A:$A,0)-1,MATCH(J112,Ottone!$A$1:$Z$1,0)-1)=TRUE),0,OFFSET(Ottone!$A$1,MATCH(H112,Ottone!$A:$A,0)-1,MATCH(J112,Ottone!$A$1:$Z$1,0)-1))*IF(E112="Ottone",1,0),4)</f>
        <v>0</v>
      </c>
      <c r="M112" s="446">
        <f ca="1">ROUND(IF(ISERROR(OFFSET(Rame!$A$1,MATCH(H112,Rame!$A:$A,0)-1,MATCH(J112,Rame!$A$1:$AA$1,0)-1)=TRUE),0,OFFSET(Rame!$A$1,MATCH(H112,Rame!$A:$A,0)-1,MATCH(J112,Rame!$A$1:$AA$1,0)-1))*IF(E112="Rame",1,0),4)</f>
        <v>0</v>
      </c>
      <c r="N112" s="446">
        <v>0</v>
      </c>
      <c r="O112" s="446">
        <f ca="1">ROUND(SUM(K112:N112),4)</f>
        <v>1.25</v>
      </c>
      <c r="P112" s="446">
        <f ca="1">ROUND(+IF(ISERROR(OFFSET(Tabella!$G$1,MATCH(H112,Tabella!$G:$G,0)-1,MATCH(I112,Tabella!$G$1:$FG$1,0)-1)=TRUE),0,OFFSET(Tabella!$G$1,MATCH(H112,Tabella!$G:$G,0)-1,MATCH(I112,Tabella!$G$1:$AB$1,0)-1)),4)</f>
        <v>0</v>
      </c>
      <c r="Q112" s="446">
        <f ca="1">ROUND(IF(ISERROR(OFFSET(Ottone!$F$1,MATCH(H112,Ottone!$A:$A,0)-1,MATCH(I112,Ottone!$F$1:$FF$1,0)-1)=TRUE),0,OFFSET(Ottone!$F$1,MATCH(H112,Ottone!$A:$A,0)-1,MATCH(I112,Ottone!$F$1:$FF$1,0)-1))*IF(E112="Ottone",1,0),4)</f>
        <v>0</v>
      </c>
      <c r="R112" s="446">
        <f ca="1">ROUND(IF(ISERROR(OFFSET(Rame!$F$1,MATCH(H112,Rame!$F:$F,0)-1,MATCH(I112,Rame!$F$1:$FF$1,0)-1)=TRUE),0,OFFSET(Rame!$F$1,MATCH(H112,Rame!$F:$F,0)-1,MATCH(I112,Rame!$F$1:$FF$1,0)-1))*IF(E112="Rame",1,0),4)</f>
        <v>0</v>
      </c>
      <c r="S112" s="446">
        <f ca="1">ROUND(IF(ISERROR(OFFSET(Bronzo!$A$1,MATCH(H112,Bronzo!$A:$A,0)-1,MATCH(I112,Bronzo!$A$1:$AA$1,0)-1)=TRUE),0,OFFSET(Bronzo!$A$1,MATCH(H112,Bronzo!$A:$A,0)-1,MATCH(I112,Bronzo!$A$1:$AA$1,0)-1)),4)</f>
        <v>0</v>
      </c>
      <c r="T112" s="446">
        <f t="shared" ca="1" si="106"/>
        <v>0</v>
      </c>
      <c r="U112" s="443"/>
      <c r="V112" s="446">
        <v>0</v>
      </c>
      <c r="W112" s="449">
        <f t="shared" ca="1" si="107"/>
        <v>1.25</v>
      </c>
      <c r="X112" s="452">
        <f t="shared" si="92"/>
        <v>84</v>
      </c>
      <c r="Y112" s="440">
        <v>4.1500000000000004</v>
      </c>
      <c r="Z112" s="440">
        <f t="shared" ca="1" si="108"/>
        <v>0.25</v>
      </c>
      <c r="AA112" s="241">
        <v>46146</v>
      </c>
      <c r="AF112" s="225">
        <f t="shared" ca="1" si="93"/>
        <v>46156</v>
      </c>
      <c r="AG112" s="225" t="b">
        <f t="shared" si="109"/>
        <v>0</v>
      </c>
      <c r="AH112" s="242">
        <f t="shared" ca="1" si="110"/>
        <v>-10</v>
      </c>
      <c r="AK112" s="223">
        <f t="shared" si="111"/>
        <v>19</v>
      </c>
      <c r="AL112" s="223">
        <f t="shared" si="112"/>
        <v>2026</v>
      </c>
      <c r="AS112" s="223">
        <f t="shared" si="113"/>
        <v>5</v>
      </c>
      <c r="AT112" s="223">
        <f t="shared" si="114"/>
        <v>2026</v>
      </c>
    </row>
    <row r="113" spans="2:46" ht="15.75" x14ac:dyDescent="0.25">
      <c r="B113" s="229" t="s">
        <v>476</v>
      </c>
      <c r="C113" s="235" t="s">
        <v>102</v>
      </c>
      <c r="D113" s="243">
        <v>1000</v>
      </c>
      <c r="E113" s="232" t="s">
        <v>4</v>
      </c>
      <c r="F113" s="435">
        <v>2.65</v>
      </c>
      <c r="G113" s="234">
        <v>46050</v>
      </c>
      <c r="H113" s="235" t="s">
        <v>27</v>
      </c>
      <c r="I113" s="235"/>
      <c r="J113" s="440">
        <v>7.0000000000000007E-2</v>
      </c>
      <c r="K113" s="443">
        <f ca="1">ROUND(IF(ISERROR(OFFSET(Tabella!$A$1,MATCH(H113,Tabella!$A:$A,0)-1,MATCH(J113,Tabella!$A$1:$AC$1,0)-1)=TRUE),0,+OFFSET(Tabella!$A$1,MATCH(H113,Tabella!$A:$A,0)-1,MATCH(J113,Tabella!$A$1:$AC$1,0)-1)),4)</f>
        <v>1.25</v>
      </c>
      <c r="L113" s="446">
        <f ca="1">ROUND(IF(ISERROR(OFFSET(Ottone!$A$1,MATCH(H113,Ottone!$A:$A,0)-1,MATCH(J113,Ottone!$A$1:$Z$1,0)-1)=TRUE),0,OFFSET(Ottone!$A$1,MATCH(H113,Ottone!$A:$A,0)-1,MATCH(J113,Ottone!$A$1:$Z$1,0)-1))*IF(E113="Ottone",1,0),4)</f>
        <v>0</v>
      </c>
      <c r="M113" s="446">
        <f ca="1">ROUND(IF(ISERROR(OFFSET(Rame!$A$1,MATCH(H113,Rame!$A:$A,0)-1,MATCH(J113,Rame!$A$1:$AA$1,0)-1)=TRUE),0,OFFSET(Rame!$A$1,MATCH(H113,Rame!$A:$A,0)-1,MATCH(J113,Rame!$A$1:$AA$1,0)-1))*IF(E113="Rame",1,0),4)</f>
        <v>0</v>
      </c>
      <c r="N113" s="446">
        <v>0</v>
      </c>
      <c r="O113" s="446">
        <f ca="1">ROUND(SUM(K113:N113),4)</f>
        <v>1.25</v>
      </c>
      <c r="P113" s="446">
        <f ca="1">ROUND(+IF(ISERROR(OFFSET(Tabella!$G$1,MATCH(H113,Tabella!$G:$G,0)-1,MATCH(I113,Tabella!$G$1:$FG$1,0)-1)=TRUE),0,OFFSET(Tabella!$G$1,MATCH(H113,Tabella!$G:$G,0)-1,MATCH(I113,Tabella!$G$1:$AB$1,0)-1)),4)</f>
        <v>0</v>
      </c>
      <c r="Q113" s="446">
        <f ca="1">ROUND(IF(ISERROR(OFFSET(Ottone!$F$1,MATCH(H113,Ottone!$A:$A,0)-1,MATCH(I113,Ottone!$F$1:$FF$1,0)-1)=TRUE),0,OFFSET(Ottone!$F$1,MATCH(H113,Ottone!$A:$A,0)-1,MATCH(I113,Ottone!$F$1:$FF$1,0)-1))*IF(E113="Ottone",1,0),4)</f>
        <v>0</v>
      </c>
      <c r="R113" s="446">
        <f ca="1">ROUND(IF(ISERROR(OFFSET(Rame!$F$1,MATCH(H113,Rame!$F:$F,0)-1,MATCH(I113,Rame!$F$1:$FF$1,0)-1)=TRUE),0,OFFSET(Rame!$F$1,MATCH(H113,Rame!$F:$F,0)-1,MATCH(I113,Rame!$F$1:$FF$1,0)-1))*IF(E113="Rame",1,0),4)</f>
        <v>0</v>
      </c>
      <c r="S113" s="446">
        <f ca="1">ROUND(IF(ISERROR(OFFSET(Bronzo!$A$1,MATCH(H113,Bronzo!$A:$A,0)-1,MATCH(I113,Bronzo!$A$1:$AA$1,0)-1)=TRUE),0,OFFSET(Bronzo!$A$1,MATCH(H113,Bronzo!$A:$A,0)-1,MATCH(I113,Bronzo!$A$1:$AA$1,0)-1)),4)</f>
        <v>0</v>
      </c>
      <c r="T113" s="446">
        <f t="shared" ca="1" si="106"/>
        <v>0</v>
      </c>
      <c r="U113" s="443"/>
      <c r="V113" s="446">
        <v>0</v>
      </c>
      <c r="W113" s="449">
        <f t="shared" ca="1" si="107"/>
        <v>1.25</v>
      </c>
      <c r="X113" s="452">
        <f t="shared" si="92"/>
        <v>70</v>
      </c>
      <c r="Y113" s="440">
        <v>4.1500000000000004</v>
      </c>
      <c r="Z113" s="440">
        <f t="shared" ca="1" si="108"/>
        <v>0.25</v>
      </c>
      <c r="AA113" s="241">
        <v>46146</v>
      </c>
      <c r="AF113" s="225">
        <f t="shared" ca="1" si="93"/>
        <v>46156</v>
      </c>
      <c r="AG113" s="225" t="b">
        <f t="shared" si="109"/>
        <v>0</v>
      </c>
      <c r="AH113" s="242">
        <f t="shared" ca="1" si="110"/>
        <v>-10</v>
      </c>
      <c r="AK113" s="223">
        <f t="shared" si="111"/>
        <v>19</v>
      </c>
      <c r="AL113" s="223">
        <f t="shared" si="112"/>
        <v>2026</v>
      </c>
      <c r="AS113" s="223">
        <f t="shared" si="113"/>
        <v>5</v>
      </c>
      <c r="AT113" s="223">
        <f t="shared" si="114"/>
        <v>2026</v>
      </c>
    </row>
    <row r="114" spans="2:46" ht="15.75" x14ac:dyDescent="0.25">
      <c r="B114" s="229" t="s">
        <v>478</v>
      </c>
      <c r="C114" s="235" t="s">
        <v>330</v>
      </c>
      <c r="D114" s="243">
        <v>2000</v>
      </c>
      <c r="E114" s="232" t="s">
        <v>4</v>
      </c>
      <c r="F114" s="436">
        <v>1.7</v>
      </c>
      <c r="G114" s="234">
        <v>46099</v>
      </c>
      <c r="H114" s="235" t="s">
        <v>24</v>
      </c>
      <c r="I114" s="235"/>
      <c r="J114" s="440">
        <v>7.0000000000000007E-2</v>
      </c>
      <c r="K114" s="443">
        <f ca="1">ROUND(IF(ISERROR(OFFSET(Tabella!$A$1,MATCH(H114,Tabella!$A:$A,0)-1,MATCH(J114,Tabella!$A$1:$AC$1,0)-1)=TRUE),0,+OFFSET(Tabella!$A$1,MATCH(H114,Tabella!$A:$A,0)-1,MATCH(J114,Tabella!$A$1:$AC$1,0)-1)),4)</f>
        <v>1.25</v>
      </c>
      <c r="L114" s="446">
        <f ca="1">ROUND(IF(ISERROR(OFFSET(Ottone!$A$1,MATCH(H114,Ottone!$A:$A,0)-1,MATCH(J114,Ottone!$A$1:$Z$1,0)-1)=TRUE),0,OFFSET(Ottone!$A$1,MATCH(H114,Ottone!$A:$A,0)-1,MATCH(J114,Ottone!$A$1:$Z$1,0)-1))*IF(E114="Ottone",1,0),4)</f>
        <v>0</v>
      </c>
      <c r="M114" s="446">
        <f ca="1">ROUND(IF(ISERROR(OFFSET(Rame!$A$1,MATCH(H114,Rame!$A:$A,0)-1,MATCH(J114,Rame!$A$1:$AA$1,0)-1)=TRUE),0,OFFSET(Rame!$A$1,MATCH(H114,Rame!$A:$A,0)-1,MATCH(J114,Rame!$A$1:$AA$1,0)-1))*IF(E114="Rame",1,0),4)</f>
        <v>0</v>
      </c>
      <c r="N114" s="446">
        <v>0</v>
      </c>
      <c r="O114" s="446">
        <f ca="1">ROUND(SUM(K114:N114),4)</f>
        <v>1.25</v>
      </c>
      <c r="P114" s="446">
        <f ca="1">ROUND(+IF(ISERROR(OFFSET(Tabella!$G$1,MATCH(H114,Tabella!$G:$G,0)-1,MATCH(I114,Tabella!$G$1:$FG$1,0)-1)=TRUE),0,OFFSET(Tabella!$G$1,MATCH(H114,Tabella!$G:$G,0)-1,MATCH(I114,Tabella!$G$1:$AB$1,0)-1)),4)</f>
        <v>0</v>
      </c>
      <c r="Q114" s="446">
        <f ca="1">ROUND(IF(ISERROR(OFFSET(Ottone!$F$1,MATCH(H114,Ottone!$A:$A,0)-1,MATCH(I114,Ottone!$F$1:$FF$1,0)-1)=TRUE),0,OFFSET(Ottone!$F$1,MATCH(H114,Ottone!$A:$A,0)-1,MATCH(I114,Ottone!$F$1:$FF$1,0)-1))*IF(E114="Ottone",1,0),4)</f>
        <v>0</v>
      </c>
      <c r="R114" s="446">
        <f ca="1">ROUND(IF(ISERROR(OFFSET(Rame!$F$1,MATCH(H114,Rame!$F:$F,0)-1,MATCH(I114,Rame!$F$1:$FF$1,0)-1)=TRUE),0,OFFSET(Rame!$F$1,MATCH(H114,Rame!$F:$F,0)-1,MATCH(I114,Rame!$F$1:$FF$1,0)-1))*IF(E114="Rame",1,0),4)</f>
        <v>0</v>
      </c>
      <c r="S114" s="446">
        <f ca="1">ROUND(IF(ISERROR(OFFSET(Bronzo!$A$1,MATCH(H114,Bronzo!$A:$A,0)-1,MATCH(I114,Bronzo!$A$1:$AA$1,0)-1)=TRUE),0,OFFSET(Bronzo!$A$1,MATCH(H114,Bronzo!$A:$A,0)-1,MATCH(I114,Bronzo!$A$1:$AA$1,0)-1)),4)</f>
        <v>0</v>
      </c>
      <c r="T114" s="446">
        <f t="shared" ca="1" si="106"/>
        <v>0</v>
      </c>
      <c r="U114" s="443"/>
      <c r="V114" s="446">
        <v>0</v>
      </c>
      <c r="W114" s="449">
        <f t="shared" ca="1" si="107"/>
        <v>1.25</v>
      </c>
      <c r="X114" s="452">
        <f t="shared" si="92"/>
        <v>140</v>
      </c>
      <c r="Y114" s="458">
        <v>1.7</v>
      </c>
      <c r="Z114" s="440">
        <f t="shared" ca="1" si="108"/>
        <v>-1.25</v>
      </c>
      <c r="AA114" s="241">
        <v>46117</v>
      </c>
      <c r="AF114" s="225">
        <f t="shared" ca="1" si="93"/>
        <v>46156</v>
      </c>
      <c r="AG114" s="225" t="b">
        <f t="shared" si="109"/>
        <v>0</v>
      </c>
      <c r="AH114" s="242">
        <f t="shared" ca="1" si="110"/>
        <v>-39</v>
      </c>
      <c r="AK114" s="223">
        <f t="shared" si="111"/>
        <v>15</v>
      </c>
      <c r="AL114" s="223">
        <f t="shared" si="112"/>
        <v>2026</v>
      </c>
      <c r="AS114" s="223">
        <f t="shared" si="113"/>
        <v>4</v>
      </c>
      <c r="AT114" s="223">
        <f t="shared" si="114"/>
        <v>2026</v>
      </c>
    </row>
    <row r="115" spans="2:46" ht="15.75" x14ac:dyDescent="0.25">
      <c r="B115" s="229" t="s">
        <v>478</v>
      </c>
      <c r="C115" s="235" t="s">
        <v>330</v>
      </c>
      <c r="D115" s="243">
        <v>1000</v>
      </c>
      <c r="E115" s="232" t="s">
        <v>4</v>
      </c>
      <c r="F115" s="436">
        <v>1.7</v>
      </c>
      <c r="G115" s="234">
        <v>46099</v>
      </c>
      <c r="H115" s="235" t="s">
        <v>314</v>
      </c>
      <c r="I115" s="235"/>
      <c r="J115" s="440">
        <v>7.0000000000000007E-2</v>
      </c>
      <c r="K115" s="443">
        <f ca="1">ROUND(IF(ISERROR(OFFSET(Tabella!$A$1,MATCH(H115,Tabella!$A:$A,0)-1,MATCH(J115,Tabella!$A$1:$AC$1,0)-1)=TRUE),0,+OFFSET(Tabella!$A$1,MATCH(H115,Tabella!$A:$A,0)-1,MATCH(J115,Tabella!$A$1:$AC$1,0)-1)),4)</f>
        <v>1.25</v>
      </c>
      <c r="L115" s="446">
        <f ca="1">ROUND(IF(ISERROR(OFFSET(Ottone!$A$1,MATCH(H115,Ottone!$A:$A,0)-1,MATCH(J115,Ottone!$A$1:$Z$1,0)-1)=TRUE),0,OFFSET(Ottone!$A$1,MATCH(H115,Ottone!$A:$A,0)-1,MATCH(J115,Ottone!$A$1:$Z$1,0)-1))*IF(E115="Ottone",1,0),4)</f>
        <v>0</v>
      </c>
      <c r="M115" s="446">
        <f ca="1">ROUND(IF(ISERROR(OFFSET(Rame!$A$1,MATCH(H115,Rame!$A:$A,0)-1,MATCH(J115,Rame!$A$1:$AA$1,0)-1)=TRUE),0,OFFSET(Rame!$A$1,MATCH(H115,Rame!$A:$A,0)-1,MATCH(J115,Rame!$A$1:$AA$1,0)-1))*IF(E115="Rame",1,0),4)</f>
        <v>0</v>
      </c>
      <c r="N115" s="446">
        <v>0</v>
      </c>
      <c r="O115" s="446">
        <f ca="1">ROUND(SUM(K115:N115),4)</f>
        <v>1.25</v>
      </c>
      <c r="P115" s="446">
        <f ca="1">ROUND(+IF(ISERROR(OFFSET(Tabella!$G$1,MATCH(H115,Tabella!$G:$G,0)-1,MATCH(I115,Tabella!$G$1:$FG$1,0)-1)=TRUE),0,OFFSET(Tabella!$G$1,MATCH(H115,Tabella!$G:$G,0)-1,MATCH(I115,Tabella!$G$1:$AB$1,0)-1)),4)</f>
        <v>0</v>
      </c>
      <c r="Q115" s="446">
        <f ca="1">ROUND(IF(ISERROR(OFFSET(Ottone!$F$1,MATCH(H115,Ottone!$A:$A,0)-1,MATCH(I115,Ottone!$F$1:$FF$1,0)-1)=TRUE),0,OFFSET(Ottone!$F$1,MATCH(H115,Ottone!$A:$A,0)-1,MATCH(I115,Ottone!$F$1:$FF$1,0)-1))*IF(E115="Ottone",1,0),4)</f>
        <v>0</v>
      </c>
      <c r="R115" s="446">
        <f ca="1">ROUND(IF(ISERROR(OFFSET(Rame!$F$1,MATCH(H115,Rame!$F:$F,0)-1,MATCH(I115,Rame!$F$1:$FF$1,0)-1)=TRUE),0,OFFSET(Rame!$F$1,MATCH(H115,Rame!$F:$F,0)-1,MATCH(I115,Rame!$F$1:$FF$1,0)-1))*IF(E115="Rame",1,0),4)</f>
        <v>0</v>
      </c>
      <c r="S115" s="446">
        <f ca="1">ROUND(IF(ISERROR(OFFSET(Bronzo!$A$1,MATCH(H115,Bronzo!$A:$A,0)-1,MATCH(I115,Bronzo!$A$1:$AA$1,0)-1)=TRUE),0,OFFSET(Bronzo!$A$1,MATCH(H115,Bronzo!$A:$A,0)-1,MATCH(I115,Bronzo!$A$1:$AA$1,0)-1)),4)</f>
        <v>0</v>
      </c>
      <c r="T115" s="446">
        <f t="shared" ca="1" si="106"/>
        <v>0</v>
      </c>
      <c r="U115" s="443"/>
      <c r="V115" s="446">
        <v>0</v>
      </c>
      <c r="W115" s="449">
        <f t="shared" ca="1" si="107"/>
        <v>1.25</v>
      </c>
      <c r="X115" s="452">
        <f t="shared" si="92"/>
        <v>70</v>
      </c>
      <c r="Y115" s="458">
        <v>1.7</v>
      </c>
      <c r="Z115" s="440">
        <f t="shared" ca="1" si="108"/>
        <v>-1.25</v>
      </c>
      <c r="AA115" s="241">
        <v>46117</v>
      </c>
      <c r="AF115" s="225">
        <f t="shared" ca="1" si="93"/>
        <v>46156</v>
      </c>
      <c r="AG115" s="225" t="b">
        <f t="shared" si="109"/>
        <v>0</v>
      </c>
      <c r="AH115" s="242">
        <f t="shared" ca="1" si="110"/>
        <v>-39</v>
      </c>
      <c r="AK115" s="223">
        <f t="shared" si="111"/>
        <v>15</v>
      </c>
      <c r="AL115" s="223">
        <f t="shared" si="112"/>
        <v>2026</v>
      </c>
      <c r="AS115" s="223">
        <f t="shared" si="113"/>
        <v>4</v>
      </c>
      <c r="AT115" s="223">
        <f t="shared" si="114"/>
        <v>2026</v>
      </c>
    </row>
    <row r="116" spans="2:46" ht="15.75" x14ac:dyDescent="0.25">
      <c r="B116" s="229" t="s">
        <v>511</v>
      </c>
      <c r="C116" s="244" t="s">
        <v>263</v>
      </c>
      <c r="D116" s="245">
        <v>253</v>
      </c>
      <c r="E116" s="232" t="s">
        <v>4</v>
      </c>
      <c r="F116" s="435">
        <v>2.61</v>
      </c>
      <c r="G116" s="234">
        <v>46101</v>
      </c>
      <c r="H116" s="235" t="s">
        <v>9</v>
      </c>
      <c r="I116" s="235"/>
      <c r="J116" s="440">
        <v>7.0000000000000007E-2</v>
      </c>
      <c r="K116" s="443">
        <f ca="1">ROUND(IF(ISERROR(OFFSET(Tabella!$A$1,MATCH(H116,Tabella!$A:$A,0)-1,MATCH(J116,Tabella!$A$1:$AC$1,0)-1)=TRUE),0,+OFFSET(Tabella!$A$1,MATCH(H116,Tabella!$A:$A,0)-1,MATCH(J116,Tabella!$A$1:$AC$1,0)-1)),4)</f>
        <v>1.6</v>
      </c>
      <c r="L116" s="446">
        <f ca="1">ROUND(IF(ISERROR(OFFSET(Ottone!$A$1,MATCH(H116,Ottone!$A:$A,0)-1,MATCH(J116,Ottone!$A$1:$Z$1,0)-1)=TRUE),0,OFFSET(Ottone!$A$1,MATCH(H116,Ottone!$A:$A,0)-1,MATCH(J116,Ottone!$A$1:$Z$1,0)-1))*IF(E116="Ottone",1,0),4)</f>
        <v>0</v>
      </c>
      <c r="M116" s="446">
        <f ca="1">ROUND(IF(ISERROR(OFFSET(Rame!$A$1,MATCH(H116,Rame!$A:$A,0)-1,MATCH(J116,Rame!$A$1:$AA$1,0)-1)=TRUE),0,OFFSET(Rame!$A$1,MATCH(H116,Rame!$A:$A,0)-1,MATCH(J116,Rame!$A$1:$AA$1,0)-1))*IF(E116="Rame",1,0),4)</f>
        <v>0</v>
      </c>
      <c r="N116" s="446">
        <v>0</v>
      </c>
      <c r="O116" s="446">
        <v>1.8</v>
      </c>
      <c r="P116" s="446">
        <f ca="1">ROUND(+IF(ISERROR(OFFSET(Tabella!$G$1,MATCH(H116,Tabella!$G:$G,0)-1,MATCH(I116,Tabella!$G$1:$FG$1,0)-1)=TRUE),0,OFFSET(Tabella!$G$1,MATCH(H116,Tabella!$G:$G,0)-1,MATCH(I116,Tabella!$G$1:$AB$1,0)-1)),4)</f>
        <v>0</v>
      </c>
      <c r="Q116" s="446">
        <f ca="1">ROUND(IF(ISERROR(OFFSET(Ottone!$F$1,MATCH(H116,Ottone!$A:$A,0)-1,MATCH(I116,Ottone!$F$1:$FF$1,0)-1)=TRUE),0,OFFSET(Ottone!$F$1,MATCH(H116,Ottone!$A:$A,0)-1,MATCH(I116,Ottone!$F$1:$FF$1,0)-1))*IF(E116="Ottone",1,0),4)</f>
        <v>0</v>
      </c>
      <c r="R116" s="446">
        <f ca="1">ROUND(IF(ISERROR(OFFSET(Rame!$F$1,MATCH(H116,Rame!$F:$F,0)-1,MATCH(I116,Rame!$F$1:$FF$1,0)-1)=TRUE),0,OFFSET(Rame!$F$1,MATCH(H116,Rame!$F:$F,0)-1,MATCH(I116,Rame!$F$1:$FF$1,0)-1))*IF(E116="Rame",1,0),4)</f>
        <v>0</v>
      </c>
      <c r="S116" s="446">
        <f ca="1">ROUND(IF(ISERROR(OFFSET(Bronzo!$A$1,MATCH(H116,Bronzo!$A:$A,0)-1,MATCH(I116,Bronzo!$A$1:$AA$1,0)-1)=TRUE),0,OFFSET(Bronzo!$A$1,MATCH(H116,Bronzo!$A:$A,0)-1,MATCH(I116,Bronzo!$A$1:$AA$1,0)-1)),4)</f>
        <v>0</v>
      </c>
      <c r="T116" s="446">
        <f t="shared" ca="1" si="106"/>
        <v>0</v>
      </c>
      <c r="U116" s="443"/>
      <c r="V116" s="446">
        <v>0</v>
      </c>
      <c r="W116" s="449">
        <f t="shared" ca="1" si="107"/>
        <v>1.8</v>
      </c>
      <c r="X116" s="454">
        <f t="shared" si="92"/>
        <v>17.71</v>
      </c>
      <c r="Y116" s="440">
        <v>4.63</v>
      </c>
      <c r="Z116" s="440">
        <f t="shared" ca="1" si="108"/>
        <v>0.22</v>
      </c>
      <c r="AA116" s="241"/>
      <c r="AD116" s="223" t="s">
        <v>403</v>
      </c>
      <c r="AF116" s="225">
        <f t="shared" ca="1" si="93"/>
        <v>46156</v>
      </c>
      <c r="AG116" s="225" t="b">
        <f t="shared" si="109"/>
        <v>1</v>
      </c>
      <c r="AH116" s="242" t="str">
        <f t="shared" si="110"/>
        <v/>
      </c>
      <c r="AK116" s="223">
        <f t="shared" si="111"/>
        <v>0</v>
      </c>
      <c r="AL116" s="223">
        <f t="shared" si="112"/>
        <v>1900</v>
      </c>
      <c r="AS116" s="223">
        <f t="shared" si="113"/>
        <v>0</v>
      </c>
      <c r="AT116" s="223">
        <f t="shared" si="114"/>
        <v>0</v>
      </c>
    </row>
    <row r="117" spans="2:46" ht="15.75" x14ac:dyDescent="0.25">
      <c r="B117" s="229" t="s">
        <v>555</v>
      </c>
      <c r="C117" s="244" t="s">
        <v>263</v>
      </c>
      <c r="D117" s="245">
        <v>600</v>
      </c>
      <c r="E117" s="232" t="s">
        <v>4</v>
      </c>
      <c r="F117" s="435">
        <v>2.61</v>
      </c>
      <c r="G117" s="234">
        <v>46101</v>
      </c>
      <c r="H117" s="235" t="s">
        <v>13</v>
      </c>
      <c r="I117" s="235"/>
      <c r="J117" s="440">
        <v>7.0000000000000007E-2</v>
      </c>
      <c r="K117" s="443">
        <f ca="1">ROUND(IF(ISERROR(OFFSET(Tabella!$A$1,MATCH(H117,Tabella!$A:$A,0)-1,MATCH(J117,Tabella!$A$1:$AC$1,0)-1)=TRUE),0,+OFFSET(Tabella!$A$1,MATCH(H117,Tabella!$A:$A,0)-1,MATCH(J117,Tabella!$A$1:$AC$1,0)-1)),4)</f>
        <v>1.4</v>
      </c>
      <c r="L117" s="446">
        <f ca="1">ROUND(IF(ISERROR(OFFSET(Ottone!$A$1,MATCH(H117,Ottone!$A:$A,0)-1,MATCH(J117,Ottone!$A$1:$Z$1,0)-1)=TRUE),0,OFFSET(Ottone!$A$1,MATCH(H117,Ottone!$A:$A,0)-1,MATCH(J117,Ottone!$A$1:$Z$1,0)-1))*IF(E117="Ottone",1,0),4)</f>
        <v>0</v>
      </c>
      <c r="M117" s="446">
        <f ca="1">ROUND(IF(ISERROR(OFFSET(Rame!$A$1,MATCH(H117,Rame!$A:$A,0)-1,MATCH(J117,Rame!$A$1:$AA$1,0)-1)=TRUE),0,OFFSET(Rame!$A$1,MATCH(H117,Rame!$A:$A,0)-1,MATCH(J117,Rame!$A$1:$AA$1,0)-1))*IF(E117="Rame",1,0),4)</f>
        <v>0</v>
      </c>
      <c r="N117" s="446">
        <v>0</v>
      </c>
      <c r="O117" s="446">
        <v>1.65</v>
      </c>
      <c r="P117" s="446">
        <f ca="1">ROUND(+IF(ISERROR(OFFSET(Tabella!$G$1,MATCH(H117,Tabella!$G:$G,0)-1,MATCH(I117,Tabella!$G$1:$FG$1,0)-1)=TRUE),0,OFFSET(Tabella!$G$1,MATCH(H117,Tabella!$G:$G,0)-1,MATCH(I117,Tabella!$G$1:$AB$1,0)-1)),4)</f>
        <v>0</v>
      </c>
      <c r="Q117" s="446">
        <f ca="1">ROUND(IF(ISERROR(OFFSET(Ottone!$F$1,MATCH(H117,Ottone!$A:$A,0)-1,MATCH(I117,Ottone!$F$1:$FF$1,0)-1)=TRUE),0,OFFSET(Ottone!$F$1,MATCH(H117,Ottone!$A:$A,0)-1,MATCH(I117,Ottone!$F$1:$FF$1,0)-1))*IF(E117="Ottone",1,0),4)</f>
        <v>0</v>
      </c>
      <c r="R117" s="446">
        <f ca="1">ROUND(IF(ISERROR(OFFSET(Rame!$F$1,MATCH(H117,Rame!$F:$F,0)-1,MATCH(I117,Rame!$F$1:$FF$1,0)-1)=TRUE),0,OFFSET(Rame!$F$1,MATCH(H117,Rame!$F:$F,0)-1,MATCH(I117,Rame!$F$1:$FF$1,0)-1))*IF(E117="Rame",1,0),4)</f>
        <v>0</v>
      </c>
      <c r="S117" s="446">
        <f ca="1">ROUND(IF(ISERROR(OFFSET(Bronzo!$A$1,MATCH(H117,Bronzo!$A:$A,0)-1,MATCH(I117,Bronzo!$A$1:$AA$1,0)-1)=TRUE),0,OFFSET(Bronzo!$A$1,MATCH(H117,Bronzo!$A:$A,0)-1,MATCH(I117,Bronzo!$A$1:$AA$1,0)-1)),4)</f>
        <v>0</v>
      </c>
      <c r="T117" s="446">
        <f t="shared" ca="1" si="106"/>
        <v>0</v>
      </c>
      <c r="U117" s="443"/>
      <c r="V117" s="446">
        <v>0</v>
      </c>
      <c r="W117" s="449">
        <f t="shared" ca="1" si="107"/>
        <v>1.65</v>
      </c>
      <c r="X117" s="454">
        <f t="shared" si="92"/>
        <v>42</v>
      </c>
      <c r="Y117" s="440">
        <v>4.33</v>
      </c>
      <c r="Z117" s="440">
        <f t="shared" ca="1" si="108"/>
        <v>7.0000000000000007E-2</v>
      </c>
      <c r="AA117" s="241"/>
      <c r="AD117" s="223" t="s">
        <v>403</v>
      </c>
      <c r="AF117" s="225">
        <f t="shared" ref="AF117:AF896" ca="1" si="115">TODAY()</f>
        <v>46156</v>
      </c>
      <c r="AG117" s="225" t="b">
        <f t="shared" si="109"/>
        <v>1</v>
      </c>
      <c r="AH117" s="242" t="str">
        <f t="shared" si="110"/>
        <v/>
      </c>
      <c r="AK117" s="223">
        <f t="shared" si="111"/>
        <v>0</v>
      </c>
      <c r="AL117" s="223">
        <f t="shared" si="112"/>
        <v>1900</v>
      </c>
      <c r="AS117" s="223">
        <f t="shared" si="113"/>
        <v>0</v>
      </c>
      <c r="AT117" s="223">
        <f t="shared" si="114"/>
        <v>0</v>
      </c>
    </row>
    <row r="118" spans="2:46" ht="15.75" x14ac:dyDescent="0.25">
      <c r="B118" s="229" t="s">
        <v>512</v>
      </c>
      <c r="C118" s="244" t="s">
        <v>263</v>
      </c>
      <c r="D118" s="245">
        <v>611</v>
      </c>
      <c r="E118" s="232" t="s">
        <v>4</v>
      </c>
      <c r="F118" s="435">
        <v>2.61</v>
      </c>
      <c r="G118" s="234">
        <v>46101</v>
      </c>
      <c r="H118" s="235" t="s">
        <v>9</v>
      </c>
      <c r="I118" s="235"/>
      <c r="J118" s="440">
        <v>7.0000000000000007E-2</v>
      </c>
      <c r="K118" s="443">
        <f ca="1">ROUND(IF(ISERROR(OFFSET(Tabella!$A$1,MATCH(H118,Tabella!$A:$A,0)-1,MATCH(J118,Tabella!$A$1:$AC$1,0)-1)=TRUE),0,+OFFSET(Tabella!$A$1,MATCH(H118,Tabella!$A:$A,0)-1,MATCH(J118,Tabella!$A$1:$AC$1,0)-1)),4)</f>
        <v>1.6</v>
      </c>
      <c r="L118" s="446">
        <f ca="1">ROUND(IF(ISERROR(OFFSET(Ottone!$A$1,MATCH(H118,Ottone!$A:$A,0)-1,MATCH(J118,Ottone!$A$1:$Z$1,0)-1)=TRUE),0,OFFSET(Ottone!$A$1,MATCH(H118,Ottone!$A:$A,0)-1,MATCH(J118,Ottone!$A$1:$Z$1,0)-1))*IF(E118="Ottone",1,0),4)</f>
        <v>0</v>
      </c>
      <c r="M118" s="446">
        <f ca="1">ROUND(IF(ISERROR(OFFSET(Rame!$A$1,MATCH(H118,Rame!$A:$A,0)-1,MATCH(J118,Rame!$A$1:$AA$1,0)-1)=TRUE),0,OFFSET(Rame!$A$1,MATCH(H118,Rame!$A:$A,0)-1,MATCH(J118,Rame!$A$1:$AA$1,0)-1))*IF(E118="Rame",1,0),4)</f>
        <v>0</v>
      </c>
      <c r="N118" s="446">
        <v>0</v>
      </c>
      <c r="O118" s="446">
        <v>1.8</v>
      </c>
      <c r="P118" s="446">
        <f ca="1">ROUND(+IF(ISERROR(OFFSET(Tabella!$G$1,MATCH(H118,Tabella!$G:$G,0)-1,MATCH(I118,Tabella!$G$1:$FG$1,0)-1)=TRUE),0,OFFSET(Tabella!$G$1,MATCH(H118,Tabella!$G:$G,0)-1,MATCH(I118,Tabella!$G$1:$AB$1,0)-1)),4)</f>
        <v>0</v>
      </c>
      <c r="Q118" s="446">
        <f ca="1">ROUND(IF(ISERROR(OFFSET(Ottone!$F$1,MATCH(H118,Ottone!$A:$A,0)-1,MATCH(I118,Ottone!$F$1:$FF$1,0)-1)=TRUE),0,OFFSET(Ottone!$F$1,MATCH(H118,Ottone!$A:$A,0)-1,MATCH(I118,Ottone!$F$1:$FF$1,0)-1))*IF(E118="Ottone",1,0),4)</f>
        <v>0</v>
      </c>
      <c r="R118" s="446">
        <f ca="1">ROUND(IF(ISERROR(OFFSET(Rame!$F$1,MATCH(H118,Rame!$F:$F,0)-1,MATCH(I118,Rame!$F$1:$FF$1,0)-1)=TRUE),0,OFFSET(Rame!$F$1,MATCH(H118,Rame!$F:$F,0)-1,MATCH(I118,Rame!$F$1:$FF$1,0)-1))*IF(E118="Rame",1,0),4)</f>
        <v>0</v>
      </c>
      <c r="S118" s="446">
        <f ca="1">ROUND(IF(ISERROR(OFFSET(Bronzo!$A$1,MATCH(H118,Bronzo!$A:$A,0)-1,MATCH(I118,Bronzo!$A$1:$AA$1,0)-1)=TRUE),0,OFFSET(Bronzo!$A$1,MATCH(H118,Bronzo!$A:$A,0)-1,MATCH(I118,Bronzo!$A$1:$AA$1,0)-1)),4)</f>
        <v>0</v>
      </c>
      <c r="T118" s="446">
        <f t="shared" ca="1" si="106"/>
        <v>0</v>
      </c>
      <c r="U118" s="443"/>
      <c r="V118" s="446">
        <v>0</v>
      </c>
      <c r="W118" s="449">
        <f t="shared" ca="1" si="107"/>
        <v>1.8</v>
      </c>
      <c r="X118" s="454">
        <f t="shared" si="92"/>
        <v>42.77</v>
      </c>
      <c r="Y118" s="440">
        <v>4.4800000000000004</v>
      </c>
      <c r="Z118" s="440">
        <f t="shared" ca="1" si="108"/>
        <v>7.0000000000000007E-2</v>
      </c>
      <c r="AA118" s="241"/>
      <c r="AD118" s="223" t="s">
        <v>403</v>
      </c>
      <c r="AF118" s="225">
        <f t="shared" ca="1" si="115"/>
        <v>46156</v>
      </c>
      <c r="AG118" s="225" t="b">
        <f t="shared" si="109"/>
        <v>1</v>
      </c>
      <c r="AH118" s="242" t="str">
        <f t="shared" si="110"/>
        <v/>
      </c>
      <c r="AK118" s="223">
        <f t="shared" si="111"/>
        <v>0</v>
      </c>
      <c r="AL118" s="223">
        <f t="shared" si="112"/>
        <v>1900</v>
      </c>
      <c r="AS118" s="223">
        <f t="shared" si="113"/>
        <v>0</v>
      </c>
      <c r="AT118" s="223">
        <f t="shared" si="114"/>
        <v>0</v>
      </c>
    </row>
    <row r="119" spans="2:46" ht="15.75" x14ac:dyDescent="0.25">
      <c r="B119" s="229" t="s">
        <v>555</v>
      </c>
      <c r="C119" s="244" t="s">
        <v>263</v>
      </c>
      <c r="D119" s="245">
        <v>630</v>
      </c>
      <c r="E119" s="232" t="s">
        <v>4</v>
      </c>
      <c r="F119" s="435">
        <v>2.61</v>
      </c>
      <c r="G119" s="234">
        <v>46101</v>
      </c>
      <c r="H119" s="235" t="s">
        <v>9</v>
      </c>
      <c r="I119" s="235"/>
      <c r="J119" s="440">
        <v>7.0000000000000007E-2</v>
      </c>
      <c r="K119" s="443">
        <f ca="1">ROUND(IF(ISERROR(OFFSET(Tabella!$A$1,MATCH(H119,Tabella!$A:$A,0)-1,MATCH(J119,Tabella!$A$1:$AC$1,0)-1)=TRUE),0,+OFFSET(Tabella!$A$1,MATCH(H119,Tabella!$A:$A,0)-1,MATCH(J119,Tabella!$A$1:$AC$1,0)-1)),4)</f>
        <v>1.6</v>
      </c>
      <c r="L119" s="446">
        <f ca="1">ROUND(IF(ISERROR(OFFSET(Ottone!$A$1,MATCH(H119,Ottone!$A:$A,0)-1,MATCH(J119,Ottone!$A$1:$Z$1,0)-1)=TRUE),0,OFFSET(Ottone!$A$1,MATCH(H119,Ottone!$A:$A,0)-1,MATCH(J119,Ottone!$A$1:$Z$1,0)-1))*IF(E119="Ottone",1,0),4)</f>
        <v>0</v>
      </c>
      <c r="M119" s="446">
        <f ca="1">ROUND(IF(ISERROR(OFFSET(Rame!$A$1,MATCH(H119,Rame!$A:$A,0)-1,MATCH(J119,Rame!$A$1:$AA$1,0)-1)=TRUE),0,OFFSET(Rame!$A$1,MATCH(H119,Rame!$A:$A,0)-1,MATCH(J119,Rame!$A$1:$AA$1,0)-1))*IF(E119="Rame",1,0),4)</f>
        <v>0</v>
      </c>
      <c r="N119" s="446">
        <v>0</v>
      </c>
      <c r="O119" s="446">
        <v>1.8</v>
      </c>
      <c r="P119" s="446">
        <f ca="1">ROUND(+IF(ISERROR(OFFSET(Tabella!$G$1,MATCH(H119,Tabella!$G:$G,0)-1,MATCH(I119,Tabella!$G$1:$FG$1,0)-1)=TRUE),0,OFFSET(Tabella!$G$1,MATCH(H119,Tabella!$G:$G,0)-1,MATCH(I119,Tabella!$G$1:$AB$1,0)-1)),4)</f>
        <v>0</v>
      </c>
      <c r="Q119" s="446">
        <f ca="1">ROUND(IF(ISERROR(OFFSET(Ottone!$F$1,MATCH(H119,Ottone!$A:$A,0)-1,MATCH(I119,Ottone!$F$1:$FF$1,0)-1)=TRUE),0,OFFSET(Ottone!$F$1,MATCH(H119,Ottone!$A:$A,0)-1,MATCH(I119,Ottone!$F$1:$FF$1,0)-1))*IF(E119="Ottone",1,0),4)</f>
        <v>0</v>
      </c>
      <c r="R119" s="446">
        <f ca="1">ROUND(IF(ISERROR(OFFSET(Rame!$F$1,MATCH(H119,Rame!$F:$F,0)-1,MATCH(I119,Rame!$F$1:$FF$1,0)-1)=TRUE),0,OFFSET(Rame!$F$1,MATCH(H119,Rame!$F:$F,0)-1,MATCH(I119,Rame!$F$1:$FF$1,0)-1))*IF(E119="Rame",1,0),4)</f>
        <v>0</v>
      </c>
      <c r="S119" s="446">
        <f ca="1">ROUND(IF(ISERROR(OFFSET(Bronzo!$A$1,MATCH(H119,Bronzo!$A:$A,0)-1,MATCH(I119,Bronzo!$A$1:$AA$1,0)-1)=TRUE),0,OFFSET(Bronzo!$A$1,MATCH(H119,Bronzo!$A:$A,0)-1,MATCH(I119,Bronzo!$A$1:$AA$1,0)-1)),4)</f>
        <v>0</v>
      </c>
      <c r="T119" s="446">
        <f t="shared" ca="1" si="106"/>
        <v>0</v>
      </c>
      <c r="U119" s="443"/>
      <c r="V119" s="446">
        <v>0</v>
      </c>
      <c r="W119" s="449">
        <f t="shared" ca="1" si="107"/>
        <v>1.8</v>
      </c>
      <c r="X119" s="454">
        <f t="shared" si="92"/>
        <v>44.1</v>
      </c>
      <c r="Y119" s="440">
        <v>4.4800000000000004</v>
      </c>
      <c r="Z119" s="440">
        <f t="shared" ca="1" si="108"/>
        <v>7.0000000000000007E-2</v>
      </c>
      <c r="AA119" s="241"/>
      <c r="AD119" s="223" t="s">
        <v>403</v>
      </c>
      <c r="AF119" s="225">
        <f t="shared" ca="1" si="115"/>
        <v>46156</v>
      </c>
      <c r="AG119" s="225" t="b">
        <f t="shared" si="109"/>
        <v>1</v>
      </c>
      <c r="AH119" s="242" t="str">
        <f t="shared" si="110"/>
        <v/>
      </c>
      <c r="AK119" s="223">
        <f t="shared" si="111"/>
        <v>0</v>
      </c>
      <c r="AL119" s="223">
        <f t="shared" si="112"/>
        <v>1900</v>
      </c>
      <c r="AS119" s="223">
        <f t="shared" si="113"/>
        <v>0</v>
      </c>
      <c r="AT119" s="223">
        <f t="shared" si="114"/>
        <v>0</v>
      </c>
    </row>
    <row r="120" spans="2:46" ht="15.75" x14ac:dyDescent="0.25">
      <c r="B120" s="229" t="s">
        <v>477</v>
      </c>
      <c r="C120" s="235" t="s">
        <v>210</v>
      </c>
      <c r="D120" s="243">
        <v>7500</v>
      </c>
      <c r="E120" s="232" t="s">
        <v>4</v>
      </c>
      <c r="F120" s="435">
        <v>2.61</v>
      </c>
      <c r="G120" s="234">
        <v>46104</v>
      </c>
      <c r="H120" s="235" t="s">
        <v>326</v>
      </c>
      <c r="I120" s="235"/>
      <c r="J120" s="440">
        <v>0.05</v>
      </c>
      <c r="K120" s="443">
        <f ca="1">ROUND(IF(ISERROR(OFFSET(Tabella!$A$1,MATCH(H120,Tabella!$A:$A,0)-1,MATCH(J120,Tabella!$A$1:$AC$1,0)-1)=TRUE),0,+OFFSET(Tabella!$A$1,MATCH(H120,Tabella!$A:$A,0)-1,MATCH(J120,Tabella!$A$1:$AC$1,0)-1)),4)</f>
        <v>0</v>
      </c>
      <c r="L120" s="446">
        <f ca="1">ROUND(IF(ISERROR(OFFSET(Ottone!$A$1,MATCH(H120,Ottone!$A:$A,0)-1,MATCH(J120,Ottone!$A$1:$Z$1,0)-1)=TRUE),0,OFFSET(Ottone!$A$1,MATCH(H120,Ottone!$A:$A,0)-1,MATCH(J120,Ottone!$A$1:$Z$1,0)-1))*IF(E120="Ottone",1,0),4)</f>
        <v>0</v>
      </c>
      <c r="M120" s="446">
        <f ca="1">ROUND(IF(ISERROR(OFFSET(Rame!$A$1,MATCH(H120,Rame!$A:$A,0)-1,MATCH(J120,Rame!$A$1:$AA$1,0)-1)=TRUE),0,OFFSET(Rame!$A$1,MATCH(H120,Rame!$A:$A,0)-1,MATCH(J120,Rame!$A$1:$AA$1,0)-1))*IF(E120="Rame",1,0),4)</f>
        <v>0</v>
      </c>
      <c r="N120" s="446">
        <v>0</v>
      </c>
      <c r="O120" s="446">
        <v>1.5</v>
      </c>
      <c r="P120" s="446">
        <f ca="1">ROUND(+IF(ISERROR(OFFSET(Tabella!$G$1,MATCH(H120,Tabella!$G:$G,0)-1,MATCH(I120,Tabella!$G$1:$FG$1,0)-1)=TRUE),0,OFFSET(Tabella!$G$1,MATCH(H120,Tabella!$G:$G,0)-1,MATCH(I120,Tabella!$G$1:$AB$1,0)-1)),4)</f>
        <v>0</v>
      </c>
      <c r="Q120" s="446">
        <f ca="1">ROUND(IF(ISERROR(OFFSET(Ottone!$F$1,MATCH(H120,Ottone!$A:$A,0)-1,MATCH(I120,Ottone!$F$1:$FF$1,0)-1)=TRUE),0,OFFSET(Ottone!$F$1,MATCH(H120,Ottone!$A:$A,0)-1,MATCH(I120,Ottone!$F$1:$FF$1,0)-1))*IF(E120="Ottone",1,0),4)</f>
        <v>0</v>
      </c>
      <c r="R120" s="446">
        <f ca="1">ROUND(IF(ISERROR(OFFSET(Rame!$F$1,MATCH(H120,Rame!$F:$F,0)-1,MATCH(I120,Rame!$F$1:$FF$1,0)-1)=TRUE),0,OFFSET(Rame!$F$1,MATCH(H120,Rame!$F:$F,0)-1,MATCH(I120,Rame!$F$1:$FF$1,0)-1))*IF(E120="Rame",1,0),4)</f>
        <v>0</v>
      </c>
      <c r="S120" s="446">
        <f ca="1">ROUND(IF(ISERROR(OFFSET(Bronzo!$A$1,MATCH(H120,Bronzo!$A:$A,0)-1,MATCH(I120,Bronzo!$A$1:$AA$1,0)-1)=TRUE),0,OFFSET(Bronzo!$A$1,MATCH(H120,Bronzo!$A:$A,0)-1,MATCH(I120,Bronzo!$A$1:$AA$1,0)-1)),4)</f>
        <v>0</v>
      </c>
      <c r="T120" s="446">
        <f t="shared" ca="1" si="106"/>
        <v>0</v>
      </c>
      <c r="U120" s="443"/>
      <c r="V120" s="446">
        <v>0</v>
      </c>
      <c r="W120" s="449">
        <f t="shared" ca="1" si="107"/>
        <v>1.5</v>
      </c>
      <c r="X120" s="452">
        <f t="shared" si="92"/>
        <v>375</v>
      </c>
      <c r="Y120" s="440">
        <v>4.08</v>
      </c>
      <c r="Z120" s="440">
        <f t="shared" ca="1" si="108"/>
        <v>-0.03</v>
      </c>
      <c r="AA120" s="241">
        <v>46142</v>
      </c>
      <c r="AE120" s="223" t="s">
        <v>484</v>
      </c>
      <c r="AF120" s="225">
        <f t="shared" ca="1" si="115"/>
        <v>46156</v>
      </c>
      <c r="AG120" s="225" t="b">
        <f t="shared" ref="AG120" si="116">ISBLANK(AA120)</f>
        <v>0</v>
      </c>
      <c r="AH120" s="242">
        <f t="shared" ref="AH120" ca="1" si="117">IF(AG120=FALSE,_xlfn.DAYS(AA120,AF120),"")</f>
        <v>-14</v>
      </c>
      <c r="AK120" s="223">
        <f t="shared" ref="AK120" si="118">WEEKNUM(AA120)</f>
        <v>18</v>
      </c>
      <c r="AL120" s="223">
        <f t="shared" ref="AL120" si="119">YEAR(AA120)</f>
        <v>2026</v>
      </c>
      <c r="AS120" s="223">
        <f t="shared" ref="AS120" si="120">IF(AA120="",0,MONTH(AA120))</f>
        <v>4</v>
      </c>
      <c r="AT120" s="223">
        <f t="shared" ref="AT120" si="121">IF(AA120="",0,YEAR(AA120))</f>
        <v>2026</v>
      </c>
    </row>
    <row r="121" spans="2:46" ht="15.75" x14ac:dyDescent="0.25">
      <c r="B121" s="229" t="s">
        <v>477</v>
      </c>
      <c r="C121" s="235" t="s">
        <v>210</v>
      </c>
      <c r="D121" s="243">
        <v>7000</v>
      </c>
      <c r="E121" s="232" t="s">
        <v>4</v>
      </c>
      <c r="F121" s="435">
        <v>2.61</v>
      </c>
      <c r="G121" s="234">
        <v>46104</v>
      </c>
      <c r="H121" s="235" t="s">
        <v>23</v>
      </c>
      <c r="I121" s="235"/>
      <c r="J121" s="440">
        <v>0.05</v>
      </c>
      <c r="K121" s="443">
        <f ca="1">ROUND(IF(ISERROR(OFFSET(Tabella!$A$1,MATCH(H121,Tabella!$A:$A,0)-1,MATCH(J121,Tabella!$A$1:$AC$1,0)-1)=TRUE),0,+OFFSET(Tabella!$A$1,MATCH(H121,Tabella!$A:$A,0)-1,MATCH(J121,Tabella!$A$1:$AC$1,0)-1)),4)</f>
        <v>0</v>
      </c>
      <c r="L121" s="446">
        <f ca="1">ROUND(IF(ISERROR(OFFSET(Ottone!$A$1,MATCH(H121,Ottone!$A:$A,0)-1,MATCH(J121,Ottone!$A$1:$Z$1,0)-1)=TRUE),0,OFFSET(Ottone!$A$1,MATCH(H121,Ottone!$A:$A,0)-1,MATCH(J121,Ottone!$A$1:$Z$1,0)-1))*IF(E121="Ottone",1,0),4)</f>
        <v>0</v>
      </c>
      <c r="M121" s="446">
        <f ca="1">ROUND(IF(ISERROR(OFFSET(Rame!$A$1,MATCH(H121,Rame!$A:$A,0)-1,MATCH(J121,Rame!$A$1:$AA$1,0)-1)=TRUE),0,OFFSET(Rame!$A$1,MATCH(H121,Rame!$A:$A,0)-1,MATCH(J121,Rame!$A$1:$AA$1,0)-1))*IF(E121="Rame",1,0),4)</f>
        <v>0</v>
      </c>
      <c r="N121" s="446">
        <v>0</v>
      </c>
      <c r="O121" s="446">
        <v>1.5</v>
      </c>
      <c r="P121" s="446">
        <f ca="1">ROUND(+IF(ISERROR(OFFSET(Tabella!$G$1,MATCH(H121,Tabella!$G:$G,0)-1,MATCH(I121,Tabella!$G$1:$FG$1,0)-1)=TRUE),0,OFFSET(Tabella!$G$1,MATCH(H121,Tabella!$G:$G,0)-1,MATCH(I121,Tabella!$G$1:$AB$1,0)-1)),4)</f>
        <v>0</v>
      </c>
      <c r="Q121" s="446">
        <f ca="1">ROUND(IF(ISERROR(OFFSET(Ottone!$F$1,MATCH(H121,Ottone!$A:$A,0)-1,MATCH(I121,Ottone!$F$1:$FF$1,0)-1)=TRUE),0,OFFSET(Ottone!$F$1,MATCH(H121,Ottone!$A:$A,0)-1,MATCH(I121,Ottone!$F$1:$FF$1,0)-1))*IF(E121="Ottone",1,0),4)</f>
        <v>0</v>
      </c>
      <c r="R121" s="446">
        <f ca="1">ROUND(IF(ISERROR(OFFSET(Rame!$F$1,MATCH(H121,Rame!$F:$F,0)-1,MATCH(I121,Rame!$F$1:$FF$1,0)-1)=TRUE),0,OFFSET(Rame!$F$1,MATCH(H121,Rame!$F:$F,0)-1,MATCH(I121,Rame!$F$1:$FF$1,0)-1))*IF(E121="Rame",1,0),4)</f>
        <v>0</v>
      </c>
      <c r="S121" s="446">
        <f ca="1">ROUND(IF(ISERROR(OFFSET(Bronzo!$A$1,MATCH(H121,Bronzo!$A:$A,0)-1,MATCH(I121,Bronzo!$A$1:$AA$1,0)-1)=TRUE),0,OFFSET(Bronzo!$A$1,MATCH(H121,Bronzo!$A:$A,0)-1,MATCH(I121,Bronzo!$A$1:$AA$1,0)-1)),4)</f>
        <v>0</v>
      </c>
      <c r="T121" s="446">
        <f t="shared" ca="1" si="106"/>
        <v>0</v>
      </c>
      <c r="U121" s="443"/>
      <c r="V121" s="446">
        <v>0</v>
      </c>
      <c r="W121" s="449">
        <f t="shared" ca="1" si="107"/>
        <v>1.5</v>
      </c>
      <c r="X121" s="452">
        <f t="shared" si="92"/>
        <v>350</v>
      </c>
      <c r="Y121" s="440">
        <v>4.08</v>
      </c>
      <c r="Z121" s="440">
        <f t="shared" ca="1" si="108"/>
        <v>-0.03</v>
      </c>
      <c r="AA121" s="241">
        <v>46142</v>
      </c>
      <c r="AF121" s="225">
        <f t="shared" ca="1" si="115"/>
        <v>46156</v>
      </c>
      <c r="AG121" s="225" t="b">
        <f t="shared" si="109"/>
        <v>0</v>
      </c>
      <c r="AH121" s="242">
        <f t="shared" ca="1" si="110"/>
        <v>-14</v>
      </c>
      <c r="AK121" s="223">
        <f t="shared" si="111"/>
        <v>18</v>
      </c>
      <c r="AL121" s="223">
        <f t="shared" si="112"/>
        <v>2026</v>
      </c>
      <c r="AS121" s="223">
        <f t="shared" si="113"/>
        <v>4</v>
      </c>
      <c r="AT121" s="223">
        <f t="shared" si="114"/>
        <v>2026</v>
      </c>
    </row>
    <row r="122" spans="2:46" ht="15.75" x14ac:dyDescent="0.25">
      <c r="B122" s="229" t="s">
        <v>479</v>
      </c>
      <c r="C122" s="235" t="s">
        <v>102</v>
      </c>
      <c r="D122" s="243">
        <v>1900</v>
      </c>
      <c r="E122" s="232" t="s">
        <v>4</v>
      </c>
      <c r="F122" s="435">
        <v>2.65</v>
      </c>
      <c r="G122" s="234">
        <v>46050</v>
      </c>
      <c r="H122" s="235" t="s">
        <v>25</v>
      </c>
      <c r="I122" s="235"/>
      <c r="J122" s="440">
        <v>7.0000000000000007E-2</v>
      </c>
      <c r="K122" s="443">
        <f ca="1">ROUND(IF(ISERROR(OFFSET(Tabella!$A$1,MATCH(H122,Tabella!$A:$A,0)-1,MATCH(J122,Tabella!$A$1:$AC$1,0)-1)=TRUE),0,+OFFSET(Tabella!$A$1,MATCH(H122,Tabella!$A:$A,0)-1,MATCH(J122,Tabella!$A$1:$AC$1,0)-1)),4)</f>
        <v>1.25</v>
      </c>
      <c r="L122" s="446">
        <f ca="1">ROUND(IF(ISERROR(OFFSET(Ottone!$A$1,MATCH(H122,Ottone!$A:$A,0)-1,MATCH(J122,Ottone!$A$1:$Z$1,0)-1)=TRUE),0,OFFSET(Ottone!$A$1,MATCH(H122,Ottone!$A:$A,0)-1,MATCH(J122,Ottone!$A$1:$Z$1,0)-1))*IF(E122="Ottone",1,0),4)</f>
        <v>0</v>
      </c>
      <c r="M122" s="446">
        <f ca="1">ROUND(IF(ISERROR(OFFSET(Rame!$A$1,MATCH(H122,Rame!$A:$A,0)-1,MATCH(J122,Rame!$A$1:$AA$1,0)-1)=TRUE),0,OFFSET(Rame!$A$1,MATCH(H122,Rame!$A:$A,0)-1,MATCH(J122,Rame!$A$1:$AA$1,0)-1))*IF(E122="Rame",1,0),4)</f>
        <v>0</v>
      </c>
      <c r="N122" s="446">
        <v>0</v>
      </c>
      <c r="O122" s="446">
        <v>1.5</v>
      </c>
      <c r="P122" s="446">
        <f ca="1">ROUND(+IF(ISERROR(OFFSET(Tabella!$G$1,MATCH(H122,Tabella!$G:$G,0)-1,MATCH(I122,Tabella!$G$1:$FG$1,0)-1)=TRUE),0,OFFSET(Tabella!$G$1,MATCH(H122,Tabella!$G:$G,0)-1,MATCH(I122,Tabella!$G$1:$AB$1,0)-1)),4)</f>
        <v>0</v>
      </c>
      <c r="Q122" s="446">
        <f ca="1">ROUND(IF(ISERROR(OFFSET(Ottone!$F$1,MATCH(H122,Ottone!$A:$A,0)-1,MATCH(I122,Ottone!$F$1:$FF$1,0)-1)=TRUE),0,OFFSET(Ottone!$F$1,MATCH(H122,Ottone!$A:$A,0)-1,MATCH(I122,Ottone!$F$1:$FF$1,0)-1))*IF(E122="Ottone",1,0),4)</f>
        <v>0</v>
      </c>
      <c r="R122" s="446">
        <f ca="1">ROUND(IF(ISERROR(OFFSET(Rame!$F$1,MATCH(H122,Rame!$F:$F,0)-1,MATCH(I122,Rame!$F$1:$FF$1,0)-1)=TRUE),0,OFFSET(Rame!$F$1,MATCH(H122,Rame!$F:$F,0)-1,MATCH(I122,Rame!$F$1:$FF$1,0)-1))*IF(E122="Rame",1,0),4)</f>
        <v>0</v>
      </c>
      <c r="S122" s="446">
        <f ca="1">ROUND(IF(ISERROR(OFFSET(Bronzo!$A$1,MATCH(H122,Bronzo!$A:$A,0)-1,MATCH(I122,Bronzo!$A$1:$AA$1,0)-1)=TRUE),0,OFFSET(Bronzo!$A$1,MATCH(H122,Bronzo!$A:$A,0)-1,MATCH(I122,Bronzo!$A$1:$AA$1,0)-1)),4)</f>
        <v>0</v>
      </c>
      <c r="T122" s="446">
        <f t="shared" ca="1" si="106"/>
        <v>0</v>
      </c>
      <c r="U122" s="443"/>
      <c r="V122" s="446">
        <v>0</v>
      </c>
      <c r="W122" s="449">
        <f t="shared" ca="1" si="107"/>
        <v>1.5</v>
      </c>
      <c r="X122" s="452">
        <f t="shared" si="92"/>
        <v>133</v>
      </c>
      <c r="Y122" s="440">
        <v>4.1500000000000004</v>
      </c>
      <c r="Z122" s="440">
        <f t="shared" ca="1" si="108"/>
        <v>0</v>
      </c>
      <c r="AA122" s="241">
        <v>46146</v>
      </c>
      <c r="AF122" s="225">
        <f t="shared" ca="1" si="115"/>
        <v>46156</v>
      </c>
      <c r="AG122" s="225" t="b">
        <f t="shared" si="109"/>
        <v>0</v>
      </c>
      <c r="AH122" s="242">
        <f t="shared" ca="1" si="110"/>
        <v>-10</v>
      </c>
      <c r="AK122" s="223">
        <f t="shared" si="111"/>
        <v>19</v>
      </c>
      <c r="AL122" s="223">
        <f t="shared" si="112"/>
        <v>2026</v>
      </c>
      <c r="AS122" s="223">
        <f t="shared" si="113"/>
        <v>5</v>
      </c>
      <c r="AT122" s="223">
        <f t="shared" si="114"/>
        <v>2026</v>
      </c>
    </row>
    <row r="123" spans="2:46" ht="15.75" x14ac:dyDescent="0.25">
      <c r="B123" s="229" t="s">
        <v>479</v>
      </c>
      <c r="C123" s="235" t="s">
        <v>102</v>
      </c>
      <c r="D123" s="243">
        <v>580</v>
      </c>
      <c r="E123" s="232" t="s">
        <v>4</v>
      </c>
      <c r="F123" s="435">
        <v>2.65</v>
      </c>
      <c r="G123" s="234">
        <v>46050</v>
      </c>
      <c r="H123" s="235" t="s">
        <v>24</v>
      </c>
      <c r="I123" s="235"/>
      <c r="J123" s="440">
        <v>7.0000000000000007E-2</v>
      </c>
      <c r="K123" s="443">
        <f ca="1">ROUND(IF(ISERROR(OFFSET(Tabella!$A$1,MATCH(H123,Tabella!$A:$A,0)-1,MATCH(J123,Tabella!$A$1:$AC$1,0)-1)=TRUE),0,+OFFSET(Tabella!$A$1,MATCH(H123,Tabella!$A:$A,0)-1,MATCH(J123,Tabella!$A$1:$AC$1,0)-1)),4)</f>
        <v>1.25</v>
      </c>
      <c r="L123" s="446">
        <f ca="1">ROUND(IF(ISERROR(OFFSET(Ottone!$A$1,MATCH(H123,Ottone!$A:$A,0)-1,MATCH(J123,Ottone!$A$1:$Z$1,0)-1)=TRUE),0,OFFSET(Ottone!$A$1,MATCH(H123,Ottone!$A:$A,0)-1,MATCH(J123,Ottone!$A$1:$Z$1,0)-1))*IF(E123="Ottone",1,0),4)</f>
        <v>0</v>
      </c>
      <c r="M123" s="446">
        <f ca="1">ROUND(IF(ISERROR(OFFSET(Rame!$A$1,MATCH(H123,Rame!$A:$A,0)-1,MATCH(J123,Rame!$A$1:$AA$1,0)-1)=TRUE),0,OFFSET(Rame!$A$1,MATCH(H123,Rame!$A:$A,0)-1,MATCH(J123,Rame!$A$1:$AA$1,0)-1))*IF(E123="Rame",1,0),4)</f>
        <v>0</v>
      </c>
      <c r="N123" s="446">
        <v>0</v>
      </c>
      <c r="O123" s="446">
        <v>1.5</v>
      </c>
      <c r="P123" s="446">
        <f ca="1">ROUND(+IF(ISERROR(OFFSET(Tabella!$G$1,MATCH(H123,Tabella!$G:$G,0)-1,MATCH(I123,Tabella!$G$1:$FG$1,0)-1)=TRUE),0,OFFSET(Tabella!$G$1,MATCH(H123,Tabella!$G:$G,0)-1,MATCH(I123,Tabella!$G$1:$AB$1,0)-1)),4)</f>
        <v>0</v>
      </c>
      <c r="Q123" s="446">
        <f ca="1">ROUND(IF(ISERROR(OFFSET(Ottone!$F$1,MATCH(H123,Ottone!$A:$A,0)-1,MATCH(I123,Ottone!$F$1:$FF$1,0)-1)=TRUE),0,OFFSET(Ottone!$F$1,MATCH(H123,Ottone!$A:$A,0)-1,MATCH(I123,Ottone!$F$1:$FF$1,0)-1))*IF(E123="Ottone",1,0),4)</f>
        <v>0</v>
      </c>
      <c r="R123" s="446">
        <f ca="1">ROUND(IF(ISERROR(OFFSET(Rame!$F$1,MATCH(H123,Rame!$F:$F,0)-1,MATCH(I123,Rame!$F$1:$FF$1,0)-1)=TRUE),0,OFFSET(Rame!$F$1,MATCH(H123,Rame!$F:$F,0)-1,MATCH(I123,Rame!$F$1:$FF$1,0)-1))*IF(E123="Rame",1,0),4)</f>
        <v>0</v>
      </c>
      <c r="S123" s="446">
        <f ca="1">ROUND(IF(ISERROR(OFFSET(Bronzo!$A$1,MATCH(H123,Bronzo!$A:$A,0)-1,MATCH(I123,Bronzo!$A$1:$AA$1,0)-1)=TRUE),0,OFFSET(Bronzo!$A$1,MATCH(H123,Bronzo!$A:$A,0)-1,MATCH(I123,Bronzo!$A$1:$AA$1,0)-1)),4)</f>
        <v>0</v>
      </c>
      <c r="T123" s="446">
        <f t="shared" ca="1" si="106"/>
        <v>0</v>
      </c>
      <c r="U123" s="443"/>
      <c r="V123" s="446">
        <v>0</v>
      </c>
      <c r="W123" s="449">
        <f t="shared" ca="1" si="107"/>
        <v>1.5</v>
      </c>
      <c r="X123" s="452">
        <f t="shared" si="92"/>
        <v>40.6</v>
      </c>
      <c r="Y123" s="440">
        <v>4.1500000000000004</v>
      </c>
      <c r="Z123" s="440">
        <f t="shared" ca="1" si="108"/>
        <v>0</v>
      </c>
      <c r="AA123" s="241">
        <v>46157</v>
      </c>
      <c r="AF123" s="225">
        <f t="shared" ca="1" si="115"/>
        <v>46156</v>
      </c>
      <c r="AG123" s="225" t="b">
        <f t="shared" si="109"/>
        <v>0</v>
      </c>
      <c r="AH123" s="242">
        <f t="shared" ca="1" si="110"/>
        <v>1</v>
      </c>
      <c r="AK123" s="223">
        <f t="shared" si="111"/>
        <v>20</v>
      </c>
      <c r="AL123" s="223">
        <f t="shared" si="112"/>
        <v>2026</v>
      </c>
      <c r="AS123" s="223">
        <f t="shared" si="113"/>
        <v>5</v>
      </c>
      <c r="AT123" s="223">
        <f t="shared" si="114"/>
        <v>2026</v>
      </c>
    </row>
    <row r="124" spans="2:46" ht="15.75" x14ac:dyDescent="0.25">
      <c r="B124" s="229" t="s">
        <v>479</v>
      </c>
      <c r="C124" s="235" t="s">
        <v>102</v>
      </c>
      <c r="D124" s="243">
        <v>850</v>
      </c>
      <c r="E124" s="232" t="s">
        <v>4</v>
      </c>
      <c r="F124" s="435">
        <v>2.65</v>
      </c>
      <c r="G124" s="234">
        <v>46050</v>
      </c>
      <c r="H124" s="235" t="s">
        <v>22</v>
      </c>
      <c r="I124" s="235"/>
      <c r="J124" s="440">
        <v>7.0000000000000007E-2</v>
      </c>
      <c r="K124" s="443">
        <f ca="1">ROUND(IF(ISERROR(OFFSET(Tabella!$A$1,MATCH(H124,Tabella!$A:$A,0)-1,MATCH(J124,Tabella!$A$1:$AC$1,0)-1)=TRUE),0,+OFFSET(Tabella!$A$1,MATCH(H124,Tabella!$A:$A,0)-1,MATCH(J124,Tabella!$A$1:$AC$1,0)-1)),4)</f>
        <v>1.25</v>
      </c>
      <c r="L124" s="446">
        <f ca="1">ROUND(IF(ISERROR(OFFSET(Ottone!$A$1,MATCH(H124,Ottone!$A:$A,0)-1,MATCH(J124,Ottone!$A$1:$Z$1,0)-1)=TRUE),0,OFFSET(Ottone!$A$1,MATCH(H124,Ottone!$A:$A,0)-1,MATCH(J124,Ottone!$A$1:$Z$1,0)-1))*IF(E124="Ottone",1,0),4)</f>
        <v>0</v>
      </c>
      <c r="M124" s="446">
        <f ca="1">ROUND(IF(ISERROR(OFFSET(Rame!$A$1,MATCH(H124,Rame!$A:$A,0)-1,MATCH(J124,Rame!$A$1:$AA$1,0)-1)=TRUE),0,OFFSET(Rame!$A$1,MATCH(H124,Rame!$A:$A,0)-1,MATCH(J124,Rame!$A$1:$AA$1,0)-1))*IF(E124="Rame",1,0),4)</f>
        <v>0</v>
      </c>
      <c r="N124" s="446">
        <v>0</v>
      </c>
      <c r="O124" s="446">
        <v>1.5</v>
      </c>
      <c r="P124" s="446">
        <f ca="1">ROUND(+IF(ISERROR(OFFSET(Tabella!$G$1,MATCH(H124,Tabella!$G:$G,0)-1,MATCH(I124,Tabella!$G$1:$FG$1,0)-1)=TRUE),0,OFFSET(Tabella!$G$1,MATCH(H124,Tabella!$G:$G,0)-1,MATCH(I124,Tabella!$G$1:$AB$1,0)-1)),4)</f>
        <v>0</v>
      </c>
      <c r="Q124" s="446">
        <f ca="1">ROUND(IF(ISERROR(OFFSET(Ottone!$F$1,MATCH(H124,Ottone!$A:$A,0)-1,MATCH(I124,Ottone!$F$1:$FF$1,0)-1)=TRUE),0,OFFSET(Ottone!$F$1,MATCH(H124,Ottone!$A:$A,0)-1,MATCH(I124,Ottone!$F$1:$FF$1,0)-1))*IF(E124="Ottone",1,0),4)</f>
        <v>0</v>
      </c>
      <c r="R124" s="446">
        <f ca="1">ROUND(IF(ISERROR(OFFSET(Rame!$F$1,MATCH(H124,Rame!$F:$F,0)-1,MATCH(I124,Rame!$F$1:$FF$1,0)-1)=TRUE),0,OFFSET(Rame!$F$1,MATCH(H124,Rame!$F:$F,0)-1,MATCH(I124,Rame!$F$1:$FF$1,0)-1))*IF(E124="Rame",1,0),4)</f>
        <v>0</v>
      </c>
      <c r="S124" s="446">
        <f ca="1">ROUND(IF(ISERROR(OFFSET(Bronzo!$A$1,MATCH(H124,Bronzo!$A:$A,0)-1,MATCH(I124,Bronzo!$A$1:$AA$1,0)-1)=TRUE),0,OFFSET(Bronzo!$A$1,MATCH(H124,Bronzo!$A:$A,0)-1,MATCH(I124,Bronzo!$A$1:$AA$1,0)-1)),4)</f>
        <v>0</v>
      </c>
      <c r="T124" s="446">
        <f t="shared" ca="1" si="106"/>
        <v>0</v>
      </c>
      <c r="U124" s="443"/>
      <c r="V124" s="446">
        <v>0</v>
      </c>
      <c r="W124" s="449">
        <f t="shared" ca="1" si="107"/>
        <v>1.5</v>
      </c>
      <c r="X124" s="452">
        <f t="shared" si="92"/>
        <v>59.5</v>
      </c>
      <c r="Y124" s="440">
        <v>4.1500000000000004</v>
      </c>
      <c r="Z124" s="440">
        <f t="shared" ca="1" si="108"/>
        <v>0</v>
      </c>
      <c r="AA124" s="241">
        <v>46176</v>
      </c>
      <c r="AF124" s="225">
        <f t="shared" ca="1" si="115"/>
        <v>46156</v>
      </c>
      <c r="AG124" s="225" t="b">
        <f t="shared" si="109"/>
        <v>0</v>
      </c>
      <c r="AH124" s="242">
        <f t="shared" ca="1" si="110"/>
        <v>20</v>
      </c>
      <c r="AK124" s="223">
        <f t="shared" si="111"/>
        <v>23</v>
      </c>
      <c r="AL124" s="223">
        <f t="shared" si="112"/>
        <v>2026</v>
      </c>
      <c r="AS124" s="223">
        <f t="shared" si="113"/>
        <v>6</v>
      </c>
      <c r="AT124" s="223">
        <f t="shared" si="114"/>
        <v>2026</v>
      </c>
    </row>
    <row r="125" spans="2:46" ht="15.75" x14ac:dyDescent="0.25">
      <c r="B125" s="229" t="s">
        <v>479</v>
      </c>
      <c r="C125" s="235" t="s">
        <v>102</v>
      </c>
      <c r="D125" s="243">
        <v>2000</v>
      </c>
      <c r="E125" s="232" t="s">
        <v>4</v>
      </c>
      <c r="F125" s="435">
        <v>2.65</v>
      </c>
      <c r="G125" s="234">
        <v>46050</v>
      </c>
      <c r="H125" s="235" t="s">
        <v>27</v>
      </c>
      <c r="I125" s="235"/>
      <c r="J125" s="440">
        <v>7.0000000000000007E-2</v>
      </c>
      <c r="K125" s="443">
        <f ca="1">ROUND(IF(ISERROR(OFFSET(Tabella!$A$1,MATCH(H125,Tabella!$A:$A,0)-1,MATCH(J125,Tabella!$A$1:$AC$1,0)-1)=TRUE),0,+OFFSET(Tabella!$A$1,MATCH(H125,Tabella!$A:$A,0)-1,MATCH(J125,Tabella!$A$1:$AC$1,0)-1)),4)</f>
        <v>1.25</v>
      </c>
      <c r="L125" s="446">
        <f ca="1">ROUND(IF(ISERROR(OFFSET(Ottone!$A$1,MATCH(H125,Ottone!$A:$A,0)-1,MATCH(J125,Ottone!$A$1:$Z$1,0)-1)=TRUE),0,OFFSET(Ottone!$A$1,MATCH(H125,Ottone!$A:$A,0)-1,MATCH(J125,Ottone!$A$1:$Z$1,0)-1))*IF(E125="Ottone",1,0),4)</f>
        <v>0</v>
      </c>
      <c r="M125" s="446">
        <f ca="1">ROUND(IF(ISERROR(OFFSET(Rame!$A$1,MATCH(H125,Rame!$A:$A,0)-1,MATCH(J125,Rame!$A$1:$AA$1,0)-1)=TRUE),0,OFFSET(Rame!$A$1,MATCH(H125,Rame!$A:$A,0)-1,MATCH(J125,Rame!$A$1:$AA$1,0)-1))*IF(E125="Rame",1,0),4)</f>
        <v>0</v>
      </c>
      <c r="N125" s="446">
        <v>0</v>
      </c>
      <c r="O125" s="446">
        <v>1.5</v>
      </c>
      <c r="P125" s="446">
        <f ca="1">ROUND(+IF(ISERROR(OFFSET(Tabella!$G$1,MATCH(H125,Tabella!$G:$G,0)-1,MATCH(I125,Tabella!$G$1:$FG$1,0)-1)=TRUE),0,OFFSET(Tabella!$G$1,MATCH(H125,Tabella!$G:$G,0)-1,MATCH(I125,Tabella!$G$1:$AB$1,0)-1)),4)</f>
        <v>0</v>
      </c>
      <c r="Q125" s="446">
        <f ca="1">ROUND(IF(ISERROR(OFFSET(Ottone!$F$1,MATCH(H125,Ottone!$A:$A,0)-1,MATCH(I125,Ottone!$F$1:$FF$1,0)-1)=TRUE),0,OFFSET(Ottone!$F$1,MATCH(H125,Ottone!$A:$A,0)-1,MATCH(I125,Ottone!$F$1:$FF$1,0)-1))*IF(E125="Ottone",1,0),4)</f>
        <v>0</v>
      </c>
      <c r="R125" s="446">
        <f ca="1">ROUND(IF(ISERROR(OFFSET(Rame!$F$1,MATCH(H125,Rame!$F:$F,0)-1,MATCH(I125,Rame!$F$1:$FF$1,0)-1)=TRUE),0,OFFSET(Rame!$F$1,MATCH(H125,Rame!$F:$F,0)-1,MATCH(I125,Rame!$F$1:$FF$1,0)-1))*IF(E125="Rame",1,0),4)</f>
        <v>0</v>
      </c>
      <c r="S125" s="446">
        <f ca="1">ROUND(IF(ISERROR(OFFSET(Bronzo!$A$1,MATCH(H125,Bronzo!$A:$A,0)-1,MATCH(I125,Bronzo!$A$1:$AA$1,0)-1)=TRUE),0,OFFSET(Bronzo!$A$1,MATCH(H125,Bronzo!$A:$A,0)-1,MATCH(I125,Bronzo!$A$1:$AA$1,0)-1)),4)</f>
        <v>0</v>
      </c>
      <c r="T125" s="446">
        <f t="shared" ca="1" si="106"/>
        <v>0</v>
      </c>
      <c r="U125" s="443"/>
      <c r="V125" s="446">
        <v>0</v>
      </c>
      <c r="W125" s="449">
        <f t="shared" ca="1" si="107"/>
        <v>1.5</v>
      </c>
      <c r="X125" s="452">
        <f t="shared" si="92"/>
        <v>140</v>
      </c>
      <c r="Y125" s="440">
        <v>4.1500000000000004</v>
      </c>
      <c r="Z125" s="440">
        <f t="shared" ca="1" si="108"/>
        <v>0</v>
      </c>
      <c r="AA125" s="241">
        <v>46176</v>
      </c>
      <c r="AF125" s="225">
        <f t="shared" ca="1" si="115"/>
        <v>46156</v>
      </c>
      <c r="AG125" s="225" t="b">
        <f t="shared" si="109"/>
        <v>0</v>
      </c>
      <c r="AH125" s="242">
        <f t="shared" ca="1" si="110"/>
        <v>20</v>
      </c>
      <c r="AK125" s="223">
        <f t="shared" si="111"/>
        <v>23</v>
      </c>
      <c r="AL125" s="223">
        <f t="shared" si="112"/>
        <v>2026</v>
      </c>
      <c r="AS125" s="223">
        <f t="shared" si="113"/>
        <v>6</v>
      </c>
      <c r="AT125" s="223">
        <f t="shared" si="114"/>
        <v>2026</v>
      </c>
    </row>
    <row r="126" spans="2:46" ht="15.75" x14ac:dyDescent="0.25">
      <c r="B126" s="229" t="s">
        <v>480</v>
      </c>
      <c r="C126" s="235" t="s">
        <v>210</v>
      </c>
      <c r="D126" s="243">
        <v>250</v>
      </c>
      <c r="E126" s="232" t="s">
        <v>6</v>
      </c>
      <c r="F126" s="435">
        <v>10.199999999999999</v>
      </c>
      <c r="G126" s="234">
        <v>46106</v>
      </c>
      <c r="H126" s="235" t="s">
        <v>12</v>
      </c>
      <c r="I126" s="235"/>
      <c r="J126" s="440">
        <v>0.15</v>
      </c>
      <c r="K126" s="443">
        <f ca="1">ROUND(IF(ISERROR(OFFSET(Tabella!$A$1,MATCH(H126,Tabella!$A:$A,0)-1,MATCH(J126,Tabella!$A$1:$AC$1,0)-1)=TRUE),0,+OFFSET(Tabella!$A$1,MATCH(H126,Tabella!$A:$A,0)-1,MATCH(J126,Tabella!$A$1:$AC$1,0)-1)),4)</f>
        <v>0</v>
      </c>
      <c r="L126" s="446">
        <f ca="1">ROUND(IF(ISERROR(OFFSET(Ottone!$A$1,MATCH(H126,Ottone!$A:$A,0)-1,MATCH(J126,Ottone!$A$1:$Z$1,0)-1)=TRUE),0,OFFSET(Ottone!$A$1,MATCH(H126,Ottone!$A:$A,0)-1,MATCH(J126,Ottone!$A$1:$Z$1,0)-1))*IF(E126="Ottone",1,0),4)</f>
        <v>0</v>
      </c>
      <c r="M126" s="446">
        <f ca="1">ROUND(IF(ISERROR(OFFSET(Rame!$A$1,MATCH(H126,Rame!$A:$A,0)-1,MATCH(J126,Rame!$A$1:$AA$1,0)-1)=TRUE),0,OFFSET(Rame!$A$1,MATCH(H126,Rame!$A:$A,0)-1,MATCH(J126,Rame!$A$1:$AA$1,0)-1))*IF(E126="Rame",1,0),4)</f>
        <v>1.25</v>
      </c>
      <c r="N126" s="446">
        <v>0</v>
      </c>
      <c r="O126" s="446">
        <f ca="1">ROUND(SUM(K126:N126),4)</f>
        <v>1.25</v>
      </c>
      <c r="P126" s="446">
        <f ca="1">ROUND(+IF(ISERROR(OFFSET(Tabella!$G$1,MATCH(H126,Tabella!$G:$G,0)-1,MATCH(I126,Tabella!$G$1:$FG$1,0)-1)=TRUE),0,OFFSET(Tabella!$G$1,MATCH(H126,Tabella!$G:$G,0)-1,MATCH(I126,Tabella!$G$1:$AB$1,0)-1)),4)</f>
        <v>0</v>
      </c>
      <c r="Q126" s="446">
        <f ca="1">ROUND(IF(ISERROR(OFFSET(Ottone!$F$1,MATCH(H126,Ottone!$A:$A,0)-1,MATCH(I126,Ottone!$F$1:$FF$1,0)-1)=TRUE),0,OFFSET(Ottone!$F$1,MATCH(H126,Ottone!$A:$A,0)-1,MATCH(I126,Ottone!$F$1:$FF$1,0)-1))*IF(E126="Ottone",1,0),4)</f>
        <v>0</v>
      </c>
      <c r="R126" s="446">
        <f ca="1">ROUND(IF(ISERROR(OFFSET(Rame!$F$1,MATCH(H126,Rame!$F:$F,0)-1,MATCH(I126,Rame!$F$1:$FF$1,0)-1)=TRUE),0,OFFSET(Rame!$F$1,MATCH(H126,Rame!$F:$F,0)-1,MATCH(I126,Rame!$F$1:$FF$1,0)-1))*IF(E126="Rame",1,0),4)</f>
        <v>0</v>
      </c>
      <c r="S126" s="446">
        <f ca="1">ROUND(IF(ISERROR(OFFSET(Bronzo!$A$1,MATCH(H126,Bronzo!$A:$A,0)-1,MATCH(I126,Bronzo!$A$1:$AA$1,0)-1)=TRUE),0,OFFSET(Bronzo!$A$1,MATCH(H126,Bronzo!$A:$A,0)-1,MATCH(I126,Bronzo!$A$1:$AA$1,0)-1)),4)</f>
        <v>0</v>
      </c>
      <c r="T126" s="446">
        <f t="shared" ca="1" si="106"/>
        <v>0</v>
      </c>
      <c r="U126" s="443"/>
      <c r="V126" s="446">
        <v>0</v>
      </c>
      <c r="W126" s="449">
        <f t="shared" ca="1" si="107"/>
        <v>1.25</v>
      </c>
      <c r="X126" s="452">
        <f t="shared" si="92"/>
        <v>37.5</v>
      </c>
      <c r="Y126" s="440">
        <v>13.9</v>
      </c>
      <c r="Z126" s="440">
        <f t="shared" ca="1" si="108"/>
        <v>2.4500000000000002</v>
      </c>
      <c r="AA126" s="241">
        <v>46140</v>
      </c>
      <c r="AF126" s="225">
        <f t="shared" ca="1" si="115"/>
        <v>46156</v>
      </c>
      <c r="AG126" s="225" t="b">
        <f t="shared" si="109"/>
        <v>0</v>
      </c>
      <c r="AH126" s="242">
        <f t="shared" ca="1" si="110"/>
        <v>-16</v>
      </c>
      <c r="AK126" s="223">
        <f t="shared" si="111"/>
        <v>18</v>
      </c>
      <c r="AL126" s="223">
        <f t="shared" si="112"/>
        <v>2026</v>
      </c>
      <c r="AS126" s="223">
        <f t="shared" si="113"/>
        <v>4</v>
      </c>
      <c r="AT126" s="223">
        <f t="shared" si="114"/>
        <v>2026</v>
      </c>
    </row>
    <row r="127" spans="2:46" ht="15.75" x14ac:dyDescent="0.25">
      <c r="B127" s="229" t="s">
        <v>513</v>
      </c>
      <c r="C127" s="244" t="s">
        <v>263</v>
      </c>
      <c r="D127" s="245">
        <v>946</v>
      </c>
      <c r="E127" s="232" t="s">
        <v>4</v>
      </c>
      <c r="F127" s="435">
        <v>2.61</v>
      </c>
      <c r="G127" s="234">
        <v>46106</v>
      </c>
      <c r="H127" s="235" t="s">
        <v>19</v>
      </c>
      <c r="I127" s="235"/>
      <c r="J127" s="440">
        <v>7.0000000000000007E-2</v>
      </c>
      <c r="K127" s="443">
        <f ca="1">ROUND(IF(ISERROR(OFFSET(Tabella!$A$1,MATCH(H127,Tabella!$A:$A,0)-1,MATCH(J127,Tabella!$A$1:$AC$1,0)-1)=TRUE),0,+OFFSET(Tabella!$A$1,MATCH(H127,Tabella!$A:$A,0)-1,MATCH(J127,Tabella!$A$1:$AC$1,0)-1)),4)</f>
        <v>1.35</v>
      </c>
      <c r="L127" s="446">
        <f ca="1">ROUND(IF(ISERROR(OFFSET(Ottone!$A$1,MATCH(H127,Ottone!$A:$A,0)-1,MATCH(J127,Ottone!$A$1:$Z$1,0)-1)=TRUE),0,OFFSET(Ottone!$A$1,MATCH(H127,Ottone!$A:$A,0)-1,MATCH(J127,Ottone!$A$1:$Z$1,0)-1))*IF(E127="Ottone",1,0),4)</f>
        <v>0</v>
      </c>
      <c r="M127" s="446">
        <f ca="1">ROUND(IF(ISERROR(OFFSET(Rame!$A$1,MATCH(H127,Rame!$A:$A,0)-1,MATCH(J127,Rame!$A$1:$AA$1,0)-1)=TRUE),0,OFFSET(Rame!$A$1,MATCH(H127,Rame!$A:$A,0)-1,MATCH(J127,Rame!$A$1:$AA$1,0)-1))*IF(E127="Rame",1,0),4)</f>
        <v>0</v>
      </c>
      <c r="N127" s="446">
        <v>0</v>
      </c>
      <c r="O127" s="446">
        <v>1.5</v>
      </c>
      <c r="P127" s="446">
        <f ca="1">ROUND(+IF(ISERROR(OFFSET(Tabella!$G$1,MATCH(H127,Tabella!$G:$G,0)-1,MATCH(I127,Tabella!$G$1:$FG$1,0)-1)=TRUE),0,OFFSET(Tabella!$G$1,MATCH(H127,Tabella!$G:$G,0)-1,MATCH(I127,Tabella!$G$1:$AB$1,0)-1)),4)</f>
        <v>0</v>
      </c>
      <c r="Q127" s="446">
        <f ca="1">ROUND(IF(ISERROR(OFFSET(Ottone!$F$1,MATCH(H127,Ottone!$A:$A,0)-1,MATCH(I127,Ottone!$F$1:$FF$1,0)-1)=TRUE),0,OFFSET(Ottone!$F$1,MATCH(H127,Ottone!$A:$A,0)-1,MATCH(I127,Ottone!$F$1:$FF$1,0)-1))*IF(E127="Ottone",1,0),4)</f>
        <v>0</v>
      </c>
      <c r="R127" s="446">
        <f ca="1">ROUND(IF(ISERROR(OFFSET(Rame!$F$1,MATCH(H127,Rame!$F:$F,0)-1,MATCH(I127,Rame!$F$1:$FF$1,0)-1)=TRUE),0,OFFSET(Rame!$F$1,MATCH(H127,Rame!$F:$F,0)-1,MATCH(I127,Rame!$F$1:$FF$1,0)-1))*IF(E127="Rame",1,0),4)</f>
        <v>0</v>
      </c>
      <c r="S127" s="446">
        <f ca="1">ROUND(IF(ISERROR(OFFSET(Bronzo!$A$1,MATCH(H127,Bronzo!$A:$A,0)-1,MATCH(I127,Bronzo!$A$1:$AA$1,0)-1)=TRUE),0,OFFSET(Bronzo!$A$1,MATCH(H127,Bronzo!$A:$A,0)-1,MATCH(I127,Bronzo!$A$1:$AA$1,0)-1)),4)</f>
        <v>0</v>
      </c>
      <c r="T127" s="446">
        <f t="shared" ca="1" si="106"/>
        <v>0</v>
      </c>
      <c r="U127" s="443"/>
      <c r="V127" s="446">
        <v>0</v>
      </c>
      <c r="W127" s="449">
        <f t="shared" ca="1" si="107"/>
        <v>1.5</v>
      </c>
      <c r="X127" s="454">
        <f t="shared" si="92"/>
        <v>66.22</v>
      </c>
      <c r="Y127" s="440">
        <v>4.18</v>
      </c>
      <c r="Z127" s="440">
        <f t="shared" ca="1" si="108"/>
        <v>7.0000000000000007E-2</v>
      </c>
      <c r="AA127" s="241"/>
      <c r="AD127" s="223" t="s">
        <v>403</v>
      </c>
      <c r="AF127" s="225">
        <f t="shared" ca="1" si="115"/>
        <v>46156</v>
      </c>
      <c r="AG127" s="225" t="b">
        <f t="shared" si="109"/>
        <v>1</v>
      </c>
      <c r="AH127" s="242" t="str">
        <f t="shared" si="110"/>
        <v/>
      </c>
      <c r="AK127" s="223">
        <f t="shared" si="111"/>
        <v>0</v>
      </c>
      <c r="AL127" s="223">
        <f t="shared" si="112"/>
        <v>1900</v>
      </c>
      <c r="AS127" s="223">
        <f t="shared" si="113"/>
        <v>0</v>
      </c>
      <c r="AT127" s="223">
        <f t="shared" si="114"/>
        <v>0</v>
      </c>
    </row>
    <row r="128" spans="2:46" ht="15.75" x14ac:dyDescent="0.25">
      <c r="B128" s="229" t="s">
        <v>482</v>
      </c>
      <c r="C128" s="235" t="s">
        <v>263</v>
      </c>
      <c r="D128" s="243">
        <v>1500</v>
      </c>
      <c r="E128" s="232" t="s">
        <v>4</v>
      </c>
      <c r="F128" s="435">
        <v>2.61</v>
      </c>
      <c r="G128" s="234">
        <v>46106</v>
      </c>
      <c r="H128" s="235" t="s">
        <v>19</v>
      </c>
      <c r="I128" s="235"/>
      <c r="J128" s="440">
        <v>7.0000000000000007E-2</v>
      </c>
      <c r="K128" s="443">
        <f ca="1">ROUND(IF(ISERROR(OFFSET(Tabella!$A$1,MATCH(H128,Tabella!$A:$A,0)-1,MATCH(J128,Tabella!$A$1:$AC$1,0)-1)=TRUE),0,+OFFSET(Tabella!$A$1,MATCH(H128,Tabella!$A:$A,0)-1,MATCH(J128,Tabella!$A$1:$AC$1,0)-1)),4)</f>
        <v>1.35</v>
      </c>
      <c r="L128" s="446">
        <f ca="1">ROUND(IF(ISERROR(OFFSET(Ottone!$A$1,MATCH(H128,Ottone!$A:$A,0)-1,MATCH(J128,Ottone!$A$1:$Z$1,0)-1)=TRUE),0,OFFSET(Ottone!$A$1,MATCH(H128,Ottone!$A:$A,0)-1,MATCH(J128,Ottone!$A$1:$Z$1,0)-1))*IF(E128="Ottone",1,0),4)</f>
        <v>0</v>
      </c>
      <c r="M128" s="446">
        <f ca="1">ROUND(IF(ISERROR(OFFSET(Rame!$A$1,MATCH(H128,Rame!$A:$A,0)-1,MATCH(J128,Rame!$A$1:$AA$1,0)-1)=TRUE),0,OFFSET(Rame!$A$1,MATCH(H128,Rame!$A:$A,0)-1,MATCH(J128,Rame!$A$1:$AA$1,0)-1))*IF(E128="Rame",1,0),4)</f>
        <v>0</v>
      </c>
      <c r="N128" s="446">
        <v>0</v>
      </c>
      <c r="O128" s="446">
        <v>1.5</v>
      </c>
      <c r="P128" s="446">
        <f ca="1">ROUND(+IF(ISERROR(OFFSET(Tabella!$G$1,MATCH(H128,Tabella!$G:$G,0)-1,MATCH(I128,Tabella!$G$1:$FG$1,0)-1)=TRUE),0,OFFSET(Tabella!$G$1,MATCH(H128,Tabella!$G:$G,0)-1,MATCH(I128,Tabella!$G$1:$AB$1,0)-1)),4)</f>
        <v>0</v>
      </c>
      <c r="Q128" s="446">
        <f ca="1">ROUND(IF(ISERROR(OFFSET(Ottone!$F$1,MATCH(H128,Ottone!$A:$A,0)-1,MATCH(I128,Ottone!$F$1:$FF$1,0)-1)=TRUE),0,OFFSET(Ottone!$F$1,MATCH(H128,Ottone!$A:$A,0)-1,MATCH(I128,Ottone!$F$1:$FF$1,0)-1))*IF(E128="Ottone",1,0),4)</f>
        <v>0</v>
      </c>
      <c r="R128" s="446">
        <f ca="1">ROUND(IF(ISERROR(OFFSET(Rame!$F$1,MATCH(H128,Rame!$F:$F,0)-1,MATCH(I128,Rame!$F$1:$FF$1,0)-1)=TRUE),0,OFFSET(Rame!$F$1,MATCH(H128,Rame!$F:$F,0)-1,MATCH(I128,Rame!$F$1:$FF$1,0)-1))*IF(E128="Rame",1,0),4)</f>
        <v>0</v>
      </c>
      <c r="S128" s="446">
        <f ca="1">ROUND(IF(ISERROR(OFFSET(Bronzo!$A$1,MATCH(H128,Bronzo!$A:$A,0)-1,MATCH(I128,Bronzo!$A$1:$AA$1,0)-1)=TRUE),0,OFFSET(Bronzo!$A$1,MATCH(H128,Bronzo!$A:$A,0)-1,MATCH(I128,Bronzo!$A$1:$AA$1,0)-1)),4)</f>
        <v>0</v>
      </c>
      <c r="T128" s="446">
        <f t="shared" ca="1" si="106"/>
        <v>0</v>
      </c>
      <c r="U128" s="443"/>
      <c r="V128" s="446">
        <v>0</v>
      </c>
      <c r="W128" s="449">
        <f t="shared" ca="1" si="107"/>
        <v>1.5</v>
      </c>
      <c r="X128" s="452">
        <f t="shared" si="92"/>
        <v>105</v>
      </c>
      <c r="Y128" s="440">
        <v>4.18</v>
      </c>
      <c r="Z128" s="440">
        <f t="shared" ca="1" si="108"/>
        <v>7.0000000000000007E-2</v>
      </c>
      <c r="AA128" s="241">
        <v>46154</v>
      </c>
      <c r="AF128" s="225">
        <f t="shared" ca="1" si="115"/>
        <v>46156</v>
      </c>
      <c r="AG128" s="225" t="b">
        <f t="shared" ref="AG128:AG928" si="122">ISBLANK(AA128)</f>
        <v>0</v>
      </c>
      <c r="AH128" s="242">
        <f t="shared" ref="AH128:AH928" ca="1" si="123">IF(AG128=FALSE,_xlfn.DAYS(AA128,AF128),"")</f>
        <v>-2</v>
      </c>
      <c r="AK128" s="223">
        <f t="shared" ref="AK128:AK928" si="124">WEEKNUM(AA128)</f>
        <v>20</v>
      </c>
      <c r="AL128" s="223">
        <f t="shared" ref="AL128:AL928" si="125">YEAR(AA128)</f>
        <v>2026</v>
      </c>
      <c r="AS128" s="223">
        <f t="shared" si="113"/>
        <v>5</v>
      </c>
      <c r="AT128" s="223">
        <f t="shared" si="114"/>
        <v>2026</v>
      </c>
    </row>
    <row r="129" spans="2:46" ht="15.75" x14ac:dyDescent="0.25">
      <c r="B129" s="229" t="s">
        <v>482</v>
      </c>
      <c r="C129" s="235" t="s">
        <v>263</v>
      </c>
      <c r="D129" s="243">
        <v>2500</v>
      </c>
      <c r="E129" s="232" t="s">
        <v>4</v>
      </c>
      <c r="F129" s="435">
        <v>2.61</v>
      </c>
      <c r="G129" s="234">
        <v>46106</v>
      </c>
      <c r="H129" s="235" t="s">
        <v>15</v>
      </c>
      <c r="I129" s="235"/>
      <c r="J129" s="440">
        <v>7.0000000000000007E-2</v>
      </c>
      <c r="K129" s="443">
        <f ca="1">ROUND(IF(ISERROR(OFFSET(Tabella!$A$1,MATCH(H129,Tabella!$A:$A,0)-1,MATCH(J129,Tabella!$A$1:$AC$1,0)-1)=TRUE),0,+OFFSET(Tabella!$A$1,MATCH(H129,Tabella!$A:$A,0)-1,MATCH(J129,Tabella!$A$1:$AC$1,0)-1)),4)</f>
        <v>1.4</v>
      </c>
      <c r="L129" s="446">
        <f ca="1">ROUND(IF(ISERROR(OFFSET(Ottone!$A$1,MATCH(H129,Ottone!$A:$A,0)-1,MATCH(J129,Ottone!$A$1:$Z$1,0)-1)=TRUE),0,OFFSET(Ottone!$A$1,MATCH(H129,Ottone!$A:$A,0)-1,MATCH(J129,Ottone!$A$1:$Z$1,0)-1))*IF(E129="Ottone",1,0),4)</f>
        <v>0</v>
      </c>
      <c r="M129" s="446">
        <f ca="1">ROUND(IF(ISERROR(OFFSET(Rame!$A$1,MATCH(H129,Rame!$A:$A,0)-1,MATCH(J129,Rame!$A$1:$AA$1,0)-1)=TRUE),0,OFFSET(Rame!$A$1,MATCH(H129,Rame!$A:$A,0)-1,MATCH(J129,Rame!$A$1:$AA$1,0)-1))*IF(E129="Rame",1,0),4)</f>
        <v>0</v>
      </c>
      <c r="N129" s="446">
        <v>0</v>
      </c>
      <c r="O129" s="446">
        <v>1.65</v>
      </c>
      <c r="P129" s="446">
        <f ca="1">ROUND(+IF(ISERROR(OFFSET(Tabella!$G$1,MATCH(H129,Tabella!$G:$G,0)-1,MATCH(I129,Tabella!$G$1:$FG$1,0)-1)=TRUE),0,OFFSET(Tabella!$G$1,MATCH(H129,Tabella!$G:$G,0)-1,MATCH(I129,Tabella!$G$1:$AB$1,0)-1)),4)</f>
        <v>0</v>
      </c>
      <c r="Q129" s="446">
        <f ca="1">ROUND(IF(ISERROR(OFFSET(Ottone!$F$1,MATCH(H129,Ottone!$A:$A,0)-1,MATCH(I129,Ottone!$F$1:$FF$1,0)-1)=TRUE),0,OFFSET(Ottone!$F$1,MATCH(H129,Ottone!$A:$A,0)-1,MATCH(I129,Ottone!$F$1:$FF$1,0)-1))*IF(E129="Ottone",1,0),4)</f>
        <v>0</v>
      </c>
      <c r="R129" s="446">
        <f ca="1">ROUND(IF(ISERROR(OFFSET(Rame!$F$1,MATCH(H129,Rame!$F:$F,0)-1,MATCH(I129,Rame!$F$1:$FF$1,0)-1)=TRUE),0,OFFSET(Rame!$F$1,MATCH(H129,Rame!$F:$F,0)-1,MATCH(I129,Rame!$F$1:$FF$1,0)-1))*IF(E129="Rame",1,0),4)</f>
        <v>0</v>
      </c>
      <c r="S129" s="446">
        <f ca="1">ROUND(IF(ISERROR(OFFSET(Bronzo!$A$1,MATCH(H129,Bronzo!$A:$A,0)-1,MATCH(I129,Bronzo!$A$1:$AA$1,0)-1)=TRUE),0,OFFSET(Bronzo!$A$1,MATCH(H129,Bronzo!$A:$A,0)-1,MATCH(I129,Bronzo!$A$1:$AA$1,0)-1)),4)</f>
        <v>0</v>
      </c>
      <c r="T129" s="446">
        <f t="shared" ca="1" si="106"/>
        <v>0</v>
      </c>
      <c r="U129" s="443"/>
      <c r="V129" s="446">
        <v>0</v>
      </c>
      <c r="W129" s="449">
        <f t="shared" ca="1" si="107"/>
        <v>1.65</v>
      </c>
      <c r="X129" s="452">
        <f t="shared" si="92"/>
        <v>175</v>
      </c>
      <c r="Y129" s="440">
        <v>4.33</v>
      </c>
      <c r="Z129" s="440">
        <f t="shared" ca="1" si="108"/>
        <v>7.0000000000000007E-2</v>
      </c>
      <c r="AA129" s="241">
        <v>46154</v>
      </c>
      <c r="AF129" s="225">
        <f t="shared" ca="1" si="115"/>
        <v>46156</v>
      </c>
      <c r="AG129" s="225" t="b">
        <f t="shared" si="122"/>
        <v>0</v>
      </c>
      <c r="AH129" s="242">
        <f t="shared" ca="1" si="123"/>
        <v>-2</v>
      </c>
      <c r="AK129" s="223">
        <f t="shared" si="124"/>
        <v>20</v>
      </c>
      <c r="AL129" s="223">
        <f t="shared" si="125"/>
        <v>2026</v>
      </c>
      <c r="AS129" s="223">
        <f t="shared" si="113"/>
        <v>5</v>
      </c>
      <c r="AT129" s="223">
        <f t="shared" si="114"/>
        <v>2026</v>
      </c>
    </row>
    <row r="130" spans="2:46" ht="15.75" x14ac:dyDescent="0.25">
      <c r="B130" s="229" t="s">
        <v>486</v>
      </c>
      <c r="C130" s="244" t="s">
        <v>212</v>
      </c>
      <c r="D130" s="245">
        <v>428</v>
      </c>
      <c r="E130" s="232" t="s">
        <v>6</v>
      </c>
      <c r="F130" s="435">
        <v>10.47</v>
      </c>
      <c r="G130" s="234">
        <v>46107</v>
      </c>
      <c r="H130" s="235" t="s">
        <v>16</v>
      </c>
      <c r="I130" s="235"/>
      <c r="J130" s="440">
        <v>0.1</v>
      </c>
      <c r="K130" s="443">
        <f ca="1">ROUND(IF(ISERROR(OFFSET(Tabella!$A$1,MATCH(H130,Tabella!$A:$A,0)-1,MATCH(J130,Tabella!$A$1:$AC$1,0)-1)=TRUE),0,+OFFSET(Tabella!$A$1,MATCH(H130,Tabella!$A:$A,0)-1,MATCH(J130,Tabella!$A$1:$AC$1,0)-1)),4)</f>
        <v>0</v>
      </c>
      <c r="L130" s="446">
        <f ca="1">ROUND(IF(ISERROR(OFFSET(Ottone!$A$1,MATCH(H130,Ottone!$A:$A,0)-1,MATCH(J130,Ottone!$A$1:$Z$1,0)-1)=TRUE),0,OFFSET(Ottone!$A$1,MATCH(H130,Ottone!$A:$A,0)-1,MATCH(J130,Ottone!$A$1:$Z$1,0)-1))*IF(E130="Ottone",1,0),4)</f>
        <v>0</v>
      </c>
      <c r="M130" s="446">
        <f ca="1">ROUND(IF(ISERROR(OFFSET(Rame!$A$1,MATCH(H130,Rame!$A:$A,0)-1,MATCH(J130,Rame!$A$1:$AA$1,0)-1)=TRUE),0,OFFSET(Rame!$A$1,MATCH(H130,Rame!$A:$A,0)-1,MATCH(J130,Rame!$A$1:$AA$1,0)-1))*IF(E130="Rame",1,0),4)</f>
        <v>0.82</v>
      </c>
      <c r="N130" s="446">
        <v>0</v>
      </c>
      <c r="O130" s="446">
        <f ca="1">ROUND(SUM(K130:N130),4)</f>
        <v>0.82</v>
      </c>
      <c r="P130" s="446">
        <f ca="1">ROUND(+IF(ISERROR(OFFSET(Tabella!$G$1,MATCH(H130,Tabella!$G:$G,0)-1,MATCH(I130,Tabella!$G$1:$FG$1,0)-1)=TRUE),0,OFFSET(Tabella!$G$1,MATCH(H130,Tabella!$G:$G,0)-1,MATCH(I130,Tabella!$G$1:$AB$1,0)-1)),4)</f>
        <v>0</v>
      </c>
      <c r="Q130" s="446">
        <f ca="1">ROUND(IF(ISERROR(OFFSET(Ottone!$F$1,MATCH(H130,Ottone!$A:$A,0)-1,MATCH(I130,Ottone!$F$1:$FF$1,0)-1)=TRUE),0,OFFSET(Ottone!$F$1,MATCH(H130,Ottone!$A:$A,0)-1,MATCH(I130,Ottone!$F$1:$FF$1,0)-1))*IF(E130="Ottone",1,0),4)</f>
        <v>0</v>
      </c>
      <c r="R130" s="446">
        <f ca="1">ROUND(IF(ISERROR(OFFSET(Rame!$F$1,MATCH(H130,Rame!$F:$F,0)-1,MATCH(I130,Rame!$F$1:$FF$1,0)-1)=TRUE),0,OFFSET(Rame!$F$1,MATCH(H130,Rame!$F:$F,0)-1,MATCH(I130,Rame!$F$1:$FF$1,0)-1))*IF(E130="Rame",1,0),4)</f>
        <v>0</v>
      </c>
      <c r="S130" s="446">
        <f ca="1">ROUND(IF(ISERROR(OFFSET(Bronzo!$A$1,MATCH(H130,Bronzo!$A:$A,0)-1,MATCH(I130,Bronzo!$A$1:$AA$1,0)-1)=TRUE),0,OFFSET(Bronzo!$A$1,MATCH(H130,Bronzo!$A:$A,0)-1,MATCH(I130,Bronzo!$A$1:$AA$1,0)-1)),4)</f>
        <v>0</v>
      </c>
      <c r="T130" s="446">
        <f t="shared" ca="1" si="106"/>
        <v>0</v>
      </c>
      <c r="U130" s="443"/>
      <c r="V130" s="446">
        <v>0</v>
      </c>
      <c r="W130" s="449">
        <f t="shared" ca="1" si="107"/>
        <v>0.82</v>
      </c>
      <c r="X130" s="454">
        <f t="shared" si="92"/>
        <v>42.8</v>
      </c>
      <c r="Y130" s="440">
        <v>13.77</v>
      </c>
      <c r="Z130" s="440">
        <f t="shared" ca="1" si="108"/>
        <v>2.48</v>
      </c>
      <c r="AA130" s="241"/>
      <c r="AD130" s="223" t="s">
        <v>403</v>
      </c>
      <c r="AF130" s="225">
        <f t="shared" ca="1" si="115"/>
        <v>46156</v>
      </c>
      <c r="AG130" s="225" t="b">
        <f t="shared" si="122"/>
        <v>1</v>
      </c>
      <c r="AH130" s="242" t="str">
        <f t="shared" si="123"/>
        <v/>
      </c>
      <c r="AK130" s="223">
        <f t="shared" si="124"/>
        <v>0</v>
      </c>
      <c r="AL130" s="223">
        <f t="shared" si="125"/>
        <v>1900</v>
      </c>
      <c r="AS130" s="223">
        <f t="shared" si="113"/>
        <v>0</v>
      </c>
      <c r="AT130" s="223">
        <f t="shared" si="114"/>
        <v>0</v>
      </c>
    </row>
    <row r="131" spans="2:46" ht="15.75" x14ac:dyDescent="0.25">
      <c r="B131" s="229" t="s">
        <v>485</v>
      </c>
      <c r="C131" s="235" t="s">
        <v>108</v>
      </c>
      <c r="D131" s="243">
        <v>400</v>
      </c>
      <c r="E131" s="232" t="s">
        <v>6</v>
      </c>
      <c r="F131" s="435">
        <v>10.5</v>
      </c>
      <c r="G131" s="234">
        <v>46111</v>
      </c>
      <c r="H131" s="235" t="s">
        <v>18</v>
      </c>
      <c r="I131" s="235"/>
      <c r="J131" s="440">
        <v>0.15</v>
      </c>
      <c r="K131" s="443">
        <f ca="1">ROUND(IF(ISERROR(OFFSET(Tabella!$A$1,MATCH(H131,Tabella!$A:$A,0)-1,MATCH(J131,Tabella!$A$1:$AC$1,0)-1)=TRUE),0,+OFFSET(Tabella!$A$1,MATCH(H131,Tabella!$A:$A,0)-1,MATCH(J131,Tabella!$A$1:$AC$1,0)-1)),4)</f>
        <v>0</v>
      </c>
      <c r="L131" s="446">
        <f ca="1">ROUND(IF(ISERROR(OFFSET(Ottone!$A$1,MATCH(H131,Ottone!$A:$A,0)-1,MATCH(J131,Ottone!$A$1:$Z$1,0)-1)=TRUE),0,OFFSET(Ottone!$A$1,MATCH(H131,Ottone!$A:$A,0)-1,MATCH(J131,Ottone!$A$1:$Z$1,0)-1))*IF(E131="Ottone",1,0),4)</f>
        <v>0</v>
      </c>
      <c r="M131" s="446">
        <f ca="1">ROUND(IF(ISERROR(OFFSET(Rame!$A$1,MATCH(H131,Rame!$A:$A,0)-1,MATCH(J131,Rame!$A$1:$AA$1,0)-1)=TRUE),0,OFFSET(Rame!$A$1,MATCH(H131,Rame!$A:$A,0)-1,MATCH(J131,Rame!$A$1:$AA$1,0)-1))*IF(E131="Rame",1,0),4)</f>
        <v>0.82</v>
      </c>
      <c r="N131" s="446">
        <v>0</v>
      </c>
      <c r="O131" s="446">
        <f ca="1">ROUND(SUM(K131:N131),4)</f>
        <v>0.82</v>
      </c>
      <c r="P131" s="446">
        <f ca="1">ROUND(+IF(ISERROR(OFFSET(Tabella!$G$1,MATCH(H131,Tabella!$G:$G,0)-1,MATCH(I131,Tabella!$G$1:$FG$1,0)-1)=TRUE),0,OFFSET(Tabella!$G$1,MATCH(H131,Tabella!$G:$G,0)-1,MATCH(I131,Tabella!$G$1:$AB$1,0)-1)),4)</f>
        <v>0</v>
      </c>
      <c r="Q131" s="446">
        <f ca="1">ROUND(IF(ISERROR(OFFSET(Ottone!$F$1,MATCH(H131,Ottone!$A:$A,0)-1,MATCH(I131,Ottone!$F$1:$FF$1,0)-1)=TRUE),0,OFFSET(Ottone!$F$1,MATCH(H131,Ottone!$A:$A,0)-1,MATCH(I131,Ottone!$F$1:$FF$1,0)-1))*IF(E131="Ottone",1,0),4)</f>
        <v>0</v>
      </c>
      <c r="R131" s="446">
        <f ca="1">ROUND(IF(ISERROR(OFFSET(Rame!$F$1,MATCH(H131,Rame!$F:$F,0)-1,MATCH(I131,Rame!$F$1:$FF$1,0)-1)=TRUE),0,OFFSET(Rame!$F$1,MATCH(H131,Rame!$F:$F,0)-1,MATCH(I131,Rame!$F$1:$FF$1,0)-1))*IF(E131="Rame",1,0),4)</f>
        <v>0</v>
      </c>
      <c r="S131" s="446">
        <f ca="1">ROUND(IF(ISERROR(OFFSET(Bronzo!$A$1,MATCH(H131,Bronzo!$A:$A,0)-1,MATCH(I131,Bronzo!$A$1:$AA$1,0)-1)=TRUE),0,OFFSET(Bronzo!$A$1,MATCH(H131,Bronzo!$A:$A,0)-1,MATCH(I131,Bronzo!$A$1:$AA$1,0)-1)),4)</f>
        <v>0</v>
      </c>
      <c r="T131" s="446">
        <f t="shared" ca="1" si="106"/>
        <v>0</v>
      </c>
      <c r="U131" s="443"/>
      <c r="V131" s="446">
        <v>0</v>
      </c>
      <c r="W131" s="449">
        <f t="shared" ca="1" si="107"/>
        <v>0.82</v>
      </c>
      <c r="X131" s="452">
        <f t="shared" si="92"/>
        <v>60</v>
      </c>
      <c r="Y131" s="440">
        <v>14.05</v>
      </c>
      <c r="Z131" s="440">
        <f t="shared" ca="1" si="108"/>
        <v>2.73</v>
      </c>
      <c r="AA131" s="241">
        <v>46146</v>
      </c>
      <c r="AF131" s="225">
        <f t="shared" ca="1" si="115"/>
        <v>46156</v>
      </c>
      <c r="AG131" s="225" t="b">
        <f t="shared" ref="AG131:AG153" si="126">ISBLANK(AA131)</f>
        <v>0</v>
      </c>
      <c r="AH131" s="242"/>
      <c r="AK131" s="223">
        <f t="shared" ref="AK131:AK154" si="127">WEEKNUM(AA131)</f>
        <v>19</v>
      </c>
      <c r="AL131" s="223">
        <f t="shared" ref="AL131:AL154" si="128">YEAR(AA131)</f>
        <v>2026</v>
      </c>
      <c r="AS131" s="223">
        <f t="shared" ref="AS131:AS154" si="129">IF(AA131="",0,MONTH(AA131))</f>
        <v>5</v>
      </c>
      <c r="AT131" s="223">
        <f t="shared" ref="AT131:AT154" si="130">IF(AA131="",0,YEAR(AA131))</f>
        <v>2026</v>
      </c>
    </row>
    <row r="132" spans="2:46" ht="15.75" x14ac:dyDescent="0.25">
      <c r="B132" s="229" t="s">
        <v>625</v>
      </c>
      <c r="C132" s="244" t="s">
        <v>108</v>
      </c>
      <c r="D132" s="245">
        <v>318</v>
      </c>
      <c r="E132" s="232" t="s">
        <v>6</v>
      </c>
      <c r="F132" s="435">
        <v>10.5</v>
      </c>
      <c r="G132" s="234">
        <v>46111</v>
      </c>
      <c r="H132" s="235" t="s">
        <v>18</v>
      </c>
      <c r="I132" s="235"/>
      <c r="J132" s="440">
        <v>0.15</v>
      </c>
      <c r="K132" s="443">
        <f ca="1">ROUND(IF(ISERROR(OFFSET(Tabella!$A$1,MATCH(H132,Tabella!$A:$A,0)-1,MATCH(J132,Tabella!$A$1:$AC$1,0)-1)=TRUE),0,+OFFSET(Tabella!$A$1,MATCH(H132,Tabella!$A:$A,0)-1,MATCH(J132,Tabella!$A$1:$AC$1,0)-1)),4)</f>
        <v>0</v>
      </c>
      <c r="L132" s="446">
        <f ca="1">ROUND(IF(ISERROR(OFFSET(Ottone!$A$1,MATCH(H132,Ottone!$A:$A,0)-1,MATCH(J132,Ottone!$A$1:$Z$1,0)-1)=TRUE),0,OFFSET(Ottone!$A$1,MATCH(H132,Ottone!$A:$A,0)-1,MATCH(J132,Ottone!$A$1:$Z$1,0)-1))*IF(E132="Ottone",1,0),4)</f>
        <v>0</v>
      </c>
      <c r="M132" s="446">
        <f ca="1">ROUND(IF(ISERROR(OFFSET(Rame!$A$1,MATCH(H132,Rame!$A:$A,0)-1,MATCH(J132,Rame!$A$1:$AA$1,0)-1)=TRUE),0,OFFSET(Rame!$A$1,MATCH(H132,Rame!$A:$A,0)-1,MATCH(J132,Rame!$A$1:$AA$1,0)-1))*IF(E132="Rame",1,0),4)</f>
        <v>0.82</v>
      </c>
      <c r="N132" s="446">
        <v>0</v>
      </c>
      <c r="O132" s="446">
        <f ca="1">ROUND(SUM(K132:N132),4)</f>
        <v>0.82</v>
      </c>
      <c r="P132" s="446">
        <f ca="1">ROUND(+IF(ISERROR(OFFSET(Tabella!$G$1,MATCH(H132,Tabella!$G:$G,0)-1,MATCH(I132,Tabella!$G$1:$FG$1,0)-1)=TRUE),0,OFFSET(Tabella!$G$1,MATCH(H132,Tabella!$G:$G,0)-1,MATCH(I132,Tabella!$G$1:$AB$1,0)-1)),4)</f>
        <v>0</v>
      </c>
      <c r="Q132" s="446">
        <f ca="1">ROUND(IF(ISERROR(OFFSET(Ottone!$F$1,MATCH(H132,Ottone!$A:$A,0)-1,MATCH(I132,Ottone!$F$1:$FF$1,0)-1)=TRUE),0,OFFSET(Ottone!$F$1,MATCH(H132,Ottone!$A:$A,0)-1,MATCH(I132,Ottone!$F$1:$FF$1,0)-1))*IF(E132="Ottone",1,0),4)</f>
        <v>0</v>
      </c>
      <c r="R132" s="446">
        <f ca="1">ROUND(IF(ISERROR(OFFSET(Rame!$F$1,MATCH(H132,Rame!$F:$F,0)-1,MATCH(I132,Rame!$F$1:$FF$1,0)-1)=TRUE),0,OFFSET(Rame!$F$1,MATCH(H132,Rame!$F:$F,0)-1,MATCH(I132,Rame!$F$1:$FF$1,0)-1))*IF(E132="Rame",1,0),4)</f>
        <v>0</v>
      </c>
      <c r="S132" s="446">
        <f ca="1">ROUND(IF(ISERROR(OFFSET(Bronzo!$A$1,MATCH(H132,Bronzo!$A:$A,0)-1,MATCH(I132,Bronzo!$A$1:$AA$1,0)-1)=TRUE),0,OFFSET(Bronzo!$A$1,MATCH(H132,Bronzo!$A:$A,0)-1,MATCH(I132,Bronzo!$A$1:$AA$1,0)-1)),4)</f>
        <v>0</v>
      </c>
      <c r="T132" s="446">
        <f t="shared" ca="1" si="106"/>
        <v>0</v>
      </c>
      <c r="U132" s="443"/>
      <c r="V132" s="446">
        <v>0</v>
      </c>
      <c r="W132" s="449">
        <f t="shared" ca="1" si="107"/>
        <v>0.82</v>
      </c>
      <c r="X132" s="454">
        <f t="shared" si="92"/>
        <v>47.7</v>
      </c>
      <c r="Y132" s="440">
        <v>14.05</v>
      </c>
      <c r="Z132" s="440">
        <f t="shared" ca="1" si="108"/>
        <v>2.73</v>
      </c>
      <c r="AA132" s="241"/>
      <c r="AD132" s="223" t="s">
        <v>403</v>
      </c>
      <c r="AF132" s="225">
        <f t="shared" ca="1" si="115"/>
        <v>46156</v>
      </c>
      <c r="AG132" s="225" t="b">
        <f t="shared" si="126"/>
        <v>1</v>
      </c>
      <c r="AH132" s="242"/>
      <c r="AK132" s="223">
        <f t="shared" si="127"/>
        <v>0</v>
      </c>
      <c r="AL132" s="223">
        <f t="shared" si="128"/>
        <v>1900</v>
      </c>
      <c r="AS132" s="223">
        <f t="shared" si="129"/>
        <v>0</v>
      </c>
      <c r="AT132" s="223">
        <f t="shared" si="130"/>
        <v>0</v>
      </c>
    </row>
    <row r="133" spans="2:46" ht="15.75" x14ac:dyDescent="0.25">
      <c r="B133" s="229" t="s">
        <v>603</v>
      </c>
      <c r="C133" s="244" t="s">
        <v>212</v>
      </c>
      <c r="D133" s="245">
        <v>2151</v>
      </c>
      <c r="E133" s="232" t="s">
        <v>4</v>
      </c>
      <c r="F133" s="435">
        <v>2.61</v>
      </c>
      <c r="G133" s="234">
        <v>46111</v>
      </c>
      <c r="H133" s="235" t="s">
        <v>21</v>
      </c>
      <c r="I133" s="235"/>
      <c r="J133" s="440">
        <v>0.05</v>
      </c>
      <c r="K133" s="443">
        <f ca="1">ROUND(IF(ISERROR(OFFSET(Tabella!$A$1,MATCH(H133,Tabella!$A:$A,0)-1,MATCH(J133,Tabella!$A$1:$AC$1,0)-1)=TRUE),0,+OFFSET(Tabella!$A$1,MATCH(H133,Tabella!$A:$A,0)-1,MATCH(J133,Tabella!$A$1:$AC$1,0)-1)),4)</f>
        <v>0</v>
      </c>
      <c r="L133" s="446">
        <f ca="1">ROUND(IF(ISERROR(OFFSET(Ottone!$A$1,MATCH(H133,Ottone!$A:$A,0)-1,MATCH(J133,Ottone!$A$1:$Z$1,0)-1)=TRUE),0,OFFSET(Ottone!$A$1,MATCH(H133,Ottone!$A:$A,0)-1,MATCH(J133,Ottone!$A$1:$Z$1,0)-1))*IF(E133="Ottone",1,0),4)</f>
        <v>0</v>
      </c>
      <c r="M133" s="446">
        <f ca="1">ROUND(IF(ISERROR(OFFSET(Rame!$A$1,MATCH(H133,Rame!$A:$A,0)-1,MATCH(J133,Rame!$A$1:$AA$1,0)-1)=TRUE),0,OFFSET(Rame!$A$1,MATCH(H133,Rame!$A:$A,0)-1,MATCH(J133,Rame!$A$1:$AA$1,0)-1))*IF(E133="Rame",1,0),4)</f>
        <v>0</v>
      </c>
      <c r="N133" s="446">
        <v>0</v>
      </c>
      <c r="O133" s="446">
        <v>1.47</v>
      </c>
      <c r="P133" s="446">
        <f ca="1">ROUND(+IF(ISERROR(OFFSET(Tabella!$G$1,MATCH(H133,Tabella!$G:$G,0)-1,MATCH(I133,Tabella!$G$1:$FG$1,0)-1)=TRUE),0,OFFSET(Tabella!$G$1,MATCH(H133,Tabella!$G:$G,0)-1,MATCH(I133,Tabella!$G$1:$AB$1,0)-1)),4)</f>
        <v>0</v>
      </c>
      <c r="Q133" s="446">
        <f ca="1">ROUND(IF(ISERROR(OFFSET(Ottone!$F$1,MATCH(H133,Ottone!$A:$A,0)-1,MATCH(I133,Ottone!$F$1:$FF$1,0)-1)=TRUE),0,OFFSET(Ottone!$F$1,MATCH(H133,Ottone!$A:$A,0)-1,MATCH(I133,Ottone!$F$1:$FF$1,0)-1))*IF(E133="Ottone",1,0),4)</f>
        <v>0</v>
      </c>
      <c r="R133" s="446">
        <f ca="1">ROUND(IF(ISERROR(OFFSET(Rame!$F$1,MATCH(H133,Rame!$F:$F,0)-1,MATCH(I133,Rame!$F$1:$FF$1,0)-1)=TRUE),0,OFFSET(Rame!$F$1,MATCH(H133,Rame!$F:$F,0)-1,MATCH(I133,Rame!$F$1:$FF$1,0)-1))*IF(E133="Rame",1,0),4)</f>
        <v>0</v>
      </c>
      <c r="S133" s="446">
        <f ca="1">ROUND(IF(ISERROR(OFFSET(Bronzo!$A$1,MATCH(H133,Bronzo!$A:$A,0)-1,MATCH(I133,Bronzo!$A$1:$AA$1,0)-1)=TRUE),0,OFFSET(Bronzo!$A$1,MATCH(H133,Bronzo!$A:$A,0)-1,MATCH(I133,Bronzo!$A$1:$AA$1,0)-1)),4)</f>
        <v>0</v>
      </c>
      <c r="T133" s="446">
        <f t="shared" ca="1" si="106"/>
        <v>0</v>
      </c>
      <c r="U133" s="443"/>
      <c r="V133" s="446">
        <v>0</v>
      </c>
      <c r="W133" s="449">
        <f t="shared" ca="1" si="107"/>
        <v>1.47</v>
      </c>
      <c r="X133" s="454">
        <f t="shared" si="92"/>
        <v>107.55</v>
      </c>
      <c r="Y133" s="440">
        <v>4.08</v>
      </c>
      <c r="Z133" s="440">
        <f t="shared" ca="1" si="108"/>
        <v>0</v>
      </c>
      <c r="AA133" s="241"/>
      <c r="AD133" s="223" t="s">
        <v>403</v>
      </c>
      <c r="AF133" s="225">
        <f t="shared" ca="1" si="115"/>
        <v>46156</v>
      </c>
      <c r="AG133" s="225" t="b">
        <f t="shared" si="126"/>
        <v>1</v>
      </c>
      <c r="AH133" s="242"/>
      <c r="AK133" s="223">
        <f t="shared" si="127"/>
        <v>0</v>
      </c>
      <c r="AL133" s="223">
        <f t="shared" si="128"/>
        <v>1900</v>
      </c>
      <c r="AS133" s="223">
        <f t="shared" si="129"/>
        <v>0</v>
      </c>
      <c r="AT133" s="223">
        <f t="shared" si="130"/>
        <v>0</v>
      </c>
    </row>
    <row r="134" spans="2:46" ht="15.75" x14ac:dyDescent="0.25">
      <c r="B134" s="229" t="s">
        <v>602</v>
      </c>
      <c r="C134" s="244" t="s">
        <v>212</v>
      </c>
      <c r="D134" s="245">
        <v>2948</v>
      </c>
      <c r="E134" s="232" t="s">
        <v>4</v>
      </c>
      <c r="F134" s="435">
        <v>2.61</v>
      </c>
      <c r="G134" s="234">
        <v>46111</v>
      </c>
      <c r="H134" s="235" t="s">
        <v>21</v>
      </c>
      <c r="I134" s="235"/>
      <c r="J134" s="440">
        <v>0.05</v>
      </c>
      <c r="K134" s="443">
        <f ca="1">ROUND(IF(ISERROR(OFFSET(Tabella!$A$1,MATCH(H134,Tabella!$A:$A,0)-1,MATCH(J134,Tabella!$A$1:$AC$1,0)-1)=TRUE),0,+OFFSET(Tabella!$A$1,MATCH(H134,Tabella!$A:$A,0)-1,MATCH(J134,Tabella!$A$1:$AC$1,0)-1)),4)</f>
        <v>0</v>
      </c>
      <c r="L134" s="446">
        <f ca="1">ROUND(IF(ISERROR(OFFSET(Ottone!$A$1,MATCH(H134,Ottone!$A:$A,0)-1,MATCH(J134,Ottone!$A$1:$Z$1,0)-1)=TRUE),0,OFFSET(Ottone!$A$1,MATCH(H134,Ottone!$A:$A,0)-1,MATCH(J134,Ottone!$A$1:$Z$1,0)-1))*IF(E134="Ottone",1,0),4)</f>
        <v>0</v>
      </c>
      <c r="M134" s="446">
        <f ca="1">ROUND(IF(ISERROR(OFFSET(Rame!$A$1,MATCH(H134,Rame!$A:$A,0)-1,MATCH(J134,Rame!$A$1:$AA$1,0)-1)=TRUE),0,OFFSET(Rame!$A$1,MATCH(H134,Rame!$A:$A,0)-1,MATCH(J134,Rame!$A$1:$AA$1,0)-1))*IF(E134="Rame",1,0),4)</f>
        <v>0</v>
      </c>
      <c r="N134" s="446">
        <v>0</v>
      </c>
      <c r="O134" s="446">
        <v>1.47</v>
      </c>
      <c r="P134" s="446">
        <f ca="1">ROUND(+IF(ISERROR(OFFSET(Tabella!$G$1,MATCH(H134,Tabella!$G:$G,0)-1,MATCH(I134,Tabella!$G$1:$FG$1,0)-1)=TRUE),0,OFFSET(Tabella!$G$1,MATCH(H134,Tabella!$G:$G,0)-1,MATCH(I134,Tabella!$G$1:$AB$1,0)-1)),4)</f>
        <v>0</v>
      </c>
      <c r="Q134" s="446">
        <f ca="1">ROUND(IF(ISERROR(OFFSET(Ottone!$F$1,MATCH(H134,Ottone!$A:$A,0)-1,MATCH(I134,Ottone!$F$1:$FF$1,0)-1)=TRUE),0,OFFSET(Ottone!$F$1,MATCH(H134,Ottone!$A:$A,0)-1,MATCH(I134,Ottone!$F$1:$FF$1,0)-1))*IF(E134="Ottone",1,0),4)</f>
        <v>0</v>
      </c>
      <c r="R134" s="446">
        <f ca="1">ROUND(IF(ISERROR(OFFSET(Rame!$F$1,MATCH(H134,Rame!$F:$F,0)-1,MATCH(I134,Rame!$F$1:$FF$1,0)-1)=TRUE),0,OFFSET(Rame!$F$1,MATCH(H134,Rame!$F:$F,0)-1,MATCH(I134,Rame!$F$1:$FF$1,0)-1))*IF(E134="Rame",1,0),4)</f>
        <v>0</v>
      </c>
      <c r="S134" s="446">
        <f ca="1">ROUND(IF(ISERROR(OFFSET(Bronzo!$A$1,MATCH(H134,Bronzo!$A:$A,0)-1,MATCH(I134,Bronzo!$A$1:$AA$1,0)-1)=TRUE),0,OFFSET(Bronzo!$A$1,MATCH(H134,Bronzo!$A:$A,0)-1,MATCH(I134,Bronzo!$A$1:$AA$1,0)-1)),4)</f>
        <v>0</v>
      </c>
      <c r="T134" s="446">
        <f t="shared" ca="1" si="106"/>
        <v>0</v>
      </c>
      <c r="U134" s="443"/>
      <c r="V134" s="446">
        <v>0</v>
      </c>
      <c r="W134" s="449">
        <f t="shared" ca="1" si="107"/>
        <v>1.47</v>
      </c>
      <c r="X134" s="454">
        <f t="shared" ref="X134:X197" si="131">ROUND(+J134*D134,4)</f>
        <v>147.4</v>
      </c>
      <c r="Y134" s="440">
        <v>4.08</v>
      </c>
      <c r="Z134" s="440">
        <f t="shared" ca="1" si="108"/>
        <v>0</v>
      </c>
      <c r="AA134" s="241"/>
      <c r="AD134" s="223" t="s">
        <v>403</v>
      </c>
      <c r="AF134" s="225">
        <f t="shared" ca="1" si="115"/>
        <v>46156</v>
      </c>
      <c r="AG134" s="225" t="b">
        <f t="shared" si="126"/>
        <v>1</v>
      </c>
      <c r="AH134" s="242"/>
      <c r="AK134" s="223">
        <f t="shared" si="127"/>
        <v>0</v>
      </c>
      <c r="AL134" s="223">
        <f t="shared" si="128"/>
        <v>1900</v>
      </c>
      <c r="AS134" s="223">
        <f t="shared" si="129"/>
        <v>0</v>
      </c>
      <c r="AT134" s="223">
        <f t="shared" si="130"/>
        <v>0</v>
      </c>
    </row>
    <row r="135" spans="2:46" ht="15.75" x14ac:dyDescent="0.25">
      <c r="B135" s="229" t="s">
        <v>579</v>
      </c>
      <c r="C135" s="244" t="s">
        <v>212</v>
      </c>
      <c r="D135" s="245">
        <v>603</v>
      </c>
      <c r="E135" s="232" t="s">
        <v>4</v>
      </c>
      <c r="F135" s="435">
        <v>2.61</v>
      </c>
      <c r="G135" s="234">
        <v>46111</v>
      </c>
      <c r="H135" s="235" t="s">
        <v>13</v>
      </c>
      <c r="I135" s="235"/>
      <c r="J135" s="440">
        <v>0.05</v>
      </c>
      <c r="K135" s="443">
        <f ca="1">ROUND(IF(ISERROR(OFFSET(Tabella!$A$1,MATCH(H135,Tabella!$A:$A,0)-1,MATCH(J135,Tabella!$A$1:$AC$1,0)-1)=TRUE),0,+OFFSET(Tabella!$A$1,MATCH(H135,Tabella!$A:$A,0)-1,MATCH(J135,Tabella!$A$1:$AC$1,0)-1)),4)</f>
        <v>0</v>
      </c>
      <c r="L135" s="446">
        <f ca="1">ROUND(IF(ISERROR(OFFSET(Ottone!$A$1,MATCH(H135,Ottone!$A:$A,0)-1,MATCH(J135,Ottone!$A$1:$Z$1,0)-1)=TRUE),0,OFFSET(Ottone!$A$1,MATCH(H135,Ottone!$A:$A,0)-1,MATCH(J135,Ottone!$A$1:$Z$1,0)-1))*IF(E135="Ottone",1,0),4)</f>
        <v>0</v>
      </c>
      <c r="M135" s="446">
        <f ca="1">ROUND(IF(ISERROR(OFFSET(Rame!$A$1,MATCH(H135,Rame!$A:$A,0)-1,MATCH(J135,Rame!$A$1:$AA$1,0)-1)=TRUE),0,OFFSET(Rame!$A$1,MATCH(H135,Rame!$A:$A,0)-1,MATCH(J135,Rame!$A$1:$AA$1,0)-1))*IF(E135="Rame",1,0),4)</f>
        <v>0</v>
      </c>
      <c r="N135" s="446">
        <v>0</v>
      </c>
      <c r="O135" s="446">
        <v>1.57</v>
      </c>
      <c r="P135" s="446">
        <f ca="1">ROUND(+IF(ISERROR(OFFSET(Tabella!$G$1,MATCH(H135,Tabella!$G:$G,0)-1,MATCH(I135,Tabella!$G$1:$FG$1,0)-1)=TRUE),0,OFFSET(Tabella!$G$1,MATCH(H135,Tabella!$G:$G,0)-1,MATCH(I135,Tabella!$G$1:$AB$1,0)-1)),4)</f>
        <v>0</v>
      </c>
      <c r="Q135" s="446">
        <f ca="1">ROUND(IF(ISERROR(OFFSET(Ottone!$F$1,MATCH(H135,Ottone!$A:$A,0)-1,MATCH(I135,Ottone!$F$1:$FF$1,0)-1)=TRUE),0,OFFSET(Ottone!$F$1,MATCH(H135,Ottone!$A:$A,0)-1,MATCH(I135,Ottone!$F$1:$FF$1,0)-1))*IF(E135="Ottone",1,0),4)</f>
        <v>0</v>
      </c>
      <c r="R135" s="446">
        <f ca="1">ROUND(IF(ISERROR(OFFSET(Rame!$F$1,MATCH(H135,Rame!$F:$F,0)-1,MATCH(I135,Rame!$F$1:$FF$1,0)-1)=TRUE),0,OFFSET(Rame!$F$1,MATCH(H135,Rame!$F:$F,0)-1,MATCH(I135,Rame!$F$1:$FF$1,0)-1))*IF(E135="Rame",1,0),4)</f>
        <v>0</v>
      </c>
      <c r="S135" s="446">
        <f ca="1">ROUND(IF(ISERROR(OFFSET(Bronzo!$A$1,MATCH(H135,Bronzo!$A:$A,0)-1,MATCH(I135,Bronzo!$A$1:$AA$1,0)-1)=TRUE),0,OFFSET(Bronzo!$A$1,MATCH(H135,Bronzo!$A:$A,0)-1,MATCH(I135,Bronzo!$A$1:$AA$1,0)-1)),4)</f>
        <v>0</v>
      </c>
      <c r="T135" s="446">
        <f t="shared" ca="1" si="106"/>
        <v>0</v>
      </c>
      <c r="U135" s="443"/>
      <c r="V135" s="446">
        <v>0</v>
      </c>
      <c r="W135" s="449">
        <f t="shared" ca="1" si="107"/>
        <v>1.57</v>
      </c>
      <c r="X135" s="454">
        <f t="shared" si="131"/>
        <v>30.15</v>
      </c>
      <c r="Y135" s="440">
        <v>4.18</v>
      </c>
      <c r="Z135" s="440">
        <f t="shared" ca="1" si="108"/>
        <v>0</v>
      </c>
      <c r="AA135" s="241"/>
      <c r="AD135" s="223" t="s">
        <v>403</v>
      </c>
      <c r="AF135" s="225">
        <f t="shared" ca="1" si="115"/>
        <v>46156</v>
      </c>
      <c r="AG135" s="225" t="b">
        <f t="shared" si="126"/>
        <v>1</v>
      </c>
      <c r="AH135" s="242"/>
      <c r="AK135" s="223">
        <f t="shared" si="127"/>
        <v>0</v>
      </c>
      <c r="AL135" s="223">
        <f t="shared" si="128"/>
        <v>1900</v>
      </c>
      <c r="AS135" s="223">
        <f t="shared" si="129"/>
        <v>0</v>
      </c>
      <c r="AT135" s="223">
        <f t="shared" si="130"/>
        <v>0</v>
      </c>
    </row>
    <row r="136" spans="2:46" ht="15.75" x14ac:dyDescent="0.25">
      <c r="B136" s="229" t="s">
        <v>611</v>
      </c>
      <c r="C136" s="244" t="s">
        <v>102</v>
      </c>
      <c r="D136" s="245">
        <v>1037</v>
      </c>
      <c r="E136" s="232" t="s">
        <v>4</v>
      </c>
      <c r="F136" s="435">
        <v>2.8</v>
      </c>
      <c r="G136" s="234">
        <v>46112</v>
      </c>
      <c r="H136" s="235" t="s">
        <v>30</v>
      </c>
      <c r="I136" s="235"/>
      <c r="J136" s="440">
        <v>0.1</v>
      </c>
      <c r="K136" s="443">
        <f ca="1">ROUND(IF(ISERROR(OFFSET(Tabella!$A$1,MATCH(H136,Tabella!$A:$A,0)-1,MATCH(J136,Tabella!$A$1:$AC$1,0)-1)=TRUE),0,+OFFSET(Tabella!$A$1,MATCH(H136,Tabella!$A:$A,0)-1,MATCH(J136,Tabella!$A$1:$AC$1,0)-1)),4)</f>
        <v>1.5</v>
      </c>
      <c r="L136" s="446">
        <f ca="1">ROUND(IF(ISERROR(OFFSET(Ottone!$A$1,MATCH(H136,Ottone!$A:$A,0)-1,MATCH(J136,Ottone!$A$1:$Z$1,0)-1)=TRUE),0,OFFSET(Ottone!$A$1,MATCH(H136,Ottone!$A:$A,0)-1,MATCH(J136,Ottone!$A$1:$Z$1,0)-1))*IF(E136="Ottone",1,0),4)</f>
        <v>0</v>
      </c>
      <c r="M136" s="446">
        <f ca="1">ROUND(IF(ISERROR(OFFSET(Rame!$A$1,MATCH(H136,Rame!$A:$A,0)-1,MATCH(J136,Rame!$A$1:$AA$1,0)-1)=TRUE),0,OFFSET(Rame!$A$1,MATCH(H136,Rame!$A:$A,0)-1,MATCH(J136,Rame!$A$1:$AA$1,0)-1))*IF(E136="Rame",1,0),4)</f>
        <v>0</v>
      </c>
      <c r="N136" s="446">
        <v>0</v>
      </c>
      <c r="O136" s="446">
        <f ca="1">ROUND(SUM(K136:N136),4)</f>
        <v>1.5</v>
      </c>
      <c r="P136" s="446">
        <f ca="1">ROUND(+IF(ISERROR(OFFSET(Tabella!$G$1,MATCH(H136,Tabella!$G:$G,0)-1,MATCH(I136,Tabella!$G$1:$FG$1,0)-1)=TRUE),0,OFFSET(Tabella!$G$1,MATCH(H136,Tabella!$G:$G,0)-1,MATCH(I136,Tabella!$G$1:$AB$1,0)-1)),4)</f>
        <v>0</v>
      </c>
      <c r="Q136" s="446">
        <f ca="1">ROUND(IF(ISERROR(OFFSET(Ottone!$F$1,MATCH(H136,Ottone!$A:$A,0)-1,MATCH(I136,Ottone!$F$1:$FF$1,0)-1)=TRUE),0,OFFSET(Ottone!$F$1,MATCH(H136,Ottone!$A:$A,0)-1,MATCH(I136,Ottone!$F$1:$FF$1,0)-1))*IF(E136="Ottone",1,0),4)</f>
        <v>0</v>
      </c>
      <c r="R136" s="446">
        <f ca="1">ROUND(IF(ISERROR(OFFSET(Rame!$F$1,MATCH(H136,Rame!$F:$F,0)-1,MATCH(I136,Rame!$F$1:$FF$1,0)-1)=TRUE),0,OFFSET(Rame!$F$1,MATCH(H136,Rame!$F:$F,0)-1,MATCH(I136,Rame!$F$1:$FF$1,0)-1))*IF(E136="Rame",1,0),4)</f>
        <v>0</v>
      </c>
      <c r="S136" s="446">
        <f ca="1">ROUND(IF(ISERROR(OFFSET(Bronzo!$A$1,MATCH(H136,Bronzo!$A:$A,0)-1,MATCH(I136,Bronzo!$A$1:$AA$1,0)-1)=TRUE),0,OFFSET(Bronzo!$A$1,MATCH(H136,Bronzo!$A:$A,0)-1,MATCH(I136,Bronzo!$A$1:$AA$1,0)-1)),4)</f>
        <v>0</v>
      </c>
      <c r="T136" s="446">
        <f t="shared" ca="1" si="106"/>
        <v>0</v>
      </c>
      <c r="U136" s="443"/>
      <c r="V136" s="446">
        <v>0</v>
      </c>
      <c r="W136" s="449">
        <f t="shared" ca="1" si="107"/>
        <v>1.5</v>
      </c>
      <c r="X136" s="454">
        <f t="shared" si="131"/>
        <v>103.7</v>
      </c>
      <c r="Y136" s="440">
        <v>4.5</v>
      </c>
      <c r="Z136" s="440">
        <f t="shared" ca="1" si="108"/>
        <v>0.2</v>
      </c>
      <c r="AA136" s="241"/>
      <c r="AD136" s="223" t="s">
        <v>403</v>
      </c>
      <c r="AF136" s="225">
        <f t="shared" ca="1" si="115"/>
        <v>46156</v>
      </c>
      <c r="AG136" s="225" t="b">
        <f t="shared" si="126"/>
        <v>1</v>
      </c>
      <c r="AH136" s="242"/>
      <c r="AK136" s="223">
        <f t="shared" si="127"/>
        <v>0</v>
      </c>
      <c r="AL136" s="223">
        <f t="shared" si="128"/>
        <v>1900</v>
      </c>
      <c r="AS136" s="223">
        <f t="shared" si="129"/>
        <v>0</v>
      </c>
      <c r="AT136" s="223">
        <f t="shared" si="130"/>
        <v>0</v>
      </c>
    </row>
    <row r="137" spans="2:46" ht="15.75" x14ac:dyDescent="0.25">
      <c r="B137" s="229" t="s">
        <v>611</v>
      </c>
      <c r="C137" s="244" t="s">
        <v>102</v>
      </c>
      <c r="D137" s="245">
        <v>625</v>
      </c>
      <c r="E137" s="232" t="s">
        <v>4</v>
      </c>
      <c r="F137" s="435">
        <v>2.8</v>
      </c>
      <c r="G137" s="234">
        <v>46112</v>
      </c>
      <c r="H137" s="235" t="s">
        <v>30</v>
      </c>
      <c r="I137" s="235"/>
      <c r="J137" s="440">
        <v>0.1</v>
      </c>
      <c r="K137" s="443">
        <f ca="1">ROUND(IF(ISERROR(OFFSET(Tabella!$A$1,MATCH(H137,Tabella!$A:$A,0)-1,MATCH(J137,Tabella!$A$1:$AC$1,0)-1)=TRUE),0,+OFFSET(Tabella!$A$1,MATCH(H137,Tabella!$A:$A,0)-1,MATCH(J137,Tabella!$A$1:$AC$1,0)-1)),4)</f>
        <v>1.5</v>
      </c>
      <c r="L137" s="446">
        <f ca="1">ROUND(IF(ISERROR(OFFSET(Ottone!$A$1,MATCH(H137,Ottone!$A:$A,0)-1,MATCH(J137,Ottone!$A$1:$Z$1,0)-1)=TRUE),0,OFFSET(Ottone!$A$1,MATCH(H137,Ottone!$A:$A,0)-1,MATCH(J137,Ottone!$A$1:$Z$1,0)-1))*IF(E137="Ottone",1,0),4)</f>
        <v>0</v>
      </c>
      <c r="M137" s="446">
        <f ca="1">ROUND(IF(ISERROR(OFFSET(Rame!$A$1,MATCH(H137,Rame!$A:$A,0)-1,MATCH(J137,Rame!$A$1:$AA$1,0)-1)=TRUE),0,OFFSET(Rame!$A$1,MATCH(H137,Rame!$A:$A,0)-1,MATCH(J137,Rame!$A$1:$AA$1,0)-1))*IF(E137="Rame",1,0),4)</f>
        <v>0</v>
      </c>
      <c r="N137" s="446">
        <v>0</v>
      </c>
      <c r="O137" s="446">
        <f ca="1">ROUND(SUM(K137:N137),4)</f>
        <v>1.5</v>
      </c>
      <c r="P137" s="446">
        <f ca="1">ROUND(+IF(ISERROR(OFFSET(Tabella!$G$1,MATCH(H137,Tabella!$G:$G,0)-1,MATCH(I137,Tabella!$G$1:$FG$1,0)-1)=TRUE),0,OFFSET(Tabella!$G$1,MATCH(H137,Tabella!$G:$G,0)-1,MATCH(I137,Tabella!$G$1:$AB$1,0)-1)),4)</f>
        <v>0</v>
      </c>
      <c r="Q137" s="446">
        <f ca="1">ROUND(IF(ISERROR(OFFSET(Ottone!$F$1,MATCH(H137,Ottone!$A:$A,0)-1,MATCH(I137,Ottone!$F$1:$FF$1,0)-1)=TRUE),0,OFFSET(Ottone!$F$1,MATCH(H137,Ottone!$A:$A,0)-1,MATCH(I137,Ottone!$F$1:$FF$1,0)-1))*IF(E137="Ottone",1,0),4)</f>
        <v>0</v>
      </c>
      <c r="R137" s="446">
        <f ca="1">ROUND(IF(ISERROR(OFFSET(Rame!$F$1,MATCH(H137,Rame!$F:$F,0)-1,MATCH(I137,Rame!$F$1:$FF$1,0)-1)=TRUE),0,OFFSET(Rame!$F$1,MATCH(H137,Rame!$F:$F,0)-1,MATCH(I137,Rame!$F$1:$FF$1,0)-1))*IF(E137="Rame",1,0),4)</f>
        <v>0</v>
      </c>
      <c r="S137" s="446">
        <f ca="1">ROUND(IF(ISERROR(OFFSET(Bronzo!$A$1,MATCH(H137,Bronzo!$A:$A,0)-1,MATCH(I137,Bronzo!$A$1:$AA$1,0)-1)=TRUE),0,OFFSET(Bronzo!$A$1,MATCH(H137,Bronzo!$A:$A,0)-1,MATCH(I137,Bronzo!$A$1:$AA$1,0)-1)),4)</f>
        <v>0</v>
      </c>
      <c r="T137" s="446">
        <f t="shared" ca="1" si="106"/>
        <v>0</v>
      </c>
      <c r="U137" s="443"/>
      <c r="V137" s="446">
        <v>0</v>
      </c>
      <c r="W137" s="449">
        <f t="shared" ca="1" si="107"/>
        <v>1.5</v>
      </c>
      <c r="X137" s="454">
        <f t="shared" si="131"/>
        <v>62.5</v>
      </c>
      <c r="Y137" s="440">
        <v>4.5</v>
      </c>
      <c r="Z137" s="440">
        <f t="shared" ca="1" si="108"/>
        <v>0.2</v>
      </c>
      <c r="AA137" s="241"/>
      <c r="AD137" s="223" t="s">
        <v>403</v>
      </c>
      <c r="AF137" s="225">
        <f t="shared" ca="1" si="115"/>
        <v>46156</v>
      </c>
      <c r="AG137" s="225" t="b">
        <f t="shared" si="126"/>
        <v>1</v>
      </c>
      <c r="AH137" s="242"/>
      <c r="AK137" s="223">
        <f t="shared" si="127"/>
        <v>0</v>
      </c>
      <c r="AL137" s="223">
        <f t="shared" si="128"/>
        <v>1900</v>
      </c>
      <c r="AS137" s="223">
        <f t="shared" si="129"/>
        <v>0</v>
      </c>
      <c r="AT137" s="223">
        <f t="shared" si="130"/>
        <v>0</v>
      </c>
    </row>
    <row r="138" spans="2:46" ht="15.75" x14ac:dyDescent="0.25">
      <c r="B138" s="229" t="s">
        <v>494</v>
      </c>
      <c r="C138" s="230" t="s">
        <v>102</v>
      </c>
      <c r="D138" s="231">
        <v>400</v>
      </c>
      <c r="E138" s="232" t="s">
        <v>4</v>
      </c>
      <c r="F138" s="435">
        <v>2.8</v>
      </c>
      <c r="G138" s="234">
        <v>46112</v>
      </c>
      <c r="H138" s="235" t="s">
        <v>30</v>
      </c>
      <c r="I138" s="235"/>
      <c r="J138" s="440">
        <v>0.1</v>
      </c>
      <c r="K138" s="443">
        <f ca="1">ROUND(IF(ISERROR(OFFSET(Tabella!$A$1,MATCH(H138,Tabella!$A:$A,0)-1,MATCH(J138,Tabella!$A$1:$AC$1,0)-1)=TRUE),0,+OFFSET(Tabella!$A$1,MATCH(H138,Tabella!$A:$A,0)-1,MATCH(J138,Tabella!$A$1:$AC$1,0)-1)),4)</f>
        <v>1.5</v>
      </c>
      <c r="L138" s="446">
        <f ca="1">ROUND(IF(ISERROR(OFFSET(Ottone!$A$1,MATCH(H138,Ottone!$A:$A,0)-1,MATCH(J138,Ottone!$A$1:$Z$1,0)-1)=TRUE),0,OFFSET(Ottone!$A$1,MATCH(H138,Ottone!$A:$A,0)-1,MATCH(J138,Ottone!$A$1:$Z$1,0)-1))*IF(E138="Ottone",1,0),4)</f>
        <v>0</v>
      </c>
      <c r="M138" s="446">
        <f ca="1">ROUND(IF(ISERROR(OFFSET(Rame!$A$1,MATCH(H138,Rame!$A:$A,0)-1,MATCH(J138,Rame!$A$1:$AA$1,0)-1)=TRUE),0,OFFSET(Rame!$A$1,MATCH(H138,Rame!$A:$A,0)-1,MATCH(J138,Rame!$A$1:$AA$1,0)-1))*IF(E138="Rame",1,0),4)</f>
        <v>0</v>
      </c>
      <c r="N138" s="446">
        <v>0</v>
      </c>
      <c r="O138" s="446">
        <f ca="1">ROUND(SUM(K138:N138),4)</f>
        <v>1.5</v>
      </c>
      <c r="P138" s="446">
        <f ca="1">ROUND(+IF(ISERROR(OFFSET(Tabella!$G$1,MATCH(H138,Tabella!$G:$G,0)-1,MATCH(I138,Tabella!$G$1:$FG$1,0)-1)=TRUE),0,OFFSET(Tabella!$G$1,MATCH(H138,Tabella!$G:$G,0)-1,MATCH(I138,Tabella!$G$1:$AB$1,0)-1)),4)</f>
        <v>0</v>
      </c>
      <c r="Q138" s="446">
        <f ca="1">ROUND(IF(ISERROR(OFFSET(Ottone!$F$1,MATCH(H138,Ottone!$A:$A,0)-1,MATCH(I138,Ottone!$F$1:$FF$1,0)-1)=TRUE),0,OFFSET(Ottone!$F$1,MATCH(H138,Ottone!$A:$A,0)-1,MATCH(I138,Ottone!$F$1:$FF$1,0)-1))*IF(E138="Ottone",1,0),4)</f>
        <v>0</v>
      </c>
      <c r="R138" s="446">
        <f ca="1">ROUND(IF(ISERROR(OFFSET(Rame!$F$1,MATCH(H138,Rame!$F:$F,0)-1,MATCH(I138,Rame!$F$1:$FF$1,0)-1)=TRUE),0,OFFSET(Rame!$F$1,MATCH(H138,Rame!$F:$F,0)-1,MATCH(I138,Rame!$F$1:$FF$1,0)-1))*IF(E138="Rame",1,0),4)</f>
        <v>0</v>
      </c>
      <c r="S138" s="446">
        <f ca="1">ROUND(IF(ISERROR(OFFSET(Bronzo!$A$1,MATCH(H138,Bronzo!$A:$A,0)-1,MATCH(I138,Bronzo!$A$1:$AA$1,0)-1)=TRUE),0,OFFSET(Bronzo!$A$1,MATCH(H138,Bronzo!$A:$A,0)-1,MATCH(I138,Bronzo!$A$1:$AA$1,0)-1)),4)</f>
        <v>0</v>
      </c>
      <c r="T138" s="446">
        <f t="shared" ca="1" si="106"/>
        <v>0</v>
      </c>
      <c r="U138" s="443"/>
      <c r="V138" s="446">
        <v>0</v>
      </c>
      <c r="W138" s="449">
        <f t="shared" ca="1" si="107"/>
        <v>1.5</v>
      </c>
      <c r="X138" s="452">
        <f t="shared" si="131"/>
        <v>40</v>
      </c>
      <c r="Y138" s="440">
        <v>4.5</v>
      </c>
      <c r="Z138" s="440">
        <f t="shared" ca="1" si="108"/>
        <v>0.2</v>
      </c>
      <c r="AA138" s="241">
        <v>46176</v>
      </c>
      <c r="AE138" s="223" t="s">
        <v>612</v>
      </c>
      <c r="AF138" s="225">
        <f t="shared" ca="1" si="115"/>
        <v>46156</v>
      </c>
      <c r="AG138" s="225" t="b">
        <f t="shared" ref="AG138" si="132">ISBLANK(AA138)</f>
        <v>0</v>
      </c>
      <c r="AH138" s="242"/>
      <c r="AK138" s="223">
        <f t="shared" ref="AK138" si="133">WEEKNUM(AA138)</f>
        <v>23</v>
      </c>
      <c r="AL138" s="223">
        <f t="shared" ref="AL138" si="134">YEAR(AA138)</f>
        <v>2026</v>
      </c>
      <c r="AS138" s="223">
        <f t="shared" ref="AS138" si="135">IF(AA138="",0,MONTH(AA138))</f>
        <v>6</v>
      </c>
      <c r="AT138" s="223">
        <f t="shared" ref="AT138" si="136">IF(AA138="",0,YEAR(AA138))</f>
        <v>2026</v>
      </c>
    </row>
    <row r="139" spans="2:46" ht="15.75" x14ac:dyDescent="0.25">
      <c r="B139" s="229" t="s">
        <v>611</v>
      </c>
      <c r="C139" s="244" t="s">
        <v>102</v>
      </c>
      <c r="D139" s="245">
        <v>940</v>
      </c>
      <c r="E139" s="232" t="s">
        <v>4</v>
      </c>
      <c r="F139" s="435">
        <v>2.8</v>
      </c>
      <c r="G139" s="234">
        <v>46112</v>
      </c>
      <c r="H139" s="235" t="s">
        <v>30</v>
      </c>
      <c r="I139" s="235"/>
      <c r="J139" s="440">
        <v>0.1</v>
      </c>
      <c r="K139" s="443">
        <f ca="1">ROUND(IF(ISERROR(OFFSET(Tabella!$A$1,MATCH(H139,Tabella!$A:$A,0)-1,MATCH(J139,Tabella!$A$1:$AC$1,0)-1)=TRUE),0,+OFFSET(Tabella!$A$1,MATCH(H139,Tabella!$A:$A,0)-1,MATCH(J139,Tabella!$A$1:$AC$1,0)-1)),4)</f>
        <v>1.5</v>
      </c>
      <c r="L139" s="446">
        <f ca="1">ROUND(IF(ISERROR(OFFSET(Ottone!$A$1,MATCH(H139,Ottone!$A:$A,0)-1,MATCH(J139,Ottone!$A$1:$Z$1,0)-1)=TRUE),0,OFFSET(Ottone!$A$1,MATCH(H139,Ottone!$A:$A,0)-1,MATCH(J139,Ottone!$A$1:$Z$1,0)-1))*IF(E139="Ottone",1,0),4)</f>
        <v>0</v>
      </c>
      <c r="M139" s="446">
        <f ca="1">ROUND(IF(ISERROR(OFFSET(Rame!$A$1,MATCH(H139,Rame!$A:$A,0)-1,MATCH(J139,Rame!$A$1:$AA$1,0)-1)=TRUE),0,OFFSET(Rame!$A$1,MATCH(H139,Rame!$A:$A,0)-1,MATCH(J139,Rame!$A$1:$AA$1,0)-1))*IF(E139="Rame",1,0),4)</f>
        <v>0</v>
      </c>
      <c r="N139" s="446">
        <v>0</v>
      </c>
      <c r="O139" s="446">
        <f ca="1">ROUND(SUM(K139:N139),4)</f>
        <v>1.5</v>
      </c>
      <c r="P139" s="446">
        <f ca="1">ROUND(+IF(ISERROR(OFFSET(Tabella!$G$1,MATCH(H139,Tabella!$G:$G,0)-1,MATCH(I139,Tabella!$G$1:$FG$1,0)-1)=TRUE),0,OFFSET(Tabella!$G$1,MATCH(H139,Tabella!$G:$G,0)-1,MATCH(I139,Tabella!$G$1:$AB$1,0)-1)),4)</f>
        <v>0</v>
      </c>
      <c r="Q139" s="446">
        <f ca="1">ROUND(IF(ISERROR(OFFSET(Ottone!$F$1,MATCH(H139,Ottone!$A:$A,0)-1,MATCH(I139,Ottone!$F$1:$FF$1,0)-1)=TRUE),0,OFFSET(Ottone!$F$1,MATCH(H139,Ottone!$A:$A,0)-1,MATCH(I139,Ottone!$F$1:$FF$1,0)-1))*IF(E139="Ottone",1,0),4)</f>
        <v>0</v>
      </c>
      <c r="R139" s="446">
        <f ca="1">ROUND(IF(ISERROR(OFFSET(Rame!$F$1,MATCH(H139,Rame!$F:$F,0)-1,MATCH(I139,Rame!$F$1:$FF$1,0)-1)=TRUE),0,OFFSET(Rame!$F$1,MATCH(H139,Rame!$F:$F,0)-1,MATCH(I139,Rame!$F$1:$FF$1,0)-1))*IF(E139="Rame",1,0),4)</f>
        <v>0</v>
      </c>
      <c r="S139" s="446">
        <f ca="1">ROUND(IF(ISERROR(OFFSET(Bronzo!$A$1,MATCH(H139,Bronzo!$A:$A,0)-1,MATCH(I139,Bronzo!$A$1:$AA$1,0)-1)=TRUE),0,OFFSET(Bronzo!$A$1,MATCH(H139,Bronzo!$A:$A,0)-1,MATCH(I139,Bronzo!$A$1:$AA$1,0)-1)),4)</f>
        <v>0</v>
      </c>
      <c r="T139" s="446">
        <f t="shared" ca="1" si="106"/>
        <v>0</v>
      </c>
      <c r="U139" s="443"/>
      <c r="V139" s="446">
        <v>0</v>
      </c>
      <c r="W139" s="449">
        <f t="shared" ca="1" si="107"/>
        <v>1.5</v>
      </c>
      <c r="X139" s="454">
        <f t="shared" si="131"/>
        <v>94</v>
      </c>
      <c r="Y139" s="440">
        <v>4.5</v>
      </c>
      <c r="Z139" s="440">
        <f t="shared" ca="1" si="108"/>
        <v>0.2</v>
      </c>
      <c r="AA139" s="241"/>
      <c r="AD139" s="223" t="s">
        <v>403</v>
      </c>
      <c r="AF139" s="225">
        <f t="shared" ca="1" si="115"/>
        <v>46156</v>
      </c>
      <c r="AG139" s="225" t="b">
        <f t="shared" si="126"/>
        <v>1</v>
      </c>
      <c r="AH139" s="242"/>
      <c r="AK139" s="223">
        <f t="shared" si="127"/>
        <v>0</v>
      </c>
      <c r="AL139" s="223">
        <f t="shared" si="128"/>
        <v>1900</v>
      </c>
      <c r="AS139" s="223">
        <f t="shared" si="129"/>
        <v>0</v>
      </c>
      <c r="AT139" s="223">
        <f t="shared" si="130"/>
        <v>0</v>
      </c>
    </row>
    <row r="140" spans="2:46" ht="15.75" x14ac:dyDescent="0.25">
      <c r="B140" s="229" t="s">
        <v>557</v>
      </c>
      <c r="C140" s="244" t="s">
        <v>263</v>
      </c>
      <c r="D140" s="245">
        <v>1145</v>
      </c>
      <c r="E140" s="232" t="s">
        <v>4</v>
      </c>
      <c r="F140" s="435">
        <v>2.61</v>
      </c>
      <c r="G140" s="234">
        <v>46112</v>
      </c>
      <c r="H140" s="235" t="s">
        <v>15</v>
      </c>
      <c r="I140" s="235"/>
      <c r="J140" s="440">
        <v>7.0000000000000007E-2</v>
      </c>
      <c r="K140" s="443">
        <f ca="1">ROUND(IF(ISERROR(OFFSET(Tabella!$A$1,MATCH(H140,Tabella!$A:$A,0)-1,MATCH(J140,Tabella!$A$1:$AC$1,0)-1)=TRUE),0,+OFFSET(Tabella!$A$1,MATCH(H140,Tabella!$A:$A,0)-1,MATCH(J140,Tabella!$A$1:$AC$1,0)-1)),4)</f>
        <v>1.4</v>
      </c>
      <c r="L140" s="446">
        <f ca="1">ROUND(IF(ISERROR(OFFSET(Ottone!$A$1,MATCH(H140,Ottone!$A:$A,0)-1,MATCH(J140,Ottone!$A$1:$Z$1,0)-1)=TRUE),0,OFFSET(Ottone!$A$1,MATCH(H140,Ottone!$A:$A,0)-1,MATCH(J140,Ottone!$A$1:$Z$1,0)-1))*IF(E140="Ottone",1,0),4)</f>
        <v>0</v>
      </c>
      <c r="M140" s="446">
        <f ca="1">ROUND(IF(ISERROR(OFFSET(Rame!$A$1,MATCH(H140,Rame!$A:$A,0)-1,MATCH(J140,Rame!$A$1:$AA$1,0)-1)=TRUE),0,OFFSET(Rame!$A$1,MATCH(H140,Rame!$A:$A,0)-1,MATCH(J140,Rame!$A$1:$AA$1,0)-1))*IF(E140="Rame",1,0),4)</f>
        <v>0</v>
      </c>
      <c r="N140" s="446">
        <v>0</v>
      </c>
      <c r="O140" s="446">
        <v>1.65</v>
      </c>
      <c r="P140" s="446">
        <f ca="1">ROUND(+IF(ISERROR(OFFSET(Tabella!$G$1,MATCH(H140,Tabella!$G:$G,0)-1,MATCH(I140,Tabella!$G$1:$FG$1,0)-1)=TRUE),0,OFFSET(Tabella!$G$1,MATCH(H140,Tabella!$G:$G,0)-1,MATCH(I140,Tabella!$G$1:$AB$1,0)-1)),4)</f>
        <v>0</v>
      </c>
      <c r="Q140" s="446">
        <f ca="1">ROUND(IF(ISERROR(OFFSET(Ottone!$F$1,MATCH(H140,Ottone!$A:$A,0)-1,MATCH(I140,Ottone!$F$1:$FF$1,0)-1)=TRUE),0,OFFSET(Ottone!$F$1,MATCH(H140,Ottone!$A:$A,0)-1,MATCH(I140,Ottone!$F$1:$FF$1,0)-1))*IF(E140="Ottone",1,0),4)</f>
        <v>0</v>
      </c>
      <c r="R140" s="446">
        <f ca="1">ROUND(IF(ISERROR(OFFSET(Rame!$F$1,MATCH(H140,Rame!$F:$F,0)-1,MATCH(I140,Rame!$F$1:$FF$1,0)-1)=TRUE),0,OFFSET(Rame!$F$1,MATCH(H140,Rame!$F:$F,0)-1,MATCH(I140,Rame!$F$1:$FF$1,0)-1))*IF(E140="Rame",1,0),4)</f>
        <v>0</v>
      </c>
      <c r="S140" s="446">
        <f ca="1">ROUND(IF(ISERROR(OFFSET(Bronzo!$A$1,MATCH(H140,Bronzo!$A:$A,0)-1,MATCH(I140,Bronzo!$A$1:$AA$1,0)-1)=TRUE),0,OFFSET(Bronzo!$A$1,MATCH(H140,Bronzo!$A:$A,0)-1,MATCH(I140,Bronzo!$A$1:$AA$1,0)-1)),4)</f>
        <v>0</v>
      </c>
      <c r="T140" s="446">
        <f t="shared" ca="1" si="106"/>
        <v>0</v>
      </c>
      <c r="U140" s="443"/>
      <c r="V140" s="446">
        <v>0</v>
      </c>
      <c r="W140" s="449">
        <f t="shared" ca="1" si="107"/>
        <v>1.65</v>
      </c>
      <c r="X140" s="454">
        <f t="shared" si="131"/>
        <v>80.150000000000006</v>
      </c>
      <c r="Y140" s="440">
        <v>4.33</v>
      </c>
      <c r="Z140" s="440">
        <f t="shared" ca="1" si="108"/>
        <v>7.0000000000000007E-2</v>
      </c>
      <c r="AA140" s="241"/>
      <c r="AD140" s="223" t="s">
        <v>403</v>
      </c>
      <c r="AF140" s="225">
        <f t="shared" ca="1" si="115"/>
        <v>46156</v>
      </c>
      <c r="AG140" s="225" t="b">
        <f t="shared" si="126"/>
        <v>1</v>
      </c>
      <c r="AH140" s="242"/>
      <c r="AK140" s="223">
        <f t="shared" si="127"/>
        <v>0</v>
      </c>
      <c r="AL140" s="223">
        <f t="shared" si="128"/>
        <v>1900</v>
      </c>
      <c r="AS140" s="223">
        <f t="shared" si="129"/>
        <v>0</v>
      </c>
      <c r="AT140" s="223">
        <f t="shared" si="130"/>
        <v>0</v>
      </c>
    </row>
    <row r="141" spans="2:46" ht="15.75" x14ac:dyDescent="0.25">
      <c r="B141" s="229" t="s">
        <v>613</v>
      </c>
      <c r="C141" s="244" t="s">
        <v>102</v>
      </c>
      <c r="D141" s="245">
        <v>946</v>
      </c>
      <c r="E141" s="232" t="s">
        <v>4</v>
      </c>
      <c r="F141" s="435">
        <v>3</v>
      </c>
      <c r="G141" s="234">
        <v>46114</v>
      </c>
      <c r="H141" s="235" t="s">
        <v>30</v>
      </c>
      <c r="I141" s="235"/>
      <c r="J141" s="440">
        <v>0.1</v>
      </c>
      <c r="K141" s="443">
        <f ca="1">ROUND(IF(ISERROR(OFFSET(Tabella!$A$1,MATCH(H141,Tabella!$A:$A,0)-1,MATCH(J141,Tabella!$A$1:$AC$1,0)-1)=TRUE),0,+OFFSET(Tabella!$A$1,MATCH(H141,Tabella!$A:$A,0)-1,MATCH(J141,Tabella!$A$1:$AC$1,0)-1)),4)</f>
        <v>1.5</v>
      </c>
      <c r="L141" s="446">
        <f ca="1">ROUND(IF(ISERROR(OFFSET(Ottone!$A$1,MATCH(H141,Ottone!$A:$A,0)-1,MATCH(J141,Ottone!$A$1:$Z$1,0)-1)=TRUE),0,OFFSET(Ottone!$A$1,MATCH(H141,Ottone!$A:$A,0)-1,MATCH(J141,Ottone!$A$1:$Z$1,0)-1))*IF(E141="Ottone",1,0),4)</f>
        <v>0</v>
      </c>
      <c r="M141" s="446">
        <f ca="1">ROUND(IF(ISERROR(OFFSET(Rame!$A$1,MATCH(H141,Rame!$A:$A,0)-1,MATCH(J141,Rame!$A$1:$AA$1,0)-1)=TRUE),0,OFFSET(Rame!$A$1,MATCH(H141,Rame!$A:$A,0)-1,MATCH(J141,Rame!$A$1:$AA$1,0)-1))*IF(E141="Rame",1,0),4)</f>
        <v>0</v>
      </c>
      <c r="N141" s="446">
        <v>0</v>
      </c>
      <c r="O141" s="446">
        <f t="shared" ref="O141:O147" ca="1" si="137">ROUND(SUM(K141:N141),4)</f>
        <v>1.5</v>
      </c>
      <c r="P141" s="446">
        <f ca="1">ROUND(+IF(ISERROR(OFFSET(Tabella!$G$1,MATCH(H141,Tabella!$G:$G,0)-1,MATCH(I141,Tabella!$G$1:$FG$1,0)-1)=TRUE),0,OFFSET(Tabella!$G$1,MATCH(H141,Tabella!$G:$G,0)-1,MATCH(I141,Tabella!$G$1:$AB$1,0)-1)),4)</f>
        <v>0</v>
      </c>
      <c r="Q141" s="446">
        <f ca="1">ROUND(IF(ISERROR(OFFSET(Ottone!$F$1,MATCH(H141,Ottone!$A:$A,0)-1,MATCH(I141,Ottone!$F$1:$FF$1,0)-1)=TRUE),0,OFFSET(Ottone!$F$1,MATCH(H141,Ottone!$A:$A,0)-1,MATCH(I141,Ottone!$F$1:$FF$1,0)-1))*IF(E141="Ottone",1,0),4)</f>
        <v>0</v>
      </c>
      <c r="R141" s="446">
        <f ca="1">ROUND(IF(ISERROR(OFFSET(Rame!$F$1,MATCH(H141,Rame!$F:$F,0)-1,MATCH(I141,Rame!$F$1:$FF$1,0)-1)=TRUE),0,OFFSET(Rame!$F$1,MATCH(H141,Rame!$F:$F,0)-1,MATCH(I141,Rame!$F$1:$FF$1,0)-1))*IF(E141="Rame",1,0),4)</f>
        <v>0</v>
      </c>
      <c r="S141" s="446">
        <f ca="1">ROUND(IF(ISERROR(OFFSET(Bronzo!$A$1,MATCH(H141,Bronzo!$A:$A,0)-1,MATCH(I141,Bronzo!$A$1:$AA$1,0)-1)=TRUE),0,OFFSET(Bronzo!$A$1,MATCH(H141,Bronzo!$A:$A,0)-1,MATCH(I141,Bronzo!$A$1:$AA$1,0)-1)),4)</f>
        <v>0</v>
      </c>
      <c r="T141" s="446">
        <f t="shared" ca="1" si="106"/>
        <v>0</v>
      </c>
      <c r="U141" s="443"/>
      <c r="V141" s="446">
        <v>0</v>
      </c>
      <c r="W141" s="449">
        <f t="shared" ca="1" si="107"/>
        <v>1.5</v>
      </c>
      <c r="X141" s="454">
        <f t="shared" si="131"/>
        <v>94.6</v>
      </c>
      <c r="Y141" s="440">
        <v>4.5</v>
      </c>
      <c r="Z141" s="440">
        <f t="shared" ca="1" si="108"/>
        <v>0</v>
      </c>
      <c r="AA141" s="241"/>
      <c r="AD141" s="223" t="s">
        <v>403</v>
      </c>
      <c r="AF141" s="225">
        <f t="shared" ca="1" si="115"/>
        <v>46156</v>
      </c>
      <c r="AG141" s="225" t="b">
        <f t="shared" si="126"/>
        <v>1</v>
      </c>
      <c r="AH141" s="242"/>
      <c r="AK141" s="223">
        <f t="shared" si="127"/>
        <v>0</v>
      </c>
      <c r="AL141" s="223">
        <f t="shared" si="128"/>
        <v>1900</v>
      </c>
      <c r="AS141" s="223">
        <f t="shared" si="129"/>
        <v>0</v>
      </c>
      <c r="AT141" s="223">
        <f t="shared" si="130"/>
        <v>0</v>
      </c>
    </row>
    <row r="142" spans="2:46" ht="15.75" x14ac:dyDescent="0.25">
      <c r="B142" s="229" t="s">
        <v>495</v>
      </c>
      <c r="C142" s="235" t="s">
        <v>102</v>
      </c>
      <c r="D142" s="243">
        <v>1000</v>
      </c>
      <c r="E142" s="232" t="s">
        <v>4</v>
      </c>
      <c r="F142" s="435">
        <v>3</v>
      </c>
      <c r="G142" s="234">
        <v>46114</v>
      </c>
      <c r="H142" s="235" t="s">
        <v>30</v>
      </c>
      <c r="I142" s="235"/>
      <c r="J142" s="440">
        <v>0.1</v>
      </c>
      <c r="K142" s="443">
        <f ca="1">ROUND(IF(ISERROR(OFFSET(Tabella!$A$1,MATCH(H142,Tabella!$A:$A,0)-1,MATCH(J142,Tabella!$A$1:$AC$1,0)-1)=TRUE),0,+OFFSET(Tabella!$A$1,MATCH(H142,Tabella!$A:$A,0)-1,MATCH(J142,Tabella!$A$1:$AC$1,0)-1)),4)</f>
        <v>1.5</v>
      </c>
      <c r="L142" s="446">
        <f ca="1">ROUND(IF(ISERROR(OFFSET(Ottone!$A$1,MATCH(H142,Ottone!$A:$A,0)-1,MATCH(J142,Ottone!$A$1:$Z$1,0)-1)=TRUE),0,OFFSET(Ottone!$A$1,MATCH(H142,Ottone!$A:$A,0)-1,MATCH(J142,Ottone!$A$1:$Z$1,0)-1))*IF(E142="Ottone",1,0),4)</f>
        <v>0</v>
      </c>
      <c r="M142" s="446">
        <f ca="1">ROUND(IF(ISERROR(OFFSET(Rame!$A$1,MATCH(H142,Rame!$A:$A,0)-1,MATCH(J142,Rame!$A$1:$AA$1,0)-1)=TRUE),0,OFFSET(Rame!$A$1,MATCH(H142,Rame!$A:$A,0)-1,MATCH(J142,Rame!$A$1:$AA$1,0)-1))*IF(E142="Rame",1,0),4)</f>
        <v>0</v>
      </c>
      <c r="N142" s="446">
        <v>0</v>
      </c>
      <c r="O142" s="446">
        <f t="shared" ca="1" si="137"/>
        <v>1.5</v>
      </c>
      <c r="P142" s="446">
        <f ca="1">ROUND(+IF(ISERROR(OFFSET(Tabella!$G$1,MATCH(H142,Tabella!$G:$G,0)-1,MATCH(I142,Tabella!$G$1:$FG$1,0)-1)=TRUE),0,OFFSET(Tabella!$G$1,MATCH(H142,Tabella!$G:$G,0)-1,MATCH(I142,Tabella!$G$1:$AB$1,0)-1)),4)</f>
        <v>0</v>
      </c>
      <c r="Q142" s="446">
        <f ca="1">ROUND(IF(ISERROR(OFFSET(Ottone!$F$1,MATCH(H142,Ottone!$A:$A,0)-1,MATCH(I142,Ottone!$F$1:$FF$1,0)-1)=TRUE),0,OFFSET(Ottone!$F$1,MATCH(H142,Ottone!$A:$A,0)-1,MATCH(I142,Ottone!$F$1:$FF$1,0)-1))*IF(E142="Ottone",1,0),4)</f>
        <v>0</v>
      </c>
      <c r="R142" s="446">
        <f ca="1">ROUND(IF(ISERROR(OFFSET(Rame!$F$1,MATCH(H142,Rame!$F:$F,0)-1,MATCH(I142,Rame!$F$1:$FF$1,0)-1)=TRUE),0,OFFSET(Rame!$F$1,MATCH(H142,Rame!$F:$F,0)-1,MATCH(I142,Rame!$F$1:$FF$1,0)-1))*IF(E142="Rame",1,0),4)</f>
        <v>0</v>
      </c>
      <c r="S142" s="446">
        <f ca="1">ROUND(IF(ISERROR(OFFSET(Bronzo!$A$1,MATCH(H142,Bronzo!$A:$A,0)-1,MATCH(I142,Bronzo!$A$1:$AA$1,0)-1)=TRUE),0,OFFSET(Bronzo!$A$1,MATCH(H142,Bronzo!$A:$A,0)-1,MATCH(I142,Bronzo!$A$1:$AA$1,0)-1)),4)</f>
        <v>0</v>
      </c>
      <c r="T142" s="446">
        <f t="shared" ca="1" si="106"/>
        <v>0</v>
      </c>
      <c r="U142" s="443"/>
      <c r="V142" s="446">
        <v>0</v>
      </c>
      <c r="W142" s="449">
        <f t="shared" ca="1" si="107"/>
        <v>1.5</v>
      </c>
      <c r="X142" s="452">
        <f t="shared" si="131"/>
        <v>100</v>
      </c>
      <c r="Y142" s="440">
        <v>4.5</v>
      </c>
      <c r="Z142" s="440">
        <f t="shared" ca="1" si="108"/>
        <v>0</v>
      </c>
      <c r="AA142" s="241">
        <v>46176</v>
      </c>
      <c r="AE142" s="223" t="s">
        <v>452</v>
      </c>
      <c r="AF142" s="225">
        <f t="shared" ca="1" si="115"/>
        <v>46156</v>
      </c>
      <c r="AG142" s="225" t="b">
        <f t="shared" si="126"/>
        <v>0</v>
      </c>
      <c r="AH142" s="242"/>
      <c r="AK142" s="223">
        <f t="shared" si="127"/>
        <v>23</v>
      </c>
      <c r="AL142" s="223">
        <f t="shared" si="128"/>
        <v>2026</v>
      </c>
      <c r="AS142" s="223">
        <f t="shared" si="129"/>
        <v>6</v>
      </c>
      <c r="AT142" s="223">
        <f t="shared" si="130"/>
        <v>2026</v>
      </c>
    </row>
    <row r="143" spans="2:46" ht="15.75" x14ac:dyDescent="0.25">
      <c r="B143" s="229" t="s">
        <v>495</v>
      </c>
      <c r="C143" s="235" t="s">
        <v>102</v>
      </c>
      <c r="D143" s="243">
        <v>1000</v>
      </c>
      <c r="E143" s="232" t="s">
        <v>4</v>
      </c>
      <c r="F143" s="435">
        <v>3</v>
      </c>
      <c r="G143" s="234">
        <v>46114</v>
      </c>
      <c r="H143" s="235" t="s">
        <v>30</v>
      </c>
      <c r="I143" s="235"/>
      <c r="J143" s="440">
        <v>0.1</v>
      </c>
      <c r="K143" s="443">
        <f ca="1">ROUND(IF(ISERROR(OFFSET(Tabella!$A$1,MATCH(H143,Tabella!$A:$A,0)-1,MATCH(J143,Tabella!$A$1:$AC$1,0)-1)=TRUE),0,+OFFSET(Tabella!$A$1,MATCH(H143,Tabella!$A:$A,0)-1,MATCH(J143,Tabella!$A$1:$AC$1,0)-1)),4)</f>
        <v>1.5</v>
      </c>
      <c r="L143" s="446">
        <f ca="1">ROUND(IF(ISERROR(OFFSET(Ottone!$A$1,MATCH(H143,Ottone!$A:$A,0)-1,MATCH(J143,Ottone!$A$1:$Z$1,0)-1)=TRUE),0,OFFSET(Ottone!$A$1,MATCH(H143,Ottone!$A:$A,0)-1,MATCH(J143,Ottone!$A$1:$Z$1,0)-1))*IF(E143="Ottone",1,0),4)</f>
        <v>0</v>
      </c>
      <c r="M143" s="446">
        <f ca="1">ROUND(IF(ISERROR(OFFSET(Rame!$A$1,MATCH(H143,Rame!$A:$A,0)-1,MATCH(J143,Rame!$A$1:$AA$1,0)-1)=TRUE),0,OFFSET(Rame!$A$1,MATCH(H143,Rame!$A:$A,0)-1,MATCH(J143,Rame!$A$1:$AA$1,0)-1))*IF(E143="Rame",1,0),4)</f>
        <v>0</v>
      </c>
      <c r="N143" s="446">
        <v>0</v>
      </c>
      <c r="O143" s="446">
        <f t="shared" ca="1" si="137"/>
        <v>1.5</v>
      </c>
      <c r="P143" s="446">
        <f ca="1">ROUND(+IF(ISERROR(OFFSET(Tabella!$G$1,MATCH(H143,Tabella!$G:$G,0)-1,MATCH(I143,Tabella!$G$1:$FG$1,0)-1)=TRUE),0,OFFSET(Tabella!$G$1,MATCH(H143,Tabella!$G:$G,0)-1,MATCH(I143,Tabella!$G$1:$AB$1,0)-1)),4)</f>
        <v>0</v>
      </c>
      <c r="Q143" s="446">
        <f ca="1">ROUND(IF(ISERROR(OFFSET(Ottone!$F$1,MATCH(H143,Ottone!$A:$A,0)-1,MATCH(I143,Ottone!$F$1:$FF$1,0)-1)=TRUE),0,OFFSET(Ottone!$F$1,MATCH(H143,Ottone!$A:$A,0)-1,MATCH(I143,Ottone!$F$1:$FF$1,0)-1))*IF(E143="Ottone",1,0),4)</f>
        <v>0</v>
      </c>
      <c r="R143" s="446">
        <f ca="1">ROUND(IF(ISERROR(OFFSET(Rame!$F$1,MATCH(H143,Rame!$F:$F,0)-1,MATCH(I143,Rame!$F$1:$FF$1,0)-1)=TRUE),0,OFFSET(Rame!$F$1,MATCH(H143,Rame!$F:$F,0)-1,MATCH(I143,Rame!$F$1:$FF$1,0)-1))*IF(E143="Rame",1,0),4)</f>
        <v>0</v>
      </c>
      <c r="S143" s="446">
        <f ca="1">ROUND(IF(ISERROR(OFFSET(Bronzo!$A$1,MATCH(H143,Bronzo!$A:$A,0)-1,MATCH(I143,Bronzo!$A$1:$AA$1,0)-1)=TRUE),0,OFFSET(Bronzo!$A$1,MATCH(H143,Bronzo!$A:$A,0)-1,MATCH(I143,Bronzo!$A$1:$AA$1,0)-1)),4)</f>
        <v>0</v>
      </c>
      <c r="T143" s="446">
        <f t="shared" ca="1" si="106"/>
        <v>0</v>
      </c>
      <c r="U143" s="443"/>
      <c r="V143" s="446">
        <v>0</v>
      </c>
      <c r="W143" s="449">
        <f t="shared" ca="1" si="107"/>
        <v>1.5</v>
      </c>
      <c r="X143" s="452">
        <f t="shared" si="131"/>
        <v>100</v>
      </c>
      <c r="Y143" s="440">
        <v>4.5</v>
      </c>
      <c r="Z143" s="440">
        <f t="shared" ca="1" si="108"/>
        <v>0</v>
      </c>
      <c r="AA143" s="241">
        <v>46176</v>
      </c>
      <c r="AE143" s="223" t="s">
        <v>452</v>
      </c>
      <c r="AF143" s="225">
        <f t="shared" ca="1" si="115"/>
        <v>46156</v>
      </c>
      <c r="AG143" s="225" t="b">
        <f t="shared" si="126"/>
        <v>0</v>
      </c>
      <c r="AH143" s="242"/>
      <c r="AK143" s="223">
        <f t="shared" si="127"/>
        <v>23</v>
      </c>
      <c r="AL143" s="223">
        <f t="shared" si="128"/>
        <v>2026</v>
      </c>
      <c r="AS143" s="223">
        <f t="shared" si="129"/>
        <v>6</v>
      </c>
      <c r="AT143" s="223">
        <f t="shared" si="130"/>
        <v>2026</v>
      </c>
    </row>
    <row r="144" spans="2:46" ht="15.75" x14ac:dyDescent="0.25">
      <c r="B144" s="229" t="s">
        <v>492</v>
      </c>
      <c r="C144" s="235" t="s">
        <v>219</v>
      </c>
      <c r="D144" s="243">
        <v>1000</v>
      </c>
      <c r="E144" s="232" t="s">
        <v>6</v>
      </c>
      <c r="F144" s="435">
        <v>10.57</v>
      </c>
      <c r="G144" s="234">
        <v>46114</v>
      </c>
      <c r="H144" s="235" t="s">
        <v>12</v>
      </c>
      <c r="I144" s="235"/>
      <c r="J144" s="440">
        <v>0.15</v>
      </c>
      <c r="K144" s="443">
        <f ca="1">ROUND(IF(ISERROR(OFFSET(Tabella!$A$1,MATCH(H144,Tabella!$A:$A,0)-1,MATCH(J144,Tabella!$A$1:$AC$1,0)-1)=TRUE),0,+OFFSET(Tabella!$A$1,MATCH(H144,Tabella!$A:$A,0)-1,MATCH(J144,Tabella!$A$1:$AC$1,0)-1)),4)</f>
        <v>0</v>
      </c>
      <c r="L144" s="446">
        <f ca="1">ROUND(IF(ISERROR(OFFSET(Ottone!$A$1,MATCH(H144,Ottone!$A:$A,0)-1,MATCH(J144,Ottone!$A$1:$Z$1,0)-1)=TRUE),0,OFFSET(Ottone!$A$1,MATCH(H144,Ottone!$A:$A,0)-1,MATCH(J144,Ottone!$A$1:$Z$1,0)-1))*IF(E144="Ottone",1,0),4)</f>
        <v>0</v>
      </c>
      <c r="M144" s="446">
        <f ca="1">ROUND(IF(ISERROR(OFFSET(Rame!$A$1,MATCH(H144,Rame!$A:$A,0)-1,MATCH(J144,Rame!$A$1:$AA$1,0)-1)=TRUE),0,OFFSET(Rame!$A$1,MATCH(H144,Rame!$A:$A,0)-1,MATCH(J144,Rame!$A$1:$AA$1,0)-1))*IF(E144="Rame",1,0),4)</f>
        <v>1.25</v>
      </c>
      <c r="N144" s="446">
        <v>0</v>
      </c>
      <c r="O144" s="446">
        <f t="shared" ca="1" si="137"/>
        <v>1.25</v>
      </c>
      <c r="P144" s="446">
        <f ca="1">ROUND(+IF(ISERROR(OFFSET(Tabella!$G$1,MATCH(H144,Tabella!$G:$G,0)-1,MATCH(I144,Tabella!$G$1:$FG$1,0)-1)=TRUE),0,OFFSET(Tabella!$G$1,MATCH(H144,Tabella!$G:$G,0)-1,MATCH(I144,Tabella!$G$1:$AB$1,0)-1)),4)</f>
        <v>0</v>
      </c>
      <c r="Q144" s="446">
        <f ca="1">ROUND(IF(ISERROR(OFFSET(Ottone!$F$1,MATCH(H144,Ottone!$A:$A,0)-1,MATCH(I144,Ottone!$F$1:$FF$1,0)-1)=TRUE),0,OFFSET(Ottone!$F$1,MATCH(H144,Ottone!$A:$A,0)-1,MATCH(I144,Ottone!$F$1:$FF$1,0)-1))*IF(E144="Ottone",1,0),4)</f>
        <v>0</v>
      </c>
      <c r="R144" s="446">
        <f ca="1">ROUND(IF(ISERROR(OFFSET(Rame!$F$1,MATCH(H144,Rame!$F:$F,0)-1,MATCH(I144,Rame!$F$1:$FF$1,0)-1)=TRUE),0,OFFSET(Rame!$F$1,MATCH(H144,Rame!$F:$F,0)-1,MATCH(I144,Rame!$F$1:$FF$1,0)-1))*IF(E144="Rame",1,0),4)</f>
        <v>0</v>
      </c>
      <c r="S144" s="446">
        <f ca="1">ROUND(IF(ISERROR(OFFSET(Bronzo!$A$1,MATCH(H144,Bronzo!$A:$A,0)-1,MATCH(I144,Bronzo!$A$1:$AA$1,0)-1)=TRUE),0,OFFSET(Bronzo!$A$1,MATCH(H144,Bronzo!$A:$A,0)-1,MATCH(I144,Bronzo!$A$1:$AA$1,0)-1)),4)</f>
        <v>0</v>
      </c>
      <c r="T144" s="446">
        <f t="shared" ca="1" si="106"/>
        <v>0</v>
      </c>
      <c r="U144" s="443"/>
      <c r="V144" s="446">
        <v>0</v>
      </c>
      <c r="W144" s="449">
        <f t="shared" ca="1" si="107"/>
        <v>1.25</v>
      </c>
      <c r="X144" s="452">
        <f t="shared" si="131"/>
        <v>150</v>
      </c>
      <c r="Y144" s="440">
        <v>14.3</v>
      </c>
      <c r="Z144" s="440">
        <f t="shared" ca="1" si="108"/>
        <v>2.48</v>
      </c>
      <c r="AA144" s="241">
        <v>46169</v>
      </c>
      <c r="AF144" s="225">
        <f t="shared" ca="1" si="115"/>
        <v>46156</v>
      </c>
      <c r="AG144" s="225" t="b">
        <f t="shared" si="126"/>
        <v>0</v>
      </c>
      <c r="AH144" s="242"/>
      <c r="AK144" s="223">
        <f t="shared" si="127"/>
        <v>22</v>
      </c>
      <c r="AL144" s="223">
        <f t="shared" si="128"/>
        <v>2026</v>
      </c>
      <c r="AS144" s="223">
        <f t="shared" si="129"/>
        <v>5</v>
      </c>
      <c r="AT144" s="223">
        <f t="shared" si="130"/>
        <v>2026</v>
      </c>
    </row>
    <row r="145" spans="2:46" ht="15.75" x14ac:dyDescent="0.25">
      <c r="B145" s="229" t="s">
        <v>491</v>
      </c>
      <c r="C145" s="235" t="s">
        <v>219</v>
      </c>
      <c r="D145" s="243">
        <v>1000</v>
      </c>
      <c r="E145" s="232" t="s">
        <v>6</v>
      </c>
      <c r="F145" s="436">
        <v>3.7</v>
      </c>
      <c r="G145" s="234">
        <v>46114</v>
      </c>
      <c r="H145" s="235" t="s">
        <v>12</v>
      </c>
      <c r="I145" s="235"/>
      <c r="J145" s="440">
        <v>0.15</v>
      </c>
      <c r="K145" s="443">
        <f ca="1">ROUND(IF(ISERROR(OFFSET(Tabella!$A$1,MATCH(H145,Tabella!$A:$A,0)-1,MATCH(J145,Tabella!$A$1:$AC$1,0)-1)=TRUE),0,+OFFSET(Tabella!$A$1,MATCH(H145,Tabella!$A:$A,0)-1,MATCH(J145,Tabella!$A$1:$AC$1,0)-1)),4)</f>
        <v>0</v>
      </c>
      <c r="L145" s="446">
        <f ca="1">ROUND(IF(ISERROR(OFFSET(Ottone!$A$1,MATCH(H145,Ottone!$A:$A,0)-1,MATCH(J145,Ottone!$A$1:$Z$1,0)-1)=TRUE),0,OFFSET(Ottone!$A$1,MATCH(H145,Ottone!$A:$A,0)-1,MATCH(J145,Ottone!$A$1:$Z$1,0)-1))*IF(E145="Ottone",1,0),4)</f>
        <v>0</v>
      </c>
      <c r="M145" s="446">
        <f ca="1">ROUND(IF(ISERROR(OFFSET(Rame!$A$1,MATCH(H145,Rame!$A:$A,0)-1,MATCH(J145,Rame!$A$1:$AA$1,0)-1)=TRUE),0,OFFSET(Rame!$A$1,MATCH(H145,Rame!$A:$A,0)-1,MATCH(J145,Rame!$A$1:$AA$1,0)-1))*IF(E145="Rame",1,0),4)</f>
        <v>1.25</v>
      </c>
      <c r="N145" s="446">
        <v>0</v>
      </c>
      <c r="O145" s="446">
        <f t="shared" ca="1" si="137"/>
        <v>1.25</v>
      </c>
      <c r="P145" s="446">
        <f ca="1">ROUND(+IF(ISERROR(OFFSET(Tabella!$G$1,MATCH(H145,Tabella!$G:$G,0)-1,MATCH(I145,Tabella!$G$1:$FG$1,0)-1)=TRUE),0,OFFSET(Tabella!$G$1,MATCH(H145,Tabella!$G:$G,0)-1,MATCH(I145,Tabella!$G$1:$AB$1,0)-1)),4)</f>
        <v>0</v>
      </c>
      <c r="Q145" s="446">
        <f ca="1">ROUND(IF(ISERROR(OFFSET(Ottone!$F$1,MATCH(H145,Ottone!$A:$A,0)-1,MATCH(I145,Ottone!$F$1:$FF$1,0)-1)=TRUE),0,OFFSET(Ottone!$F$1,MATCH(H145,Ottone!$A:$A,0)-1,MATCH(I145,Ottone!$F$1:$FF$1,0)-1))*IF(E145="Ottone",1,0),4)</f>
        <v>0</v>
      </c>
      <c r="R145" s="446">
        <f ca="1">ROUND(IF(ISERROR(OFFSET(Rame!$F$1,MATCH(H145,Rame!$F:$F,0)-1,MATCH(I145,Rame!$F$1:$FF$1,0)-1)=TRUE),0,OFFSET(Rame!$F$1,MATCH(H145,Rame!$F:$F,0)-1,MATCH(I145,Rame!$F$1:$FF$1,0)-1))*IF(E145="Rame",1,0),4)</f>
        <v>0</v>
      </c>
      <c r="S145" s="446">
        <f ca="1">ROUND(IF(ISERROR(OFFSET(Bronzo!$A$1,MATCH(H145,Bronzo!$A:$A,0)-1,MATCH(I145,Bronzo!$A$1:$AA$1,0)-1)=TRUE),0,OFFSET(Bronzo!$A$1,MATCH(H145,Bronzo!$A:$A,0)-1,MATCH(I145,Bronzo!$A$1:$AA$1,0)-1)),4)</f>
        <v>0</v>
      </c>
      <c r="T145" s="446">
        <f t="shared" ca="1" si="106"/>
        <v>0</v>
      </c>
      <c r="U145" s="443"/>
      <c r="V145" s="446">
        <v>0</v>
      </c>
      <c r="W145" s="449">
        <f t="shared" ca="1" si="107"/>
        <v>1.25</v>
      </c>
      <c r="X145" s="452">
        <f t="shared" si="131"/>
        <v>150</v>
      </c>
      <c r="Y145" s="458">
        <v>3.7</v>
      </c>
      <c r="Z145" s="440">
        <f t="shared" ca="1" si="108"/>
        <v>-1.25</v>
      </c>
      <c r="AA145" s="241">
        <v>46281</v>
      </c>
      <c r="AF145" s="225">
        <f t="shared" ca="1" si="115"/>
        <v>46156</v>
      </c>
      <c r="AG145" s="225" t="b">
        <f t="shared" si="126"/>
        <v>0</v>
      </c>
      <c r="AH145" s="242"/>
      <c r="AK145" s="223">
        <f t="shared" si="127"/>
        <v>38</v>
      </c>
      <c r="AL145" s="223">
        <f t="shared" si="128"/>
        <v>2026</v>
      </c>
      <c r="AS145" s="223">
        <f t="shared" si="129"/>
        <v>9</v>
      </c>
      <c r="AT145" s="223">
        <f t="shared" si="130"/>
        <v>2026</v>
      </c>
    </row>
    <row r="146" spans="2:46" ht="15.75" x14ac:dyDescent="0.25">
      <c r="B146" s="229" t="s">
        <v>500</v>
      </c>
      <c r="C146" s="235" t="s">
        <v>297</v>
      </c>
      <c r="D146" s="243">
        <v>1600</v>
      </c>
      <c r="E146" s="232" t="s">
        <v>4</v>
      </c>
      <c r="F146" s="435">
        <v>3.03</v>
      </c>
      <c r="G146" s="234">
        <v>46114</v>
      </c>
      <c r="H146" s="235" t="s">
        <v>19</v>
      </c>
      <c r="I146" s="235"/>
      <c r="J146" s="440">
        <v>7.0000000000000007E-2</v>
      </c>
      <c r="K146" s="443">
        <f ca="1">ROUND(IF(ISERROR(OFFSET(Tabella!$A$1,MATCH(H146,Tabella!$A:$A,0)-1,MATCH(J146,Tabella!$A$1:$AC$1,0)-1)=TRUE),0,+OFFSET(Tabella!$A$1,MATCH(H146,Tabella!$A:$A,0)-1,MATCH(J146,Tabella!$A$1:$AC$1,0)-1)),4)</f>
        <v>1.35</v>
      </c>
      <c r="L146" s="446">
        <f ca="1">ROUND(IF(ISERROR(OFFSET(Ottone!$A$1,MATCH(H146,Ottone!$A:$A,0)-1,MATCH(J146,Ottone!$A$1:$Z$1,0)-1)=TRUE),0,OFFSET(Ottone!$A$1,MATCH(H146,Ottone!$A:$A,0)-1,MATCH(J146,Ottone!$A$1:$Z$1,0)-1))*IF(E146="Ottone",1,0),4)</f>
        <v>0</v>
      </c>
      <c r="M146" s="446">
        <f ca="1">ROUND(IF(ISERROR(OFFSET(Rame!$A$1,MATCH(H146,Rame!$A:$A,0)-1,MATCH(J146,Rame!$A$1:$AA$1,0)-1)=TRUE),0,OFFSET(Rame!$A$1,MATCH(H146,Rame!$A:$A,0)-1,MATCH(J146,Rame!$A$1:$AA$1,0)-1))*IF(E146="Rame",1,0),4)</f>
        <v>0</v>
      </c>
      <c r="N146" s="446">
        <v>0</v>
      </c>
      <c r="O146" s="446">
        <f t="shared" ca="1" si="137"/>
        <v>1.35</v>
      </c>
      <c r="P146" s="446">
        <f ca="1">ROUND(+IF(ISERROR(OFFSET(Tabella!$G$1,MATCH(H146,Tabella!$G:$G,0)-1,MATCH(I146,Tabella!$G$1:$FG$1,0)-1)=TRUE),0,OFFSET(Tabella!$G$1,MATCH(H146,Tabella!$G:$G,0)-1,MATCH(I146,Tabella!$G$1:$AB$1,0)-1)),4)</f>
        <v>0</v>
      </c>
      <c r="Q146" s="446">
        <f ca="1">ROUND(IF(ISERROR(OFFSET(Ottone!$F$1,MATCH(H146,Ottone!$A:$A,0)-1,MATCH(I146,Ottone!$F$1:$FF$1,0)-1)=TRUE),0,OFFSET(Ottone!$F$1,MATCH(H146,Ottone!$A:$A,0)-1,MATCH(I146,Ottone!$F$1:$FF$1,0)-1))*IF(E146="Ottone",1,0),4)</f>
        <v>0</v>
      </c>
      <c r="R146" s="446">
        <f ca="1">ROUND(IF(ISERROR(OFFSET(Rame!$F$1,MATCH(H146,Rame!$F:$F,0)-1,MATCH(I146,Rame!$F$1:$FF$1,0)-1)=TRUE),0,OFFSET(Rame!$F$1,MATCH(H146,Rame!$F:$F,0)-1,MATCH(I146,Rame!$F$1:$FF$1,0)-1))*IF(E146="Rame",1,0),4)</f>
        <v>0</v>
      </c>
      <c r="S146" s="446">
        <f ca="1">ROUND(IF(ISERROR(OFFSET(Bronzo!$A$1,MATCH(H146,Bronzo!$A:$A,0)-1,MATCH(I146,Bronzo!$A$1:$AA$1,0)-1)=TRUE),0,OFFSET(Bronzo!$A$1,MATCH(H146,Bronzo!$A:$A,0)-1,MATCH(I146,Bronzo!$A$1:$AA$1,0)-1)),4)</f>
        <v>0</v>
      </c>
      <c r="T146" s="446">
        <f t="shared" ca="1" si="106"/>
        <v>0</v>
      </c>
      <c r="U146" s="443"/>
      <c r="V146" s="446">
        <v>0</v>
      </c>
      <c r="W146" s="449">
        <f t="shared" ca="1" si="107"/>
        <v>1.35</v>
      </c>
      <c r="X146" s="452">
        <f t="shared" si="131"/>
        <v>112</v>
      </c>
      <c r="Y146" s="440">
        <v>4.7</v>
      </c>
      <c r="Z146" s="440">
        <f t="shared" ca="1" si="108"/>
        <v>0.32</v>
      </c>
      <c r="AA146" s="241">
        <v>46133</v>
      </c>
      <c r="AF146" s="225">
        <f t="shared" ca="1" si="115"/>
        <v>46156</v>
      </c>
      <c r="AG146" s="225" t="b">
        <f t="shared" si="126"/>
        <v>0</v>
      </c>
      <c r="AH146" s="242"/>
      <c r="AK146" s="223">
        <f t="shared" si="127"/>
        <v>17</v>
      </c>
      <c r="AL146" s="223">
        <f t="shared" si="128"/>
        <v>2026</v>
      </c>
      <c r="AS146" s="223">
        <f t="shared" si="129"/>
        <v>4</v>
      </c>
      <c r="AT146" s="223">
        <f t="shared" si="130"/>
        <v>2026</v>
      </c>
    </row>
    <row r="147" spans="2:46" ht="15.75" x14ac:dyDescent="0.25">
      <c r="B147" s="229" t="s">
        <v>502</v>
      </c>
      <c r="C147" s="235" t="s">
        <v>92</v>
      </c>
      <c r="D147" s="243">
        <v>600</v>
      </c>
      <c r="E147" s="232" t="s">
        <v>4</v>
      </c>
      <c r="F147" s="435">
        <v>2.97</v>
      </c>
      <c r="G147" s="234">
        <v>46114</v>
      </c>
      <c r="H147" s="235" t="s">
        <v>26</v>
      </c>
      <c r="I147" s="235"/>
      <c r="J147" s="440">
        <v>7.0000000000000007E-2</v>
      </c>
      <c r="K147" s="443">
        <f ca="1">ROUND(IF(ISERROR(OFFSET(Tabella!$A$1,MATCH(H147,Tabella!$A:$A,0)-1,MATCH(J147,Tabella!$A$1:$AC$1,0)-1)=TRUE),0,+OFFSET(Tabella!$A$1,MATCH(H147,Tabella!$A:$A,0)-1,MATCH(J147,Tabella!$A$1:$AC$1,0)-1)),4)</f>
        <v>1.25</v>
      </c>
      <c r="L147" s="446">
        <f ca="1">ROUND(IF(ISERROR(OFFSET(Ottone!$A$1,MATCH(H147,Ottone!$A:$A,0)-1,MATCH(J147,Ottone!$A$1:$Z$1,0)-1)=TRUE),0,OFFSET(Ottone!$A$1,MATCH(H147,Ottone!$A:$A,0)-1,MATCH(J147,Ottone!$A$1:$Z$1,0)-1))*IF(E147="Ottone",1,0),4)</f>
        <v>0</v>
      </c>
      <c r="M147" s="446">
        <f ca="1">ROUND(IF(ISERROR(OFFSET(Rame!$A$1,MATCH(H147,Rame!$A:$A,0)-1,MATCH(J147,Rame!$A$1:$AA$1,0)-1)=TRUE),0,OFFSET(Rame!$A$1,MATCH(H147,Rame!$A:$A,0)-1,MATCH(J147,Rame!$A$1:$AA$1,0)-1))*IF(E147="Rame",1,0),4)</f>
        <v>0</v>
      </c>
      <c r="N147" s="446">
        <v>0</v>
      </c>
      <c r="O147" s="446">
        <f t="shared" ca="1" si="137"/>
        <v>1.25</v>
      </c>
      <c r="P147" s="446">
        <f ca="1">ROUND(+IF(ISERROR(OFFSET(Tabella!$G$1,MATCH(H147,Tabella!$G:$G,0)-1,MATCH(I147,Tabella!$G$1:$FG$1,0)-1)=TRUE),0,OFFSET(Tabella!$G$1,MATCH(H147,Tabella!$G:$G,0)-1,MATCH(I147,Tabella!$G$1:$AB$1,0)-1)),4)</f>
        <v>0</v>
      </c>
      <c r="Q147" s="446">
        <f ca="1">ROUND(IF(ISERROR(OFFSET(Ottone!$F$1,MATCH(H147,Ottone!$A:$A,0)-1,MATCH(I147,Ottone!$F$1:$FF$1,0)-1)=TRUE),0,OFFSET(Ottone!$F$1,MATCH(H147,Ottone!$A:$A,0)-1,MATCH(I147,Ottone!$F$1:$FF$1,0)-1))*IF(E147="Ottone",1,0),4)</f>
        <v>0</v>
      </c>
      <c r="R147" s="446">
        <f ca="1">ROUND(IF(ISERROR(OFFSET(Rame!$F$1,MATCH(H147,Rame!$F:$F,0)-1,MATCH(I147,Rame!$F$1:$FF$1,0)-1)=TRUE),0,OFFSET(Rame!$F$1,MATCH(H147,Rame!$F:$F,0)-1,MATCH(I147,Rame!$F$1:$FF$1,0)-1))*IF(E147="Rame",1,0),4)</f>
        <v>0</v>
      </c>
      <c r="S147" s="446">
        <f ca="1">ROUND(IF(ISERROR(OFFSET(Bronzo!$A$1,MATCH(H147,Bronzo!$A:$A,0)-1,MATCH(I147,Bronzo!$A$1:$AA$1,0)-1)=TRUE),0,OFFSET(Bronzo!$A$1,MATCH(H147,Bronzo!$A:$A,0)-1,MATCH(I147,Bronzo!$A$1:$AA$1,0)-1)),4)</f>
        <v>0</v>
      </c>
      <c r="T147" s="446">
        <f t="shared" ca="1" si="106"/>
        <v>0</v>
      </c>
      <c r="U147" s="443"/>
      <c r="V147" s="446">
        <v>0</v>
      </c>
      <c r="W147" s="449">
        <f t="shared" ca="1" si="107"/>
        <v>1.25</v>
      </c>
      <c r="X147" s="452">
        <f t="shared" si="131"/>
        <v>42</v>
      </c>
      <c r="Y147" s="440">
        <v>4.57</v>
      </c>
      <c r="Z147" s="440">
        <f t="shared" ca="1" si="108"/>
        <v>0.35</v>
      </c>
      <c r="AA147" s="241">
        <v>46147</v>
      </c>
      <c r="AE147" s="223" t="s">
        <v>417</v>
      </c>
      <c r="AF147" s="225">
        <f t="shared" ca="1" si="115"/>
        <v>46156</v>
      </c>
      <c r="AG147" s="225" t="b">
        <f t="shared" ref="AG147" si="138">ISBLANK(AA147)</f>
        <v>0</v>
      </c>
      <c r="AH147" s="242"/>
      <c r="AK147" s="223">
        <f t="shared" ref="AK147" si="139">WEEKNUM(AA147)</f>
        <v>19</v>
      </c>
      <c r="AL147" s="223">
        <f t="shared" ref="AL147" si="140">YEAR(AA147)</f>
        <v>2026</v>
      </c>
      <c r="AS147" s="223">
        <f t="shared" ref="AS147" si="141">IF(AA147="",0,MONTH(AA147))</f>
        <v>5</v>
      </c>
      <c r="AT147" s="223">
        <f t="shared" ref="AT147" si="142">IF(AA147="",0,YEAR(AA147))</f>
        <v>2026</v>
      </c>
    </row>
    <row r="148" spans="2:46" ht="15.75" x14ac:dyDescent="0.25">
      <c r="B148" s="229" t="s">
        <v>503</v>
      </c>
      <c r="C148" s="235" t="s">
        <v>102</v>
      </c>
      <c r="D148" s="243">
        <v>900</v>
      </c>
      <c r="E148" s="232" t="s">
        <v>4</v>
      </c>
      <c r="F148" s="435">
        <v>2.65</v>
      </c>
      <c r="G148" s="234">
        <v>46050</v>
      </c>
      <c r="H148" s="235" t="s">
        <v>26</v>
      </c>
      <c r="I148" s="235"/>
      <c r="J148" s="440">
        <v>7.0000000000000007E-2</v>
      </c>
      <c r="K148" s="443">
        <f ca="1">ROUND(IF(ISERROR(OFFSET(Tabella!$A$1,MATCH(H148,Tabella!$A:$A,0)-1,MATCH(J148,Tabella!$A$1:$AC$1,0)-1)=TRUE),0,+OFFSET(Tabella!$A$1,MATCH(H148,Tabella!$A:$A,0)-1,MATCH(J148,Tabella!$A$1:$AC$1,0)-1)),4)</f>
        <v>1.25</v>
      </c>
      <c r="L148" s="446">
        <f ca="1">ROUND(IF(ISERROR(OFFSET(Ottone!$A$1,MATCH(H148,Ottone!$A:$A,0)-1,MATCH(J148,Ottone!$A$1:$Z$1,0)-1)=TRUE),0,OFFSET(Ottone!$A$1,MATCH(H148,Ottone!$A:$A,0)-1,MATCH(J148,Ottone!$A$1:$Z$1,0)-1))*IF(E148="Ottone",1,0),4)</f>
        <v>0</v>
      </c>
      <c r="M148" s="446">
        <f ca="1">ROUND(IF(ISERROR(OFFSET(Rame!$A$1,MATCH(H148,Rame!$A:$A,0)-1,MATCH(J148,Rame!$A$1:$AA$1,0)-1)=TRUE),0,OFFSET(Rame!$A$1,MATCH(H148,Rame!$A:$A,0)-1,MATCH(J148,Rame!$A$1:$AA$1,0)-1))*IF(E148="Rame",1,0),4)</f>
        <v>0</v>
      </c>
      <c r="N148" s="446">
        <v>0</v>
      </c>
      <c r="O148" s="446">
        <v>1.6</v>
      </c>
      <c r="P148" s="446">
        <f ca="1">ROUND(+IF(ISERROR(OFFSET(Tabella!$G$1,MATCH(H148,Tabella!$G:$G,0)-1,MATCH(I148,Tabella!$G$1:$FG$1,0)-1)=TRUE),0,OFFSET(Tabella!$G$1,MATCH(H148,Tabella!$G:$G,0)-1,MATCH(I148,Tabella!$G$1:$AB$1,0)-1)),4)</f>
        <v>0</v>
      </c>
      <c r="Q148" s="446">
        <f ca="1">ROUND(IF(ISERROR(OFFSET(Ottone!$F$1,MATCH(H148,Ottone!$A:$A,0)-1,MATCH(I148,Ottone!$F$1:$FF$1,0)-1)=TRUE),0,OFFSET(Ottone!$F$1,MATCH(H148,Ottone!$A:$A,0)-1,MATCH(I148,Ottone!$F$1:$FF$1,0)-1))*IF(E148="Ottone",1,0),4)</f>
        <v>0</v>
      </c>
      <c r="R148" s="446">
        <f ca="1">ROUND(IF(ISERROR(OFFSET(Rame!$F$1,MATCH(H148,Rame!$F:$F,0)-1,MATCH(I148,Rame!$F$1:$FF$1,0)-1)=TRUE),0,OFFSET(Rame!$F$1,MATCH(H148,Rame!$F:$F,0)-1,MATCH(I148,Rame!$F$1:$FF$1,0)-1))*IF(E148="Rame",1,0),4)</f>
        <v>0</v>
      </c>
      <c r="S148" s="446">
        <f ca="1">ROUND(IF(ISERROR(OFFSET(Bronzo!$A$1,MATCH(H148,Bronzo!$A:$A,0)-1,MATCH(I148,Bronzo!$A$1:$AA$1,0)-1)=TRUE),0,OFFSET(Bronzo!$A$1,MATCH(H148,Bronzo!$A:$A,0)-1,MATCH(I148,Bronzo!$A$1:$AA$1,0)-1)),4)</f>
        <v>0</v>
      </c>
      <c r="T148" s="446">
        <f t="shared" ca="1" si="106"/>
        <v>0</v>
      </c>
      <c r="U148" s="443"/>
      <c r="V148" s="446">
        <v>0</v>
      </c>
      <c r="W148" s="449">
        <f t="shared" ca="1" si="107"/>
        <v>1.6</v>
      </c>
      <c r="X148" s="452">
        <f t="shared" si="131"/>
        <v>63</v>
      </c>
      <c r="Y148" s="440">
        <v>4.1500000000000004</v>
      </c>
      <c r="Z148" s="440">
        <f t="shared" ca="1" si="108"/>
        <v>-0.1</v>
      </c>
      <c r="AA148" s="241">
        <v>46178</v>
      </c>
      <c r="AF148" s="225">
        <f t="shared" ca="1" si="115"/>
        <v>46156</v>
      </c>
      <c r="AG148" s="225" t="b">
        <f t="shared" si="126"/>
        <v>0</v>
      </c>
      <c r="AH148" s="242"/>
      <c r="AK148" s="223">
        <f t="shared" si="127"/>
        <v>23</v>
      </c>
      <c r="AL148" s="223">
        <f t="shared" si="128"/>
        <v>2026</v>
      </c>
      <c r="AS148" s="223">
        <f t="shared" si="129"/>
        <v>6</v>
      </c>
      <c r="AT148" s="223">
        <f t="shared" si="130"/>
        <v>2026</v>
      </c>
    </row>
    <row r="149" spans="2:46" ht="15.75" x14ac:dyDescent="0.25">
      <c r="B149" s="229" t="s">
        <v>503</v>
      </c>
      <c r="C149" s="235" t="s">
        <v>102</v>
      </c>
      <c r="D149" s="243">
        <v>1200</v>
      </c>
      <c r="E149" s="232" t="s">
        <v>4</v>
      </c>
      <c r="F149" s="435">
        <v>2.65</v>
      </c>
      <c r="G149" s="234">
        <v>46050</v>
      </c>
      <c r="H149" s="235" t="s">
        <v>27</v>
      </c>
      <c r="I149" s="235"/>
      <c r="J149" s="440">
        <v>7.0000000000000007E-2</v>
      </c>
      <c r="K149" s="443">
        <f ca="1">ROUND(IF(ISERROR(OFFSET(Tabella!$A$1,MATCH(H149,Tabella!$A:$A,0)-1,MATCH(J149,Tabella!$A$1:$AC$1,0)-1)=TRUE),0,+OFFSET(Tabella!$A$1,MATCH(H149,Tabella!$A:$A,0)-1,MATCH(J149,Tabella!$A$1:$AC$1,0)-1)),4)</f>
        <v>1.25</v>
      </c>
      <c r="L149" s="446">
        <f ca="1">ROUND(IF(ISERROR(OFFSET(Ottone!$A$1,MATCH(H149,Ottone!$A:$A,0)-1,MATCH(J149,Ottone!$A$1:$Z$1,0)-1)=TRUE),0,OFFSET(Ottone!$A$1,MATCH(H149,Ottone!$A:$A,0)-1,MATCH(J149,Ottone!$A$1:$Z$1,0)-1))*IF(E149="Ottone",1,0),4)</f>
        <v>0</v>
      </c>
      <c r="M149" s="446">
        <f ca="1">ROUND(IF(ISERROR(OFFSET(Rame!$A$1,MATCH(H149,Rame!$A:$A,0)-1,MATCH(J149,Rame!$A$1:$AA$1,0)-1)=TRUE),0,OFFSET(Rame!$A$1,MATCH(H149,Rame!$A:$A,0)-1,MATCH(J149,Rame!$A$1:$AA$1,0)-1))*IF(E149="Rame",1,0),4)</f>
        <v>0</v>
      </c>
      <c r="N149" s="446">
        <v>0</v>
      </c>
      <c r="O149" s="446">
        <v>1.6</v>
      </c>
      <c r="P149" s="446">
        <f ca="1">ROUND(+IF(ISERROR(OFFSET(Tabella!$G$1,MATCH(H149,Tabella!$G:$G,0)-1,MATCH(I149,Tabella!$G$1:$FG$1,0)-1)=TRUE),0,OFFSET(Tabella!$G$1,MATCH(H149,Tabella!$G:$G,0)-1,MATCH(I149,Tabella!$G$1:$AB$1,0)-1)),4)</f>
        <v>0</v>
      </c>
      <c r="Q149" s="446">
        <f ca="1">ROUND(IF(ISERROR(OFFSET(Ottone!$F$1,MATCH(H149,Ottone!$A:$A,0)-1,MATCH(I149,Ottone!$F$1:$FF$1,0)-1)=TRUE),0,OFFSET(Ottone!$F$1,MATCH(H149,Ottone!$A:$A,0)-1,MATCH(I149,Ottone!$F$1:$FF$1,0)-1))*IF(E149="Ottone",1,0),4)</f>
        <v>0</v>
      </c>
      <c r="R149" s="446">
        <f ca="1">ROUND(IF(ISERROR(OFFSET(Rame!$F$1,MATCH(H149,Rame!$F:$F,0)-1,MATCH(I149,Rame!$F$1:$FF$1,0)-1)=TRUE),0,OFFSET(Rame!$F$1,MATCH(H149,Rame!$F:$F,0)-1,MATCH(I149,Rame!$F$1:$FF$1,0)-1))*IF(E149="Rame",1,0),4)</f>
        <v>0</v>
      </c>
      <c r="S149" s="446">
        <f ca="1">ROUND(IF(ISERROR(OFFSET(Bronzo!$A$1,MATCH(H149,Bronzo!$A:$A,0)-1,MATCH(I149,Bronzo!$A$1:$AA$1,0)-1)=TRUE),0,OFFSET(Bronzo!$A$1,MATCH(H149,Bronzo!$A:$A,0)-1,MATCH(I149,Bronzo!$A$1:$AA$1,0)-1)),4)</f>
        <v>0</v>
      </c>
      <c r="T149" s="446">
        <f t="shared" ca="1" si="106"/>
        <v>0</v>
      </c>
      <c r="U149" s="443"/>
      <c r="V149" s="446">
        <v>0</v>
      </c>
      <c r="W149" s="449">
        <f t="shared" ca="1" si="107"/>
        <v>1.6</v>
      </c>
      <c r="X149" s="452">
        <f t="shared" si="131"/>
        <v>84</v>
      </c>
      <c r="Y149" s="440">
        <v>4.1500000000000004</v>
      </c>
      <c r="Z149" s="440">
        <f t="shared" ca="1" si="108"/>
        <v>-0.1</v>
      </c>
      <c r="AA149" s="241">
        <v>46205</v>
      </c>
      <c r="AF149" s="225">
        <f t="shared" ca="1" si="115"/>
        <v>46156</v>
      </c>
      <c r="AG149" s="225" t="b">
        <f t="shared" si="126"/>
        <v>0</v>
      </c>
      <c r="AH149" s="242"/>
      <c r="AK149" s="223">
        <f t="shared" si="127"/>
        <v>27</v>
      </c>
      <c r="AL149" s="223">
        <f t="shared" si="128"/>
        <v>2026</v>
      </c>
      <c r="AS149" s="223">
        <f t="shared" si="129"/>
        <v>7</v>
      </c>
      <c r="AT149" s="223">
        <f t="shared" si="130"/>
        <v>2026</v>
      </c>
    </row>
    <row r="150" spans="2:46" ht="15.75" x14ac:dyDescent="0.25">
      <c r="B150" s="229" t="s">
        <v>503</v>
      </c>
      <c r="C150" s="235" t="s">
        <v>102</v>
      </c>
      <c r="D150" s="243">
        <v>850</v>
      </c>
      <c r="E150" s="232" t="s">
        <v>4</v>
      </c>
      <c r="F150" s="435">
        <v>2.65</v>
      </c>
      <c r="G150" s="234">
        <v>46050</v>
      </c>
      <c r="H150" s="235" t="s">
        <v>13</v>
      </c>
      <c r="I150" s="235"/>
      <c r="J150" s="440">
        <v>7.0000000000000007E-2</v>
      </c>
      <c r="K150" s="443">
        <f ca="1">ROUND(IF(ISERROR(OFFSET(Tabella!$A$1,MATCH(H150,Tabella!$A:$A,0)-1,MATCH(J150,Tabella!$A$1:$AC$1,0)-1)=TRUE),0,+OFFSET(Tabella!$A$1,MATCH(H150,Tabella!$A:$A,0)-1,MATCH(J150,Tabella!$A$1:$AC$1,0)-1)),4)</f>
        <v>1.4</v>
      </c>
      <c r="L150" s="446">
        <f ca="1">ROUND(IF(ISERROR(OFFSET(Ottone!$A$1,MATCH(H150,Ottone!$A:$A,0)-1,MATCH(J150,Ottone!$A$1:$Z$1,0)-1)=TRUE),0,OFFSET(Ottone!$A$1,MATCH(H150,Ottone!$A:$A,0)-1,MATCH(J150,Ottone!$A$1:$Z$1,0)-1))*IF(E150="Ottone",1,0),4)</f>
        <v>0</v>
      </c>
      <c r="M150" s="446">
        <f ca="1">ROUND(IF(ISERROR(OFFSET(Rame!$A$1,MATCH(H150,Rame!$A:$A,0)-1,MATCH(J150,Rame!$A$1:$AA$1,0)-1)=TRUE),0,OFFSET(Rame!$A$1,MATCH(H150,Rame!$A:$A,0)-1,MATCH(J150,Rame!$A$1:$AA$1,0)-1))*IF(E150="Rame",1,0),4)</f>
        <v>0</v>
      </c>
      <c r="N150" s="446">
        <v>0</v>
      </c>
      <c r="O150" s="446">
        <v>1.75</v>
      </c>
      <c r="P150" s="446">
        <f ca="1">ROUND(+IF(ISERROR(OFFSET(Tabella!$G$1,MATCH(H150,Tabella!$G:$G,0)-1,MATCH(I150,Tabella!$G$1:$FG$1,0)-1)=TRUE),0,OFFSET(Tabella!$G$1,MATCH(H150,Tabella!$G:$G,0)-1,MATCH(I150,Tabella!$G$1:$AB$1,0)-1)),4)</f>
        <v>0</v>
      </c>
      <c r="Q150" s="446">
        <f ca="1">ROUND(IF(ISERROR(OFFSET(Ottone!$F$1,MATCH(H150,Ottone!$A:$A,0)-1,MATCH(I150,Ottone!$F$1:$FF$1,0)-1)=TRUE),0,OFFSET(Ottone!$F$1,MATCH(H150,Ottone!$A:$A,0)-1,MATCH(I150,Ottone!$F$1:$FF$1,0)-1))*IF(E150="Ottone",1,0),4)</f>
        <v>0</v>
      </c>
      <c r="R150" s="446">
        <f ca="1">ROUND(IF(ISERROR(OFFSET(Rame!$F$1,MATCH(H150,Rame!$F:$F,0)-1,MATCH(I150,Rame!$F$1:$FF$1,0)-1)=TRUE),0,OFFSET(Rame!$F$1,MATCH(H150,Rame!$F:$F,0)-1,MATCH(I150,Rame!$F$1:$FF$1,0)-1))*IF(E150="Rame",1,0),4)</f>
        <v>0</v>
      </c>
      <c r="S150" s="446">
        <f ca="1">ROUND(IF(ISERROR(OFFSET(Bronzo!$A$1,MATCH(H150,Bronzo!$A:$A,0)-1,MATCH(I150,Bronzo!$A$1:$AA$1,0)-1)=TRUE),0,OFFSET(Bronzo!$A$1,MATCH(H150,Bronzo!$A:$A,0)-1,MATCH(I150,Bronzo!$A$1:$AA$1,0)-1)),4)</f>
        <v>0</v>
      </c>
      <c r="T150" s="446">
        <f t="shared" ca="1" si="106"/>
        <v>0</v>
      </c>
      <c r="U150" s="443"/>
      <c r="V150" s="446">
        <v>0</v>
      </c>
      <c r="W150" s="449">
        <f t="shared" ca="1" si="107"/>
        <v>1.75</v>
      </c>
      <c r="X150" s="452">
        <f t="shared" si="131"/>
        <v>59.5</v>
      </c>
      <c r="Y150" s="440">
        <v>4.3</v>
      </c>
      <c r="Z150" s="440">
        <f t="shared" ca="1" si="108"/>
        <v>-0.1</v>
      </c>
      <c r="AA150" s="241">
        <v>46205</v>
      </c>
      <c r="AF150" s="225">
        <f t="shared" ca="1" si="115"/>
        <v>46156</v>
      </c>
      <c r="AG150" s="225" t="b">
        <f t="shared" si="126"/>
        <v>0</v>
      </c>
      <c r="AH150" s="242"/>
      <c r="AK150" s="223">
        <f t="shared" si="127"/>
        <v>27</v>
      </c>
      <c r="AL150" s="223">
        <f t="shared" si="128"/>
        <v>2026</v>
      </c>
      <c r="AS150" s="223">
        <f t="shared" si="129"/>
        <v>7</v>
      </c>
      <c r="AT150" s="223">
        <f t="shared" si="130"/>
        <v>2026</v>
      </c>
    </row>
    <row r="151" spans="2:46" ht="15.75" x14ac:dyDescent="0.25">
      <c r="B151" s="229" t="s">
        <v>503</v>
      </c>
      <c r="C151" s="235" t="s">
        <v>102</v>
      </c>
      <c r="D151" s="243">
        <v>2700</v>
      </c>
      <c r="E151" s="232" t="s">
        <v>4</v>
      </c>
      <c r="F151" s="435">
        <v>2.65</v>
      </c>
      <c r="G151" s="234">
        <v>46050</v>
      </c>
      <c r="H151" s="235" t="s">
        <v>27</v>
      </c>
      <c r="I151" s="235"/>
      <c r="J151" s="440">
        <v>7.0000000000000007E-2</v>
      </c>
      <c r="K151" s="443">
        <f ca="1">ROUND(IF(ISERROR(OFFSET(Tabella!$A$1,MATCH(H151,Tabella!$A:$A,0)-1,MATCH(J151,Tabella!$A$1:$AC$1,0)-1)=TRUE),0,+OFFSET(Tabella!$A$1,MATCH(H151,Tabella!$A:$A,0)-1,MATCH(J151,Tabella!$A$1:$AC$1,0)-1)),4)</f>
        <v>1.25</v>
      </c>
      <c r="L151" s="446">
        <f ca="1">ROUND(IF(ISERROR(OFFSET(Ottone!$A$1,MATCH(H151,Ottone!$A:$A,0)-1,MATCH(J151,Ottone!$A$1:$Z$1,0)-1)=TRUE),0,OFFSET(Ottone!$A$1,MATCH(H151,Ottone!$A:$A,0)-1,MATCH(J151,Ottone!$A$1:$Z$1,0)-1))*IF(E151="Ottone",1,0),4)</f>
        <v>0</v>
      </c>
      <c r="M151" s="446">
        <f ca="1">ROUND(IF(ISERROR(OFFSET(Rame!$A$1,MATCH(H151,Rame!$A:$A,0)-1,MATCH(J151,Rame!$A$1:$AA$1,0)-1)=TRUE),0,OFFSET(Rame!$A$1,MATCH(H151,Rame!$A:$A,0)-1,MATCH(J151,Rame!$A$1:$AA$1,0)-1))*IF(E151="Rame",1,0),4)</f>
        <v>0</v>
      </c>
      <c r="N151" s="446">
        <v>0</v>
      </c>
      <c r="O151" s="446">
        <v>1.6</v>
      </c>
      <c r="P151" s="446">
        <f ca="1">ROUND(+IF(ISERROR(OFFSET(Tabella!$G$1,MATCH(H151,Tabella!$G:$G,0)-1,MATCH(I151,Tabella!$G$1:$FG$1,0)-1)=TRUE),0,OFFSET(Tabella!$G$1,MATCH(H151,Tabella!$G:$G,0)-1,MATCH(I151,Tabella!$G$1:$AB$1,0)-1)),4)</f>
        <v>0</v>
      </c>
      <c r="Q151" s="446">
        <f ca="1">ROUND(IF(ISERROR(OFFSET(Ottone!$F$1,MATCH(H151,Ottone!$A:$A,0)-1,MATCH(I151,Ottone!$F$1:$FF$1,0)-1)=TRUE),0,OFFSET(Ottone!$F$1,MATCH(H151,Ottone!$A:$A,0)-1,MATCH(I151,Ottone!$F$1:$FF$1,0)-1))*IF(E151="Ottone",1,0),4)</f>
        <v>0</v>
      </c>
      <c r="R151" s="446">
        <f ca="1">ROUND(IF(ISERROR(OFFSET(Rame!$F$1,MATCH(H151,Rame!$F:$F,0)-1,MATCH(I151,Rame!$F$1:$FF$1,0)-1)=TRUE),0,OFFSET(Rame!$F$1,MATCH(H151,Rame!$F:$F,0)-1,MATCH(I151,Rame!$F$1:$FF$1,0)-1))*IF(E151="Rame",1,0),4)</f>
        <v>0</v>
      </c>
      <c r="S151" s="446">
        <f ca="1">ROUND(IF(ISERROR(OFFSET(Bronzo!$A$1,MATCH(H151,Bronzo!$A:$A,0)-1,MATCH(I151,Bronzo!$A$1:$AA$1,0)-1)=TRUE),0,OFFSET(Bronzo!$A$1,MATCH(H151,Bronzo!$A:$A,0)-1,MATCH(I151,Bronzo!$A$1:$AA$1,0)-1)),4)</f>
        <v>0</v>
      </c>
      <c r="T151" s="446">
        <f t="shared" ref="T151:T214" ca="1" si="143">ROUND(SUM(P151:S151),4)</f>
        <v>0</v>
      </c>
      <c r="U151" s="443"/>
      <c r="V151" s="446">
        <v>0</v>
      </c>
      <c r="W151" s="449">
        <f t="shared" ref="W151:W214" ca="1" si="144">ROUND(+O151+T151+U151+V151,4)</f>
        <v>1.6</v>
      </c>
      <c r="X151" s="452">
        <f t="shared" si="131"/>
        <v>189</v>
      </c>
      <c r="Y151" s="440">
        <v>4.1500000000000004</v>
      </c>
      <c r="Z151" s="440">
        <f t="shared" ref="Z151:Z214" ca="1" si="145">ROUND(+Y151-W151-F151,4)</f>
        <v>-0.1</v>
      </c>
      <c r="AA151" s="241">
        <v>46267</v>
      </c>
      <c r="AF151" s="225">
        <f t="shared" ca="1" si="115"/>
        <v>46156</v>
      </c>
      <c r="AG151" s="225" t="b">
        <f t="shared" si="126"/>
        <v>0</v>
      </c>
      <c r="AH151" s="242"/>
      <c r="AK151" s="223">
        <f t="shared" si="127"/>
        <v>36</v>
      </c>
      <c r="AL151" s="223">
        <f t="shared" si="128"/>
        <v>2026</v>
      </c>
      <c r="AS151" s="223">
        <f t="shared" si="129"/>
        <v>9</v>
      </c>
      <c r="AT151" s="223">
        <f t="shared" si="130"/>
        <v>2026</v>
      </c>
    </row>
    <row r="152" spans="2:46" ht="15.75" x14ac:dyDescent="0.25">
      <c r="B152" s="229" t="s">
        <v>503</v>
      </c>
      <c r="C152" s="235" t="s">
        <v>102</v>
      </c>
      <c r="D152" s="243">
        <v>2000</v>
      </c>
      <c r="E152" s="232" t="s">
        <v>4</v>
      </c>
      <c r="F152" s="435">
        <v>2.65</v>
      </c>
      <c r="G152" s="234">
        <v>46050</v>
      </c>
      <c r="H152" s="235" t="s">
        <v>25</v>
      </c>
      <c r="I152" s="235"/>
      <c r="J152" s="440">
        <v>7.0000000000000007E-2</v>
      </c>
      <c r="K152" s="443">
        <f ca="1">ROUND(IF(ISERROR(OFFSET(Tabella!$A$1,MATCH(H152,Tabella!$A:$A,0)-1,MATCH(J152,Tabella!$A$1:$AC$1,0)-1)=TRUE),0,+OFFSET(Tabella!$A$1,MATCH(H152,Tabella!$A:$A,0)-1,MATCH(J152,Tabella!$A$1:$AC$1,0)-1)),4)</f>
        <v>1.25</v>
      </c>
      <c r="L152" s="446">
        <f ca="1">ROUND(IF(ISERROR(OFFSET(Ottone!$A$1,MATCH(H152,Ottone!$A:$A,0)-1,MATCH(J152,Ottone!$A$1:$Z$1,0)-1)=TRUE),0,OFFSET(Ottone!$A$1,MATCH(H152,Ottone!$A:$A,0)-1,MATCH(J152,Ottone!$A$1:$Z$1,0)-1))*IF(E152="Ottone",1,0),4)</f>
        <v>0</v>
      </c>
      <c r="M152" s="446">
        <f ca="1">ROUND(IF(ISERROR(OFFSET(Rame!$A$1,MATCH(H152,Rame!$A:$A,0)-1,MATCH(J152,Rame!$A$1:$AA$1,0)-1)=TRUE),0,OFFSET(Rame!$A$1,MATCH(H152,Rame!$A:$A,0)-1,MATCH(J152,Rame!$A$1:$AA$1,0)-1))*IF(E152="Rame",1,0),4)</f>
        <v>0</v>
      </c>
      <c r="N152" s="446">
        <v>0</v>
      </c>
      <c r="O152" s="446">
        <v>1.6</v>
      </c>
      <c r="P152" s="446">
        <f ca="1">ROUND(+IF(ISERROR(OFFSET(Tabella!$G$1,MATCH(H152,Tabella!$G:$G,0)-1,MATCH(I152,Tabella!$G$1:$FG$1,0)-1)=TRUE),0,OFFSET(Tabella!$G$1,MATCH(H152,Tabella!$G:$G,0)-1,MATCH(I152,Tabella!$G$1:$AB$1,0)-1)),4)</f>
        <v>0</v>
      </c>
      <c r="Q152" s="446">
        <f ca="1">ROUND(IF(ISERROR(OFFSET(Ottone!$F$1,MATCH(H152,Ottone!$A:$A,0)-1,MATCH(I152,Ottone!$F$1:$FF$1,0)-1)=TRUE),0,OFFSET(Ottone!$F$1,MATCH(H152,Ottone!$A:$A,0)-1,MATCH(I152,Ottone!$F$1:$FF$1,0)-1))*IF(E152="Ottone",1,0),4)</f>
        <v>0</v>
      </c>
      <c r="R152" s="446">
        <f ca="1">ROUND(IF(ISERROR(OFFSET(Rame!$F$1,MATCH(H152,Rame!$F:$F,0)-1,MATCH(I152,Rame!$F$1:$FF$1,0)-1)=TRUE),0,OFFSET(Rame!$F$1,MATCH(H152,Rame!$F:$F,0)-1,MATCH(I152,Rame!$F$1:$FF$1,0)-1))*IF(E152="Rame",1,0),4)</f>
        <v>0</v>
      </c>
      <c r="S152" s="446">
        <f ca="1">ROUND(IF(ISERROR(OFFSET(Bronzo!$A$1,MATCH(H152,Bronzo!$A:$A,0)-1,MATCH(I152,Bronzo!$A$1:$AA$1,0)-1)=TRUE),0,OFFSET(Bronzo!$A$1,MATCH(H152,Bronzo!$A:$A,0)-1,MATCH(I152,Bronzo!$A$1:$AA$1,0)-1)),4)</f>
        <v>0</v>
      </c>
      <c r="T152" s="446">
        <f t="shared" ca="1" si="143"/>
        <v>0</v>
      </c>
      <c r="U152" s="443"/>
      <c r="V152" s="446">
        <v>0</v>
      </c>
      <c r="W152" s="449">
        <f t="shared" ca="1" si="144"/>
        <v>1.6</v>
      </c>
      <c r="X152" s="452">
        <f t="shared" si="131"/>
        <v>140</v>
      </c>
      <c r="Y152" s="440">
        <v>4.1500000000000004</v>
      </c>
      <c r="Z152" s="440">
        <f t="shared" ca="1" si="145"/>
        <v>-0.1</v>
      </c>
      <c r="AA152" s="241">
        <v>46267</v>
      </c>
      <c r="AF152" s="225">
        <f t="shared" ca="1" si="115"/>
        <v>46156</v>
      </c>
      <c r="AG152" s="225" t="b">
        <f t="shared" si="126"/>
        <v>0</v>
      </c>
      <c r="AH152" s="242"/>
      <c r="AK152" s="223">
        <f t="shared" si="127"/>
        <v>36</v>
      </c>
      <c r="AL152" s="223">
        <f t="shared" si="128"/>
        <v>2026</v>
      </c>
      <c r="AS152" s="223">
        <f t="shared" si="129"/>
        <v>9</v>
      </c>
      <c r="AT152" s="223">
        <f t="shared" si="130"/>
        <v>2026</v>
      </c>
    </row>
    <row r="153" spans="2:46" ht="15.75" x14ac:dyDescent="0.25">
      <c r="B153" s="229" t="s">
        <v>503</v>
      </c>
      <c r="C153" s="235" t="s">
        <v>102</v>
      </c>
      <c r="D153" s="243">
        <v>1700</v>
      </c>
      <c r="E153" s="232" t="s">
        <v>4</v>
      </c>
      <c r="F153" s="435">
        <v>2.65</v>
      </c>
      <c r="G153" s="234">
        <v>46050</v>
      </c>
      <c r="H153" s="235" t="s">
        <v>27</v>
      </c>
      <c r="I153" s="235"/>
      <c r="J153" s="440">
        <v>7.0000000000000007E-2</v>
      </c>
      <c r="K153" s="443">
        <f ca="1">ROUND(IF(ISERROR(OFFSET(Tabella!$A$1,MATCH(H153,Tabella!$A:$A,0)-1,MATCH(J153,Tabella!$A$1:$AC$1,0)-1)=TRUE),0,+OFFSET(Tabella!$A$1,MATCH(H153,Tabella!$A:$A,0)-1,MATCH(J153,Tabella!$A$1:$AC$1,0)-1)),4)</f>
        <v>1.25</v>
      </c>
      <c r="L153" s="446">
        <f ca="1">ROUND(IF(ISERROR(OFFSET(Ottone!$A$1,MATCH(H153,Ottone!$A:$A,0)-1,MATCH(J153,Ottone!$A$1:$Z$1,0)-1)=TRUE),0,OFFSET(Ottone!$A$1,MATCH(H153,Ottone!$A:$A,0)-1,MATCH(J153,Ottone!$A$1:$Z$1,0)-1))*IF(E153="Ottone",1,0),4)</f>
        <v>0</v>
      </c>
      <c r="M153" s="446">
        <f ca="1">ROUND(IF(ISERROR(OFFSET(Rame!$A$1,MATCH(H153,Rame!$A:$A,0)-1,MATCH(J153,Rame!$A$1:$AA$1,0)-1)=TRUE),0,OFFSET(Rame!$A$1,MATCH(H153,Rame!$A:$A,0)-1,MATCH(J153,Rame!$A$1:$AA$1,0)-1))*IF(E153="Rame",1,0),4)</f>
        <v>0</v>
      </c>
      <c r="N153" s="446">
        <v>0</v>
      </c>
      <c r="O153" s="446">
        <v>1.6</v>
      </c>
      <c r="P153" s="446">
        <f ca="1">ROUND(+IF(ISERROR(OFFSET(Tabella!$G$1,MATCH(H153,Tabella!$G:$G,0)-1,MATCH(I153,Tabella!$G$1:$FG$1,0)-1)=TRUE),0,OFFSET(Tabella!$G$1,MATCH(H153,Tabella!$G:$G,0)-1,MATCH(I153,Tabella!$G$1:$AB$1,0)-1)),4)</f>
        <v>0</v>
      </c>
      <c r="Q153" s="446">
        <f ca="1">ROUND(IF(ISERROR(OFFSET(Ottone!$F$1,MATCH(H153,Ottone!$A:$A,0)-1,MATCH(I153,Ottone!$F$1:$FF$1,0)-1)=TRUE),0,OFFSET(Ottone!$F$1,MATCH(H153,Ottone!$A:$A,0)-1,MATCH(I153,Ottone!$F$1:$FF$1,0)-1))*IF(E153="Ottone",1,0),4)</f>
        <v>0</v>
      </c>
      <c r="R153" s="446">
        <f ca="1">ROUND(IF(ISERROR(OFFSET(Rame!$F$1,MATCH(H153,Rame!$F:$F,0)-1,MATCH(I153,Rame!$F$1:$FF$1,0)-1)=TRUE),0,OFFSET(Rame!$F$1,MATCH(H153,Rame!$F:$F,0)-1,MATCH(I153,Rame!$F$1:$FF$1,0)-1))*IF(E153="Rame",1,0),4)</f>
        <v>0</v>
      </c>
      <c r="S153" s="446">
        <f ca="1">ROUND(IF(ISERROR(OFFSET(Bronzo!$A$1,MATCH(H153,Bronzo!$A:$A,0)-1,MATCH(I153,Bronzo!$A$1:$AA$1,0)-1)=TRUE),0,OFFSET(Bronzo!$A$1,MATCH(H153,Bronzo!$A:$A,0)-1,MATCH(I153,Bronzo!$A$1:$AA$1,0)-1)),4)</f>
        <v>0</v>
      </c>
      <c r="T153" s="446">
        <f t="shared" ca="1" si="143"/>
        <v>0</v>
      </c>
      <c r="U153" s="443"/>
      <c r="V153" s="446">
        <v>0</v>
      </c>
      <c r="W153" s="449">
        <f t="shared" ca="1" si="144"/>
        <v>1.6</v>
      </c>
      <c r="X153" s="452">
        <f t="shared" si="131"/>
        <v>119</v>
      </c>
      <c r="Y153" s="440">
        <v>4.1500000000000004</v>
      </c>
      <c r="Z153" s="440">
        <f t="shared" ca="1" si="145"/>
        <v>-0.1</v>
      </c>
      <c r="AA153" s="241">
        <v>46267</v>
      </c>
      <c r="AF153" s="225">
        <f t="shared" ca="1" si="115"/>
        <v>46156</v>
      </c>
      <c r="AG153" s="225" t="b">
        <f t="shared" si="126"/>
        <v>0</v>
      </c>
      <c r="AH153" s="242"/>
      <c r="AK153" s="223">
        <f t="shared" si="127"/>
        <v>36</v>
      </c>
      <c r="AL153" s="223">
        <f t="shared" si="128"/>
        <v>2026</v>
      </c>
      <c r="AS153" s="223">
        <f t="shared" si="129"/>
        <v>9</v>
      </c>
      <c r="AT153" s="223">
        <f t="shared" si="130"/>
        <v>2026</v>
      </c>
    </row>
    <row r="154" spans="2:46" ht="15.75" x14ac:dyDescent="0.25">
      <c r="B154" s="229" t="s">
        <v>515</v>
      </c>
      <c r="C154" s="235" t="s">
        <v>330</v>
      </c>
      <c r="D154" s="243">
        <v>2750</v>
      </c>
      <c r="E154" s="232" t="s">
        <v>4</v>
      </c>
      <c r="F154" s="436">
        <v>1.7</v>
      </c>
      <c r="G154" s="234">
        <v>46114</v>
      </c>
      <c r="H154" s="235" t="s">
        <v>25</v>
      </c>
      <c r="I154" s="235"/>
      <c r="J154" s="440">
        <v>7.0000000000000007E-2</v>
      </c>
      <c r="K154" s="443">
        <f ca="1">ROUND(IF(ISERROR(OFFSET(Tabella!$A$1,MATCH(H154,Tabella!$A:$A,0)-1,MATCH(J154,Tabella!$A$1:$AC$1,0)-1)=TRUE),0,+OFFSET(Tabella!$A$1,MATCH(H154,Tabella!$A:$A,0)-1,MATCH(J154,Tabella!$A$1:$AC$1,0)-1)),4)</f>
        <v>1.25</v>
      </c>
      <c r="L154" s="446">
        <f ca="1">ROUND(IF(ISERROR(OFFSET(Ottone!$A$1,MATCH(H154,Ottone!$A:$A,0)-1,MATCH(J154,Ottone!$A$1:$Z$1,0)-1)=TRUE),0,OFFSET(Ottone!$A$1,MATCH(H154,Ottone!$A:$A,0)-1,MATCH(J154,Ottone!$A$1:$Z$1,0)-1))*IF(E154="Ottone",1,0),4)</f>
        <v>0</v>
      </c>
      <c r="M154" s="446">
        <f ca="1">ROUND(IF(ISERROR(OFFSET(Rame!$A$1,MATCH(H154,Rame!$A:$A,0)-1,MATCH(J154,Rame!$A$1:$AA$1,0)-1)=TRUE),0,OFFSET(Rame!$A$1,MATCH(H154,Rame!$A:$A,0)-1,MATCH(J154,Rame!$A$1:$AA$1,0)-1))*IF(E154="Rame",1,0),4)</f>
        <v>0</v>
      </c>
      <c r="N154" s="446">
        <v>0</v>
      </c>
      <c r="O154" s="446">
        <v>1.6</v>
      </c>
      <c r="P154" s="446">
        <f ca="1">ROUND(+IF(ISERROR(OFFSET(Tabella!$G$1,MATCH(H154,Tabella!$G:$G,0)-1,MATCH(I154,Tabella!$G$1:$FG$1,0)-1)=TRUE),0,OFFSET(Tabella!$G$1,MATCH(H154,Tabella!$G:$G,0)-1,MATCH(I154,Tabella!$G$1:$AB$1,0)-1)),4)</f>
        <v>0</v>
      </c>
      <c r="Q154" s="446">
        <f ca="1">ROUND(IF(ISERROR(OFFSET(Ottone!$F$1,MATCH(H154,Ottone!$A:$A,0)-1,MATCH(I154,Ottone!$F$1:$FF$1,0)-1)=TRUE),0,OFFSET(Ottone!$F$1,MATCH(H154,Ottone!$A:$A,0)-1,MATCH(I154,Ottone!$F$1:$FF$1,0)-1))*IF(E154="Ottone",1,0),4)</f>
        <v>0</v>
      </c>
      <c r="R154" s="446">
        <f ca="1">ROUND(IF(ISERROR(OFFSET(Rame!$F$1,MATCH(H154,Rame!$F:$F,0)-1,MATCH(I154,Rame!$F$1:$FF$1,0)-1)=TRUE),0,OFFSET(Rame!$F$1,MATCH(H154,Rame!$F:$F,0)-1,MATCH(I154,Rame!$F$1:$FF$1,0)-1))*IF(E154="Rame",1,0),4)</f>
        <v>0</v>
      </c>
      <c r="S154" s="446">
        <f ca="1">ROUND(IF(ISERROR(OFFSET(Bronzo!$A$1,MATCH(H154,Bronzo!$A:$A,0)-1,MATCH(I154,Bronzo!$A$1:$AA$1,0)-1)=TRUE),0,OFFSET(Bronzo!$A$1,MATCH(H154,Bronzo!$A:$A,0)-1,MATCH(I154,Bronzo!$A$1:$AA$1,0)-1)),4)</f>
        <v>0</v>
      </c>
      <c r="T154" s="446">
        <f t="shared" ca="1" si="143"/>
        <v>0</v>
      </c>
      <c r="U154" s="443"/>
      <c r="V154" s="446">
        <v>0</v>
      </c>
      <c r="W154" s="449">
        <f t="shared" ca="1" si="144"/>
        <v>1.6</v>
      </c>
      <c r="X154" s="452">
        <f t="shared" si="131"/>
        <v>192.5</v>
      </c>
      <c r="Y154" s="458">
        <v>1.7</v>
      </c>
      <c r="Z154" s="440">
        <f t="shared" ca="1" si="145"/>
        <v>-1.6</v>
      </c>
      <c r="AA154" s="241">
        <v>46204</v>
      </c>
      <c r="AF154" s="225">
        <f t="shared" ca="1" si="115"/>
        <v>46156</v>
      </c>
      <c r="AG154" s="225" t="b">
        <f t="shared" ref="AG154:AG203" si="146">ISBLANK(AA154)</f>
        <v>0</v>
      </c>
      <c r="AH154" s="242"/>
      <c r="AK154" s="223">
        <f t="shared" si="127"/>
        <v>27</v>
      </c>
      <c r="AL154" s="223">
        <f t="shared" si="128"/>
        <v>2026</v>
      </c>
      <c r="AS154" s="223">
        <f t="shared" si="129"/>
        <v>7</v>
      </c>
      <c r="AT154" s="223">
        <f t="shared" si="130"/>
        <v>2026</v>
      </c>
    </row>
    <row r="155" spans="2:46" ht="15.75" x14ac:dyDescent="0.25">
      <c r="B155" s="229" t="s">
        <v>515</v>
      </c>
      <c r="C155" s="235" t="s">
        <v>330</v>
      </c>
      <c r="D155" s="243">
        <v>2000</v>
      </c>
      <c r="E155" s="232" t="s">
        <v>4</v>
      </c>
      <c r="F155" s="436">
        <v>1.7</v>
      </c>
      <c r="G155" s="234">
        <v>46114</v>
      </c>
      <c r="H155" s="235" t="s">
        <v>314</v>
      </c>
      <c r="I155" s="235"/>
      <c r="J155" s="440">
        <v>7.0000000000000007E-2</v>
      </c>
      <c r="K155" s="443">
        <f ca="1">ROUND(IF(ISERROR(OFFSET(Tabella!$A$1,MATCH(H155,Tabella!$A:$A,0)-1,MATCH(J155,Tabella!$A$1:$AC$1,0)-1)=TRUE),0,+OFFSET(Tabella!$A$1,MATCH(H155,Tabella!$A:$A,0)-1,MATCH(J155,Tabella!$A$1:$AC$1,0)-1)),4)</f>
        <v>1.25</v>
      </c>
      <c r="L155" s="446">
        <f ca="1">ROUND(IF(ISERROR(OFFSET(Ottone!$A$1,MATCH(H155,Ottone!$A:$A,0)-1,MATCH(J155,Ottone!$A$1:$Z$1,0)-1)=TRUE),0,OFFSET(Ottone!$A$1,MATCH(H155,Ottone!$A:$A,0)-1,MATCH(J155,Ottone!$A$1:$Z$1,0)-1))*IF(E155="Ottone",1,0),4)</f>
        <v>0</v>
      </c>
      <c r="M155" s="446">
        <f ca="1">ROUND(IF(ISERROR(OFFSET(Rame!$A$1,MATCH(H155,Rame!$A:$A,0)-1,MATCH(J155,Rame!$A$1:$AA$1,0)-1)=TRUE),0,OFFSET(Rame!$A$1,MATCH(H155,Rame!$A:$A,0)-1,MATCH(J155,Rame!$A$1:$AA$1,0)-1))*IF(E155="Rame",1,0),4)</f>
        <v>0</v>
      </c>
      <c r="N155" s="446">
        <v>0</v>
      </c>
      <c r="O155" s="446">
        <v>1.6</v>
      </c>
      <c r="P155" s="446">
        <f ca="1">ROUND(+IF(ISERROR(OFFSET(Tabella!$G$1,MATCH(H155,Tabella!$G:$G,0)-1,MATCH(I155,Tabella!$G$1:$FG$1,0)-1)=TRUE),0,OFFSET(Tabella!$G$1,MATCH(H155,Tabella!$G:$G,0)-1,MATCH(I155,Tabella!$G$1:$AB$1,0)-1)),4)</f>
        <v>0</v>
      </c>
      <c r="Q155" s="446">
        <f ca="1">ROUND(IF(ISERROR(OFFSET(Ottone!$F$1,MATCH(H155,Ottone!$A:$A,0)-1,MATCH(I155,Ottone!$F$1:$FF$1,0)-1)=TRUE),0,OFFSET(Ottone!$F$1,MATCH(H155,Ottone!$A:$A,0)-1,MATCH(I155,Ottone!$F$1:$FF$1,0)-1))*IF(E155="Ottone",1,0),4)</f>
        <v>0</v>
      </c>
      <c r="R155" s="446">
        <f ca="1">ROUND(IF(ISERROR(OFFSET(Rame!$F$1,MATCH(H155,Rame!$F:$F,0)-1,MATCH(I155,Rame!$F$1:$FF$1,0)-1)=TRUE),0,OFFSET(Rame!$F$1,MATCH(H155,Rame!$F:$F,0)-1,MATCH(I155,Rame!$F$1:$FF$1,0)-1))*IF(E155="Rame",1,0),4)</f>
        <v>0</v>
      </c>
      <c r="S155" s="446">
        <f ca="1">ROUND(IF(ISERROR(OFFSET(Bronzo!$A$1,MATCH(H155,Bronzo!$A:$A,0)-1,MATCH(I155,Bronzo!$A$1:$AA$1,0)-1)=TRUE),0,OFFSET(Bronzo!$A$1,MATCH(H155,Bronzo!$A:$A,0)-1,MATCH(I155,Bronzo!$A$1:$AA$1,0)-1)),4)</f>
        <v>0</v>
      </c>
      <c r="T155" s="446">
        <f t="shared" ca="1" si="143"/>
        <v>0</v>
      </c>
      <c r="U155" s="443"/>
      <c r="V155" s="446">
        <v>0</v>
      </c>
      <c r="W155" s="449">
        <f t="shared" ca="1" si="144"/>
        <v>1.6</v>
      </c>
      <c r="X155" s="452">
        <f t="shared" si="131"/>
        <v>140</v>
      </c>
      <c r="Y155" s="458">
        <v>1.7</v>
      </c>
      <c r="Z155" s="440">
        <f t="shared" ca="1" si="145"/>
        <v>-1.6</v>
      </c>
      <c r="AA155" s="241">
        <v>46204</v>
      </c>
      <c r="AF155" s="225">
        <f t="shared" ca="1" si="115"/>
        <v>46156</v>
      </c>
      <c r="AG155" s="225" t="b">
        <f t="shared" si="146"/>
        <v>0</v>
      </c>
      <c r="AH155" s="242"/>
      <c r="AK155" s="223">
        <f t="shared" ref="AK155:AK204" si="147">WEEKNUM(AA155)</f>
        <v>27</v>
      </c>
      <c r="AL155" s="223">
        <f t="shared" ref="AL155:AL204" si="148">YEAR(AA155)</f>
        <v>2026</v>
      </c>
      <c r="AS155" s="223">
        <f t="shared" ref="AS155:AS204" si="149">IF(AA155="",0,MONTH(AA155))</f>
        <v>7</v>
      </c>
      <c r="AT155" s="223">
        <f t="shared" ref="AT155:AT204" si="150">IF(AA155="",0,YEAR(AA155))</f>
        <v>2026</v>
      </c>
    </row>
    <row r="156" spans="2:46" ht="15.75" x14ac:dyDescent="0.25">
      <c r="B156" s="229" t="s">
        <v>515</v>
      </c>
      <c r="C156" s="235" t="s">
        <v>330</v>
      </c>
      <c r="D156" s="243">
        <v>200</v>
      </c>
      <c r="E156" s="232" t="s">
        <v>4</v>
      </c>
      <c r="F156" s="436">
        <v>1.7</v>
      </c>
      <c r="G156" s="234">
        <v>46114</v>
      </c>
      <c r="H156" s="235" t="s">
        <v>22</v>
      </c>
      <c r="I156" s="235"/>
      <c r="J156" s="440">
        <v>7.0000000000000007E-2</v>
      </c>
      <c r="K156" s="443">
        <f ca="1">ROUND(IF(ISERROR(OFFSET(Tabella!$A$1,MATCH(H156,Tabella!$A:$A,0)-1,MATCH(J156,Tabella!$A$1:$AC$1,0)-1)=TRUE),0,+OFFSET(Tabella!$A$1,MATCH(H156,Tabella!$A:$A,0)-1,MATCH(J156,Tabella!$A$1:$AC$1,0)-1)),4)</f>
        <v>1.25</v>
      </c>
      <c r="L156" s="446">
        <f ca="1">ROUND(IF(ISERROR(OFFSET(Ottone!$A$1,MATCH(H156,Ottone!$A:$A,0)-1,MATCH(J156,Ottone!$A$1:$Z$1,0)-1)=TRUE),0,OFFSET(Ottone!$A$1,MATCH(H156,Ottone!$A:$A,0)-1,MATCH(J156,Ottone!$A$1:$Z$1,0)-1))*IF(E156="Ottone",1,0),4)</f>
        <v>0</v>
      </c>
      <c r="M156" s="446">
        <f ca="1">ROUND(IF(ISERROR(OFFSET(Rame!$A$1,MATCH(H156,Rame!$A:$A,0)-1,MATCH(J156,Rame!$A$1:$AA$1,0)-1)=TRUE),0,OFFSET(Rame!$A$1,MATCH(H156,Rame!$A:$A,0)-1,MATCH(J156,Rame!$A$1:$AA$1,0)-1))*IF(E156="Rame",1,0),4)</f>
        <v>0</v>
      </c>
      <c r="N156" s="446">
        <v>0</v>
      </c>
      <c r="O156" s="446">
        <v>1.6</v>
      </c>
      <c r="P156" s="446">
        <f ca="1">ROUND(+IF(ISERROR(OFFSET(Tabella!$G$1,MATCH(H156,Tabella!$G:$G,0)-1,MATCH(I156,Tabella!$G$1:$FG$1,0)-1)=TRUE),0,OFFSET(Tabella!$G$1,MATCH(H156,Tabella!$G:$G,0)-1,MATCH(I156,Tabella!$G$1:$AB$1,0)-1)),4)</f>
        <v>0</v>
      </c>
      <c r="Q156" s="446">
        <f ca="1">ROUND(IF(ISERROR(OFFSET(Ottone!$F$1,MATCH(H156,Ottone!$A:$A,0)-1,MATCH(I156,Ottone!$F$1:$FF$1,0)-1)=TRUE),0,OFFSET(Ottone!$F$1,MATCH(H156,Ottone!$A:$A,0)-1,MATCH(I156,Ottone!$F$1:$FF$1,0)-1))*IF(E156="Ottone",1,0),4)</f>
        <v>0</v>
      </c>
      <c r="R156" s="446">
        <f ca="1">ROUND(IF(ISERROR(OFFSET(Rame!$F$1,MATCH(H156,Rame!$F:$F,0)-1,MATCH(I156,Rame!$F$1:$FF$1,0)-1)=TRUE),0,OFFSET(Rame!$F$1,MATCH(H156,Rame!$F:$F,0)-1,MATCH(I156,Rame!$F$1:$FF$1,0)-1))*IF(E156="Rame",1,0),4)</f>
        <v>0</v>
      </c>
      <c r="S156" s="446">
        <f ca="1">ROUND(IF(ISERROR(OFFSET(Bronzo!$A$1,MATCH(H156,Bronzo!$A:$A,0)-1,MATCH(I156,Bronzo!$A$1:$AA$1,0)-1)=TRUE),0,OFFSET(Bronzo!$A$1,MATCH(H156,Bronzo!$A:$A,0)-1,MATCH(I156,Bronzo!$A$1:$AA$1,0)-1)),4)</f>
        <v>0</v>
      </c>
      <c r="T156" s="446">
        <f t="shared" ca="1" si="143"/>
        <v>0</v>
      </c>
      <c r="U156" s="443"/>
      <c r="V156" s="446">
        <v>0</v>
      </c>
      <c r="W156" s="449">
        <f t="shared" ca="1" si="144"/>
        <v>1.6</v>
      </c>
      <c r="X156" s="452">
        <f t="shared" si="131"/>
        <v>14</v>
      </c>
      <c r="Y156" s="458">
        <v>1.7</v>
      </c>
      <c r="Z156" s="440">
        <f t="shared" ca="1" si="145"/>
        <v>-1.6</v>
      </c>
      <c r="AA156" s="241">
        <v>46204</v>
      </c>
      <c r="AF156" s="225">
        <f t="shared" ca="1" si="115"/>
        <v>46156</v>
      </c>
      <c r="AG156" s="225" t="b">
        <f t="shared" si="146"/>
        <v>0</v>
      </c>
      <c r="AH156" s="242"/>
      <c r="AK156" s="223">
        <f t="shared" si="147"/>
        <v>27</v>
      </c>
      <c r="AL156" s="223">
        <f t="shared" si="148"/>
        <v>2026</v>
      </c>
      <c r="AS156" s="223">
        <f t="shared" si="149"/>
        <v>7</v>
      </c>
      <c r="AT156" s="223">
        <f t="shared" si="150"/>
        <v>2026</v>
      </c>
    </row>
    <row r="157" spans="2:46" ht="15.75" x14ac:dyDescent="0.25">
      <c r="B157" s="229" t="s">
        <v>504</v>
      </c>
      <c r="C157" s="246" t="s">
        <v>418</v>
      </c>
      <c r="D157" s="247">
        <v>24100</v>
      </c>
      <c r="E157" s="232" t="s">
        <v>4</v>
      </c>
      <c r="F157" s="435">
        <v>2.97</v>
      </c>
      <c r="G157" s="234">
        <v>46115</v>
      </c>
      <c r="H157" s="235" t="s">
        <v>21</v>
      </c>
      <c r="I157" s="235"/>
      <c r="J157" s="440">
        <v>7.0000000000000007E-2</v>
      </c>
      <c r="K157" s="443">
        <f ca="1">ROUND(IF(ISERROR(OFFSET(Tabella!$A$1,MATCH(H157,Tabella!$A:$A,0)-1,MATCH(J157,Tabella!$A$1:$AC$1,0)-1)=TRUE),0,+OFFSET(Tabella!$A$1,MATCH(H157,Tabella!$A:$A,0)-1,MATCH(J157,Tabella!$A$1:$AC$1,0)-1)),4)</f>
        <v>1.25</v>
      </c>
      <c r="L157" s="446">
        <f ca="1">ROUND(IF(ISERROR(OFFSET(Ottone!$A$1,MATCH(H157,Ottone!$A:$A,0)-1,MATCH(J157,Ottone!$A$1:$Z$1,0)-1)=TRUE),0,OFFSET(Ottone!$A$1,MATCH(H157,Ottone!$A:$A,0)-1,MATCH(J157,Ottone!$A$1:$Z$1,0)-1))*IF(E157="Ottone",1,0),4)</f>
        <v>0</v>
      </c>
      <c r="M157" s="446">
        <f ca="1">ROUND(IF(ISERROR(OFFSET(Rame!$A$1,MATCH(H157,Rame!$A:$A,0)-1,MATCH(J157,Rame!$A$1:$AA$1,0)-1)=TRUE),0,OFFSET(Rame!$A$1,MATCH(H157,Rame!$A:$A,0)-1,MATCH(J157,Rame!$A$1:$AA$1,0)-1))*IF(E157="Rame",1,0),4)</f>
        <v>0</v>
      </c>
      <c r="N157" s="446">
        <v>0</v>
      </c>
      <c r="O157" s="446">
        <f ca="1">ROUND(SUM(K157:N157),4)</f>
        <v>1.25</v>
      </c>
      <c r="P157" s="446">
        <f ca="1">ROUND(+IF(ISERROR(OFFSET(Tabella!$G$1,MATCH(H157,Tabella!$G:$G,0)-1,MATCH(I157,Tabella!$G$1:$FG$1,0)-1)=TRUE),0,OFFSET(Tabella!$G$1,MATCH(H157,Tabella!$G:$G,0)-1,MATCH(I157,Tabella!$G$1:$AB$1,0)-1)),4)</f>
        <v>0</v>
      </c>
      <c r="Q157" s="446">
        <f ca="1">ROUND(IF(ISERROR(OFFSET(Ottone!$F$1,MATCH(H157,Ottone!$A:$A,0)-1,MATCH(I157,Ottone!$F$1:$FF$1,0)-1)=TRUE),0,OFFSET(Ottone!$F$1,MATCH(H157,Ottone!$A:$A,0)-1,MATCH(I157,Ottone!$F$1:$FF$1,0)-1))*IF(E157="Ottone",1,0),4)</f>
        <v>0</v>
      </c>
      <c r="R157" s="446">
        <f ca="1">ROUND(IF(ISERROR(OFFSET(Rame!$F$1,MATCH(H157,Rame!$F:$F,0)-1,MATCH(I157,Rame!$F$1:$FF$1,0)-1)=TRUE),0,OFFSET(Rame!$F$1,MATCH(H157,Rame!$F:$F,0)-1,MATCH(I157,Rame!$F$1:$FF$1,0)-1))*IF(E157="Rame",1,0),4)</f>
        <v>0</v>
      </c>
      <c r="S157" s="446">
        <f ca="1">ROUND(IF(ISERROR(OFFSET(Bronzo!$A$1,MATCH(H157,Bronzo!$A:$A,0)-1,MATCH(I157,Bronzo!$A$1:$AA$1,0)-1)=TRUE),0,OFFSET(Bronzo!$A$1,MATCH(H157,Bronzo!$A:$A,0)-1,MATCH(I157,Bronzo!$A$1:$AA$1,0)-1)),4)</f>
        <v>0</v>
      </c>
      <c r="T157" s="446">
        <f t="shared" ca="1" si="143"/>
        <v>0</v>
      </c>
      <c r="U157" s="443"/>
      <c r="V157" s="446">
        <v>0</v>
      </c>
      <c r="W157" s="449">
        <f t="shared" ca="1" si="144"/>
        <v>1.25</v>
      </c>
      <c r="X157" s="455">
        <f t="shared" si="131"/>
        <v>1687</v>
      </c>
      <c r="Y157" s="452">
        <v>4.57</v>
      </c>
      <c r="Z157" s="440">
        <f t="shared" ca="1" si="145"/>
        <v>0.35</v>
      </c>
      <c r="AA157" s="241"/>
      <c r="AF157" s="225">
        <f t="shared" ca="1" si="115"/>
        <v>46156</v>
      </c>
      <c r="AG157" s="225" t="b">
        <f t="shared" si="146"/>
        <v>1</v>
      </c>
      <c r="AH157" s="242"/>
      <c r="AK157" s="223">
        <f t="shared" si="147"/>
        <v>0</v>
      </c>
      <c r="AL157" s="223">
        <f t="shared" si="148"/>
        <v>1900</v>
      </c>
      <c r="AS157" s="223">
        <f t="shared" si="149"/>
        <v>0</v>
      </c>
      <c r="AT157" s="223">
        <f t="shared" si="150"/>
        <v>0</v>
      </c>
    </row>
    <row r="158" spans="2:46" ht="15.75" x14ac:dyDescent="0.25">
      <c r="B158" s="229" t="s">
        <v>514</v>
      </c>
      <c r="C158" s="235" t="s">
        <v>396</v>
      </c>
      <c r="D158" s="243">
        <v>200</v>
      </c>
      <c r="E158" s="232" t="s">
        <v>4</v>
      </c>
      <c r="F158" s="435">
        <v>2.97</v>
      </c>
      <c r="G158" s="234">
        <v>46119</v>
      </c>
      <c r="H158" s="235" t="s">
        <v>29</v>
      </c>
      <c r="I158" s="235"/>
      <c r="J158" s="440">
        <v>0.1</v>
      </c>
      <c r="K158" s="443">
        <f ca="1">ROUND(IF(ISERROR(OFFSET(Tabella!$A$1,MATCH(H158,Tabella!$A:$A,0)-1,MATCH(J158,Tabella!$A$1:$AC$1,0)-1)=TRUE),0,+OFFSET(Tabella!$A$1,MATCH(H158,Tabella!$A:$A,0)-1,MATCH(J158,Tabella!$A$1:$AC$1,0)-1)),4)</f>
        <v>1.5</v>
      </c>
      <c r="L158" s="446">
        <f ca="1">ROUND(IF(ISERROR(OFFSET(Ottone!$A$1,MATCH(H158,Ottone!$A:$A,0)-1,MATCH(J158,Ottone!$A$1:$Z$1,0)-1)=TRUE),0,OFFSET(Ottone!$A$1,MATCH(H158,Ottone!$A:$A,0)-1,MATCH(J158,Ottone!$A$1:$Z$1,0)-1))*IF(E158="Ottone",1,0),4)</f>
        <v>0</v>
      </c>
      <c r="M158" s="446">
        <f ca="1">ROUND(IF(ISERROR(OFFSET(Rame!$A$1,MATCH(H158,Rame!$A:$A,0)-1,MATCH(J158,Rame!$A$1:$AA$1,0)-1)=TRUE),0,OFFSET(Rame!$A$1,MATCH(H158,Rame!$A:$A,0)-1,MATCH(J158,Rame!$A$1:$AA$1,0)-1))*IF(E158="Rame",1,0),4)</f>
        <v>0</v>
      </c>
      <c r="N158" s="446">
        <v>0</v>
      </c>
      <c r="O158" s="446">
        <f ca="1">ROUND(SUM(K158:N158),4)</f>
        <v>1.5</v>
      </c>
      <c r="P158" s="446">
        <f ca="1">ROUND(+IF(ISERROR(OFFSET(Tabella!$G$1,MATCH(H158,Tabella!$G:$G,0)-1,MATCH(I158,Tabella!$G$1:$FG$1,0)-1)=TRUE),0,OFFSET(Tabella!$G$1,MATCH(H158,Tabella!$G:$G,0)-1,MATCH(I158,Tabella!$G$1:$AB$1,0)-1)),4)</f>
        <v>0</v>
      </c>
      <c r="Q158" s="446">
        <f ca="1">ROUND(IF(ISERROR(OFFSET(Ottone!$F$1,MATCH(H158,Ottone!$A:$A,0)-1,MATCH(I158,Ottone!$F$1:$FF$1,0)-1)=TRUE),0,OFFSET(Ottone!$F$1,MATCH(H158,Ottone!$A:$A,0)-1,MATCH(I158,Ottone!$F$1:$FF$1,0)-1))*IF(E158="Ottone",1,0),4)</f>
        <v>0</v>
      </c>
      <c r="R158" s="446">
        <f ca="1">ROUND(IF(ISERROR(OFFSET(Rame!$F$1,MATCH(H158,Rame!$F:$F,0)-1,MATCH(I158,Rame!$F$1:$FF$1,0)-1)=TRUE),0,OFFSET(Rame!$F$1,MATCH(H158,Rame!$F:$F,0)-1,MATCH(I158,Rame!$F$1:$FF$1,0)-1))*IF(E158="Rame",1,0),4)</f>
        <v>0</v>
      </c>
      <c r="S158" s="446">
        <f ca="1">ROUND(IF(ISERROR(OFFSET(Bronzo!$A$1,MATCH(H158,Bronzo!$A:$A,0)-1,MATCH(I158,Bronzo!$A$1:$AA$1,0)-1)=TRUE),0,OFFSET(Bronzo!$A$1,MATCH(H158,Bronzo!$A:$A,0)-1,MATCH(I158,Bronzo!$A$1:$AA$1,0)-1)),4)</f>
        <v>0</v>
      </c>
      <c r="T158" s="446">
        <f t="shared" ca="1" si="143"/>
        <v>0</v>
      </c>
      <c r="U158" s="443"/>
      <c r="V158" s="446">
        <v>0</v>
      </c>
      <c r="W158" s="449">
        <f t="shared" ca="1" si="144"/>
        <v>1.5</v>
      </c>
      <c r="X158" s="452">
        <f t="shared" si="131"/>
        <v>20</v>
      </c>
      <c r="Y158" s="440">
        <v>4.8600000000000003</v>
      </c>
      <c r="Z158" s="440">
        <f t="shared" ca="1" si="145"/>
        <v>0.39</v>
      </c>
      <c r="AA158" s="241">
        <v>46157</v>
      </c>
      <c r="AF158" s="225">
        <f t="shared" ca="1" si="115"/>
        <v>46156</v>
      </c>
      <c r="AG158" s="225" t="b">
        <f t="shared" si="146"/>
        <v>0</v>
      </c>
      <c r="AH158" s="242"/>
      <c r="AK158" s="223">
        <f t="shared" si="147"/>
        <v>20</v>
      </c>
      <c r="AL158" s="223">
        <f t="shared" si="148"/>
        <v>2026</v>
      </c>
      <c r="AS158" s="223">
        <f t="shared" si="149"/>
        <v>5</v>
      </c>
      <c r="AT158" s="223">
        <f t="shared" si="150"/>
        <v>2026</v>
      </c>
    </row>
    <row r="159" spans="2:46" ht="15.75" x14ac:dyDescent="0.25">
      <c r="B159" s="229" t="s">
        <v>514</v>
      </c>
      <c r="C159" s="235" t="s">
        <v>396</v>
      </c>
      <c r="D159" s="243">
        <v>200</v>
      </c>
      <c r="E159" s="232" t="s">
        <v>4</v>
      </c>
      <c r="F159" s="435">
        <v>2.97</v>
      </c>
      <c r="G159" s="234">
        <v>46119</v>
      </c>
      <c r="H159" s="235" t="s">
        <v>307</v>
      </c>
      <c r="I159" s="235"/>
      <c r="J159" s="440">
        <v>0.1</v>
      </c>
      <c r="K159" s="443">
        <f ca="1">ROUND(IF(ISERROR(OFFSET(Tabella!$A$1,MATCH(H159,Tabella!$A:$A,0)-1,MATCH(J159,Tabella!$A$1:$AC$1,0)-1)=TRUE),0,+OFFSET(Tabella!$A$1,MATCH(H159,Tabella!$A:$A,0)-1,MATCH(J159,Tabella!$A$1:$AC$1,0)-1)),4)</f>
        <v>1.4</v>
      </c>
      <c r="L159" s="446">
        <f ca="1">ROUND(IF(ISERROR(OFFSET(Ottone!$A$1,MATCH(H159,Ottone!$A:$A,0)-1,MATCH(J159,Ottone!$A$1:$Z$1,0)-1)=TRUE),0,OFFSET(Ottone!$A$1,MATCH(H159,Ottone!$A:$A,0)-1,MATCH(J159,Ottone!$A$1:$Z$1,0)-1))*IF(E159="Ottone",1,0),4)</f>
        <v>0</v>
      </c>
      <c r="M159" s="446">
        <f ca="1">ROUND(IF(ISERROR(OFFSET(Rame!$A$1,MATCH(H159,Rame!$A:$A,0)-1,MATCH(J159,Rame!$A$1:$AA$1,0)-1)=TRUE),0,OFFSET(Rame!$A$1,MATCH(H159,Rame!$A:$A,0)-1,MATCH(J159,Rame!$A$1:$AA$1,0)-1))*IF(E159="Rame",1,0),4)</f>
        <v>0</v>
      </c>
      <c r="N159" s="446">
        <v>0</v>
      </c>
      <c r="O159" s="446">
        <f ca="1">ROUND(SUM(K159:N159),4)</f>
        <v>1.4</v>
      </c>
      <c r="P159" s="446">
        <f ca="1">ROUND(+IF(ISERROR(OFFSET(Tabella!$G$1,MATCH(H159,Tabella!$G:$G,0)-1,MATCH(I159,Tabella!$G$1:$FG$1,0)-1)=TRUE),0,OFFSET(Tabella!$G$1,MATCH(H159,Tabella!$G:$G,0)-1,MATCH(I159,Tabella!$G$1:$AB$1,0)-1)),4)</f>
        <v>0</v>
      </c>
      <c r="Q159" s="446">
        <f ca="1">ROUND(IF(ISERROR(OFFSET(Ottone!$F$1,MATCH(H159,Ottone!$A:$A,0)-1,MATCH(I159,Ottone!$F$1:$FF$1,0)-1)=TRUE),0,OFFSET(Ottone!$F$1,MATCH(H159,Ottone!$A:$A,0)-1,MATCH(I159,Ottone!$F$1:$FF$1,0)-1))*IF(E159="Ottone",1,0),4)</f>
        <v>0</v>
      </c>
      <c r="R159" s="446">
        <f ca="1">ROUND(IF(ISERROR(OFFSET(Rame!$F$1,MATCH(H159,Rame!$F:$F,0)-1,MATCH(I159,Rame!$F$1:$FF$1,0)-1)=TRUE),0,OFFSET(Rame!$F$1,MATCH(H159,Rame!$F:$F,0)-1,MATCH(I159,Rame!$F$1:$FF$1,0)-1))*IF(E159="Rame",1,0),4)</f>
        <v>0</v>
      </c>
      <c r="S159" s="446">
        <f ca="1">ROUND(IF(ISERROR(OFFSET(Bronzo!$A$1,MATCH(H159,Bronzo!$A:$A,0)-1,MATCH(I159,Bronzo!$A$1:$AA$1,0)-1)=TRUE),0,OFFSET(Bronzo!$A$1,MATCH(H159,Bronzo!$A:$A,0)-1,MATCH(I159,Bronzo!$A$1:$AA$1,0)-1)),4)</f>
        <v>0</v>
      </c>
      <c r="T159" s="446">
        <f t="shared" ca="1" si="143"/>
        <v>0</v>
      </c>
      <c r="U159" s="443"/>
      <c r="V159" s="446">
        <v>0</v>
      </c>
      <c r="W159" s="449">
        <f t="shared" ca="1" si="144"/>
        <v>1.4</v>
      </c>
      <c r="X159" s="452">
        <f t="shared" si="131"/>
        <v>20</v>
      </c>
      <c r="Y159" s="440">
        <v>4.8600000000000003</v>
      </c>
      <c r="Z159" s="440">
        <f t="shared" ca="1" si="145"/>
        <v>0.49</v>
      </c>
      <c r="AA159" s="241">
        <v>46157</v>
      </c>
      <c r="AF159" s="225">
        <f t="shared" ca="1" si="115"/>
        <v>46156</v>
      </c>
      <c r="AG159" s="225" t="b">
        <f t="shared" si="146"/>
        <v>0</v>
      </c>
      <c r="AH159" s="242"/>
      <c r="AK159" s="223">
        <f t="shared" si="147"/>
        <v>20</v>
      </c>
      <c r="AL159" s="223">
        <f t="shared" si="148"/>
        <v>2026</v>
      </c>
      <c r="AS159" s="223">
        <f t="shared" si="149"/>
        <v>5</v>
      </c>
      <c r="AT159" s="223">
        <f t="shared" si="150"/>
        <v>2026</v>
      </c>
    </row>
    <row r="160" spans="2:46" ht="15.75" x14ac:dyDescent="0.25">
      <c r="B160" s="229" t="s">
        <v>496</v>
      </c>
      <c r="C160" s="235" t="s">
        <v>444</v>
      </c>
      <c r="D160" s="243">
        <v>310</v>
      </c>
      <c r="E160" s="232" t="s">
        <v>4</v>
      </c>
      <c r="F160" s="435">
        <v>2.97</v>
      </c>
      <c r="G160" s="234">
        <v>46119</v>
      </c>
      <c r="H160" s="235" t="s">
        <v>19</v>
      </c>
      <c r="I160" s="235"/>
      <c r="J160" s="440">
        <v>7.0000000000000007E-2</v>
      </c>
      <c r="K160" s="443">
        <f ca="1">ROUND(IF(ISERROR(OFFSET(Tabella!$A$1,MATCH(H160,Tabella!$A:$A,0)-1,MATCH(J160,Tabella!$A$1:$AC$1,0)-1)=TRUE),0,+OFFSET(Tabella!$A$1,MATCH(H160,Tabella!$A:$A,0)-1,MATCH(J160,Tabella!$A$1:$AC$1,0)-1)),4)</f>
        <v>1.35</v>
      </c>
      <c r="L160" s="446">
        <f ca="1">ROUND(IF(ISERROR(OFFSET(Ottone!$A$1,MATCH(H160,Ottone!$A:$A,0)-1,MATCH(J160,Ottone!$A$1:$Z$1,0)-1)=TRUE),0,OFFSET(Ottone!$A$1,MATCH(H160,Ottone!$A:$A,0)-1,MATCH(J160,Ottone!$A$1:$Z$1,0)-1))*IF(E160="Ottone",1,0),4)</f>
        <v>0</v>
      </c>
      <c r="M160" s="446">
        <f ca="1">ROUND(IF(ISERROR(OFFSET(Rame!$A$1,MATCH(H160,Rame!$A:$A,0)-1,MATCH(J160,Rame!$A$1:$AA$1,0)-1)=TRUE),0,OFFSET(Rame!$A$1,MATCH(H160,Rame!$A:$A,0)-1,MATCH(J160,Rame!$A$1:$AA$1,0)-1))*IF(E160="Rame",1,0),4)</f>
        <v>0</v>
      </c>
      <c r="N160" s="446">
        <v>0</v>
      </c>
      <c r="O160" s="446">
        <f ca="1">ROUND(SUM(K160:N160),4)</f>
        <v>1.35</v>
      </c>
      <c r="P160" s="446">
        <f ca="1">ROUND(+IF(ISERROR(OFFSET(Tabella!$G$1,MATCH(H160,Tabella!$G:$G,0)-1,MATCH(I160,Tabella!$G$1:$FG$1,0)-1)=TRUE),0,OFFSET(Tabella!$G$1,MATCH(H160,Tabella!$G:$G,0)-1,MATCH(I160,Tabella!$G$1:$AB$1,0)-1)),4)</f>
        <v>0</v>
      </c>
      <c r="Q160" s="446">
        <f ca="1">ROUND(IF(ISERROR(OFFSET(Ottone!$F$1,MATCH(H160,Ottone!$A:$A,0)-1,MATCH(I160,Ottone!$F$1:$FF$1,0)-1)=TRUE),0,OFFSET(Ottone!$F$1,MATCH(H160,Ottone!$A:$A,0)-1,MATCH(I160,Ottone!$F$1:$FF$1,0)-1))*IF(E160="Ottone",1,0),4)</f>
        <v>0</v>
      </c>
      <c r="R160" s="446">
        <f ca="1">ROUND(IF(ISERROR(OFFSET(Rame!$F$1,MATCH(H160,Rame!$F:$F,0)-1,MATCH(I160,Rame!$F$1:$FF$1,0)-1)=TRUE),0,OFFSET(Rame!$F$1,MATCH(H160,Rame!$F:$F,0)-1,MATCH(I160,Rame!$F$1:$FF$1,0)-1))*IF(E160="Rame",1,0),4)</f>
        <v>0</v>
      </c>
      <c r="S160" s="446">
        <f ca="1">ROUND(IF(ISERROR(OFFSET(Bronzo!$A$1,MATCH(H160,Bronzo!$A:$A,0)-1,MATCH(I160,Bronzo!$A$1:$AA$1,0)-1)=TRUE),0,OFFSET(Bronzo!$A$1,MATCH(H160,Bronzo!$A:$A,0)-1,MATCH(I160,Bronzo!$A$1:$AA$1,0)-1)),4)</f>
        <v>0</v>
      </c>
      <c r="T160" s="446">
        <f t="shared" ca="1" si="143"/>
        <v>0</v>
      </c>
      <c r="U160" s="443"/>
      <c r="V160" s="446">
        <v>0</v>
      </c>
      <c r="W160" s="449">
        <f t="shared" ca="1" si="144"/>
        <v>1.35</v>
      </c>
      <c r="X160" s="452">
        <f t="shared" si="131"/>
        <v>21.7</v>
      </c>
      <c r="Y160" s="440">
        <v>4.55</v>
      </c>
      <c r="Z160" s="440">
        <f t="shared" ca="1" si="145"/>
        <v>0.23</v>
      </c>
      <c r="AA160" s="241">
        <v>46148</v>
      </c>
      <c r="AF160" s="225">
        <f t="shared" ca="1" si="115"/>
        <v>46156</v>
      </c>
      <c r="AG160" s="225" t="b">
        <f t="shared" si="146"/>
        <v>0</v>
      </c>
      <c r="AH160" s="242"/>
      <c r="AK160" s="223">
        <f t="shared" si="147"/>
        <v>19</v>
      </c>
      <c r="AL160" s="223">
        <f t="shared" si="148"/>
        <v>2026</v>
      </c>
      <c r="AS160" s="223">
        <f t="shared" si="149"/>
        <v>5</v>
      </c>
      <c r="AT160" s="223">
        <f t="shared" si="150"/>
        <v>2026</v>
      </c>
    </row>
    <row r="161" spans="2:46" ht="15.75" x14ac:dyDescent="0.25">
      <c r="B161" s="229" t="s">
        <v>556</v>
      </c>
      <c r="C161" s="244" t="s">
        <v>263</v>
      </c>
      <c r="D161" s="245">
        <v>646</v>
      </c>
      <c r="E161" s="232" t="s">
        <v>4</v>
      </c>
      <c r="F161" s="435">
        <v>2.88</v>
      </c>
      <c r="G161" s="234">
        <v>46119</v>
      </c>
      <c r="H161" s="235" t="s">
        <v>13</v>
      </c>
      <c r="I161" s="235"/>
      <c r="J161" s="440">
        <v>7.0000000000000007E-2</v>
      </c>
      <c r="K161" s="443">
        <f ca="1">ROUND(IF(ISERROR(OFFSET(Tabella!$A$1,MATCH(H161,Tabella!$A:$A,0)-1,MATCH(J161,Tabella!$A$1:$AC$1,0)-1)=TRUE),0,+OFFSET(Tabella!$A$1,MATCH(H161,Tabella!$A:$A,0)-1,MATCH(J161,Tabella!$A$1:$AC$1,0)-1)),4)</f>
        <v>1.4</v>
      </c>
      <c r="L161" s="446">
        <f ca="1">ROUND(IF(ISERROR(OFFSET(Ottone!$A$1,MATCH(H161,Ottone!$A:$A,0)-1,MATCH(J161,Ottone!$A$1:$Z$1,0)-1)=TRUE),0,OFFSET(Ottone!$A$1,MATCH(H161,Ottone!$A:$A,0)-1,MATCH(J161,Ottone!$A$1:$Z$1,0)-1))*IF(E161="Ottone",1,0),4)</f>
        <v>0</v>
      </c>
      <c r="M161" s="446">
        <f ca="1">ROUND(IF(ISERROR(OFFSET(Rame!$A$1,MATCH(H161,Rame!$A:$A,0)-1,MATCH(J161,Rame!$A$1:$AA$1,0)-1)=TRUE),0,OFFSET(Rame!$A$1,MATCH(H161,Rame!$A:$A,0)-1,MATCH(J161,Rame!$A$1:$AA$1,0)-1))*IF(E161="Rame",1,0),4)</f>
        <v>0</v>
      </c>
      <c r="N161" s="446">
        <v>0</v>
      </c>
      <c r="O161" s="446">
        <v>1.65</v>
      </c>
      <c r="P161" s="446">
        <f ca="1">ROUND(+IF(ISERROR(OFFSET(Tabella!$G$1,MATCH(H161,Tabella!$G:$G,0)-1,MATCH(I161,Tabella!$G$1:$FG$1,0)-1)=TRUE),0,OFFSET(Tabella!$G$1,MATCH(H161,Tabella!$G:$G,0)-1,MATCH(I161,Tabella!$G$1:$AB$1,0)-1)),4)</f>
        <v>0</v>
      </c>
      <c r="Q161" s="446">
        <f ca="1">ROUND(IF(ISERROR(OFFSET(Ottone!$F$1,MATCH(H161,Ottone!$A:$A,0)-1,MATCH(I161,Ottone!$F$1:$FF$1,0)-1)=TRUE),0,OFFSET(Ottone!$F$1,MATCH(H161,Ottone!$A:$A,0)-1,MATCH(I161,Ottone!$F$1:$FF$1,0)-1))*IF(E161="Ottone",1,0),4)</f>
        <v>0</v>
      </c>
      <c r="R161" s="446">
        <f ca="1">ROUND(IF(ISERROR(OFFSET(Rame!$F$1,MATCH(H161,Rame!$F:$F,0)-1,MATCH(I161,Rame!$F$1:$FF$1,0)-1)=TRUE),0,OFFSET(Rame!$F$1,MATCH(H161,Rame!$F:$F,0)-1,MATCH(I161,Rame!$F$1:$FF$1,0)-1))*IF(E161="Rame",1,0),4)</f>
        <v>0</v>
      </c>
      <c r="S161" s="446">
        <f ca="1">ROUND(IF(ISERROR(OFFSET(Bronzo!$A$1,MATCH(H161,Bronzo!$A:$A,0)-1,MATCH(I161,Bronzo!$A$1:$AA$1,0)-1)=TRUE),0,OFFSET(Bronzo!$A$1,MATCH(H161,Bronzo!$A:$A,0)-1,MATCH(I161,Bronzo!$A$1:$AA$1,0)-1)),4)</f>
        <v>0</v>
      </c>
      <c r="T161" s="446">
        <f t="shared" ca="1" si="143"/>
        <v>0</v>
      </c>
      <c r="U161" s="443"/>
      <c r="V161" s="446">
        <v>0</v>
      </c>
      <c r="W161" s="449">
        <f t="shared" ca="1" si="144"/>
        <v>1.65</v>
      </c>
      <c r="X161" s="454">
        <f t="shared" si="131"/>
        <v>45.22</v>
      </c>
      <c r="Y161" s="440">
        <v>4.5999999999999996</v>
      </c>
      <c r="Z161" s="440">
        <f t="shared" ca="1" si="145"/>
        <v>7.0000000000000007E-2</v>
      </c>
      <c r="AA161" s="241"/>
      <c r="AF161" s="225">
        <f t="shared" ca="1" si="115"/>
        <v>46156</v>
      </c>
      <c r="AG161" s="225" t="b">
        <f t="shared" si="146"/>
        <v>1</v>
      </c>
      <c r="AH161" s="242"/>
      <c r="AK161" s="223">
        <f t="shared" si="147"/>
        <v>0</v>
      </c>
      <c r="AL161" s="223">
        <f t="shared" si="148"/>
        <v>1900</v>
      </c>
      <c r="AS161" s="223">
        <f t="shared" si="149"/>
        <v>0</v>
      </c>
      <c r="AT161" s="223">
        <f t="shared" si="150"/>
        <v>0</v>
      </c>
    </row>
    <row r="162" spans="2:46" ht="15.75" x14ac:dyDescent="0.25">
      <c r="B162" s="229" t="s">
        <v>497</v>
      </c>
      <c r="C162" s="235" t="s">
        <v>108</v>
      </c>
      <c r="D162" s="243">
        <v>1300</v>
      </c>
      <c r="E162" s="232" t="s">
        <v>4</v>
      </c>
      <c r="F162" s="435">
        <v>2.6</v>
      </c>
      <c r="G162" s="234">
        <v>46058</v>
      </c>
      <c r="H162" s="235" t="s">
        <v>13</v>
      </c>
      <c r="I162" s="235"/>
      <c r="J162" s="440">
        <v>7.0000000000000007E-2</v>
      </c>
      <c r="K162" s="443">
        <f ca="1">ROUND(IF(ISERROR(OFFSET(Tabella!$A$1,MATCH(H162,Tabella!$A:$A,0)-1,MATCH(J162,Tabella!$A$1:$AC$1,0)-1)=TRUE),0,+OFFSET(Tabella!$A$1,MATCH(H162,Tabella!$A:$A,0)-1,MATCH(J162,Tabella!$A$1:$AC$1,0)-1)),4)</f>
        <v>1.4</v>
      </c>
      <c r="L162" s="446">
        <f ca="1">ROUND(IF(ISERROR(OFFSET(Ottone!$A$1,MATCH(H162,Ottone!$A:$A,0)-1,MATCH(J162,Ottone!$A$1:$Z$1,0)-1)=TRUE),0,OFFSET(Ottone!$A$1,MATCH(H162,Ottone!$A:$A,0)-1,MATCH(J162,Ottone!$A$1:$Z$1,0)-1))*IF(E162="Ottone",1,0),4)</f>
        <v>0</v>
      </c>
      <c r="M162" s="446">
        <f ca="1">ROUND(IF(ISERROR(OFFSET(Rame!$A$1,MATCH(H162,Rame!$A:$A,0)-1,MATCH(J162,Rame!$A$1:$AA$1,0)-1)=TRUE),0,OFFSET(Rame!$A$1,MATCH(H162,Rame!$A:$A,0)-1,MATCH(J162,Rame!$A$1:$AA$1,0)-1))*IF(E162="Rame",1,0),4)</f>
        <v>0</v>
      </c>
      <c r="N162" s="446">
        <v>0</v>
      </c>
      <c r="O162" s="446">
        <f t="shared" ref="O162:O195" ca="1" si="151">ROUND(SUM(K162:N162),4)</f>
        <v>1.4</v>
      </c>
      <c r="P162" s="446">
        <f ca="1">ROUND(+IF(ISERROR(OFFSET(Tabella!$G$1,MATCH(H162,Tabella!$G:$G,0)-1,MATCH(I162,Tabella!$G$1:$FG$1,0)-1)=TRUE),0,OFFSET(Tabella!$G$1,MATCH(H162,Tabella!$G:$G,0)-1,MATCH(I162,Tabella!$G$1:$AB$1,0)-1)),4)</f>
        <v>0</v>
      </c>
      <c r="Q162" s="446">
        <f ca="1">ROUND(IF(ISERROR(OFFSET(Ottone!$F$1,MATCH(H162,Ottone!$A:$A,0)-1,MATCH(I162,Ottone!$F$1:$FF$1,0)-1)=TRUE),0,OFFSET(Ottone!$F$1,MATCH(H162,Ottone!$A:$A,0)-1,MATCH(I162,Ottone!$F$1:$FF$1,0)-1))*IF(E162="Ottone",1,0),4)</f>
        <v>0</v>
      </c>
      <c r="R162" s="446">
        <f ca="1">ROUND(IF(ISERROR(OFFSET(Rame!$F$1,MATCH(H162,Rame!$F:$F,0)-1,MATCH(I162,Rame!$F$1:$FF$1,0)-1)=TRUE),0,OFFSET(Rame!$F$1,MATCH(H162,Rame!$F:$F,0)-1,MATCH(I162,Rame!$F$1:$FF$1,0)-1))*IF(E162="Rame",1,0),4)</f>
        <v>0</v>
      </c>
      <c r="S162" s="446">
        <f ca="1">ROUND(IF(ISERROR(OFFSET(Bronzo!$A$1,MATCH(H162,Bronzo!$A:$A,0)-1,MATCH(I162,Bronzo!$A$1:$AA$1,0)-1)=TRUE),0,OFFSET(Bronzo!$A$1,MATCH(H162,Bronzo!$A:$A,0)-1,MATCH(I162,Bronzo!$A$1:$AA$1,0)-1)),4)</f>
        <v>0</v>
      </c>
      <c r="T162" s="446">
        <f t="shared" ca="1" si="143"/>
        <v>0</v>
      </c>
      <c r="U162" s="443"/>
      <c r="V162" s="446">
        <v>0</v>
      </c>
      <c r="W162" s="449">
        <f t="shared" ca="1" si="144"/>
        <v>1.4</v>
      </c>
      <c r="X162" s="452">
        <f t="shared" si="131"/>
        <v>91</v>
      </c>
      <c r="Y162" s="440">
        <v>4.0999999999999996</v>
      </c>
      <c r="Z162" s="440">
        <f t="shared" ca="1" si="145"/>
        <v>0.1</v>
      </c>
      <c r="AA162" s="241">
        <v>46139</v>
      </c>
      <c r="AF162" s="225">
        <f t="shared" ca="1" si="115"/>
        <v>46156</v>
      </c>
      <c r="AG162" s="225" t="b">
        <f t="shared" si="146"/>
        <v>0</v>
      </c>
      <c r="AH162" s="242"/>
      <c r="AK162" s="223">
        <f t="shared" si="147"/>
        <v>18</v>
      </c>
      <c r="AL162" s="223">
        <f t="shared" si="148"/>
        <v>2026</v>
      </c>
      <c r="AS162" s="223">
        <f t="shared" si="149"/>
        <v>4</v>
      </c>
      <c r="AT162" s="223">
        <f t="shared" si="150"/>
        <v>2026</v>
      </c>
    </row>
    <row r="163" spans="2:46" ht="15.75" x14ac:dyDescent="0.25">
      <c r="B163" s="229" t="s">
        <v>522</v>
      </c>
      <c r="C163" s="235" t="s">
        <v>113</v>
      </c>
      <c r="D163" s="243">
        <v>500</v>
      </c>
      <c r="E163" s="232" t="s">
        <v>5</v>
      </c>
      <c r="F163" s="435">
        <v>9.6999999999999993</v>
      </c>
      <c r="G163" s="234">
        <v>46120</v>
      </c>
      <c r="H163" s="235" t="s">
        <v>18</v>
      </c>
      <c r="I163" s="235"/>
      <c r="J163" s="440">
        <v>0.15</v>
      </c>
      <c r="K163" s="443">
        <f ca="1">ROUND(IF(ISERROR(OFFSET(Tabella!$A$1,MATCH(H163,Tabella!$A:$A,0)-1,MATCH(J163,Tabella!$A$1:$AC$1,0)-1)=TRUE),0,+OFFSET(Tabella!$A$1,MATCH(H163,Tabella!$A:$A,0)-1,MATCH(J163,Tabella!$A$1:$AC$1,0)-1)),4)</f>
        <v>0</v>
      </c>
      <c r="L163" s="446">
        <f ca="1">ROUND(IF(ISERROR(OFFSET(Ottone!$A$1,MATCH(H163,Ottone!$A:$A,0)-1,MATCH(J163,Ottone!$A$1:$Z$1,0)-1)=TRUE),0,OFFSET(Ottone!$A$1,MATCH(H163,Ottone!$A:$A,0)-1,MATCH(J163,Ottone!$A$1:$Z$1,0)-1))*IF(E163="Ottone",1,0),4)</f>
        <v>0.7</v>
      </c>
      <c r="M163" s="446">
        <f ca="1">ROUND(IF(ISERROR(OFFSET(Rame!$A$1,MATCH(H163,Rame!$A:$A,0)-1,MATCH(J163,Rame!$A$1:$AA$1,0)-1)=TRUE),0,OFFSET(Rame!$A$1,MATCH(H163,Rame!$A:$A,0)-1,MATCH(J163,Rame!$A$1:$AA$1,0)-1))*IF(E163="Rame",1,0),4)</f>
        <v>0</v>
      </c>
      <c r="N163" s="446">
        <v>0</v>
      </c>
      <c r="O163" s="446">
        <f t="shared" ca="1" si="151"/>
        <v>0.7</v>
      </c>
      <c r="P163" s="446">
        <f ca="1">ROUND(+IF(ISERROR(OFFSET(Tabella!$G$1,MATCH(H163,Tabella!$G:$G,0)-1,MATCH(I163,Tabella!$G$1:$FG$1,0)-1)=TRUE),0,OFFSET(Tabella!$G$1,MATCH(H163,Tabella!$G:$G,0)-1,MATCH(I163,Tabella!$G$1:$AB$1,0)-1)),4)</f>
        <v>0</v>
      </c>
      <c r="Q163" s="446">
        <f ca="1">ROUND(IF(ISERROR(OFFSET(Ottone!$F$1,MATCH(H163,Ottone!$A:$A,0)-1,MATCH(I163,Ottone!$F$1:$FF$1,0)-1)=TRUE),0,OFFSET(Ottone!$F$1,MATCH(H163,Ottone!$A:$A,0)-1,MATCH(I163,Ottone!$F$1:$FF$1,0)-1))*IF(E163="Ottone",1,0),4)</f>
        <v>0</v>
      </c>
      <c r="R163" s="446">
        <f ca="1">ROUND(IF(ISERROR(OFFSET(Rame!$F$1,MATCH(H163,Rame!$F:$F,0)-1,MATCH(I163,Rame!$F$1:$FF$1,0)-1)=TRUE),0,OFFSET(Rame!$F$1,MATCH(H163,Rame!$F:$F,0)-1,MATCH(I163,Rame!$F$1:$FF$1,0)-1))*IF(E163="Rame",1,0),4)</f>
        <v>0</v>
      </c>
      <c r="S163" s="446">
        <f ca="1">ROUND(IF(ISERROR(OFFSET(Bronzo!$A$1,MATCH(H163,Bronzo!$A:$A,0)-1,MATCH(I163,Bronzo!$A$1:$AA$1,0)-1)=TRUE),0,OFFSET(Bronzo!$A$1,MATCH(H163,Bronzo!$A:$A,0)-1,MATCH(I163,Bronzo!$A$1:$AA$1,0)-1)),4)</f>
        <v>0</v>
      </c>
      <c r="T163" s="446">
        <f t="shared" ca="1" si="143"/>
        <v>0</v>
      </c>
      <c r="U163" s="443"/>
      <c r="V163" s="446">
        <v>0</v>
      </c>
      <c r="W163" s="449">
        <f t="shared" ca="1" si="144"/>
        <v>0.7</v>
      </c>
      <c r="X163" s="452">
        <f t="shared" si="131"/>
        <v>75</v>
      </c>
      <c r="Y163" s="440">
        <v>11.65</v>
      </c>
      <c r="Z163" s="440">
        <f t="shared" ca="1" si="145"/>
        <v>1.25</v>
      </c>
      <c r="AA163" s="241">
        <v>46196</v>
      </c>
      <c r="AF163" s="225">
        <f t="shared" ca="1" si="115"/>
        <v>46156</v>
      </c>
      <c r="AG163" s="225" t="b">
        <f t="shared" si="146"/>
        <v>0</v>
      </c>
      <c r="AH163" s="242"/>
      <c r="AK163" s="223">
        <f t="shared" si="147"/>
        <v>26</v>
      </c>
      <c r="AL163" s="223">
        <f t="shared" si="148"/>
        <v>2026</v>
      </c>
      <c r="AS163" s="223">
        <f t="shared" si="149"/>
        <v>6</v>
      </c>
      <c r="AT163" s="223">
        <f t="shared" si="150"/>
        <v>2026</v>
      </c>
    </row>
    <row r="164" spans="2:46" ht="15.75" x14ac:dyDescent="0.25">
      <c r="B164" s="229" t="s">
        <v>522</v>
      </c>
      <c r="C164" s="235" t="s">
        <v>113</v>
      </c>
      <c r="D164" s="243">
        <v>1000</v>
      </c>
      <c r="E164" s="232" t="s">
        <v>5</v>
      </c>
      <c r="F164" s="435">
        <v>9.6999999999999993</v>
      </c>
      <c r="G164" s="234">
        <v>46120</v>
      </c>
      <c r="H164" s="235" t="s">
        <v>18</v>
      </c>
      <c r="I164" s="235"/>
      <c r="J164" s="440">
        <v>0.15</v>
      </c>
      <c r="K164" s="443">
        <f ca="1">ROUND(IF(ISERROR(OFFSET(Tabella!$A$1,MATCH(H164,Tabella!$A:$A,0)-1,MATCH(J164,Tabella!$A$1:$AC$1,0)-1)=TRUE),0,+OFFSET(Tabella!$A$1,MATCH(H164,Tabella!$A:$A,0)-1,MATCH(J164,Tabella!$A$1:$AC$1,0)-1)),4)</f>
        <v>0</v>
      </c>
      <c r="L164" s="446">
        <f ca="1">ROUND(IF(ISERROR(OFFSET(Ottone!$A$1,MATCH(H164,Ottone!$A:$A,0)-1,MATCH(J164,Ottone!$A$1:$Z$1,0)-1)=TRUE),0,OFFSET(Ottone!$A$1,MATCH(H164,Ottone!$A:$A,0)-1,MATCH(J164,Ottone!$A$1:$Z$1,0)-1))*IF(E164="Ottone",1,0),4)</f>
        <v>0.7</v>
      </c>
      <c r="M164" s="446">
        <f ca="1">ROUND(IF(ISERROR(OFFSET(Rame!$A$1,MATCH(H164,Rame!$A:$A,0)-1,MATCH(J164,Rame!$A$1:$AA$1,0)-1)=TRUE),0,OFFSET(Rame!$A$1,MATCH(H164,Rame!$A:$A,0)-1,MATCH(J164,Rame!$A$1:$AA$1,0)-1))*IF(E164="Rame",1,0),4)</f>
        <v>0</v>
      </c>
      <c r="N164" s="446">
        <v>0</v>
      </c>
      <c r="O164" s="446">
        <f t="shared" ca="1" si="151"/>
        <v>0.7</v>
      </c>
      <c r="P164" s="446">
        <f ca="1">ROUND(+IF(ISERROR(OFFSET(Tabella!$G$1,MATCH(H164,Tabella!$G:$G,0)-1,MATCH(I164,Tabella!$G$1:$FG$1,0)-1)=TRUE),0,OFFSET(Tabella!$G$1,MATCH(H164,Tabella!$G:$G,0)-1,MATCH(I164,Tabella!$G$1:$AB$1,0)-1)),4)</f>
        <v>0</v>
      </c>
      <c r="Q164" s="446">
        <f ca="1">ROUND(IF(ISERROR(OFFSET(Ottone!$F$1,MATCH(H164,Ottone!$A:$A,0)-1,MATCH(I164,Ottone!$F$1:$FF$1,0)-1)=TRUE),0,OFFSET(Ottone!$F$1,MATCH(H164,Ottone!$A:$A,0)-1,MATCH(I164,Ottone!$F$1:$FF$1,0)-1))*IF(E164="Ottone",1,0),4)</f>
        <v>0</v>
      </c>
      <c r="R164" s="446">
        <f ca="1">ROUND(IF(ISERROR(OFFSET(Rame!$F$1,MATCH(H164,Rame!$F:$F,0)-1,MATCH(I164,Rame!$F$1:$FF$1,0)-1)=TRUE),0,OFFSET(Rame!$F$1,MATCH(H164,Rame!$F:$F,0)-1,MATCH(I164,Rame!$F$1:$FF$1,0)-1))*IF(E164="Rame",1,0),4)</f>
        <v>0</v>
      </c>
      <c r="S164" s="446">
        <f ca="1">ROUND(IF(ISERROR(OFFSET(Bronzo!$A$1,MATCH(H164,Bronzo!$A:$A,0)-1,MATCH(I164,Bronzo!$A$1:$AA$1,0)-1)=TRUE),0,OFFSET(Bronzo!$A$1,MATCH(H164,Bronzo!$A:$A,0)-1,MATCH(I164,Bronzo!$A$1:$AA$1,0)-1)),4)</f>
        <v>0</v>
      </c>
      <c r="T164" s="446">
        <f t="shared" ca="1" si="143"/>
        <v>0</v>
      </c>
      <c r="U164" s="443"/>
      <c r="V164" s="446">
        <v>0</v>
      </c>
      <c r="W164" s="449">
        <f t="shared" ca="1" si="144"/>
        <v>0.7</v>
      </c>
      <c r="X164" s="452">
        <f t="shared" si="131"/>
        <v>150</v>
      </c>
      <c r="Y164" s="440">
        <v>11.65</v>
      </c>
      <c r="Z164" s="440">
        <f t="shared" ca="1" si="145"/>
        <v>1.25</v>
      </c>
      <c r="AA164" s="241">
        <v>46196</v>
      </c>
      <c r="AF164" s="225">
        <f t="shared" ca="1" si="115"/>
        <v>46156</v>
      </c>
      <c r="AG164" s="225" t="b">
        <f t="shared" si="146"/>
        <v>0</v>
      </c>
      <c r="AH164" s="242"/>
      <c r="AK164" s="223">
        <f t="shared" si="147"/>
        <v>26</v>
      </c>
      <c r="AL164" s="223">
        <f t="shared" si="148"/>
        <v>2026</v>
      </c>
      <c r="AS164" s="223">
        <f t="shared" si="149"/>
        <v>6</v>
      </c>
      <c r="AT164" s="223">
        <f t="shared" si="150"/>
        <v>2026</v>
      </c>
    </row>
    <row r="165" spans="2:46" ht="15.75" x14ac:dyDescent="0.25">
      <c r="B165" s="229" t="s">
        <v>522</v>
      </c>
      <c r="C165" s="235" t="s">
        <v>113</v>
      </c>
      <c r="D165" s="243">
        <v>1000</v>
      </c>
      <c r="E165" s="232" t="s">
        <v>5</v>
      </c>
      <c r="F165" s="435">
        <v>9.6999999999999993</v>
      </c>
      <c r="G165" s="234">
        <v>46120</v>
      </c>
      <c r="H165" s="235" t="s">
        <v>18</v>
      </c>
      <c r="I165" s="235"/>
      <c r="J165" s="440">
        <v>0.15</v>
      </c>
      <c r="K165" s="443">
        <f ca="1">ROUND(IF(ISERROR(OFFSET(Tabella!$A$1,MATCH(H165,Tabella!$A:$A,0)-1,MATCH(J165,Tabella!$A$1:$AC$1,0)-1)=TRUE),0,+OFFSET(Tabella!$A$1,MATCH(H165,Tabella!$A:$A,0)-1,MATCH(J165,Tabella!$A$1:$AC$1,0)-1)),4)</f>
        <v>0</v>
      </c>
      <c r="L165" s="446">
        <f ca="1">ROUND(IF(ISERROR(OFFSET(Ottone!$A$1,MATCH(H165,Ottone!$A:$A,0)-1,MATCH(J165,Ottone!$A$1:$Z$1,0)-1)=TRUE),0,OFFSET(Ottone!$A$1,MATCH(H165,Ottone!$A:$A,0)-1,MATCH(J165,Ottone!$A$1:$Z$1,0)-1))*IF(E165="Ottone",1,0),4)</f>
        <v>0.7</v>
      </c>
      <c r="M165" s="446">
        <f ca="1">ROUND(IF(ISERROR(OFFSET(Rame!$A$1,MATCH(H165,Rame!$A:$A,0)-1,MATCH(J165,Rame!$A$1:$AA$1,0)-1)=TRUE),0,OFFSET(Rame!$A$1,MATCH(H165,Rame!$A:$A,0)-1,MATCH(J165,Rame!$A$1:$AA$1,0)-1))*IF(E165="Rame",1,0),4)</f>
        <v>0</v>
      </c>
      <c r="N165" s="446">
        <v>0</v>
      </c>
      <c r="O165" s="446">
        <f t="shared" ca="1" si="151"/>
        <v>0.7</v>
      </c>
      <c r="P165" s="446">
        <f ca="1">ROUND(+IF(ISERROR(OFFSET(Tabella!$G$1,MATCH(H165,Tabella!$G:$G,0)-1,MATCH(I165,Tabella!$G$1:$FG$1,0)-1)=TRUE),0,OFFSET(Tabella!$G$1,MATCH(H165,Tabella!$G:$G,0)-1,MATCH(I165,Tabella!$G$1:$AB$1,0)-1)),4)</f>
        <v>0</v>
      </c>
      <c r="Q165" s="446">
        <f ca="1">ROUND(IF(ISERROR(OFFSET(Ottone!$F$1,MATCH(H165,Ottone!$A:$A,0)-1,MATCH(I165,Ottone!$F$1:$FF$1,0)-1)=TRUE),0,OFFSET(Ottone!$F$1,MATCH(H165,Ottone!$A:$A,0)-1,MATCH(I165,Ottone!$F$1:$FF$1,0)-1))*IF(E165="Ottone",1,0),4)</f>
        <v>0</v>
      </c>
      <c r="R165" s="446">
        <f ca="1">ROUND(IF(ISERROR(OFFSET(Rame!$F$1,MATCH(H165,Rame!$F:$F,0)-1,MATCH(I165,Rame!$F$1:$FF$1,0)-1)=TRUE),0,OFFSET(Rame!$F$1,MATCH(H165,Rame!$F:$F,0)-1,MATCH(I165,Rame!$F$1:$FF$1,0)-1))*IF(E165="Rame",1,0),4)</f>
        <v>0</v>
      </c>
      <c r="S165" s="446">
        <f ca="1">ROUND(IF(ISERROR(OFFSET(Bronzo!$A$1,MATCH(H165,Bronzo!$A:$A,0)-1,MATCH(I165,Bronzo!$A$1:$AA$1,0)-1)=TRUE),0,OFFSET(Bronzo!$A$1,MATCH(H165,Bronzo!$A:$A,0)-1,MATCH(I165,Bronzo!$A$1:$AA$1,0)-1)),4)</f>
        <v>0</v>
      </c>
      <c r="T165" s="446">
        <f t="shared" ca="1" si="143"/>
        <v>0</v>
      </c>
      <c r="U165" s="443"/>
      <c r="V165" s="446">
        <v>0</v>
      </c>
      <c r="W165" s="449">
        <f t="shared" ca="1" si="144"/>
        <v>0.7</v>
      </c>
      <c r="X165" s="452">
        <f t="shared" si="131"/>
        <v>150</v>
      </c>
      <c r="Y165" s="440">
        <v>11.65</v>
      </c>
      <c r="Z165" s="440">
        <f t="shared" ca="1" si="145"/>
        <v>1.25</v>
      </c>
      <c r="AA165" s="241">
        <v>46196</v>
      </c>
      <c r="AF165" s="225">
        <f t="shared" ca="1" si="115"/>
        <v>46156</v>
      </c>
      <c r="AG165" s="225" t="b">
        <f t="shared" si="146"/>
        <v>0</v>
      </c>
      <c r="AH165" s="242"/>
      <c r="AK165" s="223">
        <f t="shared" si="147"/>
        <v>26</v>
      </c>
      <c r="AL165" s="223">
        <f t="shared" si="148"/>
        <v>2026</v>
      </c>
      <c r="AS165" s="223">
        <f t="shared" si="149"/>
        <v>6</v>
      </c>
      <c r="AT165" s="223">
        <f t="shared" si="150"/>
        <v>2026</v>
      </c>
    </row>
    <row r="166" spans="2:46" ht="15.75" x14ac:dyDescent="0.25">
      <c r="B166" s="229" t="s">
        <v>525</v>
      </c>
      <c r="C166" s="235" t="s">
        <v>102</v>
      </c>
      <c r="D166" s="243">
        <v>1700</v>
      </c>
      <c r="E166" s="232" t="s">
        <v>4</v>
      </c>
      <c r="F166" s="435">
        <v>2.65</v>
      </c>
      <c r="G166" s="234">
        <v>46050</v>
      </c>
      <c r="H166" s="235" t="s">
        <v>27</v>
      </c>
      <c r="I166" s="235"/>
      <c r="J166" s="440">
        <v>7.0000000000000007E-2</v>
      </c>
      <c r="K166" s="443">
        <v>1.6</v>
      </c>
      <c r="L166" s="446">
        <f ca="1">ROUND(IF(ISERROR(OFFSET(Ottone!$A$1,MATCH(H166,Ottone!$A:$A,0)-1,MATCH(J166,Ottone!$A$1:$Z$1,0)-1)=TRUE),0,OFFSET(Ottone!$A$1,MATCH(H166,Ottone!$A:$A,0)-1,MATCH(J166,Ottone!$A$1:$Z$1,0)-1))*IF(E166="Ottone",1,0),4)</f>
        <v>0</v>
      </c>
      <c r="M166" s="446">
        <f ca="1">ROUND(IF(ISERROR(OFFSET(Rame!$A$1,MATCH(H166,Rame!$A:$A,0)-1,MATCH(J166,Rame!$A$1:$AA$1,0)-1)=TRUE),0,OFFSET(Rame!$A$1,MATCH(H166,Rame!$A:$A,0)-1,MATCH(J166,Rame!$A$1:$AA$1,0)-1))*IF(E166="Rame",1,0),4)</f>
        <v>0</v>
      </c>
      <c r="N166" s="446">
        <v>0</v>
      </c>
      <c r="O166" s="446">
        <f t="shared" ca="1" si="151"/>
        <v>1.6</v>
      </c>
      <c r="P166" s="446">
        <f ca="1">ROUND(+IF(ISERROR(OFFSET(Tabella!$G$1,MATCH(H166,Tabella!$G:$G,0)-1,MATCH(I166,Tabella!$G$1:$FG$1,0)-1)=TRUE),0,OFFSET(Tabella!$G$1,MATCH(H166,Tabella!$G:$G,0)-1,MATCH(I166,Tabella!$G$1:$AB$1,0)-1)),4)</f>
        <v>0</v>
      </c>
      <c r="Q166" s="446">
        <f ca="1">ROUND(IF(ISERROR(OFFSET(Ottone!$F$1,MATCH(H166,Ottone!$A:$A,0)-1,MATCH(I166,Ottone!$F$1:$FF$1,0)-1)=TRUE),0,OFFSET(Ottone!$F$1,MATCH(H166,Ottone!$A:$A,0)-1,MATCH(I166,Ottone!$F$1:$FF$1,0)-1))*IF(E166="Ottone",1,0),4)</f>
        <v>0</v>
      </c>
      <c r="R166" s="446">
        <f ca="1">ROUND(IF(ISERROR(OFFSET(Rame!$F$1,MATCH(H166,Rame!$F:$F,0)-1,MATCH(I166,Rame!$F$1:$FF$1,0)-1)=TRUE),0,OFFSET(Rame!$F$1,MATCH(H166,Rame!$F:$F,0)-1,MATCH(I166,Rame!$F$1:$FF$1,0)-1))*IF(E166="Rame",1,0),4)</f>
        <v>0</v>
      </c>
      <c r="S166" s="446">
        <f ca="1">ROUND(IF(ISERROR(OFFSET(Bronzo!$A$1,MATCH(H166,Bronzo!$A:$A,0)-1,MATCH(I166,Bronzo!$A$1:$AA$1,0)-1)=TRUE),0,OFFSET(Bronzo!$A$1,MATCH(H166,Bronzo!$A:$A,0)-1,MATCH(I166,Bronzo!$A$1:$AA$1,0)-1)),4)</f>
        <v>0</v>
      </c>
      <c r="T166" s="446">
        <f t="shared" ca="1" si="143"/>
        <v>0</v>
      </c>
      <c r="U166" s="443"/>
      <c r="V166" s="446">
        <v>0</v>
      </c>
      <c r="W166" s="449">
        <f t="shared" ca="1" si="144"/>
        <v>1.6</v>
      </c>
      <c r="X166" s="452">
        <f t="shared" si="131"/>
        <v>119</v>
      </c>
      <c r="Y166" s="440">
        <v>4.1500000000000004</v>
      </c>
      <c r="Z166" s="440">
        <f t="shared" ca="1" si="145"/>
        <v>-0.1</v>
      </c>
      <c r="AA166" s="241">
        <v>46206</v>
      </c>
      <c r="AF166" s="225">
        <f t="shared" ca="1" si="115"/>
        <v>46156</v>
      </c>
      <c r="AG166" s="225" t="b">
        <f t="shared" si="146"/>
        <v>0</v>
      </c>
      <c r="AH166" s="242"/>
      <c r="AK166" s="223">
        <f t="shared" si="147"/>
        <v>27</v>
      </c>
      <c r="AL166" s="223">
        <f t="shared" si="148"/>
        <v>2026</v>
      </c>
      <c r="AS166" s="223">
        <f t="shared" si="149"/>
        <v>7</v>
      </c>
      <c r="AT166" s="223">
        <f t="shared" si="150"/>
        <v>2026</v>
      </c>
    </row>
    <row r="167" spans="2:46" ht="15.75" x14ac:dyDescent="0.25">
      <c r="B167" s="229" t="s">
        <v>526</v>
      </c>
      <c r="C167" s="235" t="s">
        <v>263</v>
      </c>
      <c r="D167" s="243">
        <v>1500</v>
      </c>
      <c r="E167" s="232" t="s">
        <v>4</v>
      </c>
      <c r="F167" s="435">
        <v>2.88</v>
      </c>
      <c r="G167" s="234">
        <v>46120</v>
      </c>
      <c r="H167" s="235" t="s">
        <v>19</v>
      </c>
      <c r="I167" s="235"/>
      <c r="J167" s="440">
        <v>7.0000000000000007E-2</v>
      </c>
      <c r="K167" s="443">
        <v>1.68</v>
      </c>
      <c r="L167" s="446">
        <f ca="1">ROUND(IF(ISERROR(OFFSET(Ottone!$A$1,MATCH(H167,Ottone!$A:$A,0)-1,MATCH(J167,Ottone!$A$1:$Z$1,0)-1)=TRUE),0,OFFSET(Ottone!$A$1,MATCH(H167,Ottone!$A:$A,0)-1,MATCH(J167,Ottone!$A$1:$Z$1,0)-1))*IF(E167="Ottone",1,0),4)</f>
        <v>0</v>
      </c>
      <c r="M167" s="446">
        <f ca="1">ROUND(IF(ISERROR(OFFSET(Rame!$A$1,MATCH(H167,Rame!$A:$A,0)-1,MATCH(J167,Rame!$A$1:$AA$1,0)-1)=TRUE),0,OFFSET(Rame!$A$1,MATCH(H167,Rame!$A:$A,0)-1,MATCH(J167,Rame!$A$1:$AA$1,0)-1))*IF(E167="Rame",1,0),4)</f>
        <v>0</v>
      </c>
      <c r="N167" s="446">
        <v>0</v>
      </c>
      <c r="O167" s="446">
        <f t="shared" ca="1" si="151"/>
        <v>1.68</v>
      </c>
      <c r="P167" s="446">
        <f ca="1">ROUND(+IF(ISERROR(OFFSET(Tabella!$G$1,MATCH(H167,Tabella!$G:$G,0)-1,MATCH(I167,Tabella!$G$1:$FG$1,0)-1)=TRUE),0,OFFSET(Tabella!$G$1,MATCH(H167,Tabella!$G:$G,0)-1,MATCH(I167,Tabella!$G$1:$AB$1,0)-1)),4)</f>
        <v>0</v>
      </c>
      <c r="Q167" s="446">
        <f ca="1">ROUND(IF(ISERROR(OFFSET(Ottone!$F$1,MATCH(H167,Ottone!$A:$A,0)-1,MATCH(I167,Ottone!$F$1:$FF$1,0)-1)=TRUE),0,OFFSET(Ottone!$F$1,MATCH(H167,Ottone!$A:$A,0)-1,MATCH(I167,Ottone!$F$1:$FF$1,0)-1))*IF(E167="Ottone",1,0),4)</f>
        <v>0</v>
      </c>
      <c r="R167" s="446">
        <f ca="1">ROUND(IF(ISERROR(OFFSET(Rame!$F$1,MATCH(H167,Rame!$F:$F,0)-1,MATCH(I167,Rame!$F$1:$FF$1,0)-1)=TRUE),0,OFFSET(Rame!$F$1,MATCH(H167,Rame!$F:$F,0)-1,MATCH(I167,Rame!$F$1:$FF$1,0)-1))*IF(E167="Rame",1,0),4)</f>
        <v>0</v>
      </c>
      <c r="S167" s="446">
        <f ca="1">ROUND(IF(ISERROR(OFFSET(Bronzo!$A$1,MATCH(H167,Bronzo!$A:$A,0)-1,MATCH(I167,Bronzo!$A$1:$AA$1,0)-1)=TRUE),0,OFFSET(Bronzo!$A$1,MATCH(H167,Bronzo!$A:$A,0)-1,MATCH(I167,Bronzo!$A$1:$AA$1,0)-1)),4)</f>
        <v>0</v>
      </c>
      <c r="T167" s="446">
        <f t="shared" ca="1" si="143"/>
        <v>0</v>
      </c>
      <c r="U167" s="443"/>
      <c r="V167" s="446">
        <v>0</v>
      </c>
      <c r="W167" s="449">
        <f t="shared" ca="1" si="144"/>
        <v>1.68</v>
      </c>
      <c r="X167" s="452">
        <f t="shared" si="131"/>
        <v>105</v>
      </c>
      <c r="Y167" s="440">
        <v>4.5599999999999996</v>
      </c>
      <c r="Z167" s="440">
        <f t="shared" ca="1" si="145"/>
        <v>0</v>
      </c>
      <c r="AA167" s="241">
        <v>46154</v>
      </c>
      <c r="AF167" s="225">
        <f t="shared" ca="1" si="115"/>
        <v>46156</v>
      </c>
      <c r="AG167" s="225" t="b">
        <f t="shared" si="146"/>
        <v>0</v>
      </c>
      <c r="AH167" s="242"/>
      <c r="AK167" s="223">
        <f t="shared" si="147"/>
        <v>20</v>
      </c>
      <c r="AL167" s="223">
        <f t="shared" si="148"/>
        <v>2026</v>
      </c>
      <c r="AS167" s="223">
        <f t="shared" si="149"/>
        <v>5</v>
      </c>
      <c r="AT167" s="223">
        <f t="shared" si="150"/>
        <v>2026</v>
      </c>
    </row>
    <row r="168" spans="2:46" ht="15.75" x14ac:dyDescent="0.25">
      <c r="B168" s="229" t="s">
        <v>558</v>
      </c>
      <c r="C168" s="244" t="s">
        <v>263</v>
      </c>
      <c r="D168" s="245">
        <v>671</v>
      </c>
      <c r="E168" s="232" t="s">
        <v>4</v>
      </c>
      <c r="F168" s="435">
        <v>2.88</v>
      </c>
      <c r="G168" s="234">
        <v>46120</v>
      </c>
      <c r="H168" s="235" t="s">
        <v>25</v>
      </c>
      <c r="I168" s="235"/>
      <c r="J168" s="440">
        <v>7.0000000000000007E-2</v>
      </c>
      <c r="K168" s="443">
        <v>1.68</v>
      </c>
      <c r="L168" s="446">
        <f ca="1">ROUND(IF(ISERROR(OFFSET(Ottone!$A$1,MATCH(H168,Ottone!$A:$A,0)-1,MATCH(J168,Ottone!$A$1:$Z$1,0)-1)=TRUE),0,OFFSET(Ottone!$A$1,MATCH(H168,Ottone!$A:$A,0)-1,MATCH(J168,Ottone!$A$1:$Z$1,0)-1))*IF(E168="Ottone",1,0),4)</f>
        <v>0</v>
      </c>
      <c r="M168" s="446">
        <f ca="1">ROUND(IF(ISERROR(OFFSET(Rame!$A$1,MATCH(H168,Rame!$A:$A,0)-1,MATCH(J168,Rame!$A$1:$AA$1,0)-1)=TRUE),0,OFFSET(Rame!$A$1,MATCH(H168,Rame!$A:$A,0)-1,MATCH(J168,Rame!$A$1:$AA$1,0)-1))*IF(E168="Rame",1,0),4)</f>
        <v>0</v>
      </c>
      <c r="N168" s="446">
        <v>0</v>
      </c>
      <c r="O168" s="446">
        <f t="shared" ca="1" si="151"/>
        <v>1.68</v>
      </c>
      <c r="P168" s="446">
        <f ca="1">ROUND(+IF(ISERROR(OFFSET(Tabella!$G$1,MATCH(H168,Tabella!$G:$G,0)-1,MATCH(I168,Tabella!$G$1:$FG$1,0)-1)=TRUE),0,OFFSET(Tabella!$G$1,MATCH(H168,Tabella!$G:$G,0)-1,MATCH(I168,Tabella!$G$1:$AB$1,0)-1)),4)</f>
        <v>0</v>
      </c>
      <c r="Q168" s="446">
        <f ca="1">ROUND(IF(ISERROR(OFFSET(Ottone!$F$1,MATCH(H168,Ottone!$A:$A,0)-1,MATCH(I168,Ottone!$F$1:$FF$1,0)-1)=TRUE),0,OFFSET(Ottone!$F$1,MATCH(H168,Ottone!$A:$A,0)-1,MATCH(I168,Ottone!$F$1:$FF$1,0)-1))*IF(E168="Ottone",1,0),4)</f>
        <v>0</v>
      </c>
      <c r="R168" s="446">
        <f ca="1">ROUND(IF(ISERROR(OFFSET(Rame!$F$1,MATCH(H168,Rame!$F:$F,0)-1,MATCH(I168,Rame!$F$1:$FF$1,0)-1)=TRUE),0,OFFSET(Rame!$F$1,MATCH(H168,Rame!$F:$F,0)-1,MATCH(I168,Rame!$F$1:$FF$1,0)-1))*IF(E168="Rame",1,0),4)</f>
        <v>0</v>
      </c>
      <c r="S168" s="446">
        <f ca="1">ROUND(IF(ISERROR(OFFSET(Bronzo!$A$1,MATCH(H168,Bronzo!$A:$A,0)-1,MATCH(I168,Bronzo!$A$1:$AA$1,0)-1)=TRUE),0,OFFSET(Bronzo!$A$1,MATCH(H168,Bronzo!$A:$A,0)-1,MATCH(I168,Bronzo!$A$1:$AA$1,0)-1)),4)</f>
        <v>0</v>
      </c>
      <c r="T168" s="446">
        <f t="shared" ca="1" si="143"/>
        <v>0</v>
      </c>
      <c r="U168" s="443"/>
      <c r="V168" s="446">
        <v>0</v>
      </c>
      <c r="W168" s="449">
        <f t="shared" ca="1" si="144"/>
        <v>1.68</v>
      </c>
      <c r="X168" s="454">
        <f t="shared" si="131"/>
        <v>46.97</v>
      </c>
      <c r="Y168" s="440">
        <v>4.5599999999999996</v>
      </c>
      <c r="Z168" s="440">
        <f t="shared" ca="1" si="145"/>
        <v>0</v>
      </c>
      <c r="AA168" s="241"/>
      <c r="AF168" s="225">
        <f t="shared" ca="1" si="115"/>
        <v>46156</v>
      </c>
      <c r="AG168" s="225" t="b">
        <f t="shared" si="146"/>
        <v>1</v>
      </c>
      <c r="AH168" s="242"/>
      <c r="AK168" s="223">
        <f t="shared" si="147"/>
        <v>0</v>
      </c>
      <c r="AL168" s="223">
        <f t="shared" si="148"/>
        <v>1900</v>
      </c>
      <c r="AS168" s="223">
        <f t="shared" si="149"/>
        <v>0</v>
      </c>
      <c r="AT168" s="223">
        <f t="shared" si="150"/>
        <v>0</v>
      </c>
    </row>
    <row r="169" spans="2:46" ht="15.75" x14ac:dyDescent="0.25">
      <c r="B169" s="229" t="s">
        <v>558</v>
      </c>
      <c r="C169" s="244" t="s">
        <v>263</v>
      </c>
      <c r="D169" s="245">
        <v>1017</v>
      </c>
      <c r="E169" s="232" t="s">
        <v>4</v>
      </c>
      <c r="F169" s="435">
        <v>2.88</v>
      </c>
      <c r="G169" s="234">
        <v>46120</v>
      </c>
      <c r="H169" s="235" t="s">
        <v>9</v>
      </c>
      <c r="I169" s="235"/>
      <c r="J169" s="440">
        <v>7.0000000000000007E-2</v>
      </c>
      <c r="K169" s="443">
        <v>1.98</v>
      </c>
      <c r="L169" s="446">
        <f ca="1">ROUND(IF(ISERROR(OFFSET(Ottone!$A$1,MATCH(H169,Ottone!$A:$A,0)-1,MATCH(J169,Ottone!$A$1:$Z$1,0)-1)=TRUE),0,OFFSET(Ottone!$A$1,MATCH(H169,Ottone!$A:$A,0)-1,MATCH(J169,Ottone!$A$1:$Z$1,0)-1))*IF(E169="Ottone",1,0),4)</f>
        <v>0</v>
      </c>
      <c r="M169" s="446">
        <f ca="1">ROUND(IF(ISERROR(OFFSET(Rame!$A$1,MATCH(H169,Rame!$A:$A,0)-1,MATCH(J169,Rame!$A$1:$AA$1,0)-1)=TRUE),0,OFFSET(Rame!$A$1,MATCH(H169,Rame!$A:$A,0)-1,MATCH(J169,Rame!$A$1:$AA$1,0)-1))*IF(E169="Rame",1,0),4)</f>
        <v>0</v>
      </c>
      <c r="N169" s="446">
        <v>0</v>
      </c>
      <c r="O169" s="446">
        <f t="shared" ca="1" si="151"/>
        <v>1.98</v>
      </c>
      <c r="P169" s="446">
        <f ca="1">ROUND(+IF(ISERROR(OFFSET(Tabella!$G$1,MATCH(H169,Tabella!$G:$G,0)-1,MATCH(I169,Tabella!$G$1:$FG$1,0)-1)=TRUE),0,OFFSET(Tabella!$G$1,MATCH(H169,Tabella!$G:$G,0)-1,MATCH(I169,Tabella!$G$1:$AB$1,0)-1)),4)</f>
        <v>0</v>
      </c>
      <c r="Q169" s="446">
        <f ca="1">ROUND(IF(ISERROR(OFFSET(Ottone!$F$1,MATCH(H169,Ottone!$A:$A,0)-1,MATCH(I169,Ottone!$F$1:$FF$1,0)-1)=TRUE),0,OFFSET(Ottone!$F$1,MATCH(H169,Ottone!$A:$A,0)-1,MATCH(I169,Ottone!$F$1:$FF$1,0)-1))*IF(E169="Ottone",1,0),4)</f>
        <v>0</v>
      </c>
      <c r="R169" s="446">
        <f ca="1">ROUND(IF(ISERROR(OFFSET(Rame!$F$1,MATCH(H169,Rame!$F:$F,0)-1,MATCH(I169,Rame!$F$1:$FF$1,0)-1)=TRUE),0,OFFSET(Rame!$F$1,MATCH(H169,Rame!$F:$F,0)-1,MATCH(I169,Rame!$F$1:$FF$1,0)-1))*IF(E169="Rame",1,0),4)</f>
        <v>0</v>
      </c>
      <c r="S169" s="446">
        <f ca="1">ROUND(IF(ISERROR(OFFSET(Bronzo!$A$1,MATCH(H169,Bronzo!$A:$A,0)-1,MATCH(I169,Bronzo!$A$1:$AA$1,0)-1)=TRUE),0,OFFSET(Bronzo!$A$1,MATCH(H169,Bronzo!$A:$A,0)-1,MATCH(I169,Bronzo!$A$1:$AA$1,0)-1)),4)</f>
        <v>0</v>
      </c>
      <c r="T169" s="446">
        <f t="shared" ca="1" si="143"/>
        <v>0</v>
      </c>
      <c r="U169" s="443"/>
      <c r="V169" s="446">
        <v>0</v>
      </c>
      <c r="W169" s="449">
        <f t="shared" ca="1" si="144"/>
        <v>1.98</v>
      </c>
      <c r="X169" s="454">
        <f t="shared" si="131"/>
        <v>71.19</v>
      </c>
      <c r="Y169" s="440">
        <v>4.8600000000000003</v>
      </c>
      <c r="Z169" s="440">
        <f t="shared" ca="1" si="145"/>
        <v>0</v>
      </c>
      <c r="AA169" s="241"/>
      <c r="AF169" s="225">
        <f t="shared" ca="1" si="115"/>
        <v>46156</v>
      </c>
      <c r="AG169" s="225" t="b">
        <f t="shared" si="146"/>
        <v>1</v>
      </c>
      <c r="AH169" s="242"/>
      <c r="AK169" s="223">
        <f t="shared" si="147"/>
        <v>0</v>
      </c>
      <c r="AL169" s="223">
        <f t="shared" si="148"/>
        <v>1900</v>
      </c>
      <c r="AS169" s="223">
        <f t="shared" si="149"/>
        <v>0</v>
      </c>
      <c r="AT169" s="223">
        <f t="shared" si="150"/>
        <v>0</v>
      </c>
    </row>
    <row r="170" spans="2:46" ht="15.75" x14ac:dyDescent="0.25">
      <c r="B170" s="229" t="s">
        <v>526</v>
      </c>
      <c r="C170" s="235" t="s">
        <v>263</v>
      </c>
      <c r="D170" s="243">
        <v>1500</v>
      </c>
      <c r="E170" s="232" t="s">
        <v>4</v>
      </c>
      <c r="F170" s="435">
        <v>2.88</v>
      </c>
      <c r="G170" s="234">
        <v>46120</v>
      </c>
      <c r="H170" s="235" t="s">
        <v>309</v>
      </c>
      <c r="I170" s="235"/>
      <c r="J170" s="440">
        <v>7.0000000000000007E-2</v>
      </c>
      <c r="K170" s="443">
        <v>1.68</v>
      </c>
      <c r="L170" s="446">
        <f ca="1">ROUND(IF(ISERROR(OFFSET(Ottone!$A$1,MATCH(H170,Ottone!$A:$A,0)-1,MATCH(J170,Ottone!$A$1:$Z$1,0)-1)=TRUE),0,OFFSET(Ottone!$A$1,MATCH(H170,Ottone!$A:$A,0)-1,MATCH(J170,Ottone!$A$1:$Z$1,0)-1))*IF(E170="Ottone",1,0),4)</f>
        <v>0</v>
      </c>
      <c r="M170" s="446">
        <f ca="1">ROUND(IF(ISERROR(OFFSET(Rame!$A$1,MATCH(H170,Rame!$A:$A,0)-1,MATCH(J170,Rame!$A$1:$AA$1,0)-1)=TRUE),0,OFFSET(Rame!$A$1,MATCH(H170,Rame!$A:$A,0)-1,MATCH(J170,Rame!$A$1:$AA$1,0)-1))*IF(E170="Rame",1,0),4)</f>
        <v>0</v>
      </c>
      <c r="N170" s="446">
        <v>0</v>
      </c>
      <c r="O170" s="446">
        <f t="shared" ca="1" si="151"/>
        <v>1.68</v>
      </c>
      <c r="P170" s="446">
        <f ca="1">ROUND(+IF(ISERROR(OFFSET(Tabella!$G$1,MATCH(H170,Tabella!$G:$G,0)-1,MATCH(I170,Tabella!$G$1:$FG$1,0)-1)=TRUE),0,OFFSET(Tabella!$G$1,MATCH(H170,Tabella!$G:$G,0)-1,MATCH(I170,Tabella!$G$1:$AB$1,0)-1)),4)</f>
        <v>0</v>
      </c>
      <c r="Q170" s="446">
        <f ca="1">ROUND(IF(ISERROR(OFFSET(Ottone!$F$1,MATCH(H170,Ottone!$A:$A,0)-1,MATCH(I170,Ottone!$F$1:$FF$1,0)-1)=TRUE),0,OFFSET(Ottone!$F$1,MATCH(H170,Ottone!$A:$A,0)-1,MATCH(I170,Ottone!$F$1:$FF$1,0)-1))*IF(E170="Ottone",1,0),4)</f>
        <v>0</v>
      </c>
      <c r="R170" s="446">
        <f ca="1">ROUND(IF(ISERROR(OFFSET(Rame!$F$1,MATCH(H170,Rame!$F:$F,0)-1,MATCH(I170,Rame!$F$1:$FF$1,0)-1)=TRUE),0,OFFSET(Rame!$F$1,MATCH(H170,Rame!$F:$F,0)-1,MATCH(I170,Rame!$F$1:$FF$1,0)-1))*IF(E170="Rame",1,0),4)</f>
        <v>0</v>
      </c>
      <c r="S170" s="446">
        <f ca="1">ROUND(IF(ISERROR(OFFSET(Bronzo!$A$1,MATCH(H170,Bronzo!$A:$A,0)-1,MATCH(I170,Bronzo!$A$1:$AA$1,0)-1)=TRUE),0,OFFSET(Bronzo!$A$1,MATCH(H170,Bronzo!$A:$A,0)-1,MATCH(I170,Bronzo!$A$1:$AA$1,0)-1)),4)</f>
        <v>0</v>
      </c>
      <c r="T170" s="446">
        <f t="shared" ca="1" si="143"/>
        <v>0</v>
      </c>
      <c r="U170" s="443"/>
      <c r="V170" s="446">
        <v>0</v>
      </c>
      <c r="W170" s="449">
        <f t="shared" ca="1" si="144"/>
        <v>1.68</v>
      </c>
      <c r="X170" s="452">
        <f t="shared" si="131"/>
        <v>105</v>
      </c>
      <c r="Y170" s="440">
        <v>4.5599999999999996</v>
      </c>
      <c r="Z170" s="440">
        <f t="shared" ca="1" si="145"/>
        <v>0</v>
      </c>
      <c r="AA170" s="241">
        <v>46154</v>
      </c>
      <c r="AF170" s="225">
        <f t="shared" ca="1" si="115"/>
        <v>46156</v>
      </c>
      <c r="AG170" s="225" t="b">
        <f t="shared" si="146"/>
        <v>0</v>
      </c>
      <c r="AH170" s="242"/>
      <c r="AK170" s="223">
        <f t="shared" si="147"/>
        <v>20</v>
      </c>
      <c r="AL170" s="223">
        <f t="shared" si="148"/>
        <v>2026</v>
      </c>
      <c r="AS170" s="223">
        <f t="shared" si="149"/>
        <v>5</v>
      </c>
      <c r="AT170" s="223">
        <f t="shared" si="150"/>
        <v>2026</v>
      </c>
    </row>
    <row r="171" spans="2:46" ht="15.75" x14ac:dyDescent="0.25">
      <c r="B171" s="229" t="s">
        <v>526</v>
      </c>
      <c r="C171" s="235" t="s">
        <v>263</v>
      </c>
      <c r="D171" s="243">
        <v>1800</v>
      </c>
      <c r="E171" s="232" t="s">
        <v>4</v>
      </c>
      <c r="F171" s="435">
        <v>2.88</v>
      </c>
      <c r="G171" s="234">
        <v>46120</v>
      </c>
      <c r="H171" s="235" t="s">
        <v>322</v>
      </c>
      <c r="I171" s="235"/>
      <c r="J171" s="440">
        <v>7.0000000000000007E-2</v>
      </c>
      <c r="K171" s="443">
        <v>1.68</v>
      </c>
      <c r="L171" s="446">
        <f ca="1">ROUND(IF(ISERROR(OFFSET(Ottone!$A$1,MATCH(H171,Ottone!$A:$A,0)-1,MATCH(J171,Ottone!$A$1:$Z$1,0)-1)=TRUE),0,OFFSET(Ottone!$A$1,MATCH(H171,Ottone!$A:$A,0)-1,MATCH(J171,Ottone!$A$1:$Z$1,0)-1))*IF(E171="Ottone",1,0),4)</f>
        <v>0</v>
      </c>
      <c r="M171" s="446">
        <f ca="1">ROUND(IF(ISERROR(OFFSET(Rame!$A$1,MATCH(H171,Rame!$A:$A,0)-1,MATCH(J171,Rame!$A$1:$AA$1,0)-1)=TRUE),0,OFFSET(Rame!$A$1,MATCH(H171,Rame!$A:$A,0)-1,MATCH(J171,Rame!$A$1:$AA$1,0)-1))*IF(E171="Rame",1,0),4)</f>
        <v>0</v>
      </c>
      <c r="N171" s="446">
        <v>0</v>
      </c>
      <c r="O171" s="446">
        <f t="shared" ca="1" si="151"/>
        <v>1.68</v>
      </c>
      <c r="P171" s="446">
        <f ca="1">ROUND(+IF(ISERROR(OFFSET(Tabella!$G$1,MATCH(H171,Tabella!$G:$G,0)-1,MATCH(I171,Tabella!$G$1:$FG$1,0)-1)=TRUE),0,OFFSET(Tabella!$G$1,MATCH(H171,Tabella!$G:$G,0)-1,MATCH(I171,Tabella!$G$1:$AB$1,0)-1)),4)</f>
        <v>0</v>
      </c>
      <c r="Q171" s="446">
        <f ca="1">ROUND(IF(ISERROR(OFFSET(Ottone!$F$1,MATCH(H171,Ottone!$A:$A,0)-1,MATCH(I171,Ottone!$F$1:$FF$1,0)-1)=TRUE),0,OFFSET(Ottone!$F$1,MATCH(H171,Ottone!$A:$A,0)-1,MATCH(I171,Ottone!$F$1:$FF$1,0)-1))*IF(E171="Ottone",1,0),4)</f>
        <v>0</v>
      </c>
      <c r="R171" s="446">
        <f ca="1">ROUND(IF(ISERROR(OFFSET(Rame!$F$1,MATCH(H171,Rame!$F:$F,0)-1,MATCH(I171,Rame!$F$1:$FF$1,0)-1)=TRUE),0,OFFSET(Rame!$F$1,MATCH(H171,Rame!$F:$F,0)-1,MATCH(I171,Rame!$F$1:$FF$1,0)-1))*IF(E171="Rame",1,0),4)</f>
        <v>0</v>
      </c>
      <c r="S171" s="446">
        <f ca="1">ROUND(IF(ISERROR(OFFSET(Bronzo!$A$1,MATCH(H171,Bronzo!$A:$A,0)-1,MATCH(I171,Bronzo!$A$1:$AA$1,0)-1)=TRUE),0,OFFSET(Bronzo!$A$1,MATCH(H171,Bronzo!$A:$A,0)-1,MATCH(I171,Bronzo!$A$1:$AA$1,0)-1)),4)</f>
        <v>0</v>
      </c>
      <c r="T171" s="446">
        <f t="shared" ca="1" si="143"/>
        <v>0</v>
      </c>
      <c r="U171" s="443"/>
      <c r="V171" s="446">
        <v>0</v>
      </c>
      <c r="W171" s="449">
        <f t="shared" ca="1" si="144"/>
        <v>1.68</v>
      </c>
      <c r="X171" s="452">
        <f t="shared" si="131"/>
        <v>126</v>
      </c>
      <c r="Y171" s="440">
        <v>4.5599999999999996</v>
      </c>
      <c r="Z171" s="440">
        <f t="shared" ca="1" si="145"/>
        <v>0</v>
      </c>
      <c r="AA171" s="241">
        <v>46154</v>
      </c>
      <c r="AF171" s="225">
        <f t="shared" ca="1" si="115"/>
        <v>46156</v>
      </c>
      <c r="AG171" s="225" t="b">
        <f t="shared" si="146"/>
        <v>0</v>
      </c>
      <c r="AH171" s="242"/>
      <c r="AK171" s="223">
        <f t="shared" si="147"/>
        <v>20</v>
      </c>
      <c r="AL171" s="223">
        <f t="shared" si="148"/>
        <v>2026</v>
      </c>
      <c r="AS171" s="223">
        <f t="shared" si="149"/>
        <v>5</v>
      </c>
      <c r="AT171" s="223">
        <f t="shared" si="150"/>
        <v>2026</v>
      </c>
    </row>
    <row r="172" spans="2:46" ht="15.75" x14ac:dyDescent="0.25">
      <c r="B172" s="229" t="s">
        <v>526</v>
      </c>
      <c r="C172" s="235" t="s">
        <v>263</v>
      </c>
      <c r="D172" s="243">
        <v>1500</v>
      </c>
      <c r="E172" s="232" t="s">
        <v>4</v>
      </c>
      <c r="F172" s="435">
        <v>2.88</v>
      </c>
      <c r="G172" s="234">
        <v>46120</v>
      </c>
      <c r="H172" s="235" t="s">
        <v>314</v>
      </c>
      <c r="I172" s="235"/>
      <c r="J172" s="440">
        <v>7.0000000000000007E-2</v>
      </c>
      <c r="K172" s="443">
        <v>1.68</v>
      </c>
      <c r="L172" s="446">
        <f ca="1">ROUND(IF(ISERROR(OFFSET(Ottone!$A$1,MATCH(H172,Ottone!$A:$A,0)-1,MATCH(J172,Ottone!$A$1:$Z$1,0)-1)=TRUE),0,OFFSET(Ottone!$A$1,MATCH(H172,Ottone!$A:$A,0)-1,MATCH(J172,Ottone!$A$1:$Z$1,0)-1))*IF(E172="Ottone",1,0),4)</f>
        <v>0</v>
      </c>
      <c r="M172" s="446">
        <f ca="1">ROUND(IF(ISERROR(OFFSET(Rame!$A$1,MATCH(H172,Rame!$A:$A,0)-1,MATCH(J172,Rame!$A$1:$AA$1,0)-1)=TRUE),0,OFFSET(Rame!$A$1,MATCH(H172,Rame!$A:$A,0)-1,MATCH(J172,Rame!$A$1:$AA$1,0)-1))*IF(E172="Rame",1,0),4)</f>
        <v>0</v>
      </c>
      <c r="N172" s="446">
        <v>0</v>
      </c>
      <c r="O172" s="446">
        <f t="shared" ca="1" si="151"/>
        <v>1.68</v>
      </c>
      <c r="P172" s="446">
        <f ca="1">ROUND(+IF(ISERROR(OFFSET(Tabella!$G$1,MATCH(H172,Tabella!$G:$G,0)-1,MATCH(I172,Tabella!$G$1:$FG$1,0)-1)=TRUE),0,OFFSET(Tabella!$G$1,MATCH(H172,Tabella!$G:$G,0)-1,MATCH(I172,Tabella!$G$1:$AB$1,0)-1)),4)</f>
        <v>0</v>
      </c>
      <c r="Q172" s="446">
        <f ca="1">ROUND(IF(ISERROR(OFFSET(Ottone!$F$1,MATCH(H172,Ottone!$A:$A,0)-1,MATCH(I172,Ottone!$F$1:$FF$1,0)-1)=TRUE),0,OFFSET(Ottone!$F$1,MATCH(H172,Ottone!$A:$A,0)-1,MATCH(I172,Ottone!$F$1:$FF$1,0)-1))*IF(E172="Ottone",1,0),4)</f>
        <v>0</v>
      </c>
      <c r="R172" s="446">
        <f ca="1">ROUND(IF(ISERROR(OFFSET(Rame!$F$1,MATCH(H172,Rame!$F:$F,0)-1,MATCH(I172,Rame!$F$1:$FF$1,0)-1)=TRUE),0,OFFSET(Rame!$F$1,MATCH(H172,Rame!$F:$F,0)-1,MATCH(I172,Rame!$F$1:$FF$1,0)-1))*IF(E172="Rame",1,0),4)</f>
        <v>0</v>
      </c>
      <c r="S172" s="446">
        <f ca="1">ROUND(IF(ISERROR(OFFSET(Bronzo!$A$1,MATCH(H172,Bronzo!$A:$A,0)-1,MATCH(I172,Bronzo!$A$1:$AA$1,0)-1)=TRUE),0,OFFSET(Bronzo!$A$1,MATCH(H172,Bronzo!$A:$A,0)-1,MATCH(I172,Bronzo!$A$1:$AA$1,0)-1)),4)</f>
        <v>0</v>
      </c>
      <c r="T172" s="446">
        <f t="shared" ca="1" si="143"/>
        <v>0</v>
      </c>
      <c r="U172" s="443"/>
      <c r="V172" s="446">
        <v>0</v>
      </c>
      <c r="W172" s="449">
        <f t="shared" ca="1" si="144"/>
        <v>1.68</v>
      </c>
      <c r="X172" s="452">
        <f t="shared" si="131"/>
        <v>105</v>
      </c>
      <c r="Y172" s="440">
        <v>4.5599999999999996</v>
      </c>
      <c r="Z172" s="440">
        <f t="shared" ca="1" si="145"/>
        <v>0</v>
      </c>
      <c r="AA172" s="241">
        <v>46154</v>
      </c>
      <c r="AF172" s="225">
        <f t="shared" ca="1" si="115"/>
        <v>46156</v>
      </c>
      <c r="AG172" s="225" t="b">
        <f t="shared" si="146"/>
        <v>0</v>
      </c>
      <c r="AH172" s="242"/>
      <c r="AK172" s="223">
        <f t="shared" si="147"/>
        <v>20</v>
      </c>
      <c r="AL172" s="223">
        <f t="shared" si="148"/>
        <v>2026</v>
      </c>
      <c r="AS172" s="223">
        <f t="shared" si="149"/>
        <v>5</v>
      </c>
      <c r="AT172" s="223">
        <f t="shared" si="150"/>
        <v>2026</v>
      </c>
    </row>
    <row r="173" spans="2:46" ht="15.75" x14ac:dyDescent="0.25">
      <c r="B173" s="229" t="s">
        <v>526</v>
      </c>
      <c r="C173" s="235" t="s">
        <v>263</v>
      </c>
      <c r="D173" s="243">
        <v>1000</v>
      </c>
      <c r="E173" s="232" t="s">
        <v>4</v>
      </c>
      <c r="F173" s="435">
        <v>2.88</v>
      </c>
      <c r="G173" s="234">
        <v>46120</v>
      </c>
      <c r="H173" s="235" t="s">
        <v>243</v>
      </c>
      <c r="I173" s="235"/>
      <c r="J173" s="440">
        <v>7.0000000000000007E-2</v>
      </c>
      <c r="K173" s="443">
        <v>1.78</v>
      </c>
      <c r="L173" s="446">
        <f ca="1">ROUND(IF(ISERROR(OFFSET(Ottone!$A$1,MATCH(H173,Ottone!$A:$A,0)-1,MATCH(J173,Ottone!$A$1:$Z$1,0)-1)=TRUE),0,OFFSET(Ottone!$A$1,MATCH(H173,Ottone!$A:$A,0)-1,MATCH(J173,Ottone!$A$1:$Z$1,0)-1))*IF(E173="Ottone",1,0),4)</f>
        <v>0</v>
      </c>
      <c r="M173" s="446">
        <f ca="1">ROUND(IF(ISERROR(OFFSET(Rame!$A$1,MATCH(H173,Rame!$A:$A,0)-1,MATCH(J173,Rame!$A$1:$AA$1,0)-1)=TRUE),0,OFFSET(Rame!$A$1,MATCH(H173,Rame!$A:$A,0)-1,MATCH(J173,Rame!$A$1:$AA$1,0)-1))*IF(E173="Rame",1,0),4)</f>
        <v>0</v>
      </c>
      <c r="N173" s="446">
        <v>0</v>
      </c>
      <c r="O173" s="446">
        <f t="shared" ca="1" si="151"/>
        <v>1.78</v>
      </c>
      <c r="P173" s="446">
        <f ca="1">ROUND(+IF(ISERROR(OFFSET(Tabella!$G$1,MATCH(H173,Tabella!$G:$G,0)-1,MATCH(I173,Tabella!$G$1:$FG$1,0)-1)=TRUE),0,OFFSET(Tabella!$G$1,MATCH(H173,Tabella!$G:$G,0)-1,MATCH(I173,Tabella!$G$1:$AB$1,0)-1)),4)</f>
        <v>0</v>
      </c>
      <c r="Q173" s="446">
        <f ca="1">ROUND(IF(ISERROR(OFFSET(Ottone!$F$1,MATCH(H173,Ottone!$A:$A,0)-1,MATCH(I173,Ottone!$F$1:$FF$1,0)-1)=TRUE),0,OFFSET(Ottone!$F$1,MATCH(H173,Ottone!$A:$A,0)-1,MATCH(I173,Ottone!$F$1:$FF$1,0)-1))*IF(E173="Ottone",1,0),4)</f>
        <v>0</v>
      </c>
      <c r="R173" s="446">
        <f ca="1">ROUND(IF(ISERROR(OFFSET(Rame!$F$1,MATCH(H173,Rame!$F:$F,0)-1,MATCH(I173,Rame!$F$1:$FF$1,0)-1)=TRUE),0,OFFSET(Rame!$F$1,MATCH(H173,Rame!$F:$F,0)-1,MATCH(I173,Rame!$F$1:$FF$1,0)-1))*IF(E173="Rame",1,0),4)</f>
        <v>0</v>
      </c>
      <c r="S173" s="446">
        <f ca="1">ROUND(IF(ISERROR(OFFSET(Bronzo!$A$1,MATCH(H173,Bronzo!$A:$A,0)-1,MATCH(I173,Bronzo!$A$1:$AA$1,0)-1)=TRUE),0,OFFSET(Bronzo!$A$1,MATCH(H173,Bronzo!$A:$A,0)-1,MATCH(I173,Bronzo!$A$1:$AA$1,0)-1)),4)</f>
        <v>0</v>
      </c>
      <c r="T173" s="446">
        <f t="shared" ca="1" si="143"/>
        <v>0</v>
      </c>
      <c r="U173" s="443"/>
      <c r="V173" s="446">
        <v>0</v>
      </c>
      <c r="W173" s="449">
        <f t="shared" ca="1" si="144"/>
        <v>1.78</v>
      </c>
      <c r="X173" s="452">
        <f t="shared" si="131"/>
        <v>70</v>
      </c>
      <c r="Y173" s="440">
        <v>4.66</v>
      </c>
      <c r="Z173" s="440">
        <f t="shared" ca="1" si="145"/>
        <v>0</v>
      </c>
      <c r="AA173" s="241">
        <v>46154</v>
      </c>
      <c r="AF173" s="225">
        <f t="shared" ca="1" si="115"/>
        <v>46156</v>
      </c>
      <c r="AG173" s="225" t="b">
        <f t="shared" si="146"/>
        <v>0</v>
      </c>
      <c r="AH173" s="242"/>
      <c r="AK173" s="223">
        <f t="shared" si="147"/>
        <v>20</v>
      </c>
      <c r="AL173" s="223">
        <f t="shared" si="148"/>
        <v>2026</v>
      </c>
      <c r="AS173" s="223">
        <f t="shared" si="149"/>
        <v>5</v>
      </c>
      <c r="AT173" s="223">
        <f t="shared" si="150"/>
        <v>2026</v>
      </c>
    </row>
    <row r="174" spans="2:46" ht="15.75" x14ac:dyDescent="0.25">
      <c r="B174" s="229" t="s">
        <v>527</v>
      </c>
      <c r="C174" s="235" t="s">
        <v>263</v>
      </c>
      <c r="D174" s="243">
        <v>1500</v>
      </c>
      <c r="E174" s="232" t="s">
        <v>4</v>
      </c>
      <c r="F174" s="435">
        <v>2.88</v>
      </c>
      <c r="G174" s="234">
        <v>46122</v>
      </c>
      <c r="H174" s="235" t="s">
        <v>322</v>
      </c>
      <c r="I174" s="235"/>
      <c r="J174" s="440">
        <v>7.0000000000000007E-2</v>
      </c>
      <c r="K174" s="443">
        <v>1.68</v>
      </c>
      <c r="L174" s="446">
        <f ca="1">ROUND(IF(ISERROR(OFFSET(Ottone!$A$1,MATCH(H174,Ottone!$A:$A,0)-1,MATCH(J174,Ottone!$A$1:$Z$1,0)-1)=TRUE),0,OFFSET(Ottone!$A$1,MATCH(H174,Ottone!$A:$A,0)-1,MATCH(J174,Ottone!$A$1:$Z$1,0)-1))*IF(E174="Ottone",1,0),4)</f>
        <v>0</v>
      </c>
      <c r="M174" s="446">
        <f ca="1">ROUND(IF(ISERROR(OFFSET(Rame!$A$1,MATCH(H174,Rame!$A:$A,0)-1,MATCH(J174,Rame!$A$1:$AA$1,0)-1)=TRUE),0,OFFSET(Rame!$A$1,MATCH(H174,Rame!$A:$A,0)-1,MATCH(J174,Rame!$A$1:$AA$1,0)-1))*IF(E174="Rame",1,0),4)</f>
        <v>0</v>
      </c>
      <c r="N174" s="446">
        <v>0</v>
      </c>
      <c r="O174" s="446">
        <f t="shared" ca="1" si="151"/>
        <v>1.68</v>
      </c>
      <c r="P174" s="446">
        <f ca="1">ROUND(+IF(ISERROR(OFFSET(Tabella!$G$1,MATCH(H174,Tabella!$G:$G,0)-1,MATCH(I174,Tabella!$G$1:$FG$1,0)-1)=TRUE),0,OFFSET(Tabella!$G$1,MATCH(H174,Tabella!$G:$G,0)-1,MATCH(I174,Tabella!$G$1:$AB$1,0)-1)),4)</f>
        <v>0</v>
      </c>
      <c r="Q174" s="446">
        <f ca="1">ROUND(IF(ISERROR(OFFSET(Ottone!$F$1,MATCH(H174,Ottone!$A:$A,0)-1,MATCH(I174,Ottone!$F$1:$FF$1,0)-1)=TRUE),0,OFFSET(Ottone!$F$1,MATCH(H174,Ottone!$A:$A,0)-1,MATCH(I174,Ottone!$F$1:$FF$1,0)-1))*IF(E174="Ottone",1,0),4)</f>
        <v>0</v>
      </c>
      <c r="R174" s="446">
        <f ca="1">ROUND(IF(ISERROR(OFFSET(Rame!$F$1,MATCH(H174,Rame!$F:$F,0)-1,MATCH(I174,Rame!$F$1:$FF$1,0)-1)=TRUE),0,OFFSET(Rame!$F$1,MATCH(H174,Rame!$F:$F,0)-1,MATCH(I174,Rame!$F$1:$FF$1,0)-1))*IF(E174="Rame",1,0),4)</f>
        <v>0</v>
      </c>
      <c r="S174" s="446">
        <f ca="1">ROUND(IF(ISERROR(OFFSET(Bronzo!$A$1,MATCH(H174,Bronzo!$A:$A,0)-1,MATCH(I174,Bronzo!$A$1:$AA$1,0)-1)=TRUE),0,OFFSET(Bronzo!$A$1,MATCH(H174,Bronzo!$A:$A,0)-1,MATCH(I174,Bronzo!$A$1:$AA$1,0)-1)),4)</f>
        <v>0</v>
      </c>
      <c r="T174" s="446">
        <f t="shared" ca="1" si="143"/>
        <v>0</v>
      </c>
      <c r="U174" s="443"/>
      <c r="V174" s="446">
        <v>0</v>
      </c>
      <c r="W174" s="449">
        <f t="shared" ca="1" si="144"/>
        <v>1.68</v>
      </c>
      <c r="X174" s="452">
        <f t="shared" si="131"/>
        <v>105</v>
      </c>
      <c r="Y174" s="440">
        <v>4.5599999999999996</v>
      </c>
      <c r="Z174" s="440">
        <f t="shared" ca="1" si="145"/>
        <v>0</v>
      </c>
      <c r="AA174" s="241">
        <v>46154</v>
      </c>
      <c r="AF174" s="225">
        <f t="shared" ca="1" si="115"/>
        <v>46156</v>
      </c>
      <c r="AG174" s="225" t="b">
        <f t="shared" si="146"/>
        <v>0</v>
      </c>
      <c r="AH174" s="242"/>
      <c r="AK174" s="223">
        <f t="shared" si="147"/>
        <v>20</v>
      </c>
      <c r="AL174" s="223">
        <f t="shared" si="148"/>
        <v>2026</v>
      </c>
      <c r="AS174" s="223">
        <f t="shared" si="149"/>
        <v>5</v>
      </c>
      <c r="AT174" s="223">
        <f t="shared" si="150"/>
        <v>2026</v>
      </c>
    </row>
    <row r="175" spans="2:46" ht="15.75" x14ac:dyDescent="0.25">
      <c r="B175" s="229" t="s">
        <v>527</v>
      </c>
      <c r="C175" s="235" t="s">
        <v>263</v>
      </c>
      <c r="D175" s="243">
        <v>500</v>
      </c>
      <c r="E175" s="232" t="s">
        <v>4</v>
      </c>
      <c r="F175" s="435">
        <v>2.88</v>
      </c>
      <c r="G175" s="234">
        <v>46122</v>
      </c>
      <c r="H175" s="235" t="s">
        <v>9</v>
      </c>
      <c r="I175" s="235"/>
      <c r="J175" s="440">
        <v>7.0000000000000007E-2</v>
      </c>
      <c r="K175" s="443">
        <v>2.13</v>
      </c>
      <c r="L175" s="446">
        <f ca="1">ROUND(IF(ISERROR(OFFSET(Ottone!$A$1,MATCH(H175,Ottone!$A:$A,0)-1,MATCH(J175,Ottone!$A$1:$Z$1,0)-1)=TRUE),0,OFFSET(Ottone!$A$1,MATCH(H175,Ottone!$A:$A,0)-1,MATCH(J175,Ottone!$A$1:$Z$1,0)-1))*IF(E175="Ottone",1,0),4)</f>
        <v>0</v>
      </c>
      <c r="M175" s="446">
        <f ca="1">ROUND(IF(ISERROR(OFFSET(Rame!$A$1,MATCH(H175,Rame!$A:$A,0)-1,MATCH(J175,Rame!$A$1:$AA$1,0)-1)=TRUE),0,OFFSET(Rame!$A$1,MATCH(H175,Rame!$A:$A,0)-1,MATCH(J175,Rame!$A$1:$AA$1,0)-1))*IF(E175="Rame",1,0),4)</f>
        <v>0</v>
      </c>
      <c r="N175" s="446">
        <v>0</v>
      </c>
      <c r="O175" s="446">
        <f t="shared" ca="1" si="151"/>
        <v>2.13</v>
      </c>
      <c r="P175" s="446">
        <f ca="1">ROUND(+IF(ISERROR(OFFSET(Tabella!$G$1,MATCH(H175,Tabella!$G:$G,0)-1,MATCH(I175,Tabella!$G$1:$FG$1,0)-1)=TRUE),0,OFFSET(Tabella!$G$1,MATCH(H175,Tabella!$G:$G,0)-1,MATCH(I175,Tabella!$G$1:$AB$1,0)-1)),4)</f>
        <v>0</v>
      </c>
      <c r="Q175" s="446">
        <f ca="1">ROUND(IF(ISERROR(OFFSET(Ottone!$F$1,MATCH(H175,Ottone!$A:$A,0)-1,MATCH(I175,Ottone!$F$1:$FF$1,0)-1)=TRUE),0,OFFSET(Ottone!$F$1,MATCH(H175,Ottone!$A:$A,0)-1,MATCH(I175,Ottone!$F$1:$FF$1,0)-1))*IF(E175="Ottone",1,0),4)</f>
        <v>0</v>
      </c>
      <c r="R175" s="446">
        <f ca="1">ROUND(IF(ISERROR(OFFSET(Rame!$F$1,MATCH(H175,Rame!$F:$F,0)-1,MATCH(I175,Rame!$F$1:$FF$1,0)-1)=TRUE),0,OFFSET(Rame!$F$1,MATCH(H175,Rame!$F:$F,0)-1,MATCH(I175,Rame!$F$1:$FF$1,0)-1))*IF(E175="Rame",1,0),4)</f>
        <v>0</v>
      </c>
      <c r="S175" s="446">
        <f ca="1">ROUND(IF(ISERROR(OFFSET(Bronzo!$A$1,MATCH(H175,Bronzo!$A:$A,0)-1,MATCH(I175,Bronzo!$A$1:$AA$1,0)-1)=TRUE),0,OFFSET(Bronzo!$A$1,MATCH(H175,Bronzo!$A:$A,0)-1,MATCH(I175,Bronzo!$A$1:$AA$1,0)-1)),4)</f>
        <v>0</v>
      </c>
      <c r="T175" s="446">
        <f t="shared" ca="1" si="143"/>
        <v>0</v>
      </c>
      <c r="U175" s="443"/>
      <c r="V175" s="446">
        <v>0</v>
      </c>
      <c r="W175" s="449">
        <f t="shared" ca="1" si="144"/>
        <v>2.13</v>
      </c>
      <c r="X175" s="452">
        <f t="shared" si="131"/>
        <v>35</v>
      </c>
      <c r="Y175" s="440">
        <v>5.01</v>
      </c>
      <c r="Z175" s="440">
        <f t="shared" ca="1" si="145"/>
        <v>0</v>
      </c>
      <c r="AA175" s="241">
        <v>46154</v>
      </c>
      <c r="AF175" s="225">
        <f t="shared" ca="1" si="115"/>
        <v>46156</v>
      </c>
      <c r="AG175" s="225" t="b">
        <f t="shared" si="146"/>
        <v>0</v>
      </c>
      <c r="AH175" s="242"/>
      <c r="AK175" s="223">
        <f t="shared" si="147"/>
        <v>20</v>
      </c>
      <c r="AL175" s="223">
        <f t="shared" si="148"/>
        <v>2026</v>
      </c>
      <c r="AS175" s="223">
        <f t="shared" si="149"/>
        <v>5</v>
      </c>
      <c r="AT175" s="223">
        <f t="shared" si="150"/>
        <v>2026</v>
      </c>
    </row>
    <row r="176" spans="2:46" ht="15.75" x14ac:dyDescent="0.25">
      <c r="B176" s="229" t="s">
        <v>563</v>
      </c>
      <c r="C176" s="235" t="s">
        <v>263</v>
      </c>
      <c r="D176" s="243">
        <v>1500</v>
      </c>
      <c r="E176" s="232" t="s">
        <v>4</v>
      </c>
      <c r="F176" s="435">
        <v>2.88</v>
      </c>
      <c r="G176" s="234">
        <v>46123</v>
      </c>
      <c r="H176" s="235" t="s">
        <v>24</v>
      </c>
      <c r="I176" s="235"/>
      <c r="J176" s="440">
        <v>7.0000000000000007E-2</v>
      </c>
      <c r="K176" s="443">
        <v>1.68</v>
      </c>
      <c r="L176" s="446">
        <f ca="1">ROUND(IF(ISERROR(OFFSET(Ottone!$A$1,MATCH(H176,Ottone!$A:$A,0)-1,MATCH(J176,Ottone!$A$1:$Z$1,0)-1)=TRUE),0,OFFSET(Ottone!$A$1,MATCH(H176,Ottone!$A:$A,0)-1,MATCH(J176,Ottone!$A$1:$Z$1,0)-1))*IF(E176="Ottone",1,0),4)</f>
        <v>0</v>
      </c>
      <c r="M176" s="446">
        <f ca="1">ROUND(IF(ISERROR(OFFSET(Rame!$A$1,MATCH(H176,Rame!$A:$A,0)-1,MATCH(J176,Rame!$A$1:$AA$1,0)-1)=TRUE),0,OFFSET(Rame!$A$1,MATCH(H176,Rame!$A:$A,0)-1,MATCH(J176,Rame!$A$1:$AA$1,0)-1))*IF(E176="Rame",1,0),4)</f>
        <v>0</v>
      </c>
      <c r="N176" s="446">
        <v>0</v>
      </c>
      <c r="O176" s="446">
        <f t="shared" ca="1" si="151"/>
        <v>1.68</v>
      </c>
      <c r="P176" s="446">
        <f ca="1">ROUND(+IF(ISERROR(OFFSET(Tabella!$G$1,MATCH(H176,Tabella!$G:$G,0)-1,MATCH(I176,Tabella!$G$1:$FG$1,0)-1)=TRUE),0,OFFSET(Tabella!$G$1,MATCH(H176,Tabella!$G:$G,0)-1,MATCH(I176,Tabella!$G$1:$AB$1,0)-1)),4)</f>
        <v>0</v>
      </c>
      <c r="Q176" s="446">
        <f ca="1">ROUND(IF(ISERROR(OFFSET(Ottone!$F$1,MATCH(H176,Ottone!$A:$A,0)-1,MATCH(I176,Ottone!$F$1:$FF$1,0)-1)=TRUE),0,OFFSET(Ottone!$F$1,MATCH(H176,Ottone!$A:$A,0)-1,MATCH(I176,Ottone!$F$1:$FF$1,0)-1))*IF(E176="Ottone",1,0),4)</f>
        <v>0</v>
      </c>
      <c r="R176" s="446">
        <f ca="1">ROUND(IF(ISERROR(OFFSET(Rame!$F$1,MATCH(H176,Rame!$F:$F,0)-1,MATCH(I176,Rame!$F$1:$FF$1,0)-1)=TRUE),0,OFFSET(Rame!$F$1,MATCH(H176,Rame!$F:$F,0)-1,MATCH(I176,Rame!$F$1:$FF$1,0)-1))*IF(E176="Rame",1,0),4)</f>
        <v>0</v>
      </c>
      <c r="S176" s="446">
        <f ca="1">ROUND(IF(ISERROR(OFFSET(Bronzo!$A$1,MATCH(H176,Bronzo!$A:$A,0)-1,MATCH(I176,Bronzo!$A$1:$AA$1,0)-1)=TRUE),0,OFFSET(Bronzo!$A$1,MATCH(H176,Bronzo!$A:$A,0)-1,MATCH(I176,Bronzo!$A$1:$AA$1,0)-1)),4)</f>
        <v>0</v>
      </c>
      <c r="T176" s="446">
        <f t="shared" ca="1" si="143"/>
        <v>0</v>
      </c>
      <c r="U176" s="443"/>
      <c r="V176" s="446">
        <v>0</v>
      </c>
      <c r="W176" s="449">
        <f t="shared" ca="1" si="144"/>
        <v>1.68</v>
      </c>
      <c r="X176" s="452">
        <f t="shared" si="131"/>
        <v>105</v>
      </c>
      <c r="Y176" s="440">
        <v>4.5599999999999996</v>
      </c>
      <c r="Z176" s="440">
        <f t="shared" ca="1" si="145"/>
        <v>0</v>
      </c>
      <c r="AA176" s="241">
        <v>46147</v>
      </c>
      <c r="AF176" s="225">
        <f t="shared" ca="1" si="115"/>
        <v>46156</v>
      </c>
      <c r="AG176" s="225" t="b">
        <f t="shared" si="146"/>
        <v>0</v>
      </c>
      <c r="AH176" s="242"/>
      <c r="AK176" s="223">
        <f t="shared" si="147"/>
        <v>19</v>
      </c>
      <c r="AL176" s="223">
        <f t="shared" si="148"/>
        <v>2026</v>
      </c>
      <c r="AS176" s="223">
        <f t="shared" si="149"/>
        <v>5</v>
      </c>
      <c r="AT176" s="223">
        <f t="shared" si="150"/>
        <v>2026</v>
      </c>
    </row>
    <row r="177" spans="2:46" ht="15.75" x14ac:dyDescent="0.25">
      <c r="B177" s="229" t="s">
        <v>563</v>
      </c>
      <c r="C177" s="235" t="s">
        <v>263</v>
      </c>
      <c r="D177" s="243">
        <v>1500</v>
      </c>
      <c r="E177" s="232" t="s">
        <v>4</v>
      </c>
      <c r="F177" s="435">
        <v>2.88</v>
      </c>
      <c r="G177" s="234">
        <v>46123</v>
      </c>
      <c r="H177" s="235" t="s">
        <v>24</v>
      </c>
      <c r="I177" s="235"/>
      <c r="J177" s="440">
        <v>7.0000000000000007E-2</v>
      </c>
      <c r="K177" s="443">
        <v>1.68</v>
      </c>
      <c r="L177" s="446">
        <f ca="1">ROUND(IF(ISERROR(OFFSET(Ottone!$A$1,MATCH(H177,Ottone!$A:$A,0)-1,MATCH(J177,Ottone!$A$1:$Z$1,0)-1)=TRUE),0,OFFSET(Ottone!$A$1,MATCH(H177,Ottone!$A:$A,0)-1,MATCH(J177,Ottone!$A$1:$Z$1,0)-1))*IF(E177="Ottone",1,0),4)</f>
        <v>0</v>
      </c>
      <c r="M177" s="446">
        <f ca="1">ROUND(IF(ISERROR(OFFSET(Rame!$A$1,MATCH(H177,Rame!$A:$A,0)-1,MATCH(J177,Rame!$A$1:$AA$1,0)-1)=TRUE),0,OFFSET(Rame!$A$1,MATCH(H177,Rame!$A:$A,0)-1,MATCH(J177,Rame!$A$1:$AA$1,0)-1))*IF(E177="Rame",1,0),4)</f>
        <v>0</v>
      </c>
      <c r="N177" s="446">
        <v>0</v>
      </c>
      <c r="O177" s="446">
        <f t="shared" ca="1" si="151"/>
        <v>1.68</v>
      </c>
      <c r="P177" s="446">
        <f ca="1">ROUND(+IF(ISERROR(OFFSET(Tabella!$G$1,MATCH(H177,Tabella!$G:$G,0)-1,MATCH(I177,Tabella!$G$1:$FG$1,0)-1)=TRUE),0,OFFSET(Tabella!$G$1,MATCH(H177,Tabella!$G:$G,0)-1,MATCH(I177,Tabella!$G$1:$AB$1,0)-1)),4)</f>
        <v>0</v>
      </c>
      <c r="Q177" s="446">
        <f ca="1">ROUND(IF(ISERROR(OFFSET(Ottone!$F$1,MATCH(H177,Ottone!$A:$A,0)-1,MATCH(I177,Ottone!$F$1:$FF$1,0)-1)=TRUE),0,OFFSET(Ottone!$F$1,MATCH(H177,Ottone!$A:$A,0)-1,MATCH(I177,Ottone!$F$1:$FF$1,0)-1))*IF(E177="Ottone",1,0),4)</f>
        <v>0</v>
      </c>
      <c r="R177" s="446">
        <f ca="1">ROUND(IF(ISERROR(OFFSET(Rame!$F$1,MATCH(H177,Rame!$F:$F,0)-1,MATCH(I177,Rame!$F$1:$FF$1,0)-1)=TRUE),0,OFFSET(Rame!$F$1,MATCH(H177,Rame!$F:$F,0)-1,MATCH(I177,Rame!$F$1:$FF$1,0)-1))*IF(E177="Rame",1,0),4)</f>
        <v>0</v>
      </c>
      <c r="S177" s="446">
        <f ca="1">ROUND(IF(ISERROR(OFFSET(Bronzo!$A$1,MATCH(H177,Bronzo!$A:$A,0)-1,MATCH(I177,Bronzo!$A$1:$AA$1,0)-1)=TRUE),0,OFFSET(Bronzo!$A$1,MATCH(H177,Bronzo!$A:$A,0)-1,MATCH(I177,Bronzo!$A$1:$AA$1,0)-1)),4)</f>
        <v>0</v>
      </c>
      <c r="T177" s="446">
        <f t="shared" ca="1" si="143"/>
        <v>0</v>
      </c>
      <c r="U177" s="443"/>
      <c r="V177" s="446">
        <v>0</v>
      </c>
      <c r="W177" s="449">
        <f t="shared" ca="1" si="144"/>
        <v>1.68</v>
      </c>
      <c r="X177" s="452">
        <f t="shared" si="131"/>
        <v>105</v>
      </c>
      <c r="Y177" s="440">
        <v>4.5599999999999996</v>
      </c>
      <c r="Z177" s="440">
        <f t="shared" ca="1" si="145"/>
        <v>0</v>
      </c>
      <c r="AA177" s="241">
        <v>46154</v>
      </c>
      <c r="AF177" s="225">
        <f t="shared" ca="1" si="115"/>
        <v>46156</v>
      </c>
      <c r="AG177" s="225" t="b">
        <f t="shared" si="146"/>
        <v>0</v>
      </c>
      <c r="AH177" s="242"/>
      <c r="AK177" s="223">
        <f t="shared" si="147"/>
        <v>20</v>
      </c>
      <c r="AL177" s="223">
        <f t="shared" si="148"/>
        <v>2026</v>
      </c>
      <c r="AS177" s="223">
        <f t="shared" si="149"/>
        <v>5</v>
      </c>
      <c r="AT177" s="223">
        <f t="shared" si="150"/>
        <v>2026</v>
      </c>
    </row>
    <row r="178" spans="2:46" ht="15.75" x14ac:dyDescent="0.25">
      <c r="B178" s="229" t="s">
        <v>563</v>
      </c>
      <c r="C178" s="235" t="s">
        <v>263</v>
      </c>
      <c r="D178" s="243">
        <v>1300</v>
      </c>
      <c r="E178" s="232" t="s">
        <v>4</v>
      </c>
      <c r="F178" s="435">
        <v>2.88</v>
      </c>
      <c r="G178" s="234">
        <v>46123</v>
      </c>
      <c r="H178" s="235" t="s">
        <v>24</v>
      </c>
      <c r="I178" s="235"/>
      <c r="J178" s="440">
        <v>7.0000000000000007E-2</v>
      </c>
      <c r="K178" s="443">
        <v>1.68</v>
      </c>
      <c r="L178" s="446">
        <f ca="1">ROUND(IF(ISERROR(OFFSET(Ottone!$A$1,MATCH(H178,Ottone!$A:$A,0)-1,MATCH(J178,Ottone!$A$1:$Z$1,0)-1)=TRUE),0,OFFSET(Ottone!$A$1,MATCH(H178,Ottone!$A:$A,0)-1,MATCH(J178,Ottone!$A$1:$Z$1,0)-1))*IF(E178="Ottone",1,0),4)</f>
        <v>0</v>
      </c>
      <c r="M178" s="446">
        <f ca="1">ROUND(IF(ISERROR(OFFSET(Rame!$A$1,MATCH(H178,Rame!$A:$A,0)-1,MATCH(J178,Rame!$A$1:$AA$1,0)-1)=TRUE),0,OFFSET(Rame!$A$1,MATCH(H178,Rame!$A:$A,0)-1,MATCH(J178,Rame!$A$1:$AA$1,0)-1))*IF(E178="Rame",1,0),4)</f>
        <v>0</v>
      </c>
      <c r="N178" s="446">
        <v>0</v>
      </c>
      <c r="O178" s="446">
        <f t="shared" ca="1" si="151"/>
        <v>1.68</v>
      </c>
      <c r="P178" s="446">
        <f ca="1">ROUND(+IF(ISERROR(OFFSET(Tabella!$G$1,MATCH(H178,Tabella!$G:$G,0)-1,MATCH(I178,Tabella!$G$1:$FG$1,0)-1)=TRUE),0,OFFSET(Tabella!$G$1,MATCH(H178,Tabella!$G:$G,0)-1,MATCH(I178,Tabella!$G$1:$AB$1,0)-1)),4)</f>
        <v>0</v>
      </c>
      <c r="Q178" s="446">
        <f ca="1">ROUND(IF(ISERROR(OFFSET(Ottone!$F$1,MATCH(H178,Ottone!$A:$A,0)-1,MATCH(I178,Ottone!$F$1:$FF$1,0)-1)=TRUE),0,OFFSET(Ottone!$F$1,MATCH(H178,Ottone!$A:$A,0)-1,MATCH(I178,Ottone!$F$1:$FF$1,0)-1))*IF(E178="Ottone",1,0),4)</f>
        <v>0</v>
      </c>
      <c r="R178" s="446">
        <f ca="1">ROUND(IF(ISERROR(OFFSET(Rame!$F$1,MATCH(H178,Rame!$F:$F,0)-1,MATCH(I178,Rame!$F$1:$FF$1,0)-1)=TRUE),0,OFFSET(Rame!$F$1,MATCH(H178,Rame!$F:$F,0)-1,MATCH(I178,Rame!$F$1:$FF$1,0)-1))*IF(E178="Rame",1,0),4)</f>
        <v>0</v>
      </c>
      <c r="S178" s="446">
        <f ca="1">ROUND(IF(ISERROR(OFFSET(Bronzo!$A$1,MATCH(H178,Bronzo!$A:$A,0)-1,MATCH(I178,Bronzo!$A$1:$AA$1,0)-1)=TRUE),0,OFFSET(Bronzo!$A$1,MATCH(H178,Bronzo!$A:$A,0)-1,MATCH(I178,Bronzo!$A$1:$AA$1,0)-1)),4)</f>
        <v>0</v>
      </c>
      <c r="T178" s="446">
        <f t="shared" ca="1" si="143"/>
        <v>0</v>
      </c>
      <c r="U178" s="443"/>
      <c r="V178" s="446">
        <v>0</v>
      </c>
      <c r="W178" s="449">
        <f t="shared" ca="1" si="144"/>
        <v>1.68</v>
      </c>
      <c r="X178" s="452">
        <f t="shared" si="131"/>
        <v>91</v>
      </c>
      <c r="Y178" s="440">
        <v>4.5599999999999996</v>
      </c>
      <c r="Z178" s="440">
        <f t="shared" ca="1" si="145"/>
        <v>0</v>
      </c>
      <c r="AA178" s="241">
        <v>46168</v>
      </c>
      <c r="AF178" s="225">
        <f t="shared" ca="1" si="115"/>
        <v>46156</v>
      </c>
      <c r="AG178" s="225" t="b">
        <f t="shared" si="146"/>
        <v>0</v>
      </c>
      <c r="AH178" s="242"/>
      <c r="AK178" s="223">
        <f t="shared" si="147"/>
        <v>22</v>
      </c>
      <c r="AL178" s="223">
        <f t="shared" si="148"/>
        <v>2026</v>
      </c>
      <c r="AS178" s="223">
        <f t="shared" si="149"/>
        <v>5</v>
      </c>
      <c r="AT178" s="223">
        <f t="shared" si="150"/>
        <v>2026</v>
      </c>
    </row>
    <row r="179" spans="2:46" ht="15.75" x14ac:dyDescent="0.25">
      <c r="B179" s="229" t="s">
        <v>563</v>
      </c>
      <c r="C179" s="235" t="s">
        <v>263</v>
      </c>
      <c r="D179" s="243">
        <v>1000</v>
      </c>
      <c r="E179" s="232" t="s">
        <v>4</v>
      </c>
      <c r="F179" s="435">
        <v>2.88</v>
      </c>
      <c r="G179" s="234">
        <v>46123</v>
      </c>
      <c r="H179" s="235" t="s">
        <v>243</v>
      </c>
      <c r="I179" s="235"/>
      <c r="J179" s="440">
        <v>7.0000000000000007E-2</v>
      </c>
      <c r="K179" s="443">
        <v>1.78</v>
      </c>
      <c r="L179" s="446">
        <f ca="1">ROUND(IF(ISERROR(OFFSET(Ottone!$A$1,MATCH(H179,Ottone!$A:$A,0)-1,MATCH(J179,Ottone!$A$1:$Z$1,0)-1)=TRUE),0,OFFSET(Ottone!$A$1,MATCH(H179,Ottone!$A:$A,0)-1,MATCH(J179,Ottone!$A$1:$Z$1,0)-1))*IF(E179="Ottone",1,0),4)</f>
        <v>0</v>
      </c>
      <c r="M179" s="446">
        <f ca="1">ROUND(IF(ISERROR(OFFSET(Rame!$A$1,MATCH(H179,Rame!$A:$A,0)-1,MATCH(J179,Rame!$A$1:$AA$1,0)-1)=TRUE),0,OFFSET(Rame!$A$1,MATCH(H179,Rame!$A:$A,0)-1,MATCH(J179,Rame!$A$1:$AA$1,0)-1))*IF(E179="Rame",1,0),4)</f>
        <v>0</v>
      </c>
      <c r="N179" s="446">
        <v>0</v>
      </c>
      <c r="O179" s="446">
        <f t="shared" ca="1" si="151"/>
        <v>1.78</v>
      </c>
      <c r="P179" s="446">
        <f ca="1">ROUND(+IF(ISERROR(OFFSET(Tabella!$G$1,MATCH(H179,Tabella!$G:$G,0)-1,MATCH(I179,Tabella!$G$1:$FG$1,0)-1)=TRUE),0,OFFSET(Tabella!$G$1,MATCH(H179,Tabella!$G:$G,0)-1,MATCH(I179,Tabella!$G$1:$AB$1,0)-1)),4)</f>
        <v>0</v>
      </c>
      <c r="Q179" s="446">
        <f ca="1">ROUND(IF(ISERROR(OFFSET(Ottone!$F$1,MATCH(H179,Ottone!$A:$A,0)-1,MATCH(I179,Ottone!$F$1:$FF$1,0)-1)=TRUE),0,OFFSET(Ottone!$F$1,MATCH(H179,Ottone!$A:$A,0)-1,MATCH(I179,Ottone!$F$1:$FF$1,0)-1))*IF(E179="Ottone",1,0),4)</f>
        <v>0</v>
      </c>
      <c r="R179" s="446">
        <f ca="1">ROUND(IF(ISERROR(OFFSET(Rame!$F$1,MATCH(H179,Rame!$F:$F,0)-1,MATCH(I179,Rame!$F$1:$FF$1,0)-1)=TRUE),0,OFFSET(Rame!$F$1,MATCH(H179,Rame!$F:$F,0)-1,MATCH(I179,Rame!$F$1:$FF$1,0)-1))*IF(E179="Rame",1,0),4)</f>
        <v>0</v>
      </c>
      <c r="S179" s="446">
        <f ca="1">ROUND(IF(ISERROR(OFFSET(Bronzo!$A$1,MATCH(H179,Bronzo!$A:$A,0)-1,MATCH(I179,Bronzo!$A$1:$AA$1,0)-1)=TRUE),0,OFFSET(Bronzo!$A$1,MATCH(H179,Bronzo!$A:$A,0)-1,MATCH(I179,Bronzo!$A$1:$AA$1,0)-1)),4)</f>
        <v>0</v>
      </c>
      <c r="T179" s="446">
        <f t="shared" ca="1" si="143"/>
        <v>0</v>
      </c>
      <c r="U179" s="443"/>
      <c r="V179" s="446">
        <v>0</v>
      </c>
      <c r="W179" s="449">
        <f t="shared" ca="1" si="144"/>
        <v>1.78</v>
      </c>
      <c r="X179" s="452">
        <f t="shared" si="131"/>
        <v>70</v>
      </c>
      <c r="Y179" s="440">
        <v>4.66</v>
      </c>
      <c r="Z179" s="440">
        <f t="shared" ca="1" si="145"/>
        <v>0</v>
      </c>
      <c r="AA179" s="241">
        <v>46147</v>
      </c>
      <c r="AF179" s="225">
        <f t="shared" ca="1" si="115"/>
        <v>46156</v>
      </c>
      <c r="AG179" s="225" t="b">
        <f t="shared" si="146"/>
        <v>0</v>
      </c>
      <c r="AH179" s="242"/>
      <c r="AK179" s="223">
        <f t="shared" si="147"/>
        <v>19</v>
      </c>
      <c r="AL179" s="223">
        <f t="shared" si="148"/>
        <v>2026</v>
      </c>
      <c r="AS179" s="223">
        <f t="shared" si="149"/>
        <v>5</v>
      </c>
      <c r="AT179" s="223">
        <f t="shared" si="150"/>
        <v>2026</v>
      </c>
    </row>
    <row r="180" spans="2:46" ht="15.75" x14ac:dyDescent="0.25">
      <c r="B180" s="229" t="s">
        <v>563</v>
      </c>
      <c r="C180" s="235" t="s">
        <v>263</v>
      </c>
      <c r="D180" s="243">
        <v>1000</v>
      </c>
      <c r="E180" s="232" t="s">
        <v>4</v>
      </c>
      <c r="F180" s="435">
        <v>2.88</v>
      </c>
      <c r="G180" s="234">
        <v>46123</v>
      </c>
      <c r="H180" s="235" t="s">
        <v>17</v>
      </c>
      <c r="I180" s="235"/>
      <c r="J180" s="440">
        <v>7.0000000000000007E-2</v>
      </c>
      <c r="K180" s="443">
        <v>1.78</v>
      </c>
      <c r="L180" s="446">
        <f ca="1">ROUND(IF(ISERROR(OFFSET(Ottone!$A$1,MATCH(H180,Ottone!$A:$A,0)-1,MATCH(J180,Ottone!$A$1:$Z$1,0)-1)=TRUE),0,OFFSET(Ottone!$A$1,MATCH(H180,Ottone!$A:$A,0)-1,MATCH(J180,Ottone!$A$1:$Z$1,0)-1))*IF(E180="Ottone",1,0),4)</f>
        <v>0</v>
      </c>
      <c r="M180" s="446">
        <f ca="1">ROUND(IF(ISERROR(OFFSET(Rame!$A$1,MATCH(H180,Rame!$A:$A,0)-1,MATCH(J180,Rame!$A$1:$AA$1,0)-1)=TRUE),0,OFFSET(Rame!$A$1,MATCH(H180,Rame!$A:$A,0)-1,MATCH(J180,Rame!$A$1:$AA$1,0)-1))*IF(E180="Rame",1,0),4)</f>
        <v>0</v>
      </c>
      <c r="N180" s="446">
        <v>0</v>
      </c>
      <c r="O180" s="446">
        <f t="shared" ca="1" si="151"/>
        <v>1.78</v>
      </c>
      <c r="P180" s="446">
        <f ca="1">ROUND(+IF(ISERROR(OFFSET(Tabella!$G$1,MATCH(H180,Tabella!$G:$G,0)-1,MATCH(I180,Tabella!$G$1:$FG$1,0)-1)=TRUE),0,OFFSET(Tabella!$G$1,MATCH(H180,Tabella!$G:$G,0)-1,MATCH(I180,Tabella!$G$1:$AB$1,0)-1)),4)</f>
        <v>0</v>
      </c>
      <c r="Q180" s="446">
        <f ca="1">ROUND(IF(ISERROR(OFFSET(Ottone!$F$1,MATCH(H180,Ottone!$A:$A,0)-1,MATCH(I180,Ottone!$F$1:$FF$1,0)-1)=TRUE),0,OFFSET(Ottone!$F$1,MATCH(H180,Ottone!$A:$A,0)-1,MATCH(I180,Ottone!$F$1:$FF$1,0)-1))*IF(E180="Ottone",1,0),4)</f>
        <v>0</v>
      </c>
      <c r="R180" s="446">
        <f ca="1">ROUND(IF(ISERROR(OFFSET(Rame!$F$1,MATCH(H180,Rame!$F:$F,0)-1,MATCH(I180,Rame!$F$1:$FF$1,0)-1)=TRUE),0,OFFSET(Rame!$F$1,MATCH(H180,Rame!$F:$F,0)-1,MATCH(I180,Rame!$F$1:$FF$1,0)-1))*IF(E180="Rame",1,0),4)</f>
        <v>0</v>
      </c>
      <c r="S180" s="446">
        <f ca="1">ROUND(IF(ISERROR(OFFSET(Bronzo!$A$1,MATCH(H180,Bronzo!$A:$A,0)-1,MATCH(I180,Bronzo!$A$1:$AA$1,0)-1)=TRUE),0,OFFSET(Bronzo!$A$1,MATCH(H180,Bronzo!$A:$A,0)-1,MATCH(I180,Bronzo!$A$1:$AA$1,0)-1)),4)</f>
        <v>0</v>
      </c>
      <c r="T180" s="446">
        <f t="shared" ca="1" si="143"/>
        <v>0</v>
      </c>
      <c r="U180" s="443"/>
      <c r="V180" s="446">
        <v>0</v>
      </c>
      <c r="W180" s="449">
        <f t="shared" ca="1" si="144"/>
        <v>1.78</v>
      </c>
      <c r="X180" s="452">
        <f t="shared" si="131"/>
        <v>70</v>
      </c>
      <c r="Y180" s="440">
        <v>4.66</v>
      </c>
      <c r="Z180" s="440">
        <f t="shared" ca="1" si="145"/>
        <v>0</v>
      </c>
      <c r="AA180" s="241">
        <v>46154</v>
      </c>
      <c r="AF180" s="225">
        <f t="shared" ca="1" si="115"/>
        <v>46156</v>
      </c>
      <c r="AG180" s="225" t="b">
        <f t="shared" si="146"/>
        <v>0</v>
      </c>
      <c r="AH180" s="242"/>
      <c r="AK180" s="223">
        <f t="shared" si="147"/>
        <v>20</v>
      </c>
      <c r="AL180" s="223">
        <f t="shared" si="148"/>
        <v>2026</v>
      </c>
      <c r="AS180" s="223">
        <f t="shared" si="149"/>
        <v>5</v>
      </c>
      <c r="AT180" s="223">
        <f t="shared" si="150"/>
        <v>2026</v>
      </c>
    </row>
    <row r="181" spans="2:46" ht="15.75" x14ac:dyDescent="0.25">
      <c r="B181" s="229" t="s">
        <v>524</v>
      </c>
      <c r="C181" s="235" t="s">
        <v>92</v>
      </c>
      <c r="D181" s="243">
        <v>500</v>
      </c>
      <c r="E181" s="232" t="s">
        <v>4</v>
      </c>
      <c r="F181" s="435">
        <v>2.96</v>
      </c>
      <c r="G181" s="234">
        <v>46121</v>
      </c>
      <c r="H181" s="235" t="s">
        <v>28</v>
      </c>
      <c r="I181" s="235"/>
      <c r="J181" s="440">
        <v>7.0000000000000007E-2</v>
      </c>
      <c r="K181" s="443">
        <v>1.6</v>
      </c>
      <c r="L181" s="446">
        <f ca="1">ROUND(IF(ISERROR(OFFSET(Ottone!$A$1,MATCH(H181,Ottone!$A:$A,0)-1,MATCH(J181,Ottone!$A$1:$Z$1,0)-1)=TRUE),0,OFFSET(Ottone!$A$1,MATCH(H181,Ottone!$A:$A,0)-1,MATCH(J181,Ottone!$A$1:$Z$1,0)-1))*IF(E181="Ottone",1,0),4)</f>
        <v>0</v>
      </c>
      <c r="M181" s="446">
        <f ca="1">ROUND(IF(ISERROR(OFFSET(Rame!$A$1,MATCH(H181,Rame!$A:$A,0)-1,MATCH(J181,Rame!$A$1:$AA$1,0)-1)=TRUE),0,OFFSET(Rame!$A$1,MATCH(H181,Rame!$A:$A,0)-1,MATCH(J181,Rame!$A$1:$AA$1,0)-1))*IF(E181="Rame",1,0),4)</f>
        <v>0</v>
      </c>
      <c r="N181" s="446">
        <v>0</v>
      </c>
      <c r="O181" s="446">
        <f t="shared" ca="1" si="151"/>
        <v>1.6</v>
      </c>
      <c r="P181" s="446">
        <f ca="1">ROUND(+IF(ISERROR(OFFSET(Tabella!$G$1,MATCH(H181,Tabella!$G:$G,0)-1,MATCH(I181,Tabella!$G$1:$FG$1,0)-1)=TRUE),0,OFFSET(Tabella!$G$1,MATCH(H181,Tabella!$G:$G,0)-1,MATCH(I181,Tabella!$G$1:$AB$1,0)-1)),4)</f>
        <v>0</v>
      </c>
      <c r="Q181" s="446">
        <f ca="1">ROUND(IF(ISERROR(OFFSET(Ottone!$F$1,MATCH(H181,Ottone!$A:$A,0)-1,MATCH(I181,Ottone!$F$1:$FF$1,0)-1)=TRUE),0,OFFSET(Ottone!$F$1,MATCH(H181,Ottone!$A:$A,0)-1,MATCH(I181,Ottone!$F$1:$FF$1,0)-1))*IF(E181="Ottone",1,0),4)</f>
        <v>0</v>
      </c>
      <c r="R181" s="446">
        <f ca="1">ROUND(IF(ISERROR(OFFSET(Rame!$F$1,MATCH(H181,Rame!$F:$F,0)-1,MATCH(I181,Rame!$F$1:$FF$1,0)-1)=TRUE),0,OFFSET(Rame!$F$1,MATCH(H181,Rame!$F:$F,0)-1,MATCH(I181,Rame!$F$1:$FF$1,0)-1))*IF(E181="Rame",1,0),4)</f>
        <v>0</v>
      </c>
      <c r="S181" s="446">
        <f ca="1">ROUND(IF(ISERROR(OFFSET(Bronzo!$A$1,MATCH(H181,Bronzo!$A:$A,0)-1,MATCH(I181,Bronzo!$A$1:$AA$1,0)-1)=TRUE),0,OFFSET(Bronzo!$A$1,MATCH(H181,Bronzo!$A:$A,0)-1,MATCH(I181,Bronzo!$A$1:$AA$1,0)-1)),4)</f>
        <v>0</v>
      </c>
      <c r="T181" s="446">
        <f t="shared" ca="1" si="143"/>
        <v>0</v>
      </c>
      <c r="U181" s="443"/>
      <c r="V181" s="446">
        <v>0</v>
      </c>
      <c r="W181" s="449">
        <f t="shared" ca="1" si="144"/>
        <v>1.6</v>
      </c>
      <c r="X181" s="452">
        <f t="shared" si="131"/>
        <v>35</v>
      </c>
      <c r="Y181" s="440">
        <v>4.5599999999999996</v>
      </c>
      <c r="Z181" s="440">
        <f t="shared" ca="1" si="145"/>
        <v>0</v>
      </c>
      <c r="AA181" s="241">
        <v>46146</v>
      </c>
      <c r="AF181" s="225">
        <f t="shared" ca="1" si="115"/>
        <v>46156</v>
      </c>
      <c r="AG181" s="225" t="b">
        <f t="shared" si="146"/>
        <v>0</v>
      </c>
      <c r="AH181" s="242"/>
      <c r="AK181" s="223">
        <f t="shared" si="147"/>
        <v>19</v>
      </c>
      <c r="AL181" s="223">
        <f t="shared" si="148"/>
        <v>2026</v>
      </c>
      <c r="AS181" s="223">
        <f t="shared" si="149"/>
        <v>5</v>
      </c>
      <c r="AT181" s="223">
        <f t="shared" si="150"/>
        <v>2026</v>
      </c>
    </row>
    <row r="182" spans="2:46" ht="15.75" x14ac:dyDescent="0.25">
      <c r="B182" s="229" t="s">
        <v>524</v>
      </c>
      <c r="C182" s="235" t="s">
        <v>92</v>
      </c>
      <c r="D182" s="243">
        <v>500</v>
      </c>
      <c r="E182" s="232" t="s">
        <v>4</v>
      </c>
      <c r="F182" s="435">
        <v>2.96</v>
      </c>
      <c r="G182" s="234">
        <v>46121</v>
      </c>
      <c r="H182" s="235" t="s">
        <v>28</v>
      </c>
      <c r="I182" s="235"/>
      <c r="J182" s="440">
        <v>7.0000000000000007E-2</v>
      </c>
      <c r="K182" s="443">
        <v>1.6</v>
      </c>
      <c r="L182" s="446">
        <f ca="1">ROUND(IF(ISERROR(OFFSET(Ottone!$A$1,MATCH(H182,Ottone!$A:$A,0)-1,MATCH(J182,Ottone!$A$1:$Z$1,0)-1)=TRUE),0,OFFSET(Ottone!$A$1,MATCH(H182,Ottone!$A:$A,0)-1,MATCH(J182,Ottone!$A$1:$Z$1,0)-1))*IF(E182="Ottone",1,0),4)</f>
        <v>0</v>
      </c>
      <c r="M182" s="446">
        <f ca="1">ROUND(IF(ISERROR(OFFSET(Rame!$A$1,MATCH(H182,Rame!$A:$A,0)-1,MATCH(J182,Rame!$A$1:$AA$1,0)-1)=TRUE),0,OFFSET(Rame!$A$1,MATCH(H182,Rame!$A:$A,0)-1,MATCH(J182,Rame!$A$1:$AA$1,0)-1))*IF(E182="Rame",1,0),4)</f>
        <v>0</v>
      </c>
      <c r="N182" s="446">
        <v>0</v>
      </c>
      <c r="O182" s="446">
        <f t="shared" ca="1" si="151"/>
        <v>1.6</v>
      </c>
      <c r="P182" s="446">
        <f ca="1">ROUND(+IF(ISERROR(OFFSET(Tabella!$G$1,MATCH(H182,Tabella!$G:$G,0)-1,MATCH(I182,Tabella!$G$1:$FG$1,0)-1)=TRUE),0,OFFSET(Tabella!$G$1,MATCH(H182,Tabella!$G:$G,0)-1,MATCH(I182,Tabella!$G$1:$AB$1,0)-1)),4)</f>
        <v>0</v>
      </c>
      <c r="Q182" s="446">
        <f ca="1">ROUND(IF(ISERROR(OFFSET(Ottone!$F$1,MATCH(H182,Ottone!$A:$A,0)-1,MATCH(I182,Ottone!$F$1:$FF$1,0)-1)=TRUE),0,OFFSET(Ottone!$F$1,MATCH(H182,Ottone!$A:$A,0)-1,MATCH(I182,Ottone!$F$1:$FF$1,0)-1))*IF(E182="Ottone",1,0),4)</f>
        <v>0</v>
      </c>
      <c r="R182" s="446">
        <f ca="1">ROUND(IF(ISERROR(OFFSET(Rame!$F$1,MATCH(H182,Rame!$F:$F,0)-1,MATCH(I182,Rame!$F$1:$FF$1,0)-1)=TRUE),0,OFFSET(Rame!$F$1,MATCH(H182,Rame!$F:$F,0)-1,MATCH(I182,Rame!$F$1:$FF$1,0)-1))*IF(E182="Rame",1,0),4)</f>
        <v>0</v>
      </c>
      <c r="S182" s="446">
        <f ca="1">ROUND(IF(ISERROR(OFFSET(Bronzo!$A$1,MATCH(H182,Bronzo!$A:$A,0)-1,MATCH(I182,Bronzo!$A$1:$AA$1,0)-1)=TRUE),0,OFFSET(Bronzo!$A$1,MATCH(H182,Bronzo!$A:$A,0)-1,MATCH(I182,Bronzo!$A$1:$AA$1,0)-1)),4)</f>
        <v>0</v>
      </c>
      <c r="T182" s="446">
        <f t="shared" ca="1" si="143"/>
        <v>0</v>
      </c>
      <c r="U182" s="443"/>
      <c r="V182" s="446">
        <v>0</v>
      </c>
      <c r="W182" s="449">
        <f t="shared" ca="1" si="144"/>
        <v>1.6</v>
      </c>
      <c r="X182" s="452">
        <f t="shared" si="131"/>
        <v>35</v>
      </c>
      <c r="Y182" s="440">
        <v>4.5599999999999996</v>
      </c>
      <c r="Z182" s="440">
        <f t="shared" ca="1" si="145"/>
        <v>0</v>
      </c>
      <c r="AA182" s="241">
        <v>46146</v>
      </c>
      <c r="AF182" s="225">
        <f t="shared" ca="1" si="115"/>
        <v>46156</v>
      </c>
      <c r="AG182" s="225" t="b">
        <f t="shared" si="146"/>
        <v>0</v>
      </c>
      <c r="AH182" s="242"/>
      <c r="AK182" s="223">
        <f t="shared" si="147"/>
        <v>19</v>
      </c>
      <c r="AL182" s="223">
        <f t="shared" si="148"/>
        <v>2026</v>
      </c>
      <c r="AS182" s="223">
        <f t="shared" si="149"/>
        <v>5</v>
      </c>
      <c r="AT182" s="223">
        <f t="shared" si="150"/>
        <v>2026</v>
      </c>
    </row>
    <row r="183" spans="2:46" ht="15.75" x14ac:dyDescent="0.25">
      <c r="B183" s="229" t="s">
        <v>501</v>
      </c>
      <c r="C183" s="235" t="s">
        <v>336</v>
      </c>
      <c r="D183" s="243">
        <v>1047</v>
      </c>
      <c r="E183" s="232" t="s">
        <v>6</v>
      </c>
      <c r="F183" s="435">
        <v>10.7</v>
      </c>
      <c r="G183" s="234">
        <v>46119</v>
      </c>
      <c r="H183" s="235" t="s">
        <v>16</v>
      </c>
      <c r="I183" s="235"/>
      <c r="J183" s="440">
        <v>0.15</v>
      </c>
      <c r="K183" s="443">
        <f ca="1">ROUND(IF(ISERROR(OFFSET(Tabella!$A$1,MATCH(H183,Tabella!$A:$A,0)-1,MATCH(J183,Tabella!$A$1:$AC$1,0)-1)=TRUE),0,+OFFSET(Tabella!$A$1,MATCH(H183,Tabella!$A:$A,0)-1,MATCH(J183,Tabella!$A$1:$AC$1,0)-1)),4)</f>
        <v>0</v>
      </c>
      <c r="L183" s="446">
        <f ca="1">ROUND(IF(ISERROR(OFFSET(Ottone!$A$1,MATCH(H183,Ottone!$A:$A,0)-1,MATCH(J183,Ottone!$A$1:$Z$1,0)-1)=TRUE),0,OFFSET(Ottone!$A$1,MATCH(H183,Ottone!$A:$A,0)-1,MATCH(J183,Ottone!$A$1:$Z$1,0)-1))*IF(E183="Ottone",1,0),4)</f>
        <v>0</v>
      </c>
      <c r="M183" s="446">
        <f ca="1">ROUND(IF(ISERROR(OFFSET(Rame!$A$1,MATCH(H183,Rame!$A:$A,0)-1,MATCH(J183,Rame!$A$1:$AA$1,0)-1)=TRUE),0,OFFSET(Rame!$A$1,MATCH(H183,Rame!$A:$A,0)-1,MATCH(J183,Rame!$A$1:$AA$1,0)-1))*IF(E183="Rame",1,0),4)</f>
        <v>0.85</v>
      </c>
      <c r="N183" s="446">
        <v>0</v>
      </c>
      <c r="O183" s="446">
        <f t="shared" ca="1" si="151"/>
        <v>0.85</v>
      </c>
      <c r="P183" s="446">
        <f ca="1">ROUND(+IF(ISERROR(OFFSET(Tabella!$G$1,MATCH(H183,Tabella!$G:$G,0)-1,MATCH(I183,Tabella!$G$1:$FG$1,0)-1)=TRUE),0,OFFSET(Tabella!$G$1,MATCH(H183,Tabella!$G:$G,0)-1,MATCH(I183,Tabella!$G$1:$AB$1,0)-1)),4)</f>
        <v>0</v>
      </c>
      <c r="Q183" s="446">
        <f ca="1">ROUND(IF(ISERROR(OFFSET(Ottone!$F$1,MATCH(H183,Ottone!$A:$A,0)-1,MATCH(I183,Ottone!$F$1:$FF$1,0)-1)=TRUE),0,OFFSET(Ottone!$F$1,MATCH(H183,Ottone!$A:$A,0)-1,MATCH(I183,Ottone!$F$1:$FF$1,0)-1))*IF(E183="Ottone",1,0),4)</f>
        <v>0</v>
      </c>
      <c r="R183" s="446">
        <f ca="1">ROUND(IF(ISERROR(OFFSET(Rame!$F$1,MATCH(H183,Rame!$F:$F,0)-1,MATCH(I183,Rame!$F$1:$FF$1,0)-1)=TRUE),0,OFFSET(Rame!$F$1,MATCH(H183,Rame!$F:$F,0)-1,MATCH(I183,Rame!$F$1:$FF$1,0)-1))*IF(E183="Rame",1,0),4)</f>
        <v>0</v>
      </c>
      <c r="S183" s="446">
        <f ca="1">ROUND(IF(ISERROR(OFFSET(Bronzo!$A$1,MATCH(H183,Bronzo!$A:$A,0)-1,MATCH(I183,Bronzo!$A$1:$AA$1,0)-1)=TRUE),0,OFFSET(Bronzo!$A$1,MATCH(H183,Bronzo!$A:$A,0)-1,MATCH(I183,Bronzo!$A$1:$AA$1,0)-1)),4)</f>
        <v>0</v>
      </c>
      <c r="T183" s="446">
        <f t="shared" ca="1" si="143"/>
        <v>0</v>
      </c>
      <c r="U183" s="443"/>
      <c r="V183" s="446">
        <v>0</v>
      </c>
      <c r="W183" s="449">
        <f t="shared" ca="1" si="144"/>
        <v>0.85</v>
      </c>
      <c r="X183" s="452">
        <f t="shared" si="131"/>
        <v>157.05000000000001</v>
      </c>
      <c r="Y183" s="440">
        <v>14.4</v>
      </c>
      <c r="Z183" s="440">
        <f t="shared" ca="1" si="145"/>
        <v>2.85</v>
      </c>
      <c r="AA183" s="241">
        <v>46157</v>
      </c>
      <c r="AF183" s="225">
        <f t="shared" ca="1" si="115"/>
        <v>46156</v>
      </c>
      <c r="AG183" s="225" t="b">
        <f t="shared" si="146"/>
        <v>0</v>
      </c>
      <c r="AH183" s="242"/>
      <c r="AK183" s="223">
        <f t="shared" si="147"/>
        <v>20</v>
      </c>
      <c r="AL183" s="223">
        <f t="shared" si="148"/>
        <v>2026</v>
      </c>
      <c r="AS183" s="223">
        <f t="shared" si="149"/>
        <v>5</v>
      </c>
      <c r="AT183" s="223">
        <f t="shared" si="150"/>
        <v>2026</v>
      </c>
    </row>
    <row r="184" spans="2:46" ht="15.75" x14ac:dyDescent="0.25">
      <c r="B184" s="229" t="s">
        <v>501</v>
      </c>
      <c r="C184" s="235" t="s">
        <v>336</v>
      </c>
      <c r="D184" s="243">
        <v>1364</v>
      </c>
      <c r="E184" s="232" t="s">
        <v>6</v>
      </c>
      <c r="F184" s="435">
        <v>10.7</v>
      </c>
      <c r="G184" s="234">
        <v>46119</v>
      </c>
      <c r="H184" s="235" t="s">
        <v>18</v>
      </c>
      <c r="I184" s="235"/>
      <c r="J184" s="440">
        <v>0.15</v>
      </c>
      <c r="K184" s="443">
        <f ca="1">ROUND(IF(ISERROR(OFFSET(Tabella!$A$1,MATCH(H184,Tabella!$A:$A,0)-1,MATCH(J184,Tabella!$A$1:$AC$1,0)-1)=TRUE),0,+OFFSET(Tabella!$A$1,MATCH(H184,Tabella!$A:$A,0)-1,MATCH(J184,Tabella!$A$1:$AC$1,0)-1)),4)</f>
        <v>0</v>
      </c>
      <c r="L184" s="446">
        <f ca="1">ROUND(IF(ISERROR(OFFSET(Ottone!$A$1,MATCH(H184,Ottone!$A:$A,0)-1,MATCH(J184,Ottone!$A$1:$Z$1,0)-1)=TRUE),0,OFFSET(Ottone!$A$1,MATCH(H184,Ottone!$A:$A,0)-1,MATCH(J184,Ottone!$A$1:$Z$1,0)-1))*IF(E184="Ottone",1,0),4)</f>
        <v>0</v>
      </c>
      <c r="M184" s="446">
        <f ca="1">ROUND(IF(ISERROR(OFFSET(Rame!$A$1,MATCH(H184,Rame!$A:$A,0)-1,MATCH(J184,Rame!$A$1:$AA$1,0)-1)=TRUE),0,OFFSET(Rame!$A$1,MATCH(H184,Rame!$A:$A,0)-1,MATCH(J184,Rame!$A$1:$AA$1,0)-1))*IF(E184="Rame",1,0),4)</f>
        <v>0.82</v>
      </c>
      <c r="N184" s="446">
        <v>0</v>
      </c>
      <c r="O184" s="446">
        <f t="shared" ca="1" si="151"/>
        <v>0.82</v>
      </c>
      <c r="P184" s="446">
        <f ca="1">ROUND(+IF(ISERROR(OFFSET(Tabella!$G$1,MATCH(H184,Tabella!$G:$G,0)-1,MATCH(I184,Tabella!$G$1:$FG$1,0)-1)=TRUE),0,OFFSET(Tabella!$G$1,MATCH(H184,Tabella!$G:$G,0)-1,MATCH(I184,Tabella!$G$1:$AB$1,0)-1)),4)</f>
        <v>0</v>
      </c>
      <c r="Q184" s="446">
        <f ca="1">ROUND(IF(ISERROR(OFFSET(Ottone!$F$1,MATCH(H184,Ottone!$A:$A,0)-1,MATCH(I184,Ottone!$F$1:$FF$1,0)-1)=TRUE),0,OFFSET(Ottone!$F$1,MATCH(H184,Ottone!$A:$A,0)-1,MATCH(I184,Ottone!$F$1:$FF$1,0)-1))*IF(E184="Ottone",1,0),4)</f>
        <v>0</v>
      </c>
      <c r="R184" s="446">
        <f ca="1">ROUND(IF(ISERROR(OFFSET(Rame!$F$1,MATCH(H184,Rame!$F:$F,0)-1,MATCH(I184,Rame!$F$1:$FF$1,0)-1)=TRUE),0,OFFSET(Rame!$F$1,MATCH(H184,Rame!$F:$F,0)-1,MATCH(I184,Rame!$F$1:$FF$1,0)-1))*IF(E184="Rame",1,0),4)</f>
        <v>0</v>
      </c>
      <c r="S184" s="446">
        <f ca="1">ROUND(IF(ISERROR(OFFSET(Bronzo!$A$1,MATCH(H184,Bronzo!$A:$A,0)-1,MATCH(I184,Bronzo!$A$1:$AA$1,0)-1)=TRUE),0,OFFSET(Bronzo!$A$1,MATCH(H184,Bronzo!$A:$A,0)-1,MATCH(I184,Bronzo!$A$1:$AA$1,0)-1)),4)</f>
        <v>0</v>
      </c>
      <c r="T184" s="446">
        <f t="shared" ca="1" si="143"/>
        <v>0</v>
      </c>
      <c r="U184" s="443"/>
      <c r="V184" s="446">
        <v>0</v>
      </c>
      <c r="W184" s="449">
        <f t="shared" ca="1" si="144"/>
        <v>0.82</v>
      </c>
      <c r="X184" s="452">
        <f t="shared" si="131"/>
        <v>204.6</v>
      </c>
      <c r="Y184" s="440">
        <v>14.4</v>
      </c>
      <c r="Z184" s="440">
        <f t="shared" ca="1" si="145"/>
        <v>2.88</v>
      </c>
      <c r="AA184" s="241">
        <v>46141</v>
      </c>
      <c r="AF184" s="225">
        <f t="shared" ca="1" si="115"/>
        <v>46156</v>
      </c>
      <c r="AG184" s="225" t="b">
        <f t="shared" si="146"/>
        <v>0</v>
      </c>
      <c r="AH184" s="242"/>
      <c r="AK184" s="223">
        <f t="shared" si="147"/>
        <v>18</v>
      </c>
      <c r="AL184" s="223">
        <f t="shared" si="148"/>
        <v>2026</v>
      </c>
      <c r="AS184" s="223">
        <f t="shared" si="149"/>
        <v>4</v>
      </c>
      <c r="AT184" s="223">
        <f t="shared" si="150"/>
        <v>2026</v>
      </c>
    </row>
    <row r="185" spans="2:46" ht="15.75" x14ac:dyDescent="0.25">
      <c r="B185" s="229" t="s">
        <v>609</v>
      </c>
      <c r="C185" s="244" t="s">
        <v>336</v>
      </c>
      <c r="D185" s="245">
        <v>520</v>
      </c>
      <c r="E185" s="232" t="s">
        <v>6</v>
      </c>
      <c r="F185" s="435">
        <v>10.7</v>
      </c>
      <c r="G185" s="234">
        <v>46119</v>
      </c>
      <c r="H185" s="235" t="s">
        <v>16</v>
      </c>
      <c r="I185" s="235"/>
      <c r="J185" s="440">
        <v>0.15</v>
      </c>
      <c r="K185" s="443">
        <f ca="1">ROUND(IF(ISERROR(OFFSET(Tabella!$A$1,MATCH(H185,Tabella!$A:$A,0)-1,MATCH(J185,Tabella!$A$1:$AC$1,0)-1)=TRUE),0,+OFFSET(Tabella!$A$1,MATCH(H185,Tabella!$A:$A,0)-1,MATCH(J185,Tabella!$A$1:$AC$1,0)-1)),4)</f>
        <v>0</v>
      </c>
      <c r="L185" s="446">
        <f ca="1">ROUND(IF(ISERROR(OFFSET(Ottone!$A$1,MATCH(H185,Ottone!$A:$A,0)-1,MATCH(J185,Ottone!$A$1:$Z$1,0)-1)=TRUE),0,OFFSET(Ottone!$A$1,MATCH(H185,Ottone!$A:$A,0)-1,MATCH(J185,Ottone!$A$1:$Z$1,0)-1))*IF(E185="Ottone",1,0),4)</f>
        <v>0</v>
      </c>
      <c r="M185" s="446">
        <f ca="1">ROUND(IF(ISERROR(OFFSET(Rame!$A$1,MATCH(H185,Rame!$A:$A,0)-1,MATCH(J185,Rame!$A$1:$AA$1,0)-1)=TRUE),0,OFFSET(Rame!$A$1,MATCH(H185,Rame!$A:$A,0)-1,MATCH(J185,Rame!$A$1:$AA$1,0)-1))*IF(E185="Rame",1,0),4)</f>
        <v>0.85</v>
      </c>
      <c r="N185" s="446">
        <v>0</v>
      </c>
      <c r="O185" s="446">
        <f t="shared" ca="1" si="151"/>
        <v>0.85</v>
      </c>
      <c r="P185" s="446">
        <f ca="1">ROUND(+IF(ISERROR(OFFSET(Tabella!$G$1,MATCH(H185,Tabella!$G:$G,0)-1,MATCH(I185,Tabella!$G$1:$FG$1,0)-1)=TRUE),0,OFFSET(Tabella!$G$1,MATCH(H185,Tabella!$G:$G,0)-1,MATCH(I185,Tabella!$G$1:$AB$1,0)-1)),4)</f>
        <v>0</v>
      </c>
      <c r="Q185" s="446">
        <f ca="1">ROUND(IF(ISERROR(OFFSET(Ottone!$F$1,MATCH(H185,Ottone!$A:$A,0)-1,MATCH(I185,Ottone!$F$1:$FF$1,0)-1)=TRUE),0,OFFSET(Ottone!$F$1,MATCH(H185,Ottone!$A:$A,0)-1,MATCH(I185,Ottone!$F$1:$FF$1,0)-1))*IF(E185="Ottone",1,0),4)</f>
        <v>0</v>
      </c>
      <c r="R185" s="446">
        <f ca="1">ROUND(IF(ISERROR(OFFSET(Rame!$F$1,MATCH(H185,Rame!$F:$F,0)-1,MATCH(I185,Rame!$F$1:$FF$1,0)-1)=TRUE),0,OFFSET(Rame!$F$1,MATCH(H185,Rame!$F:$F,0)-1,MATCH(I185,Rame!$F$1:$FF$1,0)-1))*IF(E185="Rame",1,0),4)</f>
        <v>0</v>
      </c>
      <c r="S185" s="446">
        <f ca="1">ROUND(IF(ISERROR(OFFSET(Bronzo!$A$1,MATCH(H185,Bronzo!$A:$A,0)-1,MATCH(I185,Bronzo!$A$1:$AA$1,0)-1)=TRUE),0,OFFSET(Bronzo!$A$1,MATCH(H185,Bronzo!$A:$A,0)-1,MATCH(I185,Bronzo!$A$1:$AA$1,0)-1)),4)</f>
        <v>0</v>
      </c>
      <c r="T185" s="446">
        <f t="shared" ca="1" si="143"/>
        <v>0</v>
      </c>
      <c r="U185" s="443"/>
      <c r="V185" s="446">
        <v>0</v>
      </c>
      <c r="W185" s="449">
        <f t="shared" ca="1" si="144"/>
        <v>0.85</v>
      </c>
      <c r="X185" s="454">
        <f t="shared" si="131"/>
        <v>78</v>
      </c>
      <c r="Y185" s="440">
        <v>14.4</v>
      </c>
      <c r="Z185" s="440">
        <f t="shared" ca="1" si="145"/>
        <v>2.85</v>
      </c>
      <c r="AA185" s="241"/>
      <c r="AF185" s="225">
        <f t="shared" ca="1" si="115"/>
        <v>46156</v>
      </c>
      <c r="AG185" s="225" t="b">
        <f t="shared" si="146"/>
        <v>1</v>
      </c>
      <c r="AH185" s="242"/>
      <c r="AK185" s="223">
        <f t="shared" si="147"/>
        <v>0</v>
      </c>
      <c r="AL185" s="223">
        <f t="shared" si="148"/>
        <v>1900</v>
      </c>
      <c r="AS185" s="223">
        <f t="shared" si="149"/>
        <v>0</v>
      </c>
      <c r="AT185" s="223">
        <f t="shared" si="150"/>
        <v>0</v>
      </c>
    </row>
    <row r="186" spans="2:46" ht="15.75" x14ac:dyDescent="0.25">
      <c r="B186" s="229" t="s">
        <v>609</v>
      </c>
      <c r="C186" s="244" t="s">
        <v>336</v>
      </c>
      <c r="D186" s="245">
        <v>534</v>
      </c>
      <c r="E186" s="232" t="s">
        <v>4</v>
      </c>
      <c r="F186" s="435">
        <v>2.98</v>
      </c>
      <c r="G186" s="234">
        <v>46119</v>
      </c>
      <c r="H186" s="235" t="s">
        <v>21</v>
      </c>
      <c r="I186" s="235"/>
      <c r="J186" s="440">
        <v>7.0000000000000007E-2</v>
      </c>
      <c r="K186" s="443">
        <v>1.6</v>
      </c>
      <c r="L186" s="446">
        <f ca="1">ROUND(IF(ISERROR(OFFSET(Ottone!$A$1,MATCH(H186,Ottone!$A:$A,0)-1,MATCH(J186,Ottone!$A$1:$Z$1,0)-1)=TRUE),0,OFFSET(Ottone!$A$1,MATCH(H186,Ottone!$A:$A,0)-1,MATCH(J186,Ottone!$A$1:$Z$1,0)-1))*IF(E186="Ottone",1,0),4)</f>
        <v>0</v>
      </c>
      <c r="M186" s="446">
        <f ca="1">ROUND(IF(ISERROR(OFFSET(Rame!$A$1,MATCH(H186,Rame!$A:$A,0)-1,MATCH(J186,Rame!$A$1:$AA$1,0)-1)=TRUE),0,OFFSET(Rame!$A$1,MATCH(H186,Rame!$A:$A,0)-1,MATCH(J186,Rame!$A$1:$AA$1,0)-1))*IF(E186="Rame",1,0),4)</f>
        <v>0</v>
      </c>
      <c r="N186" s="446">
        <v>0</v>
      </c>
      <c r="O186" s="446">
        <f t="shared" ca="1" si="151"/>
        <v>1.6</v>
      </c>
      <c r="P186" s="446">
        <f ca="1">ROUND(+IF(ISERROR(OFFSET(Tabella!$G$1,MATCH(H186,Tabella!$G:$G,0)-1,MATCH(I186,Tabella!$G$1:$FG$1,0)-1)=TRUE),0,OFFSET(Tabella!$G$1,MATCH(H186,Tabella!$G:$G,0)-1,MATCH(I186,Tabella!$G$1:$AB$1,0)-1)),4)</f>
        <v>0</v>
      </c>
      <c r="Q186" s="446">
        <f ca="1">ROUND(IF(ISERROR(OFFSET(Ottone!$F$1,MATCH(H186,Ottone!$A:$A,0)-1,MATCH(I186,Ottone!$F$1:$FF$1,0)-1)=TRUE),0,OFFSET(Ottone!$F$1,MATCH(H186,Ottone!$A:$A,0)-1,MATCH(I186,Ottone!$F$1:$FF$1,0)-1))*IF(E186="Ottone",1,0),4)</f>
        <v>0</v>
      </c>
      <c r="R186" s="446">
        <f ca="1">ROUND(IF(ISERROR(OFFSET(Rame!$F$1,MATCH(H186,Rame!$F:$F,0)-1,MATCH(I186,Rame!$F$1:$FF$1,0)-1)=TRUE),0,OFFSET(Rame!$F$1,MATCH(H186,Rame!$F:$F,0)-1,MATCH(I186,Rame!$F$1:$FF$1,0)-1))*IF(E186="Rame",1,0),4)</f>
        <v>0</v>
      </c>
      <c r="S186" s="446">
        <f ca="1">ROUND(IF(ISERROR(OFFSET(Bronzo!$A$1,MATCH(H186,Bronzo!$A:$A,0)-1,MATCH(I186,Bronzo!$A$1:$AA$1,0)-1)=TRUE),0,OFFSET(Bronzo!$A$1,MATCH(H186,Bronzo!$A:$A,0)-1,MATCH(I186,Bronzo!$A$1:$AA$1,0)-1)),4)</f>
        <v>0</v>
      </c>
      <c r="T186" s="446">
        <f t="shared" ca="1" si="143"/>
        <v>0</v>
      </c>
      <c r="U186" s="443"/>
      <c r="V186" s="446">
        <v>0</v>
      </c>
      <c r="W186" s="449">
        <f t="shared" ca="1" si="144"/>
        <v>1.6</v>
      </c>
      <c r="X186" s="454">
        <f t="shared" si="131"/>
        <v>37.380000000000003</v>
      </c>
      <c r="Y186" s="440">
        <v>4.8499999999999996</v>
      </c>
      <c r="Z186" s="440">
        <f t="shared" ca="1" si="145"/>
        <v>0.27</v>
      </c>
      <c r="AA186" s="241"/>
      <c r="AF186" s="225">
        <f t="shared" ca="1" si="115"/>
        <v>46156</v>
      </c>
      <c r="AG186" s="225" t="b">
        <f t="shared" si="146"/>
        <v>1</v>
      </c>
      <c r="AH186" s="242"/>
      <c r="AK186" s="223">
        <f t="shared" si="147"/>
        <v>0</v>
      </c>
      <c r="AL186" s="223">
        <f t="shared" si="148"/>
        <v>1900</v>
      </c>
      <c r="AS186" s="223">
        <f t="shared" si="149"/>
        <v>0</v>
      </c>
      <c r="AT186" s="223">
        <f t="shared" si="150"/>
        <v>0</v>
      </c>
    </row>
    <row r="187" spans="2:46" ht="15.75" x14ac:dyDescent="0.25">
      <c r="B187" s="229" t="s">
        <v>609</v>
      </c>
      <c r="C187" s="244" t="s">
        <v>336</v>
      </c>
      <c r="D187" s="245">
        <v>8074</v>
      </c>
      <c r="E187" s="232" t="s">
        <v>4</v>
      </c>
      <c r="F187" s="435">
        <v>2.98</v>
      </c>
      <c r="G187" s="234">
        <v>46119</v>
      </c>
      <c r="H187" s="235" t="s">
        <v>313</v>
      </c>
      <c r="I187" s="235"/>
      <c r="J187" s="440">
        <v>7.0000000000000007E-2</v>
      </c>
      <c r="K187" s="443">
        <v>1.6</v>
      </c>
      <c r="L187" s="446">
        <f ca="1">ROUND(IF(ISERROR(OFFSET(Ottone!$A$1,MATCH(H187,Ottone!$A:$A,0)-1,MATCH(J187,Ottone!$A$1:$Z$1,0)-1)=TRUE),0,OFFSET(Ottone!$A$1,MATCH(H187,Ottone!$A:$A,0)-1,MATCH(J187,Ottone!$A$1:$Z$1,0)-1))*IF(E187="Ottone",1,0),4)</f>
        <v>0</v>
      </c>
      <c r="M187" s="446">
        <f ca="1">ROUND(IF(ISERROR(OFFSET(Rame!$A$1,MATCH(H187,Rame!$A:$A,0)-1,MATCH(J187,Rame!$A$1:$AA$1,0)-1)=TRUE),0,OFFSET(Rame!$A$1,MATCH(H187,Rame!$A:$A,0)-1,MATCH(J187,Rame!$A$1:$AA$1,0)-1))*IF(E187="Rame",1,0),4)</f>
        <v>0</v>
      </c>
      <c r="N187" s="446">
        <v>0</v>
      </c>
      <c r="O187" s="446">
        <f t="shared" ca="1" si="151"/>
        <v>1.6</v>
      </c>
      <c r="P187" s="446">
        <f ca="1">ROUND(+IF(ISERROR(OFFSET(Tabella!$G$1,MATCH(H187,Tabella!$G:$G,0)-1,MATCH(I187,Tabella!$G$1:$FG$1,0)-1)=TRUE),0,OFFSET(Tabella!$G$1,MATCH(H187,Tabella!$G:$G,0)-1,MATCH(I187,Tabella!$G$1:$AB$1,0)-1)),4)</f>
        <v>0</v>
      </c>
      <c r="Q187" s="446">
        <f ca="1">ROUND(IF(ISERROR(OFFSET(Ottone!$F$1,MATCH(H187,Ottone!$A:$A,0)-1,MATCH(I187,Ottone!$F$1:$FF$1,0)-1)=TRUE),0,OFFSET(Ottone!$F$1,MATCH(H187,Ottone!$A:$A,0)-1,MATCH(I187,Ottone!$F$1:$FF$1,0)-1))*IF(E187="Ottone",1,0),4)</f>
        <v>0</v>
      </c>
      <c r="R187" s="446">
        <f ca="1">ROUND(IF(ISERROR(OFFSET(Rame!$F$1,MATCH(H187,Rame!$F:$F,0)-1,MATCH(I187,Rame!$F$1:$FF$1,0)-1)=TRUE),0,OFFSET(Rame!$F$1,MATCH(H187,Rame!$F:$F,0)-1,MATCH(I187,Rame!$F$1:$FF$1,0)-1))*IF(E187="Rame",1,0),4)</f>
        <v>0</v>
      </c>
      <c r="S187" s="446">
        <f ca="1">ROUND(IF(ISERROR(OFFSET(Bronzo!$A$1,MATCH(H187,Bronzo!$A:$A,0)-1,MATCH(I187,Bronzo!$A$1:$AA$1,0)-1)=TRUE),0,OFFSET(Bronzo!$A$1,MATCH(H187,Bronzo!$A:$A,0)-1,MATCH(I187,Bronzo!$A$1:$AA$1,0)-1)),4)</f>
        <v>0</v>
      </c>
      <c r="T187" s="446">
        <f t="shared" ca="1" si="143"/>
        <v>0</v>
      </c>
      <c r="U187" s="443"/>
      <c r="V187" s="446">
        <v>0</v>
      </c>
      <c r="W187" s="449">
        <f t="shared" ca="1" si="144"/>
        <v>1.6</v>
      </c>
      <c r="X187" s="454">
        <f t="shared" si="131"/>
        <v>565.17999999999995</v>
      </c>
      <c r="Y187" s="440">
        <v>4.8499999999999996</v>
      </c>
      <c r="Z187" s="440">
        <f t="shared" ca="1" si="145"/>
        <v>0.27</v>
      </c>
      <c r="AA187" s="241"/>
      <c r="AF187" s="225">
        <f t="shared" ca="1" si="115"/>
        <v>46156</v>
      </c>
      <c r="AG187" s="225" t="b">
        <f t="shared" si="146"/>
        <v>1</v>
      </c>
      <c r="AH187" s="242"/>
      <c r="AK187" s="223">
        <f t="shared" si="147"/>
        <v>0</v>
      </c>
      <c r="AL187" s="223">
        <f t="shared" si="148"/>
        <v>1900</v>
      </c>
      <c r="AS187" s="223">
        <f t="shared" si="149"/>
        <v>0</v>
      </c>
      <c r="AT187" s="223">
        <f t="shared" si="150"/>
        <v>0</v>
      </c>
    </row>
    <row r="188" spans="2:46" ht="15.75" x14ac:dyDescent="0.25">
      <c r="B188" s="229" t="s">
        <v>609</v>
      </c>
      <c r="C188" s="244" t="s">
        <v>336</v>
      </c>
      <c r="D188" s="245">
        <v>490</v>
      </c>
      <c r="E188" s="232" t="s">
        <v>4</v>
      </c>
      <c r="F188" s="435">
        <v>2.98</v>
      </c>
      <c r="G188" s="234">
        <v>46119</v>
      </c>
      <c r="H188" s="235" t="s">
        <v>9</v>
      </c>
      <c r="I188" s="235"/>
      <c r="J188" s="440">
        <v>7.0000000000000007E-2</v>
      </c>
      <c r="K188" s="443">
        <v>1.9</v>
      </c>
      <c r="L188" s="446">
        <f ca="1">ROUND(IF(ISERROR(OFFSET(Ottone!$A$1,MATCH(H188,Ottone!$A:$A,0)-1,MATCH(J188,Ottone!$A$1:$Z$1,0)-1)=TRUE),0,OFFSET(Ottone!$A$1,MATCH(H188,Ottone!$A:$A,0)-1,MATCH(J188,Ottone!$A$1:$Z$1,0)-1))*IF(E188="Ottone",1,0),4)</f>
        <v>0</v>
      </c>
      <c r="M188" s="446">
        <f ca="1">ROUND(IF(ISERROR(OFFSET(Rame!$A$1,MATCH(H188,Rame!$A:$A,0)-1,MATCH(J188,Rame!$A$1:$AA$1,0)-1)=TRUE),0,OFFSET(Rame!$A$1,MATCH(H188,Rame!$A:$A,0)-1,MATCH(J188,Rame!$A$1:$AA$1,0)-1))*IF(E188="Rame",1,0),4)</f>
        <v>0</v>
      </c>
      <c r="N188" s="446">
        <v>0</v>
      </c>
      <c r="O188" s="446">
        <f t="shared" ca="1" si="151"/>
        <v>1.9</v>
      </c>
      <c r="P188" s="446">
        <f ca="1">ROUND(+IF(ISERROR(OFFSET(Tabella!$G$1,MATCH(H188,Tabella!$G:$G,0)-1,MATCH(I188,Tabella!$G$1:$FG$1,0)-1)=TRUE),0,OFFSET(Tabella!$G$1,MATCH(H188,Tabella!$G:$G,0)-1,MATCH(I188,Tabella!$G$1:$AB$1,0)-1)),4)</f>
        <v>0</v>
      </c>
      <c r="Q188" s="446">
        <f ca="1">ROUND(IF(ISERROR(OFFSET(Ottone!$F$1,MATCH(H188,Ottone!$A:$A,0)-1,MATCH(I188,Ottone!$F$1:$FF$1,0)-1)=TRUE),0,OFFSET(Ottone!$F$1,MATCH(H188,Ottone!$A:$A,0)-1,MATCH(I188,Ottone!$F$1:$FF$1,0)-1))*IF(E188="Ottone",1,0),4)</f>
        <v>0</v>
      </c>
      <c r="R188" s="446">
        <f ca="1">ROUND(IF(ISERROR(OFFSET(Rame!$F$1,MATCH(H188,Rame!$F:$F,0)-1,MATCH(I188,Rame!$F$1:$FF$1,0)-1)=TRUE),0,OFFSET(Rame!$F$1,MATCH(H188,Rame!$F:$F,0)-1,MATCH(I188,Rame!$F$1:$FF$1,0)-1))*IF(E188="Rame",1,0),4)</f>
        <v>0</v>
      </c>
      <c r="S188" s="446">
        <f ca="1">ROUND(IF(ISERROR(OFFSET(Bronzo!$A$1,MATCH(H188,Bronzo!$A:$A,0)-1,MATCH(I188,Bronzo!$A$1:$AA$1,0)-1)=TRUE),0,OFFSET(Bronzo!$A$1,MATCH(H188,Bronzo!$A:$A,0)-1,MATCH(I188,Bronzo!$A$1:$AA$1,0)-1)),4)</f>
        <v>0</v>
      </c>
      <c r="T188" s="446">
        <f t="shared" ca="1" si="143"/>
        <v>0</v>
      </c>
      <c r="U188" s="443"/>
      <c r="V188" s="446">
        <v>0</v>
      </c>
      <c r="W188" s="449">
        <f t="shared" ca="1" si="144"/>
        <v>1.9</v>
      </c>
      <c r="X188" s="454">
        <f t="shared" si="131"/>
        <v>34.299999999999997</v>
      </c>
      <c r="Y188" s="440">
        <v>5.15</v>
      </c>
      <c r="Z188" s="440">
        <f t="shared" ca="1" si="145"/>
        <v>0.27</v>
      </c>
      <c r="AA188" s="241"/>
      <c r="AF188" s="225">
        <f t="shared" ca="1" si="115"/>
        <v>46156</v>
      </c>
      <c r="AG188" s="225" t="b">
        <f t="shared" si="146"/>
        <v>1</v>
      </c>
      <c r="AH188" s="242"/>
      <c r="AK188" s="223">
        <f t="shared" si="147"/>
        <v>0</v>
      </c>
      <c r="AL188" s="223">
        <f t="shared" si="148"/>
        <v>1900</v>
      </c>
      <c r="AS188" s="223">
        <f t="shared" si="149"/>
        <v>0</v>
      </c>
      <c r="AT188" s="223">
        <f t="shared" si="150"/>
        <v>0</v>
      </c>
    </row>
    <row r="189" spans="2:46" ht="15.75" x14ac:dyDescent="0.25">
      <c r="B189" s="229" t="s">
        <v>609</v>
      </c>
      <c r="C189" s="244" t="s">
        <v>336</v>
      </c>
      <c r="D189" s="245">
        <v>3746</v>
      </c>
      <c r="E189" s="232" t="s">
        <v>4</v>
      </c>
      <c r="F189" s="435">
        <v>2.98</v>
      </c>
      <c r="G189" s="234">
        <v>46119</v>
      </c>
      <c r="H189" s="235" t="s">
        <v>308</v>
      </c>
      <c r="I189" s="235"/>
      <c r="J189" s="440">
        <v>7.0000000000000007E-2</v>
      </c>
      <c r="K189" s="443">
        <v>1.6</v>
      </c>
      <c r="L189" s="446">
        <f ca="1">ROUND(IF(ISERROR(OFFSET(Ottone!$A$1,MATCH(H189,Ottone!$A:$A,0)-1,MATCH(J189,Ottone!$A$1:$Z$1,0)-1)=TRUE),0,OFFSET(Ottone!$A$1,MATCH(H189,Ottone!$A:$A,0)-1,MATCH(J189,Ottone!$A$1:$Z$1,0)-1))*IF(E189="Ottone",1,0),4)</f>
        <v>0</v>
      </c>
      <c r="M189" s="446">
        <f ca="1">ROUND(IF(ISERROR(OFFSET(Rame!$A$1,MATCH(H189,Rame!$A:$A,0)-1,MATCH(J189,Rame!$A$1:$AA$1,0)-1)=TRUE),0,OFFSET(Rame!$A$1,MATCH(H189,Rame!$A:$A,0)-1,MATCH(J189,Rame!$A$1:$AA$1,0)-1))*IF(E189="Rame",1,0),4)</f>
        <v>0</v>
      </c>
      <c r="N189" s="446">
        <v>0</v>
      </c>
      <c r="O189" s="446">
        <f t="shared" ca="1" si="151"/>
        <v>1.6</v>
      </c>
      <c r="P189" s="446">
        <f ca="1">ROUND(+IF(ISERROR(OFFSET(Tabella!$G$1,MATCH(H189,Tabella!$G:$G,0)-1,MATCH(I189,Tabella!$G$1:$FG$1,0)-1)=TRUE),0,OFFSET(Tabella!$G$1,MATCH(H189,Tabella!$G:$G,0)-1,MATCH(I189,Tabella!$G$1:$AB$1,0)-1)),4)</f>
        <v>0</v>
      </c>
      <c r="Q189" s="446">
        <f ca="1">ROUND(IF(ISERROR(OFFSET(Ottone!$F$1,MATCH(H189,Ottone!$A:$A,0)-1,MATCH(I189,Ottone!$F$1:$FF$1,0)-1)=TRUE),0,OFFSET(Ottone!$F$1,MATCH(H189,Ottone!$A:$A,0)-1,MATCH(I189,Ottone!$F$1:$FF$1,0)-1))*IF(E189="Ottone",1,0),4)</f>
        <v>0</v>
      </c>
      <c r="R189" s="446">
        <f ca="1">ROUND(IF(ISERROR(OFFSET(Rame!$F$1,MATCH(H189,Rame!$F:$F,0)-1,MATCH(I189,Rame!$F$1:$FF$1,0)-1)=TRUE),0,OFFSET(Rame!$F$1,MATCH(H189,Rame!$F:$F,0)-1,MATCH(I189,Rame!$F$1:$FF$1,0)-1))*IF(E189="Rame",1,0),4)</f>
        <v>0</v>
      </c>
      <c r="S189" s="446">
        <f ca="1">ROUND(IF(ISERROR(OFFSET(Bronzo!$A$1,MATCH(H189,Bronzo!$A:$A,0)-1,MATCH(I189,Bronzo!$A$1:$AA$1,0)-1)=TRUE),0,OFFSET(Bronzo!$A$1,MATCH(H189,Bronzo!$A:$A,0)-1,MATCH(I189,Bronzo!$A$1:$AA$1,0)-1)),4)</f>
        <v>0</v>
      </c>
      <c r="T189" s="446">
        <f t="shared" ca="1" si="143"/>
        <v>0</v>
      </c>
      <c r="U189" s="443"/>
      <c r="V189" s="446">
        <v>0</v>
      </c>
      <c r="W189" s="449">
        <f t="shared" ca="1" si="144"/>
        <v>1.6</v>
      </c>
      <c r="X189" s="454">
        <f t="shared" si="131"/>
        <v>262.22000000000003</v>
      </c>
      <c r="Y189" s="440">
        <v>4.8499999999999996</v>
      </c>
      <c r="Z189" s="440">
        <f t="shared" ca="1" si="145"/>
        <v>0.27</v>
      </c>
      <c r="AA189" s="241"/>
      <c r="AF189" s="225">
        <f t="shared" ca="1" si="115"/>
        <v>46156</v>
      </c>
      <c r="AG189" s="225" t="b">
        <f t="shared" si="146"/>
        <v>1</v>
      </c>
      <c r="AH189" s="242"/>
      <c r="AK189" s="223">
        <f t="shared" si="147"/>
        <v>0</v>
      </c>
      <c r="AL189" s="223">
        <f t="shared" si="148"/>
        <v>1900</v>
      </c>
      <c r="AS189" s="223">
        <f t="shared" si="149"/>
        <v>0</v>
      </c>
      <c r="AT189" s="223">
        <f t="shared" si="150"/>
        <v>0</v>
      </c>
    </row>
    <row r="190" spans="2:46" ht="15.75" x14ac:dyDescent="0.25">
      <c r="B190" s="229" t="s">
        <v>501</v>
      </c>
      <c r="C190" s="235" t="s">
        <v>336</v>
      </c>
      <c r="D190" s="243">
        <v>750</v>
      </c>
      <c r="E190" s="232" t="s">
        <v>4</v>
      </c>
      <c r="F190" s="435">
        <v>2.98</v>
      </c>
      <c r="G190" s="234">
        <v>46119</v>
      </c>
      <c r="H190" s="235" t="s">
        <v>28</v>
      </c>
      <c r="I190" s="235"/>
      <c r="J190" s="440">
        <v>7.0000000000000007E-2</v>
      </c>
      <c r="K190" s="443">
        <v>1.6</v>
      </c>
      <c r="L190" s="446">
        <f ca="1">ROUND(IF(ISERROR(OFFSET(Ottone!$A$1,MATCH(H190,Ottone!$A:$A,0)-1,MATCH(J190,Ottone!$A$1:$Z$1,0)-1)=TRUE),0,OFFSET(Ottone!$A$1,MATCH(H190,Ottone!$A:$A,0)-1,MATCH(J190,Ottone!$A$1:$Z$1,0)-1))*IF(E190="Ottone",1,0),4)</f>
        <v>0</v>
      </c>
      <c r="M190" s="446">
        <f ca="1">ROUND(IF(ISERROR(OFFSET(Rame!$A$1,MATCH(H190,Rame!$A:$A,0)-1,MATCH(J190,Rame!$A$1:$AA$1,0)-1)=TRUE),0,OFFSET(Rame!$A$1,MATCH(H190,Rame!$A:$A,0)-1,MATCH(J190,Rame!$A$1:$AA$1,0)-1))*IF(E190="Rame",1,0),4)</f>
        <v>0</v>
      </c>
      <c r="N190" s="446">
        <v>0</v>
      </c>
      <c r="O190" s="446">
        <f t="shared" ca="1" si="151"/>
        <v>1.6</v>
      </c>
      <c r="P190" s="446">
        <f ca="1">ROUND(+IF(ISERROR(OFFSET(Tabella!$G$1,MATCH(H190,Tabella!$G:$G,0)-1,MATCH(I190,Tabella!$G$1:$FG$1,0)-1)=TRUE),0,OFFSET(Tabella!$G$1,MATCH(H190,Tabella!$G:$G,0)-1,MATCH(I190,Tabella!$G$1:$AB$1,0)-1)),4)</f>
        <v>0</v>
      </c>
      <c r="Q190" s="446">
        <f ca="1">ROUND(IF(ISERROR(OFFSET(Ottone!$F$1,MATCH(H190,Ottone!$A:$A,0)-1,MATCH(I190,Ottone!$F$1:$FF$1,0)-1)=TRUE),0,OFFSET(Ottone!$F$1,MATCH(H190,Ottone!$A:$A,0)-1,MATCH(I190,Ottone!$F$1:$FF$1,0)-1))*IF(E190="Ottone",1,0),4)</f>
        <v>0</v>
      </c>
      <c r="R190" s="446">
        <f ca="1">ROUND(IF(ISERROR(OFFSET(Rame!$F$1,MATCH(H190,Rame!$F:$F,0)-1,MATCH(I190,Rame!$F$1:$FF$1,0)-1)=TRUE),0,OFFSET(Rame!$F$1,MATCH(H190,Rame!$F:$F,0)-1,MATCH(I190,Rame!$F$1:$FF$1,0)-1))*IF(E190="Rame",1,0),4)</f>
        <v>0</v>
      </c>
      <c r="S190" s="446">
        <f ca="1">ROUND(IF(ISERROR(OFFSET(Bronzo!$A$1,MATCH(H190,Bronzo!$A:$A,0)-1,MATCH(I190,Bronzo!$A$1:$AA$1,0)-1)=TRUE),0,OFFSET(Bronzo!$A$1,MATCH(H190,Bronzo!$A:$A,0)-1,MATCH(I190,Bronzo!$A$1:$AA$1,0)-1)),4)</f>
        <v>0</v>
      </c>
      <c r="T190" s="446">
        <f t="shared" ca="1" si="143"/>
        <v>0</v>
      </c>
      <c r="U190" s="443"/>
      <c r="V190" s="446">
        <v>0</v>
      </c>
      <c r="W190" s="449">
        <f t="shared" ca="1" si="144"/>
        <v>1.6</v>
      </c>
      <c r="X190" s="452">
        <f t="shared" si="131"/>
        <v>52.5</v>
      </c>
      <c r="Y190" s="440">
        <v>4.8499999999999996</v>
      </c>
      <c r="Z190" s="440">
        <f t="shared" ca="1" si="145"/>
        <v>0.27</v>
      </c>
      <c r="AA190" s="241">
        <v>46141</v>
      </c>
      <c r="AF190" s="225">
        <f t="shared" ca="1" si="115"/>
        <v>46156</v>
      </c>
      <c r="AG190" s="225" t="b">
        <f t="shared" si="146"/>
        <v>0</v>
      </c>
      <c r="AH190" s="242"/>
      <c r="AK190" s="223">
        <f t="shared" si="147"/>
        <v>18</v>
      </c>
      <c r="AL190" s="223">
        <f t="shared" si="148"/>
        <v>2026</v>
      </c>
      <c r="AS190" s="223">
        <f t="shared" si="149"/>
        <v>4</v>
      </c>
      <c r="AT190" s="223">
        <f t="shared" si="150"/>
        <v>2026</v>
      </c>
    </row>
    <row r="191" spans="2:46" ht="15.75" x14ac:dyDescent="0.25">
      <c r="B191" s="229" t="s">
        <v>564</v>
      </c>
      <c r="C191" s="235" t="s">
        <v>335</v>
      </c>
      <c r="D191" s="243">
        <v>900</v>
      </c>
      <c r="E191" s="232" t="s">
        <v>6</v>
      </c>
      <c r="F191" s="435">
        <v>10.65</v>
      </c>
      <c r="G191" s="234">
        <v>46121</v>
      </c>
      <c r="H191" s="235" t="s">
        <v>18</v>
      </c>
      <c r="I191" s="235"/>
      <c r="J191" s="440">
        <v>0.15</v>
      </c>
      <c r="K191" s="443">
        <f ca="1">ROUND(IF(ISERROR(OFFSET(Tabella!$A$1,MATCH(H191,Tabella!$A:$A,0)-1,MATCH(J191,Tabella!$A$1:$AC$1,0)-1)=TRUE),0,+OFFSET(Tabella!$A$1,MATCH(H191,Tabella!$A:$A,0)-1,MATCH(J191,Tabella!$A$1:$AC$1,0)-1)),4)</f>
        <v>0</v>
      </c>
      <c r="L191" s="446">
        <f ca="1">ROUND(IF(ISERROR(OFFSET(Ottone!$A$1,MATCH(H191,Ottone!$A:$A,0)-1,MATCH(J191,Ottone!$A$1:$Z$1,0)-1)=TRUE),0,OFFSET(Ottone!$A$1,MATCH(H191,Ottone!$A:$A,0)-1,MATCH(J191,Ottone!$A$1:$Z$1,0)-1))*IF(E191="Ottone",1,0),4)</f>
        <v>0</v>
      </c>
      <c r="M191" s="446">
        <f ca="1">ROUND(IF(ISERROR(OFFSET(Rame!$A$1,MATCH(H191,Rame!$A:$A,0)-1,MATCH(J191,Rame!$A$1:$AA$1,0)-1)=TRUE),0,OFFSET(Rame!$A$1,MATCH(H191,Rame!$A:$A,0)-1,MATCH(J191,Rame!$A$1:$AA$1,0)-1))*IF(E191="Rame",1,0),4)</f>
        <v>0.82</v>
      </c>
      <c r="N191" s="446">
        <v>0</v>
      </c>
      <c r="O191" s="446">
        <f t="shared" ca="1" si="151"/>
        <v>0.82</v>
      </c>
      <c r="P191" s="446">
        <f ca="1">ROUND(+IF(ISERROR(OFFSET(Tabella!$G$1,MATCH(H191,Tabella!$G:$G,0)-1,MATCH(I191,Tabella!$G$1:$FG$1,0)-1)=TRUE),0,OFFSET(Tabella!$G$1,MATCH(H191,Tabella!$G:$G,0)-1,MATCH(I191,Tabella!$G$1:$AB$1,0)-1)),4)</f>
        <v>0</v>
      </c>
      <c r="Q191" s="446">
        <f ca="1">ROUND(IF(ISERROR(OFFSET(Ottone!$F$1,MATCH(H191,Ottone!$A:$A,0)-1,MATCH(I191,Ottone!$F$1:$FF$1,0)-1)=TRUE),0,OFFSET(Ottone!$F$1,MATCH(H191,Ottone!$A:$A,0)-1,MATCH(I191,Ottone!$F$1:$FF$1,0)-1))*IF(E191="Ottone",1,0),4)</f>
        <v>0</v>
      </c>
      <c r="R191" s="446">
        <f ca="1">ROUND(IF(ISERROR(OFFSET(Rame!$F$1,MATCH(H191,Rame!$F:$F,0)-1,MATCH(I191,Rame!$F$1:$FF$1,0)-1)=TRUE),0,OFFSET(Rame!$F$1,MATCH(H191,Rame!$F:$F,0)-1,MATCH(I191,Rame!$F$1:$FF$1,0)-1))*IF(E191="Rame",1,0),4)</f>
        <v>0</v>
      </c>
      <c r="S191" s="446">
        <f ca="1">ROUND(IF(ISERROR(OFFSET(Bronzo!$A$1,MATCH(H191,Bronzo!$A:$A,0)-1,MATCH(I191,Bronzo!$A$1:$AA$1,0)-1)=TRUE),0,OFFSET(Bronzo!$A$1,MATCH(H191,Bronzo!$A:$A,0)-1,MATCH(I191,Bronzo!$A$1:$AA$1,0)-1)),4)</f>
        <v>0</v>
      </c>
      <c r="T191" s="446">
        <f t="shared" ca="1" si="143"/>
        <v>0</v>
      </c>
      <c r="U191" s="443"/>
      <c r="V191" s="446">
        <v>0</v>
      </c>
      <c r="W191" s="449">
        <f t="shared" ca="1" si="144"/>
        <v>0.82</v>
      </c>
      <c r="X191" s="452">
        <f t="shared" si="131"/>
        <v>135</v>
      </c>
      <c r="Y191" s="440">
        <v>14.2</v>
      </c>
      <c r="Z191" s="440">
        <f t="shared" ca="1" si="145"/>
        <v>2.73</v>
      </c>
      <c r="AA191" s="241">
        <v>46142</v>
      </c>
      <c r="AF191" s="225">
        <f t="shared" ca="1" si="115"/>
        <v>46156</v>
      </c>
      <c r="AG191" s="225" t="b">
        <f t="shared" si="146"/>
        <v>0</v>
      </c>
      <c r="AH191" s="242"/>
      <c r="AK191" s="223">
        <f t="shared" si="147"/>
        <v>18</v>
      </c>
      <c r="AL191" s="223">
        <f t="shared" si="148"/>
        <v>2026</v>
      </c>
      <c r="AS191" s="223">
        <f t="shared" si="149"/>
        <v>4</v>
      </c>
      <c r="AT191" s="223">
        <f t="shared" si="150"/>
        <v>2026</v>
      </c>
    </row>
    <row r="192" spans="2:46" ht="15.75" x14ac:dyDescent="0.25">
      <c r="B192" s="229" t="s">
        <v>529</v>
      </c>
      <c r="C192" s="235" t="s">
        <v>396</v>
      </c>
      <c r="D192" s="243">
        <v>500</v>
      </c>
      <c r="E192" s="232" t="s">
        <v>4</v>
      </c>
      <c r="F192" s="435">
        <v>3</v>
      </c>
      <c r="G192" s="234">
        <v>46122</v>
      </c>
      <c r="H192" s="235" t="s">
        <v>9</v>
      </c>
      <c r="I192" s="235"/>
      <c r="J192" s="440">
        <v>7.0000000000000007E-2</v>
      </c>
      <c r="K192" s="443">
        <v>1.9</v>
      </c>
      <c r="L192" s="446">
        <f ca="1">ROUND(IF(ISERROR(OFFSET(Ottone!$A$1,MATCH(H192,Ottone!$A:$A,0)-1,MATCH(J192,Ottone!$A$1:$Z$1,0)-1)=TRUE),0,OFFSET(Ottone!$A$1,MATCH(H192,Ottone!$A:$A,0)-1,MATCH(J192,Ottone!$A$1:$Z$1,0)-1))*IF(E192="Ottone",1,0),4)</f>
        <v>0</v>
      </c>
      <c r="M192" s="446">
        <f ca="1">ROUND(IF(ISERROR(OFFSET(Rame!$A$1,MATCH(H192,Rame!$A:$A,0)-1,MATCH(J192,Rame!$A$1:$AA$1,0)-1)=TRUE),0,OFFSET(Rame!$A$1,MATCH(H192,Rame!$A:$A,0)-1,MATCH(J192,Rame!$A$1:$AA$1,0)-1))*IF(E192="Rame",1,0),4)</f>
        <v>0</v>
      </c>
      <c r="N192" s="446">
        <v>0</v>
      </c>
      <c r="O192" s="446">
        <f t="shared" ca="1" si="151"/>
        <v>1.9</v>
      </c>
      <c r="P192" s="446">
        <f ca="1">ROUND(+IF(ISERROR(OFFSET(Tabella!$G$1,MATCH(H192,Tabella!$G:$G,0)-1,MATCH(I192,Tabella!$G$1:$FG$1,0)-1)=TRUE),0,OFFSET(Tabella!$G$1,MATCH(H192,Tabella!$G:$G,0)-1,MATCH(I192,Tabella!$G$1:$AB$1,0)-1)),4)</f>
        <v>0</v>
      </c>
      <c r="Q192" s="446">
        <f ca="1">ROUND(IF(ISERROR(OFFSET(Ottone!$F$1,MATCH(H192,Ottone!$A:$A,0)-1,MATCH(I192,Ottone!$F$1:$FF$1,0)-1)=TRUE),0,OFFSET(Ottone!$F$1,MATCH(H192,Ottone!$A:$A,0)-1,MATCH(I192,Ottone!$F$1:$FF$1,0)-1))*IF(E192="Ottone",1,0),4)</f>
        <v>0</v>
      </c>
      <c r="R192" s="446">
        <f ca="1">ROUND(IF(ISERROR(OFFSET(Rame!$F$1,MATCH(H192,Rame!$F:$F,0)-1,MATCH(I192,Rame!$F$1:$FF$1,0)-1)=TRUE),0,OFFSET(Rame!$F$1,MATCH(H192,Rame!$F:$F,0)-1,MATCH(I192,Rame!$F$1:$FF$1,0)-1))*IF(E192="Rame",1,0),4)</f>
        <v>0</v>
      </c>
      <c r="S192" s="446">
        <f ca="1">ROUND(IF(ISERROR(OFFSET(Bronzo!$A$1,MATCH(H192,Bronzo!$A:$A,0)-1,MATCH(I192,Bronzo!$A$1:$AA$1,0)-1)=TRUE),0,OFFSET(Bronzo!$A$1,MATCH(H192,Bronzo!$A:$A,0)-1,MATCH(I192,Bronzo!$A$1:$AA$1,0)-1)),4)</f>
        <v>0</v>
      </c>
      <c r="T192" s="446">
        <f t="shared" ca="1" si="143"/>
        <v>0</v>
      </c>
      <c r="U192" s="443"/>
      <c r="V192" s="446">
        <v>0</v>
      </c>
      <c r="W192" s="449">
        <f t="shared" ca="1" si="144"/>
        <v>1.9</v>
      </c>
      <c r="X192" s="452">
        <f t="shared" si="131"/>
        <v>35</v>
      </c>
      <c r="Y192" s="440">
        <v>5.12</v>
      </c>
      <c r="Z192" s="440">
        <f t="shared" ca="1" si="145"/>
        <v>0.22</v>
      </c>
      <c r="AA192" s="241">
        <v>46237</v>
      </c>
      <c r="AF192" s="225">
        <f t="shared" ca="1" si="115"/>
        <v>46156</v>
      </c>
      <c r="AG192" s="225" t="b">
        <f t="shared" si="146"/>
        <v>0</v>
      </c>
      <c r="AH192" s="242"/>
      <c r="AK192" s="223">
        <f t="shared" si="147"/>
        <v>32</v>
      </c>
      <c r="AL192" s="223">
        <f t="shared" si="148"/>
        <v>2026</v>
      </c>
      <c r="AS192" s="223">
        <f t="shared" si="149"/>
        <v>8</v>
      </c>
      <c r="AT192" s="223">
        <f t="shared" si="150"/>
        <v>2026</v>
      </c>
    </row>
    <row r="193" spans="2:46" ht="15.75" x14ac:dyDescent="0.25">
      <c r="B193" s="229" t="s">
        <v>528</v>
      </c>
      <c r="C193" s="235" t="s">
        <v>396</v>
      </c>
      <c r="D193" s="243">
        <v>1000</v>
      </c>
      <c r="E193" s="232" t="s">
        <v>4</v>
      </c>
      <c r="F193" s="435">
        <v>3</v>
      </c>
      <c r="G193" s="234">
        <v>46122</v>
      </c>
      <c r="H193" s="235" t="s">
        <v>28</v>
      </c>
      <c r="I193" s="235"/>
      <c r="J193" s="440">
        <v>7.0000000000000007E-2</v>
      </c>
      <c r="K193" s="443">
        <v>1.6</v>
      </c>
      <c r="L193" s="446">
        <f ca="1">ROUND(IF(ISERROR(OFFSET(Ottone!$A$1,MATCH(H193,Ottone!$A:$A,0)-1,MATCH(J193,Ottone!$A$1:$Z$1,0)-1)=TRUE),0,OFFSET(Ottone!$A$1,MATCH(H193,Ottone!$A:$A,0)-1,MATCH(J193,Ottone!$A$1:$Z$1,0)-1))*IF(E193="Ottone",1,0),4)</f>
        <v>0</v>
      </c>
      <c r="M193" s="446">
        <f ca="1">ROUND(IF(ISERROR(OFFSET(Rame!$A$1,MATCH(H193,Rame!$A:$A,0)-1,MATCH(J193,Rame!$A$1:$AA$1,0)-1)=TRUE),0,OFFSET(Rame!$A$1,MATCH(H193,Rame!$A:$A,0)-1,MATCH(J193,Rame!$A$1:$AA$1,0)-1))*IF(E193="Rame",1,0),4)</f>
        <v>0</v>
      </c>
      <c r="N193" s="446">
        <v>0</v>
      </c>
      <c r="O193" s="446">
        <f t="shared" ca="1" si="151"/>
        <v>1.6</v>
      </c>
      <c r="P193" s="446">
        <f ca="1">ROUND(+IF(ISERROR(OFFSET(Tabella!$G$1,MATCH(H193,Tabella!$G:$G,0)-1,MATCH(I193,Tabella!$G$1:$FG$1,0)-1)=TRUE),0,OFFSET(Tabella!$G$1,MATCH(H193,Tabella!$G:$G,0)-1,MATCH(I193,Tabella!$G$1:$AB$1,0)-1)),4)</f>
        <v>0</v>
      </c>
      <c r="Q193" s="446">
        <f ca="1">ROUND(IF(ISERROR(OFFSET(Ottone!$F$1,MATCH(H193,Ottone!$A:$A,0)-1,MATCH(I193,Ottone!$F$1:$FF$1,0)-1)=TRUE),0,OFFSET(Ottone!$F$1,MATCH(H193,Ottone!$A:$A,0)-1,MATCH(I193,Ottone!$F$1:$FF$1,0)-1))*IF(E193="Ottone",1,0),4)</f>
        <v>0</v>
      </c>
      <c r="R193" s="446">
        <f ca="1">ROUND(IF(ISERROR(OFFSET(Rame!$F$1,MATCH(H193,Rame!$F:$F,0)-1,MATCH(I193,Rame!$F$1:$FF$1,0)-1)=TRUE),0,OFFSET(Rame!$F$1,MATCH(H193,Rame!$F:$F,0)-1,MATCH(I193,Rame!$F$1:$FF$1,0)-1))*IF(E193="Rame",1,0),4)</f>
        <v>0</v>
      </c>
      <c r="S193" s="446">
        <f ca="1">ROUND(IF(ISERROR(OFFSET(Bronzo!$A$1,MATCH(H193,Bronzo!$A:$A,0)-1,MATCH(I193,Bronzo!$A$1:$AA$1,0)-1)=TRUE),0,OFFSET(Bronzo!$A$1,MATCH(H193,Bronzo!$A:$A,0)-1,MATCH(I193,Bronzo!$A$1:$AA$1,0)-1)),4)</f>
        <v>0</v>
      </c>
      <c r="T193" s="446">
        <f t="shared" ca="1" si="143"/>
        <v>0</v>
      </c>
      <c r="U193" s="443"/>
      <c r="V193" s="446">
        <v>0</v>
      </c>
      <c r="W193" s="449">
        <f t="shared" ca="1" si="144"/>
        <v>1.6</v>
      </c>
      <c r="X193" s="452">
        <f t="shared" si="131"/>
        <v>70</v>
      </c>
      <c r="Y193" s="440">
        <v>4.82</v>
      </c>
      <c r="Z193" s="440">
        <f t="shared" ca="1" si="145"/>
        <v>0.22</v>
      </c>
      <c r="AA193" s="241">
        <v>46339</v>
      </c>
      <c r="AF193" s="225">
        <f t="shared" ca="1" si="115"/>
        <v>46156</v>
      </c>
      <c r="AG193" s="225" t="b">
        <f t="shared" si="146"/>
        <v>0</v>
      </c>
      <c r="AH193" s="242"/>
      <c r="AK193" s="223">
        <f t="shared" si="147"/>
        <v>46</v>
      </c>
      <c r="AL193" s="223">
        <f t="shared" si="148"/>
        <v>2026</v>
      </c>
      <c r="AS193" s="223">
        <f t="shared" si="149"/>
        <v>11</v>
      </c>
      <c r="AT193" s="223">
        <f t="shared" si="150"/>
        <v>2026</v>
      </c>
    </row>
    <row r="194" spans="2:46" ht="15.75" x14ac:dyDescent="0.25">
      <c r="B194" s="229" t="s">
        <v>520</v>
      </c>
      <c r="C194" s="235" t="s">
        <v>108</v>
      </c>
      <c r="D194" s="243">
        <v>12000</v>
      </c>
      <c r="E194" s="232" t="s">
        <v>4</v>
      </c>
      <c r="F194" s="435">
        <v>2.96</v>
      </c>
      <c r="G194" s="234">
        <v>46122</v>
      </c>
      <c r="H194" s="235" t="s">
        <v>30</v>
      </c>
      <c r="I194" s="235"/>
      <c r="J194" s="440">
        <v>7.0000000000000007E-2</v>
      </c>
      <c r="K194" s="443">
        <v>1.6</v>
      </c>
      <c r="L194" s="446">
        <f ca="1">ROUND(IF(ISERROR(OFFSET(Ottone!$A$1,MATCH(H194,Ottone!$A:$A,0)-1,MATCH(J194,Ottone!$A$1:$Z$1,0)-1)=TRUE),0,OFFSET(Ottone!$A$1,MATCH(H194,Ottone!$A:$A,0)-1,MATCH(J194,Ottone!$A$1:$Z$1,0)-1))*IF(E194="Ottone",1,0),4)</f>
        <v>0</v>
      </c>
      <c r="M194" s="446">
        <f ca="1">ROUND(IF(ISERROR(OFFSET(Rame!$A$1,MATCH(H194,Rame!$A:$A,0)-1,MATCH(J194,Rame!$A$1:$AA$1,0)-1)=TRUE),0,OFFSET(Rame!$A$1,MATCH(H194,Rame!$A:$A,0)-1,MATCH(J194,Rame!$A$1:$AA$1,0)-1))*IF(E194="Rame",1,0),4)</f>
        <v>0</v>
      </c>
      <c r="N194" s="446">
        <v>0</v>
      </c>
      <c r="O194" s="446">
        <f t="shared" ca="1" si="151"/>
        <v>1.6</v>
      </c>
      <c r="P194" s="446">
        <f ca="1">ROUND(+IF(ISERROR(OFFSET(Tabella!$G$1,MATCH(H194,Tabella!$G:$G,0)-1,MATCH(I194,Tabella!$G$1:$FG$1,0)-1)=TRUE),0,OFFSET(Tabella!$G$1,MATCH(H194,Tabella!$G:$G,0)-1,MATCH(I194,Tabella!$G$1:$AB$1,0)-1)),4)</f>
        <v>0</v>
      </c>
      <c r="Q194" s="446">
        <f ca="1">ROUND(IF(ISERROR(OFFSET(Ottone!$F$1,MATCH(H194,Ottone!$A:$A,0)-1,MATCH(I194,Ottone!$F$1:$FF$1,0)-1)=TRUE),0,OFFSET(Ottone!$F$1,MATCH(H194,Ottone!$A:$A,0)-1,MATCH(I194,Ottone!$F$1:$FF$1,0)-1))*IF(E194="Ottone",1,0),4)</f>
        <v>0</v>
      </c>
      <c r="R194" s="446">
        <f ca="1">ROUND(IF(ISERROR(OFFSET(Rame!$F$1,MATCH(H194,Rame!$F:$F,0)-1,MATCH(I194,Rame!$F$1:$FF$1,0)-1)=TRUE),0,OFFSET(Rame!$F$1,MATCH(H194,Rame!$F:$F,0)-1,MATCH(I194,Rame!$F$1:$FF$1,0)-1))*IF(E194="Rame",1,0),4)</f>
        <v>0</v>
      </c>
      <c r="S194" s="446">
        <f ca="1">ROUND(IF(ISERROR(OFFSET(Bronzo!$A$1,MATCH(H194,Bronzo!$A:$A,0)-1,MATCH(I194,Bronzo!$A$1:$AA$1,0)-1)=TRUE),0,OFFSET(Bronzo!$A$1,MATCH(H194,Bronzo!$A:$A,0)-1,MATCH(I194,Bronzo!$A$1:$AA$1,0)-1)),4)</f>
        <v>0</v>
      </c>
      <c r="T194" s="446">
        <f t="shared" ca="1" si="143"/>
        <v>0</v>
      </c>
      <c r="U194" s="443"/>
      <c r="V194" s="446">
        <v>0</v>
      </c>
      <c r="W194" s="449">
        <f t="shared" ca="1" si="144"/>
        <v>1.6</v>
      </c>
      <c r="X194" s="452">
        <f t="shared" si="131"/>
        <v>840</v>
      </c>
      <c r="Y194" s="440">
        <v>4.5</v>
      </c>
      <c r="Z194" s="440">
        <f t="shared" ca="1" si="145"/>
        <v>-0.06</v>
      </c>
      <c r="AA194" s="241">
        <v>46154</v>
      </c>
      <c r="AF194" s="225">
        <f t="shared" ca="1" si="115"/>
        <v>46156</v>
      </c>
      <c r="AG194" s="225" t="b">
        <f t="shared" si="146"/>
        <v>0</v>
      </c>
      <c r="AH194" s="242"/>
      <c r="AK194" s="223">
        <f t="shared" si="147"/>
        <v>20</v>
      </c>
      <c r="AL194" s="223">
        <f t="shared" si="148"/>
        <v>2026</v>
      </c>
      <c r="AS194" s="223">
        <f t="shared" si="149"/>
        <v>5</v>
      </c>
      <c r="AT194" s="223">
        <f t="shared" si="150"/>
        <v>2026</v>
      </c>
    </row>
    <row r="195" spans="2:46" ht="15.75" x14ac:dyDescent="0.25">
      <c r="B195" s="229" t="s">
        <v>520</v>
      </c>
      <c r="C195" s="235" t="s">
        <v>108</v>
      </c>
      <c r="D195" s="243">
        <v>7000</v>
      </c>
      <c r="E195" s="232" t="s">
        <v>4</v>
      </c>
      <c r="F195" s="435">
        <v>2.96</v>
      </c>
      <c r="G195" s="234">
        <v>46122</v>
      </c>
      <c r="H195" s="235" t="s">
        <v>30</v>
      </c>
      <c r="I195" s="235"/>
      <c r="J195" s="440">
        <v>7.0000000000000007E-2</v>
      </c>
      <c r="K195" s="443">
        <v>1.6</v>
      </c>
      <c r="L195" s="446">
        <f ca="1">ROUND(IF(ISERROR(OFFSET(Ottone!$A$1,MATCH(H195,Ottone!$A:$A,0)-1,MATCH(J195,Ottone!$A$1:$Z$1,0)-1)=TRUE),0,OFFSET(Ottone!$A$1,MATCH(H195,Ottone!$A:$A,0)-1,MATCH(J195,Ottone!$A$1:$Z$1,0)-1))*IF(E195="Ottone",1,0),4)</f>
        <v>0</v>
      </c>
      <c r="M195" s="446">
        <f ca="1">ROUND(IF(ISERROR(OFFSET(Rame!$A$1,MATCH(H195,Rame!$A:$A,0)-1,MATCH(J195,Rame!$A$1:$AA$1,0)-1)=TRUE),0,OFFSET(Rame!$A$1,MATCH(H195,Rame!$A:$A,0)-1,MATCH(J195,Rame!$A$1:$AA$1,0)-1))*IF(E195="Rame",1,0),4)</f>
        <v>0</v>
      </c>
      <c r="N195" s="446">
        <v>0</v>
      </c>
      <c r="O195" s="446">
        <f t="shared" ca="1" si="151"/>
        <v>1.6</v>
      </c>
      <c r="P195" s="446">
        <f ca="1">ROUND(+IF(ISERROR(OFFSET(Tabella!$G$1,MATCH(H195,Tabella!$G:$G,0)-1,MATCH(I195,Tabella!$G$1:$FG$1,0)-1)=TRUE),0,OFFSET(Tabella!$G$1,MATCH(H195,Tabella!$G:$G,0)-1,MATCH(I195,Tabella!$G$1:$AB$1,0)-1)),4)</f>
        <v>0</v>
      </c>
      <c r="Q195" s="446">
        <f ca="1">ROUND(IF(ISERROR(OFFSET(Ottone!$F$1,MATCH(H195,Ottone!$A:$A,0)-1,MATCH(I195,Ottone!$F$1:$FF$1,0)-1)=TRUE),0,OFFSET(Ottone!$F$1,MATCH(H195,Ottone!$A:$A,0)-1,MATCH(I195,Ottone!$F$1:$FF$1,0)-1))*IF(E195="Ottone",1,0),4)</f>
        <v>0</v>
      </c>
      <c r="R195" s="446">
        <f ca="1">ROUND(IF(ISERROR(OFFSET(Rame!$F$1,MATCH(H195,Rame!$F:$F,0)-1,MATCH(I195,Rame!$F$1:$FF$1,0)-1)=TRUE),0,OFFSET(Rame!$F$1,MATCH(H195,Rame!$F:$F,0)-1,MATCH(I195,Rame!$F$1:$FF$1,0)-1))*IF(E195="Rame",1,0),4)</f>
        <v>0</v>
      </c>
      <c r="S195" s="446">
        <f ca="1">ROUND(IF(ISERROR(OFFSET(Bronzo!$A$1,MATCH(H195,Bronzo!$A:$A,0)-1,MATCH(I195,Bronzo!$A$1:$AA$1,0)-1)=TRUE),0,OFFSET(Bronzo!$A$1,MATCH(H195,Bronzo!$A:$A,0)-1,MATCH(I195,Bronzo!$A$1:$AA$1,0)-1)),4)</f>
        <v>0</v>
      </c>
      <c r="T195" s="446">
        <f t="shared" ca="1" si="143"/>
        <v>0</v>
      </c>
      <c r="U195" s="443"/>
      <c r="V195" s="446">
        <v>0</v>
      </c>
      <c r="W195" s="449">
        <f t="shared" ca="1" si="144"/>
        <v>1.6</v>
      </c>
      <c r="X195" s="452">
        <f t="shared" si="131"/>
        <v>490</v>
      </c>
      <c r="Y195" s="440">
        <v>4.5</v>
      </c>
      <c r="Z195" s="440">
        <f t="shared" ca="1" si="145"/>
        <v>-0.06</v>
      </c>
      <c r="AA195" s="241">
        <v>46154</v>
      </c>
      <c r="AF195" s="225">
        <f t="shared" ca="1" si="115"/>
        <v>46156</v>
      </c>
      <c r="AG195" s="225" t="b">
        <f t="shared" si="146"/>
        <v>0</v>
      </c>
      <c r="AH195" s="242"/>
      <c r="AK195" s="223">
        <f t="shared" si="147"/>
        <v>20</v>
      </c>
      <c r="AL195" s="223">
        <f t="shared" si="148"/>
        <v>2026</v>
      </c>
      <c r="AS195" s="223">
        <f t="shared" si="149"/>
        <v>5</v>
      </c>
      <c r="AT195" s="223">
        <f t="shared" si="150"/>
        <v>2026</v>
      </c>
    </row>
    <row r="196" spans="2:46" ht="15.75" x14ac:dyDescent="0.25">
      <c r="B196" s="229" t="s">
        <v>537</v>
      </c>
      <c r="C196" s="235" t="s">
        <v>297</v>
      </c>
      <c r="D196" s="243">
        <v>900</v>
      </c>
      <c r="E196" s="232" t="s">
        <v>4</v>
      </c>
      <c r="F196" s="435">
        <v>3.02</v>
      </c>
      <c r="G196" s="234">
        <v>46126</v>
      </c>
      <c r="H196" s="235" t="s">
        <v>26</v>
      </c>
      <c r="I196" s="235"/>
      <c r="J196" s="440">
        <v>7.0000000000000007E-2</v>
      </c>
      <c r="K196" s="443">
        <f ca="1">ROUND(IF(ISERROR(OFFSET(Tabella!$A$1,MATCH(H196,Tabella!$A:$A,0)-1,MATCH(J196,Tabella!$A$1:$AC$1,0)-1)=TRUE),0,+OFFSET(Tabella!$A$1,MATCH(H196,Tabella!$A:$A,0)-1,MATCH(J196,Tabella!$A$1:$AC$1,0)-1)),4)</f>
        <v>1.25</v>
      </c>
      <c r="L196" s="446">
        <f ca="1">ROUND(IF(ISERROR(OFFSET(Ottone!$A$1,MATCH(H196,Ottone!$A:$A,0)-1,MATCH(J196,Ottone!$A$1:$Z$1,0)-1)=TRUE),0,OFFSET(Ottone!$A$1,MATCH(H196,Ottone!$A:$A,0)-1,MATCH(J196,Ottone!$A$1:$Z$1,0)-1))*IF(E196="Ottone",1,0),4)</f>
        <v>0</v>
      </c>
      <c r="M196" s="446">
        <f ca="1">ROUND(IF(ISERROR(OFFSET(Rame!$A$1,MATCH(H196,Rame!$A:$A,0)-1,MATCH(J196,Rame!$A$1:$AA$1,0)-1)=TRUE),0,OFFSET(Rame!$A$1,MATCH(H196,Rame!$A:$A,0)-1,MATCH(J196,Rame!$A$1:$AA$1,0)-1))*IF(E196="Rame",1,0),4)</f>
        <v>0</v>
      </c>
      <c r="N196" s="446">
        <v>0</v>
      </c>
      <c r="O196" s="446">
        <v>1.73</v>
      </c>
      <c r="P196" s="446">
        <f ca="1">ROUND(+IF(ISERROR(OFFSET(Tabella!$G$1,MATCH(H196,Tabella!$G:$G,0)-1,MATCH(I196,Tabella!$G$1:$FG$1,0)-1)=TRUE),0,OFFSET(Tabella!$G$1,MATCH(H196,Tabella!$G:$G,0)-1,MATCH(I196,Tabella!$G$1:$AB$1,0)-1)),4)</f>
        <v>0</v>
      </c>
      <c r="Q196" s="446">
        <f ca="1">ROUND(IF(ISERROR(OFFSET(Ottone!$F$1,MATCH(H196,Ottone!$A:$A,0)-1,MATCH(I196,Ottone!$F$1:$FF$1,0)-1)=TRUE),0,OFFSET(Ottone!$F$1,MATCH(H196,Ottone!$A:$A,0)-1,MATCH(I196,Ottone!$F$1:$FF$1,0)-1))*IF(E196="Ottone",1,0),4)</f>
        <v>0</v>
      </c>
      <c r="R196" s="446">
        <f ca="1">ROUND(IF(ISERROR(OFFSET(Rame!$F$1,MATCH(H196,Rame!$F:$F,0)-1,MATCH(I196,Rame!$F$1:$FF$1,0)-1)=TRUE),0,OFFSET(Rame!$F$1,MATCH(H196,Rame!$F:$F,0)-1,MATCH(I196,Rame!$F$1:$FF$1,0)-1))*IF(E196="Rame",1,0),4)</f>
        <v>0</v>
      </c>
      <c r="S196" s="446">
        <f ca="1">ROUND(IF(ISERROR(OFFSET(Bronzo!$A$1,MATCH(H196,Bronzo!$A:$A,0)-1,MATCH(I196,Bronzo!$A$1:$AA$1,0)-1)=TRUE),0,OFFSET(Bronzo!$A$1,MATCH(H196,Bronzo!$A:$A,0)-1,MATCH(I196,Bronzo!$A$1:$AA$1,0)-1)),4)</f>
        <v>0</v>
      </c>
      <c r="T196" s="446">
        <f t="shared" ca="1" si="143"/>
        <v>0</v>
      </c>
      <c r="U196" s="443"/>
      <c r="V196" s="446">
        <v>0</v>
      </c>
      <c r="W196" s="449">
        <f t="shared" ca="1" si="144"/>
        <v>1.73</v>
      </c>
      <c r="X196" s="452">
        <f t="shared" si="131"/>
        <v>63</v>
      </c>
      <c r="Y196" s="440">
        <v>4.75</v>
      </c>
      <c r="Z196" s="440">
        <f t="shared" ca="1" si="145"/>
        <v>0</v>
      </c>
      <c r="AA196" s="241">
        <v>46153</v>
      </c>
      <c r="AF196" s="225">
        <f t="shared" ca="1" si="115"/>
        <v>46156</v>
      </c>
      <c r="AG196" s="225" t="b">
        <f t="shared" si="146"/>
        <v>0</v>
      </c>
      <c r="AH196" s="242"/>
      <c r="AK196" s="223">
        <f t="shared" si="147"/>
        <v>20</v>
      </c>
      <c r="AL196" s="223">
        <f t="shared" si="148"/>
        <v>2026</v>
      </c>
      <c r="AS196" s="223">
        <f t="shared" si="149"/>
        <v>5</v>
      </c>
      <c r="AT196" s="223">
        <f t="shared" si="150"/>
        <v>2026</v>
      </c>
    </row>
    <row r="197" spans="2:46" ht="15.75" x14ac:dyDescent="0.25">
      <c r="B197" s="229" t="s">
        <v>537</v>
      </c>
      <c r="C197" s="235" t="s">
        <v>297</v>
      </c>
      <c r="D197" s="243">
        <v>750</v>
      </c>
      <c r="E197" s="232" t="s">
        <v>4</v>
      </c>
      <c r="F197" s="435">
        <v>3.02</v>
      </c>
      <c r="G197" s="234">
        <v>46126</v>
      </c>
      <c r="H197" s="235" t="s">
        <v>311</v>
      </c>
      <c r="I197" s="235"/>
      <c r="J197" s="440">
        <v>7.0000000000000007E-2</v>
      </c>
      <c r="K197" s="443">
        <f ca="1">ROUND(IF(ISERROR(OFFSET(Tabella!$A$1,MATCH(H197,Tabella!$A:$A,0)-1,MATCH(J197,Tabella!$A$1:$AC$1,0)-1)=TRUE),0,+OFFSET(Tabella!$A$1,MATCH(H197,Tabella!$A:$A,0)-1,MATCH(J197,Tabella!$A$1:$AC$1,0)-1)),4)</f>
        <v>1.25</v>
      </c>
      <c r="L197" s="446">
        <f ca="1">ROUND(IF(ISERROR(OFFSET(Ottone!$A$1,MATCH(H197,Ottone!$A:$A,0)-1,MATCH(J197,Ottone!$A$1:$Z$1,0)-1)=TRUE),0,OFFSET(Ottone!$A$1,MATCH(H197,Ottone!$A:$A,0)-1,MATCH(J197,Ottone!$A$1:$Z$1,0)-1))*IF(E197="Ottone",1,0),4)</f>
        <v>0</v>
      </c>
      <c r="M197" s="446">
        <f ca="1">ROUND(IF(ISERROR(OFFSET(Rame!$A$1,MATCH(H197,Rame!$A:$A,0)-1,MATCH(J197,Rame!$A$1:$AA$1,0)-1)=TRUE),0,OFFSET(Rame!$A$1,MATCH(H197,Rame!$A:$A,0)-1,MATCH(J197,Rame!$A$1:$AA$1,0)-1))*IF(E197="Rame",1,0),4)</f>
        <v>0</v>
      </c>
      <c r="N197" s="446">
        <v>0</v>
      </c>
      <c r="O197" s="446">
        <v>1.73</v>
      </c>
      <c r="P197" s="446">
        <f ca="1">ROUND(+IF(ISERROR(OFFSET(Tabella!$G$1,MATCH(H197,Tabella!$G:$G,0)-1,MATCH(I197,Tabella!$G$1:$FG$1,0)-1)=TRUE),0,OFFSET(Tabella!$G$1,MATCH(H197,Tabella!$G:$G,0)-1,MATCH(I197,Tabella!$G$1:$AB$1,0)-1)),4)</f>
        <v>0</v>
      </c>
      <c r="Q197" s="446">
        <f ca="1">ROUND(IF(ISERROR(OFFSET(Ottone!$F$1,MATCH(H197,Ottone!$A:$A,0)-1,MATCH(I197,Ottone!$F$1:$FF$1,0)-1)=TRUE),0,OFFSET(Ottone!$F$1,MATCH(H197,Ottone!$A:$A,0)-1,MATCH(I197,Ottone!$F$1:$FF$1,0)-1))*IF(E197="Ottone",1,0),4)</f>
        <v>0</v>
      </c>
      <c r="R197" s="446">
        <f ca="1">ROUND(IF(ISERROR(OFFSET(Rame!$F$1,MATCH(H197,Rame!$F:$F,0)-1,MATCH(I197,Rame!$F$1:$FF$1,0)-1)=TRUE),0,OFFSET(Rame!$F$1,MATCH(H197,Rame!$F:$F,0)-1,MATCH(I197,Rame!$F$1:$FF$1,0)-1))*IF(E197="Rame",1,0),4)</f>
        <v>0</v>
      </c>
      <c r="S197" s="446">
        <f ca="1">ROUND(IF(ISERROR(OFFSET(Bronzo!$A$1,MATCH(H197,Bronzo!$A:$A,0)-1,MATCH(I197,Bronzo!$A$1:$AA$1,0)-1)=TRUE),0,OFFSET(Bronzo!$A$1,MATCH(H197,Bronzo!$A:$A,0)-1,MATCH(I197,Bronzo!$A$1:$AA$1,0)-1)),4)</f>
        <v>0</v>
      </c>
      <c r="T197" s="446">
        <f t="shared" ca="1" si="143"/>
        <v>0</v>
      </c>
      <c r="U197" s="443"/>
      <c r="V197" s="446">
        <v>0</v>
      </c>
      <c r="W197" s="449">
        <f t="shared" ca="1" si="144"/>
        <v>1.73</v>
      </c>
      <c r="X197" s="452">
        <f t="shared" si="131"/>
        <v>52.5</v>
      </c>
      <c r="Y197" s="440">
        <v>4.75</v>
      </c>
      <c r="Z197" s="440">
        <f t="shared" ca="1" si="145"/>
        <v>0</v>
      </c>
      <c r="AA197" s="241">
        <v>46153</v>
      </c>
      <c r="AF197" s="225">
        <f t="shared" ca="1" si="115"/>
        <v>46156</v>
      </c>
      <c r="AG197" s="225" t="b">
        <f t="shared" si="146"/>
        <v>0</v>
      </c>
      <c r="AH197" s="242"/>
      <c r="AK197" s="223">
        <f t="shared" si="147"/>
        <v>20</v>
      </c>
      <c r="AL197" s="223">
        <f t="shared" si="148"/>
        <v>2026</v>
      </c>
      <c r="AS197" s="223">
        <f t="shared" si="149"/>
        <v>5</v>
      </c>
      <c r="AT197" s="223">
        <f t="shared" si="150"/>
        <v>2026</v>
      </c>
    </row>
    <row r="198" spans="2:46" ht="15.75" x14ac:dyDescent="0.25">
      <c r="B198" s="229" t="s">
        <v>537</v>
      </c>
      <c r="C198" s="235" t="s">
        <v>297</v>
      </c>
      <c r="D198" s="243">
        <v>600</v>
      </c>
      <c r="E198" s="232" t="s">
        <v>4</v>
      </c>
      <c r="F198" s="435">
        <v>3.02</v>
      </c>
      <c r="G198" s="234">
        <v>46126</v>
      </c>
      <c r="H198" s="235" t="s">
        <v>308</v>
      </c>
      <c r="I198" s="235"/>
      <c r="J198" s="440">
        <v>7.0000000000000007E-2</v>
      </c>
      <c r="K198" s="443">
        <f ca="1">ROUND(IF(ISERROR(OFFSET(Tabella!$A$1,MATCH(H198,Tabella!$A:$A,0)-1,MATCH(J198,Tabella!$A$1:$AC$1,0)-1)=TRUE),0,+OFFSET(Tabella!$A$1,MATCH(H198,Tabella!$A:$A,0)-1,MATCH(J198,Tabella!$A$1:$AC$1,0)-1)),4)</f>
        <v>1.25</v>
      </c>
      <c r="L198" s="446">
        <f ca="1">ROUND(IF(ISERROR(OFFSET(Ottone!$A$1,MATCH(H198,Ottone!$A:$A,0)-1,MATCH(J198,Ottone!$A$1:$Z$1,0)-1)=TRUE),0,OFFSET(Ottone!$A$1,MATCH(H198,Ottone!$A:$A,0)-1,MATCH(J198,Ottone!$A$1:$Z$1,0)-1))*IF(E198="Ottone",1,0),4)</f>
        <v>0</v>
      </c>
      <c r="M198" s="446">
        <f ca="1">ROUND(IF(ISERROR(OFFSET(Rame!$A$1,MATCH(H198,Rame!$A:$A,0)-1,MATCH(J198,Rame!$A$1:$AA$1,0)-1)=TRUE),0,OFFSET(Rame!$A$1,MATCH(H198,Rame!$A:$A,0)-1,MATCH(J198,Rame!$A$1:$AA$1,0)-1))*IF(E198="Rame",1,0),4)</f>
        <v>0</v>
      </c>
      <c r="N198" s="446">
        <v>0</v>
      </c>
      <c r="O198" s="446">
        <v>1.73</v>
      </c>
      <c r="P198" s="446">
        <f ca="1">ROUND(+IF(ISERROR(OFFSET(Tabella!$G$1,MATCH(H198,Tabella!$G:$G,0)-1,MATCH(I198,Tabella!$G$1:$FG$1,0)-1)=TRUE),0,OFFSET(Tabella!$G$1,MATCH(H198,Tabella!$G:$G,0)-1,MATCH(I198,Tabella!$G$1:$AB$1,0)-1)),4)</f>
        <v>0</v>
      </c>
      <c r="Q198" s="446">
        <f ca="1">ROUND(IF(ISERROR(OFFSET(Ottone!$F$1,MATCH(H198,Ottone!$A:$A,0)-1,MATCH(I198,Ottone!$F$1:$FF$1,0)-1)=TRUE),0,OFFSET(Ottone!$F$1,MATCH(H198,Ottone!$A:$A,0)-1,MATCH(I198,Ottone!$F$1:$FF$1,0)-1))*IF(E198="Ottone",1,0),4)</f>
        <v>0</v>
      </c>
      <c r="R198" s="446">
        <f ca="1">ROUND(IF(ISERROR(OFFSET(Rame!$F$1,MATCH(H198,Rame!$F:$F,0)-1,MATCH(I198,Rame!$F$1:$FF$1,0)-1)=TRUE),0,OFFSET(Rame!$F$1,MATCH(H198,Rame!$F:$F,0)-1,MATCH(I198,Rame!$F$1:$FF$1,0)-1))*IF(E198="Rame",1,0),4)</f>
        <v>0</v>
      </c>
      <c r="S198" s="446">
        <f ca="1">ROUND(IF(ISERROR(OFFSET(Bronzo!$A$1,MATCH(H198,Bronzo!$A:$A,0)-1,MATCH(I198,Bronzo!$A$1:$AA$1,0)-1)=TRUE),0,OFFSET(Bronzo!$A$1,MATCH(H198,Bronzo!$A:$A,0)-1,MATCH(I198,Bronzo!$A$1:$AA$1,0)-1)),4)</f>
        <v>0</v>
      </c>
      <c r="T198" s="446">
        <f t="shared" ca="1" si="143"/>
        <v>0</v>
      </c>
      <c r="U198" s="443"/>
      <c r="V198" s="446">
        <v>0</v>
      </c>
      <c r="W198" s="449">
        <f t="shared" ca="1" si="144"/>
        <v>1.73</v>
      </c>
      <c r="X198" s="452">
        <f t="shared" ref="X198:X207" si="152">ROUND(+J198*D198,4)</f>
        <v>42</v>
      </c>
      <c r="Y198" s="440">
        <v>4.75</v>
      </c>
      <c r="Z198" s="440">
        <f t="shared" ca="1" si="145"/>
        <v>0</v>
      </c>
      <c r="AA198" s="241">
        <v>46153</v>
      </c>
      <c r="AF198" s="225">
        <f t="shared" ca="1" si="115"/>
        <v>46156</v>
      </c>
      <c r="AG198" s="225" t="b">
        <f t="shared" si="146"/>
        <v>0</v>
      </c>
      <c r="AH198" s="242"/>
      <c r="AK198" s="223">
        <f t="shared" si="147"/>
        <v>20</v>
      </c>
      <c r="AL198" s="223">
        <f t="shared" si="148"/>
        <v>2026</v>
      </c>
      <c r="AS198" s="223">
        <f t="shared" si="149"/>
        <v>5</v>
      </c>
      <c r="AT198" s="223">
        <f t="shared" si="150"/>
        <v>2026</v>
      </c>
    </row>
    <row r="199" spans="2:46" ht="15.75" x14ac:dyDescent="0.25">
      <c r="B199" s="229" t="s">
        <v>521</v>
      </c>
      <c r="C199" s="235" t="s">
        <v>439</v>
      </c>
      <c r="D199" s="243">
        <v>350</v>
      </c>
      <c r="E199" s="232" t="s">
        <v>4</v>
      </c>
      <c r="F199" s="435">
        <v>2.97</v>
      </c>
      <c r="G199" s="234">
        <v>46126</v>
      </c>
      <c r="H199" s="235" t="s">
        <v>28</v>
      </c>
      <c r="I199" s="235"/>
      <c r="J199" s="440">
        <v>0.1</v>
      </c>
      <c r="K199" s="443">
        <f ca="1">ROUND(IF(ISERROR(OFFSET(Tabella!$A$1,MATCH(H199,Tabella!$A:$A,0)-1,MATCH(J199,Tabella!$A$1:$AC$1,0)-1)=TRUE),0,+OFFSET(Tabella!$A$1,MATCH(H199,Tabella!$A:$A,0)-1,MATCH(J199,Tabella!$A$1:$AC$1,0)-1)),4)</f>
        <v>1.4</v>
      </c>
      <c r="L199" s="446">
        <f ca="1">ROUND(IF(ISERROR(OFFSET(Ottone!$A$1,MATCH(H199,Ottone!$A:$A,0)-1,MATCH(J199,Ottone!$A$1:$Z$1,0)-1)=TRUE),0,OFFSET(Ottone!$A$1,MATCH(H199,Ottone!$A:$A,0)-1,MATCH(J199,Ottone!$A$1:$Z$1,0)-1))*IF(E199="Ottone",1,0),4)</f>
        <v>0</v>
      </c>
      <c r="M199" s="446">
        <f ca="1">ROUND(IF(ISERROR(OFFSET(Rame!$A$1,MATCH(H199,Rame!$A:$A,0)-1,MATCH(J199,Rame!$A$1:$AA$1,0)-1)=TRUE),0,OFFSET(Rame!$A$1,MATCH(H199,Rame!$A:$A,0)-1,MATCH(J199,Rame!$A$1:$AA$1,0)-1))*IF(E199="Rame",1,0),4)</f>
        <v>0</v>
      </c>
      <c r="N199" s="446">
        <v>0</v>
      </c>
      <c r="O199" s="446">
        <v>1.83</v>
      </c>
      <c r="P199" s="446">
        <f ca="1">ROUND(+IF(ISERROR(OFFSET(Tabella!$G$1,MATCH(H199,Tabella!$G:$G,0)-1,MATCH(I199,Tabella!$G$1:$FG$1,0)-1)=TRUE),0,OFFSET(Tabella!$G$1,MATCH(H199,Tabella!$G:$G,0)-1,MATCH(I199,Tabella!$G$1:$AB$1,0)-1)),4)</f>
        <v>0</v>
      </c>
      <c r="Q199" s="446">
        <f ca="1">ROUND(IF(ISERROR(OFFSET(Ottone!$F$1,MATCH(H199,Ottone!$A:$A,0)-1,MATCH(I199,Ottone!$F$1:$FF$1,0)-1)=TRUE),0,OFFSET(Ottone!$F$1,MATCH(H199,Ottone!$A:$A,0)-1,MATCH(I199,Ottone!$F$1:$FF$1,0)-1))*IF(E199="Ottone",1,0),4)</f>
        <v>0</v>
      </c>
      <c r="R199" s="446">
        <f ca="1">ROUND(IF(ISERROR(OFFSET(Rame!$F$1,MATCH(H199,Rame!$F:$F,0)-1,MATCH(I199,Rame!$F$1:$FF$1,0)-1)=TRUE),0,OFFSET(Rame!$F$1,MATCH(H199,Rame!$F:$F,0)-1,MATCH(I199,Rame!$F$1:$FF$1,0)-1))*IF(E199="Rame",1,0),4)</f>
        <v>0</v>
      </c>
      <c r="S199" s="446">
        <f ca="1">ROUND(IF(ISERROR(OFFSET(Bronzo!$A$1,MATCH(H199,Bronzo!$A:$A,0)-1,MATCH(I199,Bronzo!$A$1:$AA$1,0)-1)=TRUE),0,OFFSET(Bronzo!$A$1,MATCH(H199,Bronzo!$A:$A,0)-1,MATCH(I199,Bronzo!$A$1:$AA$1,0)-1)),4)</f>
        <v>0</v>
      </c>
      <c r="T199" s="446">
        <f t="shared" ca="1" si="143"/>
        <v>0</v>
      </c>
      <c r="U199" s="443"/>
      <c r="V199" s="446">
        <v>0</v>
      </c>
      <c r="W199" s="449">
        <f t="shared" ca="1" si="144"/>
        <v>1.83</v>
      </c>
      <c r="X199" s="452">
        <f t="shared" si="152"/>
        <v>35</v>
      </c>
      <c r="Y199" s="440">
        <v>4.8499999999999996</v>
      </c>
      <c r="Z199" s="440">
        <f t="shared" ca="1" si="145"/>
        <v>0.05</v>
      </c>
      <c r="AA199" s="241">
        <v>46205</v>
      </c>
      <c r="AF199" s="225">
        <f t="shared" ca="1" si="115"/>
        <v>46156</v>
      </c>
      <c r="AG199" s="225" t="b">
        <f t="shared" si="146"/>
        <v>0</v>
      </c>
      <c r="AH199" s="242"/>
      <c r="AK199" s="223">
        <f t="shared" si="147"/>
        <v>27</v>
      </c>
      <c r="AL199" s="223">
        <f t="shared" si="148"/>
        <v>2026</v>
      </c>
      <c r="AS199" s="223">
        <f t="shared" si="149"/>
        <v>7</v>
      </c>
      <c r="AT199" s="223">
        <f t="shared" si="150"/>
        <v>2026</v>
      </c>
    </row>
    <row r="200" spans="2:46" ht="15.75" x14ac:dyDescent="0.25">
      <c r="B200" s="229" t="s">
        <v>533</v>
      </c>
      <c r="C200" s="235" t="s">
        <v>396</v>
      </c>
      <c r="D200" s="243">
        <v>200</v>
      </c>
      <c r="E200" s="232" t="s">
        <v>4</v>
      </c>
      <c r="F200" s="435">
        <v>3.07</v>
      </c>
      <c r="G200" s="234">
        <v>46125</v>
      </c>
      <c r="H200" s="235" t="s">
        <v>307</v>
      </c>
      <c r="I200" s="235"/>
      <c r="J200" s="440">
        <v>7.0000000000000007E-2</v>
      </c>
      <c r="K200" s="443">
        <f ca="1">ROUND(IF(ISERROR(OFFSET(Tabella!$A$1,MATCH(H200,Tabella!$A:$A,0)-1,MATCH(J200,Tabella!$A$1:$AC$1,0)-1)=TRUE),0,+OFFSET(Tabella!$A$1,MATCH(H200,Tabella!$A:$A,0)-1,MATCH(J200,Tabella!$A$1:$AC$1,0)-1)),4)</f>
        <v>1.25</v>
      </c>
      <c r="L200" s="446">
        <f ca="1">ROUND(IF(ISERROR(OFFSET(Ottone!$A$1,MATCH(H200,Ottone!$A:$A,0)-1,MATCH(J200,Ottone!$A$1:$Z$1,0)-1)=TRUE),0,OFFSET(Ottone!$A$1,MATCH(H200,Ottone!$A:$A,0)-1,MATCH(J200,Ottone!$A$1:$Z$1,0)-1))*IF(E200="Ottone",1,0),4)</f>
        <v>0</v>
      </c>
      <c r="M200" s="446">
        <f ca="1">ROUND(IF(ISERROR(OFFSET(Rame!$A$1,MATCH(H200,Rame!$A:$A,0)-1,MATCH(J200,Rame!$A$1:$AA$1,0)-1)=TRUE),0,OFFSET(Rame!$A$1,MATCH(H200,Rame!$A:$A,0)-1,MATCH(J200,Rame!$A$1:$AA$1,0)-1))*IF(E200="Rame",1,0),4)</f>
        <v>0</v>
      </c>
      <c r="N200" s="446">
        <v>0</v>
      </c>
      <c r="O200" s="446">
        <v>1.6</v>
      </c>
      <c r="P200" s="446">
        <f ca="1">ROUND(+IF(ISERROR(OFFSET(Tabella!$G$1,MATCH(H200,Tabella!$G:$G,0)-1,MATCH(I200,Tabella!$G$1:$FG$1,0)-1)=TRUE),0,OFFSET(Tabella!$G$1,MATCH(H200,Tabella!$G:$G,0)-1,MATCH(I200,Tabella!$G$1:$AB$1,0)-1)),4)</f>
        <v>0</v>
      </c>
      <c r="Q200" s="446">
        <f ca="1">ROUND(IF(ISERROR(OFFSET(Ottone!$F$1,MATCH(H200,Ottone!$A:$A,0)-1,MATCH(I200,Ottone!$F$1:$FF$1,0)-1)=TRUE),0,OFFSET(Ottone!$F$1,MATCH(H200,Ottone!$A:$A,0)-1,MATCH(I200,Ottone!$F$1:$FF$1,0)-1))*IF(E200="Ottone",1,0),4)</f>
        <v>0</v>
      </c>
      <c r="R200" s="446">
        <f ca="1">ROUND(IF(ISERROR(OFFSET(Rame!$F$1,MATCH(H200,Rame!$F:$F,0)-1,MATCH(I200,Rame!$F$1:$FF$1,0)-1)=TRUE),0,OFFSET(Rame!$F$1,MATCH(H200,Rame!$F:$F,0)-1,MATCH(I200,Rame!$F$1:$FF$1,0)-1))*IF(E200="Rame",1,0),4)</f>
        <v>0</v>
      </c>
      <c r="S200" s="446">
        <f ca="1">ROUND(IF(ISERROR(OFFSET(Bronzo!$A$1,MATCH(H200,Bronzo!$A:$A,0)-1,MATCH(I200,Bronzo!$A$1:$AA$1,0)-1)=TRUE),0,OFFSET(Bronzo!$A$1,MATCH(H200,Bronzo!$A:$A,0)-1,MATCH(I200,Bronzo!$A$1:$AA$1,0)-1)),4)</f>
        <v>0</v>
      </c>
      <c r="T200" s="446">
        <f t="shared" ca="1" si="143"/>
        <v>0</v>
      </c>
      <c r="U200" s="443"/>
      <c r="V200" s="446">
        <v>0</v>
      </c>
      <c r="W200" s="449">
        <f t="shared" ca="1" si="144"/>
        <v>1.6</v>
      </c>
      <c r="X200" s="452">
        <f t="shared" si="152"/>
        <v>14</v>
      </c>
      <c r="Y200" s="440">
        <v>4.8899999999999997</v>
      </c>
      <c r="Z200" s="440">
        <f t="shared" ca="1" si="145"/>
        <v>0.22</v>
      </c>
      <c r="AA200" s="241">
        <v>46150</v>
      </c>
      <c r="AF200" s="225">
        <f t="shared" ca="1" si="115"/>
        <v>46156</v>
      </c>
      <c r="AG200" s="225" t="b">
        <f t="shared" si="146"/>
        <v>0</v>
      </c>
      <c r="AH200" s="242"/>
      <c r="AK200" s="223">
        <f t="shared" si="147"/>
        <v>19</v>
      </c>
      <c r="AL200" s="223">
        <f t="shared" si="148"/>
        <v>2026</v>
      </c>
      <c r="AS200" s="223">
        <f t="shared" si="149"/>
        <v>5</v>
      </c>
      <c r="AT200" s="223">
        <f t="shared" si="150"/>
        <v>2026</v>
      </c>
    </row>
    <row r="201" spans="2:46" ht="15.75" x14ac:dyDescent="0.25">
      <c r="B201" s="229" t="s">
        <v>533</v>
      </c>
      <c r="C201" s="235" t="s">
        <v>396</v>
      </c>
      <c r="D201" s="243">
        <v>200</v>
      </c>
      <c r="E201" s="232" t="s">
        <v>4</v>
      </c>
      <c r="F201" s="435">
        <v>3.07</v>
      </c>
      <c r="G201" s="234">
        <v>46125</v>
      </c>
      <c r="H201" s="235" t="s">
        <v>11</v>
      </c>
      <c r="I201" s="235"/>
      <c r="J201" s="440">
        <v>7.0000000000000007E-2</v>
      </c>
      <c r="K201" s="443">
        <f ca="1">ROUND(IF(ISERROR(OFFSET(Tabella!$A$1,MATCH(H201,Tabella!$A:$A,0)-1,MATCH(J201,Tabella!$A$1:$AC$1,0)-1)=TRUE),0,+OFFSET(Tabella!$A$1,MATCH(H201,Tabella!$A:$A,0)-1,MATCH(J201,Tabella!$A$1:$AC$1,0)-1)),4)</f>
        <v>1.5</v>
      </c>
      <c r="L201" s="446">
        <f ca="1">ROUND(IF(ISERROR(OFFSET(Ottone!$A$1,MATCH(H201,Ottone!$A:$A,0)-1,MATCH(J201,Ottone!$A$1:$Z$1,0)-1)=TRUE),0,OFFSET(Ottone!$A$1,MATCH(H201,Ottone!$A:$A,0)-1,MATCH(J201,Ottone!$A$1:$Z$1,0)-1))*IF(E201="Ottone",1,0),4)</f>
        <v>0</v>
      </c>
      <c r="M201" s="446">
        <f ca="1">ROUND(IF(ISERROR(OFFSET(Rame!$A$1,MATCH(H201,Rame!$A:$A,0)-1,MATCH(J201,Rame!$A$1:$AA$1,0)-1)=TRUE),0,OFFSET(Rame!$A$1,MATCH(H201,Rame!$A:$A,0)-1,MATCH(J201,Rame!$A$1:$AA$1,0)-1))*IF(E201="Rame",1,0),4)</f>
        <v>0</v>
      </c>
      <c r="N201" s="446">
        <v>0</v>
      </c>
      <c r="O201" s="446">
        <v>1.75</v>
      </c>
      <c r="P201" s="446">
        <f ca="1">ROUND(+IF(ISERROR(OFFSET(Tabella!$G$1,MATCH(H201,Tabella!$G:$G,0)-1,MATCH(I201,Tabella!$G$1:$FG$1,0)-1)=TRUE),0,OFFSET(Tabella!$G$1,MATCH(H201,Tabella!$G:$G,0)-1,MATCH(I201,Tabella!$G$1:$AB$1,0)-1)),4)</f>
        <v>0</v>
      </c>
      <c r="Q201" s="446">
        <f ca="1">ROUND(IF(ISERROR(OFFSET(Ottone!$F$1,MATCH(H201,Ottone!$A:$A,0)-1,MATCH(I201,Ottone!$F$1:$FF$1,0)-1)=TRUE),0,OFFSET(Ottone!$F$1,MATCH(H201,Ottone!$A:$A,0)-1,MATCH(I201,Ottone!$F$1:$FF$1,0)-1))*IF(E201="Ottone",1,0),4)</f>
        <v>0</v>
      </c>
      <c r="R201" s="446">
        <f ca="1">ROUND(IF(ISERROR(OFFSET(Rame!$F$1,MATCH(H201,Rame!$F:$F,0)-1,MATCH(I201,Rame!$F$1:$FF$1,0)-1)=TRUE),0,OFFSET(Rame!$F$1,MATCH(H201,Rame!$F:$F,0)-1,MATCH(I201,Rame!$F$1:$FF$1,0)-1))*IF(E201="Rame",1,0),4)</f>
        <v>0</v>
      </c>
      <c r="S201" s="446">
        <f ca="1">ROUND(IF(ISERROR(OFFSET(Bronzo!$A$1,MATCH(H201,Bronzo!$A:$A,0)-1,MATCH(I201,Bronzo!$A$1:$AA$1,0)-1)=TRUE),0,OFFSET(Bronzo!$A$1,MATCH(H201,Bronzo!$A:$A,0)-1,MATCH(I201,Bronzo!$A$1:$AA$1,0)-1)),4)</f>
        <v>0</v>
      </c>
      <c r="T201" s="446">
        <f t="shared" ca="1" si="143"/>
        <v>0</v>
      </c>
      <c r="U201" s="443"/>
      <c r="V201" s="446">
        <v>0</v>
      </c>
      <c r="W201" s="449">
        <f t="shared" ca="1" si="144"/>
        <v>1.75</v>
      </c>
      <c r="X201" s="452">
        <f t="shared" si="152"/>
        <v>14</v>
      </c>
      <c r="Y201" s="440">
        <v>5.04</v>
      </c>
      <c r="Z201" s="440">
        <f t="shared" ca="1" si="145"/>
        <v>0.22</v>
      </c>
      <c r="AA201" s="241">
        <v>46150</v>
      </c>
      <c r="AF201" s="225">
        <f t="shared" ca="1" si="115"/>
        <v>46156</v>
      </c>
      <c r="AG201" s="225" t="b">
        <f t="shared" si="146"/>
        <v>0</v>
      </c>
      <c r="AH201" s="242"/>
      <c r="AK201" s="223">
        <f t="shared" si="147"/>
        <v>19</v>
      </c>
      <c r="AL201" s="223">
        <f t="shared" si="148"/>
        <v>2026</v>
      </c>
      <c r="AS201" s="223">
        <f t="shared" si="149"/>
        <v>5</v>
      </c>
      <c r="AT201" s="223">
        <f t="shared" si="150"/>
        <v>2026</v>
      </c>
    </row>
    <row r="202" spans="2:46" ht="15.75" x14ac:dyDescent="0.25">
      <c r="B202" s="229" t="s">
        <v>640</v>
      </c>
      <c r="C202" s="411" t="s">
        <v>396</v>
      </c>
      <c r="D202" s="412">
        <v>330</v>
      </c>
      <c r="E202" s="232" t="s">
        <v>4</v>
      </c>
      <c r="F202" s="435">
        <v>3.07</v>
      </c>
      <c r="G202" s="234">
        <v>46125</v>
      </c>
      <c r="H202" s="235" t="s">
        <v>23</v>
      </c>
      <c r="I202" s="235"/>
      <c r="J202" s="440">
        <v>7.0000000000000007E-2</v>
      </c>
      <c r="K202" s="443">
        <f ca="1">ROUND(IF(ISERROR(OFFSET(Tabella!$A$1,MATCH(H202,Tabella!$A:$A,0)-1,MATCH(J202,Tabella!$A$1:$AC$1,0)-1)=TRUE),0,+OFFSET(Tabella!$A$1,MATCH(H202,Tabella!$A:$A,0)-1,MATCH(J202,Tabella!$A$1:$AC$1,0)-1)),4)</f>
        <v>1.25</v>
      </c>
      <c r="L202" s="446">
        <f ca="1">ROUND(IF(ISERROR(OFFSET(Ottone!$A$1,MATCH(H202,Ottone!$A:$A,0)-1,MATCH(J202,Ottone!$A$1:$Z$1,0)-1)=TRUE),0,OFFSET(Ottone!$A$1,MATCH(H202,Ottone!$A:$A,0)-1,MATCH(J202,Ottone!$A$1:$Z$1,0)-1))*IF(E202="Ottone",1,0),4)</f>
        <v>0</v>
      </c>
      <c r="M202" s="446">
        <f ca="1">ROUND(IF(ISERROR(OFFSET(Rame!$A$1,MATCH(H202,Rame!$A:$A,0)-1,MATCH(J202,Rame!$A$1:$AA$1,0)-1)=TRUE),0,OFFSET(Rame!$A$1,MATCH(H202,Rame!$A:$A,0)-1,MATCH(J202,Rame!$A$1:$AA$1,0)-1))*IF(E202="Rame",1,0),4)</f>
        <v>0</v>
      </c>
      <c r="N202" s="446">
        <v>0</v>
      </c>
      <c r="O202" s="446">
        <v>1.6</v>
      </c>
      <c r="P202" s="446">
        <f ca="1">ROUND(+IF(ISERROR(OFFSET(Tabella!$G$1,MATCH(H202,Tabella!$G:$G,0)-1,MATCH(I202,Tabella!$G$1:$FG$1,0)-1)=TRUE),0,OFFSET(Tabella!$G$1,MATCH(H202,Tabella!$G:$G,0)-1,MATCH(I202,Tabella!$G$1:$AB$1,0)-1)),4)</f>
        <v>0</v>
      </c>
      <c r="Q202" s="446">
        <f ca="1">ROUND(IF(ISERROR(OFFSET(Ottone!$F$1,MATCH(H202,Ottone!$A:$A,0)-1,MATCH(I202,Ottone!$F$1:$FF$1,0)-1)=TRUE),0,OFFSET(Ottone!$F$1,MATCH(H202,Ottone!$A:$A,0)-1,MATCH(I202,Ottone!$F$1:$FF$1,0)-1))*IF(E202="Ottone",1,0),4)</f>
        <v>0</v>
      </c>
      <c r="R202" s="446">
        <f ca="1">ROUND(IF(ISERROR(OFFSET(Rame!$F$1,MATCH(H202,Rame!$F:$F,0)-1,MATCH(I202,Rame!$F$1:$FF$1,0)-1)=TRUE),0,OFFSET(Rame!$F$1,MATCH(H202,Rame!$F:$F,0)-1,MATCH(I202,Rame!$F$1:$FF$1,0)-1))*IF(E202="Rame",1,0),4)</f>
        <v>0</v>
      </c>
      <c r="S202" s="446">
        <f ca="1">ROUND(IF(ISERROR(OFFSET(Bronzo!$A$1,MATCH(H202,Bronzo!$A:$A,0)-1,MATCH(I202,Bronzo!$A$1:$AA$1,0)-1)=TRUE),0,OFFSET(Bronzo!$A$1,MATCH(H202,Bronzo!$A:$A,0)-1,MATCH(I202,Bronzo!$A$1:$AA$1,0)-1)),4)</f>
        <v>0</v>
      </c>
      <c r="T202" s="446">
        <f t="shared" ca="1" si="143"/>
        <v>0</v>
      </c>
      <c r="U202" s="443"/>
      <c r="V202" s="446">
        <v>0</v>
      </c>
      <c r="W202" s="449">
        <f t="shared" ca="1" si="144"/>
        <v>1.6</v>
      </c>
      <c r="X202" s="456">
        <f t="shared" si="152"/>
        <v>23.1</v>
      </c>
      <c r="Y202" s="440">
        <v>4.8899999999999997</v>
      </c>
      <c r="Z202" s="440">
        <f t="shared" ca="1" si="145"/>
        <v>0.22</v>
      </c>
      <c r="AA202" s="241"/>
      <c r="AD202" s="223" t="s">
        <v>403</v>
      </c>
      <c r="AF202" s="225">
        <f t="shared" ca="1" si="115"/>
        <v>46156</v>
      </c>
      <c r="AG202" s="225" t="b">
        <f t="shared" si="146"/>
        <v>1</v>
      </c>
      <c r="AH202" s="242"/>
      <c r="AK202" s="223">
        <f t="shared" si="147"/>
        <v>0</v>
      </c>
      <c r="AL202" s="223">
        <f t="shared" si="148"/>
        <v>1900</v>
      </c>
      <c r="AS202" s="223">
        <f t="shared" si="149"/>
        <v>0</v>
      </c>
      <c r="AT202" s="223">
        <f t="shared" si="150"/>
        <v>0</v>
      </c>
    </row>
    <row r="203" spans="2:46" ht="15.75" x14ac:dyDescent="0.25">
      <c r="B203" s="229" t="s">
        <v>635</v>
      </c>
      <c r="C203" s="409" t="s">
        <v>396</v>
      </c>
      <c r="D203" s="410">
        <v>622</v>
      </c>
      <c r="E203" s="232" t="s">
        <v>4</v>
      </c>
      <c r="F203" s="435">
        <v>3.07</v>
      </c>
      <c r="G203" s="234">
        <v>46125</v>
      </c>
      <c r="H203" s="235" t="s">
        <v>21</v>
      </c>
      <c r="I203" s="235"/>
      <c r="J203" s="440">
        <v>7.0000000000000007E-2</v>
      </c>
      <c r="K203" s="443">
        <f ca="1">ROUND(IF(ISERROR(OFFSET(Tabella!$A$1,MATCH(H203,Tabella!$A:$A,0)-1,MATCH(J203,Tabella!$A$1:$AC$1,0)-1)=TRUE),0,+OFFSET(Tabella!$A$1,MATCH(H203,Tabella!$A:$A,0)-1,MATCH(J203,Tabella!$A$1:$AC$1,0)-1)),4)</f>
        <v>1.25</v>
      </c>
      <c r="L203" s="446">
        <f ca="1">ROUND(IF(ISERROR(OFFSET(Ottone!$A$1,MATCH(H203,Ottone!$A:$A,0)-1,MATCH(J203,Ottone!$A$1:$Z$1,0)-1)=TRUE),0,OFFSET(Ottone!$A$1,MATCH(H203,Ottone!$A:$A,0)-1,MATCH(J203,Ottone!$A$1:$Z$1,0)-1))*IF(E203="Ottone",1,0),4)</f>
        <v>0</v>
      </c>
      <c r="M203" s="446">
        <f ca="1">ROUND(IF(ISERROR(OFFSET(Rame!$A$1,MATCH(H203,Rame!$A:$A,0)-1,MATCH(J203,Rame!$A$1:$AA$1,0)-1)=TRUE),0,OFFSET(Rame!$A$1,MATCH(H203,Rame!$A:$A,0)-1,MATCH(J203,Rame!$A$1:$AA$1,0)-1))*IF(E203="Rame",1,0),4)</f>
        <v>0</v>
      </c>
      <c r="N203" s="446">
        <v>0</v>
      </c>
      <c r="O203" s="446">
        <v>1.6</v>
      </c>
      <c r="P203" s="446">
        <f ca="1">ROUND(+IF(ISERROR(OFFSET(Tabella!$G$1,MATCH(H203,Tabella!$G:$G,0)-1,MATCH(I203,Tabella!$G$1:$FG$1,0)-1)=TRUE),0,OFFSET(Tabella!$G$1,MATCH(H203,Tabella!$G:$G,0)-1,MATCH(I203,Tabella!$G$1:$AB$1,0)-1)),4)</f>
        <v>0</v>
      </c>
      <c r="Q203" s="446">
        <f ca="1">ROUND(IF(ISERROR(OFFSET(Ottone!$F$1,MATCH(H203,Ottone!$A:$A,0)-1,MATCH(I203,Ottone!$F$1:$FF$1,0)-1)=TRUE),0,OFFSET(Ottone!$F$1,MATCH(H203,Ottone!$A:$A,0)-1,MATCH(I203,Ottone!$F$1:$FF$1,0)-1))*IF(E203="Ottone",1,0),4)</f>
        <v>0</v>
      </c>
      <c r="R203" s="446">
        <f ca="1">ROUND(IF(ISERROR(OFFSET(Rame!$F$1,MATCH(H203,Rame!$F:$F,0)-1,MATCH(I203,Rame!$F$1:$FF$1,0)-1)=TRUE),0,OFFSET(Rame!$F$1,MATCH(H203,Rame!$F:$F,0)-1,MATCH(I203,Rame!$F$1:$FF$1,0)-1))*IF(E203="Rame",1,0),4)</f>
        <v>0</v>
      </c>
      <c r="S203" s="446">
        <f ca="1">ROUND(IF(ISERROR(OFFSET(Bronzo!$A$1,MATCH(H203,Bronzo!$A:$A,0)-1,MATCH(I203,Bronzo!$A$1:$AA$1,0)-1)=TRUE),0,OFFSET(Bronzo!$A$1,MATCH(H203,Bronzo!$A:$A,0)-1,MATCH(I203,Bronzo!$A$1:$AA$1,0)-1)),4)</f>
        <v>0</v>
      </c>
      <c r="T203" s="446">
        <f t="shared" ca="1" si="143"/>
        <v>0</v>
      </c>
      <c r="U203" s="443"/>
      <c r="V203" s="446">
        <v>0</v>
      </c>
      <c r="W203" s="449">
        <f t="shared" ca="1" si="144"/>
        <v>1.6</v>
      </c>
      <c r="X203" s="457">
        <f t="shared" si="152"/>
        <v>43.54</v>
      </c>
      <c r="Y203" s="440">
        <v>4.8899999999999997</v>
      </c>
      <c r="Z203" s="440">
        <f t="shared" ca="1" si="145"/>
        <v>0.22</v>
      </c>
      <c r="AA203" s="241"/>
      <c r="AD203" s="223" t="s">
        <v>403</v>
      </c>
      <c r="AF203" s="225">
        <f t="shared" ca="1" si="115"/>
        <v>46156</v>
      </c>
      <c r="AG203" s="225" t="b">
        <f t="shared" si="146"/>
        <v>1</v>
      </c>
      <c r="AH203" s="242"/>
      <c r="AK203" s="223">
        <f t="shared" si="147"/>
        <v>0</v>
      </c>
      <c r="AL203" s="223">
        <f t="shared" si="148"/>
        <v>1900</v>
      </c>
      <c r="AS203" s="223">
        <f t="shared" si="149"/>
        <v>0</v>
      </c>
      <c r="AT203" s="223">
        <f t="shared" si="150"/>
        <v>0</v>
      </c>
    </row>
    <row r="204" spans="2:46" ht="15.75" x14ac:dyDescent="0.25">
      <c r="B204" s="229" t="s">
        <v>538</v>
      </c>
      <c r="C204" s="235" t="s">
        <v>400</v>
      </c>
      <c r="D204" s="243">
        <v>500</v>
      </c>
      <c r="E204" s="232" t="s">
        <v>6</v>
      </c>
      <c r="F204" s="435">
        <v>11.09</v>
      </c>
      <c r="G204" s="234">
        <v>46126</v>
      </c>
      <c r="H204" s="235" t="s">
        <v>18</v>
      </c>
      <c r="I204" s="235"/>
      <c r="J204" s="440">
        <v>0.15</v>
      </c>
      <c r="K204" s="443">
        <f ca="1">ROUND(IF(ISERROR(OFFSET(Tabella!$A$1,MATCH(H204,Tabella!$A:$A,0)-1,MATCH(J204,Tabella!$A$1:$AC$1,0)-1)=TRUE),0,+OFFSET(Tabella!$A$1,MATCH(H204,Tabella!$A:$A,0)-1,MATCH(J204,Tabella!$A$1:$AC$1,0)-1)),4)</f>
        <v>0</v>
      </c>
      <c r="L204" s="446">
        <f ca="1">ROUND(IF(ISERROR(OFFSET(Ottone!$A$1,MATCH(H204,Ottone!$A:$A,0)-1,MATCH(J204,Ottone!$A$1:$Z$1,0)-1)=TRUE),0,OFFSET(Ottone!$A$1,MATCH(H204,Ottone!$A:$A,0)-1,MATCH(J204,Ottone!$A$1:$Z$1,0)-1))*IF(E204="Ottone",1,0),4)</f>
        <v>0</v>
      </c>
      <c r="M204" s="446">
        <f ca="1">ROUND(IF(ISERROR(OFFSET(Rame!$A$1,MATCH(H204,Rame!$A:$A,0)-1,MATCH(J204,Rame!$A$1:$AA$1,0)-1)=TRUE),0,OFFSET(Rame!$A$1,MATCH(H204,Rame!$A:$A,0)-1,MATCH(J204,Rame!$A$1:$AA$1,0)-1))*IF(E204="Rame",1,0),4)</f>
        <v>0.82</v>
      </c>
      <c r="N204" s="446">
        <v>0</v>
      </c>
      <c r="O204" s="446">
        <f ca="1">ROUND(SUM(K204:N204),4)</f>
        <v>0.82</v>
      </c>
      <c r="P204" s="446">
        <f ca="1">ROUND(+IF(ISERROR(OFFSET(Tabella!$G$1,MATCH(H204,Tabella!$G:$G,0)-1,MATCH(I204,Tabella!$G$1:$FG$1,0)-1)=TRUE),0,OFFSET(Tabella!$G$1,MATCH(H204,Tabella!$G:$G,0)-1,MATCH(I204,Tabella!$G$1:$AB$1,0)-1)),4)</f>
        <v>0</v>
      </c>
      <c r="Q204" s="446">
        <f ca="1">ROUND(IF(ISERROR(OFFSET(Ottone!$F$1,MATCH(H204,Ottone!$A:$A,0)-1,MATCH(I204,Ottone!$F$1:$FF$1,0)-1)=TRUE),0,OFFSET(Ottone!$F$1,MATCH(H204,Ottone!$A:$A,0)-1,MATCH(I204,Ottone!$F$1:$FF$1,0)-1))*IF(E204="Ottone",1,0),4)</f>
        <v>0</v>
      </c>
      <c r="R204" s="446">
        <f ca="1">ROUND(IF(ISERROR(OFFSET(Rame!$F$1,MATCH(H204,Rame!$F:$F,0)-1,MATCH(I204,Rame!$F$1:$FF$1,0)-1)=TRUE),0,OFFSET(Rame!$F$1,MATCH(H204,Rame!$F:$F,0)-1,MATCH(I204,Rame!$F$1:$FF$1,0)-1))*IF(E204="Rame",1,0),4)</f>
        <v>0</v>
      </c>
      <c r="S204" s="446">
        <f ca="1">ROUND(IF(ISERROR(OFFSET(Bronzo!$A$1,MATCH(H204,Bronzo!$A:$A,0)-1,MATCH(I204,Bronzo!$A$1:$AA$1,0)-1)=TRUE),0,OFFSET(Bronzo!$A$1,MATCH(H204,Bronzo!$A:$A,0)-1,MATCH(I204,Bronzo!$A$1:$AA$1,0)-1)),4)</f>
        <v>0</v>
      </c>
      <c r="T204" s="446">
        <f t="shared" ca="1" si="143"/>
        <v>0</v>
      </c>
      <c r="U204" s="443"/>
      <c r="V204" s="446">
        <v>0</v>
      </c>
      <c r="W204" s="449">
        <f t="shared" ca="1" si="144"/>
        <v>0.82</v>
      </c>
      <c r="X204" s="452">
        <f t="shared" si="152"/>
        <v>75</v>
      </c>
      <c r="Y204" s="440">
        <v>14.7</v>
      </c>
      <c r="Z204" s="440">
        <f t="shared" ca="1" si="145"/>
        <v>2.79</v>
      </c>
      <c r="AA204" s="241">
        <v>46157</v>
      </c>
      <c r="AF204" s="225">
        <f t="shared" ca="1" si="115"/>
        <v>46156</v>
      </c>
      <c r="AG204" s="225" t="b">
        <f t="shared" ref="AG204:AG254" si="153">ISBLANK(AA204)</f>
        <v>0</v>
      </c>
      <c r="AH204" s="242"/>
      <c r="AK204" s="223">
        <f t="shared" si="147"/>
        <v>20</v>
      </c>
      <c r="AL204" s="223">
        <f t="shared" si="148"/>
        <v>2026</v>
      </c>
      <c r="AS204" s="223">
        <f t="shared" si="149"/>
        <v>5</v>
      </c>
      <c r="AT204" s="223">
        <f t="shared" si="150"/>
        <v>2026</v>
      </c>
    </row>
    <row r="205" spans="2:46" ht="15.75" x14ac:dyDescent="0.25">
      <c r="B205" s="229" t="s">
        <v>562</v>
      </c>
      <c r="C205" s="235" t="s">
        <v>263</v>
      </c>
      <c r="D205" s="243">
        <v>2000</v>
      </c>
      <c r="E205" s="232" t="s">
        <v>4</v>
      </c>
      <c r="F205" s="435">
        <v>2.88</v>
      </c>
      <c r="G205" s="234">
        <v>46127</v>
      </c>
      <c r="H205" s="235" t="s">
        <v>15</v>
      </c>
      <c r="I205" s="235"/>
      <c r="J205" s="440">
        <v>7.0000000000000007E-2</v>
      </c>
      <c r="K205" s="443">
        <f ca="1">ROUND(IF(ISERROR(OFFSET(Tabella!$A$1,MATCH(H205,Tabella!$A:$A,0)-1,MATCH(J205,Tabella!$A$1:$AC$1,0)-1)=TRUE),0,+OFFSET(Tabella!$A$1,MATCH(H205,Tabella!$A:$A,0)-1,MATCH(J205,Tabella!$A$1:$AC$1,0)-1)),4)</f>
        <v>1.4</v>
      </c>
      <c r="L205" s="446">
        <f ca="1">ROUND(IF(ISERROR(OFFSET(Ottone!$A$1,MATCH(H205,Ottone!$A:$A,0)-1,MATCH(J205,Ottone!$A$1:$Z$1,0)-1)=TRUE),0,OFFSET(Ottone!$A$1,MATCH(H205,Ottone!$A:$A,0)-1,MATCH(J205,Ottone!$A$1:$Z$1,0)-1))*IF(E205="Ottone",1,0),4)</f>
        <v>0</v>
      </c>
      <c r="M205" s="446">
        <f ca="1">ROUND(IF(ISERROR(OFFSET(Rame!$A$1,MATCH(H205,Rame!$A:$A,0)-1,MATCH(J205,Rame!$A$1:$AA$1,0)-1)=TRUE),0,OFFSET(Rame!$A$1,MATCH(H205,Rame!$A:$A,0)-1,MATCH(J205,Rame!$A$1:$AA$1,0)-1))*IF(E205="Rame",1,0),4)</f>
        <v>0</v>
      </c>
      <c r="N205" s="446">
        <v>0</v>
      </c>
      <c r="O205" s="446">
        <v>1.83</v>
      </c>
      <c r="P205" s="446">
        <f ca="1">ROUND(+IF(ISERROR(OFFSET(Tabella!$G$1,MATCH(H205,Tabella!$G:$G,0)-1,MATCH(I205,Tabella!$G$1:$FG$1,0)-1)=TRUE),0,OFFSET(Tabella!$G$1,MATCH(H205,Tabella!$G:$G,0)-1,MATCH(I205,Tabella!$G$1:$AB$1,0)-1)),4)</f>
        <v>0</v>
      </c>
      <c r="Q205" s="446">
        <f ca="1">ROUND(IF(ISERROR(OFFSET(Ottone!$F$1,MATCH(H205,Ottone!$A:$A,0)-1,MATCH(I205,Ottone!$F$1:$FF$1,0)-1)=TRUE),0,OFFSET(Ottone!$F$1,MATCH(H205,Ottone!$A:$A,0)-1,MATCH(I205,Ottone!$F$1:$FF$1,0)-1))*IF(E205="Ottone",1,0),4)</f>
        <v>0</v>
      </c>
      <c r="R205" s="446">
        <f ca="1">ROUND(IF(ISERROR(OFFSET(Rame!$F$1,MATCH(H205,Rame!$F:$F,0)-1,MATCH(I205,Rame!$F$1:$FF$1,0)-1)=TRUE),0,OFFSET(Rame!$F$1,MATCH(H205,Rame!$F:$F,0)-1,MATCH(I205,Rame!$F$1:$FF$1,0)-1))*IF(E205="Rame",1,0),4)</f>
        <v>0</v>
      </c>
      <c r="S205" s="446">
        <f ca="1">ROUND(IF(ISERROR(OFFSET(Bronzo!$A$1,MATCH(H205,Bronzo!$A:$A,0)-1,MATCH(I205,Bronzo!$A$1:$AA$1,0)-1)=TRUE),0,OFFSET(Bronzo!$A$1,MATCH(H205,Bronzo!$A:$A,0)-1,MATCH(I205,Bronzo!$A$1:$AA$1,0)-1)),4)</f>
        <v>0</v>
      </c>
      <c r="T205" s="446">
        <f t="shared" ca="1" si="143"/>
        <v>0</v>
      </c>
      <c r="U205" s="443"/>
      <c r="V205" s="446">
        <v>0</v>
      </c>
      <c r="W205" s="449">
        <f t="shared" ca="1" si="144"/>
        <v>1.83</v>
      </c>
      <c r="X205" s="452">
        <f t="shared" si="152"/>
        <v>140</v>
      </c>
      <c r="Y205" s="440">
        <v>4.71</v>
      </c>
      <c r="Z205" s="440">
        <f t="shared" ca="1" si="145"/>
        <v>0</v>
      </c>
      <c r="AA205" s="241">
        <v>46154</v>
      </c>
      <c r="AF205" s="225">
        <f t="shared" ca="1" si="115"/>
        <v>46156</v>
      </c>
      <c r="AG205" s="225" t="b">
        <f t="shared" si="153"/>
        <v>0</v>
      </c>
      <c r="AH205" s="242"/>
      <c r="AK205" s="223">
        <f t="shared" ref="AK205:AK255" si="154">WEEKNUM(AA205)</f>
        <v>20</v>
      </c>
      <c r="AL205" s="223">
        <f t="shared" ref="AL205:AL255" si="155">YEAR(AA205)</f>
        <v>2026</v>
      </c>
      <c r="AS205" s="223">
        <f t="shared" ref="AS205:AS255" si="156">IF(AA205="",0,MONTH(AA205))</f>
        <v>5</v>
      </c>
      <c r="AT205" s="223">
        <f t="shared" ref="AT205:AT255" si="157">IF(AA205="",0,YEAR(AA205))</f>
        <v>2026</v>
      </c>
    </row>
    <row r="206" spans="2:46" ht="15.75" x14ac:dyDescent="0.25">
      <c r="B206" s="229" t="s">
        <v>550</v>
      </c>
      <c r="C206" s="235" t="s">
        <v>263</v>
      </c>
      <c r="D206" s="243">
        <v>500</v>
      </c>
      <c r="E206" s="232" t="s">
        <v>4</v>
      </c>
      <c r="F206" s="435">
        <v>2.88</v>
      </c>
      <c r="G206" s="234">
        <v>46127</v>
      </c>
      <c r="H206" s="235" t="s">
        <v>19</v>
      </c>
      <c r="I206" s="235"/>
      <c r="J206" s="440">
        <v>7.0000000000000007E-2</v>
      </c>
      <c r="K206" s="443">
        <f ca="1">ROUND(IF(ISERROR(OFFSET(Tabella!$A$1,MATCH(H206,Tabella!$A:$A,0)-1,MATCH(J206,Tabella!$A$1:$AC$1,0)-1)=TRUE),0,+OFFSET(Tabella!$A$1,MATCH(H206,Tabella!$A:$A,0)-1,MATCH(J206,Tabella!$A$1:$AC$1,0)-1)),4)</f>
        <v>1.35</v>
      </c>
      <c r="L206" s="446">
        <f ca="1">ROUND(IF(ISERROR(OFFSET(Ottone!$A$1,MATCH(H206,Ottone!$A:$A,0)-1,MATCH(J206,Ottone!$A$1:$Z$1,0)-1)=TRUE),0,OFFSET(Ottone!$A$1,MATCH(H206,Ottone!$A:$A,0)-1,MATCH(J206,Ottone!$A$1:$Z$1,0)-1))*IF(E206="Ottone",1,0),4)</f>
        <v>0</v>
      </c>
      <c r="M206" s="446">
        <f ca="1">ROUND(IF(ISERROR(OFFSET(Rame!$A$1,MATCH(H206,Rame!$A:$A,0)-1,MATCH(J206,Rame!$A$1:$AA$1,0)-1)=TRUE),0,OFFSET(Rame!$A$1,MATCH(H206,Rame!$A:$A,0)-1,MATCH(J206,Rame!$A$1:$AA$1,0)-1))*IF(E206="Rame",1,0),4)</f>
        <v>0</v>
      </c>
      <c r="N206" s="446">
        <v>0</v>
      </c>
      <c r="O206" s="446">
        <v>1.73</v>
      </c>
      <c r="P206" s="446">
        <f ca="1">ROUND(+IF(ISERROR(OFFSET(Tabella!$G$1,MATCH(H206,Tabella!$G:$G,0)-1,MATCH(I206,Tabella!$G$1:$FG$1,0)-1)=TRUE),0,OFFSET(Tabella!$G$1,MATCH(H206,Tabella!$G:$G,0)-1,MATCH(I206,Tabella!$G$1:$AB$1,0)-1)),4)</f>
        <v>0</v>
      </c>
      <c r="Q206" s="446">
        <f ca="1">ROUND(IF(ISERROR(OFFSET(Ottone!$F$1,MATCH(H206,Ottone!$A:$A,0)-1,MATCH(I206,Ottone!$F$1:$FF$1,0)-1)=TRUE),0,OFFSET(Ottone!$F$1,MATCH(H206,Ottone!$A:$A,0)-1,MATCH(I206,Ottone!$F$1:$FF$1,0)-1))*IF(E206="Ottone",1,0),4)</f>
        <v>0</v>
      </c>
      <c r="R206" s="446">
        <f ca="1">ROUND(IF(ISERROR(OFFSET(Rame!$F$1,MATCH(H206,Rame!$F:$F,0)-1,MATCH(I206,Rame!$F$1:$FF$1,0)-1)=TRUE),0,OFFSET(Rame!$F$1,MATCH(H206,Rame!$F:$F,0)-1,MATCH(I206,Rame!$F$1:$FF$1,0)-1))*IF(E206="Rame",1,0),4)</f>
        <v>0</v>
      </c>
      <c r="S206" s="446">
        <f ca="1">ROUND(IF(ISERROR(OFFSET(Bronzo!$A$1,MATCH(H206,Bronzo!$A:$A,0)-1,MATCH(I206,Bronzo!$A$1:$AA$1,0)-1)=TRUE),0,OFFSET(Bronzo!$A$1,MATCH(H206,Bronzo!$A:$A,0)-1,MATCH(I206,Bronzo!$A$1:$AA$1,0)-1)),4)</f>
        <v>0</v>
      </c>
      <c r="T206" s="446">
        <f t="shared" ca="1" si="143"/>
        <v>0</v>
      </c>
      <c r="U206" s="443"/>
      <c r="V206" s="446">
        <v>0</v>
      </c>
      <c r="W206" s="449">
        <f t="shared" ca="1" si="144"/>
        <v>1.73</v>
      </c>
      <c r="X206" s="452">
        <f t="shared" si="152"/>
        <v>35</v>
      </c>
      <c r="Y206" s="440">
        <v>4.5599999999999996</v>
      </c>
      <c r="Z206" s="440">
        <f t="shared" ca="1" si="145"/>
        <v>-0.05</v>
      </c>
      <c r="AA206" s="241">
        <v>46154</v>
      </c>
      <c r="AF206" s="225">
        <f t="shared" ca="1" si="115"/>
        <v>46156</v>
      </c>
      <c r="AG206" s="225" t="b">
        <f t="shared" si="153"/>
        <v>0</v>
      </c>
      <c r="AH206" s="242"/>
      <c r="AK206" s="223">
        <f t="shared" si="154"/>
        <v>20</v>
      </c>
      <c r="AL206" s="223">
        <f t="shared" si="155"/>
        <v>2026</v>
      </c>
      <c r="AS206" s="223">
        <f t="shared" si="156"/>
        <v>5</v>
      </c>
      <c r="AT206" s="223">
        <f t="shared" si="157"/>
        <v>2026</v>
      </c>
    </row>
    <row r="207" spans="2:46" ht="15.75" x14ac:dyDescent="0.25">
      <c r="B207" s="229" t="s">
        <v>624</v>
      </c>
      <c r="C207" s="244" t="s">
        <v>257</v>
      </c>
      <c r="D207" s="245">
        <v>1498</v>
      </c>
      <c r="E207" s="232" t="s">
        <v>4</v>
      </c>
      <c r="F207" s="435">
        <v>3.02</v>
      </c>
      <c r="G207" s="234">
        <v>46127</v>
      </c>
      <c r="H207" s="235" t="s">
        <v>322</v>
      </c>
      <c r="I207" s="235"/>
      <c r="J207" s="440">
        <v>7.0000000000000007E-2</v>
      </c>
      <c r="K207" s="443">
        <f ca="1">ROUND(IF(ISERROR(OFFSET(Tabella!$A$1,MATCH(H207,Tabella!$A:$A,0)-1,MATCH(J207,Tabella!$A$1:$AC$1,0)-1)=TRUE),0,+OFFSET(Tabella!$A$1,MATCH(H207,Tabella!$A:$A,0)-1,MATCH(J207,Tabella!$A$1:$AC$1,0)-1)),4)</f>
        <v>1.25</v>
      </c>
      <c r="L207" s="446">
        <f ca="1">ROUND(IF(ISERROR(OFFSET(Ottone!$A$1,MATCH(H207,Ottone!$A:$A,0)-1,MATCH(J207,Ottone!$A$1:$Z$1,0)-1)=TRUE),0,OFFSET(Ottone!$A$1,MATCH(H207,Ottone!$A:$A,0)-1,MATCH(J207,Ottone!$A$1:$Z$1,0)-1))*IF(E207="Ottone",1,0),4)</f>
        <v>0</v>
      </c>
      <c r="M207" s="446">
        <f ca="1">ROUND(IF(ISERROR(OFFSET(Rame!$A$1,MATCH(H207,Rame!$A:$A,0)-1,MATCH(J207,Rame!$A$1:$AA$1,0)-1)=TRUE),0,OFFSET(Rame!$A$1,MATCH(H207,Rame!$A:$A,0)-1,MATCH(J207,Rame!$A$1:$AA$1,0)-1))*IF(E207="Rame",1,0),4)</f>
        <v>0</v>
      </c>
      <c r="N207" s="446">
        <v>0</v>
      </c>
      <c r="O207" s="446">
        <v>1.73</v>
      </c>
      <c r="P207" s="446">
        <f ca="1">ROUND(+IF(ISERROR(OFFSET(Tabella!$G$1,MATCH(H207,Tabella!$G:$G,0)-1,MATCH(I207,Tabella!$G$1:$FG$1,0)-1)=TRUE),0,OFFSET(Tabella!$G$1,MATCH(H207,Tabella!$G:$G,0)-1,MATCH(I207,Tabella!$G$1:$AB$1,0)-1)),4)</f>
        <v>0</v>
      </c>
      <c r="Q207" s="446">
        <f ca="1">ROUND(IF(ISERROR(OFFSET(Ottone!$F$1,MATCH(H207,Ottone!$A:$A,0)-1,MATCH(I207,Ottone!$F$1:$FF$1,0)-1)=TRUE),0,OFFSET(Ottone!$F$1,MATCH(H207,Ottone!$A:$A,0)-1,MATCH(I207,Ottone!$F$1:$FF$1,0)-1))*IF(E207="Ottone",1,0),4)</f>
        <v>0</v>
      </c>
      <c r="R207" s="446">
        <f ca="1">ROUND(IF(ISERROR(OFFSET(Rame!$F$1,MATCH(H207,Rame!$F:$F,0)-1,MATCH(I207,Rame!$F$1:$FF$1,0)-1)=TRUE),0,OFFSET(Rame!$F$1,MATCH(H207,Rame!$F:$F,0)-1,MATCH(I207,Rame!$F$1:$FF$1,0)-1))*IF(E207="Rame",1,0),4)</f>
        <v>0</v>
      </c>
      <c r="S207" s="446">
        <f ca="1">ROUND(IF(ISERROR(OFFSET(Bronzo!$A$1,MATCH(H207,Bronzo!$A:$A,0)-1,MATCH(I207,Bronzo!$A$1:$AA$1,0)-1)=TRUE),0,OFFSET(Bronzo!$A$1,MATCH(H207,Bronzo!$A:$A,0)-1,MATCH(I207,Bronzo!$A$1:$AA$1,0)-1)),4)</f>
        <v>0</v>
      </c>
      <c r="T207" s="446">
        <f t="shared" ca="1" si="143"/>
        <v>0</v>
      </c>
      <c r="U207" s="443"/>
      <c r="V207" s="446">
        <v>0</v>
      </c>
      <c r="W207" s="449">
        <f t="shared" ca="1" si="144"/>
        <v>1.73</v>
      </c>
      <c r="X207" s="454">
        <f t="shared" si="152"/>
        <v>104.86</v>
      </c>
      <c r="Y207" s="440">
        <v>4.7</v>
      </c>
      <c r="Z207" s="440">
        <f t="shared" ca="1" si="145"/>
        <v>-0.05</v>
      </c>
      <c r="AA207" s="241"/>
      <c r="AD207" s="223" t="s">
        <v>403</v>
      </c>
      <c r="AF207" s="225">
        <f t="shared" ca="1" si="115"/>
        <v>46156</v>
      </c>
      <c r="AG207" s="225" t="b">
        <f t="shared" si="153"/>
        <v>1</v>
      </c>
      <c r="AH207" s="242"/>
      <c r="AK207" s="223">
        <f t="shared" si="154"/>
        <v>0</v>
      </c>
      <c r="AL207" s="223">
        <f t="shared" si="155"/>
        <v>1900</v>
      </c>
      <c r="AS207" s="223">
        <f t="shared" si="156"/>
        <v>0</v>
      </c>
      <c r="AT207" s="223">
        <f t="shared" si="157"/>
        <v>0</v>
      </c>
    </row>
    <row r="208" spans="2:46" ht="15.75" x14ac:dyDescent="0.25">
      <c r="B208" s="229" t="s">
        <v>592</v>
      </c>
      <c r="C208" s="246" t="s">
        <v>498</v>
      </c>
      <c r="D208" s="247">
        <v>30000</v>
      </c>
      <c r="E208" s="232" t="s">
        <v>4</v>
      </c>
      <c r="F208" s="435">
        <v>3.02</v>
      </c>
      <c r="G208" s="234">
        <v>46127</v>
      </c>
      <c r="H208" s="235" t="s">
        <v>21</v>
      </c>
      <c r="I208" s="235"/>
      <c r="J208" s="440">
        <v>7.0000000000000007E-2</v>
      </c>
      <c r="K208" s="443">
        <f ca="1">ROUND(IF(ISERROR(OFFSET(Tabella!$A$1,MATCH(H208,Tabella!$A:$A,0)-1,MATCH(J208,Tabella!$A$1:$AC$1,0)-1)=TRUE),0,+OFFSET(Tabella!$A$1,MATCH(H208,Tabella!$A:$A,0)-1,MATCH(J208,Tabella!$A$1:$AC$1,0)-1)),4)</f>
        <v>1.25</v>
      </c>
      <c r="L208" s="446">
        <f ca="1">ROUND(IF(ISERROR(OFFSET(Ottone!$A$1,MATCH(H208,Ottone!$A:$A,0)-1,MATCH(J208,Ottone!$A$1:$Z$1,0)-1)=TRUE),0,OFFSET(Ottone!$A$1,MATCH(H208,Ottone!$A:$A,0)-1,MATCH(J208,Ottone!$A$1:$Z$1,0)-1))*IF(E208="Ottone",1,0),4)</f>
        <v>0</v>
      </c>
      <c r="M208" s="446">
        <f ca="1">ROUND(IF(ISERROR(OFFSET(Rame!$A$1,MATCH(H208,Rame!$A:$A,0)-1,MATCH(J208,Rame!$A$1:$AA$1,0)-1)=TRUE),0,OFFSET(Rame!$A$1,MATCH(H208,Rame!$A:$A,0)-1,MATCH(J208,Rame!$A$1:$AA$1,0)-1))*IF(E208="Rame",1,0),4)</f>
        <v>0</v>
      </c>
      <c r="N208" s="446">
        <v>0</v>
      </c>
      <c r="O208" s="446">
        <f ca="1">ROUND(SUM(K208:N208),4)</f>
        <v>1.25</v>
      </c>
      <c r="P208" s="446">
        <f ca="1">ROUND(+IF(ISERROR(OFFSET(Tabella!$G$1,MATCH(H208,Tabella!$G:$G,0)-1,MATCH(I208,Tabella!$G$1:$FG$1,0)-1)=TRUE),0,OFFSET(Tabella!$G$1,MATCH(H208,Tabella!$G:$G,0)-1,MATCH(I208,Tabella!$G$1:$AB$1,0)-1)),4)</f>
        <v>0</v>
      </c>
      <c r="Q208" s="446">
        <f ca="1">ROUND(IF(ISERROR(OFFSET(Ottone!$F$1,MATCH(H208,Ottone!$A:$A,0)-1,MATCH(I208,Ottone!$F$1:$FF$1,0)-1)=TRUE),0,OFFSET(Ottone!$F$1,MATCH(H208,Ottone!$A:$A,0)-1,MATCH(I208,Ottone!$F$1:$FF$1,0)-1))*IF(E208="Ottone",1,0),4)</f>
        <v>0</v>
      </c>
      <c r="R208" s="446">
        <f ca="1">ROUND(IF(ISERROR(OFFSET(Rame!$F$1,MATCH(H208,Rame!$F:$F,0)-1,MATCH(I208,Rame!$F$1:$FF$1,0)-1)=TRUE),0,OFFSET(Rame!$F$1,MATCH(H208,Rame!$F:$F,0)-1,MATCH(I208,Rame!$F$1:$FF$1,0)-1))*IF(E208="Rame",1,0),4)</f>
        <v>0</v>
      </c>
      <c r="S208" s="446">
        <f ca="1">ROUND(IF(ISERROR(OFFSET(Bronzo!$A$1,MATCH(H208,Bronzo!$A:$A,0)-1,MATCH(I208,Bronzo!$A$1:$AA$1,0)-1)=TRUE),0,OFFSET(Bronzo!$A$1,MATCH(H208,Bronzo!$A:$A,0)-1,MATCH(I208,Bronzo!$A$1:$AA$1,0)-1)),4)</f>
        <v>0</v>
      </c>
      <c r="T208" s="446">
        <f t="shared" ca="1" si="143"/>
        <v>0</v>
      </c>
      <c r="U208" s="443"/>
      <c r="V208" s="446">
        <v>0</v>
      </c>
      <c r="W208" s="449">
        <f t="shared" ca="1" si="144"/>
        <v>1.25</v>
      </c>
      <c r="X208" s="455"/>
      <c r="Y208" s="440">
        <v>4.6500000000000004</v>
      </c>
      <c r="Z208" s="440">
        <f t="shared" ca="1" si="145"/>
        <v>0.38</v>
      </c>
      <c r="AA208" s="241">
        <v>46234</v>
      </c>
      <c r="AF208" s="225">
        <f t="shared" ca="1" si="115"/>
        <v>46156</v>
      </c>
      <c r="AG208" s="225" t="b">
        <f t="shared" si="153"/>
        <v>0</v>
      </c>
      <c r="AH208" s="242"/>
      <c r="AK208" s="223">
        <f t="shared" si="154"/>
        <v>31</v>
      </c>
      <c r="AL208" s="223">
        <f t="shared" si="155"/>
        <v>2026</v>
      </c>
      <c r="AS208" s="223">
        <f t="shared" si="156"/>
        <v>7</v>
      </c>
      <c r="AT208" s="223">
        <f t="shared" si="157"/>
        <v>2026</v>
      </c>
    </row>
    <row r="209" spans="2:46" ht="15.75" x14ac:dyDescent="0.25">
      <c r="B209" s="229" t="s">
        <v>536</v>
      </c>
      <c r="C209" s="235" t="s">
        <v>219</v>
      </c>
      <c r="D209" s="243">
        <v>1100</v>
      </c>
      <c r="E209" s="232" t="s">
        <v>4</v>
      </c>
      <c r="F209" s="435">
        <v>3.02</v>
      </c>
      <c r="G209" s="234">
        <v>46127</v>
      </c>
      <c r="H209" s="235" t="s">
        <v>25</v>
      </c>
      <c r="I209" s="235"/>
      <c r="J209" s="440">
        <v>0.05</v>
      </c>
      <c r="K209" s="443">
        <f ca="1">ROUND(IF(ISERROR(OFFSET(Tabella!$A$1,MATCH(H209,Tabella!$A:$A,0)-1,MATCH(J209,Tabella!$A$1:$AC$1,0)-1)=TRUE),0,+OFFSET(Tabella!$A$1,MATCH(H209,Tabella!$A:$A,0)-1,MATCH(J209,Tabella!$A$1:$AC$1,0)-1)),4)</f>
        <v>0</v>
      </c>
      <c r="L209" s="446">
        <f ca="1">ROUND(IF(ISERROR(OFFSET(Ottone!$A$1,MATCH(H209,Ottone!$A:$A,0)-1,MATCH(J209,Ottone!$A$1:$Z$1,0)-1)=TRUE),0,OFFSET(Ottone!$A$1,MATCH(H209,Ottone!$A:$A,0)-1,MATCH(J209,Ottone!$A$1:$Z$1,0)-1))*IF(E209="Ottone",1,0),4)</f>
        <v>0</v>
      </c>
      <c r="M209" s="446">
        <f ca="1">ROUND(IF(ISERROR(OFFSET(Rame!$A$1,MATCH(H209,Rame!$A:$A,0)-1,MATCH(J209,Rame!$A$1:$AA$1,0)-1)=TRUE),0,OFFSET(Rame!$A$1,MATCH(H209,Rame!$A:$A,0)-1,MATCH(J209,Rame!$A$1:$AA$1,0)-1))*IF(E209="Rame",1,0),4)</f>
        <v>0</v>
      </c>
      <c r="N209" s="446">
        <v>0</v>
      </c>
      <c r="O209" s="446">
        <v>1.73</v>
      </c>
      <c r="P209" s="446">
        <f ca="1">ROUND(+IF(ISERROR(OFFSET(Tabella!$G$1,MATCH(H209,Tabella!$G:$G,0)-1,MATCH(I209,Tabella!$G$1:$FG$1,0)-1)=TRUE),0,OFFSET(Tabella!$G$1,MATCH(H209,Tabella!$G:$G,0)-1,MATCH(I209,Tabella!$G$1:$AB$1,0)-1)),4)</f>
        <v>0</v>
      </c>
      <c r="Q209" s="446">
        <f ca="1">ROUND(IF(ISERROR(OFFSET(Ottone!$F$1,MATCH(H209,Ottone!$A:$A,0)-1,MATCH(I209,Ottone!$F$1:$FF$1,0)-1)=TRUE),0,OFFSET(Ottone!$F$1,MATCH(H209,Ottone!$A:$A,0)-1,MATCH(I209,Ottone!$F$1:$FF$1,0)-1))*IF(E209="Ottone",1,0),4)</f>
        <v>0</v>
      </c>
      <c r="R209" s="446">
        <f ca="1">ROUND(IF(ISERROR(OFFSET(Rame!$F$1,MATCH(H209,Rame!$F:$F,0)-1,MATCH(I209,Rame!$F$1:$FF$1,0)-1)=TRUE),0,OFFSET(Rame!$F$1,MATCH(H209,Rame!$F:$F,0)-1,MATCH(I209,Rame!$F$1:$FF$1,0)-1))*IF(E209="Rame",1,0),4)</f>
        <v>0</v>
      </c>
      <c r="S209" s="446">
        <f ca="1">ROUND(IF(ISERROR(OFFSET(Bronzo!$A$1,MATCH(H209,Bronzo!$A:$A,0)-1,MATCH(I209,Bronzo!$A$1:$AA$1,0)-1)=TRUE),0,OFFSET(Bronzo!$A$1,MATCH(H209,Bronzo!$A:$A,0)-1,MATCH(I209,Bronzo!$A$1:$AA$1,0)-1)),4)</f>
        <v>0</v>
      </c>
      <c r="T209" s="446">
        <f t="shared" ca="1" si="143"/>
        <v>0</v>
      </c>
      <c r="U209" s="443"/>
      <c r="V209" s="446">
        <v>0</v>
      </c>
      <c r="W209" s="449">
        <f t="shared" ca="1" si="144"/>
        <v>1.73</v>
      </c>
      <c r="X209" s="452">
        <f t="shared" ref="X209:X272" si="158">ROUND(+J209*D209,4)</f>
        <v>55</v>
      </c>
      <c r="Y209" s="440">
        <v>4.7</v>
      </c>
      <c r="Z209" s="440">
        <f t="shared" ca="1" si="145"/>
        <v>-0.05</v>
      </c>
      <c r="AA209" s="241">
        <v>46157</v>
      </c>
      <c r="AF209" s="225">
        <f t="shared" ca="1" si="115"/>
        <v>46156</v>
      </c>
      <c r="AG209" s="225" t="b">
        <f t="shared" si="153"/>
        <v>0</v>
      </c>
      <c r="AH209" s="242"/>
      <c r="AK209" s="223">
        <f t="shared" si="154"/>
        <v>20</v>
      </c>
      <c r="AL209" s="223">
        <f t="shared" si="155"/>
        <v>2026</v>
      </c>
      <c r="AS209" s="223">
        <f t="shared" si="156"/>
        <v>5</v>
      </c>
      <c r="AT209" s="223">
        <f t="shared" si="157"/>
        <v>2026</v>
      </c>
    </row>
    <row r="210" spans="2:46" ht="15.75" x14ac:dyDescent="0.25">
      <c r="B210" s="229" t="s">
        <v>536</v>
      </c>
      <c r="C210" s="235" t="s">
        <v>219</v>
      </c>
      <c r="D210" s="243">
        <v>500</v>
      </c>
      <c r="E210" s="232" t="s">
        <v>4</v>
      </c>
      <c r="F210" s="435">
        <v>3.02</v>
      </c>
      <c r="G210" s="234">
        <v>46127</v>
      </c>
      <c r="H210" s="235" t="s">
        <v>26</v>
      </c>
      <c r="I210" s="235"/>
      <c r="J210" s="440">
        <v>0.05</v>
      </c>
      <c r="K210" s="443">
        <f ca="1">ROUND(IF(ISERROR(OFFSET(Tabella!$A$1,MATCH(H210,Tabella!$A:$A,0)-1,MATCH(J210,Tabella!$A$1:$AC$1,0)-1)=TRUE),0,+OFFSET(Tabella!$A$1,MATCH(H210,Tabella!$A:$A,0)-1,MATCH(J210,Tabella!$A$1:$AC$1,0)-1)),4)</f>
        <v>0</v>
      </c>
      <c r="L210" s="446">
        <f ca="1">ROUND(IF(ISERROR(OFFSET(Ottone!$A$1,MATCH(H210,Ottone!$A:$A,0)-1,MATCH(J210,Ottone!$A$1:$Z$1,0)-1)=TRUE),0,OFFSET(Ottone!$A$1,MATCH(H210,Ottone!$A:$A,0)-1,MATCH(J210,Ottone!$A$1:$Z$1,0)-1))*IF(E210="Ottone",1,0),4)</f>
        <v>0</v>
      </c>
      <c r="M210" s="446">
        <f ca="1">ROUND(IF(ISERROR(OFFSET(Rame!$A$1,MATCH(H210,Rame!$A:$A,0)-1,MATCH(J210,Rame!$A$1:$AA$1,0)-1)=TRUE),0,OFFSET(Rame!$A$1,MATCH(H210,Rame!$A:$A,0)-1,MATCH(J210,Rame!$A$1:$AA$1,0)-1))*IF(E210="Rame",1,0),4)</f>
        <v>0</v>
      </c>
      <c r="N210" s="446">
        <v>0</v>
      </c>
      <c r="O210" s="446">
        <v>1.73</v>
      </c>
      <c r="P210" s="446">
        <f ca="1">ROUND(+IF(ISERROR(OFFSET(Tabella!$G$1,MATCH(H210,Tabella!$G:$G,0)-1,MATCH(I210,Tabella!$G$1:$FG$1,0)-1)=TRUE),0,OFFSET(Tabella!$G$1,MATCH(H210,Tabella!$G:$G,0)-1,MATCH(I210,Tabella!$G$1:$AB$1,0)-1)),4)</f>
        <v>0</v>
      </c>
      <c r="Q210" s="446">
        <f ca="1">ROUND(IF(ISERROR(OFFSET(Ottone!$F$1,MATCH(H210,Ottone!$A:$A,0)-1,MATCH(I210,Ottone!$F$1:$FF$1,0)-1)=TRUE),0,OFFSET(Ottone!$F$1,MATCH(H210,Ottone!$A:$A,0)-1,MATCH(I210,Ottone!$F$1:$FF$1,0)-1))*IF(E210="Ottone",1,0),4)</f>
        <v>0</v>
      </c>
      <c r="R210" s="446">
        <f ca="1">ROUND(IF(ISERROR(OFFSET(Rame!$F$1,MATCH(H210,Rame!$F:$F,0)-1,MATCH(I210,Rame!$F$1:$FF$1,0)-1)=TRUE),0,OFFSET(Rame!$F$1,MATCH(H210,Rame!$F:$F,0)-1,MATCH(I210,Rame!$F$1:$FF$1,0)-1))*IF(E210="Rame",1,0),4)</f>
        <v>0</v>
      </c>
      <c r="S210" s="446">
        <f ca="1">ROUND(IF(ISERROR(OFFSET(Bronzo!$A$1,MATCH(H210,Bronzo!$A:$A,0)-1,MATCH(I210,Bronzo!$A$1:$AA$1,0)-1)=TRUE),0,OFFSET(Bronzo!$A$1,MATCH(H210,Bronzo!$A:$A,0)-1,MATCH(I210,Bronzo!$A$1:$AA$1,0)-1)),4)</f>
        <v>0</v>
      </c>
      <c r="T210" s="446">
        <f t="shared" ca="1" si="143"/>
        <v>0</v>
      </c>
      <c r="U210" s="443"/>
      <c r="V210" s="446">
        <v>0</v>
      </c>
      <c r="W210" s="449">
        <f t="shared" ca="1" si="144"/>
        <v>1.73</v>
      </c>
      <c r="X210" s="452">
        <f t="shared" si="158"/>
        <v>25</v>
      </c>
      <c r="Y210" s="440">
        <v>4.7</v>
      </c>
      <c r="Z210" s="440">
        <f t="shared" ca="1" si="145"/>
        <v>-0.05</v>
      </c>
      <c r="AA210" s="241">
        <v>46162</v>
      </c>
      <c r="AF210" s="225">
        <f t="shared" ca="1" si="115"/>
        <v>46156</v>
      </c>
      <c r="AG210" s="225" t="b">
        <f t="shared" si="153"/>
        <v>0</v>
      </c>
      <c r="AH210" s="242"/>
      <c r="AK210" s="223">
        <f t="shared" si="154"/>
        <v>21</v>
      </c>
      <c r="AL210" s="223">
        <f t="shared" si="155"/>
        <v>2026</v>
      </c>
      <c r="AS210" s="223">
        <f t="shared" si="156"/>
        <v>5</v>
      </c>
      <c r="AT210" s="223">
        <f t="shared" si="157"/>
        <v>2026</v>
      </c>
    </row>
    <row r="211" spans="2:46" ht="15.75" x14ac:dyDescent="0.25">
      <c r="B211" s="229" t="s">
        <v>536</v>
      </c>
      <c r="C211" s="235" t="s">
        <v>219</v>
      </c>
      <c r="D211" s="243">
        <v>500</v>
      </c>
      <c r="E211" s="232" t="s">
        <v>4</v>
      </c>
      <c r="F211" s="435">
        <v>3.02</v>
      </c>
      <c r="G211" s="234">
        <v>46127</v>
      </c>
      <c r="H211" s="235" t="s">
        <v>22</v>
      </c>
      <c r="I211" s="235"/>
      <c r="J211" s="440">
        <v>0.05</v>
      </c>
      <c r="K211" s="443">
        <f ca="1">ROUND(IF(ISERROR(OFFSET(Tabella!$A$1,MATCH(H211,Tabella!$A:$A,0)-1,MATCH(J211,Tabella!$A$1:$AC$1,0)-1)=TRUE),0,+OFFSET(Tabella!$A$1,MATCH(H211,Tabella!$A:$A,0)-1,MATCH(J211,Tabella!$A$1:$AC$1,0)-1)),4)</f>
        <v>0</v>
      </c>
      <c r="L211" s="446">
        <f ca="1">ROUND(IF(ISERROR(OFFSET(Ottone!$A$1,MATCH(H211,Ottone!$A:$A,0)-1,MATCH(J211,Ottone!$A$1:$Z$1,0)-1)=TRUE),0,OFFSET(Ottone!$A$1,MATCH(H211,Ottone!$A:$A,0)-1,MATCH(J211,Ottone!$A$1:$Z$1,0)-1))*IF(E211="Ottone",1,0),4)</f>
        <v>0</v>
      </c>
      <c r="M211" s="446">
        <f ca="1">ROUND(IF(ISERROR(OFFSET(Rame!$A$1,MATCH(H211,Rame!$A:$A,0)-1,MATCH(J211,Rame!$A$1:$AA$1,0)-1)=TRUE),0,OFFSET(Rame!$A$1,MATCH(H211,Rame!$A:$A,0)-1,MATCH(J211,Rame!$A$1:$AA$1,0)-1))*IF(E211="Rame",1,0),4)</f>
        <v>0</v>
      </c>
      <c r="N211" s="446">
        <v>0</v>
      </c>
      <c r="O211" s="446">
        <v>1.73</v>
      </c>
      <c r="P211" s="446">
        <f ca="1">ROUND(+IF(ISERROR(OFFSET(Tabella!$G$1,MATCH(H211,Tabella!$G:$G,0)-1,MATCH(I211,Tabella!$G$1:$FG$1,0)-1)=TRUE),0,OFFSET(Tabella!$G$1,MATCH(H211,Tabella!$G:$G,0)-1,MATCH(I211,Tabella!$G$1:$AB$1,0)-1)),4)</f>
        <v>0</v>
      </c>
      <c r="Q211" s="446">
        <f ca="1">ROUND(IF(ISERROR(OFFSET(Ottone!$F$1,MATCH(H211,Ottone!$A:$A,0)-1,MATCH(I211,Ottone!$F$1:$FF$1,0)-1)=TRUE),0,OFFSET(Ottone!$F$1,MATCH(H211,Ottone!$A:$A,0)-1,MATCH(I211,Ottone!$F$1:$FF$1,0)-1))*IF(E211="Ottone",1,0),4)</f>
        <v>0</v>
      </c>
      <c r="R211" s="446">
        <f ca="1">ROUND(IF(ISERROR(OFFSET(Rame!$F$1,MATCH(H211,Rame!$F:$F,0)-1,MATCH(I211,Rame!$F$1:$FF$1,0)-1)=TRUE),0,OFFSET(Rame!$F$1,MATCH(H211,Rame!$F:$F,0)-1,MATCH(I211,Rame!$F$1:$FF$1,0)-1))*IF(E211="Rame",1,0),4)</f>
        <v>0</v>
      </c>
      <c r="S211" s="446">
        <f ca="1">ROUND(IF(ISERROR(OFFSET(Bronzo!$A$1,MATCH(H211,Bronzo!$A:$A,0)-1,MATCH(I211,Bronzo!$A$1:$AA$1,0)-1)=TRUE),0,OFFSET(Bronzo!$A$1,MATCH(H211,Bronzo!$A:$A,0)-1,MATCH(I211,Bronzo!$A$1:$AA$1,0)-1)),4)</f>
        <v>0</v>
      </c>
      <c r="T211" s="446">
        <f t="shared" ca="1" si="143"/>
        <v>0</v>
      </c>
      <c r="U211" s="443"/>
      <c r="V211" s="446">
        <v>0</v>
      </c>
      <c r="W211" s="449">
        <f t="shared" ca="1" si="144"/>
        <v>1.73</v>
      </c>
      <c r="X211" s="452">
        <f t="shared" si="158"/>
        <v>25</v>
      </c>
      <c r="Y211" s="440">
        <v>4.7</v>
      </c>
      <c r="Z211" s="440">
        <f t="shared" ca="1" si="145"/>
        <v>-0.05</v>
      </c>
      <c r="AA211" s="241">
        <v>46162</v>
      </c>
      <c r="AF211" s="225">
        <f t="shared" ca="1" si="115"/>
        <v>46156</v>
      </c>
      <c r="AG211" s="225" t="b">
        <f t="shared" si="153"/>
        <v>0</v>
      </c>
      <c r="AH211" s="242"/>
      <c r="AK211" s="223">
        <f t="shared" si="154"/>
        <v>21</v>
      </c>
      <c r="AL211" s="223">
        <f t="shared" si="155"/>
        <v>2026</v>
      </c>
      <c r="AS211" s="223">
        <f t="shared" si="156"/>
        <v>5</v>
      </c>
      <c r="AT211" s="223">
        <f t="shared" si="157"/>
        <v>2026</v>
      </c>
    </row>
    <row r="212" spans="2:46" ht="15.75" x14ac:dyDescent="0.25">
      <c r="B212" s="229" t="s">
        <v>536</v>
      </c>
      <c r="C212" s="235" t="s">
        <v>219</v>
      </c>
      <c r="D212" s="243">
        <v>500</v>
      </c>
      <c r="E212" s="232" t="s">
        <v>4</v>
      </c>
      <c r="F212" s="435">
        <v>3.02</v>
      </c>
      <c r="G212" s="234">
        <v>46127</v>
      </c>
      <c r="H212" s="235" t="s">
        <v>23</v>
      </c>
      <c r="I212" s="235"/>
      <c r="J212" s="440">
        <v>0.05</v>
      </c>
      <c r="K212" s="443">
        <f ca="1">ROUND(IF(ISERROR(OFFSET(Tabella!$A$1,MATCH(H212,Tabella!$A:$A,0)-1,MATCH(J212,Tabella!$A$1:$AC$1,0)-1)=TRUE),0,+OFFSET(Tabella!$A$1,MATCH(H212,Tabella!$A:$A,0)-1,MATCH(J212,Tabella!$A$1:$AC$1,0)-1)),4)</f>
        <v>0</v>
      </c>
      <c r="L212" s="446">
        <f ca="1">ROUND(IF(ISERROR(OFFSET(Ottone!$A$1,MATCH(H212,Ottone!$A:$A,0)-1,MATCH(J212,Ottone!$A$1:$Z$1,0)-1)=TRUE),0,OFFSET(Ottone!$A$1,MATCH(H212,Ottone!$A:$A,0)-1,MATCH(J212,Ottone!$A$1:$Z$1,0)-1))*IF(E212="Ottone",1,0),4)</f>
        <v>0</v>
      </c>
      <c r="M212" s="446">
        <f ca="1">ROUND(IF(ISERROR(OFFSET(Rame!$A$1,MATCH(H212,Rame!$A:$A,0)-1,MATCH(J212,Rame!$A$1:$AA$1,0)-1)=TRUE),0,OFFSET(Rame!$A$1,MATCH(H212,Rame!$A:$A,0)-1,MATCH(J212,Rame!$A$1:$AA$1,0)-1))*IF(E212="Rame",1,0),4)</f>
        <v>0</v>
      </c>
      <c r="N212" s="446">
        <v>0</v>
      </c>
      <c r="O212" s="446">
        <v>1.73</v>
      </c>
      <c r="P212" s="446">
        <f ca="1">ROUND(+IF(ISERROR(OFFSET(Tabella!$G$1,MATCH(H212,Tabella!$G:$G,0)-1,MATCH(I212,Tabella!$G$1:$FG$1,0)-1)=TRUE),0,OFFSET(Tabella!$G$1,MATCH(H212,Tabella!$G:$G,0)-1,MATCH(I212,Tabella!$G$1:$AB$1,0)-1)),4)</f>
        <v>0</v>
      </c>
      <c r="Q212" s="446">
        <f ca="1">ROUND(IF(ISERROR(OFFSET(Ottone!$F$1,MATCH(H212,Ottone!$A:$A,0)-1,MATCH(I212,Ottone!$F$1:$FF$1,0)-1)=TRUE),0,OFFSET(Ottone!$F$1,MATCH(H212,Ottone!$A:$A,0)-1,MATCH(I212,Ottone!$F$1:$FF$1,0)-1))*IF(E212="Ottone",1,0),4)</f>
        <v>0</v>
      </c>
      <c r="R212" s="446">
        <f ca="1">ROUND(IF(ISERROR(OFFSET(Rame!$F$1,MATCH(H212,Rame!$F:$F,0)-1,MATCH(I212,Rame!$F$1:$FF$1,0)-1)=TRUE),0,OFFSET(Rame!$F$1,MATCH(H212,Rame!$F:$F,0)-1,MATCH(I212,Rame!$F$1:$FF$1,0)-1))*IF(E212="Rame",1,0),4)</f>
        <v>0</v>
      </c>
      <c r="S212" s="446">
        <f ca="1">ROUND(IF(ISERROR(OFFSET(Bronzo!$A$1,MATCH(H212,Bronzo!$A:$A,0)-1,MATCH(I212,Bronzo!$A$1:$AA$1,0)-1)=TRUE),0,OFFSET(Bronzo!$A$1,MATCH(H212,Bronzo!$A:$A,0)-1,MATCH(I212,Bronzo!$A$1:$AA$1,0)-1)),4)</f>
        <v>0</v>
      </c>
      <c r="T212" s="446">
        <f t="shared" ca="1" si="143"/>
        <v>0</v>
      </c>
      <c r="U212" s="443"/>
      <c r="V212" s="446">
        <v>0</v>
      </c>
      <c r="W212" s="449">
        <f t="shared" ca="1" si="144"/>
        <v>1.73</v>
      </c>
      <c r="X212" s="452">
        <f t="shared" si="158"/>
        <v>25</v>
      </c>
      <c r="Y212" s="440">
        <v>4.7</v>
      </c>
      <c r="Z212" s="440">
        <f t="shared" ca="1" si="145"/>
        <v>-0.05</v>
      </c>
      <c r="AA212" s="241">
        <v>46157</v>
      </c>
      <c r="AF212" s="225">
        <f t="shared" ca="1" si="115"/>
        <v>46156</v>
      </c>
      <c r="AG212" s="225" t="b">
        <f t="shared" si="153"/>
        <v>0</v>
      </c>
      <c r="AH212" s="242"/>
      <c r="AK212" s="223">
        <f t="shared" si="154"/>
        <v>20</v>
      </c>
      <c r="AL212" s="223">
        <f t="shared" si="155"/>
        <v>2026</v>
      </c>
      <c r="AS212" s="223">
        <f t="shared" si="156"/>
        <v>5</v>
      </c>
      <c r="AT212" s="223">
        <f t="shared" si="157"/>
        <v>2026</v>
      </c>
    </row>
    <row r="213" spans="2:46" ht="15.75" x14ac:dyDescent="0.25">
      <c r="B213" s="229" t="s">
        <v>536</v>
      </c>
      <c r="C213" s="235" t="s">
        <v>219</v>
      </c>
      <c r="D213" s="243">
        <v>1200</v>
      </c>
      <c r="E213" s="232" t="s">
        <v>4</v>
      </c>
      <c r="F213" s="435">
        <v>3.02</v>
      </c>
      <c r="G213" s="234">
        <v>46127</v>
      </c>
      <c r="H213" s="235" t="s">
        <v>25</v>
      </c>
      <c r="I213" s="235"/>
      <c r="J213" s="440">
        <v>0.05</v>
      </c>
      <c r="K213" s="443">
        <f ca="1">ROUND(IF(ISERROR(OFFSET(Tabella!$A$1,MATCH(H213,Tabella!$A:$A,0)-1,MATCH(J213,Tabella!$A$1:$AC$1,0)-1)=TRUE),0,+OFFSET(Tabella!$A$1,MATCH(H213,Tabella!$A:$A,0)-1,MATCH(J213,Tabella!$A$1:$AC$1,0)-1)),4)</f>
        <v>0</v>
      </c>
      <c r="L213" s="446">
        <f ca="1">ROUND(IF(ISERROR(OFFSET(Ottone!$A$1,MATCH(H213,Ottone!$A:$A,0)-1,MATCH(J213,Ottone!$A$1:$Z$1,0)-1)=TRUE),0,OFFSET(Ottone!$A$1,MATCH(H213,Ottone!$A:$A,0)-1,MATCH(J213,Ottone!$A$1:$Z$1,0)-1))*IF(E213="Ottone",1,0),4)</f>
        <v>0</v>
      </c>
      <c r="M213" s="446">
        <f ca="1">ROUND(IF(ISERROR(OFFSET(Rame!$A$1,MATCH(H213,Rame!$A:$A,0)-1,MATCH(J213,Rame!$A$1:$AA$1,0)-1)=TRUE),0,OFFSET(Rame!$A$1,MATCH(H213,Rame!$A:$A,0)-1,MATCH(J213,Rame!$A$1:$AA$1,0)-1))*IF(E213="Rame",1,0),4)</f>
        <v>0</v>
      </c>
      <c r="N213" s="446">
        <v>0</v>
      </c>
      <c r="O213" s="446">
        <v>1.73</v>
      </c>
      <c r="P213" s="446">
        <f ca="1">ROUND(+IF(ISERROR(OFFSET(Tabella!$G$1,MATCH(H213,Tabella!$G:$G,0)-1,MATCH(I213,Tabella!$G$1:$FG$1,0)-1)=TRUE),0,OFFSET(Tabella!$G$1,MATCH(H213,Tabella!$G:$G,0)-1,MATCH(I213,Tabella!$G$1:$AB$1,0)-1)),4)</f>
        <v>0</v>
      </c>
      <c r="Q213" s="446">
        <f ca="1">ROUND(IF(ISERROR(OFFSET(Ottone!$F$1,MATCH(H213,Ottone!$A:$A,0)-1,MATCH(I213,Ottone!$F$1:$FF$1,0)-1)=TRUE),0,OFFSET(Ottone!$F$1,MATCH(H213,Ottone!$A:$A,0)-1,MATCH(I213,Ottone!$F$1:$FF$1,0)-1))*IF(E213="Ottone",1,0),4)</f>
        <v>0</v>
      </c>
      <c r="R213" s="446">
        <f ca="1">ROUND(IF(ISERROR(OFFSET(Rame!$F$1,MATCH(H213,Rame!$F:$F,0)-1,MATCH(I213,Rame!$F$1:$FF$1,0)-1)=TRUE),0,OFFSET(Rame!$F$1,MATCH(H213,Rame!$F:$F,0)-1,MATCH(I213,Rame!$F$1:$FF$1,0)-1))*IF(E213="Rame",1,0),4)</f>
        <v>0</v>
      </c>
      <c r="S213" s="446">
        <f ca="1">ROUND(IF(ISERROR(OFFSET(Bronzo!$A$1,MATCH(H213,Bronzo!$A:$A,0)-1,MATCH(I213,Bronzo!$A$1:$AA$1,0)-1)=TRUE),0,OFFSET(Bronzo!$A$1,MATCH(H213,Bronzo!$A:$A,0)-1,MATCH(I213,Bronzo!$A$1:$AA$1,0)-1)),4)</f>
        <v>0</v>
      </c>
      <c r="T213" s="446">
        <f t="shared" ca="1" si="143"/>
        <v>0</v>
      </c>
      <c r="U213" s="443"/>
      <c r="V213" s="446">
        <v>0</v>
      </c>
      <c r="W213" s="449">
        <f t="shared" ca="1" si="144"/>
        <v>1.73</v>
      </c>
      <c r="X213" s="452">
        <f t="shared" si="158"/>
        <v>60</v>
      </c>
      <c r="Y213" s="440">
        <v>4.7</v>
      </c>
      <c r="Z213" s="440">
        <f t="shared" ca="1" si="145"/>
        <v>-0.05</v>
      </c>
      <c r="AA213" s="241">
        <v>46154</v>
      </c>
      <c r="AF213" s="225">
        <f t="shared" ca="1" si="115"/>
        <v>46156</v>
      </c>
      <c r="AG213" s="225" t="b">
        <f t="shared" si="153"/>
        <v>0</v>
      </c>
      <c r="AH213" s="242"/>
      <c r="AK213" s="223">
        <f t="shared" si="154"/>
        <v>20</v>
      </c>
      <c r="AL213" s="223">
        <f t="shared" si="155"/>
        <v>2026</v>
      </c>
      <c r="AS213" s="223">
        <f t="shared" si="156"/>
        <v>5</v>
      </c>
      <c r="AT213" s="223">
        <f t="shared" si="157"/>
        <v>2026</v>
      </c>
    </row>
    <row r="214" spans="2:46" ht="15.75" x14ac:dyDescent="0.25">
      <c r="B214" s="229" t="s">
        <v>536</v>
      </c>
      <c r="C214" s="235" t="s">
        <v>219</v>
      </c>
      <c r="D214" s="243">
        <v>500</v>
      </c>
      <c r="E214" s="232" t="s">
        <v>4</v>
      </c>
      <c r="F214" s="435">
        <v>3.02</v>
      </c>
      <c r="G214" s="234">
        <v>46127</v>
      </c>
      <c r="H214" s="235" t="s">
        <v>25</v>
      </c>
      <c r="I214" s="235"/>
      <c r="J214" s="440">
        <v>0.05</v>
      </c>
      <c r="K214" s="443">
        <f ca="1">ROUND(IF(ISERROR(OFFSET(Tabella!$A$1,MATCH(H214,Tabella!$A:$A,0)-1,MATCH(J214,Tabella!$A$1:$AC$1,0)-1)=TRUE),0,+OFFSET(Tabella!$A$1,MATCH(H214,Tabella!$A:$A,0)-1,MATCH(J214,Tabella!$A$1:$AC$1,0)-1)),4)</f>
        <v>0</v>
      </c>
      <c r="L214" s="446">
        <f ca="1">ROUND(IF(ISERROR(OFFSET(Ottone!$A$1,MATCH(H214,Ottone!$A:$A,0)-1,MATCH(J214,Ottone!$A$1:$Z$1,0)-1)=TRUE),0,OFFSET(Ottone!$A$1,MATCH(H214,Ottone!$A:$A,0)-1,MATCH(J214,Ottone!$A$1:$Z$1,0)-1))*IF(E214="Ottone",1,0),4)</f>
        <v>0</v>
      </c>
      <c r="M214" s="446">
        <f ca="1">ROUND(IF(ISERROR(OFFSET(Rame!$A$1,MATCH(H214,Rame!$A:$A,0)-1,MATCH(J214,Rame!$A$1:$AA$1,0)-1)=TRUE),0,OFFSET(Rame!$A$1,MATCH(H214,Rame!$A:$A,0)-1,MATCH(J214,Rame!$A$1:$AA$1,0)-1))*IF(E214="Rame",1,0),4)</f>
        <v>0</v>
      </c>
      <c r="N214" s="446">
        <v>0</v>
      </c>
      <c r="O214" s="446">
        <v>1.73</v>
      </c>
      <c r="P214" s="446">
        <f ca="1">ROUND(+IF(ISERROR(OFFSET(Tabella!$G$1,MATCH(H214,Tabella!$G:$G,0)-1,MATCH(I214,Tabella!$G$1:$FG$1,0)-1)=TRUE),0,OFFSET(Tabella!$G$1,MATCH(H214,Tabella!$G:$G,0)-1,MATCH(I214,Tabella!$G$1:$AB$1,0)-1)),4)</f>
        <v>0</v>
      </c>
      <c r="Q214" s="446">
        <f ca="1">ROUND(IF(ISERROR(OFFSET(Ottone!$F$1,MATCH(H214,Ottone!$A:$A,0)-1,MATCH(I214,Ottone!$F$1:$FF$1,0)-1)=TRUE),0,OFFSET(Ottone!$F$1,MATCH(H214,Ottone!$A:$A,0)-1,MATCH(I214,Ottone!$F$1:$FF$1,0)-1))*IF(E214="Ottone",1,0),4)</f>
        <v>0</v>
      </c>
      <c r="R214" s="446">
        <f ca="1">ROUND(IF(ISERROR(OFFSET(Rame!$F$1,MATCH(H214,Rame!$F:$F,0)-1,MATCH(I214,Rame!$F$1:$FF$1,0)-1)=TRUE),0,OFFSET(Rame!$F$1,MATCH(H214,Rame!$F:$F,0)-1,MATCH(I214,Rame!$F$1:$FF$1,0)-1))*IF(E214="Rame",1,0),4)</f>
        <v>0</v>
      </c>
      <c r="S214" s="446">
        <f ca="1">ROUND(IF(ISERROR(OFFSET(Bronzo!$A$1,MATCH(H214,Bronzo!$A:$A,0)-1,MATCH(I214,Bronzo!$A$1:$AA$1,0)-1)=TRUE),0,OFFSET(Bronzo!$A$1,MATCH(H214,Bronzo!$A:$A,0)-1,MATCH(I214,Bronzo!$A$1:$AA$1,0)-1)),4)</f>
        <v>0</v>
      </c>
      <c r="T214" s="446">
        <f t="shared" ca="1" si="143"/>
        <v>0</v>
      </c>
      <c r="U214" s="443"/>
      <c r="V214" s="446">
        <v>0</v>
      </c>
      <c r="W214" s="449">
        <f t="shared" ca="1" si="144"/>
        <v>1.73</v>
      </c>
      <c r="X214" s="452">
        <f t="shared" si="158"/>
        <v>25</v>
      </c>
      <c r="Y214" s="440">
        <v>4.7</v>
      </c>
      <c r="Z214" s="440">
        <f t="shared" ca="1" si="145"/>
        <v>-0.05</v>
      </c>
      <c r="AA214" s="241">
        <v>46162</v>
      </c>
      <c r="AF214" s="225">
        <f t="shared" ca="1" si="115"/>
        <v>46156</v>
      </c>
      <c r="AG214" s="225" t="b">
        <f t="shared" si="153"/>
        <v>0</v>
      </c>
      <c r="AH214" s="242"/>
      <c r="AK214" s="223">
        <f t="shared" si="154"/>
        <v>21</v>
      </c>
      <c r="AL214" s="223">
        <f t="shared" si="155"/>
        <v>2026</v>
      </c>
      <c r="AS214" s="223">
        <f t="shared" si="156"/>
        <v>5</v>
      </c>
      <c r="AT214" s="223">
        <f t="shared" si="157"/>
        <v>2026</v>
      </c>
    </row>
    <row r="215" spans="2:46" ht="15.75" x14ac:dyDescent="0.25">
      <c r="B215" s="229" t="s">
        <v>626</v>
      </c>
      <c r="C215" s="244" t="s">
        <v>208</v>
      </c>
      <c r="D215" s="245">
        <v>325</v>
      </c>
      <c r="E215" s="232" t="s">
        <v>4</v>
      </c>
      <c r="F215" s="435">
        <v>2.91</v>
      </c>
      <c r="G215" s="234">
        <v>46091</v>
      </c>
      <c r="H215" s="235" t="s">
        <v>15</v>
      </c>
      <c r="I215" s="235"/>
      <c r="J215" s="440">
        <v>7.0000000000000007E-2</v>
      </c>
      <c r="K215" s="443">
        <f ca="1">ROUND(IF(ISERROR(OFFSET(Tabella!$A$1,MATCH(H215,Tabella!$A:$A,0)-1,MATCH(J215,Tabella!$A$1:$AC$1,0)-1)=TRUE),0,+OFFSET(Tabella!$A$1,MATCH(H215,Tabella!$A:$A,0)-1,MATCH(J215,Tabella!$A$1:$AC$1,0)-1)),4)</f>
        <v>1.4</v>
      </c>
      <c r="L215" s="446">
        <f ca="1">ROUND(IF(ISERROR(OFFSET(Ottone!$A$1,MATCH(H215,Ottone!$A:$A,0)-1,MATCH(J215,Ottone!$A$1:$Z$1,0)-1)=TRUE),0,OFFSET(Ottone!$A$1,MATCH(H215,Ottone!$A:$A,0)-1,MATCH(J215,Ottone!$A$1:$Z$1,0)-1))*IF(E215="Ottone",1,0),4)</f>
        <v>0</v>
      </c>
      <c r="M215" s="446">
        <f ca="1">ROUND(IF(ISERROR(OFFSET(Rame!$A$1,MATCH(H215,Rame!$A:$A,0)-1,MATCH(J215,Rame!$A$1:$AA$1,0)-1)=TRUE),0,OFFSET(Rame!$A$1,MATCH(H215,Rame!$A:$A,0)-1,MATCH(J215,Rame!$A$1:$AA$1,0)-1))*IF(E215="Rame",1,0),4)</f>
        <v>0</v>
      </c>
      <c r="N215" s="446">
        <v>0</v>
      </c>
      <c r="O215" s="446">
        <v>1.65</v>
      </c>
      <c r="P215" s="446">
        <f ca="1">ROUND(+IF(ISERROR(OFFSET(Tabella!$G$1,MATCH(H215,Tabella!$G:$G,0)-1,MATCH(I215,Tabella!$G$1:$FG$1,0)-1)=TRUE),0,OFFSET(Tabella!$G$1,MATCH(H215,Tabella!$G:$G,0)-1,MATCH(I215,Tabella!$G$1:$AB$1,0)-1)),4)</f>
        <v>0</v>
      </c>
      <c r="Q215" s="446">
        <f ca="1">ROUND(IF(ISERROR(OFFSET(Ottone!$F$1,MATCH(H215,Ottone!$A:$A,0)-1,MATCH(I215,Ottone!$F$1:$FF$1,0)-1)=TRUE),0,OFFSET(Ottone!$F$1,MATCH(H215,Ottone!$A:$A,0)-1,MATCH(I215,Ottone!$F$1:$FF$1,0)-1))*IF(E215="Ottone",1,0),4)</f>
        <v>0</v>
      </c>
      <c r="R215" s="446">
        <f ca="1">ROUND(IF(ISERROR(OFFSET(Rame!$F$1,MATCH(H215,Rame!$F:$F,0)-1,MATCH(I215,Rame!$F$1:$FF$1,0)-1)=TRUE),0,OFFSET(Rame!$F$1,MATCH(H215,Rame!$F:$F,0)-1,MATCH(I215,Rame!$F$1:$FF$1,0)-1))*IF(E215="Rame",1,0),4)</f>
        <v>0</v>
      </c>
      <c r="S215" s="446">
        <f ca="1">ROUND(IF(ISERROR(OFFSET(Bronzo!$A$1,MATCH(H215,Bronzo!$A:$A,0)-1,MATCH(I215,Bronzo!$A$1:$AA$1,0)-1)=TRUE),0,OFFSET(Bronzo!$A$1,MATCH(H215,Bronzo!$A:$A,0)-1,MATCH(I215,Bronzo!$A$1:$AA$1,0)-1)),4)</f>
        <v>0</v>
      </c>
      <c r="T215" s="446">
        <f t="shared" ref="T215:T278" ca="1" si="159">ROUND(SUM(P215:S215),4)</f>
        <v>0</v>
      </c>
      <c r="U215" s="443"/>
      <c r="V215" s="446">
        <v>0</v>
      </c>
      <c r="W215" s="449">
        <f t="shared" ref="W215:W278" ca="1" si="160">ROUND(+O215+T215+U215+V215,4)</f>
        <v>1.65</v>
      </c>
      <c r="X215" s="454">
        <f t="shared" si="158"/>
        <v>22.75</v>
      </c>
      <c r="Y215" s="440">
        <v>4.45</v>
      </c>
      <c r="Z215" s="440">
        <f t="shared" ref="Z215:Z278" ca="1" si="161">ROUND(+Y215-W215-F215,4)</f>
        <v>-0.11</v>
      </c>
      <c r="AA215" s="241"/>
      <c r="AD215" s="223" t="s">
        <v>403</v>
      </c>
      <c r="AF215" s="225">
        <f t="shared" ca="1" si="115"/>
        <v>46156</v>
      </c>
      <c r="AG215" s="225" t="b">
        <f t="shared" si="153"/>
        <v>1</v>
      </c>
      <c r="AH215" s="242"/>
      <c r="AK215" s="223">
        <f t="shared" si="154"/>
        <v>0</v>
      </c>
      <c r="AL215" s="223">
        <f t="shared" si="155"/>
        <v>1900</v>
      </c>
      <c r="AS215" s="223">
        <f t="shared" si="156"/>
        <v>0</v>
      </c>
      <c r="AT215" s="223">
        <f t="shared" si="157"/>
        <v>0</v>
      </c>
    </row>
    <row r="216" spans="2:46" ht="15.75" x14ac:dyDescent="0.25">
      <c r="B216" s="229" t="s">
        <v>626</v>
      </c>
      <c r="C216" s="244" t="s">
        <v>208</v>
      </c>
      <c r="D216" s="245">
        <v>372</v>
      </c>
      <c r="E216" s="232" t="s">
        <v>4</v>
      </c>
      <c r="F216" s="435">
        <v>2.91</v>
      </c>
      <c r="G216" s="234">
        <v>46091</v>
      </c>
      <c r="H216" s="235" t="s">
        <v>13</v>
      </c>
      <c r="I216" s="235"/>
      <c r="J216" s="440">
        <v>7.0000000000000007E-2</v>
      </c>
      <c r="K216" s="443">
        <f ca="1">ROUND(IF(ISERROR(OFFSET(Tabella!$A$1,MATCH(H216,Tabella!$A:$A,0)-1,MATCH(J216,Tabella!$A$1:$AC$1,0)-1)=TRUE),0,+OFFSET(Tabella!$A$1,MATCH(H216,Tabella!$A:$A,0)-1,MATCH(J216,Tabella!$A$1:$AC$1,0)-1)),4)</f>
        <v>1.4</v>
      </c>
      <c r="L216" s="446">
        <f ca="1">ROUND(IF(ISERROR(OFFSET(Ottone!$A$1,MATCH(H216,Ottone!$A:$A,0)-1,MATCH(J216,Ottone!$A$1:$Z$1,0)-1)=TRUE),0,OFFSET(Ottone!$A$1,MATCH(H216,Ottone!$A:$A,0)-1,MATCH(J216,Ottone!$A$1:$Z$1,0)-1))*IF(E216="Ottone",1,0),4)</f>
        <v>0</v>
      </c>
      <c r="M216" s="446">
        <f ca="1">ROUND(IF(ISERROR(OFFSET(Rame!$A$1,MATCH(H216,Rame!$A:$A,0)-1,MATCH(J216,Rame!$A$1:$AA$1,0)-1)=TRUE),0,OFFSET(Rame!$A$1,MATCH(H216,Rame!$A:$A,0)-1,MATCH(J216,Rame!$A$1:$AA$1,0)-1))*IF(E216="Rame",1,0),4)</f>
        <v>0</v>
      </c>
      <c r="N216" s="446">
        <v>0</v>
      </c>
      <c r="O216" s="446">
        <v>1.65</v>
      </c>
      <c r="P216" s="446">
        <f ca="1">ROUND(+IF(ISERROR(OFFSET(Tabella!$G$1,MATCH(H216,Tabella!$G:$G,0)-1,MATCH(I216,Tabella!$G$1:$FG$1,0)-1)=TRUE),0,OFFSET(Tabella!$G$1,MATCH(H216,Tabella!$G:$G,0)-1,MATCH(I216,Tabella!$G$1:$AB$1,0)-1)),4)</f>
        <v>0</v>
      </c>
      <c r="Q216" s="446">
        <f ca="1">ROUND(IF(ISERROR(OFFSET(Ottone!$F$1,MATCH(H216,Ottone!$A:$A,0)-1,MATCH(I216,Ottone!$F$1:$FF$1,0)-1)=TRUE),0,OFFSET(Ottone!$F$1,MATCH(H216,Ottone!$A:$A,0)-1,MATCH(I216,Ottone!$F$1:$FF$1,0)-1))*IF(E216="Ottone",1,0),4)</f>
        <v>0</v>
      </c>
      <c r="R216" s="446">
        <f ca="1">ROUND(IF(ISERROR(OFFSET(Rame!$F$1,MATCH(H216,Rame!$F:$F,0)-1,MATCH(I216,Rame!$F$1:$FF$1,0)-1)=TRUE),0,OFFSET(Rame!$F$1,MATCH(H216,Rame!$F:$F,0)-1,MATCH(I216,Rame!$F$1:$FF$1,0)-1))*IF(E216="Rame",1,0),4)</f>
        <v>0</v>
      </c>
      <c r="S216" s="446">
        <f ca="1">ROUND(IF(ISERROR(OFFSET(Bronzo!$A$1,MATCH(H216,Bronzo!$A:$A,0)-1,MATCH(I216,Bronzo!$A$1:$AA$1,0)-1)=TRUE),0,OFFSET(Bronzo!$A$1,MATCH(H216,Bronzo!$A:$A,0)-1,MATCH(I216,Bronzo!$A$1:$AA$1,0)-1)),4)</f>
        <v>0</v>
      </c>
      <c r="T216" s="446">
        <f t="shared" ca="1" si="159"/>
        <v>0</v>
      </c>
      <c r="U216" s="443"/>
      <c r="V216" s="446">
        <v>0</v>
      </c>
      <c r="W216" s="449">
        <f t="shared" ca="1" si="160"/>
        <v>1.65</v>
      </c>
      <c r="X216" s="454">
        <f t="shared" si="158"/>
        <v>26.04</v>
      </c>
      <c r="Y216" s="440">
        <v>4.45</v>
      </c>
      <c r="Z216" s="440">
        <f t="shared" ca="1" si="161"/>
        <v>-0.11</v>
      </c>
      <c r="AA216" s="241"/>
      <c r="AD216" s="223" t="s">
        <v>403</v>
      </c>
      <c r="AF216" s="225">
        <f t="shared" ca="1" si="115"/>
        <v>46156</v>
      </c>
      <c r="AG216" s="225" t="b">
        <f t="shared" si="153"/>
        <v>1</v>
      </c>
      <c r="AH216" s="242"/>
      <c r="AK216" s="223">
        <f t="shared" si="154"/>
        <v>0</v>
      </c>
      <c r="AL216" s="223">
        <f t="shared" si="155"/>
        <v>1900</v>
      </c>
      <c r="AS216" s="223">
        <f t="shared" si="156"/>
        <v>0</v>
      </c>
      <c r="AT216" s="223">
        <f t="shared" si="157"/>
        <v>0</v>
      </c>
    </row>
    <row r="217" spans="2:46" ht="15.75" x14ac:dyDescent="0.25">
      <c r="B217" s="229" t="s">
        <v>539</v>
      </c>
      <c r="C217" s="235" t="s">
        <v>208</v>
      </c>
      <c r="D217" s="243">
        <v>500</v>
      </c>
      <c r="E217" s="232" t="s">
        <v>4</v>
      </c>
      <c r="F217" s="435">
        <v>2.91</v>
      </c>
      <c r="G217" s="234">
        <v>46091</v>
      </c>
      <c r="H217" s="235" t="s">
        <v>243</v>
      </c>
      <c r="I217" s="235"/>
      <c r="J217" s="440">
        <v>7.0000000000000007E-2</v>
      </c>
      <c r="K217" s="443">
        <f ca="1">ROUND(IF(ISERROR(OFFSET(Tabella!$A$1,MATCH(H217,Tabella!$A:$A,0)-1,MATCH(J217,Tabella!$A$1:$AC$1,0)-1)=TRUE),0,+OFFSET(Tabella!$A$1,MATCH(H217,Tabella!$A:$A,0)-1,MATCH(J217,Tabella!$A$1:$AC$1,0)-1)),4)</f>
        <v>1.4</v>
      </c>
      <c r="L217" s="446">
        <f ca="1">ROUND(IF(ISERROR(OFFSET(Ottone!$A$1,MATCH(H217,Ottone!$A:$A,0)-1,MATCH(J217,Ottone!$A$1:$Z$1,0)-1)=TRUE),0,OFFSET(Ottone!$A$1,MATCH(H217,Ottone!$A:$A,0)-1,MATCH(J217,Ottone!$A$1:$Z$1,0)-1))*IF(E217="Ottone",1,0),4)</f>
        <v>0</v>
      </c>
      <c r="M217" s="446">
        <f ca="1">ROUND(IF(ISERROR(OFFSET(Rame!$A$1,MATCH(H217,Rame!$A:$A,0)-1,MATCH(J217,Rame!$A$1:$AA$1,0)-1)=TRUE),0,OFFSET(Rame!$A$1,MATCH(H217,Rame!$A:$A,0)-1,MATCH(J217,Rame!$A$1:$AA$1,0)-1))*IF(E217="Rame",1,0),4)</f>
        <v>0</v>
      </c>
      <c r="N217" s="446">
        <v>0</v>
      </c>
      <c r="O217" s="446">
        <v>1.6</v>
      </c>
      <c r="P217" s="446">
        <f ca="1">ROUND(+IF(ISERROR(OFFSET(Tabella!$G$1,MATCH(H217,Tabella!$G:$G,0)-1,MATCH(I217,Tabella!$G$1:$FG$1,0)-1)=TRUE),0,OFFSET(Tabella!$G$1,MATCH(H217,Tabella!$G:$G,0)-1,MATCH(I217,Tabella!$G$1:$AB$1,0)-1)),4)</f>
        <v>0</v>
      </c>
      <c r="Q217" s="446">
        <f ca="1">ROUND(IF(ISERROR(OFFSET(Ottone!$F$1,MATCH(H217,Ottone!$A:$A,0)-1,MATCH(I217,Ottone!$F$1:$FF$1,0)-1)=TRUE),0,OFFSET(Ottone!$F$1,MATCH(H217,Ottone!$A:$A,0)-1,MATCH(I217,Ottone!$F$1:$FF$1,0)-1))*IF(E217="Ottone",1,0),4)</f>
        <v>0</v>
      </c>
      <c r="R217" s="446">
        <f ca="1">ROUND(IF(ISERROR(OFFSET(Rame!$F$1,MATCH(H217,Rame!$F:$F,0)-1,MATCH(I217,Rame!$F$1:$FF$1,0)-1)=TRUE),0,OFFSET(Rame!$F$1,MATCH(H217,Rame!$F:$F,0)-1,MATCH(I217,Rame!$F$1:$FF$1,0)-1))*IF(E217="Rame",1,0),4)</f>
        <v>0</v>
      </c>
      <c r="S217" s="446">
        <f ca="1">ROUND(IF(ISERROR(OFFSET(Bronzo!$A$1,MATCH(H217,Bronzo!$A:$A,0)-1,MATCH(I217,Bronzo!$A$1:$AA$1,0)-1)=TRUE),0,OFFSET(Bronzo!$A$1,MATCH(H217,Bronzo!$A:$A,0)-1,MATCH(I217,Bronzo!$A$1:$AA$1,0)-1)),4)</f>
        <v>0</v>
      </c>
      <c r="T217" s="446">
        <f t="shared" ca="1" si="159"/>
        <v>0</v>
      </c>
      <c r="U217" s="443"/>
      <c r="V217" s="446">
        <v>0</v>
      </c>
      <c r="W217" s="449">
        <f t="shared" ca="1" si="160"/>
        <v>1.6</v>
      </c>
      <c r="X217" s="452">
        <f t="shared" si="158"/>
        <v>35</v>
      </c>
      <c r="Y217" s="440">
        <v>4.4000000000000004</v>
      </c>
      <c r="Z217" s="440">
        <f t="shared" ca="1" si="161"/>
        <v>-0.11</v>
      </c>
      <c r="AA217" s="241">
        <v>46153</v>
      </c>
      <c r="AF217" s="225">
        <f t="shared" ca="1" si="115"/>
        <v>46156</v>
      </c>
      <c r="AG217" s="225" t="b">
        <f t="shared" si="153"/>
        <v>0</v>
      </c>
      <c r="AH217" s="242"/>
      <c r="AK217" s="223">
        <f t="shared" si="154"/>
        <v>20</v>
      </c>
      <c r="AL217" s="223">
        <f t="shared" si="155"/>
        <v>2026</v>
      </c>
      <c r="AS217" s="223">
        <f t="shared" si="156"/>
        <v>5</v>
      </c>
      <c r="AT217" s="223">
        <f t="shared" si="157"/>
        <v>2026</v>
      </c>
    </row>
    <row r="218" spans="2:46" ht="15.75" x14ac:dyDescent="0.25">
      <c r="B218" s="229" t="s">
        <v>539</v>
      </c>
      <c r="C218" s="235" t="s">
        <v>208</v>
      </c>
      <c r="D218" s="243">
        <v>500</v>
      </c>
      <c r="E218" s="232" t="s">
        <v>4</v>
      </c>
      <c r="F218" s="435">
        <v>2.91</v>
      </c>
      <c r="G218" s="234">
        <v>46091</v>
      </c>
      <c r="H218" s="235" t="s">
        <v>13</v>
      </c>
      <c r="I218" s="235"/>
      <c r="J218" s="440">
        <v>7.0000000000000007E-2</v>
      </c>
      <c r="K218" s="443">
        <f ca="1">ROUND(IF(ISERROR(OFFSET(Tabella!$A$1,MATCH(H218,Tabella!$A:$A,0)-1,MATCH(J218,Tabella!$A$1:$AC$1,0)-1)=TRUE),0,+OFFSET(Tabella!$A$1,MATCH(H218,Tabella!$A:$A,0)-1,MATCH(J218,Tabella!$A$1:$AC$1,0)-1)),4)</f>
        <v>1.4</v>
      </c>
      <c r="L218" s="446">
        <f ca="1">ROUND(IF(ISERROR(OFFSET(Ottone!$A$1,MATCH(H218,Ottone!$A:$A,0)-1,MATCH(J218,Ottone!$A$1:$Z$1,0)-1)=TRUE),0,OFFSET(Ottone!$A$1,MATCH(H218,Ottone!$A:$A,0)-1,MATCH(J218,Ottone!$A$1:$Z$1,0)-1))*IF(E218="Ottone",1,0),4)</f>
        <v>0</v>
      </c>
      <c r="M218" s="446">
        <f ca="1">ROUND(IF(ISERROR(OFFSET(Rame!$A$1,MATCH(H218,Rame!$A:$A,0)-1,MATCH(J218,Rame!$A$1:$AA$1,0)-1)=TRUE),0,OFFSET(Rame!$A$1,MATCH(H218,Rame!$A:$A,0)-1,MATCH(J218,Rame!$A$1:$AA$1,0)-1))*IF(E218="Rame",1,0),4)</f>
        <v>0</v>
      </c>
      <c r="N218" s="446">
        <v>0</v>
      </c>
      <c r="O218" s="446">
        <v>1.65</v>
      </c>
      <c r="P218" s="446">
        <f ca="1">ROUND(+IF(ISERROR(OFFSET(Tabella!$G$1,MATCH(H218,Tabella!$G:$G,0)-1,MATCH(I218,Tabella!$G$1:$FG$1,0)-1)=TRUE),0,OFFSET(Tabella!$G$1,MATCH(H218,Tabella!$G:$G,0)-1,MATCH(I218,Tabella!$G$1:$AB$1,0)-1)),4)</f>
        <v>0</v>
      </c>
      <c r="Q218" s="446">
        <f ca="1">ROUND(IF(ISERROR(OFFSET(Ottone!$F$1,MATCH(H218,Ottone!$A:$A,0)-1,MATCH(I218,Ottone!$F$1:$FF$1,0)-1)=TRUE),0,OFFSET(Ottone!$F$1,MATCH(H218,Ottone!$A:$A,0)-1,MATCH(I218,Ottone!$F$1:$FF$1,0)-1))*IF(E218="Ottone",1,0),4)</f>
        <v>0</v>
      </c>
      <c r="R218" s="446">
        <f ca="1">ROUND(IF(ISERROR(OFFSET(Rame!$F$1,MATCH(H218,Rame!$F:$F,0)-1,MATCH(I218,Rame!$F$1:$FF$1,0)-1)=TRUE),0,OFFSET(Rame!$F$1,MATCH(H218,Rame!$F:$F,0)-1,MATCH(I218,Rame!$F$1:$FF$1,0)-1))*IF(E218="Rame",1,0),4)</f>
        <v>0</v>
      </c>
      <c r="S218" s="446">
        <f ca="1">ROUND(IF(ISERROR(OFFSET(Bronzo!$A$1,MATCH(H218,Bronzo!$A:$A,0)-1,MATCH(I218,Bronzo!$A$1:$AA$1,0)-1)=TRUE),0,OFFSET(Bronzo!$A$1,MATCH(H218,Bronzo!$A:$A,0)-1,MATCH(I218,Bronzo!$A$1:$AA$1,0)-1)),4)</f>
        <v>0</v>
      </c>
      <c r="T218" s="446">
        <f t="shared" ca="1" si="159"/>
        <v>0</v>
      </c>
      <c r="U218" s="443"/>
      <c r="V218" s="446">
        <v>0</v>
      </c>
      <c r="W218" s="449">
        <f t="shared" ca="1" si="160"/>
        <v>1.65</v>
      </c>
      <c r="X218" s="452">
        <f t="shared" si="158"/>
        <v>35</v>
      </c>
      <c r="Y218" s="440">
        <v>4.45</v>
      </c>
      <c r="Z218" s="440">
        <f t="shared" ca="1" si="161"/>
        <v>-0.11</v>
      </c>
      <c r="AA218" s="241">
        <v>46153</v>
      </c>
      <c r="AF218" s="225">
        <f t="shared" ca="1" si="115"/>
        <v>46156</v>
      </c>
      <c r="AG218" s="225" t="b">
        <f t="shared" si="153"/>
        <v>0</v>
      </c>
      <c r="AH218" s="242"/>
      <c r="AK218" s="223">
        <f t="shared" si="154"/>
        <v>20</v>
      </c>
      <c r="AL218" s="223">
        <f t="shared" si="155"/>
        <v>2026</v>
      </c>
      <c r="AS218" s="223">
        <f t="shared" si="156"/>
        <v>5</v>
      </c>
      <c r="AT218" s="223">
        <f t="shared" si="157"/>
        <v>2026</v>
      </c>
    </row>
    <row r="219" spans="2:46" ht="15.75" x14ac:dyDescent="0.25">
      <c r="B219" s="229" t="s">
        <v>626</v>
      </c>
      <c r="C219" s="244" t="s">
        <v>208</v>
      </c>
      <c r="D219" s="245">
        <v>614</v>
      </c>
      <c r="E219" s="232" t="s">
        <v>4</v>
      </c>
      <c r="F219" s="435">
        <v>2.91</v>
      </c>
      <c r="G219" s="234">
        <v>46091</v>
      </c>
      <c r="H219" s="235" t="s">
        <v>15</v>
      </c>
      <c r="I219" s="235"/>
      <c r="J219" s="440">
        <v>7.0000000000000007E-2</v>
      </c>
      <c r="K219" s="443">
        <f ca="1">ROUND(IF(ISERROR(OFFSET(Tabella!$A$1,MATCH(H219,Tabella!$A:$A,0)-1,MATCH(J219,Tabella!$A$1:$AC$1,0)-1)=TRUE),0,+OFFSET(Tabella!$A$1,MATCH(H219,Tabella!$A:$A,0)-1,MATCH(J219,Tabella!$A$1:$AC$1,0)-1)),4)</f>
        <v>1.4</v>
      </c>
      <c r="L219" s="446">
        <f ca="1">ROUND(IF(ISERROR(OFFSET(Ottone!$A$1,MATCH(H219,Ottone!$A:$A,0)-1,MATCH(J219,Ottone!$A$1:$Z$1,0)-1)=TRUE),0,OFFSET(Ottone!$A$1,MATCH(H219,Ottone!$A:$A,0)-1,MATCH(J219,Ottone!$A$1:$Z$1,0)-1))*IF(E219="Ottone",1,0),4)</f>
        <v>0</v>
      </c>
      <c r="M219" s="446">
        <f ca="1">ROUND(IF(ISERROR(OFFSET(Rame!$A$1,MATCH(H219,Rame!$A:$A,0)-1,MATCH(J219,Rame!$A$1:$AA$1,0)-1)=TRUE),0,OFFSET(Rame!$A$1,MATCH(H219,Rame!$A:$A,0)-1,MATCH(J219,Rame!$A$1:$AA$1,0)-1))*IF(E219="Rame",1,0),4)</f>
        <v>0</v>
      </c>
      <c r="N219" s="446">
        <v>0</v>
      </c>
      <c r="O219" s="446">
        <v>1.65</v>
      </c>
      <c r="P219" s="446">
        <f ca="1">ROUND(+IF(ISERROR(OFFSET(Tabella!$G$1,MATCH(H219,Tabella!$G:$G,0)-1,MATCH(I219,Tabella!$G$1:$FG$1,0)-1)=TRUE),0,OFFSET(Tabella!$G$1,MATCH(H219,Tabella!$G:$G,0)-1,MATCH(I219,Tabella!$G$1:$AB$1,0)-1)),4)</f>
        <v>0</v>
      </c>
      <c r="Q219" s="446">
        <f ca="1">ROUND(IF(ISERROR(OFFSET(Ottone!$F$1,MATCH(H219,Ottone!$A:$A,0)-1,MATCH(I219,Ottone!$F$1:$FF$1,0)-1)=TRUE),0,OFFSET(Ottone!$F$1,MATCH(H219,Ottone!$A:$A,0)-1,MATCH(I219,Ottone!$F$1:$FF$1,0)-1))*IF(E219="Ottone",1,0),4)</f>
        <v>0</v>
      </c>
      <c r="R219" s="446">
        <f ca="1">ROUND(IF(ISERROR(OFFSET(Rame!$F$1,MATCH(H219,Rame!$F:$F,0)-1,MATCH(I219,Rame!$F$1:$FF$1,0)-1)=TRUE),0,OFFSET(Rame!$F$1,MATCH(H219,Rame!$F:$F,0)-1,MATCH(I219,Rame!$F$1:$FF$1,0)-1))*IF(E219="Rame",1,0),4)</f>
        <v>0</v>
      </c>
      <c r="S219" s="446">
        <f ca="1">ROUND(IF(ISERROR(OFFSET(Bronzo!$A$1,MATCH(H219,Bronzo!$A:$A,0)-1,MATCH(I219,Bronzo!$A$1:$AA$1,0)-1)=TRUE),0,OFFSET(Bronzo!$A$1,MATCH(H219,Bronzo!$A:$A,0)-1,MATCH(I219,Bronzo!$A$1:$AA$1,0)-1)),4)</f>
        <v>0</v>
      </c>
      <c r="T219" s="446">
        <f t="shared" ca="1" si="159"/>
        <v>0</v>
      </c>
      <c r="U219" s="443"/>
      <c r="V219" s="446">
        <v>0</v>
      </c>
      <c r="W219" s="449">
        <f t="shared" ca="1" si="160"/>
        <v>1.65</v>
      </c>
      <c r="X219" s="454">
        <f t="shared" si="158"/>
        <v>42.98</v>
      </c>
      <c r="Y219" s="440">
        <v>4.45</v>
      </c>
      <c r="Z219" s="440">
        <f t="shared" ca="1" si="161"/>
        <v>-0.11</v>
      </c>
      <c r="AA219" s="241"/>
      <c r="AD219" s="223" t="s">
        <v>403</v>
      </c>
      <c r="AF219" s="225">
        <f t="shared" ca="1" si="115"/>
        <v>46156</v>
      </c>
      <c r="AG219" s="225" t="b">
        <f t="shared" si="153"/>
        <v>1</v>
      </c>
      <c r="AH219" s="242"/>
      <c r="AK219" s="223">
        <f t="shared" si="154"/>
        <v>0</v>
      </c>
      <c r="AL219" s="223">
        <f t="shared" si="155"/>
        <v>1900</v>
      </c>
      <c r="AS219" s="223">
        <f t="shared" si="156"/>
        <v>0</v>
      </c>
      <c r="AT219" s="223">
        <f t="shared" si="157"/>
        <v>0</v>
      </c>
    </row>
    <row r="220" spans="2:46" ht="15.75" x14ac:dyDescent="0.25">
      <c r="B220" s="229" t="s">
        <v>539</v>
      </c>
      <c r="C220" s="235" t="s">
        <v>208</v>
      </c>
      <c r="D220" s="243">
        <v>500</v>
      </c>
      <c r="E220" s="232" t="s">
        <v>4</v>
      </c>
      <c r="F220" s="435">
        <v>2.91</v>
      </c>
      <c r="G220" s="234">
        <v>46091</v>
      </c>
      <c r="H220" s="235" t="s">
        <v>25</v>
      </c>
      <c r="I220" s="235"/>
      <c r="J220" s="440">
        <v>7.0000000000000007E-2</v>
      </c>
      <c r="K220" s="443">
        <f ca="1">ROUND(IF(ISERROR(OFFSET(Tabella!$A$1,MATCH(H220,Tabella!$A:$A,0)-1,MATCH(J220,Tabella!$A$1:$AC$1,0)-1)=TRUE),0,+OFFSET(Tabella!$A$1,MATCH(H220,Tabella!$A:$A,0)-1,MATCH(J220,Tabella!$A$1:$AC$1,0)-1)),4)</f>
        <v>1.25</v>
      </c>
      <c r="L220" s="446">
        <f ca="1">ROUND(IF(ISERROR(OFFSET(Ottone!$A$1,MATCH(H220,Ottone!$A:$A,0)-1,MATCH(J220,Ottone!$A$1:$Z$1,0)-1)=TRUE),0,OFFSET(Ottone!$A$1,MATCH(H220,Ottone!$A:$A,0)-1,MATCH(J220,Ottone!$A$1:$Z$1,0)-1))*IF(E220="Ottone",1,0),4)</f>
        <v>0</v>
      </c>
      <c r="M220" s="446">
        <f ca="1">ROUND(IF(ISERROR(OFFSET(Rame!$A$1,MATCH(H220,Rame!$A:$A,0)-1,MATCH(J220,Rame!$A$1:$AA$1,0)-1)=TRUE),0,OFFSET(Rame!$A$1,MATCH(H220,Rame!$A:$A,0)-1,MATCH(J220,Rame!$A$1:$AA$1,0)-1))*IF(E220="Rame",1,0),4)</f>
        <v>0</v>
      </c>
      <c r="N220" s="446">
        <v>0</v>
      </c>
      <c r="O220" s="446">
        <v>1.5</v>
      </c>
      <c r="P220" s="446">
        <f ca="1">ROUND(+IF(ISERROR(OFFSET(Tabella!$G$1,MATCH(H220,Tabella!$G:$G,0)-1,MATCH(I220,Tabella!$G$1:$FG$1,0)-1)=TRUE),0,OFFSET(Tabella!$G$1,MATCH(H220,Tabella!$G:$G,0)-1,MATCH(I220,Tabella!$G$1:$AB$1,0)-1)),4)</f>
        <v>0</v>
      </c>
      <c r="Q220" s="446">
        <f ca="1">ROUND(IF(ISERROR(OFFSET(Ottone!$F$1,MATCH(H220,Ottone!$A:$A,0)-1,MATCH(I220,Ottone!$F$1:$FF$1,0)-1)=TRUE),0,OFFSET(Ottone!$F$1,MATCH(H220,Ottone!$A:$A,0)-1,MATCH(I220,Ottone!$F$1:$FF$1,0)-1))*IF(E220="Ottone",1,0),4)</f>
        <v>0</v>
      </c>
      <c r="R220" s="446">
        <f ca="1">ROUND(IF(ISERROR(OFFSET(Rame!$F$1,MATCH(H220,Rame!$F:$F,0)-1,MATCH(I220,Rame!$F$1:$FF$1,0)-1)=TRUE),0,OFFSET(Rame!$F$1,MATCH(H220,Rame!$F:$F,0)-1,MATCH(I220,Rame!$F$1:$FF$1,0)-1))*IF(E220="Rame",1,0),4)</f>
        <v>0</v>
      </c>
      <c r="S220" s="446">
        <f ca="1">ROUND(IF(ISERROR(OFFSET(Bronzo!$A$1,MATCH(H220,Bronzo!$A:$A,0)-1,MATCH(I220,Bronzo!$A$1:$AA$1,0)-1)=TRUE),0,OFFSET(Bronzo!$A$1,MATCH(H220,Bronzo!$A:$A,0)-1,MATCH(I220,Bronzo!$A$1:$AA$1,0)-1)),4)</f>
        <v>0</v>
      </c>
      <c r="T220" s="446">
        <f t="shared" ca="1" si="159"/>
        <v>0</v>
      </c>
      <c r="U220" s="443"/>
      <c r="V220" s="446">
        <v>0</v>
      </c>
      <c r="W220" s="449">
        <f t="shared" ca="1" si="160"/>
        <v>1.5</v>
      </c>
      <c r="X220" s="452">
        <f t="shared" si="158"/>
        <v>35</v>
      </c>
      <c r="Y220" s="440">
        <v>4.3</v>
      </c>
      <c r="Z220" s="440">
        <f t="shared" ca="1" si="161"/>
        <v>-0.11</v>
      </c>
      <c r="AA220" s="241">
        <v>46178</v>
      </c>
      <c r="AF220" s="225">
        <f t="shared" ca="1" si="115"/>
        <v>46156</v>
      </c>
      <c r="AG220" s="225" t="b">
        <f t="shared" si="153"/>
        <v>0</v>
      </c>
      <c r="AH220" s="242"/>
      <c r="AK220" s="223">
        <f t="shared" si="154"/>
        <v>23</v>
      </c>
      <c r="AL220" s="223">
        <f t="shared" si="155"/>
        <v>2026</v>
      </c>
      <c r="AS220" s="223">
        <f t="shared" si="156"/>
        <v>6</v>
      </c>
      <c r="AT220" s="223">
        <f t="shared" si="157"/>
        <v>2026</v>
      </c>
    </row>
    <row r="221" spans="2:46" ht="15.75" x14ac:dyDescent="0.25">
      <c r="B221" s="229" t="s">
        <v>539</v>
      </c>
      <c r="C221" s="235" t="s">
        <v>208</v>
      </c>
      <c r="D221" s="243">
        <v>1100</v>
      </c>
      <c r="E221" s="232" t="s">
        <v>4</v>
      </c>
      <c r="F221" s="435">
        <v>2.91</v>
      </c>
      <c r="G221" s="234">
        <v>46091</v>
      </c>
      <c r="H221" s="235" t="s">
        <v>25</v>
      </c>
      <c r="I221" s="235"/>
      <c r="J221" s="440">
        <v>7.0000000000000007E-2</v>
      </c>
      <c r="K221" s="443">
        <f ca="1">ROUND(IF(ISERROR(OFFSET(Tabella!$A$1,MATCH(H221,Tabella!$A:$A,0)-1,MATCH(J221,Tabella!$A$1:$AC$1,0)-1)=TRUE),0,+OFFSET(Tabella!$A$1,MATCH(H221,Tabella!$A:$A,0)-1,MATCH(J221,Tabella!$A$1:$AC$1,0)-1)),4)</f>
        <v>1.25</v>
      </c>
      <c r="L221" s="446">
        <f ca="1">ROUND(IF(ISERROR(OFFSET(Ottone!$A$1,MATCH(H221,Ottone!$A:$A,0)-1,MATCH(J221,Ottone!$A$1:$Z$1,0)-1)=TRUE),0,OFFSET(Ottone!$A$1,MATCH(H221,Ottone!$A:$A,0)-1,MATCH(J221,Ottone!$A$1:$Z$1,0)-1))*IF(E221="Ottone",1,0),4)</f>
        <v>0</v>
      </c>
      <c r="M221" s="446">
        <f ca="1">ROUND(IF(ISERROR(OFFSET(Rame!$A$1,MATCH(H221,Rame!$A:$A,0)-1,MATCH(J221,Rame!$A$1:$AA$1,0)-1)=TRUE),0,OFFSET(Rame!$A$1,MATCH(H221,Rame!$A:$A,0)-1,MATCH(J221,Rame!$A$1:$AA$1,0)-1))*IF(E221="Rame",1,0),4)</f>
        <v>0</v>
      </c>
      <c r="N221" s="446">
        <v>0</v>
      </c>
      <c r="O221" s="446">
        <v>1.5</v>
      </c>
      <c r="P221" s="446">
        <f ca="1">ROUND(+IF(ISERROR(OFFSET(Tabella!$G$1,MATCH(H221,Tabella!$G:$G,0)-1,MATCH(I221,Tabella!$G$1:$FG$1,0)-1)=TRUE),0,OFFSET(Tabella!$G$1,MATCH(H221,Tabella!$G:$G,0)-1,MATCH(I221,Tabella!$G$1:$AB$1,0)-1)),4)</f>
        <v>0</v>
      </c>
      <c r="Q221" s="446">
        <f ca="1">ROUND(IF(ISERROR(OFFSET(Ottone!$F$1,MATCH(H221,Ottone!$A:$A,0)-1,MATCH(I221,Ottone!$F$1:$FF$1,0)-1)=TRUE),0,OFFSET(Ottone!$F$1,MATCH(H221,Ottone!$A:$A,0)-1,MATCH(I221,Ottone!$F$1:$FF$1,0)-1))*IF(E221="Ottone",1,0),4)</f>
        <v>0</v>
      </c>
      <c r="R221" s="446">
        <f ca="1">ROUND(IF(ISERROR(OFFSET(Rame!$F$1,MATCH(H221,Rame!$F:$F,0)-1,MATCH(I221,Rame!$F$1:$FF$1,0)-1)=TRUE),0,OFFSET(Rame!$F$1,MATCH(H221,Rame!$F:$F,0)-1,MATCH(I221,Rame!$F$1:$FF$1,0)-1))*IF(E221="Rame",1,0),4)</f>
        <v>0</v>
      </c>
      <c r="S221" s="446">
        <f ca="1">ROUND(IF(ISERROR(OFFSET(Bronzo!$A$1,MATCH(H221,Bronzo!$A:$A,0)-1,MATCH(I221,Bronzo!$A$1:$AA$1,0)-1)=TRUE),0,OFFSET(Bronzo!$A$1,MATCH(H221,Bronzo!$A:$A,0)-1,MATCH(I221,Bronzo!$A$1:$AA$1,0)-1)),4)</f>
        <v>0</v>
      </c>
      <c r="T221" s="446">
        <f t="shared" ca="1" si="159"/>
        <v>0</v>
      </c>
      <c r="U221" s="443"/>
      <c r="V221" s="446">
        <v>0</v>
      </c>
      <c r="W221" s="449">
        <f t="shared" ca="1" si="160"/>
        <v>1.5</v>
      </c>
      <c r="X221" s="452">
        <f t="shared" si="158"/>
        <v>77</v>
      </c>
      <c r="Y221" s="440">
        <v>4.3</v>
      </c>
      <c r="Z221" s="440">
        <f t="shared" ca="1" si="161"/>
        <v>-0.11</v>
      </c>
      <c r="AA221" s="241">
        <v>46153</v>
      </c>
      <c r="AF221" s="225">
        <f t="shared" ca="1" si="115"/>
        <v>46156</v>
      </c>
      <c r="AG221" s="225" t="b">
        <f t="shared" si="153"/>
        <v>0</v>
      </c>
      <c r="AH221" s="242"/>
      <c r="AK221" s="223">
        <f t="shared" si="154"/>
        <v>20</v>
      </c>
      <c r="AL221" s="223">
        <f t="shared" si="155"/>
        <v>2026</v>
      </c>
      <c r="AS221" s="223">
        <f t="shared" si="156"/>
        <v>5</v>
      </c>
      <c r="AT221" s="223">
        <f t="shared" si="157"/>
        <v>2026</v>
      </c>
    </row>
    <row r="222" spans="2:46" ht="15.75" x14ac:dyDescent="0.25">
      <c r="B222" s="229" t="s">
        <v>548</v>
      </c>
      <c r="C222" s="235" t="s">
        <v>263</v>
      </c>
      <c r="D222" s="243">
        <v>3000</v>
      </c>
      <c r="E222" s="232" t="s">
        <v>4</v>
      </c>
      <c r="F222" s="435">
        <v>2.88</v>
      </c>
      <c r="G222" s="234">
        <v>46127</v>
      </c>
      <c r="H222" s="235" t="s">
        <v>15</v>
      </c>
      <c r="I222" s="235"/>
      <c r="J222" s="440">
        <v>7.0000000000000007E-2</v>
      </c>
      <c r="K222" s="443">
        <f ca="1">ROUND(IF(ISERROR(OFFSET(Tabella!$A$1,MATCH(H222,Tabella!$A:$A,0)-1,MATCH(J222,Tabella!$A$1:$AC$1,0)-1)=TRUE),0,+OFFSET(Tabella!$A$1,MATCH(H222,Tabella!$A:$A,0)-1,MATCH(J222,Tabella!$A$1:$AC$1,0)-1)),4)</f>
        <v>1.4</v>
      </c>
      <c r="L222" s="446">
        <f ca="1">ROUND(IF(ISERROR(OFFSET(Ottone!$A$1,MATCH(H222,Ottone!$A:$A,0)-1,MATCH(J222,Ottone!$A$1:$Z$1,0)-1)=TRUE),0,OFFSET(Ottone!$A$1,MATCH(H222,Ottone!$A:$A,0)-1,MATCH(J222,Ottone!$A$1:$Z$1,0)-1))*IF(E222="Ottone",1,0),4)</f>
        <v>0</v>
      </c>
      <c r="M222" s="446">
        <f ca="1">ROUND(IF(ISERROR(OFFSET(Rame!$A$1,MATCH(H222,Rame!$A:$A,0)-1,MATCH(J222,Rame!$A$1:$AA$1,0)-1)=TRUE),0,OFFSET(Rame!$A$1,MATCH(H222,Rame!$A:$A,0)-1,MATCH(J222,Rame!$A$1:$AA$1,0)-1))*IF(E222="Rame",1,0),4)</f>
        <v>0</v>
      </c>
      <c r="N222" s="446">
        <v>0</v>
      </c>
      <c r="O222" s="446">
        <v>1.88</v>
      </c>
      <c r="P222" s="446">
        <f ca="1">ROUND(+IF(ISERROR(OFFSET(Tabella!$G$1,MATCH(H222,Tabella!$G:$G,0)-1,MATCH(I222,Tabella!$G$1:$FG$1,0)-1)=TRUE),0,OFFSET(Tabella!$G$1,MATCH(H222,Tabella!$G:$G,0)-1,MATCH(I222,Tabella!$G$1:$AB$1,0)-1)),4)</f>
        <v>0</v>
      </c>
      <c r="Q222" s="446">
        <f ca="1">ROUND(IF(ISERROR(OFFSET(Ottone!$F$1,MATCH(H222,Ottone!$A:$A,0)-1,MATCH(I222,Ottone!$F$1:$FF$1,0)-1)=TRUE),0,OFFSET(Ottone!$F$1,MATCH(H222,Ottone!$A:$A,0)-1,MATCH(I222,Ottone!$F$1:$FF$1,0)-1))*IF(E222="Ottone",1,0),4)</f>
        <v>0</v>
      </c>
      <c r="R222" s="446">
        <f ca="1">ROUND(IF(ISERROR(OFFSET(Rame!$F$1,MATCH(H222,Rame!$F:$F,0)-1,MATCH(I222,Rame!$F$1:$FF$1,0)-1)=TRUE),0,OFFSET(Rame!$F$1,MATCH(H222,Rame!$F:$F,0)-1,MATCH(I222,Rame!$F$1:$FF$1,0)-1))*IF(E222="Rame",1,0),4)</f>
        <v>0</v>
      </c>
      <c r="S222" s="446">
        <f ca="1">ROUND(IF(ISERROR(OFFSET(Bronzo!$A$1,MATCH(H222,Bronzo!$A:$A,0)-1,MATCH(I222,Bronzo!$A$1:$AA$1,0)-1)=TRUE),0,OFFSET(Bronzo!$A$1,MATCH(H222,Bronzo!$A:$A,0)-1,MATCH(I222,Bronzo!$A$1:$AA$1,0)-1)),4)</f>
        <v>0</v>
      </c>
      <c r="T222" s="446">
        <f t="shared" ca="1" si="159"/>
        <v>0</v>
      </c>
      <c r="U222" s="443"/>
      <c r="V222" s="446">
        <v>0</v>
      </c>
      <c r="W222" s="449">
        <f t="shared" ca="1" si="160"/>
        <v>1.88</v>
      </c>
      <c r="X222" s="452">
        <f t="shared" si="158"/>
        <v>210</v>
      </c>
      <c r="Y222" s="440">
        <v>4.71</v>
      </c>
      <c r="Z222" s="440">
        <f t="shared" ca="1" si="161"/>
        <v>-0.05</v>
      </c>
      <c r="AA222" s="241">
        <v>46168</v>
      </c>
      <c r="AF222" s="225">
        <f t="shared" ca="1" si="115"/>
        <v>46156</v>
      </c>
      <c r="AG222" s="225" t="b">
        <f t="shared" si="153"/>
        <v>0</v>
      </c>
      <c r="AH222" s="242"/>
      <c r="AK222" s="223">
        <f t="shared" si="154"/>
        <v>22</v>
      </c>
      <c r="AL222" s="223">
        <f t="shared" si="155"/>
        <v>2026</v>
      </c>
      <c r="AS222" s="223">
        <f t="shared" si="156"/>
        <v>5</v>
      </c>
      <c r="AT222" s="223">
        <f t="shared" si="157"/>
        <v>2026</v>
      </c>
    </row>
    <row r="223" spans="2:46" ht="15.75" x14ac:dyDescent="0.25">
      <c r="B223" s="229" t="s">
        <v>548</v>
      </c>
      <c r="C223" s="235" t="s">
        <v>263</v>
      </c>
      <c r="D223" s="243">
        <v>1500</v>
      </c>
      <c r="E223" s="232" t="s">
        <v>4</v>
      </c>
      <c r="F223" s="435">
        <v>2.88</v>
      </c>
      <c r="G223" s="234">
        <v>46127</v>
      </c>
      <c r="H223" s="235" t="s">
        <v>309</v>
      </c>
      <c r="I223" s="235"/>
      <c r="J223" s="440">
        <v>7.0000000000000007E-2</v>
      </c>
      <c r="K223" s="443">
        <f ca="1">ROUND(IF(ISERROR(OFFSET(Tabella!$A$1,MATCH(H223,Tabella!$A:$A,0)-1,MATCH(J223,Tabella!$A$1:$AC$1,0)-1)=TRUE),0,+OFFSET(Tabella!$A$1,MATCH(H223,Tabella!$A:$A,0)-1,MATCH(J223,Tabella!$A$1:$AC$1,0)-1)),4)</f>
        <v>1.25</v>
      </c>
      <c r="L223" s="446">
        <f ca="1">ROUND(IF(ISERROR(OFFSET(Ottone!$A$1,MATCH(H223,Ottone!$A:$A,0)-1,MATCH(J223,Ottone!$A$1:$Z$1,0)-1)=TRUE),0,OFFSET(Ottone!$A$1,MATCH(H223,Ottone!$A:$A,0)-1,MATCH(J223,Ottone!$A$1:$Z$1,0)-1))*IF(E223="Ottone",1,0),4)</f>
        <v>0</v>
      </c>
      <c r="M223" s="446">
        <f ca="1">ROUND(IF(ISERROR(OFFSET(Rame!$A$1,MATCH(H223,Rame!$A:$A,0)-1,MATCH(J223,Rame!$A$1:$AA$1,0)-1)=TRUE),0,OFFSET(Rame!$A$1,MATCH(H223,Rame!$A:$A,0)-1,MATCH(J223,Rame!$A$1:$AA$1,0)-1))*IF(E223="Rame",1,0),4)</f>
        <v>0</v>
      </c>
      <c r="N223" s="446">
        <v>0</v>
      </c>
      <c r="O223" s="446">
        <v>1.73</v>
      </c>
      <c r="P223" s="446">
        <f ca="1">ROUND(+IF(ISERROR(OFFSET(Tabella!$G$1,MATCH(H223,Tabella!$G:$G,0)-1,MATCH(I223,Tabella!$G$1:$FG$1,0)-1)=TRUE),0,OFFSET(Tabella!$G$1,MATCH(H223,Tabella!$G:$G,0)-1,MATCH(I223,Tabella!$G$1:$AB$1,0)-1)),4)</f>
        <v>0</v>
      </c>
      <c r="Q223" s="446">
        <f ca="1">ROUND(IF(ISERROR(OFFSET(Ottone!$F$1,MATCH(H223,Ottone!$A:$A,0)-1,MATCH(I223,Ottone!$F$1:$FF$1,0)-1)=TRUE),0,OFFSET(Ottone!$F$1,MATCH(H223,Ottone!$A:$A,0)-1,MATCH(I223,Ottone!$F$1:$FF$1,0)-1))*IF(E223="Ottone",1,0),4)</f>
        <v>0</v>
      </c>
      <c r="R223" s="446">
        <f ca="1">ROUND(IF(ISERROR(OFFSET(Rame!$F$1,MATCH(H223,Rame!$F:$F,0)-1,MATCH(I223,Rame!$F$1:$FF$1,0)-1)=TRUE),0,OFFSET(Rame!$F$1,MATCH(H223,Rame!$F:$F,0)-1,MATCH(I223,Rame!$F$1:$FF$1,0)-1))*IF(E223="Rame",1,0),4)</f>
        <v>0</v>
      </c>
      <c r="S223" s="446">
        <f ca="1">ROUND(IF(ISERROR(OFFSET(Bronzo!$A$1,MATCH(H223,Bronzo!$A:$A,0)-1,MATCH(I223,Bronzo!$A$1:$AA$1,0)-1)=TRUE),0,OFFSET(Bronzo!$A$1,MATCH(H223,Bronzo!$A:$A,0)-1,MATCH(I223,Bronzo!$A$1:$AA$1,0)-1)),4)</f>
        <v>0</v>
      </c>
      <c r="T223" s="446">
        <f t="shared" ca="1" si="159"/>
        <v>0</v>
      </c>
      <c r="U223" s="443"/>
      <c r="V223" s="446">
        <v>0</v>
      </c>
      <c r="W223" s="449">
        <f t="shared" ca="1" si="160"/>
        <v>1.73</v>
      </c>
      <c r="X223" s="452">
        <f t="shared" si="158"/>
        <v>105</v>
      </c>
      <c r="Y223" s="440">
        <v>4.5599999999999996</v>
      </c>
      <c r="Z223" s="440">
        <f t="shared" ca="1" si="161"/>
        <v>-0.05</v>
      </c>
      <c r="AA223" s="241">
        <v>46168</v>
      </c>
      <c r="AF223" s="225">
        <f t="shared" ca="1" si="115"/>
        <v>46156</v>
      </c>
      <c r="AG223" s="225" t="b">
        <f t="shared" si="153"/>
        <v>0</v>
      </c>
      <c r="AH223" s="242"/>
      <c r="AK223" s="223">
        <f t="shared" si="154"/>
        <v>22</v>
      </c>
      <c r="AL223" s="223">
        <f t="shared" si="155"/>
        <v>2026</v>
      </c>
      <c r="AS223" s="223">
        <f t="shared" si="156"/>
        <v>5</v>
      </c>
      <c r="AT223" s="223">
        <f t="shared" si="157"/>
        <v>2026</v>
      </c>
    </row>
    <row r="224" spans="2:46" ht="15.75" x14ac:dyDescent="0.25">
      <c r="B224" s="229" t="s">
        <v>548</v>
      </c>
      <c r="C224" s="235" t="s">
        <v>263</v>
      </c>
      <c r="D224" s="243">
        <v>500</v>
      </c>
      <c r="E224" s="232" t="s">
        <v>4</v>
      </c>
      <c r="F224" s="435">
        <v>2.88</v>
      </c>
      <c r="G224" s="234">
        <v>46127</v>
      </c>
      <c r="H224" s="235" t="s">
        <v>9</v>
      </c>
      <c r="I224" s="235"/>
      <c r="J224" s="440">
        <v>7.0000000000000007E-2</v>
      </c>
      <c r="K224" s="443">
        <f ca="1">ROUND(IF(ISERROR(OFFSET(Tabella!$A$1,MATCH(H224,Tabella!$A:$A,0)-1,MATCH(J224,Tabella!$A$1:$AC$1,0)-1)=TRUE),0,+OFFSET(Tabella!$A$1,MATCH(H224,Tabella!$A:$A,0)-1,MATCH(J224,Tabella!$A$1:$AC$1,0)-1)),4)</f>
        <v>1.6</v>
      </c>
      <c r="L224" s="446">
        <f ca="1">ROUND(IF(ISERROR(OFFSET(Ottone!$A$1,MATCH(H224,Ottone!$A:$A,0)-1,MATCH(J224,Ottone!$A$1:$Z$1,0)-1)=TRUE),0,OFFSET(Ottone!$A$1,MATCH(H224,Ottone!$A:$A,0)-1,MATCH(J224,Ottone!$A$1:$Z$1,0)-1))*IF(E224="Ottone",1,0),4)</f>
        <v>0</v>
      </c>
      <c r="M224" s="446">
        <f ca="1">ROUND(IF(ISERROR(OFFSET(Rame!$A$1,MATCH(H224,Rame!$A:$A,0)-1,MATCH(J224,Rame!$A$1:$AA$1,0)-1)=TRUE),0,OFFSET(Rame!$A$1,MATCH(H224,Rame!$A:$A,0)-1,MATCH(J224,Rame!$A$1:$AA$1,0)-1))*IF(E224="Rame",1,0),4)</f>
        <v>0</v>
      </c>
      <c r="N224" s="446">
        <v>0</v>
      </c>
      <c r="O224" s="446">
        <v>2.0299999999999998</v>
      </c>
      <c r="P224" s="446">
        <f ca="1">ROUND(+IF(ISERROR(OFFSET(Tabella!$G$1,MATCH(H224,Tabella!$G:$G,0)-1,MATCH(I224,Tabella!$G$1:$FG$1,0)-1)=TRUE),0,OFFSET(Tabella!$G$1,MATCH(H224,Tabella!$G:$G,0)-1,MATCH(I224,Tabella!$G$1:$AB$1,0)-1)),4)</f>
        <v>0</v>
      </c>
      <c r="Q224" s="446">
        <f ca="1">ROUND(IF(ISERROR(OFFSET(Ottone!$F$1,MATCH(H224,Ottone!$A:$A,0)-1,MATCH(I224,Ottone!$F$1:$FF$1,0)-1)=TRUE),0,OFFSET(Ottone!$F$1,MATCH(H224,Ottone!$A:$A,0)-1,MATCH(I224,Ottone!$F$1:$FF$1,0)-1))*IF(E224="Ottone",1,0),4)</f>
        <v>0</v>
      </c>
      <c r="R224" s="446">
        <f ca="1">ROUND(IF(ISERROR(OFFSET(Rame!$F$1,MATCH(H224,Rame!$F:$F,0)-1,MATCH(I224,Rame!$F$1:$FF$1,0)-1)=TRUE),0,OFFSET(Rame!$F$1,MATCH(H224,Rame!$F:$F,0)-1,MATCH(I224,Rame!$F$1:$FF$1,0)-1))*IF(E224="Rame",1,0),4)</f>
        <v>0</v>
      </c>
      <c r="S224" s="446">
        <f ca="1">ROUND(IF(ISERROR(OFFSET(Bronzo!$A$1,MATCH(H224,Bronzo!$A:$A,0)-1,MATCH(I224,Bronzo!$A$1:$AA$1,0)-1)=TRUE),0,OFFSET(Bronzo!$A$1,MATCH(H224,Bronzo!$A:$A,0)-1,MATCH(I224,Bronzo!$A$1:$AA$1,0)-1)),4)</f>
        <v>0</v>
      </c>
      <c r="T224" s="446">
        <f t="shared" ca="1" si="159"/>
        <v>0</v>
      </c>
      <c r="U224" s="443"/>
      <c r="V224" s="446">
        <v>0</v>
      </c>
      <c r="W224" s="449">
        <f t="shared" ca="1" si="160"/>
        <v>2.0299999999999998</v>
      </c>
      <c r="X224" s="452">
        <f t="shared" si="158"/>
        <v>35</v>
      </c>
      <c r="Y224" s="440">
        <v>4.8600000000000003</v>
      </c>
      <c r="Z224" s="440">
        <f t="shared" ca="1" si="161"/>
        <v>-0.05</v>
      </c>
      <c r="AA224" s="241">
        <v>46154</v>
      </c>
      <c r="AF224" s="225">
        <f t="shared" ca="1" si="115"/>
        <v>46156</v>
      </c>
      <c r="AG224" s="225" t="b">
        <f t="shared" si="153"/>
        <v>0</v>
      </c>
      <c r="AH224" s="242"/>
      <c r="AK224" s="223">
        <f t="shared" si="154"/>
        <v>20</v>
      </c>
      <c r="AL224" s="223">
        <f t="shared" si="155"/>
        <v>2026</v>
      </c>
      <c r="AS224" s="223">
        <f t="shared" si="156"/>
        <v>5</v>
      </c>
      <c r="AT224" s="223">
        <f t="shared" si="157"/>
        <v>2026</v>
      </c>
    </row>
    <row r="225" spans="2:46" ht="15.75" x14ac:dyDescent="0.25">
      <c r="B225" s="229" t="s">
        <v>549</v>
      </c>
      <c r="C225" s="235" t="s">
        <v>263</v>
      </c>
      <c r="D225" s="243">
        <v>1500</v>
      </c>
      <c r="E225" s="232" t="s">
        <v>4</v>
      </c>
      <c r="F225" s="435">
        <v>2.88</v>
      </c>
      <c r="G225" s="234">
        <v>46127</v>
      </c>
      <c r="H225" s="235" t="s">
        <v>17</v>
      </c>
      <c r="I225" s="235"/>
      <c r="J225" s="440">
        <v>7.0000000000000007E-2</v>
      </c>
      <c r="K225" s="443">
        <f ca="1">ROUND(IF(ISERROR(OFFSET(Tabella!$A$1,MATCH(H225,Tabella!$A:$A,0)-1,MATCH(J225,Tabella!$A$1:$AC$1,0)-1)=TRUE),0,+OFFSET(Tabella!$A$1,MATCH(H225,Tabella!$A:$A,0)-1,MATCH(J225,Tabella!$A$1:$AC$1,0)-1)),4)</f>
        <v>1.4</v>
      </c>
      <c r="L225" s="446">
        <f ca="1">ROUND(IF(ISERROR(OFFSET(Ottone!$A$1,MATCH(H225,Ottone!$A:$A,0)-1,MATCH(J225,Ottone!$A$1:$Z$1,0)-1)=TRUE),0,OFFSET(Ottone!$A$1,MATCH(H225,Ottone!$A:$A,0)-1,MATCH(J225,Ottone!$A$1:$Z$1,0)-1))*IF(E225="Ottone",1,0),4)</f>
        <v>0</v>
      </c>
      <c r="M225" s="446">
        <f ca="1">ROUND(IF(ISERROR(OFFSET(Rame!$A$1,MATCH(H225,Rame!$A:$A,0)-1,MATCH(J225,Rame!$A$1:$AA$1,0)-1)=TRUE),0,OFFSET(Rame!$A$1,MATCH(H225,Rame!$A:$A,0)-1,MATCH(J225,Rame!$A$1:$AA$1,0)-1))*IF(E225="Rame",1,0),4)</f>
        <v>0</v>
      </c>
      <c r="N225" s="446">
        <v>0</v>
      </c>
      <c r="O225" s="446">
        <v>1.83</v>
      </c>
      <c r="P225" s="446">
        <f ca="1">ROUND(+IF(ISERROR(OFFSET(Tabella!$G$1,MATCH(H225,Tabella!$G:$G,0)-1,MATCH(I225,Tabella!$G$1:$FG$1,0)-1)=TRUE),0,OFFSET(Tabella!$G$1,MATCH(H225,Tabella!$G:$G,0)-1,MATCH(I225,Tabella!$G$1:$AB$1,0)-1)),4)</f>
        <v>0</v>
      </c>
      <c r="Q225" s="446">
        <f ca="1">ROUND(IF(ISERROR(OFFSET(Ottone!$F$1,MATCH(H225,Ottone!$A:$A,0)-1,MATCH(I225,Ottone!$F$1:$FF$1,0)-1)=TRUE),0,OFFSET(Ottone!$F$1,MATCH(H225,Ottone!$A:$A,0)-1,MATCH(I225,Ottone!$F$1:$FF$1,0)-1))*IF(E225="Ottone",1,0),4)</f>
        <v>0</v>
      </c>
      <c r="R225" s="446">
        <f ca="1">ROUND(IF(ISERROR(OFFSET(Rame!$F$1,MATCH(H225,Rame!$F:$F,0)-1,MATCH(I225,Rame!$F$1:$FF$1,0)-1)=TRUE),0,OFFSET(Rame!$F$1,MATCH(H225,Rame!$F:$F,0)-1,MATCH(I225,Rame!$F$1:$FF$1,0)-1))*IF(E225="Rame",1,0),4)</f>
        <v>0</v>
      </c>
      <c r="S225" s="446">
        <f ca="1">ROUND(IF(ISERROR(OFFSET(Bronzo!$A$1,MATCH(H225,Bronzo!$A:$A,0)-1,MATCH(I225,Bronzo!$A$1:$AA$1,0)-1)=TRUE),0,OFFSET(Bronzo!$A$1,MATCH(H225,Bronzo!$A:$A,0)-1,MATCH(I225,Bronzo!$A$1:$AA$1,0)-1)),4)</f>
        <v>0</v>
      </c>
      <c r="T225" s="446">
        <f t="shared" ca="1" si="159"/>
        <v>0</v>
      </c>
      <c r="U225" s="443"/>
      <c r="V225" s="446">
        <v>0</v>
      </c>
      <c r="W225" s="449">
        <f t="shared" ca="1" si="160"/>
        <v>1.83</v>
      </c>
      <c r="X225" s="452">
        <f t="shared" si="158"/>
        <v>105</v>
      </c>
      <c r="Y225" s="440">
        <v>4.66</v>
      </c>
      <c r="Z225" s="440">
        <f t="shared" ca="1" si="161"/>
        <v>-0.05</v>
      </c>
      <c r="AA225" s="241">
        <v>46154</v>
      </c>
      <c r="AF225" s="225">
        <f t="shared" ca="1" si="115"/>
        <v>46156</v>
      </c>
      <c r="AG225" s="225" t="b">
        <f t="shared" si="153"/>
        <v>0</v>
      </c>
      <c r="AH225" s="242"/>
      <c r="AK225" s="223">
        <f t="shared" si="154"/>
        <v>20</v>
      </c>
      <c r="AL225" s="223">
        <f t="shared" si="155"/>
        <v>2026</v>
      </c>
      <c r="AS225" s="223">
        <f t="shared" si="156"/>
        <v>5</v>
      </c>
      <c r="AT225" s="223">
        <f t="shared" si="157"/>
        <v>2026</v>
      </c>
    </row>
    <row r="226" spans="2:46" ht="15.75" x14ac:dyDescent="0.25">
      <c r="B226" s="229" t="s">
        <v>549</v>
      </c>
      <c r="C226" s="235" t="s">
        <v>263</v>
      </c>
      <c r="D226" s="243">
        <v>1000</v>
      </c>
      <c r="E226" s="232" t="s">
        <v>4</v>
      </c>
      <c r="F226" s="435">
        <v>2.88</v>
      </c>
      <c r="G226" s="234">
        <v>46127</v>
      </c>
      <c r="H226" s="235" t="s">
        <v>9</v>
      </c>
      <c r="I226" s="235"/>
      <c r="J226" s="440">
        <v>7.0000000000000007E-2</v>
      </c>
      <c r="K226" s="443">
        <f ca="1">ROUND(IF(ISERROR(OFFSET(Tabella!$A$1,MATCH(H226,Tabella!$A:$A,0)-1,MATCH(J226,Tabella!$A$1:$AC$1,0)-1)=TRUE),0,+OFFSET(Tabella!$A$1,MATCH(H226,Tabella!$A:$A,0)-1,MATCH(J226,Tabella!$A$1:$AC$1,0)-1)),4)</f>
        <v>1.6</v>
      </c>
      <c r="L226" s="446">
        <f ca="1">ROUND(IF(ISERROR(OFFSET(Ottone!$A$1,MATCH(H226,Ottone!$A:$A,0)-1,MATCH(J226,Ottone!$A$1:$Z$1,0)-1)=TRUE),0,OFFSET(Ottone!$A$1,MATCH(H226,Ottone!$A:$A,0)-1,MATCH(J226,Ottone!$A$1:$Z$1,0)-1))*IF(E226="Ottone",1,0),4)</f>
        <v>0</v>
      </c>
      <c r="M226" s="446">
        <f ca="1">ROUND(IF(ISERROR(OFFSET(Rame!$A$1,MATCH(H226,Rame!$A:$A,0)-1,MATCH(J226,Rame!$A$1:$AA$1,0)-1)=TRUE),0,OFFSET(Rame!$A$1,MATCH(H226,Rame!$A:$A,0)-1,MATCH(J226,Rame!$A$1:$AA$1,0)-1))*IF(E226="Rame",1,0),4)</f>
        <v>0</v>
      </c>
      <c r="N226" s="446">
        <v>0</v>
      </c>
      <c r="O226" s="446">
        <v>2.0299999999999998</v>
      </c>
      <c r="P226" s="446">
        <f ca="1">ROUND(+IF(ISERROR(OFFSET(Tabella!$G$1,MATCH(H226,Tabella!$G:$G,0)-1,MATCH(I226,Tabella!$G$1:$FG$1,0)-1)=TRUE),0,OFFSET(Tabella!$G$1,MATCH(H226,Tabella!$G:$G,0)-1,MATCH(I226,Tabella!$G$1:$AB$1,0)-1)),4)</f>
        <v>0</v>
      </c>
      <c r="Q226" s="446">
        <f ca="1">ROUND(IF(ISERROR(OFFSET(Ottone!$F$1,MATCH(H226,Ottone!$A:$A,0)-1,MATCH(I226,Ottone!$F$1:$FF$1,0)-1)=TRUE),0,OFFSET(Ottone!$F$1,MATCH(H226,Ottone!$A:$A,0)-1,MATCH(I226,Ottone!$F$1:$FF$1,0)-1))*IF(E226="Ottone",1,0),4)</f>
        <v>0</v>
      </c>
      <c r="R226" s="446">
        <f ca="1">ROUND(IF(ISERROR(OFFSET(Rame!$F$1,MATCH(H226,Rame!$F:$F,0)-1,MATCH(I226,Rame!$F$1:$FF$1,0)-1)=TRUE),0,OFFSET(Rame!$F$1,MATCH(H226,Rame!$F:$F,0)-1,MATCH(I226,Rame!$F$1:$FF$1,0)-1))*IF(E226="Rame",1,0),4)</f>
        <v>0</v>
      </c>
      <c r="S226" s="446">
        <f ca="1">ROUND(IF(ISERROR(OFFSET(Bronzo!$A$1,MATCH(H226,Bronzo!$A:$A,0)-1,MATCH(I226,Bronzo!$A$1:$AA$1,0)-1)=TRUE),0,OFFSET(Bronzo!$A$1,MATCH(H226,Bronzo!$A:$A,0)-1,MATCH(I226,Bronzo!$A$1:$AA$1,0)-1)),4)</f>
        <v>0</v>
      </c>
      <c r="T226" s="446">
        <f t="shared" ca="1" si="159"/>
        <v>0</v>
      </c>
      <c r="U226" s="443"/>
      <c r="V226" s="446">
        <v>0</v>
      </c>
      <c r="W226" s="449">
        <f t="shared" ca="1" si="160"/>
        <v>2.0299999999999998</v>
      </c>
      <c r="X226" s="452">
        <f t="shared" si="158"/>
        <v>70</v>
      </c>
      <c r="Y226" s="440">
        <v>4.8600000000000003</v>
      </c>
      <c r="Z226" s="440">
        <f t="shared" ca="1" si="161"/>
        <v>-0.05</v>
      </c>
      <c r="AA226" s="241">
        <v>46154</v>
      </c>
      <c r="AF226" s="225">
        <f t="shared" ca="1" si="115"/>
        <v>46156</v>
      </c>
      <c r="AG226" s="225" t="b">
        <f t="shared" si="153"/>
        <v>0</v>
      </c>
      <c r="AH226" s="242"/>
      <c r="AK226" s="223">
        <f t="shared" si="154"/>
        <v>20</v>
      </c>
      <c r="AL226" s="223">
        <f t="shared" si="155"/>
        <v>2026</v>
      </c>
      <c r="AS226" s="223">
        <f t="shared" si="156"/>
        <v>5</v>
      </c>
      <c r="AT226" s="223">
        <f t="shared" si="157"/>
        <v>2026</v>
      </c>
    </row>
    <row r="227" spans="2:46" ht="15.75" x14ac:dyDescent="0.25">
      <c r="B227" s="229" t="s">
        <v>547</v>
      </c>
      <c r="C227" s="235" t="s">
        <v>263</v>
      </c>
      <c r="D227" s="243">
        <v>2000</v>
      </c>
      <c r="E227" s="232" t="s">
        <v>4</v>
      </c>
      <c r="F227" s="435">
        <v>2.88</v>
      </c>
      <c r="G227" s="234">
        <v>46127</v>
      </c>
      <c r="H227" s="235" t="s">
        <v>9</v>
      </c>
      <c r="I227" s="235"/>
      <c r="J227" s="440">
        <v>7.0000000000000007E-2</v>
      </c>
      <c r="K227" s="443">
        <f ca="1">ROUND(IF(ISERROR(OFFSET(Tabella!$A$1,MATCH(H227,Tabella!$A:$A,0)-1,MATCH(J227,Tabella!$A$1:$AC$1,0)-1)=TRUE),0,+OFFSET(Tabella!$A$1,MATCH(H227,Tabella!$A:$A,0)-1,MATCH(J227,Tabella!$A$1:$AC$1,0)-1)),4)</f>
        <v>1.6</v>
      </c>
      <c r="L227" s="446">
        <f ca="1">ROUND(IF(ISERROR(OFFSET(Ottone!$A$1,MATCH(H227,Ottone!$A:$A,0)-1,MATCH(J227,Ottone!$A$1:$Z$1,0)-1)=TRUE),0,OFFSET(Ottone!$A$1,MATCH(H227,Ottone!$A:$A,0)-1,MATCH(J227,Ottone!$A$1:$Z$1,0)-1))*IF(E227="Ottone",1,0),4)</f>
        <v>0</v>
      </c>
      <c r="M227" s="446">
        <f ca="1">ROUND(IF(ISERROR(OFFSET(Rame!$A$1,MATCH(H227,Rame!$A:$A,0)-1,MATCH(J227,Rame!$A$1:$AA$1,0)-1)=TRUE),0,OFFSET(Rame!$A$1,MATCH(H227,Rame!$A:$A,0)-1,MATCH(J227,Rame!$A$1:$AA$1,0)-1))*IF(E227="Rame",1,0),4)</f>
        <v>0</v>
      </c>
      <c r="N227" s="446">
        <v>0</v>
      </c>
      <c r="O227" s="446">
        <v>2.0299999999999998</v>
      </c>
      <c r="P227" s="446">
        <f ca="1">ROUND(+IF(ISERROR(OFFSET(Tabella!$G$1,MATCH(H227,Tabella!$G:$G,0)-1,MATCH(I227,Tabella!$G$1:$FG$1,0)-1)=TRUE),0,OFFSET(Tabella!$G$1,MATCH(H227,Tabella!$G:$G,0)-1,MATCH(I227,Tabella!$G$1:$AB$1,0)-1)),4)</f>
        <v>0</v>
      </c>
      <c r="Q227" s="446">
        <f ca="1">ROUND(IF(ISERROR(OFFSET(Ottone!$F$1,MATCH(H227,Ottone!$A:$A,0)-1,MATCH(I227,Ottone!$F$1:$FF$1,0)-1)=TRUE),0,OFFSET(Ottone!$F$1,MATCH(H227,Ottone!$A:$A,0)-1,MATCH(I227,Ottone!$F$1:$FF$1,0)-1))*IF(E227="Ottone",1,0),4)</f>
        <v>0</v>
      </c>
      <c r="R227" s="446">
        <f ca="1">ROUND(IF(ISERROR(OFFSET(Rame!$F$1,MATCH(H227,Rame!$F:$F,0)-1,MATCH(I227,Rame!$F$1:$FF$1,0)-1)=TRUE),0,OFFSET(Rame!$F$1,MATCH(H227,Rame!$F:$F,0)-1,MATCH(I227,Rame!$F$1:$FF$1,0)-1))*IF(E227="Rame",1,0),4)</f>
        <v>0</v>
      </c>
      <c r="S227" s="446">
        <f ca="1">ROUND(IF(ISERROR(OFFSET(Bronzo!$A$1,MATCH(H227,Bronzo!$A:$A,0)-1,MATCH(I227,Bronzo!$A$1:$AA$1,0)-1)=TRUE),0,OFFSET(Bronzo!$A$1,MATCH(H227,Bronzo!$A:$A,0)-1,MATCH(I227,Bronzo!$A$1:$AA$1,0)-1)),4)</f>
        <v>0</v>
      </c>
      <c r="T227" s="446">
        <f t="shared" ca="1" si="159"/>
        <v>0</v>
      </c>
      <c r="U227" s="443"/>
      <c r="V227" s="446">
        <v>0</v>
      </c>
      <c r="W227" s="449">
        <f t="shared" ca="1" si="160"/>
        <v>2.0299999999999998</v>
      </c>
      <c r="X227" s="452">
        <f t="shared" si="158"/>
        <v>140</v>
      </c>
      <c r="Y227" s="440">
        <v>4.8600000000000003</v>
      </c>
      <c r="Z227" s="440">
        <f t="shared" ca="1" si="161"/>
        <v>-0.05</v>
      </c>
      <c r="AA227" s="241">
        <v>46154</v>
      </c>
      <c r="AF227" s="225">
        <f t="shared" ca="1" si="115"/>
        <v>46156</v>
      </c>
      <c r="AG227" s="225" t="b">
        <f t="shared" si="153"/>
        <v>0</v>
      </c>
      <c r="AH227" s="242"/>
      <c r="AK227" s="223">
        <f t="shared" si="154"/>
        <v>20</v>
      </c>
      <c r="AL227" s="223">
        <f t="shared" si="155"/>
        <v>2026</v>
      </c>
      <c r="AS227" s="223">
        <f t="shared" si="156"/>
        <v>5</v>
      </c>
      <c r="AT227" s="223">
        <f t="shared" si="157"/>
        <v>2026</v>
      </c>
    </row>
    <row r="228" spans="2:46" ht="15.75" x14ac:dyDescent="0.25">
      <c r="B228" s="229" t="s">
        <v>547</v>
      </c>
      <c r="C228" s="235" t="s">
        <v>263</v>
      </c>
      <c r="D228" s="243">
        <v>1500</v>
      </c>
      <c r="E228" s="232" t="s">
        <v>4</v>
      </c>
      <c r="F228" s="435">
        <v>2.88</v>
      </c>
      <c r="G228" s="234">
        <v>46127</v>
      </c>
      <c r="H228" s="235" t="s">
        <v>314</v>
      </c>
      <c r="I228" s="235"/>
      <c r="J228" s="440">
        <v>7.0000000000000007E-2</v>
      </c>
      <c r="K228" s="443">
        <f ca="1">ROUND(IF(ISERROR(OFFSET(Tabella!$A$1,MATCH(H228,Tabella!$A:$A,0)-1,MATCH(J228,Tabella!$A$1:$AC$1,0)-1)=TRUE),0,+OFFSET(Tabella!$A$1,MATCH(H228,Tabella!$A:$A,0)-1,MATCH(J228,Tabella!$A$1:$AC$1,0)-1)),4)</f>
        <v>1.25</v>
      </c>
      <c r="L228" s="446">
        <f ca="1">ROUND(IF(ISERROR(OFFSET(Ottone!$A$1,MATCH(H228,Ottone!$A:$A,0)-1,MATCH(J228,Ottone!$A$1:$Z$1,0)-1)=TRUE),0,OFFSET(Ottone!$A$1,MATCH(H228,Ottone!$A:$A,0)-1,MATCH(J228,Ottone!$A$1:$Z$1,0)-1))*IF(E228="Ottone",1,0),4)</f>
        <v>0</v>
      </c>
      <c r="M228" s="446">
        <f ca="1">ROUND(IF(ISERROR(OFFSET(Rame!$A$1,MATCH(H228,Rame!$A:$A,0)-1,MATCH(J228,Rame!$A$1:$AA$1,0)-1)=TRUE),0,OFFSET(Rame!$A$1,MATCH(H228,Rame!$A:$A,0)-1,MATCH(J228,Rame!$A$1:$AA$1,0)-1))*IF(E228="Rame",1,0),4)</f>
        <v>0</v>
      </c>
      <c r="N228" s="446">
        <v>0</v>
      </c>
      <c r="O228" s="446">
        <v>1.73</v>
      </c>
      <c r="P228" s="446">
        <f ca="1">ROUND(+IF(ISERROR(OFFSET(Tabella!$G$1,MATCH(H228,Tabella!$G:$G,0)-1,MATCH(I228,Tabella!$G$1:$FG$1,0)-1)=TRUE),0,OFFSET(Tabella!$G$1,MATCH(H228,Tabella!$G:$G,0)-1,MATCH(I228,Tabella!$G$1:$AB$1,0)-1)),4)</f>
        <v>0</v>
      </c>
      <c r="Q228" s="446">
        <f ca="1">ROUND(IF(ISERROR(OFFSET(Ottone!$F$1,MATCH(H228,Ottone!$A:$A,0)-1,MATCH(I228,Ottone!$F$1:$FF$1,0)-1)=TRUE),0,OFFSET(Ottone!$F$1,MATCH(H228,Ottone!$A:$A,0)-1,MATCH(I228,Ottone!$F$1:$FF$1,0)-1))*IF(E228="Ottone",1,0),4)</f>
        <v>0</v>
      </c>
      <c r="R228" s="446">
        <f ca="1">ROUND(IF(ISERROR(OFFSET(Rame!$F$1,MATCH(H228,Rame!$F:$F,0)-1,MATCH(I228,Rame!$F$1:$FF$1,0)-1)=TRUE),0,OFFSET(Rame!$F$1,MATCH(H228,Rame!$F:$F,0)-1,MATCH(I228,Rame!$F$1:$FF$1,0)-1))*IF(E228="Rame",1,0),4)</f>
        <v>0</v>
      </c>
      <c r="S228" s="446">
        <f ca="1">ROUND(IF(ISERROR(OFFSET(Bronzo!$A$1,MATCH(H228,Bronzo!$A:$A,0)-1,MATCH(I228,Bronzo!$A$1:$AA$1,0)-1)=TRUE),0,OFFSET(Bronzo!$A$1,MATCH(H228,Bronzo!$A:$A,0)-1,MATCH(I228,Bronzo!$A$1:$AA$1,0)-1)),4)</f>
        <v>0</v>
      </c>
      <c r="T228" s="446">
        <f t="shared" ca="1" si="159"/>
        <v>0</v>
      </c>
      <c r="U228" s="443"/>
      <c r="V228" s="446">
        <v>0</v>
      </c>
      <c r="W228" s="449">
        <f t="shared" ca="1" si="160"/>
        <v>1.73</v>
      </c>
      <c r="X228" s="452">
        <f t="shared" si="158"/>
        <v>105</v>
      </c>
      <c r="Y228" s="440">
        <v>4.5599999999999996</v>
      </c>
      <c r="Z228" s="440">
        <f t="shared" ca="1" si="161"/>
        <v>-0.05</v>
      </c>
      <c r="AA228" s="241">
        <v>46154</v>
      </c>
      <c r="AF228" s="225">
        <f t="shared" ca="1" si="115"/>
        <v>46156</v>
      </c>
      <c r="AG228" s="225" t="b">
        <f t="shared" si="153"/>
        <v>0</v>
      </c>
      <c r="AH228" s="242"/>
      <c r="AK228" s="223">
        <f t="shared" si="154"/>
        <v>20</v>
      </c>
      <c r="AL228" s="223">
        <f t="shared" si="155"/>
        <v>2026</v>
      </c>
      <c r="AS228" s="223">
        <f t="shared" si="156"/>
        <v>5</v>
      </c>
      <c r="AT228" s="223">
        <f t="shared" si="157"/>
        <v>2026</v>
      </c>
    </row>
    <row r="229" spans="2:46" ht="15.75" x14ac:dyDescent="0.25">
      <c r="B229" s="229" t="s">
        <v>547</v>
      </c>
      <c r="C229" s="235" t="s">
        <v>263</v>
      </c>
      <c r="D229" s="243">
        <v>1500</v>
      </c>
      <c r="E229" s="232" t="s">
        <v>4</v>
      </c>
      <c r="F229" s="435">
        <v>2.88</v>
      </c>
      <c r="G229" s="234">
        <v>46127</v>
      </c>
      <c r="H229" s="235" t="s">
        <v>314</v>
      </c>
      <c r="I229" s="235"/>
      <c r="J229" s="440">
        <v>7.0000000000000007E-2</v>
      </c>
      <c r="K229" s="443">
        <f ca="1">ROUND(IF(ISERROR(OFFSET(Tabella!$A$1,MATCH(H229,Tabella!$A:$A,0)-1,MATCH(J229,Tabella!$A$1:$AC$1,0)-1)=TRUE),0,+OFFSET(Tabella!$A$1,MATCH(H229,Tabella!$A:$A,0)-1,MATCH(J229,Tabella!$A$1:$AC$1,0)-1)),4)</f>
        <v>1.25</v>
      </c>
      <c r="L229" s="446">
        <f ca="1">ROUND(IF(ISERROR(OFFSET(Ottone!$A$1,MATCH(H229,Ottone!$A:$A,0)-1,MATCH(J229,Ottone!$A$1:$Z$1,0)-1)=TRUE),0,OFFSET(Ottone!$A$1,MATCH(H229,Ottone!$A:$A,0)-1,MATCH(J229,Ottone!$A$1:$Z$1,0)-1))*IF(E229="Ottone",1,0),4)</f>
        <v>0</v>
      </c>
      <c r="M229" s="446">
        <f ca="1">ROUND(IF(ISERROR(OFFSET(Rame!$A$1,MATCH(H229,Rame!$A:$A,0)-1,MATCH(J229,Rame!$A$1:$AA$1,0)-1)=TRUE),0,OFFSET(Rame!$A$1,MATCH(H229,Rame!$A:$A,0)-1,MATCH(J229,Rame!$A$1:$AA$1,0)-1))*IF(E229="Rame",1,0),4)</f>
        <v>0</v>
      </c>
      <c r="N229" s="446">
        <v>0</v>
      </c>
      <c r="O229" s="446">
        <v>1.73</v>
      </c>
      <c r="P229" s="446">
        <f ca="1">ROUND(+IF(ISERROR(OFFSET(Tabella!$G$1,MATCH(H229,Tabella!$G:$G,0)-1,MATCH(I229,Tabella!$G$1:$FG$1,0)-1)=TRUE),0,OFFSET(Tabella!$G$1,MATCH(H229,Tabella!$G:$G,0)-1,MATCH(I229,Tabella!$G$1:$AB$1,0)-1)),4)</f>
        <v>0</v>
      </c>
      <c r="Q229" s="446">
        <f ca="1">ROUND(IF(ISERROR(OFFSET(Ottone!$F$1,MATCH(H229,Ottone!$A:$A,0)-1,MATCH(I229,Ottone!$F$1:$FF$1,0)-1)=TRUE),0,OFFSET(Ottone!$F$1,MATCH(H229,Ottone!$A:$A,0)-1,MATCH(I229,Ottone!$F$1:$FF$1,0)-1))*IF(E229="Ottone",1,0),4)</f>
        <v>0</v>
      </c>
      <c r="R229" s="446">
        <f ca="1">ROUND(IF(ISERROR(OFFSET(Rame!$F$1,MATCH(H229,Rame!$F:$F,0)-1,MATCH(I229,Rame!$F$1:$FF$1,0)-1)=TRUE),0,OFFSET(Rame!$F$1,MATCH(H229,Rame!$F:$F,0)-1,MATCH(I229,Rame!$F$1:$FF$1,0)-1))*IF(E229="Rame",1,0),4)</f>
        <v>0</v>
      </c>
      <c r="S229" s="446">
        <f ca="1">ROUND(IF(ISERROR(OFFSET(Bronzo!$A$1,MATCH(H229,Bronzo!$A:$A,0)-1,MATCH(I229,Bronzo!$A$1:$AA$1,0)-1)=TRUE),0,OFFSET(Bronzo!$A$1,MATCH(H229,Bronzo!$A:$A,0)-1,MATCH(I229,Bronzo!$A$1:$AA$1,0)-1)),4)</f>
        <v>0</v>
      </c>
      <c r="T229" s="446">
        <f t="shared" ca="1" si="159"/>
        <v>0</v>
      </c>
      <c r="U229" s="443"/>
      <c r="V229" s="446">
        <v>0</v>
      </c>
      <c r="W229" s="449">
        <f t="shared" ca="1" si="160"/>
        <v>1.73</v>
      </c>
      <c r="X229" s="452">
        <f t="shared" si="158"/>
        <v>105</v>
      </c>
      <c r="Y229" s="440">
        <v>4.5599999999999996</v>
      </c>
      <c r="Z229" s="440">
        <f t="shared" ca="1" si="161"/>
        <v>-0.05</v>
      </c>
      <c r="AA229" s="241">
        <v>46154</v>
      </c>
      <c r="AF229" s="225">
        <f t="shared" ca="1" si="115"/>
        <v>46156</v>
      </c>
      <c r="AG229" s="225" t="b">
        <f t="shared" si="153"/>
        <v>0</v>
      </c>
      <c r="AH229" s="242"/>
      <c r="AK229" s="223">
        <f t="shared" si="154"/>
        <v>20</v>
      </c>
      <c r="AL229" s="223">
        <f t="shared" si="155"/>
        <v>2026</v>
      </c>
      <c r="AS229" s="223">
        <f t="shared" si="156"/>
        <v>5</v>
      </c>
      <c r="AT229" s="223">
        <f t="shared" si="157"/>
        <v>2026</v>
      </c>
    </row>
    <row r="230" spans="2:46" ht="15.75" x14ac:dyDescent="0.25">
      <c r="B230" s="229" t="s">
        <v>547</v>
      </c>
      <c r="C230" s="235" t="s">
        <v>263</v>
      </c>
      <c r="D230" s="243">
        <v>1000</v>
      </c>
      <c r="E230" s="232" t="s">
        <v>4</v>
      </c>
      <c r="F230" s="435">
        <v>2.88</v>
      </c>
      <c r="G230" s="234">
        <v>46127</v>
      </c>
      <c r="H230" s="235" t="s">
        <v>15</v>
      </c>
      <c r="I230" s="235"/>
      <c r="J230" s="440">
        <v>7.0000000000000007E-2</v>
      </c>
      <c r="K230" s="443">
        <f ca="1">ROUND(IF(ISERROR(OFFSET(Tabella!$A$1,MATCH(H230,Tabella!$A:$A,0)-1,MATCH(J230,Tabella!$A$1:$AC$1,0)-1)=TRUE),0,+OFFSET(Tabella!$A$1,MATCH(H230,Tabella!$A:$A,0)-1,MATCH(J230,Tabella!$A$1:$AC$1,0)-1)),4)</f>
        <v>1.4</v>
      </c>
      <c r="L230" s="446">
        <f ca="1">ROUND(IF(ISERROR(OFFSET(Ottone!$A$1,MATCH(H230,Ottone!$A:$A,0)-1,MATCH(J230,Ottone!$A$1:$Z$1,0)-1)=TRUE),0,OFFSET(Ottone!$A$1,MATCH(H230,Ottone!$A:$A,0)-1,MATCH(J230,Ottone!$A$1:$Z$1,0)-1))*IF(E230="Ottone",1,0),4)</f>
        <v>0</v>
      </c>
      <c r="M230" s="446">
        <f ca="1">ROUND(IF(ISERROR(OFFSET(Rame!$A$1,MATCH(H230,Rame!$A:$A,0)-1,MATCH(J230,Rame!$A$1:$AA$1,0)-1)=TRUE),0,OFFSET(Rame!$A$1,MATCH(H230,Rame!$A:$A,0)-1,MATCH(J230,Rame!$A$1:$AA$1,0)-1))*IF(E230="Rame",1,0),4)</f>
        <v>0</v>
      </c>
      <c r="N230" s="446">
        <v>0</v>
      </c>
      <c r="O230" s="446">
        <v>1.88</v>
      </c>
      <c r="P230" s="446">
        <f ca="1">ROUND(+IF(ISERROR(OFFSET(Tabella!$G$1,MATCH(H230,Tabella!$G:$G,0)-1,MATCH(I230,Tabella!$G$1:$FG$1,0)-1)=TRUE),0,OFFSET(Tabella!$G$1,MATCH(H230,Tabella!$G:$G,0)-1,MATCH(I230,Tabella!$G$1:$AB$1,0)-1)),4)</f>
        <v>0</v>
      </c>
      <c r="Q230" s="446">
        <f ca="1">ROUND(IF(ISERROR(OFFSET(Ottone!$F$1,MATCH(H230,Ottone!$A:$A,0)-1,MATCH(I230,Ottone!$F$1:$FF$1,0)-1)=TRUE),0,OFFSET(Ottone!$F$1,MATCH(H230,Ottone!$A:$A,0)-1,MATCH(I230,Ottone!$F$1:$FF$1,0)-1))*IF(E230="Ottone",1,0),4)</f>
        <v>0</v>
      </c>
      <c r="R230" s="446">
        <f ca="1">ROUND(IF(ISERROR(OFFSET(Rame!$F$1,MATCH(H230,Rame!$F:$F,0)-1,MATCH(I230,Rame!$F$1:$FF$1,0)-1)=TRUE),0,OFFSET(Rame!$F$1,MATCH(H230,Rame!$F:$F,0)-1,MATCH(I230,Rame!$F$1:$FF$1,0)-1))*IF(E230="Rame",1,0),4)</f>
        <v>0</v>
      </c>
      <c r="S230" s="446">
        <f ca="1">ROUND(IF(ISERROR(OFFSET(Bronzo!$A$1,MATCH(H230,Bronzo!$A:$A,0)-1,MATCH(I230,Bronzo!$A$1:$AA$1,0)-1)=TRUE),0,OFFSET(Bronzo!$A$1,MATCH(H230,Bronzo!$A:$A,0)-1,MATCH(I230,Bronzo!$A$1:$AA$1,0)-1)),4)</f>
        <v>0</v>
      </c>
      <c r="T230" s="446">
        <f t="shared" ca="1" si="159"/>
        <v>0</v>
      </c>
      <c r="U230" s="443"/>
      <c r="V230" s="446">
        <v>0</v>
      </c>
      <c r="W230" s="449">
        <f t="shared" ca="1" si="160"/>
        <v>1.88</v>
      </c>
      <c r="X230" s="452">
        <f t="shared" si="158"/>
        <v>70</v>
      </c>
      <c r="Y230" s="440">
        <v>4.71</v>
      </c>
      <c r="Z230" s="440">
        <f t="shared" ca="1" si="161"/>
        <v>-0.05</v>
      </c>
      <c r="AA230" s="241">
        <v>46154</v>
      </c>
      <c r="AF230" s="225">
        <f t="shared" ca="1" si="115"/>
        <v>46156</v>
      </c>
      <c r="AG230" s="225" t="b">
        <f t="shared" si="153"/>
        <v>0</v>
      </c>
      <c r="AH230" s="242"/>
      <c r="AK230" s="223">
        <f t="shared" si="154"/>
        <v>20</v>
      </c>
      <c r="AL230" s="223">
        <f t="shared" si="155"/>
        <v>2026</v>
      </c>
      <c r="AS230" s="223">
        <f t="shared" si="156"/>
        <v>5</v>
      </c>
      <c r="AT230" s="223">
        <f t="shared" si="157"/>
        <v>2026</v>
      </c>
    </row>
    <row r="231" spans="2:46" ht="15.75" x14ac:dyDescent="0.25">
      <c r="B231" s="229" t="s">
        <v>547</v>
      </c>
      <c r="C231" s="235" t="s">
        <v>263</v>
      </c>
      <c r="D231" s="243">
        <v>1500</v>
      </c>
      <c r="E231" s="232" t="s">
        <v>4</v>
      </c>
      <c r="F231" s="435">
        <v>2.88</v>
      </c>
      <c r="G231" s="234">
        <v>46127</v>
      </c>
      <c r="H231" s="235" t="s">
        <v>243</v>
      </c>
      <c r="I231" s="235"/>
      <c r="J231" s="440">
        <v>7.0000000000000007E-2</v>
      </c>
      <c r="K231" s="443">
        <f ca="1">ROUND(IF(ISERROR(OFFSET(Tabella!$A$1,MATCH(H231,Tabella!$A:$A,0)-1,MATCH(J231,Tabella!$A$1:$AC$1,0)-1)=TRUE),0,+OFFSET(Tabella!$A$1,MATCH(H231,Tabella!$A:$A,0)-1,MATCH(J231,Tabella!$A$1:$AC$1,0)-1)),4)</f>
        <v>1.4</v>
      </c>
      <c r="L231" s="446">
        <f ca="1">ROUND(IF(ISERROR(OFFSET(Ottone!$A$1,MATCH(H231,Ottone!$A:$A,0)-1,MATCH(J231,Ottone!$A$1:$Z$1,0)-1)=TRUE),0,OFFSET(Ottone!$A$1,MATCH(H231,Ottone!$A:$A,0)-1,MATCH(J231,Ottone!$A$1:$Z$1,0)-1))*IF(E231="Ottone",1,0),4)</f>
        <v>0</v>
      </c>
      <c r="M231" s="446">
        <f ca="1">ROUND(IF(ISERROR(OFFSET(Rame!$A$1,MATCH(H231,Rame!$A:$A,0)-1,MATCH(J231,Rame!$A$1:$AA$1,0)-1)=TRUE),0,OFFSET(Rame!$A$1,MATCH(H231,Rame!$A:$A,0)-1,MATCH(J231,Rame!$A$1:$AA$1,0)-1))*IF(E231="Rame",1,0),4)</f>
        <v>0</v>
      </c>
      <c r="N231" s="446">
        <v>0</v>
      </c>
      <c r="O231" s="446">
        <v>1.83</v>
      </c>
      <c r="P231" s="446">
        <f ca="1">ROUND(+IF(ISERROR(OFFSET(Tabella!$G$1,MATCH(H231,Tabella!$G:$G,0)-1,MATCH(I231,Tabella!$G$1:$FG$1,0)-1)=TRUE),0,OFFSET(Tabella!$G$1,MATCH(H231,Tabella!$G:$G,0)-1,MATCH(I231,Tabella!$G$1:$AB$1,0)-1)),4)</f>
        <v>0</v>
      </c>
      <c r="Q231" s="446">
        <f ca="1">ROUND(IF(ISERROR(OFFSET(Ottone!$F$1,MATCH(H231,Ottone!$A:$A,0)-1,MATCH(I231,Ottone!$F$1:$FF$1,0)-1)=TRUE),0,OFFSET(Ottone!$F$1,MATCH(H231,Ottone!$A:$A,0)-1,MATCH(I231,Ottone!$F$1:$FF$1,0)-1))*IF(E231="Ottone",1,0),4)</f>
        <v>0</v>
      </c>
      <c r="R231" s="446">
        <f ca="1">ROUND(IF(ISERROR(OFFSET(Rame!$F$1,MATCH(H231,Rame!$F:$F,0)-1,MATCH(I231,Rame!$F$1:$FF$1,0)-1)=TRUE),0,OFFSET(Rame!$F$1,MATCH(H231,Rame!$F:$F,0)-1,MATCH(I231,Rame!$F$1:$FF$1,0)-1))*IF(E231="Rame",1,0),4)</f>
        <v>0</v>
      </c>
      <c r="S231" s="446">
        <f ca="1">ROUND(IF(ISERROR(OFFSET(Bronzo!$A$1,MATCH(H231,Bronzo!$A:$A,0)-1,MATCH(I231,Bronzo!$A$1:$AA$1,0)-1)=TRUE),0,OFFSET(Bronzo!$A$1,MATCH(H231,Bronzo!$A:$A,0)-1,MATCH(I231,Bronzo!$A$1:$AA$1,0)-1)),4)</f>
        <v>0</v>
      </c>
      <c r="T231" s="446">
        <f t="shared" ca="1" si="159"/>
        <v>0</v>
      </c>
      <c r="U231" s="443"/>
      <c r="V231" s="446">
        <v>0</v>
      </c>
      <c r="W231" s="449">
        <f t="shared" ca="1" si="160"/>
        <v>1.83</v>
      </c>
      <c r="X231" s="452">
        <f t="shared" si="158"/>
        <v>105</v>
      </c>
      <c r="Y231" s="440">
        <v>4.66</v>
      </c>
      <c r="Z231" s="440">
        <f t="shared" ca="1" si="161"/>
        <v>-0.05</v>
      </c>
      <c r="AA231" s="241">
        <v>46154</v>
      </c>
      <c r="AF231" s="225">
        <f t="shared" ca="1" si="115"/>
        <v>46156</v>
      </c>
      <c r="AG231" s="225" t="b">
        <f t="shared" si="153"/>
        <v>0</v>
      </c>
      <c r="AH231" s="242"/>
      <c r="AK231" s="223">
        <f t="shared" si="154"/>
        <v>20</v>
      </c>
      <c r="AL231" s="223">
        <f t="shared" si="155"/>
        <v>2026</v>
      </c>
      <c r="AS231" s="223">
        <f t="shared" si="156"/>
        <v>5</v>
      </c>
      <c r="AT231" s="223">
        <f t="shared" si="157"/>
        <v>2026</v>
      </c>
    </row>
    <row r="232" spans="2:46" ht="15.75" x14ac:dyDescent="0.25">
      <c r="B232" s="229" t="s">
        <v>532</v>
      </c>
      <c r="C232" s="235" t="s">
        <v>396</v>
      </c>
      <c r="D232" s="243">
        <v>300</v>
      </c>
      <c r="E232" s="232" t="s">
        <v>4</v>
      </c>
      <c r="F232" s="435">
        <v>3.07</v>
      </c>
      <c r="G232" s="234">
        <v>46125</v>
      </c>
      <c r="H232" s="235" t="s">
        <v>23</v>
      </c>
      <c r="I232" s="235"/>
      <c r="J232" s="440">
        <v>7.0000000000000007E-2</v>
      </c>
      <c r="K232" s="443">
        <f ca="1">ROUND(IF(ISERROR(OFFSET(Tabella!$A$1,MATCH(H232,Tabella!$A:$A,0)-1,MATCH(J232,Tabella!$A$1:$AC$1,0)-1)=TRUE),0,+OFFSET(Tabella!$A$1,MATCH(H232,Tabella!$A:$A,0)-1,MATCH(J232,Tabella!$A$1:$AC$1,0)-1)),4)</f>
        <v>1.25</v>
      </c>
      <c r="L232" s="446">
        <f ca="1">ROUND(IF(ISERROR(OFFSET(Ottone!$A$1,MATCH(H232,Ottone!$A:$A,0)-1,MATCH(J232,Ottone!$A$1:$Z$1,0)-1)=TRUE),0,OFFSET(Ottone!$A$1,MATCH(H232,Ottone!$A:$A,0)-1,MATCH(J232,Ottone!$A$1:$Z$1,0)-1))*IF(E232="Ottone",1,0),4)</f>
        <v>0</v>
      </c>
      <c r="M232" s="446">
        <f ca="1">ROUND(IF(ISERROR(OFFSET(Rame!$A$1,MATCH(H232,Rame!$A:$A,0)-1,MATCH(J232,Rame!$A$1:$AA$1,0)-1)=TRUE),0,OFFSET(Rame!$A$1,MATCH(H232,Rame!$A:$A,0)-1,MATCH(J232,Rame!$A$1:$AA$1,0)-1))*IF(E232="Rame",1,0),4)</f>
        <v>0</v>
      </c>
      <c r="N232" s="446">
        <v>0</v>
      </c>
      <c r="O232" s="446">
        <v>1.6</v>
      </c>
      <c r="P232" s="446">
        <f ca="1">ROUND(+IF(ISERROR(OFFSET(Tabella!$G$1,MATCH(H232,Tabella!$G:$G,0)-1,MATCH(I232,Tabella!$G$1:$FG$1,0)-1)=TRUE),0,OFFSET(Tabella!$G$1,MATCH(H232,Tabella!$G:$G,0)-1,MATCH(I232,Tabella!$G$1:$AB$1,0)-1)),4)</f>
        <v>0</v>
      </c>
      <c r="Q232" s="446">
        <f ca="1">ROUND(IF(ISERROR(OFFSET(Ottone!$F$1,MATCH(H232,Ottone!$A:$A,0)-1,MATCH(I232,Ottone!$F$1:$FF$1,0)-1)=TRUE),0,OFFSET(Ottone!$F$1,MATCH(H232,Ottone!$A:$A,0)-1,MATCH(I232,Ottone!$F$1:$FF$1,0)-1))*IF(E232="Ottone",1,0),4)</f>
        <v>0</v>
      </c>
      <c r="R232" s="446">
        <f ca="1">ROUND(IF(ISERROR(OFFSET(Rame!$F$1,MATCH(H232,Rame!$F:$F,0)-1,MATCH(I232,Rame!$F$1:$FF$1,0)-1)=TRUE),0,OFFSET(Rame!$F$1,MATCH(H232,Rame!$F:$F,0)-1,MATCH(I232,Rame!$F$1:$FF$1,0)-1))*IF(E232="Rame",1,0),4)</f>
        <v>0</v>
      </c>
      <c r="S232" s="446">
        <f ca="1">ROUND(IF(ISERROR(OFFSET(Bronzo!$A$1,MATCH(H232,Bronzo!$A:$A,0)-1,MATCH(I232,Bronzo!$A$1:$AA$1,0)-1)=TRUE),0,OFFSET(Bronzo!$A$1,MATCH(H232,Bronzo!$A:$A,0)-1,MATCH(I232,Bronzo!$A$1:$AA$1,0)-1)),4)</f>
        <v>0</v>
      </c>
      <c r="T232" s="446">
        <f t="shared" ca="1" si="159"/>
        <v>0</v>
      </c>
      <c r="U232" s="443"/>
      <c r="V232" s="446">
        <v>0</v>
      </c>
      <c r="W232" s="449">
        <f t="shared" ca="1" si="160"/>
        <v>1.6</v>
      </c>
      <c r="X232" s="452">
        <f t="shared" si="158"/>
        <v>21</v>
      </c>
      <c r="Y232" s="440">
        <v>4.8899999999999997</v>
      </c>
      <c r="Z232" s="440">
        <f t="shared" ca="1" si="161"/>
        <v>0.22</v>
      </c>
      <c r="AA232" s="241">
        <v>46146</v>
      </c>
      <c r="AF232" s="225">
        <f t="shared" ca="1" si="115"/>
        <v>46156</v>
      </c>
      <c r="AG232" s="225" t="b">
        <f t="shared" si="153"/>
        <v>0</v>
      </c>
      <c r="AH232" s="242"/>
      <c r="AK232" s="223">
        <f t="shared" si="154"/>
        <v>19</v>
      </c>
      <c r="AL232" s="223">
        <f t="shared" si="155"/>
        <v>2026</v>
      </c>
      <c r="AS232" s="223">
        <f t="shared" si="156"/>
        <v>5</v>
      </c>
      <c r="AT232" s="223">
        <f t="shared" si="157"/>
        <v>2026</v>
      </c>
    </row>
    <row r="233" spans="2:46" ht="15.75" x14ac:dyDescent="0.25">
      <c r="B233" s="229" t="s">
        <v>533</v>
      </c>
      <c r="C233" s="235" t="s">
        <v>396</v>
      </c>
      <c r="D233" s="243">
        <v>200</v>
      </c>
      <c r="E233" s="232" t="s">
        <v>4</v>
      </c>
      <c r="F233" s="435">
        <v>3.07</v>
      </c>
      <c r="G233" s="234">
        <v>46125</v>
      </c>
      <c r="H233" s="235" t="s">
        <v>307</v>
      </c>
      <c r="I233" s="235"/>
      <c r="J233" s="440">
        <v>7.0000000000000007E-2</v>
      </c>
      <c r="K233" s="443">
        <f ca="1">ROUND(IF(ISERROR(OFFSET(Tabella!$A$1,MATCH(H233,Tabella!$A:$A,0)-1,MATCH(J233,Tabella!$A$1:$AC$1,0)-1)=TRUE),0,+OFFSET(Tabella!$A$1,MATCH(H233,Tabella!$A:$A,0)-1,MATCH(J233,Tabella!$A$1:$AC$1,0)-1)),4)</f>
        <v>1.25</v>
      </c>
      <c r="L233" s="446">
        <f ca="1">ROUND(IF(ISERROR(OFFSET(Ottone!$A$1,MATCH(H233,Ottone!$A:$A,0)-1,MATCH(J233,Ottone!$A$1:$Z$1,0)-1)=TRUE),0,OFFSET(Ottone!$A$1,MATCH(H233,Ottone!$A:$A,0)-1,MATCH(J233,Ottone!$A$1:$Z$1,0)-1))*IF(E233="Ottone",1,0),4)</f>
        <v>0</v>
      </c>
      <c r="M233" s="446">
        <f ca="1">ROUND(IF(ISERROR(OFFSET(Rame!$A$1,MATCH(H233,Rame!$A:$A,0)-1,MATCH(J233,Rame!$A$1:$AA$1,0)-1)=TRUE),0,OFFSET(Rame!$A$1,MATCH(H233,Rame!$A:$A,0)-1,MATCH(J233,Rame!$A$1:$AA$1,0)-1))*IF(E233="Rame",1,0),4)</f>
        <v>0</v>
      </c>
      <c r="N233" s="446">
        <v>0</v>
      </c>
      <c r="O233" s="446">
        <v>1.6</v>
      </c>
      <c r="P233" s="446">
        <f ca="1">ROUND(+IF(ISERROR(OFFSET(Tabella!$G$1,MATCH(H233,Tabella!$G:$G,0)-1,MATCH(I233,Tabella!$G$1:$FG$1,0)-1)=TRUE),0,OFFSET(Tabella!$G$1,MATCH(H233,Tabella!$G:$G,0)-1,MATCH(I233,Tabella!$G$1:$AB$1,0)-1)),4)</f>
        <v>0</v>
      </c>
      <c r="Q233" s="446">
        <f ca="1">ROUND(IF(ISERROR(OFFSET(Ottone!$F$1,MATCH(H233,Ottone!$A:$A,0)-1,MATCH(I233,Ottone!$F$1:$FF$1,0)-1)=TRUE),0,OFFSET(Ottone!$F$1,MATCH(H233,Ottone!$A:$A,0)-1,MATCH(I233,Ottone!$F$1:$FF$1,0)-1))*IF(E233="Ottone",1,0),4)</f>
        <v>0</v>
      </c>
      <c r="R233" s="446">
        <f ca="1">ROUND(IF(ISERROR(OFFSET(Rame!$F$1,MATCH(H233,Rame!$F:$F,0)-1,MATCH(I233,Rame!$F$1:$FF$1,0)-1)=TRUE),0,OFFSET(Rame!$F$1,MATCH(H233,Rame!$F:$F,0)-1,MATCH(I233,Rame!$F$1:$FF$1,0)-1))*IF(E233="Rame",1,0),4)</f>
        <v>0</v>
      </c>
      <c r="S233" s="446">
        <f ca="1">ROUND(IF(ISERROR(OFFSET(Bronzo!$A$1,MATCH(H233,Bronzo!$A:$A,0)-1,MATCH(I233,Bronzo!$A$1:$AA$1,0)-1)=TRUE),0,OFFSET(Bronzo!$A$1,MATCH(H233,Bronzo!$A:$A,0)-1,MATCH(I233,Bronzo!$A$1:$AA$1,0)-1)),4)</f>
        <v>0</v>
      </c>
      <c r="T233" s="446">
        <f t="shared" ca="1" si="159"/>
        <v>0</v>
      </c>
      <c r="U233" s="443"/>
      <c r="V233" s="446">
        <v>0</v>
      </c>
      <c r="W233" s="449">
        <f t="shared" ca="1" si="160"/>
        <v>1.6</v>
      </c>
      <c r="X233" s="452">
        <f t="shared" si="158"/>
        <v>14</v>
      </c>
      <c r="Y233" s="440">
        <v>4.8899999999999997</v>
      </c>
      <c r="Z233" s="440">
        <f t="shared" ca="1" si="161"/>
        <v>0.22</v>
      </c>
      <c r="AA233" s="241">
        <v>46150</v>
      </c>
      <c r="AF233" s="225">
        <f t="shared" ca="1" si="115"/>
        <v>46156</v>
      </c>
      <c r="AG233" s="225" t="b">
        <f t="shared" si="153"/>
        <v>0</v>
      </c>
      <c r="AH233" s="242"/>
      <c r="AK233" s="223">
        <f t="shared" si="154"/>
        <v>19</v>
      </c>
      <c r="AL233" s="223">
        <f t="shared" si="155"/>
        <v>2026</v>
      </c>
      <c r="AS233" s="223">
        <f t="shared" si="156"/>
        <v>5</v>
      </c>
      <c r="AT233" s="223">
        <f t="shared" si="157"/>
        <v>2026</v>
      </c>
    </row>
    <row r="234" spans="2:46" ht="15.75" x14ac:dyDescent="0.25">
      <c r="B234" s="229" t="s">
        <v>533</v>
      </c>
      <c r="C234" s="235" t="s">
        <v>396</v>
      </c>
      <c r="D234" s="243">
        <v>200</v>
      </c>
      <c r="E234" s="232" t="s">
        <v>4</v>
      </c>
      <c r="F234" s="435">
        <v>3.07</v>
      </c>
      <c r="G234" s="234">
        <v>46125</v>
      </c>
      <c r="H234" s="235" t="s">
        <v>11</v>
      </c>
      <c r="I234" s="235"/>
      <c r="J234" s="440">
        <v>7.0000000000000007E-2</v>
      </c>
      <c r="K234" s="443">
        <f ca="1">ROUND(IF(ISERROR(OFFSET(Tabella!$A$1,MATCH(H234,Tabella!$A:$A,0)-1,MATCH(J234,Tabella!$A$1:$AC$1,0)-1)=TRUE),0,+OFFSET(Tabella!$A$1,MATCH(H234,Tabella!$A:$A,0)-1,MATCH(J234,Tabella!$A$1:$AC$1,0)-1)),4)</f>
        <v>1.5</v>
      </c>
      <c r="L234" s="446">
        <f ca="1">ROUND(IF(ISERROR(OFFSET(Ottone!$A$1,MATCH(H234,Ottone!$A:$A,0)-1,MATCH(J234,Ottone!$A$1:$Z$1,0)-1)=TRUE),0,OFFSET(Ottone!$A$1,MATCH(H234,Ottone!$A:$A,0)-1,MATCH(J234,Ottone!$A$1:$Z$1,0)-1))*IF(E234="Ottone",1,0),4)</f>
        <v>0</v>
      </c>
      <c r="M234" s="446">
        <f ca="1">ROUND(IF(ISERROR(OFFSET(Rame!$A$1,MATCH(H234,Rame!$A:$A,0)-1,MATCH(J234,Rame!$A$1:$AA$1,0)-1)=TRUE),0,OFFSET(Rame!$A$1,MATCH(H234,Rame!$A:$A,0)-1,MATCH(J234,Rame!$A$1:$AA$1,0)-1))*IF(E234="Rame",1,0),4)</f>
        <v>0</v>
      </c>
      <c r="N234" s="446">
        <v>0</v>
      </c>
      <c r="O234" s="446">
        <v>1.75</v>
      </c>
      <c r="P234" s="446">
        <f ca="1">ROUND(+IF(ISERROR(OFFSET(Tabella!$G$1,MATCH(H234,Tabella!$G:$G,0)-1,MATCH(I234,Tabella!$G$1:$FG$1,0)-1)=TRUE),0,OFFSET(Tabella!$G$1,MATCH(H234,Tabella!$G:$G,0)-1,MATCH(I234,Tabella!$G$1:$AB$1,0)-1)),4)</f>
        <v>0</v>
      </c>
      <c r="Q234" s="446">
        <f ca="1">ROUND(IF(ISERROR(OFFSET(Ottone!$F$1,MATCH(H234,Ottone!$A:$A,0)-1,MATCH(I234,Ottone!$F$1:$FF$1,0)-1)=TRUE),0,OFFSET(Ottone!$F$1,MATCH(H234,Ottone!$A:$A,0)-1,MATCH(I234,Ottone!$F$1:$FF$1,0)-1))*IF(E234="Ottone",1,0),4)</f>
        <v>0</v>
      </c>
      <c r="R234" s="446">
        <f ca="1">ROUND(IF(ISERROR(OFFSET(Rame!$F$1,MATCH(H234,Rame!$F:$F,0)-1,MATCH(I234,Rame!$F$1:$FF$1,0)-1)=TRUE),0,OFFSET(Rame!$F$1,MATCH(H234,Rame!$F:$F,0)-1,MATCH(I234,Rame!$F$1:$FF$1,0)-1))*IF(E234="Rame",1,0),4)</f>
        <v>0</v>
      </c>
      <c r="S234" s="446">
        <f ca="1">ROUND(IF(ISERROR(OFFSET(Bronzo!$A$1,MATCH(H234,Bronzo!$A:$A,0)-1,MATCH(I234,Bronzo!$A$1:$AA$1,0)-1)=TRUE),0,OFFSET(Bronzo!$A$1,MATCH(H234,Bronzo!$A:$A,0)-1,MATCH(I234,Bronzo!$A$1:$AA$1,0)-1)),4)</f>
        <v>0</v>
      </c>
      <c r="T234" s="446">
        <f t="shared" ca="1" si="159"/>
        <v>0</v>
      </c>
      <c r="U234" s="443"/>
      <c r="V234" s="446">
        <v>0</v>
      </c>
      <c r="W234" s="449">
        <f t="shared" ca="1" si="160"/>
        <v>1.75</v>
      </c>
      <c r="X234" s="452">
        <f t="shared" si="158"/>
        <v>14</v>
      </c>
      <c r="Y234" s="440">
        <v>5.19</v>
      </c>
      <c r="Z234" s="440">
        <f t="shared" ca="1" si="161"/>
        <v>0.37</v>
      </c>
      <c r="AA234" s="241">
        <v>46150</v>
      </c>
      <c r="AF234" s="225">
        <f t="shared" ca="1" si="115"/>
        <v>46156</v>
      </c>
      <c r="AG234" s="225" t="b">
        <f t="shared" si="153"/>
        <v>0</v>
      </c>
      <c r="AH234" s="242"/>
      <c r="AK234" s="223">
        <f t="shared" si="154"/>
        <v>19</v>
      </c>
      <c r="AL234" s="223">
        <f t="shared" si="155"/>
        <v>2026</v>
      </c>
      <c r="AS234" s="223">
        <f t="shared" si="156"/>
        <v>5</v>
      </c>
      <c r="AT234" s="223">
        <f t="shared" si="157"/>
        <v>2026</v>
      </c>
    </row>
    <row r="235" spans="2:46" ht="15.75" x14ac:dyDescent="0.25">
      <c r="B235" s="229" t="s">
        <v>542</v>
      </c>
      <c r="C235" s="235" t="s">
        <v>228</v>
      </c>
      <c r="D235" s="243">
        <v>220</v>
      </c>
      <c r="E235" s="232" t="s">
        <v>4</v>
      </c>
      <c r="F235" s="435">
        <v>3.08</v>
      </c>
      <c r="G235" s="234">
        <v>46129</v>
      </c>
      <c r="H235" s="235" t="s">
        <v>17</v>
      </c>
      <c r="I235" s="235"/>
      <c r="J235" s="440">
        <v>0.3</v>
      </c>
      <c r="K235" s="443">
        <f ca="1">ROUND(IF(ISERROR(OFFSET(Tabella!$A$1,MATCH(H235,Tabella!$A:$A,0)-1,MATCH(J235,Tabella!$A$1:$AC$1,0)-1)=TRUE),0,+OFFSET(Tabella!$A$1,MATCH(H235,Tabella!$A:$A,0)-1,MATCH(J235,Tabella!$A$1:$AC$1,0)-1)),4)</f>
        <v>0</v>
      </c>
      <c r="L235" s="446">
        <f ca="1">ROUND(IF(ISERROR(OFFSET(Ottone!$A$1,MATCH(H235,Ottone!$A:$A,0)-1,MATCH(J235,Ottone!$A$1:$Z$1,0)-1)=TRUE),0,OFFSET(Ottone!$A$1,MATCH(H235,Ottone!$A:$A,0)-1,MATCH(J235,Ottone!$A$1:$Z$1,0)-1))*IF(E235="Ottone",1,0),4)</f>
        <v>0</v>
      </c>
      <c r="M235" s="446">
        <f ca="1">ROUND(IF(ISERROR(OFFSET(Rame!$A$1,MATCH(H235,Rame!$A:$A,0)-1,MATCH(J235,Rame!$A$1:$AA$1,0)-1)=TRUE),0,OFFSET(Rame!$A$1,MATCH(H235,Rame!$A:$A,0)-1,MATCH(J235,Rame!$A$1:$AA$1,0)-1))*IF(E235="Rame",1,0),4)</f>
        <v>0</v>
      </c>
      <c r="N235" s="446">
        <v>0</v>
      </c>
      <c r="O235" s="446">
        <v>2.1</v>
      </c>
      <c r="P235" s="446">
        <f ca="1">ROUND(+IF(ISERROR(OFFSET(Tabella!$G$1,MATCH(H235,Tabella!$G:$G,0)-1,MATCH(I235,Tabella!$G$1:$FG$1,0)-1)=TRUE),0,OFFSET(Tabella!$G$1,MATCH(H235,Tabella!$G:$G,0)-1,MATCH(I235,Tabella!$G$1:$AB$1,0)-1)),4)</f>
        <v>0</v>
      </c>
      <c r="Q235" s="446">
        <f ca="1">ROUND(IF(ISERROR(OFFSET(Ottone!$F$1,MATCH(H235,Ottone!$A:$A,0)-1,MATCH(I235,Ottone!$F$1:$FF$1,0)-1)=TRUE),0,OFFSET(Ottone!$F$1,MATCH(H235,Ottone!$A:$A,0)-1,MATCH(I235,Ottone!$F$1:$FF$1,0)-1))*IF(E235="Ottone",1,0),4)</f>
        <v>0</v>
      </c>
      <c r="R235" s="446">
        <f ca="1">ROUND(IF(ISERROR(OFFSET(Rame!$F$1,MATCH(H235,Rame!$F:$F,0)-1,MATCH(I235,Rame!$F$1:$FF$1,0)-1)=TRUE),0,OFFSET(Rame!$F$1,MATCH(H235,Rame!$F:$F,0)-1,MATCH(I235,Rame!$F$1:$FF$1,0)-1))*IF(E235="Rame",1,0),4)</f>
        <v>0</v>
      </c>
      <c r="S235" s="446">
        <f ca="1">ROUND(IF(ISERROR(OFFSET(Bronzo!$A$1,MATCH(H235,Bronzo!$A:$A,0)-1,MATCH(I235,Bronzo!$A$1:$AA$1,0)-1)=TRUE),0,OFFSET(Bronzo!$A$1,MATCH(H235,Bronzo!$A:$A,0)-1,MATCH(I235,Bronzo!$A$1:$AA$1,0)-1)),4)</f>
        <v>0</v>
      </c>
      <c r="T235" s="446">
        <f t="shared" ca="1" si="159"/>
        <v>0</v>
      </c>
      <c r="U235" s="443"/>
      <c r="V235" s="446">
        <v>0</v>
      </c>
      <c r="W235" s="449">
        <f t="shared" ca="1" si="160"/>
        <v>2.1</v>
      </c>
      <c r="X235" s="452">
        <f t="shared" si="158"/>
        <v>66</v>
      </c>
      <c r="Y235" s="440">
        <v>5.9</v>
      </c>
      <c r="Z235" s="440">
        <f t="shared" ca="1" si="161"/>
        <v>0.72</v>
      </c>
      <c r="AA235" s="241">
        <v>46154</v>
      </c>
      <c r="AF235" s="225">
        <f t="shared" ca="1" si="115"/>
        <v>46156</v>
      </c>
      <c r="AG235" s="225" t="b">
        <f t="shared" si="153"/>
        <v>0</v>
      </c>
      <c r="AH235" s="242"/>
      <c r="AK235" s="223">
        <f t="shared" si="154"/>
        <v>20</v>
      </c>
      <c r="AL235" s="223">
        <f t="shared" si="155"/>
        <v>2026</v>
      </c>
      <c r="AS235" s="223">
        <f t="shared" si="156"/>
        <v>5</v>
      </c>
      <c r="AT235" s="223">
        <f t="shared" si="157"/>
        <v>2026</v>
      </c>
    </row>
    <row r="236" spans="2:46" ht="15.75" x14ac:dyDescent="0.25">
      <c r="B236" s="229" t="s">
        <v>542</v>
      </c>
      <c r="C236" s="235" t="s">
        <v>228</v>
      </c>
      <c r="D236" s="243">
        <v>220</v>
      </c>
      <c r="E236" s="232" t="s">
        <v>4</v>
      </c>
      <c r="F236" s="435">
        <v>3.08</v>
      </c>
      <c r="G236" s="234">
        <v>46129</v>
      </c>
      <c r="H236" s="235" t="s">
        <v>19</v>
      </c>
      <c r="I236" s="235"/>
      <c r="J236" s="440">
        <v>0.3</v>
      </c>
      <c r="K236" s="443">
        <f ca="1">ROUND(IF(ISERROR(OFFSET(Tabella!$A$1,MATCH(H236,Tabella!$A:$A,0)-1,MATCH(J236,Tabella!$A$1:$AC$1,0)-1)=TRUE),0,+OFFSET(Tabella!$A$1,MATCH(H236,Tabella!$A:$A,0)-1,MATCH(J236,Tabella!$A$1:$AC$1,0)-1)),4)</f>
        <v>0</v>
      </c>
      <c r="L236" s="446">
        <f ca="1">ROUND(IF(ISERROR(OFFSET(Ottone!$A$1,MATCH(H236,Ottone!$A:$A,0)-1,MATCH(J236,Ottone!$A$1:$Z$1,0)-1)=TRUE),0,OFFSET(Ottone!$A$1,MATCH(H236,Ottone!$A:$A,0)-1,MATCH(J236,Ottone!$A$1:$Z$1,0)-1))*IF(E236="Ottone",1,0),4)</f>
        <v>0</v>
      </c>
      <c r="M236" s="446">
        <f ca="1">ROUND(IF(ISERROR(OFFSET(Rame!$A$1,MATCH(H236,Rame!$A:$A,0)-1,MATCH(J236,Rame!$A$1:$AA$1,0)-1)=TRUE),0,OFFSET(Rame!$A$1,MATCH(H236,Rame!$A:$A,0)-1,MATCH(J236,Rame!$A$1:$AA$1,0)-1))*IF(E236="Rame",1,0),4)</f>
        <v>0</v>
      </c>
      <c r="N236" s="446">
        <v>0</v>
      </c>
      <c r="O236" s="446">
        <v>2.0699999999999998</v>
      </c>
      <c r="P236" s="446">
        <f ca="1">ROUND(+IF(ISERROR(OFFSET(Tabella!$G$1,MATCH(H236,Tabella!$G:$G,0)-1,MATCH(I236,Tabella!$G$1:$FG$1,0)-1)=TRUE),0,OFFSET(Tabella!$G$1,MATCH(H236,Tabella!$G:$G,0)-1,MATCH(I236,Tabella!$G$1:$AB$1,0)-1)),4)</f>
        <v>0</v>
      </c>
      <c r="Q236" s="446">
        <f ca="1">ROUND(IF(ISERROR(OFFSET(Ottone!$F$1,MATCH(H236,Ottone!$A:$A,0)-1,MATCH(I236,Ottone!$F$1:$FF$1,0)-1)=TRUE),0,OFFSET(Ottone!$F$1,MATCH(H236,Ottone!$A:$A,0)-1,MATCH(I236,Ottone!$F$1:$FF$1,0)-1))*IF(E236="Ottone",1,0),4)</f>
        <v>0</v>
      </c>
      <c r="R236" s="446">
        <f ca="1">ROUND(IF(ISERROR(OFFSET(Rame!$F$1,MATCH(H236,Rame!$F:$F,0)-1,MATCH(I236,Rame!$F$1:$FF$1,0)-1)=TRUE),0,OFFSET(Rame!$F$1,MATCH(H236,Rame!$F:$F,0)-1,MATCH(I236,Rame!$F$1:$FF$1,0)-1))*IF(E236="Rame",1,0),4)</f>
        <v>0</v>
      </c>
      <c r="S236" s="446">
        <f ca="1">ROUND(IF(ISERROR(OFFSET(Bronzo!$A$1,MATCH(H236,Bronzo!$A:$A,0)-1,MATCH(I236,Bronzo!$A$1:$AA$1,0)-1)=TRUE),0,OFFSET(Bronzo!$A$1,MATCH(H236,Bronzo!$A:$A,0)-1,MATCH(I236,Bronzo!$A$1:$AA$1,0)-1)),4)</f>
        <v>0</v>
      </c>
      <c r="T236" s="446">
        <f t="shared" ca="1" si="159"/>
        <v>0</v>
      </c>
      <c r="U236" s="443"/>
      <c r="V236" s="446">
        <v>0</v>
      </c>
      <c r="W236" s="449">
        <f t="shared" ca="1" si="160"/>
        <v>2.0699999999999998</v>
      </c>
      <c r="X236" s="452">
        <f t="shared" si="158"/>
        <v>66</v>
      </c>
      <c r="Y236" s="440">
        <v>5.9</v>
      </c>
      <c r="Z236" s="440">
        <f t="shared" ca="1" si="161"/>
        <v>0.75</v>
      </c>
      <c r="AA236" s="241">
        <v>46154</v>
      </c>
      <c r="AF236" s="225">
        <f t="shared" ca="1" si="115"/>
        <v>46156</v>
      </c>
      <c r="AG236" s="225" t="b">
        <f t="shared" si="153"/>
        <v>0</v>
      </c>
      <c r="AH236" s="242"/>
      <c r="AK236" s="223">
        <f t="shared" si="154"/>
        <v>20</v>
      </c>
      <c r="AL236" s="223">
        <f t="shared" si="155"/>
        <v>2026</v>
      </c>
      <c r="AS236" s="223">
        <f t="shared" si="156"/>
        <v>5</v>
      </c>
      <c r="AT236" s="223">
        <f t="shared" si="157"/>
        <v>2026</v>
      </c>
    </row>
    <row r="237" spans="2:46" ht="15.75" x14ac:dyDescent="0.25">
      <c r="B237" s="229" t="s">
        <v>567</v>
      </c>
      <c r="C237" s="235" t="s">
        <v>396</v>
      </c>
      <c r="D237" s="243">
        <v>700</v>
      </c>
      <c r="E237" s="232" t="s">
        <v>4</v>
      </c>
      <c r="F237" s="435">
        <v>3.09</v>
      </c>
      <c r="G237" s="234">
        <v>46129</v>
      </c>
      <c r="H237" s="235" t="s">
        <v>29</v>
      </c>
      <c r="I237" s="235"/>
      <c r="J237" s="440">
        <v>7.0000000000000007E-2</v>
      </c>
      <c r="K237" s="443">
        <f ca="1">ROUND(IF(ISERROR(OFFSET(Tabella!$A$1,MATCH(H237,Tabella!$A:$A,0)-1,MATCH(J237,Tabella!$A$1:$AC$1,0)-1)=TRUE),0,+OFFSET(Tabella!$A$1,MATCH(H237,Tabella!$A:$A,0)-1,MATCH(J237,Tabella!$A$1:$AC$1,0)-1)),4)</f>
        <v>1.3</v>
      </c>
      <c r="L237" s="446">
        <f ca="1">ROUND(IF(ISERROR(OFFSET(Ottone!$A$1,MATCH(H237,Ottone!$A:$A,0)-1,MATCH(J237,Ottone!$A$1:$Z$1,0)-1)=TRUE),0,OFFSET(Ottone!$A$1,MATCH(H237,Ottone!$A:$A,0)-1,MATCH(J237,Ottone!$A$1:$Z$1,0)-1))*IF(E237="Ottone",1,0),4)</f>
        <v>0</v>
      </c>
      <c r="M237" s="446">
        <f ca="1">ROUND(IF(ISERROR(OFFSET(Rame!$A$1,MATCH(H237,Rame!$A:$A,0)-1,MATCH(J237,Rame!$A$1:$AA$1,0)-1)=TRUE),0,OFFSET(Rame!$A$1,MATCH(H237,Rame!$A:$A,0)-1,MATCH(J237,Rame!$A$1:$AA$1,0)-1))*IF(E237="Rame",1,0),4)</f>
        <v>0</v>
      </c>
      <c r="N237" s="446">
        <v>0</v>
      </c>
      <c r="O237" s="446">
        <v>1.6</v>
      </c>
      <c r="P237" s="446">
        <f ca="1">ROUND(+IF(ISERROR(OFFSET(Tabella!$G$1,MATCH(H237,Tabella!$G:$G,0)-1,MATCH(I237,Tabella!$G$1:$FG$1,0)-1)=TRUE),0,OFFSET(Tabella!$G$1,MATCH(H237,Tabella!$G:$G,0)-1,MATCH(I237,Tabella!$G$1:$AB$1,0)-1)),4)</f>
        <v>0</v>
      </c>
      <c r="Q237" s="446">
        <f ca="1">ROUND(IF(ISERROR(OFFSET(Ottone!$F$1,MATCH(H237,Ottone!$A:$A,0)-1,MATCH(I237,Ottone!$F$1:$FF$1,0)-1)=TRUE),0,OFFSET(Ottone!$F$1,MATCH(H237,Ottone!$A:$A,0)-1,MATCH(I237,Ottone!$F$1:$FF$1,0)-1))*IF(E237="Ottone",1,0),4)</f>
        <v>0</v>
      </c>
      <c r="R237" s="446">
        <f ca="1">ROUND(IF(ISERROR(OFFSET(Rame!$F$1,MATCH(H237,Rame!$F:$F,0)-1,MATCH(I237,Rame!$F$1:$FF$1,0)-1)=TRUE),0,OFFSET(Rame!$F$1,MATCH(H237,Rame!$F:$F,0)-1,MATCH(I237,Rame!$F$1:$FF$1,0)-1))*IF(E237="Rame",1,0),4)</f>
        <v>0</v>
      </c>
      <c r="S237" s="446">
        <f ca="1">ROUND(IF(ISERROR(OFFSET(Bronzo!$A$1,MATCH(H237,Bronzo!$A:$A,0)-1,MATCH(I237,Bronzo!$A$1:$AA$1,0)-1)=TRUE),0,OFFSET(Bronzo!$A$1,MATCH(H237,Bronzo!$A:$A,0)-1,MATCH(I237,Bronzo!$A$1:$AA$1,0)-1)),4)</f>
        <v>0</v>
      </c>
      <c r="T237" s="446">
        <f t="shared" ca="1" si="159"/>
        <v>0</v>
      </c>
      <c r="U237" s="443"/>
      <c r="V237" s="446">
        <v>0</v>
      </c>
      <c r="W237" s="449">
        <f t="shared" ca="1" si="160"/>
        <v>1.6</v>
      </c>
      <c r="X237" s="452">
        <f t="shared" si="158"/>
        <v>49</v>
      </c>
      <c r="Y237" s="440">
        <v>4.91</v>
      </c>
      <c r="Z237" s="440">
        <f t="shared" ca="1" si="161"/>
        <v>0.22</v>
      </c>
      <c r="AA237" s="241">
        <v>46154</v>
      </c>
      <c r="AF237" s="225">
        <f t="shared" ca="1" si="115"/>
        <v>46156</v>
      </c>
      <c r="AG237" s="225" t="b">
        <f t="shared" si="153"/>
        <v>0</v>
      </c>
      <c r="AH237" s="242"/>
      <c r="AK237" s="223">
        <f t="shared" si="154"/>
        <v>20</v>
      </c>
      <c r="AL237" s="223">
        <f t="shared" si="155"/>
        <v>2026</v>
      </c>
      <c r="AS237" s="223">
        <f t="shared" si="156"/>
        <v>5</v>
      </c>
      <c r="AT237" s="223">
        <f t="shared" si="157"/>
        <v>2026</v>
      </c>
    </row>
    <row r="238" spans="2:46" ht="15.75" x14ac:dyDescent="0.25">
      <c r="B238" s="229" t="s">
        <v>540</v>
      </c>
      <c r="C238" s="235" t="s">
        <v>92</v>
      </c>
      <c r="D238" s="243">
        <v>2500</v>
      </c>
      <c r="E238" s="232" t="s">
        <v>4</v>
      </c>
      <c r="F238" s="435">
        <v>3.09</v>
      </c>
      <c r="G238" s="234">
        <v>46129</v>
      </c>
      <c r="H238" s="235" t="s">
        <v>21</v>
      </c>
      <c r="I238" s="235"/>
      <c r="J238" s="440">
        <v>7.0000000000000007E-2</v>
      </c>
      <c r="K238" s="443">
        <f ca="1">ROUND(IF(ISERROR(OFFSET(Tabella!$A$1,MATCH(H238,Tabella!$A:$A,0)-1,MATCH(J238,Tabella!$A$1:$AC$1,0)-1)=TRUE),0,+OFFSET(Tabella!$A$1,MATCH(H238,Tabella!$A:$A,0)-1,MATCH(J238,Tabella!$A$1:$AC$1,0)-1)),4)</f>
        <v>1.25</v>
      </c>
      <c r="L238" s="446">
        <f ca="1">ROUND(IF(ISERROR(OFFSET(Ottone!$A$1,MATCH(H238,Ottone!$A:$A,0)-1,MATCH(J238,Ottone!$A$1:$Z$1,0)-1)=TRUE),0,OFFSET(Ottone!$A$1,MATCH(H238,Ottone!$A:$A,0)-1,MATCH(J238,Ottone!$A$1:$Z$1,0)-1))*IF(E238="Ottone",1,0),4)</f>
        <v>0</v>
      </c>
      <c r="M238" s="446">
        <f ca="1">ROUND(IF(ISERROR(OFFSET(Rame!$A$1,MATCH(H238,Rame!$A:$A,0)-1,MATCH(J238,Rame!$A$1:$AA$1,0)-1)=TRUE),0,OFFSET(Rame!$A$1,MATCH(H238,Rame!$A:$A,0)-1,MATCH(J238,Rame!$A$1:$AA$1,0)-1))*IF(E238="Rame",1,0),4)</f>
        <v>0</v>
      </c>
      <c r="N238" s="446">
        <v>0</v>
      </c>
      <c r="O238" s="446">
        <v>1.73</v>
      </c>
      <c r="P238" s="446">
        <f ca="1">ROUND(+IF(ISERROR(OFFSET(Tabella!$G$1,MATCH(H238,Tabella!$G:$G,0)-1,MATCH(I238,Tabella!$G$1:$FG$1,0)-1)=TRUE),0,OFFSET(Tabella!$G$1,MATCH(H238,Tabella!$G:$G,0)-1,MATCH(I238,Tabella!$G$1:$AB$1,0)-1)),4)</f>
        <v>0</v>
      </c>
      <c r="Q238" s="446">
        <f ca="1">ROUND(IF(ISERROR(OFFSET(Ottone!$F$1,MATCH(H238,Ottone!$A:$A,0)-1,MATCH(I238,Ottone!$F$1:$FF$1,0)-1)=TRUE),0,OFFSET(Ottone!$F$1,MATCH(H238,Ottone!$A:$A,0)-1,MATCH(I238,Ottone!$F$1:$FF$1,0)-1))*IF(E238="Ottone",1,0),4)</f>
        <v>0</v>
      </c>
      <c r="R238" s="446">
        <f ca="1">ROUND(IF(ISERROR(OFFSET(Rame!$F$1,MATCH(H238,Rame!$F:$F,0)-1,MATCH(I238,Rame!$F$1:$FF$1,0)-1)=TRUE),0,OFFSET(Rame!$F$1,MATCH(H238,Rame!$F:$F,0)-1,MATCH(I238,Rame!$F$1:$FF$1,0)-1))*IF(E238="Rame",1,0),4)</f>
        <v>0</v>
      </c>
      <c r="S238" s="446">
        <f ca="1">ROUND(IF(ISERROR(OFFSET(Bronzo!$A$1,MATCH(H238,Bronzo!$A:$A,0)-1,MATCH(I238,Bronzo!$A$1:$AA$1,0)-1)=TRUE),0,OFFSET(Bronzo!$A$1,MATCH(H238,Bronzo!$A:$A,0)-1,MATCH(I238,Bronzo!$A$1:$AA$1,0)-1)),4)</f>
        <v>0</v>
      </c>
      <c r="T238" s="446">
        <f t="shared" ca="1" si="159"/>
        <v>0</v>
      </c>
      <c r="U238" s="443"/>
      <c r="V238" s="446">
        <v>0</v>
      </c>
      <c r="W238" s="449">
        <f t="shared" ca="1" si="160"/>
        <v>1.73</v>
      </c>
      <c r="X238" s="452">
        <f t="shared" si="158"/>
        <v>175</v>
      </c>
      <c r="Y238" s="440">
        <v>4.82</v>
      </c>
      <c r="Z238" s="440">
        <f t="shared" ca="1" si="161"/>
        <v>0</v>
      </c>
      <c r="AA238" s="241">
        <v>46177</v>
      </c>
      <c r="AF238" s="225">
        <f t="shared" ca="1" si="115"/>
        <v>46156</v>
      </c>
      <c r="AG238" s="225" t="b">
        <f t="shared" si="153"/>
        <v>0</v>
      </c>
      <c r="AH238" s="242"/>
      <c r="AK238" s="223">
        <f t="shared" si="154"/>
        <v>23</v>
      </c>
      <c r="AL238" s="223">
        <f t="shared" si="155"/>
        <v>2026</v>
      </c>
      <c r="AS238" s="223">
        <f t="shared" si="156"/>
        <v>6</v>
      </c>
      <c r="AT238" s="223">
        <f t="shared" si="157"/>
        <v>2026</v>
      </c>
    </row>
    <row r="239" spans="2:46" ht="15.75" x14ac:dyDescent="0.25">
      <c r="B239" s="229" t="s">
        <v>540</v>
      </c>
      <c r="C239" s="235" t="s">
        <v>92</v>
      </c>
      <c r="D239" s="243">
        <v>11000</v>
      </c>
      <c r="E239" s="232" t="s">
        <v>4</v>
      </c>
      <c r="F239" s="435">
        <v>3.09</v>
      </c>
      <c r="G239" s="234">
        <v>46129</v>
      </c>
      <c r="H239" s="235" t="s">
        <v>24</v>
      </c>
      <c r="I239" s="235"/>
      <c r="J239" s="440">
        <v>7.0000000000000007E-2</v>
      </c>
      <c r="K239" s="443">
        <f ca="1">ROUND(IF(ISERROR(OFFSET(Tabella!$A$1,MATCH(H239,Tabella!$A:$A,0)-1,MATCH(J239,Tabella!$A$1:$AC$1,0)-1)=TRUE),0,+OFFSET(Tabella!$A$1,MATCH(H239,Tabella!$A:$A,0)-1,MATCH(J239,Tabella!$A$1:$AC$1,0)-1)),4)</f>
        <v>1.25</v>
      </c>
      <c r="L239" s="446">
        <f ca="1">ROUND(IF(ISERROR(OFFSET(Ottone!$A$1,MATCH(H239,Ottone!$A:$A,0)-1,MATCH(J239,Ottone!$A$1:$Z$1,0)-1)=TRUE),0,OFFSET(Ottone!$A$1,MATCH(H239,Ottone!$A:$A,0)-1,MATCH(J239,Ottone!$A$1:$Z$1,0)-1))*IF(E239="Ottone",1,0),4)</f>
        <v>0</v>
      </c>
      <c r="M239" s="446">
        <f ca="1">ROUND(IF(ISERROR(OFFSET(Rame!$A$1,MATCH(H239,Rame!$A:$A,0)-1,MATCH(J239,Rame!$A$1:$AA$1,0)-1)=TRUE),0,OFFSET(Rame!$A$1,MATCH(H239,Rame!$A:$A,0)-1,MATCH(J239,Rame!$A$1:$AA$1,0)-1))*IF(E239="Rame",1,0),4)</f>
        <v>0</v>
      </c>
      <c r="N239" s="446">
        <v>0</v>
      </c>
      <c r="O239" s="446">
        <v>1.73</v>
      </c>
      <c r="P239" s="446">
        <f ca="1">ROUND(+IF(ISERROR(OFFSET(Tabella!$G$1,MATCH(H239,Tabella!$G:$G,0)-1,MATCH(I239,Tabella!$G$1:$FG$1,0)-1)=TRUE),0,OFFSET(Tabella!$G$1,MATCH(H239,Tabella!$G:$G,0)-1,MATCH(I239,Tabella!$G$1:$AB$1,0)-1)),4)</f>
        <v>0</v>
      </c>
      <c r="Q239" s="446">
        <f ca="1">ROUND(IF(ISERROR(OFFSET(Ottone!$F$1,MATCH(H239,Ottone!$A:$A,0)-1,MATCH(I239,Ottone!$F$1:$FF$1,0)-1)=TRUE),0,OFFSET(Ottone!$F$1,MATCH(H239,Ottone!$A:$A,0)-1,MATCH(I239,Ottone!$F$1:$FF$1,0)-1))*IF(E239="Ottone",1,0),4)</f>
        <v>0</v>
      </c>
      <c r="R239" s="446">
        <f ca="1">ROUND(IF(ISERROR(OFFSET(Rame!$F$1,MATCH(H239,Rame!$F:$F,0)-1,MATCH(I239,Rame!$F$1:$FF$1,0)-1)=TRUE),0,OFFSET(Rame!$F$1,MATCH(H239,Rame!$F:$F,0)-1,MATCH(I239,Rame!$F$1:$FF$1,0)-1))*IF(E239="Rame",1,0),4)</f>
        <v>0</v>
      </c>
      <c r="S239" s="446">
        <f ca="1">ROUND(IF(ISERROR(OFFSET(Bronzo!$A$1,MATCH(H239,Bronzo!$A:$A,0)-1,MATCH(I239,Bronzo!$A$1:$AA$1,0)-1)=TRUE),0,OFFSET(Bronzo!$A$1,MATCH(H239,Bronzo!$A:$A,0)-1,MATCH(I239,Bronzo!$A$1:$AA$1,0)-1)),4)</f>
        <v>0</v>
      </c>
      <c r="T239" s="446">
        <f t="shared" ca="1" si="159"/>
        <v>0</v>
      </c>
      <c r="U239" s="443"/>
      <c r="V239" s="446">
        <v>0</v>
      </c>
      <c r="W239" s="449">
        <f t="shared" ca="1" si="160"/>
        <v>1.73</v>
      </c>
      <c r="X239" s="452">
        <f t="shared" si="158"/>
        <v>770</v>
      </c>
      <c r="Y239" s="440">
        <v>4.82</v>
      </c>
      <c r="Z239" s="440">
        <f t="shared" ca="1" si="161"/>
        <v>0</v>
      </c>
      <c r="AA239" s="241">
        <v>46177</v>
      </c>
      <c r="AF239" s="225">
        <f t="shared" ca="1" si="115"/>
        <v>46156</v>
      </c>
      <c r="AG239" s="225" t="b">
        <f t="shared" si="153"/>
        <v>0</v>
      </c>
      <c r="AH239" s="242"/>
      <c r="AK239" s="223">
        <f t="shared" si="154"/>
        <v>23</v>
      </c>
      <c r="AL239" s="223">
        <f t="shared" si="155"/>
        <v>2026</v>
      </c>
      <c r="AS239" s="223">
        <f t="shared" si="156"/>
        <v>6</v>
      </c>
      <c r="AT239" s="223">
        <f t="shared" si="157"/>
        <v>2026</v>
      </c>
    </row>
    <row r="240" spans="2:46" ht="15.75" x14ac:dyDescent="0.25">
      <c r="B240" s="229" t="s">
        <v>540</v>
      </c>
      <c r="C240" s="235" t="s">
        <v>92</v>
      </c>
      <c r="D240" s="243">
        <v>600</v>
      </c>
      <c r="E240" s="232" t="s">
        <v>4</v>
      </c>
      <c r="F240" s="435">
        <v>3.09</v>
      </c>
      <c r="G240" s="234">
        <v>46129</v>
      </c>
      <c r="H240" s="235" t="s">
        <v>315</v>
      </c>
      <c r="I240" s="235"/>
      <c r="J240" s="440">
        <v>7.0000000000000007E-2</v>
      </c>
      <c r="K240" s="443">
        <f ca="1">ROUND(IF(ISERROR(OFFSET(Tabella!$A$1,MATCH(H240,Tabella!$A:$A,0)-1,MATCH(J240,Tabella!$A$1:$AC$1,0)-1)=TRUE),0,+OFFSET(Tabella!$A$1,MATCH(H240,Tabella!$A:$A,0)-1,MATCH(J240,Tabella!$A$1:$AC$1,0)-1)),4)</f>
        <v>1.25</v>
      </c>
      <c r="L240" s="446">
        <f ca="1">ROUND(IF(ISERROR(OFFSET(Ottone!$A$1,MATCH(H240,Ottone!$A:$A,0)-1,MATCH(J240,Ottone!$A$1:$Z$1,0)-1)=TRUE),0,OFFSET(Ottone!$A$1,MATCH(H240,Ottone!$A:$A,0)-1,MATCH(J240,Ottone!$A$1:$Z$1,0)-1))*IF(E240="Ottone",1,0),4)</f>
        <v>0</v>
      </c>
      <c r="M240" s="446">
        <f ca="1">ROUND(IF(ISERROR(OFFSET(Rame!$A$1,MATCH(H240,Rame!$A:$A,0)-1,MATCH(J240,Rame!$A$1:$AA$1,0)-1)=TRUE),0,OFFSET(Rame!$A$1,MATCH(H240,Rame!$A:$A,0)-1,MATCH(J240,Rame!$A$1:$AA$1,0)-1))*IF(E240="Rame",1,0),4)</f>
        <v>0</v>
      </c>
      <c r="N240" s="446">
        <v>0</v>
      </c>
      <c r="O240" s="446">
        <v>1.73</v>
      </c>
      <c r="P240" s="446">
        <f ca="1">ROUND(+IF(ISERROR(OFFSET(Tabella!$G$1,MATCH(H240,Tabella!$G:$G,0)-1,MATCH(I240,Tabella!$G$1:$FG$1,0)-1)=TRUE),0,OFFSET(Tabella!$G$1,MATCH(H240,Tabella!$G:$G,0)-1,MATCH(I240,Tabella!$G$1:$AB$1,0)-1)),4)</f>
        <v>0</v>
      </c>
      <c r="Q240" s="446">
        <f ca="1">ROUND(IF(ISERROR(OFFSET(Ottone!$F$1,MATCH(H240,Ottone!$A:$A,0)-1,MATCH(I240,Ottone!$F$1:$FF$1,0)-1)=TRUE),0,OFFSET(Ottone!$F$1,MATCH(H240,Ottone!$A:$A,0)-1,MATCH(I240,Ottone!$F$1:$FF$1,0)-1))*IF(E240="Ottone",1,0),4)</f>
        <v>0</v>
      </c>
      <c r="R240" s="446">
        <f ca="1">ROUND(IF(ISERROR(OFFSET(Rame!$F$1,MATCH(H240,Rame!$F:$F,0)-1,MATCH(I240,Rame!$F$1:$FF$1,0)-1)=TRUE),0,OFFSET(Rame!$F$1,MATCH(H240,Rame!$F:$F,0)-1,MATCH(I240,Rame!$F$1:$FF$1,0)-1))*IF(E240="Rame",1,0),4)</f>
        <v>0</v>
      </c>
      <c r="S240" s="446">
        <f ca="1">ROUND(IF(ISERROR(OFFSET(Bronzo!$A$1,MATCH(H240,Bronzo!$A:$A,0)-1,MATCH(I240,Bronzo!$A$1:$AA$1,0)-1)=TRUE),0,OFFSET(Bronzo!$A$1,MATCH(H240,Bronzo!$A:$A,0)-1,MATCH(I240,Bronzo!$A$1:$AA$1,0)-1)),4)</f>
        <v>0</v>
      </c>
      <c r="T240" s="446">
        <f t="shared" ca="1" si="159"/>
        <v>0</v>
      </c>
      <c r="U240" s="443"/>
      <c r="V240" s="446">
        <v>0</v>
      </c>
      <c r="W240" s="449">
        <f t="shared" ca="1" si="160"/>
        <v>1.73</v>
      </c>
      <c r="X240" s="452">
        <f t="shared" si="158"/>
        <v>42</v>
      </c>
      <c r="Y240" s="440">
        <v>4.82</v>
      </c>
      <c r="Z240" s="440">
        <f t="shared" ca="1" si="161"/>
        <v>0</v>
      </c>
      <c r="AA240" s="241">
        <v>46177</v>
      </c>
      <c r="AF240" s="225">
        <f t="shared" ca="1" si="115"/>
        <v>46156</v>
      </c>
      <c r="AG240" s="225" t="b">
        <f t="shared" si="153"/>
        <v>0</v>
      </c>
      <c r="AH240" s="242"/>
      <c r="AK240" s="223">
        <f t="shared" si="154"/>
        <v>23</v>
      </c>
      <c r="AL240" s="223">
        <f t="shared" si="155"/>
        <v>2026</v>
      </c>
      <c r="AS240" s="223">
        <f t="shared" si="156"/>
        <v>6</v>
      </c>
      <c r="AT240" s="223">
        <f t="shared" si="157"/>
        <v>2026</v>
      </c>
    </row>
    <row r="241" spans="2:46" ht="15.75" x14ac:dyDescent="0.25">
      <c r="B241" s="229" t="s">
        <v>544</v>
      </c>
      <c r="C241" s="235" t="s">
        <v>114</v>
      </c>
      <c r="D241" s="243">
        <v>500</v>
      </c>
      <c r="E241" s="232" t="s">
        <v>4</v>
      </c>
      <c r="F241" s="435">
        <v>2.66</v>
      </c>
      <c r="G241" s="234">
        <v>46049</v>
      </c>
      <c r="H241" s="235" t="s">
        <v>11</v>
      </c>
      <c r="I241" s="235"/>
      <c r="J241" s="440">
        <v>7.0000000000000007E-2</v>
      </c>
      <c r="K241" s="443">
        <f ca="1">ROUND(IF(ISERROR(OFFSET(Tabella!$A$1,MATCH(H241,Tabella!$A:$A,0)-1,MATCH(J241,Tabella!$A$1:$AC$1,0)-1)=TRUE),0,+OFFSET(Tabella!$A$1,MATCH(H241,Tabella!$A:$A,0)-1,MATCH(J241,Tabella!$A$1:$AC$1,0)-1)),4)</f>
        <v>1.5</v>
      </c>
      <c r="L241" s="446">
        <f ca="1">ROUND(IF(ISERROR(OFFSET(Ottone!$A$1,MATCH(H241,Ottone!$A:$A,0)-1,MATCH(J241,Ottone!$A$1:$Z$1,0)-1)=TRUE),0,OFFSET(Ottone!$A$1,MATCH(H241,Ottone!$A:$A,0)-1,MATCH(J241,Ottone!$A$1:$Z$1,0)-1))*IF(E241="Ottone",1,0),4)</f>
        <v>0</v>
      </c>
      <c r="M241" s="446">
        <f ca="1">ROUND(IF(ISERROR(OFFSET(Rame!$A$1,MATCH(H241,Rame!$A:$A,0)-1,MATCH(J241,Rame!$A$1:$AA$1,0)-1)=TRUE),0,OFFSET(Rame!$A$1,MATCH(H241,Rame!$A:$A,0)-1,MATCH(J241,Rame!$A$1:$AA$1,0)-1))*IF(E241="Rame",1,0),4)</f>
        <v>0</v>
      </c>
      <c r="N241" s="446">
        <v>0</v>
      </c>
      <c r="O241" s="446">
        <v>1.78</v>
      </c>
      <c r="P241" s="446">
        <f ca="1">ROUND(+IF(ISERROR(OFFSET(Tabella!$G$1,MATCH(H241,Tabella!$G:$G,0)-1,MATCH(I241,Tabella!$G$1:$FG$1,0)-1)=TRUE),0,OFFSET(Tabella!$G$1,MATCH(H241,Tabella!$G:$G,0)-1,MATCH(I241,Tabella!$G$1:$AB$1,0)-1)),4)</f>
        <v>0</v>
      </c>
      <c r="Q241" s="446">
        <f ca="1">ROUND(IF(ISERROR(OFFSET(Ottone!$F$1,MATCH(H241,Ottone!$A:$A,0)-1,MATCH(I241,Ottone!$F$1:$FF$1,0)-1)=TRUE),0,OFFSET(Ottone!$F$1,MATCH(H241,Ottone!$A:$A,0)-1,MATCH(I241,Ottone!$F$1:$FF$1,0)-1))*IF(E241="Ottone",1,0),4)</f>
        <v>0</v>
      </c>
      <c r="R241" s="446">
        <f ca="1">ROUND(IF(ISERROR(OFFSET(Rame!$F$1,MATCH(H241,Rame!$F:$F,0)-1,MATCH(I241,Rame!$F$1:$FF$1,0)-1)=TRUE),0,OFFSET(Rame!$F$1,MATCH(H241,Rame!$F:$F,0)-1,MATCH(I241,Rame!$F$1:$FF$1,0)-1))*IF(E241="Rame",1,0),4)</f>
        <v>0</v>
      </c>
      <c r="S241" s="446">
        <f ca="1">ROUND(IF(ISERROR(OFFSET(Bronzo!$A$1,MATCH(H241,Bronzo!$A:$A,0)-1,MATCH(I241,Bronzo!$A$1:$AA$1,0)-1)=TRUE),0,OFFSET(Bronzo!$A$1,MATCH(H241,Bronzo!$A:$A,0)-1,MATCH(I241,Bronzo!$A$1:$AA$1,0)-1)),4)</f>
        <v>0</v>
      </c>
      <c r="T241" s="446">
        <f t="shared" ca="1" si="159"/>
        <v>0</v>
      </c>
      <c r="U241" s="443"/>
      <c r="V241" s="446">
        <v>0</v>
      </c>
      <c r="W241" s="449">
        <f t="shared" ca="1" si="160"/>
        <v>1.78</v>
      </c>
      <c r="X241" s="452">
        <f t="shared" si="158"/>
        <v>35</v>
      </c>
      <c r="Y241" s="440">
        <v>4.3</v>
      </c>
      <c r="Z241" s="440">
        <f t="shared" ca="1" si="161"/>
        <v>-0.14000000000000001</v>
      </c>
      <c r="AA241" s="241">
        <v>46149</v>
      </c>
      <c r="AF241" s="225">
        <f t="shared" ca="1" si="115"/>
        <v>46156</v>
      </c>
      <c r="AG241" s="225" t="b">
        <f t="shared" si="153"/>
        <v>0</v>
      </c>
      <c r="AH241" s="242"/>
      <c r="AK241" s="223">
        <f t="shared" si="154"/>
        <v>19</v>
      </c>
      <c r="AL241" s="223">
        <f t="shared" si="155"/>
        <v>2026</v>
      </c>
      <c r="AS241" s="223">
        <f t="shared" si="156"/>
        <v>5</v>
      </c>
      <c r="AT241" s="223">
        <f t="shared" si="157"/>
        <v>2026</v>
      </c>
    </row>
    <row r="242" spans="2:46" ht="15.75" x14ac:dyDescent="0.25">
      <c r="B242" s="229" t="s">
        <v>544</v>
      </c>
      <c r="C242" s="235" t="s">
        <v>114</v>
      </c>
      <c r="D242" s="243">
        <v>1200</v>
      </c>
      <c r="E242" s="232" t="s">
        <v>4</v>
      </c>
      <c r="F242" s="435">
        <v>2.66</v>
      </c>
      <c r="G242" s="234">
        <v>46049</v>
      </c>
      <c r="H242" s="235" t="s">
        <v>243</v>
      </c>
      <c r="I242" s="235"/>
      <c r="J242" s="440">
        <v>7.0000000000000007E-2</v>
      </c>
      <c r="K242" s="443">
        <f ca="1">ROUND(IF(ISERROR(OFFSET(Tabella!$A$1,MATCH(H242,Tabella!$A:$A,0)-1,MATCH(J242,Tabella!$A$1:$AC$1,0)-1)=TRUE),0,+OFFSET(Tabella!$A$1,MATCH(H242,Tabella!$A:$A,0)-1,MATCH(J242,Tabella!$A$1:$AC$1,0)-1)),4)</f>
        <v>1.4</v>
      </c>
      <c r="L242" s="446">
        <f ca="1">ROUND(IF(ISERROR(OFFSET(Ottone!$A$1,MATCH(H242,Ottone!$A:$A,0)-1,MATCH(J242,Ottone!$A$1:$Z$1,0)-1)=TRUE),0,OFFSET(Ottone!$A$1,MATCH(H242,Ottone!$A:$A,0)-1,MATCH(J242,Ottone!$A$1:$Z$1,0)-1))*IF(E242="Ottone",1,0),4)</f>
        <v>0</v>
      </c>
      <c r="M242" s="446">
        <f ca="1">ROUND(IF(ISERROR(OFFSET(Rame!$A$1,MATCH(H242,Rame!$A:$A,0)-1,MATCH(J242,Rame!$A$1:$AA$1,0)-1)=TRUE),0,OFFSET(Rame!$A$1,MATCH(H242,Rame!$A:$A,0)-1,MATCH(J242,Rame!$A$1:$AA$1,0)-1))*IF(E242="Rame",1,0),4)</f>
        <v>0</v>
      </c>
      <c r="N242" s="446">
        <v>0</v>
      </c>
      <c r="O242" s="446">
        <v>1.73</v>
      </c>
      <c r="P242" s="446">
        <f ca="1">ROUND(+IF(ISERROR(OFFSET(Tabella!$G$1,MATCH(H242,Tabella!$G:$G,0)-1,MATCH(I242,Tabella!$G$1:$FG$1,0)-1)=TRUE),0,OFFSET(Tabella!$G$1,MATCH(H242,Tabella!$G:$G,0)-1,MATCH(I242,Tabella!$G$1:$AB$1,0)-1)),4)</f>
        <v>0</v>
      </c>
      <c r="Q242" s="446">
        <f ca="1">ROUND(IF(ISERROR(OFFSET(Ottone!$F$1,MATCH(H242,Ottone!$A:$A,0)-1,MATCH(I242,Ottone!$F$1:$FF$1,0)-1)=TRUE),0,OFFSET(Ottone!$F$1,MATCH(H242,Ottone!$A:$A,0)-1,MATCH(I242,Ottone!$F$1:$FF$1,0)-1))*IF(E242="Ottone",1,0),4)</f>
        <v>0</v>
      </c>
      <c r="R242" s="446">
        <f ca="1">ROUND(IF(ISERROR(OFFSET(Rame!$F$1,MATCH(H242,Rame!$F:$F,0)-1,MATCH(I242,Rame!$F$1:$FF$1,0)-1)=TRUE),0,OFFSET(Rame!$F$1,MATCH(H242,Rame!$F:$F,0)-1,MATCH(I242,Rame!$F$1:$FF$1,0)-1))*IF(E242="Rame",1,0),4)</f>
        <v>0</v>
      </c>
      <c r="S242" s="446">
        <f ca="1">ROUND(IF(ISERROR(OFFSET(Bronzo!$A$1,MATCH(H242,Bronzo!$A:$A,0)-1,MATCH(I242,Bronzo!$A$1:$AA$1,0)-1)=TRUE),0,OFFSET(Bronzo!$A$1,MATCH(H242,Bronzo!$A:$A,0)-1,MATCH(I242,Bronzo!$A$1:$AA$1,0)-1)),4)</f>
        <v>0</v>
      </c>
      <c r="T242" s="446">
        <f t="shared" ca="1" si="159"/>
        <v>0</v>
      </c>
      <c r="U242" s="443"/>
      <c r="V242" s="446">
        <v>0</v>
      </c>
      <c r="W242" s="449">
        <f t="shared" ca="1" si="160"/>
        <v>1.73</v>
      </c>
      <c r="X242" s="452">
        <f t="shared" si="158"/>
        <v>84</v>
      </c>
      <c r="Y242" s="440">
        <v>4.25</v>
      </c>
      <c r="Z242" s="440">
        <f t="shared" ca="1" si="161"/>
        <v>-0.14000000000000001</v>
      </c>
      <c r="AA242" s="241">
        <v>46149</v>
      </c>
      <c r="AF242" s="225">
        <f t="shared" ca="1" si="115"/>
        <v>46156</v>
      </c>
      <c r="AG242" s="225" t="b">
        <f t="shared" si="153"/>
        <v>0</v>
      </c>
      <c r="AH242" s="242"/>
      <c r="AK242" s="223">
        <f t="shared" si="154"/>
        <v>19</v>
      </c>
      <c r="AL242" s="223">
        <f t="shared" si="155"/>
        <v>2026</v>
      </c>
      <c r="AS242" s="223">
        <f t="shared" si="156"/>
        <v>5</v>
      </c>
      <c r="AT242" s="223">
        <f t="shared" si="157"/>
        <v>2026</v>
      </c>
    </row>
    <row r="243" spans="2:46" ht="15.75" x14ac:dyDescent="0.25">
      <c r="B243" s="229" t="s">
        <v>544</v>
      </c>
      <c r="C243" s="235" t="s">
        <v>114</v>
      </c>
      <c r="D243" s="243">
        <v>1000</v>
      </c>
      <c r="E243" s="232" t="s">
        <v>4</v>
      </c>
      <c r="F243" s="435">
        <v>3.02</v>
      </c>
      <c r="G243" s="234">
        <v>46132</v>
      </c>
      <c r="H243" s="235" t="s">
        <v>25</v>
      </c>
      <c r="I243" s="235"/>
      <c r="J243" s="440">
        <v>7.0000000000000007E-2</v>
      </c>
      <c r="K243" s="443">
        <f ca="1">ROUND(IF(ISERROR(OFFSET(Tabella!$A$1,MATCH(H243,Tabella!$A:$A,0)-1,MATCH(J243,Tabella!$A$1:$AC$1,0)-1)=TRUE),0,+OFFSET(Tabella!$A$1,MATCH(H243,Tabella!$A:$A,0)-1,MATCH(J243,Tabella!$A$1:$AC$1,0)-1)),4)</f>
        <v>1.25</v>
      </c>
      <c r="L243" s="446">
        <f ca="1">ROUND(IF(ISERROR(OFFSET(Ottone!$A$1,MATCH(H243,Ottone!$A:$A,0)-1,MATCH(J243,Ottone!$A$1:$Z$1,0)-1)=TRUE),0,OFFSET(Ottone!$A$1,MATCH(H243,Ottone!$A:$A,0)-1,MATCH(J243,Ottone!$A$1:$Z$1,0)-1))*IF(E243="Ottone",1,0),4)</f>
        <v>0</v>
      </c>
      <c r="M243" s="446">
        <f ca="1">ROUND(IF(ISERROR(OFFSET(Rame!$A$1,MATCH(H243,Rame!$A:$A,0)-1,MATCH(J243,Rame!$A$1:$AA$1,0)-1)=TRUE),0,OFFSET(Rame!$A$1,MATCH(H243,Rame!$A:$A,0)-1,MATCH(J243,Rame!$A$1:$AA$1,0)-1))*IF(E243="Rame",1,0),4)</f>
        <v>0</v>
      </c>
      <c r="N243" s="446">
        <v>0</v>
      </c>
      <c r="O243" s="446">
        <v>1.73</v>
      </c>
      <c r="P243" s="446">
        <f ca="1">ROUND(+IF(ISERROR(OFFSET(Tabella!$G$1,MATCH(H243,Tabella!$G:$G,0)-1,MATCH(I243,Tabella!$G$1:$FG$1,0)-1)=TRUE),0,OFFSET(Tabella!$G$1,MATCH(H243,Tabella!$G:$G,0)-1,MATCH(I243,Tabella!$G$1:$AB$1,0)-1)),4)</f>
        <v>0</v>
      </c>
      <c r="Q243" s="446">
        <f ca="1">ROUND(IF(ISERROR(OFFSET(Ottone!$F$1,MATCH(H243,Ottone!$A:$A,0)-1,MATCH(I243,Ottone!$F$1:$FF$1,0)-1)=TRUE),0,OFFSET(Ottone!$F$1,MATCH(H243,Ottone!$A:$A,0)-1,MATCH(I243,Ottone!$F$1:$FF$1,0)-1))*IF(E243="Ottone",1,0),4)</f>
        <v>0</v>
      </c>
      <c r="R243" s="446">
        <f ca="1">ROUND(IF(ISERROR(OFFSET(Rame!$F$1,MATCH(H243,Rame!$F:$F,0)-1,MATCH(I243,Rame!$F$1:$FF$1,0)-1)=TRUE),0,OFFSET(Rame!$F$1,MATCH(H243,Rame!$F:$F,0)-1,MATCH(I243,Rame!$F$1:$FF$1,0)-1))*IF(E243="Rame",1,0),4)</f>
        <v>0</v>
      </c>
      <c r="S243" s="446">
        <f ca="1">ROUND(IF(ISERROR(OFFSET(Bronzo!$A$1,MATCH(H243,Bronzo!$A:$A,0)-1,MATCH(I243,Bronzo!$A$1:$AA$1,0)-1)=TRUE),0,OFFSET(Bronzo!$A$1,MATCH(H243,Bronzo!$A:$A,0)-1,MATCH(I243,Bronzo!$A$1:$AA$1,0)-1)),4)</f>
        <v>0</v>
      </c>
      <c r="T243" s="446">
        <f t="shared" ca="1" si="159"/>
        <v>0</v>
      </c>
      <c r="U243" s="443"/>
      <c r="V243" s="446">
        <v>0</v>
      </c>
      <c r="W243" s="449">
        <f t="shared" ca="1" si="160"/>
        <v>1.73</v>
      </c>
      <c r="X243" s="452">
        <f t="shared" si="158"/>
        <v>70</v>
      </c>
      <c r="Y243" s="440">
        <v>4.75</v>
      </c>
      <c r="Z243" s="440">
        <f t="shared" ca="1" si="161"/>
        <v>0</v>
      </c>
      <c r="AA243" s="241">
        <v>46149</v>
      </c>
      <c r="AF243" s="225">
        <f t="shared" ca="1" si="115"/>
        <v>46156</v>
      </c>
      <c r="AG243" s="225" t="b">
        <f t="shared" si="153"/>
        <v>0</v>
      </c>
      <c r="AH243" s="242"/>
      <c r="AK243" s="223">
        <f t="shared" si="154"/>
        <v>19</v>
      </c>
      <c r="AL243" s="223">
        <f t="shared" si="155"/>
        <v>2026</v>
      </c>
      <c r="AS243" s="223">
        <f t="shared" si="156"/>
        <v>5</v>
      </c>
      <c r="AT243" s="223">
        <f t="shared" si="157"/>
        <v>2026</v>
      </c>
    </row>
    <row r="244" spans="2:46" ht="15.75" x14ac:dyDescent="0.25">
      <c r="B244" s="229" t="s">
        <v>546</v>
      </c>
      <c r="C244" s="235" t="s">
        <v>212</v>
      </c>
      <c r="D244" s="243">
        <v>600</v>
      </c>
      <c r="E244" s="232" t="s">
        <v>6</v>
      </c>
      <c r="F244" s="435">
        <v>11.19</v>
      </c>
      <c r="G244" s="234">
        <v>46132</v>
      </c>
      <c r="H244" s="235" t="s">
        <v>18</v>
      </c>
      <c r="I244" s="235"/>
      <c r="J244" s="440">
        <v>0.1</v>
      </c>
      <c r="K244" s="443">
        <f ca="1">ROUND(IF(ISERROR(OFFSET(Tabella!$A$1,MATCH(H244,Tabella!$A:$A,0)-1,MATCH(J244,Tabella!$A$1:$AC$1,0)-1)=TRUE),0,+OFFSET(Tabella!$A$1,MATCH(H244,Tabella!$A:$A,0)-1,MATCH(J244,Tabella!$A$1:$AC$1,0)-1)),4)</f>
        <v>0</v>
      </c>
      <c r="L244" s="446">
        <f ca="1">ROUND(IF(ISERROR(OFFSET(Ottone!$A$1,MATCH(H244,Ottone!$A:$A,0)-1,MATCH(J244,Ottone!$A$1:$Z$1,0)-1)=TRUE),0,OFFSET(Ottone!$A$1,MATCH(H244,Ottone!$A:$A,0)-1,MATCH(J244,Ottone!$A$1:$Z$1,0)-1))*IF(E244="Ottone",1,0),4)</f>
        <v>0</v>
      </c>
      <c r="M244" s="446">
        <f ca="1">ROUND(IF(ISERROR(OFFSET(Rame!$A$1,MATCH(H244,Rame!$A:$A,0)-1,MATCH(J244,Rame!$A$1:$AA$1,0)-1)=TRUE),0,OFFSET(Rame!$A$1,MATCH(H244,Rame!$A:$A,0)-1,MATCH(J244,Rame!$A$1:$AA$1,0)-1))*IF(E244="Rame",1,0),4)</f>
        <v>0.78</v>
      </c>
      <c r="N244" s="446">
        <v>0</v>
      </c>
      <c r="O244" s="446">
        <f t="shared" ref="O244:O249" ca="1" si="162">ROUND(SUM(K244:N244),4)</f>
        <v>0.78</v>
      </c>
      <c r="P244" s="446">
        <f ca="1">ROUND(+IF(ISERROR(OFFSET(Tabella!$G$1,MATCH(H244,Tabella!$G:$G,0)-1,MATCH(I244,Tabella!$G$1:$FG$1,0)-1)=TRUE),0,OFFSET(Tabella!$G$1,MATCH(H244,Tabella!$G:$G,0)-1,MATCH(I244,Tabella!$G$1:$AB$1,0)-1)),4)</f>
        <v>0</v>
      </c>
      <c r="Q244" s="446">
        <f ca="1">ROUND(IF(ISERROR(OFFSET(Ottone!$F$1,MATCH(H244,Ottone!$A:$A,0)-1,MATCH(I244,Ottone!$F$1:$FF$1,0)-1)=TRUE),0,OFFSET(Ottone!$F$1,MATCH(H244,Ottone!$A:$A,0)-1,MATCH(I244,Ottone!$F$1:$FF$1,0)-1))*IF(E244="Ottone",1,0),4)</f>
        <v>0</v>
      </c>
      <c r="R244" s="446">
        <f ca="1">ROUND(IF(ISERROR(OFFSET(Rame!$F$1,MATCH(H244,Rame!$F:$F,0)-1,MATCH(I244,Rame!$F$1:$FF$1,0)-1)=TRUE),0,OFFSET(Rame!$F$1,MATCH(H244,Rame!$F:$F,0)-1,MATCH(I244,Rame!$F$1:$FF$1,0)-1))*IF(E244="Rame",1,0),4)</f>
        <v>0</v>
      </c>
      <c r="S244" s="446">
        <f ca="1">ROUND(IF(ISERROR(OFFSET(Bronzo!$A$1,MATCH(H244,Bronzo!$A:$A,0)-1,MATCH(I244,Bronzo!$A$1:$AA$1,0)-1)=TRUE),0,OFFSET(Bronzo!$A$1,MATCH(H244,Bronzo!$A:$A,0)-1,MATCH(I244,Bronzo!$A$1:$AA$1,0)-1)),4)</f>
        <v>0</v>
      </c>
      <c r="T244" s="446">
        <f t="shared" ca="1" si="159"/>
        <v>0</v>
      </c>
      <c r="U244" s="443"/>
      <c r="V244" s="446">
        <v>0</v>
      </c>
      <c r="W244" s="449">
        <f t="shared" ca="1" si="160"/>
        <v>0.78</v>
      </c>
      <c r="X244" s="452">
        <f t="shared" si="158"/>
        <v>60</v>
      </c>
      <c r="Y244" s="440">
        <v>14.44</v>
      </c>
      <c r="Z244" s="440">
        <f t="shared" ca="1" si="161"/>
        <v>2.4700000000000002</v>
      </c>
      <c r="AA244" s="241">
        <v>46150</v>
      </c>
      <c r="AF244" s="225">
        <f t="shared" ca="1" si="115"/>
        <v>46156</v>
      </c>
      <c r="AG244" s="225" t="b">
        <f t="shared" si="153"/>
        <v>0</v>
      </c>
      <c r="AH244" s="242"/>
      <c r="AK244" s="223">
        <f t="shared" si="154"/>
        <v>19</v>
      </c>
      <c r="AL244" s="223">
        <f t="shared" si="155"/>
        <v>2026</v>
      </c>
      <c r="AS244" s="223">
        <f t="shared" si="156"/>
        <v>5</v>
      </c>
      <c r="AT244" s="223">
        <f t="shared" si="157"/>
        <v>2026</v>
      </c>
    </row>
    <row r="245" spans="2:46" ht="15.75" x14ac:dyDescent="0.25">
      <c r="B245" s="229" t="s">
        <v>546</v>
      </c>
      <c r="C245" s="235" t="s">
        <v>212</v>
      </c>
      <c r="D245" s="243">
        <v>550</v>
      </c>
      <c r="E245" s="232" t="s">
        <v>6</v>
      </c>
      <c r="F245" s="435">
        <v>11.19</v>
      </c>
      <c r="G245" s="234">
        <v>46132</v>
      </c>
      <c r="H245" s="235" t="s">
        <v>12</v>
      </c>
      <c r="I245" s="235"/>
      <c r="J245" s="440">
        <v>0.1</v>
      </c>
      <c r="K245" s="443">
        <f ca="1">ROUND(IF(ISERROR(OFFSET(Tabella!$A$1,MATCH(H245,Tabella!$A:$A,0)-1,MATCH(J245,Tabella!$A$1:$AC$1,0)-1)=TRUE),0,+OFFSET(Tabella!$A$1,MATCH(H245,Tabella!$A:$A,0)-1,MATCH(J245,Tabella!$A$1:$AC$1,0)-1)),4)</f>
        <v>0</v>
      </c>
      <c r="L245" s="446">
        <f ca="1">ROUND(IF(ISERROR(OFFSET(Ottone!$A$1,MATCH(H245,Ottone!$A:$A,0)-1,MATCH(J245,Ottone!$A$1:$Z$1,0)-1)=TRUE),0,OFFSET(Ottone!$A$1,MATCH(H245,Ottone!$A:$A,0)-1,MATCH(J245,Ottone!$A$1:$Z$1,0)-1))*IF(E245="Ottone",1,0),4)</f>
        <v>0</v>
      </c>
      <c r="M245" s="446">
        <f ca="1">ROUND(IF(ISERROR(OFFSET(Rame!$A$1,MATCH(H245,Rame!$A:$A,0)-1,MATCH(J245,Rame!$A$1:$AA$1,0)-1)=TRUE),0,OFFSET(Rame!$A$1,MATCH(H245,Rame!$A:$A,0)-1,MATCH(J245,Rame!$A$1:$AA$1,0)-1))*IF(E245="Rame",1,0),4)</f>
        <v>1.1000000000000001</v>
      </c>
      <c r="N245" s="446">
        <v>0</v>
      </c>
      <c r="O245" s="446">
        <f t="shared" ca="1" si="162"/>
        <v>1.1000000000000001</v>
      </c>
      <c r="P245" s="446">
        <f ca="1">ROUND(+IF(ISERROR(OFFSET(Tabella!$G$1,MATCH(H245,Tabella!$G:$G,0)-1,MATCH(I245,Tabella!$G$1:$FG$1,0)-1)=TRUE),0,OFFSET(Tabella!$G$1,MATCH(H245,Tabella!$G:$G,0)-1,MATCH(I245,Tabella!$G$1:$AB$1,0)-1)),4)</f>
        <v>0</v>
      </c>
      <c r="Q245" s="446">
        <f ca="1">ROUND(IF(ISERROR(OFFSET(Ottone!$F$1,MATCH(H245,Ottone!$A:$A,0)-1,MATCH(I245,Ottone!$F$1:$FF$1,0)-1)=TRUE),0,OFFSET(Ottone!$F$1,MATCH(H245,Ottone!$A:$A,0)-1,MATCH(I245,Ottone!$F$1:$FF$1,0)-1))*IF(E245="Ottone",1,0),4)</f>
        <v>0</v>
      </c>
      <c r="R245" s="446">
        <f ca="1">ROUND(IF(ISERROR(OFFSET(Rame!$F$1,MATCH(H245,Rame!$F:$F,0)-1,MATCH(I245,Rame!$F$1:$FF$1,0)-1)=TRUE),0,OFFSET(Rame!$F$1,MATCH(H245,Rame!$F:$F,0)-1,MATCH(I245,Rame!$F$1:$FF$1,0)-1))*IF(E245="Rame",1,0),4)</f>
        <v>0</v>
      </c>
      <c r="S245" s="446">
        <f ca="1">ROUND(IF(ISERROR(OFFSET(Bronzo!$A$1,MATCH(H245,Bronzo!$A:$A,0)-1,MATCH(I245,Bronzo!$A$1:$AA$1,0)-1)=TRUE),0,OFFSET(Bronzo!$A$1,MATCH(H245,Bronzo!$A:$A,0)-1,MATCH(I245,Bronzo!$A$1:$AA$1,0)-1)),4)</f>
        <v>0</v>
      </c>
      <c r="T245" s="446">
        <f t="shared" ca="1" si="159"/>
        <v>0</v>
      </c>
      <c r="U245" s="443"/>
      <c r="V245" s="446">
        <v>0</v>
      </c>
      <c r="W245" s="449">
        <f t="shared" ca="1" si="160"/>
        <v>1.1000000000000001</v>
      </c>
      <c r="X245" s="452">
        <f t="shared" si="158"/>
        <v>55</v>
      </c>
      <c r="Y245" s="440">
        <v>14.69</v>
      </c>
      <c r="Z245" s="440">
        <f t="shared" ca="1" si="161"/>
        <v>2.4</v>
      </c>
      <c r="AA245" s="241">
        <v>46150</v>
      </c>
      <c r="AF245" s="225">
        <f t="shared" ca="1" si="115"/>
        <v>46156</v>
      </c>
      <c r="AG245" s="225" t="b">
        <f t="shared" si="153"/>
        <v>0</v>
      </c>
      <c r="AH245" s="242"/>
      <c r="AK245" s="223">
        <f t="shared" si="154"/>
        <v>19</v>
      </c>
      <c r="AL245" s="223">
        <f t="shared" si="155"/>
        <v>2026</v>
      </c>
      <c r="AS245" s="223">
        <f t="shared" si="156"/>
        <v>5</v>
      </c>
      <c r="AT245" s="223">
        <f t="shared" si="157"/>
        <v>2026</v>
      </c>
    </row>
    <row r="246" spans="2:46" ht="15.75" x14ac:dyDescent="0.25">
      <c r="B246" s="229" t="s">
        <v>546</v>
      </c>
      <c r="C246" s="235" t="s">
        <v>212</v>
      </c>
      <c r="D246" s="243">
        <v>1000</v>
      </c>
      <c r="E246" s="232" t="s">
        <v>6</v>
      </c>
      <c r="F246" s="435">
        <v>11.19</v>
      </c>
      <c r="G246" s="234">
        <v>46132</v>
      </c>
      <c r="H246" s="235" t="s">
        <v>16</v>
      </c>
      <c r="I246" s="235"/>
      <c r="J246" s="440">
        <v>0.1</v>
      </c>
      <c r="K246" s="443">
        <f ca="1">ROUND(IF(ISERROR(OFFSET(Tabella!$A$1,MATCH(H246,Tabella!$A:$A,0)-1,MATCH(J246,Tabella!$A$1:$AC$1,0)-1)=TRUE),0,+OFFSET(Tabella!$A$1,MATCH(H246,Tabella!$A:$A,0)-1,MATCH(J246,Tabella!$A$1:$AC$1,0)-1)),4)</f>
        <v>0</v>
      </c>
      <c r="L246" s="446">
        <f ca="1">ROUND(IF(ISERROR(OFFSET(Ottone!$A$1,MATCH(H246,Ottone!$A:$A,0)-1,MATCH(J246,Ottone!$A$1:$Z$1,0)-1)=TRUE),0,OFFSET(Ottone!$A$1,MATCH(H246,Ottone!$A:$A,0)-1,MATCH(J246,Ottone!$A$1:$Z$1,0)-1))*IF(E246="Ottone",1,0),4)</f>
        <v>0</v>
      </c>
      <c r="M246" s="446">
        <f ca="1">ROUND(IF(ISERROR(OFFSET(Rame!$A$1,MATCH(H246,Rame!$A:$A,0)-1,MATCH(J246,Rame!$A$1:$AA$1,0)-1)=TRUE),0,OFFSET(Rame!$A$1,MATCH(H246,Rame!$A:$A,0)-1,MATCH(J246,Rame!$A$1:$AA$1,0)-1))*IF(E246="Rame",1,0),4)</f>
        <v>0.82</v>
      </c>
      <c r="N246" s="446">
        <v>0</v>
      </c>
      <c r="O246" s="446">
        <f t="shared" ca="1" si="162"/>
        <v>0.82</v>
      </c>
      <c r="P246" s="446">
        <f ca="1">ROUND(+IF(ISERROR(OFFSET(Tabella!$G$1,MATCH(H246,Tabella!$G:$G,0)-1,MATCH(I246,Tabella!$G$1:$FG$1,0)-1)=TRUE),0,OFFSET(Tabella!$G$1,MATCH(H246,Tabella!$G:$G,0)-1,MATCH(I246,Tabella!$G$1:$AB$1,0)-1)),4)</f>
        <v>0</v>
      </c>
      <c r="Q246" s="446">
        <f ca="1">ROUND(IF(ISERROR(OFFSET(Ottone!$F$1,MATCH(H246,Ottone!$A:$A,0)-1,MATCH(I246,Ottone!$F$1:$FF$1,0)-1)=TRUE),0,OFFSET(Ottone!$F$1,MATCH(H246,Ottone!$A:$A,0)-1,MATCH(I246,Ottone!$F$1:$FF$1,0)-1))*IF(E246="Ottone",1,0),4)</f>
        <v>0</v>
      </c>
      <c r="R246" s="446">
        <f ca="1">ROUND(IF(ISERROR(OFFSET(Rame!$F$1,MATCH(H246,Rame!$F:$F,0)-1,MATCH(I246,Rame!$F$1:$FF$1,0)-1)=TRUE),0,OFFSET(Rame!$F$1,MATCH(H246,Rame!$F:$F,0)-1,MATCH(I246,Rame!$F$1:$FF$1,0)-1))*IF(E246="Rame",1,0),4)</f>
        <v>0</v>
      </c>
      <c r="S246" s="446">
        <f ca="1">ROUND(IF(ISERROR(OFFSET(Bronzo!$A$1,MATCH(H246,Bronzo!$A:$A,0)-1,MATCH(I246,Bronzo!$A$1:$AA$1,0)-1)=TRUE),0,OFFSET(Bronzo!$A$1,MATCH(H246,Bronzo!$A:$A,0)-1,MATCH(I246,Bronzo!$A$1:$AA$1,0)-1)),4)</f>
        <v>0</v>
      </c>
      <c r="T246" s="446">
        <f t="shared" ca="1" si="159"/>
        <v>0</v>
      </c>
      <c r="U246" s="443"/>
      <c r="V246" s="446">
        <v>0</v>
      </c>
      <c r="W246" s="449">
        <f t="shared" ca="1" si="160"/>
        <v>0.82</v>
      </c>
      <c r="X246" s="452">
        <f t="shared" si="158"/>
        <v>100</v>
      </c>
      <c r="Y246" s="440">
        <v>14.49</v>
      </c>
      <c r="Z246" s="440">
        <f t="shared" ca="1" si="161"/>
        <v>2.48</v>
      </c>
      <c r="AA246" s="241">
        <v>46150</v>
      </c>
      <c r="AF246" s="225">
        <f t="shared" ca="1" si="115"/>
        <v>46156</v>
      </c>
      <c r="AG246" s="225" t="b">
        <f t="shared" si="153"/>
        <v>0</v>
      </c>
      <c r="AH246" s="242"/>
      <c r="AK246" s="223">
        <f t="shared" si="154"/>
        <v>19</v>
      </c>
      <c r="AL246" s="223">
        <f t="shared" si="155"/>
        <v>2026</v>
      </c>
      <c r="AS246" s="223">
        <f t="shared" si="156"/>
        <v>5</v>
      </c>
      <c r="AT246" s="223">
        <f t="shared" si="157"/>
        <v>2026</v>
      </c>
    </row>
    <row r="247" spans="2:46" ht="15.75" x14ac:dyDescent="0.25">
      <c r="B247" s="229" t="s">
        <v>546</v>
      </c>
      <c r="C247" s="235" t="s">
        <v>212</v>
      </c>
      <c r="D247" s="243">
        <v>2300</v>
      </c>
      <c r="E247" s="232" t="s">
        <v>6</v>
      </c>
      <c r="F247" s="435">
        <v>11.19</v>
      </c>
      <c r="G247" s="234">
        <v>46132</v>
      </c>
      <c r="H247" s="235" t="s">
        <v>18</v>
      </c>
      <c r="I247" s="235"/>
      <c r="J247" s="440">
        <v>0.1</v>
      </c>
      <c r="K247" s="443">
        <f ca="1">ROUND(IF(ISERROR(OFFSET(Tabella!$A$1,MATCH(H247,Tabella!$A:$A,0)-1,MATCH(J247,Tabella!$A$1:$AC$1,0)-1)=TRUE),0,+OFFSET(Tabella!$A$1,MATCH(H247,Tabella!$A:$A,0)-1,MATCH(J247,Tabella!$A$1:$AC$1,0)-1)),4)</f>
        <v>0</v>
      </c>
      <c r="L247" s="446">
        <f ca="1">ROUND(IF(ISERROR(OFFSET(Ottone!$A$1,MATCH(H247,Ottone!$A:$A,0)-1,MATCH(J247,Ottone!$A$1:$Z$1,0)-1)=TRUE),0,OFFSET(Ottone!$A$1,MATCH(H247,Ottone!$A:$A,0)-1,MATCH(J247,Ottone!$A$1:$Z$1,0)-1))*IF(E247="Ottone",1,0),4)</f>
        <v>0</v>
      </c>
      <c r="M247" s="446">
        <f ca="1">ROUND(IF(ISERROR(OFFSET(Rame!$A$1,MATCH(H247,Rame!$A:$A,0)-1,MATCH(J247,Rame!$A$1:$AA$1,0)-1)=TRUE),0,OFFSET(Rame!$A$1,MATCH(H247,Rame!$A:$A,0)-1,MATCH(J247,Rame!$A$1:$AA$1,0)-1))*IF(E247="Rame",1,0),4)</f>
        <v>0.78</v>
      </c>
      <c r="N247" s="446">
        <v>0</v>
      </c>
      <c r="O247" s="446">
        <f t="shared" ca="1" si="162"/>
        <v>0.78</v>
      </c>
      <c r="P247" s="446">
        <f ca="1">ROUND(+IF(ISERROR(OFFSET(Tabella!$G$1,MATCH(H247,Tabella!$G:$G,0)-1,MATCH(I247,Tabella!$G$1:$FG$1,0)-1)=TRUE),0,OFFSET(Tabella!$G$1,MATCH(H247,Tabella!$G:$G,0)-1,MATCH(I247,Tabella!$G$1:$AB$1,0)-1)),4)</f>
        <v>0</v>
      </c>
      <c r="Q247" s="446">
        <f ca="1">ROUND(IF(ISERROR(OFFSET(Ottone!$F$1,MATCH(H247,Ottone!$A:$A,0)-1,MATCH(I247,Ottone!$F$1:$FF$1,0)-1)=TRUE),0,OFFSET(Ottone!$F$1,MATCH(H247,Ottone!$A:$A,0)-1,MATCH(I247,Ottone!$F$1:$FF$1,0)-1))*IF(E247="Ottone",1,0),4)</f>
        <v>0</v>
      </c>
      <c r="R247" s="446">
        <f ca="1">ROUND(IF(ISERROR(OFFSET(Rame!$F$1,MATCH(H247,Rame!$F:$F,0)-1,MATCH(I247,Rame!$F$1:$FF$1,0)-1)=TRUE),0,OFFSET(Rame!$F$1,MATCH(H247,Rame!$F:$F,0)-1,MATCH(I247,Rame!$F$1:$FF$1,0)-1))*IF(E247="Rame",1,0),4)</f>
        <v>0</v>
      </c>
      <c r="S247" s="446">
        <f ca="1">ROUND(IF(ISERROR(OFFSET(Bronzo!$A$1,MATCH(H247,Bronzo!$A:$A,0)-1,MATCH(I247,Bronzo!$A$1:$AA$1,0)-1)=TRUE),0,OFFSET(Bronzo!$A$1,MATCH(H247,Bronzo!$A:$A,0)-1,MATCH(I247,Bronzo!$A$1:$AA$1,0)-1)),4)</f>
        <v>0</v>
      </c>
      <c r="T247" s="446">
        <f t="shared" ca="1" si="159"/>
        <v>0</v>
      </c>
      <c r="U247" s="443"/>
      <c r="V247" s="446">
        <v>0</v>
      </c>
      <c r="W247" s="449">
        <f t="shared" ca="1" si="160"/>
        <v>0.78</v>
      </c>
      <c r="X247" s="452">
        <f t="shared" si="158"/>
        <v>230</v>
      </c>
      <c r="Y247" s="440">
        <v>14.49</v>
      </c>
      <c r="Z247" s="440">
        <f t="shared" ca="1" si="161"/>
        <v>2.52</v>
      </c>
      <c r="AA247" s="241">
        <v>46150</v>
      </c>
      <c r="AF247" s="225">
        <f t="shared" ca="1" si="115"/>
        <v>46156</v>
      </c>
      <c r="AG247" s="225" t="b">
        <f t="shared" si="153"/>
        <v>0</v>
      </c>
      <c r="AH247" s="242"/>
      <c r="AK247" s="223">
        <f t="shared" si="154"/>
        <v>19</v>
      </c>
      <c r="AL247" s="223">
        <f t="shared" si="155"/>
        <v>2026</v>
      </c>
      <c r="AS247" s="223">
        <f t="shared" si="156"/>
        <v>5</v>
      </c>
      <c r="AT247" s="223">
        <f t="shared" si="157"/>
        <v>2026</v>
      </c>
    </row>
    <row r="248" spans="2:46" ht="15.75" x14ac:dyDescent="0.25">
      <c r="B248" s="229" t="s">
        <v>545</v>
      </c>
      <c r="C248" s="235" t="s">
        <v>212</v>
      </c>
      <c r="D248" s="243">
        <v>500</v>
      </c>
      <c r="E248" s="232" t="s">
        <v>6</v>
      </c>
      <c r="F248" s="435">
        <v>11.19</v>
      </c>
      <c r="G248" s="234">
        <v>46132</v>
      </c>
      <c r="H248" s="235" t="s">
        <v>18</v>
      </c>
      <c r="I248" s="235"/>
      <c r="J248" s="440">
        <v>0.1</v>
      </c>
      <c r="K248" s="443">
        <f ca="1">ROUND(IF(ISERROR(OFFSET(Tabella!$A$1,MATCH(H248,Tabella!$A:$A,0)-1,MATCH(J248,Tabella!$A$1:$AC$1,0)-1)=TRUE),0,+OFFSET(Tabella!$A$1,MATCH(H248,Tabella!$A:$A,0)-1,MATCH(J248,Tabella!$A$1:$AC$1,0)-1)),4)</f>
        <v>0</v>
      </c>
      <c r="L248" s="446">
        <f ca="1">ROUND(IF(ISERROR(OFFSET(Ottone!$A$1,MATCH(H248,Ottone!$A:$A,0)-1,MATCH(J248,Ottone!$A$1:$Z$1,0)-1)=TRUE),0,OFFSET(Ottone!$A$1,MATCH(H248,Ottone!$A:$A,0)-1,MATCH(J248,Ottone!$A$1:$Z$1,0)-1))*IF(E248="Ottone",1,0),4)</f>
        <v>0</v>
      </c>
      <c r="M248" s="446">
        <f ca="1">ROUND(IF(ISERROR(OFFSET(Rame!$A$1,MATCH(H248,Rame!$A:$A,0)-1,MATCH(J248,Rame!$A$1:$AA$1,0)-1)=TRUE),0,OFFSET(Rame!$A$1,MATCH(H248,Rame!$A:$A,0)-1,MATCH(J248,Rame!$A$1:$AA$1,0)-1))*IF(E248="Rame",1,0),4)</f>
        <v>0.78</v>
      </c>
      <c r="N248" s="446">
        <v>0</v>
      </c>
      <c r="O248" s="446">
        <f t="shared" ca="1" si="162"/>
        <v>0.78</v>
      </c>
      <c r="P248" s="446">
        <f ca="1">ROUND(+IF(ISERROR(OFFSET(Tabella!$G$1,MATCH(H248,Tabella!$G:$G,0)-1,MATCH(I248,Tabella!$G$1:$FG$1,0)-1)=TRUE),0,OFFSET(Tabella!$G$1,MATCH(H248,Tabella!$G:$G,0)-1,MATCH(I248,Tabella!$G$1:$AB$1,0)-1)),4)</f>
        <v>0</v>
      </c>
      <c r="Q248" s="446">
        <f ca="1">ROUND(IF(ISERROR(OFFSET(Ottone!$F$1,MATCH(H248,Ottone!$A:$A,0)-1,MATCH(I248,Ottone!$F$1:$FF$1,0)-1)=TRUE),0,OFFSET(Ottone!$F$1,MATCH(H248,Ottone!$A:$A,0)-1,MATCH(I248,Ottone!$F$1:$FF$1,0)-1))*IF(E248="Ottone",1,0),4)</f>
        <v>0</v>
      </c>
      <c r="R248" s="446">
        <f ca="1">ROUND(IF(ISERROR(OFFSET(Rame!$F$1,MATCH(H248,Rame!$F:$F,0)-1,MATCH(I248,Rame!$F$1:$FF$1,0)-1)=TRUE),0,OFFSET(Rame!$F$1,MATCH(H248,Rame!$F:$F,0)-1,MATCH(I248,Rame!$F$1:$FF$1,0)-1))*IF(E248="Rame",1,0),4)</f>
        <v>0</v>
      </c>
      <c r="S248" s="446">
        <f ca="1">ROUND(IF(ISERROR(OFFSET(Bronzo!$A$1,MATCH(H248,Bronzo!$A:$A,0)-1,MATCH(I248,Bronzo!$A$1:$AA$1,0)-1)=TRUE),0,OFFSET(Bronzo!$A$1,MATCH(H248,Bronzo!$A:$A,0)-1,MATCH(I248,Bronzo!$A$1:$AA$1,0)-1)),4)</f>
        <v>0</v>
      </c>
      <c r="T248" s="446">
        <f t="shared" ca="1" si="159"/>
        <v>0</v>
      </c>
      <c r="U248" s="443"/>
      <c r="V248" s="446">
        <v>0</v>
      </c>
      <c r="W248" s="449">
        <f t="shared" ca="1" si="160"/>
        <v>0.78</v>
      </c>
      <c r="X248" s="452">
        <f t="shared" si="158"/>
        <v>50</v>
      </c>
      <c r="Y248" s="440">
        <v>14.64</v>
      </c>
      <c r="Z248" s="440">
        <f t="shared" ca="1" si="161"/>
        <v>2.67</v>
      </c>
      <c r="AA248" s="241">
        <v>46154</v>
      </c>
      <c r="AF248" s="225">
        <f t="shared" ca="1" si="115"/>
        <v>46156</v>
      </c>
      <c r="AG248" s="225" t="b">
        <f t="shared" si="153"/>
        <v>0</v>
      </c>
      <c r="AH248" s="242"/>
      <c r="AK248" s="223">
        <f t="shared" si="154"/>
        <v>20</v>
      </c>
      <c r="AL248" s="223">
        <f t="shared" si="155"/>
        <v>2026</v>
      </c>
      <c r="AS248" s="223">
        <f t="shared" si="156"/>
        <v>5</v>
      </c>
      <c r="AT248" s="223">
        <f t="shared" si="157"/>
        <v>2026</v>
      </c>
    </row>
    <row r="249" spans="2:46" ht="15.75" x14ac:dyDescent="0.25">
      <c r="B249" s="229" t="s">
        <v>545</v>
      </c>
      <c r="C249" s="235" t="s">
        <v>212</v>
      </c>
      <c r="D249" s="243">
        <v>300</v>
      </c>
      <c r="E249" s="232" t="s">
        <v>6</v>
      </c>
      <c r="F249" s="435">
        <v>11.19</v>
      </c>
      <c r="G249" s="234">
        <v>46132</v>
      </c>
      <c r="H249" s="235" t="s">
        <v>18</v>
      </c>
      <c r="I249" s="235"/>
      <c r="J249" s="440">
        <v>0.1</v>
      </c>
      <c r="K249" s="443">
        <f ca="1">ROUND(IF(ISERROR(OFFSET(Tabella!$A$1,MATCH(H249,Tabella!$A:$A,0)-1,MATCH(J249,Tabella!$A$1:$AC$1,0)-1)=TRUE),0,+OFFSET(Tabella!$A$1,MATCH(H249,Tabella!$A:$A,0)-1,MATCH(J249,Tabella!$A$1:$AC$1,0)-1)),4)</f>
        <v>0</v>
      </c>
      <c r="L249" s="446">
        <f ca="1">ROUND(IF(ISERROR(OFFSET(Ottone!$A$1,MATCH(H249,Ottone!$A:$A,0)-1,MATCH(J249,Ottone!$A$1:$Z$1,0)-1)=TRUE),0,OFFSET(Ottone!$A$1,MATCH(H249,Ottone!$A:$A,0)-1,MATCH(J249,Ottone!$A$1:$Z$1,0)-1))*IF(E249="Ottone",1,0),4)</f>
        <v>0</v>
      </c>
      <c r="M249" s="446">
        <f ca="1">ROUND(IF(ISERROR(OFFSET(Rame!$A$1,MATCH(H249,Rame!$A:$A,0)-1,MATCH(J249,Rame!$A$1:$AA$1,0)-1)=TRUE),0,OFFSET(Rame!$A$1,MATCH(H249,Rame!$A:$A,0)-1,MATCH(J249,Rame!$A$1:$AA$1,0)-1))*IF(E249="Rame",1,0),4)</f>
        <v>0.78</v>
      </c>
      <c r="N249" s="446">
        <v>0</v>
      </c>
      <c r="O249" s="446">
        <f t="shared" ca="1" si="162"/>
        <v>0.78</v>
      </c>
      <c r="P249" s="446">
        <f ca="1">ROUND(+IF(ISERROR(OFFSET(Tabella!$G$1,MATCH(H249,Tabella!$G:$G,0)-1,MATCH(I249,Tabella!$G$1:$FG$1,0)-1)=TRUE),0,OFFSET(Tabella!$G$1,MATCH(H249,Tabella!$G:$G,0)-1,MATCH(I249,Tabella!$G$1:$AB$1,0)-1)),4)</f>
        <v>0</v>
      </c>
      <c r="Q249" s="446">
        <f ca="1">ROUND(IF(ISERROR(OFFSET(Ottone!$F$1,MATCH(H249,Ottone!$A:$A,0)-1,MATCH(I249,Ottone!$F$1:$FF$1,0)-1)=TRUE),0,OFFSET(Ottone!$F$1,MATCH(H249,Ottone!$A:$A,0)-1,MATCH(I249,Ottone!$F$1:$FF$1,0)-1))*IF(E249="Ottone",1,0),4)</f>
        <v>0</v>
      </c>
      <c r="R249" s="446">
        <f ca="1">ROUND(IF(ISERROR(OFFSET(Rame!$F$1,MATCH(H249,Rame!$F:$F,0)-1,MATCH(I249,Rame!$F$1:$FF$1,0)-1)=TRUE),0,OFFSET(Rame!$F$1,MATCH(H249,Rame!$F:$F,0)-1,MATCH(I249,Rame!$F$1:$FF$1,0)-1))*IF(E249="Rame",1,0),4)</f>
        <v>0</v>
      </c>
      <c r="S249" s="446">
        <f ca="1">ROUND(IF(ISERROR(OFFSET(Bronzo!$A$1,MATCH(H249,Bronzo!$A:$A,0)-1,MATCH(I249,Bronzo!$A$1:$AA$1,0)-1)=TRUE),0,OFFSET(Bronzo!$A$1,MATCH(H249,Bronzo!$A:$A,0)-1,MATCH(I249,Bronzo!$A$1:$AA$1,0)-1)),4)</f>
        <v>0</v>
      </c>
      <c r="T249" s="446">
        <f t="shared" ca="1" si="159"/>
        <v>0</v>
      </c>
      <c r="U249" s="443"/>
      <c r="V249" s="446">
        <v>0</v>
      </c>
      <c r="W249" s="449">
        <f t="shared" ca="1" si="160"/>
        <v>0.78</v>
      </c>
      <c r="X249" s="452">
        <f t="shared" si="158"/>
        <v>30</v>
      </c>
      <c r="Y249" s="440">
        <v>14.64</v>
      </c>
      <c r="Z249" s="440">
        <f t="shared" ca="1" si="161"/>
        <v>2.67</v>
      </c>
      <c r="AA249" s="241">
        <v>46154</v>
      </c>
      <c r="AF249" s="225">
        <f t="shared" ca="1" si="115"/>
        <v>46156</v>
      </c>
      <c r="AG249" s="225" t="b">
        <f t="shared" si="153"/>
        <v>0</v>
      </c>
      <c r="AH249" s="242"/>
      <c r="AK249" s="223">
        <f t="shared" si="154"/>
        <v>20</v>
      </c>
      <c r="AL249" s="223">
        <f t="shared" si="155"/>
        <v>2026</v>
      </c>
      <c r="AS249" s="223">
        <f t="shared" si="156"/>
        <v>5</v>
      </c>
      <c r="AT249" s="223">
        <f t="shared" si="157"/>
        <v>2026</v>
      </c>
    </row>
    <row r="250" spans="2:46" ht="15.75" x14ac:dyDescent="0.25">
      <c r="B250" s="229" t="s">
        <v>636</v>
      </c>
      <c r="C250" s="409" t="s">
        <v>498</v>
      </c>
      <c r="D250" s="410">
        <v>3732</v>
      </c>
      <c r="E250" s="232" t="s">
        <v>4</v>
      </c>
      <c r="F250" s="435">
        <v>2.62</v>
      </c>
      <c r="G250" s="234">
        <v>46080</v>
      </c>
      <c r="H250" s="235" t="s">
        <v>15</v>
      </c>
      <c r="I250" s="235"/>
      <c r="J250" s="440">
        <v>7.0000000000000007E-2</v>
      </c>
      <c r="K250" s="443">
        <f ca="1">ROUND(IF(ISERROR(OFFSET(Tabella!$A$1,MATCH(H250,Tabella!$A:$A,0)-1,MATCH(J250,Tabella!$A$1:$AC$1,0)-1)=TRUE),0,+OFFSET(Tabella!$A$1,MATCH(H250,Tabella!$A:$A,0)-1,MATCH(J250,Tabella!$A$1:$AC$1,0)-1)),4)</f>
        <v>1.4</v>
      </c>
      <c r="L250" s="446">
        <f ca="1">ROUND(IF(ISERROR(OFFSET(Ottone!$A$1,MATCH(H250,Ottone!$A:$A,0)-1,MATCH(J250,Ottone!$A$1:$Z$1,0)-1)=TRUE),0,OFFSET(Ottone!$A$1,MATCH(H250,Ottone!$A:$A,0)-1,MATCH(J250,Ottone!$A$1:$Z$1,0)-1))*IF(E250="Ottone",1,0),4)</f>
        <v>0</v>
      </c>
      <c r="M250" s="446">
        <f ca="1">ROUND(IF(ISERROR(OFFSET(Rame!$A$1,MATCH(H250,Rame!$A:$A,0)-1,MATCH(J250,Rame!$A$1:$AA$1,0)-1)=TRUE),0,OFFSET(Rame!$A$1,MATCH(H250,Rame!$A:$A,0)-1,MATCH(J250,Rame!$A$1:$AA$1,0)-1))*IF(E250="Rame",1,0),4)</f>
        <v>0</v>
      </c>
      <c r="N250" s="446">
        <v>0</v>
      </c>
      <c r="O250" s="446">
        <v>1.75</v>
      </c>
      <c r="P250" s="446">
        <f ca="1">ROUND(+IF(ISERROR(OFFSET(Tabella!$G$1,MATCH(H250,Tabella!$G:$G,0)-1,MATCH(I250,Tabella!$G$1:$FG$1,0)-1)=TRUE),0,OFFSET(Tabella!$G$1,MATCH(H250,Tabella!$G:$G,0)-1,MATCH(I250,Tabella!$G$1:$AB$1,0)-1)),4)</f>
        <v>0</v>
      </c>
      <c r="Q250" s="446">
        <f ca="1">ROUND(IF(ISERROR(OFFSET(Ottone!$F$1,MATCH(H250,Ottone!$A:$A,0)-1,MATCH(I250,Ottone!$F$1:$FF$1,0)-1)=TRUE),0,OFFSET(Ottone!$F$1,MATCH(H250,Ottone!$A:$A,0)-1,MATCH(I250,Ottone!$F$1:$FF$1,0)-1))*IF(E250="Ottone",1,0),4)</f>
        <v>0</v>
      </c>
      <c r="R250" s="446">
        <f ca="1">ROUND(IF(ISERROR(OFFSET(Rame!$F$1,MATCH(H250,Rame!$F:$F,0)-1,MATCH(I250,Rame!$F$1:$FF$1,0)-1)=TRUE),0,OFFSET(Rame!$F$1,MATCH(H250,Rame!$F:$F,0)-1,MATCH(I250,Rame!$F$1:$FF$1,0)-1))*IF(E250="Rame",1,0),4)</f>
        <v>0</v>
      </c>
      <c r="S250" s="446">
        <f ca="1">ROUND(IF(ISERROR(OFFSET(Bronzo!$A$1,MATCH(H250,Bronzo!$A:$A,0)-1,MATCH(I250,Bronzo!$A$1:$AA$1,0)-1)=TRUE),0,OFFSET(Bronzo!$A$1,MATCH(H250,Bronzo!$A:$A,0)-1,MATCH(I250,Bronzo!$A$1:$AA$1,0)-1)),4)</f>
        <v>0</v>
      </c>
      <c r="T250" s="446">
        <f t="shared" ca="1" si="159"/>
        <v>0</v>
      </c>
      <c r="U250" s="443"/>
      <c r="V250" s="446">
        <v>0</v>
      </c>
      <c r="W250" s="449">
        <f t="shared" ca="1" si="160"/>
        <v>1.75</v>
      </c>
      <c r="X250" s="457">
        <f t="shared" si="158"/>
        <v>261.24</v>
      </c>
      <c r="Y250" s="440">
        <v>4.25</v>
      </c>
      <c r="Z250" s="440">
        <f t="shared" ca="1" si="161"/>
        <v>-0.12</v>
      </c>
      <c r="AA250" s="241"/>
      <c r="AD250" s="223" t="s">
        <v>403</v>
      </c>
      <c r="AF250" s="225">
        <f t="shared" ca="1" si="115"/>
        <v>46156</v>
      </c>
      <c r="AG250" s="225" t="b">
        <f t="shared" si="153"/>
        <v>1</v>
      </c>
      <c r="AH250" s="242"/>
      <c r="AK250" s="223">
        <f t="shared" si="154"/>
        <v>0</v>
      </c>
      <c r="AL250" s="223">
        <f t="shared" si="155"/>
        <v>1900</v>
      </c>
      <c r="AS250" s="223">
        <f t="shared" si="156"/>
        <v>0</v>
      </c>
      <c r="AT250" s="223">
        <f t="shared" si="157"/>
        <v>0</v>
      </c>
    </row>
    <row r="251" spans="2:46" ht="15.75" x14ac:dyDescent="0.25">
      <c r="B251" s="229" t="s">
        <v>636</v>
      </c>
      <c r="C251" s="409" t="s">
        <v>498</v>
      </c>
      <c r="D251" s="410">
        <v>3965</v>
      </c>
      <c r="E251" s="232" t="s">
        <v>4</v>
      </c>
      <c r="F251" s="435">
        <v>2.62</v>
      </c>
      <c r="G251" s="234">
        <v>46080</v>
      </c>
      <c r="H251" s="235" t="s">
        <v>17</v>
      </c>
      <c r="I251" s="235"/>
      <c r="J251" s="440">
        <v>7.0000000000000007E-2</v>
      </c>
      <c r="K251" s="443">
        <f ca="1">ROUND(IF(ISERROR(OFFSET(Tabella!$A$1,MATCH(H251,Tabella!$A:$A,0)-1,MATCH(J251,Tabella!$A$1:$AC$1,0)-1)=TRUE),0,+OFFSET(Tabella!$A$1,MATCH(H251,Tabella!$A:$A,0)-1,MATCH(J251,Tabella!$A$1:$AC$1,0)-1)),4)</f>
        <v>1.4</v>
      </c>
      <c r="L251" s="446">
        <f ca="1">ROUND(IF(ISERROR(OFFSET(Ottone!$A$1,MATCH(H251,Ottone!$A:$A,0)-1,MATCH(J251,Ottone!$A$1:$Z$1,0)-1)=TRUE),0,OFFSET(Ottone!$A$1,MATCH(H251,Ottone!$A:$A,0)-1,MATCH(J251,Ottone!$A$1:$Z$1,0)-1))*IF(E251="Ottone",1,0),4)</f>
        <v>0</v>
      </c>
      <c r="M251" s="446">
        <f ca="1">ROUND(IF(ISERROR(OFFSET(Rame!$A$1,MATCH(H251,Rame!$A:$A,0)-1,MATCH(J251,Rame!$A$1:$AA$1,0)-1)=TRUE),0,OFFSET(Rame!$A$1,MATCH(H251,Rame!$A:$A,0)-1,MATCH(J251,Rame!$A$1:$AA$1,0)-1))*IF(E251="Rame",1,0),4)</f>
        <v>0</v>
      </c>
      <c r="N251" s="446">
        <v>0</v>
      </c>
      <c r="O251" s="446">
        <v>1.6</v>
      </c>
      <c r="P251" s="446">
        <f ca="1">ROUND(+IF(ISERROR(OFFSET(Tabella!$G$1,MATCH(H251,Tabella!$G:$G,0)-1,MATCH(I251,Tabella!$G$1:$FG$1,0)-1)=TRUE),0,OFFSET(Tabella!$G$1,MATCH(H251,Tabella!$G:$G,0)-1,MATCH(I251,Tabella!$G$1:$AB$1,0)-1)),4)</f>
        <v>0</v>
      </c>
      <c r="Q251" s="446">
        <f ca="1">ROUND(IF(ISERROR(OFFSET(Ottone!$F$1,MATCH(H251,Ottone!$A:$A,0)-1,MATCH(I251,Ottone!$F$1:$FF$1,0)-1)=TRUE),0,OFFSET(Ottone!$F$1,MATCH(H251,Ottone!$A:$A,0)-1,MATCH(I251,Ottone!$F$1:$FF$1,0)-1))*IF(E251="Ottone",1,0),4)</f>
        <v>0</v>
      </c>
      <c r="R251" s="446">
        <f ca="1">ROUND(IF(ISERROR(OFFSET(Rame!$F$1,MATCH(H251,Rame!$F:$F,0)-1,MATCH(I251,Rame!$F$1:$FF$1,0)-1)=TRUE),0,OFFSET(Rame!$F$1,MATCH(H251,Rame!$F:$F,0)-1,MATCH(I251,Rame!$F$1:$FF$1,0)-1))*IF(E251="Rame",1,0),4)</f>
        <v>0</v>
      </c>
      <c r="S251" s="446">
        <f ca="1">ROUND(IF(ISERROR(OFFSET(Bronzo!$A$1,MATCH(H251,Bronzo!$A:$A,0)-1,MATCH(I251,Bronzo!$A$1:$AA$1,0)-1)=TRUE),0,OFFSET(Bronzo!$A$1,MATCH(H251,Bronzo!$A:$A,0)-1,MATCH(I251,Bronzo!$A$1:$AA$1,0)-1)),4)</f>
        <v>0</v>
      </c>
      <c r="T251" s="446">
        <f t="shared" ca="1" si="159"/>
        <v>0</v>
      </c>
      <c r="U251" s="443"/>
      <c r="V251" s="446">
        <v>0</v>
      </c>
      <c r="W251" s="449">
        <f t="shared" ca="1" si="160"/>
        <v>1.6</v>
      </c>
      <c r="X251" s="457">
        <f t="shared" si="158"/>
        <v>277.55</v>
      </c>
      <c r="Y251" s="440">
        <v>4.2</v>
      </c>
      <c r="Z251" s="440">
        <f t="shared" ca="1" si="161"/>
        <v>-0.02</v>
      </c>
      <c r="AA251" s="241"/>
      <c r="AD251" s="223" t="s">
        <v>403</v>
      </c>
      <c r="AF251" s="225">
        <f t="shared" ca="1" si="115"/>
        <v>46156</v>
      </c>
      <c r="AG251" s="225" t="b">
        <f t="shared" si="153"/>
        <v>1</v>
      </c>
      <c r="AH251" s="242"/>
      <c r="AK251" s="223">
        <f t="shared" si="154"/>
        <v>0</v>
      </c>
      <c r="AL251" s="223">
        <f t="shared" si="155"/>
        <v>1900</v>
      </c>
      <c r="AS251" s="223">
        <f t="shared" si="156"/>
        <v>0</v>
      </c>
      <c r="AT251" s="223">
        <f t="shared" si="157"/>
        <v>0</v>
      </c>
    </row>
    <row r="252" spans="2:46" ht="15.75" x14ac:dyDescent="0.25">
      <c r="B252" s="229" t="s">
        <v>636</v>
      </c>
      <c r="C252" s="409" t="s">
        <v>498</v>
      </c>
      <c r="D252" s="410">
        <v>1983</v>
      </c>
      <c r="E252" s="232" t="s">
        <v>4</v>
      </c>
      <c r="F252" s="435">
        <v>2.62</v>
      </c>
      <c r="G252" s="234">
        <v>46080</v>
      </c>
      <c r="H252" s="235" t="s">
        <v>21</v>
      </c>
      <c r="I252" s="235"/>
      <c r="J252" s="440">
        <v>7.0000000000000007E-2</v>
      </c>
      <c r="K252" s="443">
        <f ca="1">ROUND(IF(ISERROR(OFFSET(Tabella!$A$1,MATCH(H252,Tabella!$A:$A,0)-1,MATCH(J252,Tabella!$A$1:$AC$1,0)-1)=TRUE),0,+OFFSET(Tabella!$A$1,MATCH(H252,Tabella!$A:$A,0)-1,MATCH(J252,Tabella!$A$1:$AC$1,0)-1)),4)</f>
        <v>1.25</v>
      </c>
      <c r="L252" s="446">
        <f ca="1">ROUND(IF(ISERROR(OFFSET(Ottone!$A$1,MATCH(H252,Ottone!$A:$A,0)-1,MATCH(J252,Ottone!$A$1:$Z$1,0)-1)=TRUE),0,OFFSET(Ottone!$A$1,MATCH(H252,Ottone!$A:$A,0)-1,MATCH(J252,Ottone!$A$1:$Z$1,0)-1))*IF(E252="Ottone",1,0),4)</f>
        <v>0</v>
      </c>
      <c r="M252" s="446">
        <f ca="1">ROUND(IF(ISERROR(OFFSET(Rame!$A$1,MATCH(H252,Rame!$A:$A,0)-1,MATCH(J252,Rame!$A$1:$AA$1,0)-1)=TRUE),0,OFFSET(Rame!$A$1,MATCH(H252,Rame!$A:$A,0)-1,MATCH(J252,Rame!$A$1:$AA$1,0)-1))*IF(E252="Rame",1,0),4)</f>
        <v>0</v>
      </c>
      <c r="N252" s="446">
        <v>0</v>
      </c>
      <c r="O252" s="446">
        <v>1.5</v>
      </c>
      <c r="P252" s="446">
        <f ca="1">ROUND(+IF(ISERROR(OFFSET(Tabella!$G$1,MATCH(H252,Tabella!$G:$G,0)-1,MATCH(I252,Tabella!$G$1:$FG$1,0)-1)=TRUE),0,OFFSET(Tabella!$G$1,MATCH(H252,Tabella!$G:$G,0)-1,MATCH(I252,Tabella!$G$1:$AB$1,0)-1)),4)</f>
        <v>0</v>
      </c>
      <c r="Q252" s="446">
        <f ca="1">ROUND(IF(ISERROR(OFFSET(Ottone!$F$1,MATCH(H252,Ottone!$A:$A,0)-1,MATCH(I252,Ottone!$F$1:$FF$1,0)-1)=TRUE),0,OFFSET(Ottone!$F$1,MATCH(H252,Ottone!$A:$A,0)-1,MATCH(I252,Ottone!$F$1:$FF$1,0)-1))*IF(E252="Ottone",1,0),4)</f>
        <v>0</v>
      </c>
      <c r="R252" s="446">
        <f ca="1">ROUND(IF(ISERROR(OFFSET(Rame!$F$1,MATCH(H252,Rame!$F:$F,0)-1,MATCH(I252,Rame!$F$1:$FF$1,0)-1)=TRUE),0,OFFSET(Rame!$F$1,MATCH(H252,Rame!$F:$F,0)-1,MATCH(I252,Rame!$F$1:$FF$1,0)-1))*IF(E252="Rame",1,0),4)</f>
        <v>0</v>
      </c>
      <c r="S252" s="446">
        <f ca="1">ROUND(IF(ISERROR(OFFSET(Bronzo!$A$1,MATCH(H252,Bronzo!$A:$A,0)-1,MATCH(I252,Bronzo!$A$1:$AA$1,0)-1)=TRUE),0,OFFSET(Bronzo!$A$1,MATCH(H252,Bronzo!$A:$A,0)-1,MATCH(I252,Bronzo!$A$1:$AA$1,0)-1)),4)</f>
        <v>0</v>
      </c>
      <c r="T252" s="446">
        <f t="shared" ca="1" si="159"/>
        <v>0</v>
      </c>
      <c r="U252" s="443"/>
      <c r="V252" s="446">
        <v>0</v>
      </c>
      <c r="W252" s="449">
        <f t="shared" ca="1" si="160"/>
        <v>1.5</v>
      </c>
      <c r="X252" s="457">
        <f t="shared" si="158"/>
        <v>138.81</v>
      </c>
      <c r="Y252" s="440">
        <v>4.0999999999999996</v>
      </c>
      <c r="Z252" s="440">
        <f t="shared" ca="1" si="161"/>
        <v>-0.02</v>
      </c>
      <c r="AA252" s="241"/>
      <c r="AD252" s="223" t="s">
        <v>403</v>
      </c>
      <c r="AF252" s="225">
        <f t="shared" ca="1" si="115"/>
        <v>46156</v>
      </c>
      <c r="AG252" s="225" t="b">
        <f t="shared" si="153"/>
        <v>1</v>
      </c>
      <c r="AH252" s="242"/>
      <c r="AK252" s="223">
        <f t="shared" si="154"/>
        <v>0</v>
      </c>
      <c r="AL252" s="223">
        <f t="shared" si="155"/>
        <v>1900</v>
      </c>
      <c r="AS252" s="223">
        <f t="shared" si="156"/>
        <v>0</v>
      </c>
      <c r="AT252" s="223">
        <f t="shared" si="157"/>
        <v>0</v>
      </c>
    </row>
    <row r="253" spans="2:46" ht="15.75" x14ac:dyDescent="0.25">
      <c r="B253" s="229" t="s">
        <v>637</v>
      </c>
      <c r="C253" s="409" t="s">
        <v>498</v>
      </c>
      <c r="D253" s="410">
        <v>1000</v>
      </c>
      <c r="E253" s="232" t="s">
        <v>4</v>
      </c>
      <c r="F253" s="435">
        <v>2.62</v>
      </c>
      <c r="G253" s="234">
        <v>46080</v>
      </c>
      <c r="H253" s="235" t="s">
        <v>322</v>
      </c>
      <c r="I253" s="235"/>
      <c r="J253" s="440">
        <v>7.0000000000000007E-2</v>
      </c>
      <c r="K253" s="443">
        <f ca="1">ROUND(IF(ISERROR(OFFSET(Tabella!$A$1,MATCH(H253,Tabella!$A:$A,0)-1,MATCH(J253,Tabella!$A$1:$AC$1,0)-1)=TRUE),0,+OFFSET(Tabella!$A$1,MATCH(H253,Tabella!$A:$A,0)-1,MATCH(J253,Tabella!$A$1:$AC$1,0)-1)),4)</f>
        <v>1.25</v>
      </c>
      <c r="L253" s="446">
        <f ca="1">ROUND(IF(ISERROR(OFFSET(Ottone!$A$1,MATCH(H253,Ottone!$A:$A,0)-1,MATCH(J253,Ottone!$A$1:$Z$1,0)-1)=TRUE),0,OFFSET(Ottone!$A$1,MATCH(H253,Ottone!$A:$A,0)-1,MATCH(J253,Ottone!$A$1:$Z$1,0)-1))*IF(E253="Ottone",1,0),4)</f>
        <v>0</v>
      </c>
      <c r="M253" s="446">
        <f ca="1">ROUND(IF(ISERROR(OFFSET(Rame!$A$1,MATCH(H253,Rame!$A:$A,0)-1,MATCH(J253,Rame!$A$1:$AA$1,0)-1)=TRUE),0,OFFSET(Rame!$A$1,MATCH(H253,Rame!$A:$A,0)-1,MATCH(J253,Rame!$A$1:$AA$1,0)-1))*IF(E253="Rame",1,0),4)</f>
        <v>0</v>
      </c>
      <c r="N253" s="446">
        <v>0</v>
      </c>
      <c r="O253" s="446">
        <v>1.5</v>
      </c>
      <c r="P253" s="446">
        <f ca="1">ROUND(+IF(ISERROR(OFFSET(Tabella!$G$1,MATCH(H253,Tabella!$G:$G,0)-1,MATCH(I253,Tabella!$G$1:$FG$1,0)-1)=TRUE),0,OFFSET(Tabella!$G$1,MATCH(H253,Tabella!$G:$G,0)-1,MATCH(I253,Tabella!$G$1:$AB$1,0)-1)),4)</f>
        <v>0</v>
      </c>
      <c r="Q253" s="446">
        <f ca="1">ROUND(IF(ISERROR(OFFSET(Ottone!$F$1,MATCH(H253,Ottone!$A:$A,0)-1,MATCH(I253,Ottone!$F$1:$FF$1,0)-1)=TRUE),0,OFFSET(Ottone!$F$1,MATCH(H253,Ottone!$A:$A,0)-1,MATCH(I253,Ottone!$F$1:$FF$1,0)-1))*IF(E253="Ottone",1,0),4)</f>
        <v>0</v>
      </c>
      <c r="R253" s="446">
        <f ca="1">ROUND(IF(ISERROR(OFFSET(Rame!$F$1,MATCH(H253,Rame!$F:$F,0)-1,MATCH(I253,Rame!$F$1:$FF$1,0)-1)=TRUE),0,OFFSET(Rame!$F$1,MATCH(H253,Rame!$F:$F,0)-1,MATCH(I253,Rame!$F$1:$FF$1,0)-1))*IF(E253="Rame",1,0),4)</f>
        <v>0</v>
      </c>
      <c r="S253" s="446">
        <f ca="1">ROUND(IF(ISERROR(OFFSET(Bronzo!$A$1,MATCH(H253,Bronzo!$A:$A,0)-1,MATCH(I253,Bronzo!$A$1:$AA$1,0)-1)=TRUE),0,OFFSET(Bronzo!$A$1,MATCH(H253,Bronzo!$A:$A,0)-1,MATCH(I253,Bronzo!$A$1:$AA$1,0)-1)),4)</f>
        <v>0</v>
      </c>
      <c r="T253" s="446">
        <f t="shared" ca="1" si="159"/>
        <v>0</v>
      </c>
      <c r="U253" s="443"/>
      <c r="V253" s="446">
        <v>0</v>
      </c>
      <c r="W253" s="449">
        <f t="shared" ca="1" si="160"/>
        <v>1.5</v>
      </c>
      <c r="X253" s="457">
        <f t="shared" si="158"/>
        <v>70</v>
      </c>
      <c r="Y253" s="440">
        <v>4.0999999999999996</v>
      </c>
      <c r="Z253" s="440">
        <f t="shared" ca="1" si="161"/>
        <v>-0.02</v>
      </c>
      <c r="AA253" s="241"/>
      <c r="AD253" s="223" t="s">
        <v>403</v>
      </c>
      <c r="AF253" s="225">
        <f t="shared" ca="1" si="115"/>
        <v>46156</v>
      </c>
      <c r="AG253" s="225" t="b">
        <f t="shared" si="153"/>
        <v>1</v>
      </c>
      <c r="AH253" s="242"/>
      <c r="AK253" s="223">
        <f t="shared" si="154"/>
        <v>0</v>
      </c>
      <c r="AL253" s="223">
        <f t="shared" si="155"/>
        <v>1900</v>
      </c>
      <c r="AS253" s="223">
        <f t="shared" si="156"/>
        <v>0</v>
      </c>
      <c r="AT253" s="223">
        <f t="shared" si="157"/>
        <v>0</v>
      </c>
    </row>
    <row r="254" spans="2:46" ht="15.75" x14ac:dyDescent="0.25">
      <c r="B254" s="229" t="s">
        <v>637</v>
      </c>
      <c r="C254" s="409" t="s">
        <v>498</v>
      </c>
      <c r="D254" s="410">
        <v>940</v>
      </c>
      <c r="E254" s="232" t="s">
        <v>4</v>
      </c>
      <c r="F254" s="435">
        <v>2.62</v>
      </c>
      <c r="G254" s="234">
        <v>46080</v>
      </c>
      <c r="H254" s="235" t="s">
        <v>322</v>
      </c>
      <c r="I254" s="235"/>
      <c r="J254" s="440">
        <v>7.0000000000000007E-2</v>
      </c>
      <c r="K254" s="443">
        <f ca="1">ROUND(IF(ISERROR(OFFSET(Tabella!$A$1,MATCH(H254,Tabella!$A:$A,0)-1,MATCH(J254,Tabella!$A$1:$AC$1,0)-1)=TRUE),0,+OFFSET(Tabella!$A$1,MATCH(H254,Tabella!$A:$A,0)-1,MATCH(J254,Tabella!$A$1:$AC$1,0)-1)),4)</f>
        <v>1.25</v>
      </c>
      <c r="L254" s="446">
        <f ca="1">ROUND(IF(ISERROR(OFFSET(Ottone!$A$1,MATCH(H254,Ottone!$A:$A,0)-1,MATCH(J254,Ottone!$A$1:$Z$1,0)-1)=TRUE),0,OFFSET(Ottone!$A$1,MATCH(H254,Ottone!$A:$A,0)-1,MATCH(J254,Ottone!$A$1:$Z$1,0)-1))*IF(E254="Ottone",1,0),4)</f>
        <v>0</v>
      </c>
      <c r="M254" s="446">
        <f ca="1">ROUND(IF(ISERROR(OFFSET(Rame!$A$1,MATCH(H254,Rame!$A:$A,0)-1,MATCH(J254,Rame!$A$1:$AA$1,0)-1)=TRUE),0,OFFSET(Rame!$A$1,MATCH(H254,Rame!$A:$A,0)-1,MATCH(J254,Rame!$A$1:$AA$1,0)-1))*IF(E254="Rame",1,0),4)</f>
        <v>0</v>
      </c>
      <c r="N254" s="446">
        <v>0</v>
      </c>
      <c r="O254" s="446">
        <v>1.5</v>
      </c>
      <c r="P254" s="446">
        <f ca="1">ROUND(+IF(ISERROR(OFFSET(Tabella!$G$1,MATCH(H254,Tabella!$G:$G,0)-1,MATCH(I254,Tabella!$G$1:$FG$1,0)-1)=TRUE),0,OFFSET(Tabella!$G$1,MATCH(H254,Tabella!$G:$G,0)-1,MATCH(I254,Tabella!$G$1:$AB$1,0)-1)),4)</f>
        <v>0</v>
      </c>
      <c r="Q254" s="446">
        <f ca="1">ROUND(IF(ISERROR(OFFSET(Ottone!$F$1,MATCH(H254,Ottone!$A:$A,0)-1,MATCH(I254,Ottone!$F$1:$FF$1,0)-1)=TRUE),0,OFFSET(Ottone!$F$1,MATCH(H254,Ottone!$A:$A,0)-1,MATCH(I254,Ottone!$F$1:$FF$1,0)-1))*IF(E254="Ottone",1,0),4)</f>
        <v>0</v>
      </c>
      <c r="R254" s="446">
        <f ca="1">ROUND(IF(ISERROR(OFFSET(Rame!$F$1,MATCH(H254,Rame!$F:$F,0)-1,MATCH(I254,Rame!$F$1:$FF$1,0)-1)=TRUE),0,OFFSET(Rame!$F$1,MATCH(H254,Rame!$F:$F,0)-1,MATCH(I254,Rame!$F$1:$FF$1,0)-1))*IF(E254="Rame",1,0),4)</f>
        <v>0</v>
      </c>
      <c r="S254" s="446">
        <f ca="1">ROUND(IF(ISERROR(OFFSET(Bronzo!$A$1,MATCH(H254,Bronzo!$A:$A,0)-1,MATCH(I254,Bronzo!$A$1:$AA$1,0)-1)=TRUE),0,OFFSET(Bronzo!$A$1,MATCH(H254,Bronzo!$A:$A,0)-1,MATCH(I254,Bronzo!$A$1:$AA$1,0)-1)),4)</f>
        <v>0</v>
      </c>
      <c r="T254" s="446">
        <f t="shared" ca="1" si="159"/>
        <v>0</v>
      </c>
      <c r="U254" s="443"/>
      <c r="V254" s="446">
        <v>0</v>
      </c>
      <c r="W254" s="449">
        <f t="shared" ca="1" si="160"/>
        <v>1.5</v>
      </c>
      <c r="X254" s="457">
        <f t="shared" si="158"/>
        <v>65.8</v>
      </c>
      <c r="Y254" s="440">
        <v>4.0999999999999996</v>
      </c>
      <c r="Z254" s="440">
        <f t="shared" ca="1" si="161"/>
        <v>-0.02</v>
      </c>
      <c r="AA254" s="241"/>
      <c r="AD254" s="223" t="s">
        <v>403</v>
      </c>
      <c r="AF254" s="225">
        <f t="shared" ca="1" si="115"/>
        <v>46156</v>
      </c>
      <c r="AG254" s="225" t="b">
        <f t="shared" si="153"/>
        <v>1</v>
      </c>
      <c r="AH254" s="242"/>
      <c r="AK254" s="223">
        <f t="shared" si="154"/>
        <v>0</v>
      </c>
      <c r="AL254" s="223">
        <f t="shared" si="155"/>
        <v>1900</v>
      </c>
      <c r="AS254" s="223">
        <f t="shared" si="156"/>
        <v>0</v>
      </c>
      <c r="AT254" s="223">
        <f t="shared" si="157"/>
        <v>0</v>
      </c>
    </row>
    <row r="255" spans="2:46" ht="15.75" x14ac:dyDescent="0.25">
      <c r="B255" s="229" t="s">
        <v>637</v>
      </c>
      <c r="C255" s="409" t="s">
        <v>498</v>
      </c>
      <c r="D255" s="410">
        <v>2872</v>
      </c>
      <c r="E255" s="232" t="s">
        <v>4</v>
      </c>
      <c r="F255" s="435">
        <v>2.62</v>
      </c>
      <c r="G255" s="234">
        <v>46080</v>
      </c>
      <c r="H255" s="235" t="s">
        <v>25</v>
      </c>
      <c r="I255" s="235"/>
      <c r="J255" s="440">
        <v>7.0000000000000007E-2</v>
      </c>
      <c r="K255" s="443">
        <f ca="1">ROUND(IF(ISERROR(OFFSET(Tabella!$A$1,MATCH(H255,Tabella!$A:$A,0)-1,MATCH(J255,Tabella!$A$1:$AC$1,0)-1)=TRUE),0,+OFFSET(Tabella!$A$1,MATCH(H255,Tabella!$A:$A,0)-1,MATCH(J255,Tabella!$A$1:$AC$1,0)-1)),4)</f>
        <v>1.25</v>
      </c>
      <c r="L255" s="446">
        <f ca="1">ROUND(IF(ISERROR(OFFSET(Ottone!$A$1,MATCH(H255,Ottone!$A:$A,0)-1,MATCH(J255,Ottone!$A$1:$Z$1,0)-1)=TRUE),0,OFFSET(Ottone!$A$1,MATCH(H255,Ottone!$A:$A,0)-1,MATCH(J255,Ottone!$A$1:$Z$1,0)-1))*IF(E255="Ottone",1,0),4)</f>
        <v>0</v>
      </c>
      <c r="M255" s="446">
        <f ca="1">ROUND(IF(ISERROR(OFFSET(Rame!$A$1,MATCH(H255,Rame!$A:$A,0)-1,MATCH(J255,Rame!$A$1:$AA$1,0)-1)=TRUE),0,OFFSET(Rame!$A$1,MATCH(H255,Rame!$A:$A,0)-1,MATCH(J255,Rame!$A$1:$AA$1,0)-1))*IF(E255="Rame",1,0),4)</f>
        <v>0</v>
      </c>
      <c r="N255" s="446">
        <v>0</v>
      </c>
      <c r="O255" s="446">
        <v>1.5</v>
      </c>
      <c r="P255" s="446">
        <f ca="1">ROUND(+IF(ISERROR(OFFSET(Tabella!$G$1,MATCH(H255,Tabella!$G:$G,0)-1,MATCH(I255,Tabella!$G$1:$FG$1,0)-1)=TRUE),0,OFFSET(Tabella!$G$1,MATCH(H255,Tabella!$G:$G,0)-1,MATCH(I255,Tabella!$G$1:$AB$1,0)-1)),4)</f>
        <v>0</v>
      </c>
      <c r="Q255" s="446">
        <f ca="1">ROUND(IF(ISERROR(OFFSET(Ottone!$F$1,MATCH(H255,Ottone!$A:$A,0)-1,MATCH(I255,Ottone!$F$1:$FF$1,0)-1)=TRUE),0,OFFSET(Ottone!$F$1,MATCH(H255,Ottone!$A:$A,0)-1,MATCH(I255,Ottone!$F$1:$FF$1,0)-1))*IF(E255="Ottone",1,0),4)</f>
        <v>0</v>
      </c>
      <c r="R255" s="446">
        <f ca="1">ROUND(IF(ISERROR(OFFSET(Rame!$F$1,MATCH(H255,Rame!$F:$F,0)-1,MATCH(I255,Rame!$F$1:$FF$1,0)-1)=TRUE),0,OFFSET(Rame!$F$1,MATCH(H255,Rame!$F:$F,0)-1,MATCH(I255,Rame!$F$1:$FF$1,0)-1))*IF(E255="Rame",1,0),4)</f>
        <v>0</v>
      </c>
      <c r="S255" s="446">
        <f ca="1">ROUND(IF(ISERROR(OFFSET(Bronzo!$A$1,MATCH(H255,Bronzo!$A:$A,0)-1,MATCH(I255,Bronzo!$A$1:$AA$1,0)-1)=TRUE),0,OFFSET(Bronzo!$A$1,MATCH(H255,Bronzo!$A:$A,0)-1,MATCH(I255,Bronzo!$A$1:$AA$1,0)-1)),4)</f>
        <v>0</v>
      </c>
      <c r="T255" s="446">
        <f t="shared" ca="1" si="159"/>
        <v>0</v>
      </c>
      <c r="U255" s="443"/>
      <c r="V255" s="446">
        <v>0</v>
      </c>
      <c r="W255" s="449">
        <f t="shared" ca="1" si="160"/>
        <v>1.5</v>
      </c>
      <c r="X255" s="457">
        <f t="shared" si="158"/>
        <v>201.04</v>
      </c>
      <c r="Y255" s="440">
        <v>4.0999999999999996</v>
      </c>
      <c r="Z255" s="440">
        <f t="shared" ca="1" si="161"/>
        <v>-0.02</v>
      </c>
      <c r="AA255" s="241"/>
      <c r="AD255" s="223" t="s">
        <v>403</v>
      </c>
      <c r="AF255" s="225">
        <f t="shared" ref="AF255:AF280" ca="1" si="163">TODAY()</f>
        <v>46156</v>
      </c>
      <c r="AG255" s="225" t="b">
        <f t="shared" ref="AG255:AG285" si="164">ISBLANK(AA255)</f>
        <v>1</v>
      </c>
      <c r="AH255" s="242"/>
      <c r="AK255" s="223">
        <f t="shared" si="154"/>
        <v>0</v>
      </c>
      <c r="AL255" s="223">
        <f t="shared" si="155"/>
        <v>1900</v>
      </c>
      <c r="AS255" s="223">
        <f t="shared" si="156"/>
        <v>0</v>
      </c>
      <c r="AT255" s="223">
        <f t="shared" si="157"/>
        <v>0</v>
      </c>
    </row>
    <row r="256" spans="2:46" ht="15.75" x14ac:dyDescent="0.25">
      <c r="B256" s="229" t="s">
        <v>638</v>
      </c>
      <c r="C256" s="409" t="s">
        <v>498</v>
      </c>
      <c r="D256" s="410">
        <v>907</v>
      </c>
      <c r="E256" s="232" t="s">
        <v>4</v>
      </c>
      <c r="F256" s="435">
        <v>2.62</v>
      </c>
      <c r="G256" s="234">
        <v>46080</v>
      </c>
      <c r="H256" s="235" t="s">
        <v>23</v>
      </c>
      <c r="I256" s="235"/>
      <c r="J256" s="440">
        <v>7.0000000000000007E-2</v>
      </c>
      <c r="K256" s="443">
        <f ca="1">ROUND(IF(ISERROR(OFFSET(Tabella!$A$1,MATCH(H256,Tabella!$A:$A,0)-1,MATCH(J256,Tabella!$A$1:$AC$1,0)-1)=TRUE),0,+OFFSET(Tabella!$A$1,MATCH(H256,Tabella!$A:$A,0)-1,MATCH(J256,Tabella!$A$1:$AC$1,0)-1)),4)</f>
        <v>1.25</v>
      </c>
      <c r="L256" s="446">
        <f ca="1">ROUND(IF(ISERROR(OFFSET(Ottone!$A$1,MATCH(H256,Ottone!$A:$A,0)-1,MATCH(J256,Ottone!$A$1:$Z$1,0)-1)=TRUE),0,OFFSET(Ottone!$A$1,MATCH(H256,Ottone!$A:$A,0)-1,MATCH(J256,Ottone!$A$1:$Z$1,0)-1))*IF(E256="Ottone",1,0),4)</f>
        <v>0</v>
      </c>
      <c r="M256" s="446">
        <f ca="1">ROUND(IF(ISERROR(OFFSET(Rame!$A$1,MATCH(H256,Rame!$A:$A,0)-1,MATCH(J256,Rame!$A$1:$AA$1,0)-1)=TRUE),0,OFFSET(Rame!$A$1,MATCH(H256,Rame!$A:$A,0)-1,MATCH(J256,Rame!$A$1:$AA$1,0)-1))*IF(E256="Rame",1,0),4)</f>
        <v>0</v>
      </c>
      <c r="N256" s="446">
        <v>0</v>
      </c>
      <c r="O256" s="446">
        <v>1.5</v>
      </c>
      <c r="P256" s="446">
        <f ca="1">ROUND(+IF(ISERROR(OFFSET(Tabella!$G$1,MATCH(H256,Tabella!$G:$G,0)-1,MATCH(I256,Tabella!$G$1:$FG$1,0)-1)=TRUE),0,OFFSET(Tabella!$G$1,MATCH(H256,Tabella!$G:$G,0)-1,MATCH(I256,Tabella!$G$1:$AB$1,0)-1)),4)</f>
        <v>0</v>
      </c>
      <c r="Q256" s="446">
        <f ca="1">ROUND(IF(ISERROR(OFFSET(Ottone!$F$1,MATCH(H256,Ottone!$A:$A,0)-1,MATCH(I256,Ottone!$F$1:$FF$1,0)-1)=TRUE),0,OFFSET(Ottone!$F$1,MATCH(H256,Ottone!$A:$A,0)-1,MATCH(I256,Ottone!$F$1:$FF$1,0)-1))*IF(E256="Ottone",1,0),4)</f>
        <v>0</v>
      </c>
      <c r="R256" s="446">
        <f ca="1">ROUND(IF(ISERROR(OFFSET(Rame!$F$1,MATCH(H256,Rame!$F:$F,0)-1,MATCH(I256,Rame!$F$1:$FF$1,0)-1)=TRUE),0,OFFSET(Rame!$F$1,MATCH(H256,Rame!$F:$F,0)-1,MATCH(I256,Rame!$F$1:$FF$1,0)-1))*IF(E256="Rame",1,0),4)</f>
        <v>0</v>
      </c>
      <c r="S256" s="446">
        <f ca="1">ROUND(IF(ISERROR(OFFSET(Bronzo!$A$1,MATCH(H256,Bronzo!$A:$A,0)-1,MATCH(I256,Bronzo!$A$1:$AA$1,0)-1)=TRUE),0,OFFSET(Bronzo!$A$1,MATCH(H256,Bronzo!$A:$A,0)-1,MATCH(I256,Bronzo!$A$1:$AA$1,0)-1)),4)</f>
        <v>0</v>
      </c>
      <c r="T256" s="446">
        <f t="shared" ca="1" si="159"/>
        <v>0</v>
      </c>
      <c r="U256" s="443"/>
      <c r="V256" s="446">
        <v>0</v>
      </c>
      <c r="W256" s="449">
        <f t="shared" ca="1" si="160"/>
        <v>1.5</v>
      </c>
      <c r="X256" s="457">
        <f t="shared" si="158"/>
        <v>63.49</v>
      </c>
      <c r="Y256" s="440">
        <v>4.0999999999999996</v>
      </c>
      <c r="Z256" s="440">
        <f t="shared" ca="1" si="161"/>
        <v>-0.02</v>
      </c>
      <c r="AA256" s="241"/>
      <c r="AD256" s="223" t="s">
        <v>403</v>
      </c>
      <c r="AF256" s="225">
        <f t="shared" ca="1" si="163"/>
        <v>46156</v>
      </c>
      <c r="AG256" s="225" t="b">
        <f t="shared" si="164"/>
        <v>1</v>
      </c>
      <c r="AH256" s="242"/>
      <c r="AK256" s="223">
        <f t="shared" ref="AK256:AK294" si="165">WEEKNUM(AA256)</f>
        <v>0</v>
      </c>
      <c r="AL256" s="223">
        <f t="shared" ref="AL256:AL294" si="166">YEAR(AA256)</f>
        <v>1900</v>
      </c>
      <c r="AS256" s="223">
        <f t="shared" ref="AS256:AS306" si="167">IF(AA256="",0,MONTH(AA256))</f>
        <v>0</v>
      </c>
      <c r="AT256" s="223">
        <f t="shared" ref="AT256:AT306" si="168">IF(AA256="",0,YEAR(AA256))</f>
        <v>0</v>
      </c>
    </row>
    <row r="257" spans="2:46" ht="15.75" x14ac:dyDescent="0.25">
      <c r="B257" s="229" t="s">
        <v>638</v>
      </c>
      <c r="C257" s="409" t="s">
        <v>498</v>
      </c>
      <c r="D257" s="410">
        <v>909</v>
      </c>
      <c r="E257" s="232" t="s">
        <v>4</v>
      </c>
      <c r="F257" s="435">
        <v>2.62</v>
      </c>
      <c r="G257" s="234">
        <v>46080</v>
      </c>
      <c r="H257" s="235" t="s">
        <v>21</v>
      </c>
      <c r="I257" s="235"/>
      <c r="J257" s="440">
        <v>7.0000000000000007E-2</v>
      </c>
      <c r="K257" s="443">
        <f ca="1">ROUND(IF(ISERROR(OFFSET(Tabella!$A$1,MATCH(H257,Tabella!$A:$A,0)-1,MATCH(J257,Tabella!$A$1:$AC$1,0)-1)=TRUE),0,+OFFSET(Tabella!$A$1,MATCH(H257,Tabella!$A:$A,0)-1,MATCH(J257,Tabella!$A$1:$AC$1,0)-1)),4)</f>
        <v>1.25</v>
      </c>
      <c r="L257" s="446">
        <f ca="1">ROUND(IF(ISERROR(OFFSET(Ottone!$A$1,MATCH(H257,Ottone!$A:$A,0)-1,MATCH(J257,Ottone!$A$1:$Z$1,0)-1)=TRUE),0,OFFSET(Ottone!$A$1,MATCH(H257,Ottone!$A:$A,0)-1,MATCH(J257,Ottone!$A$1:$Z$1,0)-1))*IF(E257="Ottone",1,0),4)</f>
        <v>0</v>
      </c>
      <c r="M257" s="446">
        <f ca="1">ROUND(IF(ISERROR(OFFSET(Rame!$A$1,MATCH(H257,Rame!$A:$A,0)-1,MATCH(J257,Rame!$A$1:$AA$1,0)-1)=TRUE),0,OFFSET(Rame!$A$1,MATCH(H257,Rame!$A:$A,0)-1,MATCH(J257,Rame!$A$1:$AA$1,0)-1))*IF(E257="Rame",1,0),4)</f>
        <v>0</v>
      </c>
      <c r="N257" s="446">
        <v>0</v>
      </c>
      <c r="O257" s="446">
        <v>1.5</v>
      </c>
      <c r="P257" s="446">
        <f ca="1">ROUND(+IF(ISERROR(OFFSET(Tabella!$G$1,MATCH(H257,Tabella!$G:$G,0)-1,MATCH(I257,Tabella!$G$1:$FG$1,0)-1)=TRUE),0,OFFSET(Tabella!$G$1,MATCH(H257,Tabella!$G:$G,0)-1,MATCH(I257,Tabella!$G$1:$AB$1,0)-1)),4)</f>
        <v>0</v>
      </c>
      <c r="Q257" s="446">
        <f ca="1">ROUND(IF(ISERROR(OFFSET(Ottone!$F$1,MATCH(H257,Ottone!$A:$A,0)-1,MATCH(I257,Ottone!$F$1:$FF$1,0)-1)=TRUE),0,OFFSET(Ottone!$F$1,MATCH(H257,Ottone!$A:$A,0)-1,MATCH(I257,Ottone!$F$1:$FF$1,0)-1))*IF(E257="Ottone",1,0),4)</f>
        <v>0</v>
      </c>
      <c r="R257" s="446">
        <f ca="1">ROUND(IF(ISERROR(OFFSET(Rame!$F$1,MATCH(H257,Rame!$F:$F,0)-1,MATCH(I257,Rame!$F$1:$FF$1,0)-1)=TRUE),0,OFFSET(Rame!$F$1,MATCH(H257,Rame!$F:$F,0)-1,MATCH(I257,Rame!$F$1:$FF$1,0)-1))*IF(E257="Rame",1,0),4)</f>
        <v>0</v>
      </c>
      <c r="S257" s="446">
        <f ca="1">ROUND(IF(ISERROR(OFFSET(Bronzo!$A$1,MATCH(H257,Bronzo!$A:$A,0)-1,MATCH(I257,Bronzo!$A$1:$AA$1,0)-1)=TRUE),0,OFFSET(Bronzo!$A$1,MATCH(H257,Bronzo!$A:$A,0)-1,MATCH(I257,Bronzo!$A$1:$AA$1,0)-1)),4)</f>
        <v>0</v>
      </c>
      <c r="T257" s="446">
        <f t="shared" ca="1" si="159"/>
        <v>0</v>
      </c>
      <c r="U257" s="443"/>
      <c r="V257" s="446">
        <v>0</v>
      </c>
      <c r="W257" s="449">
        <f t="shared" ca="1" si="160"/>
        <v>1.5</v>
      </c>
      <c r="X257" s="457">
        <f t="shared" si="158"/>
        <v>63.63</v>
      </c>
      <c r="Y257" s="440">
        <v>4.0999999999999996</v>
      </c>
      <c r="Z257" s="440">
        <f t="shared" ca="1" si="161"/>
        <v>-0.02</v>
      </c>
      <c r="AA257" s="241"/>
      <c r="AD257" s="223" t="s">
        <v>403</v>
      </c>
      <c r="AF257" s="225">
        <f t="shared" ca="1" si="163"/>
        <v>46156</v>
      </c>
      <c r="AG257" s="225" t="b">
        <f t="shared" si="164"/>
        <v>1</v>
      </c>
      <c r="AH257" s="242"/>
      <c r="AK257" s="223">
        <f t="shared" si="165"/>
        <v>0</v>
      </c>
      <c r="AL257" s="223">
        <f t="shared" si="166"/>
        <v>1900</v>
      </c>
      <c r="AS257" s="223">
        <f t="shared" si="167"/>
        <v>0</v>
      </c>
      <c r="AT257" s="223">
        <f t="shared" si="168"/>
        <v>0</v>
      </c>
    </row>
    <row r="258" spans="2:46" ht="15.75" x14ac:dyDescent="0.25">
      <c r="B258" s="229" t="s">
        <v>638</v>
      </c>
      <c r="C258" s="409" t="s">
        <v>498</v>
      </c>
      <c r="D258" s="410">
        <v>970</v>
      </c>
      <c r="E258" s="232" t="s">
        <v>4</v>
      </c>
      <c r="F258" s="435">
        <v>2.62</v>
      </c>
      <c r="G258" s="234">
        <v>46080</v>
      </c>
      <c r="H258" s="235" t="s">
        <v>27</v>
      </c>
      <c r="I258" s="235"/>
      <c r="J258" s="440">
        <v>7.0000000000000007E-2</v>
      </c>
      <c r="K258" s="443">
        <f ca="1">ROUND(IF(ISERROR(OFFSET(Tabella!$A$1,MATCH(H258,Tabella!$A:$A,0)-1,MATCH(J258,Tabella!$A$1:$AC$1,0)-1)=TRUE),0,+OFFSET(Tabella!$A$1,MATCH(H258,Tabella!$A:$A,0)-1,MATCH(J258,Tabella!$A$1:$AC$1,0)-1)),4)</f>
        <v>1.25</v>
      </c>
      <c r="L258" s="446">
        <f ca="1">ROUND(IF(ISERROR(OFFSET(Ottone!$A$1,MATCH(H258,Ottone!$A:$A,0)-1,MATCH(J258,Ottone!$A$1:$Z$1,0)-1)=TRUE),0,OFFSET(Ottone!$A$1,MATCH(H258,Ottone!$A:$A,0)-1,MATCH(J258,Ottone!$A$1:$Z$1,0)-1))*IF(E258="Ottone",1,0),4)</f>
        <v>0</v>
      </c>
      <c r="M258" s="446">
        <f ca="1">ROUND(IF(ISERROR(OFFSET(Rame!$A$1,MATCH(H258,Rame!$A:$A,0)-1,MATCH(J258,Rame!$A$1:$AA$1,0)-1)=TRUE),0,OFFSET(Rame!$A$1,MATCH(H258,Rame!$A:$A,0)-1,MATCH(J258,Rame!$A$1:$AA$1,0)-1))*IF(E258="Rame",1,0),4)</f>
        <v>0</v>
      </c>
      <c r="N258" s="446">
        <v>0</v>
      </c>
      <c r="O258" s="446">
        <v>1.5</v>
      </c>
      <c r="P258" s="446">
        <f ca="1">ROUND(+IF(ISERROR(OFFSET(Tabella!$G$1,MATCH(H258,Tabella!$G:$G,0)-1,MATCH(I258,Tabella!$G$1:$FG$1,0)-1)=TRUE),0,OFFSET(Tabella!$G$1,MATCH(H258,Tabella!$G:$G,0)-1,MATCH(I258,Tabella!$G$1:$AB$1,0)-1)),4)</f>
        <v>0</v>
      </c>
      <c r="Q258" s="446">
        <f ca="1">ROUND(IF(ISERROR(OFFSET(Ottone!$F$1,MATCH(H258,Ottone!$A:$A,0)-1,MATCH(I258,Ottone!$F$1:$FF$1,0)-1)=TRUE),0,OFFSET(Ottone!$F$1,MATCH(H258,Ottone!$A:$A,0)-1,MATCH(I258,Ottone!$F$1:$FF$1,0)-1))*IF(E258="Ottone",1,0),4)</f>
        <v>0</v>
      </c>
      <c r="R258" s="446">
        <f ca="1">ROUND(IF(ISERROR(OFFSET(Rame!$F$1,MATCH(H258,Rame!$F:$F,0)-1,MATCH(I258,Rame!$F$1:$FF$1,0)-1)=TRUE),0,OFFSET(Rame!$F$1,MATCH(H258,Rame!$F:$F,0)-1,MATCH(I258,Rame!$F$1:$FF$1,0)-1))*IF(E258="Rame",1,0),4)</f>
        <v>0</v>
      </c>
      <c r="S258" s="446">
        <f ca="1">ROUND(IF(ISERROR(OFFSET(Bronzo!$A$1,MATCH(H258,Bronzo!$A:$A,0)-1,MATCH(I258,Bronzo!$A$1:$AA$1,0)-1)=TRUE),0,OFFSET(Bronzo!$A$1,MATCH(H258,Bronzo!$A:$A,0)-1,MATCH(I258,Bronzo!$A$1:$AA$1,0)-1)),4)</f>
        <v>0</v>
      </c>
      <c r="T258" s="446">
        <f t="shared" ca="1" si="159"/>
        <v>0</v>
      </c>
      <c r="U258" s="443"/>
      <c r="V258" s="446">
        <v>0</v>
      </c>
      <c r="W258" s="449">
        <f t="shared" ca="1" si="160"/>
        <v>1.5</v>
      </c>
      <c r="X258" s="457">
        <f t="shared" si="158"/>
        <v>67.900000000000006</v>
      </c>
      <c r="Y258" s="440">
        <v>4.0999999999999996</v>
      </c>
      <c r="Z258" s="440">
        <f t="shared" ca="1" si="161"/>
        <v>-0.02</v>
      </c>
      <c r="AA258" s="241"/>
      <c r="AD258" s="223" t="s">
        <v>403</v>
      </c>
      <c r="AF258" s="225">
        <f t="shared" ca="1" si="163"/>
        <v>46156</v>
      </c>
      <c r="AG258" s="225" t="b">
        <f t="shared" si="164"/>
        <v>1</v>
      </c>
      <c r="AH258" s="242"/>
      <c r="AK258" s="223">
        <f t="shared" si="165"/>
        <v>0</v>
      </c>
      <c r="AL258" s="223">
        <f t="shared" si="166"/>
        <v>1900</v>
      </c>
      <c r="AS258" s="223">
        <f t="shared" si="167"/>
        <v>0</v>
      </c>
      <c r="AT258" s="223">
        <f t="shared" si="168"/>
        <v>0</v>
      </c>
    </row>
    <row r="259" spans="2:46" ht="15.75" x14ac:dyDescent="0.25">
      <c r="B259" s="229" t="s">
        <v>638</v>
      </c>
      <c r="C259" s="409" t="s">
        <v>498</v>
      </c>
      <c r="D259" s="410">
        <v>2834</v>
      </c>
      <c r="E259" s="232" t="s">
        <v>4</v>
      </c>
      <c r="F259" s="435">
        <v>2.62</v>
      </c>
      <c r="G259" s="234">
        <v>46080</v>
      </c>
      <c r="H259" s="235" t="s">
        <v>28</v>
      </c>
      <c r="I259" s="235"/>
      <c r="J259" s="440">
        <v>7.0000000000000007E-2</v>
      </c>
      <c r="K259" s="443">
        <f ca="1">ROUND(IF(ISERROR(OFFSET(Tabella!$A$1,MATCH(H259,Tabella!$A:$A,0)-1,MATCH(J259,Tabella!$A$1:$AC$1,0)-1)=TRUE),0,+OFFSET(Tabella!$A$1,MATCH(H259,Tabella!$A:$A,0)-1,MATCH(J259,Tabella!$A$1:$AC$1,0)-1)),4)</f>
        <v>1.25</v>
      </c>
      <c r="L259" s="446">
        <f ca="1">ROUND(IF(ISERROR(OFFSET(Ottone!$A$1,MATCH(H259,Ottone!$A:$A,0)-1,MATCH(J259,Ottone!$A$1:$Z$1,0)-1)=TRUE),0,OFFSET(Ottone!$A$1,MATCH(H259,Ottone!$A:$A,0)-1,MATCH(J259,Ottone!$A$1:$Z$1,0)-1))*IF(E259="Ottone",1,0),4)</f>
        <v>0</v>
      </c>
      <c r="M259" s="446">
        <f ca="1">ROUND(IF(ISERROR(OFFSET(Rame!$A$1,MATCH(H259,Rame!$A:$A,0)-1,MATCH(J259,Rame!$A$1:$AA$1,0)-1)=TRUE),0,OFFSET(Rame!$A$1,MATCH(H259,Rame!$A:$A,0)-1,MATCH(J259,Rame!$A$1:$AA$1,0)-1))*IF(E259="Rame",1,0),4)</f>
        <v>0</v>
      </c>
      <c r="N259" s="446">
        <v>0</v>
      </c>
      <c r="O259" s="446">
        <v>1.5</v>
      </c>
      <c r="P259" s="446">
        <f ca="1">ROUND(+IF(ISERROR(OFFSET(Tabella!$G$1,MATCH(H259,Tabella!$G:$G,0)-1,MATCH(I259,Tabella!$G$1:$FG$1,0)-1)=TRUE),0,OFFSET(Tabella!$G$1,MATCH(H259,Tabella!$G:$G,0)-1,MATCH(I259,Tabella!$G$1:$AB$1,0)-1)),4)</f>
        <v>0</v>
      </c>
      <c r="Q259" s="446">
        <f ca="1">ROUND(IF(ISERROR(OFFSET(Ottone!$F$1,MATCH(H259,Ottone!$A:$A,0)-1,MATCH(I259,Ottone!$F$1:$FF$1,0)-1)=TRUE),0,OFFSET(Ottone!$F$1,MATCH(H259,Ottone!$A:$A,0)-1,MATCH(I259,Ottone!$F$1:$FF$1,0)-1))*IF(E259="Ottone",1,0),4)</f>
        <v>0</v>
      </c>
      <c r="R259" s="446">
        <f ca="1">ROUND(IF(ISERROR(OFFSET(Rame!$F$1,MATCH(H259,Rame!$F:$F,0)-1,MATCH(I259,Rame!$F$1:$FF$1,0)-1)=TRUE),0,OFFSET(Rame!$F$1,MATCH(H259,Rame!$F:$F,0)-1,MATCH(I259,Rame!$F$1:$FF$1,0)-1))*IF(E259="Rame",1,0),4)</f>
        <v>0</v>
      </c>
      <c r="S259" s="446">
        <f ca="1">ROUND(IF(ISERROR(OFFSET(Bronzo!$A$1,MATCH(H259,Bronzo!$A:$A,0)-1,MATCH(I259,Bronzo!$A$1:$AA$1,0)-1)=TRUE),0,OFFSET(Bronzo!$A$1,MATCH(H259,Bronzo!$A:$A,0)-1,MATCH(I259,Bronzo!$A$1:$AA$1,0)-1)),4)</f>
        <v>0</v>
      </c>
      <c r="T259" s="446">
        <f t="shared" ca="1" si="159"/>
        <v>0</v>
      </c>
      <c r="U259" s="443"/>
      <c r="V259" s="446">
        <v>0</v>
      </c>
      <c r="W259" s="449">
        <f t="shared" ca="1" si="160"/>
        <v>1.5</v>
      </c>
      <c r="X259" s="457">
        <f t="shared" si="158"/>
        <v>198.38</v>
      </c>
      <c r="Y259" s="440">
        <v>4.0999999999999996</v>
      </c>
      <c r="Z259" s="440">
        <f t="shared" ca="1" si="161"/>
        <v>-0.02</v>
      </c>
      <c r="AA259" s="241"/>
      <c r="AD259" s="223" t="s">
        <v>403</v>
      </c>
      <c r="AF259" s="225">
        <f t="shared" ca="1" si="163"/>
        <v>46156</v>
      </c>
      <c r="AG259" s="225" t="b">
        <f t="shared" si="164"/>
        <v>1</v>
      </c>
      <c r="AH259" s="242"/>
      <c r="AK259" s="223">
        <f t="shared" si="165"/>
        <v>0</v>
      </c>
      <c r="AL259" s="223">
        <f t="shared" si="166"/>
        <v>1900</v>
      </c>
      <c r="AS259" s="223">
        <f t="shared" si="167"/>
        <v>0</v>
      </c>
      <c r="AT259" s="223">
        <f t="shared" si="168"/>
        <v>0</v>
      </c>
    </row>
    <row r="260" spans="2:46" ht="15.75" x14ac:dyDescent="0.25">
      <c r="B260" s="229" t="s">
        <v>638</v>
      </c>
      <c r="C260" s="409" t="s">
        <v>498</v>
      </c>
      <c r="D260" s="410">
        <v>1978</v>
      </c>
      <c r="E260" s="232" t="s">
        <v>4</v>
      </c>
      <c r="F260" s="435">
        <v>2.62</v>
      </c>
      <c r="G260" s="234">
        <v>46080</v>
      </c>
      <c r="H260" s="235" t="s">
        <v>28</v>
      </c>
      <c r="I260" s="235"/>
      <c r="J260" s="440">
        <v>7.0000000000000007E-2</v>
      </c>
      <c r="K260" s="443">
        <f ca="1">ROUND(IF(ISERROR(OFFSET(Tabella!$A$1,MATCH(H260,Tabella!$A:$A,0)-1,MATCH(J260,Tabella!$A$1:$AC$1,0)-1)=TRUE),0,+OFFSET(Tabella!$A$1,MATCH(H260,Tabella!$A:$A,0)-1,MATCH(J260,Tabella!$A$1:$AC$1,0)-1)),4)</f>
        <v>1.25</v>
      </c>
      <c r="L260" s="446">
        <f ca="1">ROUND(IF(ISERROR(OFFSET(Ottone!$A$1,MATCH(H260,Ottone!$A:$A,0)-1,MATCH(J260,Ottone!$A$1:$Z$1,0)-1)=TRUE),0,OFFSET(Ottone!$A$1,MATCH(H260,Ottone!$A:$A,0)-1,MATCH(J260,Ottone!$A$1:$Z$1,0)-1))*IF(E260="Ottone",1,0),4)</f>
        <v>0</v>
      </c>
      <c r="M260" s="446">
        <f ca="1">ROUND(IF(ISERROR(OFFSET(Rame!$A$1,MATCH(H260,Rame!$A:$A,0)-1,MATCH(J260,Rame!$A$1:$AA$1,0)-1)=TRUE),0,OFFSET(Rame!$A$1,MATCH(H260,Rame!$A:$A,0)-1,MATCH(J260,Rame!$A$1:$AA$1,0)-1))*IF(E260="Rame",1,0),4)</f>
        <v>0</v>
      </c>
      <c r="N260" s="446">
        <v>0</v>
      </c>
      <c r="O260" s="446">
        <v>1.5</v>
      </c>
      <c r="P260" s="446">
        <f ca="1">ROUND(+IF(ISERROR(OFFSET(Tabella!$G$1,MATCH(H260,Tabella!$G:$G,0)-1,MATCH(I260,Tabella!$G$1:$FG$1,0)-1)=TRUE),0,OFFSET(Tabella!$G$1,MATCH(H260,Tabella!$G:$G,0)-1,MATCH(I260,Tabella!$G$1:$AB$1,0)-1)),4)</f>
        <v>0</v>
      </c>
      <c r="Q260" s="446">
        <f ca="1">ROUND(IF(ISERROR(OFFSET(Ottone!$F$1,MATCH(H260,Ottone!$A:$A,0)-1,MATCH(I260,Ottone!$F$1:$FF$1,0)-1)=TRUE),0,OFFSET(Ottone!$F$1,MATCH(H260,Ottone!$A:$A,0)-1,MATCH(I260,Ottone!$F$1:$FF$1,0)-1))*IF(E260="Ottone",1,0),4)</f>
        <v>0</v>
      </c>
      <c r="R260" s="446">
        <f ca="1">ROUND(IF(ISERROR(OFFSET(Rame!$F$1,MATCH(H260,Rame!$F:$F,0)-1,MATCH(I260,Rame!$F$1:$FF$1,0)-1)=TRUE),0,OFFSET(Rame!$F$1,MATCH(H260,Rame!$F:$F,0)-1,MATCH(I260,Rame!$F$1:$FF$1,0)-1))*IF(E260="Rame",1,0),4)</f>
        <v>0</v>
      </c>
      <c r="S260" s="446">
        <f ca="1">ROUND(IF(ISERROR(OFFSET(Bronzo!$A$1,MATCH(H260,Bronzo!$A:$A,0)-1,MATCH(I260,Bronzo!$A$1:$AA$1,0)-1)=TRUE),0,OFFSET(Bronzo!$A$1,MATCH(H260,Bronzo!$A:$A,0)-1,MATCH(I260,Bronzo!$A$1:$AA$1,0)-1)),4)</f>
        <v>0</v>
      </c>
      <c r="T260" s="446">
        <f t="shared" ca="1" si="159"/>
        <v>0</v>
      </c>
      <c r="U260" s="443"/>
      <c r="V260" s="446">
        <v>0</v>
      </c>
      <c r="W260" s="449">
        <f t="shared" ca="1" si="160"/>
        <v>1.5</v>
      </c>
      <c r="X260" s="457">
        <f t="shared" si="158"/>
        <v>138.46</v>
      </c>
      <c r="Y260" s="440">
        <v>4.0999999999999996</v>
      </c>
      <c r="Z260" s="440">
        <f t="shared" ca="1" si="161"/>
        <v>-0.02</v>
      </c>
      <c r="AA260" s="241"/>
      <c r="AD260" s="223" t="s">
        <v>403</v>
      </c>
      <c r="AF260" s="225">
        <f t="shared" ca="1" si="163"/>
        <v>46156</v>
      </c>
      <c r="AG260" s="225" t="b">
        <f t="shared" si="164"/>
        <v>1</v>
      </c>
      <c r="AH260" s="242"/>
      <c r="AK260" s="223">
        <f t="shared" si="165"/>
        <v>0</v>
      </c>
      <c r="AL260" s="223">
        <f t="shared" si="166"/>
        <v>1900</v>
      </c>
      <c r="AS260" s="223">
        <f t="shared" si="167"/>
        <v>0</v>
      </c>
      <c r="AT260" s="223">
        <f t="shared" si="168"/>
        <v>0</v>
      </c>
    </row>
    <row r="261" spans="2:46" ht="15.75" x14ac:dyDescent="0.25">
      <c r="B261" s="229" t="s">
        <v>568</v>
      </c>
      <c r="C261" s="235" t="s">
        <v>330</v>
      </c>
      <c r="D261" s="243">
        <v>1200</v>
      </c>
      <c r="E261" s="232" t="s">
        <v>4</v>
      </c>
      <c r="F261" s="436">
        <v>1.7</v>
      </c>
      <c r="G261" s="234">
        <v>46120</v>
      </c>
      <c r="H261" s="235" t="s">
        <v>17</v>
      </c>
      <c r="I261" s="235"/>
      <c r="J261" s="440">
        <v>7.0000000000000007E-2</v>
      </c>
      <c r="K261" s="443">
        <f ca="1">ROUND(IF(ISERROR(OFFSET(Tabella!$A$1,MATCH(H261,Tabella!$A:$A,0)-1,MATCH(J261,Tabella!$A$1:$AC$1,0)-1)=TRUE),0,+OFFSET(Tabella!$A$1,MATCH(H261,Tabella!$A:$A,0)-1,MATCH(J261,Tabella!$A$1:$AC$1,0)-1)),4)</f>
        <v>1.4</v>
      </c>
      <c r="L261" s="446">
        <f ca="1">ROUND(IF(ISERROR(OFFSET(Ottone!$A$1,MATCH(H261,Ottone!$A:$A,0)-1,MATCH(J261,Ottone!$A$1:$Z$1,0)-1)=TRUE),0,OFFSET(Ottone!$A$1,MATCH(H261,Ottone!$A:$A,0)-1,MATCH(J261,Ottone!$A$1:$Z$1,0)-1))*IF(E261="Ottone",1,0),4)</f>
        <v>0</v>
      </c>
      <c r="M261" s="446">
        <f ca="1">ROUND(IF(ISERROR(OFFSET(Rame!$A$1,MATCH(H261,Rame!$A:$A,0)-1,MATCH(J261,Rame!$A$1:$AA$1,0)-1)=TRUE),0,OFFSET(Rame!$A$1,MATCH(H261,Rame!$A:$A,0)-1,MATCH(J261,Rame!$A$1:$AA$1,0)-1))*IF(E261="Rame",1,0),4)</f>
        <v>0</v>
      </c>
      <c r="N261" s="446">
        <v>0</v>
      </c>
      <c r="O261" s="446">
        <v>1.6</v>
      </c>
      <c r="P261" s="446">
        <f ca="1">ROUND(+IF(ISERROR(OFFSET(Tabella!$G$1,MATCH(H261,Tabella!$G:$G,0)-1,MATCH(I261,Tabella!$G$1:$FG$1,0)-1)=TRUE),0,OFFSET(Tabella!$G$1,MATCH(H261,Tabella!$G:$G,0)-1,MATCH(I261,Tabella!$G$1:$AB$1,0)-1)),4)</f>
        <v>0</v>
      </c>
      <c r="Q261" s="446">
        <f ca="1">ROUND(IF(ISERROR(OFFSET(Ottone!$F$1,MATCH(H261,Ottone!$A:$A,0)-1,MATCH(I261,Ottone!$F$1:$FF$1,0)-1)=TRUE),0,OFFSET(Ottone!$F$1,MATCH(H261,Ottone!$A:$A,0)-1,MATCH(I261,Ottone!$F$1:$FF$1,0)-1))*IF(E261="Ottone",1,0),4)</f>
        <v>0</v>
      </c>
      <c r="R261" s="446">
        <f ca="1">ROUND(IF(ISERROR(OFFSET(Rame!$F$1,MATCH(H261,Rame!$F:$F,0)-1,MATCH(I261,Rame!$F$1:$FF$1,0)-1)=TRUE),0,OFFSET(Rame!$F$1,MATCH(H261,Rame!$F:$F,0)-1,MATCH(I261,Rame!$F$1:$FF$1,0)-1))*IF(E261="Rame",1,0),4)</f>
        <v>0</v>
      </c>
      <c r="S261" s="446">
        <f ca="1">ROUND(IF(ISERROR(OFFSET(Bronzo!$A$1,MATCH(H261,Bronzo!$A:$A,0)-1,MATCH(I261,Bronzo!$A$1:$AA$1,0)-1)=TRUE),0,OFFSET(Bronzo!$A$1,MATCH(H261,Bronzo!$A:$A,0)-1,MATCH(I261,Bronzo!$A$1:$AA$1,0)-1)),4)</f>
        <v>0</v>
      </c>
      <c r="T261" s="446">
        <f t="shared" ca="1" si="159"/>
        <v>0</v>
      </c>
      <c r="U261" s="443"/>
      <c r="V261" s="446">
        <v>0</v>
      </c>
      <c r="W261" s="449">
        <f t="shared" ca="1" si="160"/>
        <v>1.6</v>
      </c>
      <c r="X261" s="452">
        <f t="shared" si="158"/>
        <v>84</v>
      </c>
      <c r="Y261" s="458">
        <v>1.7</v>
      </c>
      <c r="Z261" s="440">
        <f t="shared" ca="1" si="161"/>
        <v>-1.6</v>
      </c>
      <c r="AA261" s="241">
        <v>46198</v>
      </c>
      <c r="AF261" s="225">
        <f t="shared" ca="1" si="163"/>
        <v>46156</v>
      </c>
      <c r="AG261" s="225" t="b">
        <f t="shared" si="164"/>
        <v>0</v>
      </c>
      <c r="AH261" s="242"/>
      <c r="AK261" s="223">
        <f t="shared" si="165"/>
        <v>26</v>
      </c>
      <c r="AL261" s="223">
        <f t="shared" si="166"/>
        <v>2026</v>
      </c>
      <c r="AS261" s="223">
        <f t="shared" si="167"/>
        <v>6</v>
      </c>
      <c r="AT261" s="223">
        <f t="shared" si="168"/>
        <v>2026</v>
      </c>
    </row>
    <row r="262" spans="2:46" ht="15.75" x14ac:dyDescent="0.25">
      <c r="B262" s="229" t="s">
        <v>568</v>
      </c>
      <c r="C262" s="235" t="s">
        <v>330</v>
      </c>
      <c r="D262" s="243">
        <v>600</v>
      </c>
      <c r="E262" s="232" t="s">
        <v>4</v>
      </c>
      <c r="F262" s="436">
        <v>1.7</v>
      </c>
      <c r="G262" s="234">
        <v>46120</v>
      </c>
      <c r="H262" s="235" t="s">
        <v>19</v>
      </c>
      <c r="I262" s="235"/>
      <c r="J262" s="440">
        <v>7.0000000000000007E-2</v>
      </c>
      <c r="K262" s="443">
        <f ca="1">ROUND(IF(ISERROR(OFFSET(Tabella!$A$1,MATCH(H262,Tabella!$A:$A,0)-1,MATCH(J262,Tabella!$A$1:$AC$1,0)-1)=TRUE),0,+OFFSET(Tabella!$A$1,MATCH(H262,Tabella!$A:$A,0)-1,MATCH(J262,Tabella!$A$1:$AC$1,0)-1)),4)</f>
        <v>1.35</v>
      </c>
      <c r="L262" s="446">
        <f ca="1">ROUND(IF(ISERROR(OFFSET(Ottone!$A$1,MATCH(H262,Ottone!$A:$A,0)-1,MATCH(J262,Ottone!$A$1:$Z$1,0)-1)=TRUE),0,OFFSET(Ottone!$A$1,MATCH(H262,Ottone!$A:$A,0)-1,MATCH(J262,Ottone!$A$1:$Z$1,0)-1))*IF(E262="Ottone",1,0),4)</f>
        <v>0</v>
      </c>
      <c r="M262" s="446">
        <f ca="1">ROUND(IF(ISERROR(OFFSET(Rame!$A$1,MATCH(H262,Rame!$A:$A,0)-1,MATCH(J262,Rame!$A$1:$AA$1,0)-1)=TRUE),0,OFFSET(Rame!$A$1,MATCH(H262,Rame!$A:$A,0)-1,MATCH(J262,Rame!$A$1:$AA$1,0)-1))*IF(E262="Rame",1,0),4)</f>
        <v>0</v>
      </c>
      <c r="N262" s="446">
        <v>0</v>
      </c>
      <c r="O262" s="446">
        <v>1.6</v>
      </c>
      <c r="P262" s="446">
        <f ca="1">ROUND(+IF(ISERROR(OFFSET(Tabella!$G$1,MATCH(H262,Tabella!$G:$G,0)-1,MATCH(I262,Tabella!$G$1:$FG$1,0)-1)=TRUE),0,OFFSET(Tabella!$G$1,MATCH(H262,Tabella!$G:$G,0)-1,MATCH(I262,Tabella!$G$1:$AB$1,0)-1)),4)</f>
        <v>0</v>
      </c>
      <c r="Q262" s="446">
        <f ca="1">ROUND(IF(ISERROR(OFFSET(Ottone!$F$1,MATCH(H262,Ottone!$A:$A,0)-1,MATCH(I262,Ottone!$F$1:$FF$1,0)-1)=TRUE),0,OFFSET(Ottone!$F$1,MATCH(H262,Ottone!$A:$A,0)-1,MATCH(I262,Ottone!$F$1:$FF$1,0)-1))*IF(E262="Ottone",1,0),4)</f>
        <v>0</v>
      </c>
      <c r="R262" s="446">
        <f ca="1">ROUND(IF(ISERROR(OFFSET(Rame!$F$1,MATCH(H262,Rame!$F:$F,0)-1,MATCH(I262,Rame!$F$1:$FF$1,0)-1)=TRUE),0,OFFSET(Rame!$F$1,MATCH(H262,Rame!$F:$F,0)-1,MATCH(I262,Rame!$F$1:$FF$1,0)-1))*IF(E262="Rame",1,0),4)</f>
        <v>0</v>
      </c>
      <c r="S262" s="446">
        <f ca="1">ROUND(IF(ISERROR(OFFSET(Bronzo!$A$1,MATCH(H262,Bronzo!$A:$A,0)-1,MATCH(I262,Bronzo!$A$1:$AA$1,0)-1)=TRUE),0,OFFSET(Bronzo!$A$1,MATCH(H262,Bronzo!$A:$A,0)-1,MATCH(I262,Bronzo!$A$1:$AA$1,0)-1)),4)</f>
        <v>0</v>
      </c>
      <c r="T262" s="446">
        <f t="shared" ca="1" si="159"/>
        <v>0</v>
      </c>
      <c r="U262" s="443"/>
      <c r="V262" s="446">
        <v>0</v>
      </c>
      <c r="W262" s="449">
        <f t="shared" ca="1" si="160"/>
        <v>1.6</v>
      </c>
      <c r="X262" s="452">
        <f t="shared" si="158"/>
        <v>42</v>
      </c>
      <c r="Y262" s="458">
        <v>1.7</v>
      </c>
      <c r="Z262" s="440">
        <f t="shared" ca="1" si="161"/>
        <v>-1.6</v>
      </c>
      <c r="AA262" s="241">
        <v>46184</v>
      </c>
      <c r="AF262" s="225">
        <f t="shared" ca="1" si="163"/>
        <v>46156</v>
      </c>
      <c r="AG262" s="225" t="b">
        <f t="shared" si="164"/>
        <v>0</v>
      </c>
      <c r="AH262" s="242"/>
      <c r="AK262" s="223">
        <f t="shared" si="165"/>
        <v>24</v>
      </c>
      <c r="AL262" s="223">
        <f t="shared" si="166"/>
        <v>2026</v>
      </c>
      <c r="AS262" s="223">
        <f t="shared" si="167"/>
        <v>6</v>
      </c>
      <c r="AT262" s="223">
        <f t="shared" si="168"/>
        <v>2026</v>
      </c>
    </row>
    <row r="263" spans="2:46" ht="15.75" x14ac:dyDescent="0.25">
      <c r="B263" s="229" t="s">
        <v>568</v>
      </c>
      <c r="C263" s="235" t="s">
        <v>330</v>
      </c>
      <c r="D263" s="243">
        <v>1000</v>
      </c>
      <c r="E263" s="232" t="s">
        <v>4</v>
      </c>
      <c r="F263" s="436">
        <v>1.7</v>
      </c>
      <c r="G263" s="234">
        <v>46120</v>
      </c>
      <c r="H263" s="235" t="s">
        <v>21</v>
      </c>
      <c r="I263" s="235"/>
      <c r="J263" s="440">
        <v>7.0000000000000007E-2</v>
      </c>
      <c r="K263" s="443">
        <f ca="1">ROUND(IF(ISERROR(OFFSET(Tabella!$A$1,MATCH(H263,Tabella!$A:$A,0)-1,MATCH(J263,Tabella!$A$1:$AC$1,0)-1)=TRUE),0,+OFFSET(Tabella!$A$1,MATCH(H263,Tabella!$A:$A,0)-1,MATCH(J263,Tabella!$A$1:$AC$1,0)-1)),4)</f>
        <v>1.25</v>
      </c>
      <c r="L263" s="446">
        <f ca="1">ROUND(IF(ISERROR(OFFSET(Ottone!$A$1,MATCH(H263,Ottone!$A:$A,0)-1,MATCH(J263,Ottone!$A$1:$Z$1,0)-1)=TRUE),0,OFFSET(Ottone!$A$1,MATCH(H263,Ottone!$A:$A,0)-1,MATCH(J263,Ottone!$A$1:$Z$1,0)-1))*IF(E263="Ottone",1,0),4)</f>
        <v>0</v>
      </c>
      <c r="M263" s="446">
        <f ca="1">ROUND(IF(ISERROR(OFFSET(Rame!$A$1,MATCH(H263,Rame!$A:$A,0)-1,MATCH(J263,Rame!$A$1:$AA$1,0)-1)=TRUE),0,OFFSET(Rame!$A$1,MATCH(H263,Rame!$A:$A,0)-1,MATCH(J263,Rame!$A$1:$AA$1,0)-1))*IF(E263="Rame",1,0),4)</f>
        <v>0</v>
      </c>
      <c r="N263" s="446">
        <v>0</v>
      </c>
      <c r="O263" s="446">
        <v>1.6</v>
      </c>
      <c r="P263" s="446">
        <f ca="1">ROUND(+IF(ISERROR(OFFSET(Tabella!$G$1,MATCH(H263,Tabella!$G:$G,0)-1,MATCH(I263,Tabella!$G$1:$FG$1,0)-1)=TRUE),0,OFFSET(Tabella!$G$1,MATCH(H263,Tabella!$G:$G,0)-1,MATCH(I263,Tabella!$G$1:$AB$1,0)-1)),4)</f>
        <v>0</v>
      </c>
      <c r="Q263" s="446">
        <f ca="1">ROUND(IF(ISERROR(OFFSET(Ottone!$F$1,MATCH(H263,Ottone!$A:$A,0)-1,MATCH(I263,Ottone!$F$1:$FF$1,0)-1)=TRUE),0,OFFSET(Ottone!$F$1,MATCH(H263,Ottone!$A:$A,0)-1,MATCH(I263,Ottone!$F$1:$FF$1,0)-1))*IF(E263="Ottone",1,0),4)</f>
        <v>0</v>
      </c>
      <c r="R263" s="446">
        <f ca="1">ROUND(IF(ISERROR(OFFSET(Rame!$F$1,MATCH(H263,Rame!$F:$F,0)-1,MATCH(I263,Rame!$F$1:$FF$1,0)-1)=TRUE),0,OFFSET(Rame!$F$1,MATCH(H263,Rame!$F:$F,0)-1,MATCH(I263,Rame!$F$1:$FF$1,0)-1))*IF(E263="Rame",1,0),4)</f>
        <v>0</v>
      </c>
      <c r="S263" s="446">
        <f ca="1">ROUND(IF(ISERROR(OFFSET(Bronzo!$A$1,MATCH(H263,Bronzo!$A:$A,0)-1,MATCH(I263,Bronzo!$A$1:$AA$1,0)-1)=TRUE),0,OFFSET(Bronzo!$A$1,MATCH(H263,Bronzo!$A:$A,0)-1,MATCH(I263,Bronzo!$A$1:$AA$1,0)-1)),4)</f>
        <v>0</v>
      </c>
      <c r="T263" s="446">
        <f t="shared" ca="1" si="159"/>
        <v>0</v>
      </c>
      <c r="U263" s="443"/>
      <c r="V263" s="446">
        <v>0</v>
      </c>
      <c r="W263" s="449">
        <f t="shared" ca="1" si="160"/>
        <v>1.6</v>
      </c>
      <c r="X263" s="452">
        <f t="shared" si="158"/>
        <v>70</v>
      </c>
      <c r="Y263" s="458">
        <v>1.7</v>
      </c>
      <c r="Z263" s="440">
        <f t="shared" ca="1" si="161"/>
        <v>-1.6</v>
      </c>
      <c r="AA263" s="241">
        <v>46167</v>
      </c>
      <c r="AF263" s="225">
        <f t="shared" ca="1" si="163"/>
        <v>46156</v>
      </c>
      <c r="AG263" s="225" t="b">
        <f t="shared" si="164"/>
        <v>0</v>
      </c>
      <c r="AH263" s="242"/>
      <c r="AK263" s="223">
        <f t="shared" si="165"/>
        <v>22</v>
      </c>
      <c r="AL263" s="223">
        <f t="shared" si="166"/>
        <v>2026</v>
      </c>
      <c r="AS263" s="223">
        <f t="shared" si="167"/>
        <v>5</v>
      </c>
      <c r="AT263" s="223">
        <f t="shared" si="168"/>
        <v>2026</v>
      </c>
    </row>
    <row r="264" spans="2:46" ht="15.75" x14ac:dyDescent="0.25">
      <c r="B264" s="229" t="s">
        <v>568</v>
      </c>
      <c r="C264" s="235" t="s">
        <v>330</v>
      </c>
      <c r="D264" s="243">
        <v>1000</v>
      </c>
      <c r="E264" s="232" t="s">
        <v>4</v>
      </c>
      <c r="F264" s="436">
        <v>1.7</v>
      </c>
      <c r="G264" s="234">
        <v>46120</v>
      </c>
      <c r="H264" s="235" t="s">
        <v>21</v>
      </c>
      <c r="I264" s="235"/>
      <c r="J264" s="440">
        <v>7.0000000000000007E-2</v>
      </c>
      <c r="K264" s="443">
        <f ca="1">ROUND(IF(ISERROR(OFFSET(Tabella!$A$1,MATCH(H264,Tabella!$A:$A,0)-1,MATCH(J264,Tabella!$A$1:$AC$1,0)-1)=TRUE),0,+OFFSET(Tabella!$A$1,MATCH(H264,Tabella!$A:$A,0)-1,MATCH(J264,Tabella!$A$1:$AC$1,0)-1)),4)</f>
        <v>1.25</v>
      </c>
      <c r="L264" s="446">
        <f ca="1">ROUND(IF(ISERROR(OFFSET(Ottone!$A$1,MATCH(H264,Ottone!$A:$A,0)-1,MATCH(J264,Ottone!$A$1:$Z$1,0)-1)=TRUE),0,OFFSET(Ottone!$A$1,MATCH(H264,Ottone!$A:$A,0)-1,MATCH(J264,Ottone!$A$1:$Z$1,0)-1))*IF(E264="Ottone",1,0),4)</f>
        <v>0</v>
      </c>
      <c r="M264" s="446">
        <f ca="1">ROUND(IF(ISERROR(OFFSET(Rame!$A$1,MATCH(H264,Rame!$A:$A,0)-1,MATCH(J264,Rame!$A$1:$AA$1,0)-1)=TRUE),0,OFFSET(Rame!$A$1,MATCH(H264,Rame!$A:$A,0)-1,MATCH(J264,Rame!$A$1:$AA$1,0)-1))*IF(E264="Rame",1,0),4)</f>
        <v>0</v>
      </c>
      <c r="N264" s="446">
        <v>0</v>
      </c>
      <c r="O264" s="446">
        <v>1.6</v>
      </c>
      <c r="P264" s="446">
        <f ca="1">ROUND(+IF(ISERROR(OFFSET(Tabella!$G$1,MATCH(H264,Tabella!$G:$G,0)-1,MATCH(I264,Tabella!$G$1:$FG$1,0)-1)=TRUE),0,OFFSET(Tabella!$G$1,MATCH(H264,Tabella!$G:$G,0)-1,MATCH(I264,Tabella!$G$1:$AB$1,0)-1)),4)</f>
        <v>0</v>
      </c>
      <c r="Q264" s="446">
        <f ca="1">ROUND(IF(ISERROR(OFFSET(Ottone!$F$1,MATCH(H264,Ottone!$A:$A,0)-1,MATCH(I264,Ottone!$F$1:$FF$1,0)-1)=TRUE),0,OFFSET(Ottone!$F$1,MATCH(H264,Ottone!$A:$A,0)-1,MATCH(I264,Ottone!$F$1:$FF$1,0)-1))*IF(E264="Ottone",1,0),4)</f>
        <v>0</v>
      </c>
      <c r="R264" s="446">
        <f ca="1">ROUND(IF(ISERROR(OFFSET(Rame!$F$1,MATCH(H264,Rame!$F:$F,0)-1,MATCH(I264,Rame!$F$1:$FF$1,0)-1)=TRUE),0,OFFSET(Rame!$F$1,MATCH(H264,Rame!$F:$F,0)-1,MATCH(I264,Rame!$F$1:$FF$1,0)-1))*IF(E264="Rame",1,0),4)</f>
        <v>0</v>
      </c>
      <c r="S264" s="446">
        <f ca="1">ROUND(IF(ISERROR(OFFSET(Bronzo!$A$1,MATCH(H264,Bronzo!$A:$A,0)-1,MATCH(I264,Bronzo!$A$1:$AA$1,0)-1)=TRUE),0,OFFSET(Bronzo!$A$1,MATCH(H264,Bronzo!$A:$A,0)-1,MATCH(I264,Bronzo!$A$1:$AA$1,0)-1)),4)</f>
        <v>0</v>
      </c>
      <c r="T264" s="446">
        <f t="shared" ca="1" si="159"/>
        <v>0</v>
      </c>
      <c r="U264" s="443"/>
      <c r="V264" s="446">
        <v>0</v>
      </c>
      <c r="W264" s="449">
        <f t="shared" ca="1" si="160"/>
        <v>1.6</v>
      </c>
      <c r="X264" s="452">
        <f t="shared" si="158"/>
        <v>70</v>
      </c>
      <c r="Y264" s="458">
        <v>1.7</v>
      </c>
      <c r="Z264" s="440">
        <f t="shared" ca="1" si="161"/>
        <v>-1.6</v>
      </c>
      <c r="AA264" s="241">
        <v>46169</v>
      </c>
      <c r="AF264" s="225">
        <f t="shared" ca="1" si="163"/>
        <v>46156</v>
      </c>
      <c r="AG264" s="225" t="b">
        <f t="shared" si="164"/>
        <v>0</v>
      </c>
      <c r="AH264" s="242"/>
      <c r="AK264" s="223">
        <f t="shared" si="165"/>
        <v>22</v>
      </c>
      <c r="AL264" s="223">
        <f t="shared" si="166"/>
        <v>2026</v>
      </c>
      <c r="AS264" s="223">
        <f t="shared" si="167"/>
        <v>5</v>
      </c>
      <c r="AT264" s="223">
        <f t="shared" si="168"/>
        <v>2026</v>
      </c>
    </row>
    <row r="265" spans="2:46" ht="15.75" x14ac:dyDescent="0.25">
      <c r="B265" s="229" t="s">
        <v>568</v>
      </c>
      <c r="C265" s="235" t="s">
        <v>330</v>
      </c>
      <c r="D265" s="243">
        <v>2000</v>
      </c>
      <c r="E265" s="232" t="s">
        <v>4</v>
      </c>
      <c r="F265" s="436">
        <v>1.7</v>
      </c>
      <c r="G265" s="234">
        <v>46120</v>
      </c>
      <c r="H265" s="235" t="s">
        <v>24</v>
      </c>
      <c r="I265" s="235"/>
      <c r="J265" s="440">
        <v>7.0000000000000007E-2</v>
      </c>
      <c r="K265" s="443">
        <f ca="1">ROUND(IF(ISERROR(OFFSET(Tabella!$A$1,MATCH(H265,Tabella!$A:$A,0)-1,MATCH(J265,Tabella!$A$1:$AC$1,0)-1)=TRUE),0,+OFFSET(Tabella!$A$1,MATCH(H265,Tabella!$A:$A,0)-1,MATCH(J265,Tabella!$A$1:$AC$1,0)-1)),4)</f>
        <v>1.25</v>
      </c>
      <c r="L265" s="446">
        <f ca="1">ROUND(IF(ISERROR(OFFSET(Ottone!$A$1,MATCH(H265,Ottone!$A:$A,0)-1,MATCH(J265,Ottone!$A$1:$Z$1,0)-1)=TRUE),0,OFFSET(Ottone!$A$1,MATCH(H265,Ottone!$A:$A,0)-1,MATCH(J265,Ottone!$A$1:$Z$1,0)-1))*IF(E265="Ottone",1,0),4)</f>
        <v>0</v>
      </c>
      <c r="M265" s="446">
        <f ca="1">ROUND(IF(ISERROR(OFFSET(Rame!$A$1,MATCH(H265,Rame!$A:$A,0)-1,MATCH(J265,Rame!$A$1:$AA$1,0)-1)=TRUE),0,OFFSET(Rame!$A$1,MATCH(H265,Rame!$A:$A,0)-1,MATCH(J265,Rame!$A$1:$AA$1,0)-1))*IF(E265="Rame",1,0),4)</f>
        <v>0</v>
      </c>
      <c r="N265" s="446">
        <v>0</v>
      </c>
      <c r="O265" s="446">
        <v>1.6</v>
      </c>
      <c r="P265" s="446">
        <f ca="1">ROUND(+IF(ISERROR(OFFSET(Tabella!$G$1,MATCH(H265,Tabella!$G:$G,0)-1,MATCH(I265,Tabella!$G$1:$FG$1,0)-1)=TRUE),0,OFFSET(Tabella!$G$1,MATCH(H265,Tabella!$G:$G,0)-1,MATCH(I265,Tabella!$G$1:$AB$1,0)-1)),4)</f>
        <v>0</v>
      </c>
      <c r="Q265" s="446">
        <f ca="1">ROUND(IF(ISERROR(OFFSET(Ottone!$F$1,MATCH(H265,Ottone!$A:$A,0)-1,MATCH(I265,Ottone!$F$1:$FF$1,0)-1)=TRUE),0,OFFSET(Ottone!$F$1,MATCH(H265,Ottone!$A:$A,0)-1,MATCH(I265,Ottone!$F$1:$FF$1,0)-1))*IF(E265="Ottone",1,0),4)</f>
        <v>0</v>
      </c>
      <c r="R265" s="446">
        <f ca="1">ROUND(IF(ISERROR(OFFSET(Rame!$F$1,MATCH(H265,Rame!$F:$F,0)-1,MATCH(I265,Rame!$F$1:$FF$1,0)-1)=TRUE),0,OFFSET(Rame!$F$1,MATCH(H265,Rame!$F:$F,0)-1,MATCH(I265,Rame!$F$1:$FF$1,0)-1))*IF(E265="Rame",1,0),4)</f>
        <v>0</v>
      </c>
      <c r="S265" s="446">
        <f ca="1">ROUND(IF(ISERROR(OFFSET(Bronzo!$A$1,MATCH(H265,Bronzo!$A:$A,0)-1,MATCH(I265,Bronzo!$A$1:$AA$1,0)-1)=TRUE),0,OFFSET(Bronzo!$A$1,MATCH(H265,Bronzo!$A:$A,0)-1,MATCH(I265,Bronzo!$A$1:$AA$1,0)-1)),4)</f>
        <v>0</v>
      </c>
      <c r="T265" s="446">
        <f t="shared" ca="1" si="159"/>
        <v>0</v>
      </c>
      <c r="U265" s="443"/>
      <c r="V265" s="446">
        <v>0</v>
      </c>
      <c r="W265" s="449">
        <f t="shared" ca="1" si="160"/>
        <v>1.6</v>
      </c>
      <c r="X265" s="452">
        <f t="shared" si="158"/>
        <v>140</v>
      </c>
      <c r="Y265" s="458">
        <v>1.7</v>
      </c>
      <c r="Z265" s="440">
        <f t="shared" ca="1" si="161"/>
        <v>-1.6</v>
      </c>
      <c r="AA265" s="241">
        <v>46169</v>
      </c>
      <c r="AF265" s="225">
        <f t="shared" ca="1" si="163"/>
        <v>46156</v>
      </c>
      <c r="AG265" s="225" t="b">
        <f t="shared" si="164"/>
        <v>0</v>
      </c>
      <c r="AH265" s="242"/>
      <c r="AK265" s="223">
        <f t="shared" si="165"/>
        <v>22</v>
      </c>
      <c r="AL265" s="223">
        <f t="shared" si="166"/>
        <v>2026</v>
      </c>
      <c r="AS265" s="223">
        <f t="shared" si="167"/>
        <v>5</v>
      </c>
      <c r="AT265" s="223">
        <f t="shared" si="168"/>
        <v>2026</v>
      </c>
    </row>
    <row r="266" spans="2:46" ht="15.75" x14ac:dyDescent="0.25">
      <c r="B266" s="229" t="s">
        <v>568</v>
      </c>
      <c r="C266" s="235" t="s">
        <v>330</v>
      </c>
      <c r="D266" s="243">
        <v>600</v>
      </c>
      <c r="E266" s="232" t="s">
        <v>4</v>
      </c>
      <c r="F266" s="436">
        <v>1.7</v>
      </c>
      <c r="G266" s="234">
        <v>46120</v>
      </c>
      <c r="H266" s="235" t="s">
        <v>13</v>
      </c>
      <c r="I266" s="235"/>
      <c r="J266" s="440">
        <v>7.0000000000000007E-2</v>
      </c>
      <c r="K266" s="443">
        <f ca="1">ROUND(IF(ISERROR(OFFSET(Tabella!$A$1,MATCH(H266,Tabella!$A:$A,0)-1,MATCH(J266,Tabella!$A$1:$AC$1,0)-1)=TRUE),0,+OFFSET(Tabella!$A$1,MATCH(H266,Tabella!$A:$A,0)-1,MATCH(J266,Tabella!$A$1:$AC$1,0)-1)),4)</f>
        <v>1.4</v>
      </c>
      <c r="L266" s="446">
        <f ca="1">ROUND(IF(ISERROR(OFFSET(Ottone!$A$1,MATCH(H266,Ottone!$A:$A,0)-1,MATCH(J266,Ottone!$A$1:$Z$1,0)-1)=TRUE),0,OFFSET(Ottone!$A$1,MATCH(H266,Ottone!$A:$A,0)-1,MATCH(J266,Ottone!$A$1:$Z$1,0)-1))*IF(E266="Ottone",1,0),4)</f>
        <v>0</v>
      </c>
      <c r="M266" s="446">
        <f ca="1">ROUND(IF(ISERROR(OFFSET(Rame!$A$1,MATCH(H266,Rame!$A:$A,0)-1,MATCH(J266,Rame!$A$1:$AA$1,0)-1)=TRUE),0,OFFSET(Rame!$A$1,MATCH(H266,Rame!$A:$A,0)-1,MATCH(J266,Rame!$A$1:$AA$1,0)-1))*IF(E266="Rame",1,0),4)</f>
        <v>0</v>
      </c>
      <c r="N266" s="446">
        <v>0</v>
      </c>
      <c r="O266" s="446">
        <v>1.6</v>
      </c>
      <c r="P266" s="446">
        <f ca="1">ROUND(+IF(ISERROR(OFFSET(Tabella!$G$1,MATCH(H266,Tabella!$G:$G,0)-1,MATCH(I266,Tabella!$G$1:$FG$1,0)-1)=TRUE),0,OFFSET(Tabella!$G$1,MATCH(H266,Tabella!$G:$G,0)-1,MATCH(I266,Tabella!$G$1:$AB$1,0)-1)),4)</f>
        <v>0</v>
      </c>
      <c r="Q266" s="446">
        <f ca="1">ROUND(IF(ISERROR(OFFSET(Ottone!$F$1,MATCH(H266,Ottone!$A:$A,0)-1,MATCH(I266,Ottone!$F$1:$FF$1,0)-1)=TRUE),0,OFFSET(Ottone!$F$1,MATCH(H266,Ottone!$A:$A,0)-1,MATCH(I266,Ottone!$F$1:$FF$1,0)-1))*IF(E266="Ottone",1,0),4)</f>
        <v>0</v>
      </c>
      <c r="R266" s="446">
        <f ca="1">ROUND(IF(ISERROR(OFFSET(Rame!$F$1,MATCH(H266,Rame!$F:$F,0)-1,MATCH(I266,Rame!$F$1:$FF$1,0)-1)=TRUE),0,OFFSET(Rame!$F$1,MATCH(H266,Rame!$F:$F,0)-1,MATCH(I266,Rame!$F$1:$FF$1,0)-1))*IF(E266="Rame",1,0),4)</f>
        <v>0</v>
      </c>
      <c r="S266" s="446">
        <f ca="1">ROUND(IF(ISERROR(OFFSET(Bronzo!$A$1,MATCH(H266,Bronzo!$A:$A,0)-1,MATCH(I266,Bronzo!$A$1:$AA$1,0)-1)=TRUE),0,OFFSET(Bronzo!$A$1,MATCH(H266,Bronzo!$A:$A,0)-1,MATCH(I266,Bronzo!$A$1:$AA$1,0)-1)),4)</f>
        <v>0</v>
      </c>
      <c r="T266" s="446">
        <f t="shared" ca="1" si="159"/>
        <v>0</v>
      </c>
      <c r="U266" s="443"/>
      <c r="V266" s="446">
        <v>0</v>
      </c>
      <c r="W266" s="449">
        <f t="shared" ca="1" si="160"/>
        <v>1.6</v>
      </c>
      <c r="X266" s="452">
        <f t="shared" si="158"/>
        <v>42</v>
      </c>
      <c r="Y266" s="458">
        <v>1.7</v>
      </c>
      <c r="Z266" s="440">
        <f t="shared" ca="1" si="161"/>
        <v>-1.6</v>
      </c>
      <c r="AA266" s="241">
        <v>46169</v>
      </c>
      <c r="AF266" s="225">
        <f t="shared" ca="1" si="163"/>
        <v>46156</v>
      </c>
      <c r="AG266" s="225" t="b">
        <f t="shared" si="164"/>
        <v>0</v>
      </c>
      <c r="AH266" s="242"/>
      <c r="AK266" s="223">
        <f t="shared" si="165"/>
        <v>22</v>
      </c>
      <c r="AL266" s="223">
        <f t="shared" si="166"/>
        <v>2026</v>
      </c>
      <c r="AS266" s="223">
        <f t="shared" si="167"/>
        <v>5</v>
      </c>
      <c r="AT266" s="223">
        <f t="shared" si="168"/>
        <v>2026</v>
      </c>
    </row>
    <row r="267" spans="2:46" ht="15.75" x14ac:dyDescent="0.25">
      <c r="B267" s="229" t="s">
        <v>568</v>
      </c>
      <c r="C267" s="235" t="s">
        <v>330</v>
      </c>
      <c r="D267" s="243">
        <v>500</v>
      </c>
      <c r="E267" s="232" t="s">
        <v>4</v>
      </c>
      <c r="F267" s="436">
        <v>1.7</v>
      </c>
      <c r="G267" s="234">
        <v>46120</v>
      </c>
      <c r="H267" s="235" t="s">
        <v>13</v>
      </c>
      <c r="I267" s="235"/>
      <c r="J267" s="440">
        <v>7.0000000000000007E-2</v>
      </c>
      <c r="K267" s="443">
        <f ca="1">ROUND(IF(ISERROR(OFFSET(Tabella!$A$1,MATCH(H267,Tabella!$A:$A,0)-1,MATCH(J267,Tabella!$A$1:$AC$1,0)-1)=TRUE),0,+OFFSET(Tabella!$A$1,MATCH(H267,Tabella!$A:$A,0)-1,MATCH(J267,Tabella!$A$1:$AC$1,0)-1)),4)</f>
        <v>1.4</v>
      </c>
      <c r="L267" s="446">
        <f ca="1">ROUND(IF(ISERROR(OFFSET(Ottone!$A$1,MATCH(H267,Ottone!$A:$A,0)-1,MATCH(J267,Ottone!$A$1:$Z$1,0)-1)=TRUE),0,OFFSET(Ottone!$A$1,MATCH(H267,Ottone!$A:$A,0)-1,MATCH(J267,Ottone!$A$1:$Z$1,0)-1))*IF(E267="Ottone",1,0),4)</f>
        <v>0</v>
      </c>
      <c r="M267" s="446">
        <f ca="1">ROUND(IF(ISERROR(OFFSET(Rame!$A$1,MATCH(H267,Rame!$A:$A,0)-1,MATCH(J267,Rame!$A$1:$AA$1,0)-1)=TRUE),0,OFFSET(Rame!$A$1,MATCH(H267,Rame!$A:$A,0)-1,MATCH(J267,Rame!$A$1:$AA$1,0)-1))*IF(E267="Rame",1,0),4)</f>
        <v>0</v>
      </c>
      <c r="N267" s="446">
        <v>0</v>
      </c>
      <c r="O267" s="446">
        <v>1.6</v>
      </c>
      <c r="P267" s="446">
        <f ca="1">ROUND(+IF(ISERROR(OFFSET(Tabella!$G$1,MATCH(H267,Tabella!$G:$G,0)-1,MATCH(I267,Tabella!$G$1:$FG$1,0)-1)=TRUE),0,OFFSET(Tabella!$G$1,MATCH(H267,Tabella!$G:$G,0)-1,MATCH(I267,Tabella!$G$1:$AB$1,0)-1)),4)</f>
        <v>0</v>
      </c>
      <c r="Q267" s="446">
        <f ca="1">ROUND(IF(ISERROR(OFFSET(Ottone!$F$1,MATCH(H267,Ottone!$A:$A,0)-1,MATCH(I267,Ottone!$F$1:$FF$1,0)-1)=TRUE),0,OFFSET(Ottone!$F$1,MATCH(H267,Ottone!$A:$A,0)-1,MATCH(I267,Ottone!$F$1:$FF$1,0)-1))*IF(E267="Ottone",1,0),4)</f>
        <v>0</v>
      </c>
      <c r="R267" s="446">
        <f ca="1">ROUND(IF(ISERROR(OFFSET(Rame!$F$1,MATCH(H267,Rame!$F:$F,0)-1,MATCH(I267,Rame!$F$1:$FF$1,0)-1)=TRUE),0,OFFSET(Rame!$F$1,MATCH(H267,Rame!$F:$F,0)-1,MATCH(I267,Rame!$F$1:$FF$1,0)-1))*IF(E267="Rame",1,0),4)</f>
        <v>0</v>
      </c>
      <c r="S267" s="446">
        <f ca="1">ROUND(IF(ISERROR(OFFSET(Bronzo!$A$1,MATCH(H267,Bronzo!$A:$A,0)-1,MATCH(I267,Bronzo!$A$1:$AA$1,0)-1)=TRUE),0,OFFSET(Bronzo!$A$1,MATCH(H267,Bronzo!$A:$A,0)-1,MATCH(I267,Bronzo!$A$1:$AA$1,0)-1)),4)</f>
        <v>0</v>
      </c>
      <c r="T267" s="446">
        <f t="shared" ca="1" si="159"/>
        <v>0</v>
      </c>
      <c r="U267" s="443"/>
      <c r="V267" s="446">
        <v>0</v>
      </c>
      <c r="W267" s="449">
        <f t="shared" ca="1" si="160"/>
        <v>1.6</v>
      </c>
      <c r="X267" s="452">
        <f t="shared" si="158"/>
        <v>35</v>
      </c>
      <c r="Y267" s="458">
        <v>1.7</v>
      </c>
      <c r="Z267" s="440">
        <f t="shared" ca="1" si="161"/>
        <v>-1.6</v>
      </c>
      <c r="AA267" s="241">
        <v>46195</v>
      </c>
      <c r="AF267" s="225">
        <f t="shared" ca="1" si="163"/>
        <v>46156</v>
      </c>
      <c r="AG267" s="225" t="b">
        <f t="shared" si="164"/>
        <v>0</v>
      </c>
      <c r="AH267" s="242"/>
      <c r="AK267" s="223">
        <f t="shared" si="165"/>
        <v>26</v>
      </c>
      <c r="AL267" s="223">
        <f t="shared" si="166"/>
        <v>2026</v>
      </c>
      <c r="AS267" s="223">
        <f t="shared" si="167"/>
        <v>6</v>
      </c>
      <c r="AT267" s="223">
        <f t="shared" si="168"/>
        <v>2026</v>
      </c>
    </row>
    <row r="268" spans="2:46" ht="15.75" x14ac:dyDescent="0.25">
      <c r="B268" s="229" t="s">
        <v>568</v>
      </c>
      <c r="C268" s="235" t="s">
        <v>330</v>
      </c>
      <c r="D268" s="243">
        <v>1200</v>
      </c>
      <c r="E268" s="232" t="s">
        <v>4</v>
      </c>
      <c r="F268" s="436">
        <v>1.7</v>
      </c>
      <c r="G268" s="234">
        <v>46120</v>
      </c>
      <c r="H268" s="235" t="s">
        <v>17</v>
      </c>
      <c r="I268" s="235"/>
      <c r="J268" s="440">
        <v>7.0000000000000007E-2</v>
      </c>
      <c r="K268" s="443">
        <f ca="1">ROUND(IF(ISERROR(OFFSET(Tabella!$A$1,MATCH(H268,Tabella!$A:$A,0)-1,MATCH(J268,Tabella!$A$1:$AC$1,0)-1)=TRUE),0,+OFFSET(Tabella!$A$1,MATCH(H268,Tabella!$A:$A,0)-1,MATCH(J268,Tabella!$A$1:$AC$1,0)-1)),4)</f>
        <v>1.4</v>
      </c>
      <c r="L268" s="446">
        <f ca="1">ROUND(IF(ISERROR(OFFSET(Ottone!$A$1,MATCH(H268,Ottone!$A:$A,0)-1,MATCH(J268,Ottone!$A$1:$Z$1,0)-1)=TRUE),0,OFFSET(Ottone!$A$1,MATCH(H268,Ottone!$A:$A,0)-1,MATCH(J268,Ottone!$A$1:$Z$1,0)-1))*IF(E268="Ottone",1,0),4)</f>
        <v>0</v>
      </c>
      <c r="M268" s="446">
        <f ca="1">ROUND(IF(ISERROR(OFFSET(Rame!$A$1,MATCH(H268,Rame!$A:$A,0)-1,MATCH(J268,Rame!$A$1:$AA$1,0)-1)=TRUE),0,OFFSET(Rame!$A$1,MATCH(H268,Rame!$A:$A,0)-1,MATCH(J268,Rame!$A$1:$AA$1,0)-1))*IF(E268="Rame",1,0),4)</f>
        <v>0</v>
      </c>
      <c r="N268" s="446">
        <v>0</v>
      </c>
      <c r="O268" s="446">
        <v>1.6</v>
      </c>
      <c r="P268" s="446">
        <f ca="1">ROUND(+IF(ISERROR(OFFSET(Tabella!$G$1,MATCH(H268,Tabella!$G:$G,0)-1,MATCH(I268,Tabella!$G$1:$FG$1,0)-1)=TRUE),0,OFFSET(Tabella!$G$1,MATCH(H268,Tabella!$G:$G,0)-1,MATCH(I268,Tabella!$G$1:$AB$1,0)-1)),4)</f>
        <v>0</v>
      </c>
      <c r="Q268" s="446">
        <f ca="1">ROUND(IF(ISERROR(OFFSET(Ottone!$F$1,MATCH(H268,Ottone!$A:$A,0)-1,MATCH(I268,Ottone!$F$1:$FF$1,0)-1)=TRUE),0,OFFSET(Ottone!$F$1,MATCH(H268,Ottone!$A:$A,0)-1,MATCH(I268,Ottone!$F$1:$FF$1,0)-1))*IF(E268="Ottone",1,0),4)</f>
        <v>0</v>
      </c>
      <c r="R268" s="446">
        <f ca="1">ROUND(IF(ISERROR(OFFSET(Rame!$F$1,MATCH(H268,Rame!$F:$F,0)-1,MATCH(I268,Rame!$F$1:$FF$1,0)-1)=TRUE),0,OFFSET(Rame!$F$1,MATCH(H268,Rame!$F:$F,0)-1,MATCH(I268,Rame!$F$1:$FF$1,0)-1))*IF(E268="Rame",1,0),4)</f>
        <v>0</v>
      </c>
      <c r="S268" s="446">
        <f ca="1">ROUND(IF(ISERROR(OFFSET(Bronzo!$A$1,MATCH(H268,Bronzo!$A:$A,0)-1,MATCH(I268,Bronzo!$A$1:$AA$1,0)-1)=TRUE),0,OFFSET(Bronzo!$A$1,MATCH(H268,Bronzo!$A:$A,0)-1,MATCH(I268,Bronzo!$A$1:$AA$1,0)-1)),4)</f>
        <v>0</v>
      </c>
      <c r="T268" s="446">
        <f t="shared" ca="1" si="159"/>
        <v>0</v>
      </c>
      <c r="U268" s="443"/>
      <c r="V268" s="446">
        <v>0</v>
      </c>
      <c r="W268" s="449">
        <f t="shared" ca="1" si="160"/>
        <v>1.6</v>
      </c>
      <c r="X268" s="452">
        <f t="shared" si="158"/>
        <v>84</v>
      </c>
      <c r="Y268" s="458">
        <v>1.7</v>
      </c>
      <c r="Z268" s="440">
        <f t="shared" ca="1" si="161"/>
        <v>-1.6</v>
      </c>
      <c r="AA268" s="241">
        <v>46195</v>
      </c>
      <c r="AF268" s="225">
        <f t="shared" ca="1" si="163"/>
        <v>46156</v>
      </c>
      <c r="AG268" s="225" t="b">
        <f t="shared" si="164"/>
        <v>0</v>
      </c>
      <c r="AH268" s="242"/>
      <c r="AK268" s="223">
        <f t="shared" si="165"/>
        <v>26</v>
      </c>
      <c r="AL268" s="223">
        <f t="shared" si="166"/>
        <v>2026</v>
      </c>
      <c r="AS268" s="223">
        <f t="shared" si="167"/>
        <v>6</v>
      </c>
      <c r="AT268" s="223">
        <f t="shared" si="168"/>
        <v>2026</v>
      </c>
    </row>
    <row r="269" spans="2:46" ht="15.75" x14ac:dyDescent="0.25">
      <c r="B269" s="229" t="s">
        <v>568</v>
      </c>
      <c r="C269" s="235" t="s">
        <v>330</v>
      </c>
      <c r="D269" s="243">
        <v>1200</v>
      </c>
      <c r="E269" s="232" t="s">
        <v>4</v>
      </c>
      <c r="F269" s="436">
        <v>1.7</v>
      </c>
      <c r="G269" s="234">
        <v>46120</v>
      </c>
      <c r="H269" s="235" t="s">
        <v>17</v>
      </c>
      <c r="I269" s="235"/>
      <c r="J269" s="440">
        <v>7.0000000000000007E-2</v>
      </c>
      <c r="K269" s="443">
        <f ca="1">ROUND(IF(ISERROR(OFFSET(Tabella!$A$1,MATCH(H269,Tabella!$A:$A,0)-1,MATCH(J269,Tabella!$A$1:$AC$1,0)-1)=TRUE),0,+OFFSET(Tabella!$A$1,MATCH(H269,Tabella!$A:$A,0)-1,MATCH(J269,Tabella!$A$1:$AC$1,0)-1)),4)</f>
        <v>1.4</v>
      </c>
      <c r="L269" s="446">
        <f ca="1">ROUND(IF(ISERROR(OFFSET(Ottone!$A$1,MATCH(H269,Ottone!$A:$A,0)-1,MATCH(J269,Ottone!$A$1:$Z$1,0)-1)=TRUE),0,OFFSET(Ottone!$A$1,MATCH(H269,Ottone!$A:$A,0)-1,MATCH(J269,Ottone!$A$1:$Z$1,0)-1))*IF(E269="Ottone",1,0),4)</f>
        <v>0</v>
      </c>
      <c r="M269" s="446">
        <f ca="1">ROUND(IF(ISERROR(OFFSET(Rame!$A$1,MATCH(H269,Rame!$A:$A,0)-1,MATCH(J269,Rame!$A$1:$AA$1,0)-1)=TRUE),0,OFFSET(Rame!$A$1,MATCH(H269,Rame!$A:$A,0)-1,MATCH(J269,Rame!$A$1:$AA$1,0)-1))*IF(E269="Rame",1,0),4)</f>
        <v>0</v>
      </c>
      <c r="N269" s="446">
        <v>0</v>
      </c>
      <c r="O269" s="446">
        <v>1.6</v>
      </c>
      <c r="P269" s="446">
        <f ca="1">ROUND(+IF(ISERROR(OFFSET(Tabella!$G$1,MATCH(H269,Tabella!$G:$G,0)-1,MATCH(I269,Tabella!$G$1:$FG$1,0)-1)=TRUE),0,OFFSET(Tabella!$G$1,MATCH(H269,Tabella!$G:$G,0)-1,MATCH(I269,Tabella!$G$1:$AB$1,0)-1)),4)</f>
        <v>0</v>
      </c>
      <c r="Q269" s="446">
        <f ca="1">ROUND(IF(ISERROR(OFFSET(Ottone!$F$1,MATCH(H269,Ottone!$A:$A,0)-1,MATCH(I269,Ottone!$F$1:$FF$1,0)-1)=TRUE),0,OFFSET(Ottone!$F$1,MATCH(H269,Ottone!$A:$A,0)-1,MATCH(I269,Ottone!$F$1:$FF$1,0)-1))*IF(E269="Ottone",1,0),4)</f>
        <v>0</v>
      </c>
      <c r="R269" s="446">
        <f ca="1">ROUND(IF(ISERROR(OFFSET(Rame!$F$1,MATCH(H269,Rame!$F:$F,0)-1,MATCH(I269,Rame!$F$1:$FF$1,0)-1)=TRUE),0,OFFSET(Rame!$F$1,MATCH(H269,Rame!$F:$F,0)-1,MATCH(I269,Rame!$F$1:$FF$1,0)-1))*IF(E269="Rame",1,0),4)</f>
        <v>0</v>
      </c>
      <c r="S269" s="446">
        <f ca="1">ROUND(IF(ISERROR(OFFSET(Bronzo!$A$1,MATCH(H269,Bronzo!$A:$A,0)-1,MATCH(I269,Bronzo!$A$1:$AA$1,0)-1)=TRUE),0,OFFSET(Bronzo!$A$1,MATCH(H269,Bronzo!$A:$A,0)-1,MATCH(I269,Bronzo!$A$1:$AA$1,0)-1)),4)</f>
        <v>0</v>
      </c>
      <c r="T269" s="446">
        <f t="shared" ca="1" si="159"/>
        <v>0</v>
      </c>
      <c r="U269" s="443"/>
      <c r="V269" s="446">
        <v>0</v>
      </c>
      <c r="W269" s="449">
        <f t="shared" ca="1" si="160"/>
        <v>1.6</v>
      </c>
      <c r="X269" s="452">
        <f t="shared" si="158"/>
        <v>84</v>
      </c>
      <c r="Y269" s="458">
        <v>1.7</v>
      </c>
      <c r="Z269" s="440">
        <f t="shared" ca="1" si="161"/>
        <v>-1.6</v>
      </c>
      <c r="AA269" s="241">
        <v>46181</v>
      </c>
      <c r="AF269" s="225">
        <f t="shared" ca="1" si="163"/>
        <v>46156</v>
      </c>
      <c r="AG269" s="225" t="b">
        <f t="shared" si="164"/>
        <v>0</v>
      </c>
      <c r="AH269" s="242"/>
      <c r="AK269" s="223">
        <f t="shared" si="165"/>
        <v>24</v>
      </c>
      <c r="AL269" s="223">
        <f t="shared" si="166"/>
        <v>2026</v>
      </c>
      <c r="AS269" s="223">
        <f t="shared" si="167"/>
        <v>6</v>
      </c>
      <c r="AT269" s="223">
        <f t="shared" si="168"/>
        <v>2026</v>
      </c>
    </row>
    <row r="270" spans="2:46" ht="15.75" x14ac:dyDescent="0.25">
      <c r="B270" s="229" t="s">
        <v>568</v>
      </c>
      <c r="C270" s="235" t="s">
        <v>330</v>
      </c>
      <c r="D270" s="243">
        <v>2100</v>
      </c>
      <c r="E270" s="232" t="s">
        <v>4</v>
      </c>
      <c r="F270" s="436">
        <v>1.7</v>
      </c>
      <c r="G270" s="234">
        <v>46120</v>
      </c>
      <c r="H270" s="235" t="s">
        <v>24</v>
      </c>
      <c r="I270" s="235"/>
      <c r="J270" s="440">
        <v>7.0000000000000007E-2</v>
      </c>
      <c r="K270" s="443">
        <f ca="1">ROUND(IF(ISERROR(OFFSET(Tabella!$A$1,MATCH(H270,Tabella!$A:$A,0)-1,MATCH(J270,Tabella!$A$1:$AC$1,0)-1)=TRUE),0,+OFFSET(Tabella!$A$1,MATCH(H270,Tabella!$A:$A,0)-1,MATCH(J270,Tabella!$A$1:$AC$1,0)-1)),4)</f>
        <v>1.25</v>
      </c>
      <c r="L270" s="446">
        <f ca="1">ROUND(IF(ISERROR(OFFSET(Ottone!$A$1,MATCH(H270,Ottone!$A:$A,0)-1,MATCH(J270,Ottone!$A$1:$Z$1,0)-1)=TRUE),0,OFFSET(Ottone!$A$1,MATCH(H270,Ottone!$A:$A,0)-1,MATCH(J270,Ottone!$A$1:$Z$1,0)-1))*IF(E270="Ottone",1,0),4)</f>
        <v>0</v>
      </c>
      <c r="M270" s="446">
        <f ca="1">ROUND(IF(ISERROR(OFFSET(Rame!$A$1,MATCH(H270,Rame!$A:$A,0)-1,MATCH(J270,Rame!$A$1:$AA$1,0)-1)=TRUE),0,OFFSET(Rame!$A$1,MATCH(H270,Rame!$A:$A,0)-1,MATCH(J270,Rame!$A$1:$AA$1,0)-1))*IF(E270="Rame",1,0),4)</f>
        <v>0</v>
      </c>
      <c r="N270" s="446">
        <v>0</v>
      </c>
      <c r="O270" s="446">
        <v>1.6</v>
      </c>
      <c r="P270" s="446">
        <f ca="1">ROUND(+IF(ISERROR(OFFSET(Tabella!$G$1,MATCH(H270,Tabella!$G:$G,0)-1,MATCH(I270,Tabella!$G$1:$FG$1,0)-1)=TRUE),0,OFFSET(Tabella!$G$1,MATCH(H270,Tabella!$G:$G,0)-1,MATCH(I270,Tabella!$G$1:$AB$1,0)-1)),4)</f>
        <v>0</v>
      </c>
      <c r="Q270" s="446">
        <f ca="1">ROUND(IF(ISERROR(OFFSET(Ottone!$F$1,MATCH(H270,Ottone!$A:$A,0)-1,MATCH(I270,Ottone!$F$1:$FF$1,0)-1)=TRUE),0,OFFSET(Ottone!$F$1,MATCH(H270,Ottone!$A:$A,0)-1,MATCH(I270,Ottone!$F$1:$FF$1,0)-1))*IF(E270="Ottone",1,0),4)</f>
        <v>0</v>
      </c>
      <c r="R270" s="446">
        <f ca="1">ROUND(IF(ISERROR(OFFSET(Rame!$F$1,MATCH(H270,Rame!$F:$F,0)-1,MATCH(I270,Rame!$F$1:$FF$1,0)-1)=TRUE),0,OFFSET(Rame!$F$1,MATCH(H270,Rame!$F:$F,0)-1,MATCH(I270,Rame!$F$1:$FF$1,0)-1))*IF(E270="Rame",1,0),4)</f>
        <v>0</v>
      </c>
      <c r="S270" s="446">
        <f ca="1">ROUND(IF(ISERROR(OFFSET(Bronzo!$A$1,MATCH(H270,Bronzo!$A:$A,0)-1,MATCH(I270,Bronzo!$A$1:$AA$1,0)-1)=TRUE),0,OFFSET(Bronzo!$A$1,MATCH(H270,Bronzo!$A:$A,0)-1,MATCH(I270,Bronzo!$A$1:$AA$1,0)-1)),4)</f>
        <v>0</v>
      </c>
      <c r="T270" s="446">
        <f t="shared" ca="1" si="159"/>
        <v>0</v>
      </c>
      <c r="U270" s="443"/>
      <c r="V270" s="446">
        <v>0</v>
      </c>
      <c r="W270" s="449">
        <f t="shared" ca="1" si="160"/>
        <v>1.6</v>
      </c>
      <c r="X270" s="452">
        <f t="shared" si="158"/>
        <v>147</v>
      </c>
      <c r="Y270" s="458">
        <v>1.7</v>
      </c>
      <c r="Z270" s="440">
        <f t="shared" ca="1" si="161"/>
        <v>-1.6</v>
      </c>
      <c r="AA270" s="241">
        <v>46167</v>
      </c>
      <c r="AF270" s="225">
        <f t="shared" ca="1" si="163"/>
        <v>46156</v>
      </c>
      <c r="AG270" s="225" t="b">
        <f t="shared" si="164"/>
        <v>0</v>
      </c>
      <c r="AH270" s="242"/>
      <c r="AK270" s="223">
        <f t="shared" si="165"/>
        <v>22</v>
      </c>
      <c r="AL270" s="223">
        <f t="shared" si="166"/>
        <v>2026</v>
      </c>
      <c r="AS270" s="223">
        <f t="shared" si="167"/>
        <v>5</v>
      </c>
      <c r="AT270" s="223">
        <f t="shared" si="168"/>
        <v>2026</v>
      </c>
    </row>
    <row r="271" spans="2:46" ht="15.75" x14ac:dyDescent="0.25">
      <c r="B271" s="229" t="s">
        <v>566</v>
      </c>
      <c r="C271" s="235" t="s">
        <v>396</v>
      </c>
      <c r="D271" s="243">
        <v>200</v>
      </c>
      <c r="E271" s="232" t="s">
        <v>4</v>
      </c>
      <c r="F271" s="435">
        <v>3.01</v>
      </c>
      <c r="G271" s="234">
        <v>46129</v>
      </c>
      <c r="H271" s="235" t="s">
        <v>29</v>
      </c>
      <c r="I271" s="235"/>
      <c r="J271" s="440">
        <v>7.0000000000000007E-2</v>
      </c>
      <c r="K271" s="443">
        <f ca="1">ROUND(IF(ISERROR(OFFSET(Tabella!$A$1,MATCH(H271,Tabella!$A:$A,0)-1,MATCH(J271,Tabella!$A$1:$AC$1,0)-1)=TRUE),0,+OFFSET(Tabella!$A$1,MATCH(H271,Tabella!$A:$A,0)-1,MATCH(J271,Tabella!$A$1:$AC$1,0)-1)),4)</f>
        <v>1.3</v>
      </c>
      <c r="L271" s="446">
        <f ca="1">ROUND(IF(ISERROR(OFFSET(Ottone!$A$1,MATCH(H271,Ottone!$A:$A,0)-1,MATCH(J271,Ottone!$A$1:$Z$1,0)-1)=TRUE),0,OFFSET(Ottone!$A$1,MATCH(H271,Ottone!$A:$A,0)-1,MATCH(J271,Ottone!$A$1:$Z$1,0)-1))*IF(E271="Ottone",1,0),4)</f>
        <v>0</v>
      </c>
      <c r="M271" s="446">
        <f ca="1">ROUND(IF(ISERROR(OFFSET(Rame!$A$1,MATCH(H271,Rame!$A:$A,0)-1,MATCH(J271,Rame!$A$1:$AA$1,0)-1)=TRUE),0,OFFSET(Rame!$A$1,MATCH(H271,Rame!$A:$A,0)-1,MATCH(J271,Rame!$A$1:$AA$1,0)-1))*IF(E271="Rame",1,0),4)</f>
        <v>0</v>
      </c>
      <c r="N271" s="446">
        <v>0</v>
      </c>
      <c r="O271" s="446">
        <v>1.6</v>
      </c>
      <c r="P271" s="446">
        <f ca="1">ROUND(+IF(ISERROR(OFFSET(Tabella!$G$1,MATCH(H271,Tabella!$G:$G,0)-1,MATCH(I271,Tabella!$G$1:$FG$1,0)-1)=TRUE),0,OFFSET(Tabella!$G$1,MATCH(H271,Tabella!$G:$G,0)-1,MATCH(I271,Tabella!$G$1:$AB$1,0)-1)),4)</f>
        <v>0</v>
      </c>
      <c r="Q271" s="446">
        <f ca="1">ROUND(IF(ISERROR(OFFSET(Ottone!$F$1,MATCH(H271,Ottone!$A:$A,0)-1,MATCH(I271,Ottone!$F$1:$FF$1,0)-1)=TRUE),0,OFFSET(Ottone!$F$1,MATCH(H271,Ottone!$A:$A,0)-1,MATCH(I271,Ottone!$F$1:$FF$1,0)-1))*IF(E271="Ottone",1,0),4)</f>
        <v>0</v>
      </c>
      <c r="R271" s="446">
        <f ca="1">ROUND(IF(ISERROR(OFFSET(Rame!$F$1,MATCH(H271,Rame!$F:$F,0)-1,MATCH(I271,Rame!$F$1:$FF$1,0)-1)=TRUE),0,OFFSET(Rame!$F$1,MATCH(H271,Rame!$F:$F,0)-1,MATCH(I271,Rame!$F$1:$FF$1,0)-1))*IF(E271="Rame",1,0),4)</f>
        <v>0</v>
      </c>
      <c r="S271" s="446">
        <f ca="1">ROUND(IF(ISERROR(OFFSET(Bronzo!$A$1,MATCH(H271,Bronzo!$A:$A,0)-1,MATCH(I271,Bronzo!$A$1:$AA$1,0)-1)=TRUE),0,OFFSET(Bronzo!$A$1,MATCH(H271,Bronzo!$A:$A,0)-1,MATCH(I271,Bronzo!$A$1:$AA$1,0)-1)),4)</f>
        <v>0</v>
      </c>
      <c r="T271" s="446">
        <f t="shared" ca="1" si="159"/>
        <v>0</v>
      </c>
      <c r="U271" s="443"/>
      <c r="V271" s="446">
        <v>0</v>
      </c>
      <c r="W271" s="449">
        <f t="shared" ca="1" si="160"/>
        <v>1.6</v>
      </c>
      <c r="X271" s="452">
        <f t="shared" si="158"/>
        <v>14</v>
      </c>
      <c r="Y271" s="440">
        <v>4.83</v>
      </c>
      <c r="Z271" s="440">
        <f t="shared" ca="1" si="161"/>
        <v>0.22</v>
      </c>
      <c r="AA271" s="241">
        <v>46157</v>
      </c>
      <c r="AF271" s="225">
        <f t="shared" ca="1" si="163"/>
        <v>46156</v>
      </c>
      <c r="AG271" s="225" t="b">
        <f t="shared" si="164"/>
        <v>0</v>
      </c>
      <c r="AH271" s="242"/>
      <c r="AK271" s="223">
        <f t="shared" si="165"/>
        <v>20</v>
      </c>
      <c r="AL271" s="223">
        <f t="shared" si="166"/>
        <v>2026</v>
      </c>
      <c r="AS271" s="223">
        <f t="shared" si="167"/>
        <v>5</v>
      </c>
      <c r="AT271" s="223">
        <f t="shared" si="168"/>
        <v>2026</v>
      </c>
    </row>
    <row r="272" spans="2:46" ht="15.75" x14ac:dyDescent="0.25">
      <c r="B272" s="229" t="s">
        <v>541</v>
      </c>
      <c r="C272" s="235" t="s">
        <v>336</v>
      </c>
      <c r="D272" s="243">
        <v>1000</v>
      </c>
      <c r="E272" s="232" t="s">
        <v>6</v>
      </c>
      <c r="F272" s="435">
        <v>11.18</v>
      </c>
      <c r="G272" s="234">
        <v>46128</v>
      </c>
      <c r="H272" s="235" t="s">
        <v>12</v>
      </c>
      <c r="I272" s="235"/>
      <c r="J272" s="440">
        <v>0.15</v>
      </c>
      <c r="K272" s="443">
        <f ca="1">ROUND(IF(ISERROR(OFFSET(Tabella!$A$1,MATCH(H272,Tabella!$A:$A,0)-1,MATCH(J272,Tabella!$A$1:$AC$1,0)-1)=TRUE),0,+OFFSET(Tabella!$A$1,MATCH(H272,Tabella!$A:$A,0)-1,MATCH(J272,Tabella!$A$1:$AC$1,0)-1)),4)</f>
        <v>0</v>
      </c>
      <c r="L272" s="446">
        <f ca="1">ROUND(IF(ISERROR(OFFSET(Ottone!$A$1,MATCH(H272,Ottone!$A:$A,0)-1,MATCH(J272,Ottone!$A$1:$Z$1,0)-1)=TRUE),0,OFFSET(Ottone!$A$1,MATCH(H272,Ottone!$A:$A,0)-1,MATCH(J272,Ottone!$A$1:$Z$1,0)-1))*IF(E272="Ottone",1,0),4)</f>
        <v>0</v>
      </c>
      <c r="M272" s="446">
        <f ca="1">ROUND(IF(ISERROR(OFFSET(Rame!$A$1,MATCH(H272,Rame!$A:$A,0)-1,MATCH(J272,Rame!$A$1:$AA$1,0)-1)=TRUE),0,OFFSET(Rame!$A$1,MATCH(H272,Rame!$A:$A,0)-1,MATCH(J272,Rame!$A$1:$AA$1,0)-1))*IF(E272="Rame",1,0),4)</f>
        <v>1.25</v>
      </c>
      <c r="N272" s="446">
        <v>0</v>
      </c>
      <c r="O272" s="446">
        <f ca="1">ROUND(SUM(K272:N272),4)</f>
        <v>1.25</v>
      </c>
      <c r="P272" s="446">
        <f ca="1">ROUND(+IF(ISERROR(OFFSET(Tabella!$G$1,MATCH(H272,Tabella!$G:$G,0)-1,MATCH(I272,Tabella!$G$1:$FG$1,0)-1)=TRUE),0,OFFSET(Tabella!$G$1,MATCH(H272,Tabella!$G:$G,0)-1,MATCH(I272,Tabella!$G$1:$AB$1,0)-1)),4)</f>
        <v>0</v>
      </c>
      <c r="Q272" s="446">
        <f ca="1">ROUND(IF(ISERROR(OFFSET(Ottone!$F$1,MATCH(H272,Ottone!$A:$A,0)-1,MATCH(I272,Ottone!$F$1:$FF$1,0)-1)=TRUE),0,OFFSET(Ottone!$F$1,MATCH(H272,Ottone!$A:$A,0)-1,MATCH(I272,Ottone!$F$1:$FF$1,0)-1))*IF(E272="Ottone",1,0),4)</f>
        <v>0</v>
      </c>
      <c r="R272" s="446">
        <f ca="1">ROUND(IF(ISERROR(OFFSET(Rame!$F$1,MATCH(H272,Rame!$F:$F,0)-1,MATCH(I272,Rame!$F$1:$FF$1,0)-1)=TRUE),0,OFFSET(Rame!$F$1,MATCH(H272,Rame!$F:$F,0)-1,MATCH(I272,Rame!$F$1:$FF$1,0)-1))*IF(E272="Rame",1,0),4)</f>
        <v>0</v>
      </c>
      <c r="S272" s="446">
        <f ca="1">ROUND(IF(ISERROR(OFFSET(Bronzo!$A$1,MATCH(H272,Bronzo!$A:$A,0)-1,MATCH(I272,Bronzo!$A$1:$AA$1,0)-1)=TRUE),0,OFFSET(Bronzo!$A$1,MATCH(H272,Bronzo!$A:$A,0)-1,MATCH(I272,Bronzo!$A$1:$AA$1,0)-1)),4)</f>
        <v>0</v>
      </c>
      <c r="T272" s="446">
        <f t="shared" ca="1" si="159"/>
        <v>0</v>
      </c>
      <c r="U272" s="443"/>
      <c r="V272" s="446">
        <v>0</v>
      </c>
      <c r="W272" s="449">
        <f t="shared" ca="1" si="160"/>
        <v>1.25</v>
      </c>
      <c r="X272" s="452">
        <f t="shared" si="158"/>
        <v>150</v>
      </c>
      <c r="Y272" s="440">
        <v>15.2</v>
      </c>
      <c r="Z272" s="440">
        <f t="shared" ca="1" si="161"/>
        <v>2.77</v>
      </c>
      <c r="AA272" s="241">
        <v>46169</v>
      </c>
      <c r="AF272" s="225">
        <f t="shared" ca="1" si="163"/>
        <v>46156</v>
      </c>
      <c r="AG272" s="225" t="b">
        <f t="shared" si="164"/>
        <v>0</v>
      </c>
      <c r="AH272" s="242"/>
      <c r="AK272" s="223">
        <f t="shared" si="165"/>
        <v>22</v>
      </c>
      <c r="AL272" s="223">
        <f t="shared" si="166"/>
        <v>2026</v>
      </c>
      <c r="AS272" s="223">
        <f t="shared" si="167"/>
        <v>5</v>
      </c>
      <c r="AT272" s="223">
        <f t="shared" si="168"/>
        <v>2026</v>
      </c>
    </row>
    <row r="273" spans="2:46" ht="15.75" x14ac:dyDescent="0.25">
      <c r="B273" s="229" t="s">
        <v>570</v>
      </c>
      <c r="C273" s="235" t="s">
        <v>208</v>
      </c>
      <c r="D273" s="243">
        <v>370</v>
      </c>
      <c r="E273" s="232" t="s">
        <v>6</v>
      </c>
      <c r="F273" s="435">
        <v>11.18</v>
      </c>
      <c r="G273" s="234">
        <v>46133</v>
      </c>
      <c r="H273" s="235" t="s">
        <v>14</v>
      </c>
      <c r="I273" s="235"/>
      <c r="J273" s="440">
        <v>0.05</v>
      </c>
      <c r="K273" s="443">
        <f ca="1">ROUND(IF(ISERROR(OFFSET(Tabella!$A$1,MATCH(H273,Tabella!$A:$A,0)-1,MATCH(J273,Tabella!$A$1:$AC$1,0)-1)=TRUE),0,+OFFSET(Tabella!$A$1,MATCH(H273,Tabella!$A:$A,0)-1,MATCH(J273,Tabella!$A$1:$AC$1,0)-1)),4)</f>
        <v>0</v>
      </c>
      <c r="L273" s="446">
        <f ca="1">ROUND(IF(ISERROR(OFFSET(Ottone!$A$1,MATCH(H273,Ottone!$A:$A,0)-1,MATCH(J273,Ottone!$A$1:$Z$1,0)-1)=TRUE),0,OFFSET(Ottone!$A$1,MATCH(H273,Ottone!$A:$A,0)-1,MATCH(J273,Ottone!$A$1:$Z$1,0)-1))*IF(E273="Ottone",1,0),4)</f>
        <v>0</v>
      </c>
      <c r="M273" s="446">
        <f ca="1">ROUND(IF(ISERROR(OFFSET(Rame!$A$1,MATCH(H273,Rame!$A:$A,0)-1,MATCH(J273,Rame!$A$1:$AA$1,0)-1)=TRUE),0,OFFSET(Rame!$A$1,MATCH(H273,Rame!$A:$A,0)-1,MATCH(J273,Rame!$A$1:$AA$1,0)-1))*IF(E273="Rame",1,0),4)</f>
        <v>0</v>
      </c>
      <c r="N273" s="446">
        <v>0</v>
      </c>
      <c r="O273" s="446">
        <v>1</v>
      </c>
      <c r="P273" s="446">
        <f ca="1">ROUND(+IF(ISERROR(OFFSET(Tabella!$G$1,MATCH(H273,Tabella!$G:$G,0)-1,MATCH(I273,Tabella!$G$1:$FG$1,0)-1)=TRUE),0,OFFSET(Tabella!$G$1,MATCH(H273,Tabella!$G:$G,0)-1,MATCH(I273,Tabella!$G$1:$AB$1,0)-1)),4)</f>
        <v>0</v>
      </c>
      <c r="Q273" s="446">
        <f ca="1">ROUND(IF(ISERROR(OFFSET(Ottone!$F$1,MATCH(H273,Ottone!$A:$A,0)-1,MATCH(I273,Ottone!$F$1:$FF$1,0)-1)=TRUE),0,OFFSET(Ottone!$F$1,MATCH(H273,Ottone!$A:$A,0)-1,MATCH(I273,Ottone!$F$1:$FF$1,0)-1))*IF(E273="Ottone",1,0),4)</f>
        <v>0</v>
      </c>
      <c r="R273" s="446">
        <f ca="1">ROUND(IF(ISERROR(OFFSET(Rame!$F$1,MATCH(H273,Rame!$F:$F,0)-1,MATCH(I273,Rame!$F$1:$FF$1,0)-1)=TRUE),0,OFFSET(Rame!$F$1,MATCH(H273,Rame!$F:$F,0)-1,MATCH(I273,Rame!$F$1:$FF$1,0)-1))*IF(E273="Rame",1,0),4)</f>
        <v>0</v>
      </c>
      <c r="S273" s="446">
        <f ca="1">ROUND(IF(ISERROR(OFFSET(Bronzo!$A$1,MATCH(H273,Bronzo!$A:$A,0)-1,MATCH(I273,Bronzo!$A$1:$AA$1,0)-1)=TRUE),0,OFFSET(Bronzo!$A$1,MATCH(H273,Bronzo!$A:$A,0)-1,MATCH(I273,Bronzo!$A$1:$AA$1,0)-1)),4)</f>
        <v>0</v>
      </c>
      <c r="T273" s="446">
        <f t="shared" ca="1" si="159"/>
        <v>0</v>
      </c>
      <c r="U273" s="443"/>
      <c r="V273" s="446">
        <v>0</v>
      </c>
      <c r="W273" s="449">
        <f t="shared" ca="1" si="160"/>
        <v>1</v>
      </c>
      <c r="X273" s="452">
        <f t="shared" ref="X273:X336" si="169">ROUND(+J273*D273,4)</f>
        <v>18.5</v>
      </c>
      <c r="Y273" s="440">
        <v>14.5</v>
      </c>
      <c r="Z273" s="440">
        <f t="shared" ca="1" si="161"/>
        <v>2.3199999999999998</v>
      </c>
      <c r="AA273" s="241">
        <v>46157</v>
      </c>
      <c r="AF273" s="225">
        <f t="shared" ca="1" si="163"/>
        <v>46156</v>
      </c>
      <c r="AG273" s="225" t="b">
        <f t="shared" si="164"/>
        <v>0</v>
      </c>
      <c r="AH273" s="242"/>
      <c r="AK273" s="223">
        <f t="shared" si="165"/>
        <v>20</v>
      </c>
      <c r="AL273" s="223">
        <f t="shared" si="166"/>
        <v>2026</v>
      </c>
      <c r="AS273" s="223">
        <f t="shared" si="167"/>
        <v>5</v>
      </c>
      <c r="AT273" s="223">
        <f t="shared" si="168"/>
        <v>2026</v>
      </c>
    </row>
    <row r="274" spans="2:46" ht="15.75" x14ac:dyDescent="0.25">
      <c r="B274" s="229" t="s">
        <v>570</v>
      </c>
      <c r="C274" s="235" t="s">
        <v>208</v>
      </c>
      <c r="D274" s="243">
        <v>150</v>
      </c>
      <c r="E274" s="232" t="s">
        <v>6</v>
      </c>
      <c r="F274" s="435">
        <v>11.18</v>
      </c>
      <c r="G274" s="234">
        <v>46133</v>
      </c>
      <c r="H274" s="235" t="s">
        <v>14</v>
      </c>
      <c r="I274" s="235"/>
      <c r="J274" s="440">
        <v>0.05</v>
      </c>
      <c r="K274" s="443">
        <f ca="1">ROUND(IF(ISERROR(OFFSET(Tabella!$A$1,MATCH(H274,Tabella!$A:$A,0)-1,MATCH(J274,Tabella!$A$1:$AC$1,0)-1)=TRUE),0,+OFFSET(Tabella!$A$1,MATCH(H274,Tabella!$A:$A,0)-1,MATCH(J274,Tabella!$A$1:$AC$1,0)-1)),4)</f>
        <v>0</v>
      </c>
      <c r="L274" s="446">
        <f ca="1">ROUND(IF(ISERROR(OFFSET(Ottone!$A$1,MATCH(H274,Ottone!$A:$A,0)-1,MATCH(J274,Ottone!$A$1:$Z$1,0)-1)=TRUE),0,OFFSET(Ottone!$A$1,MATCH(H274,Ottone!$A:$A,0)-1,MATCH(J274,Ottone!$A$1:$Z$1,0)-1))*IF(E274="Ottone",1,0),4)</f>
        <v>0</v>
      </c>
      <c r="M274" s="446">
        <f ca="1">ROUND(IF(ISERROR(OFFSET(Rame!$A$1,MATCH(H274,Rame!$A:$A,0)-1,MATCH(J274,Rame!$A$1:$AA$1,0)-1)=TRUE),0,OFFSET(Rame!$A$1,MATCH(H274,Rame!$A:$A,0)-1,MATCH(J274,Rame!$A$1:$AA$1,0)-1))*IF(E274="Rame",1,0),4)</f>
        <v>0</v>
      </c>
      <c r="N274" s="446">
        <v>0</v>
      </c>
      <c r="O274" s="446">
        <v>1</v>
      </c>
      <c r="P274" s="446">
        <f ca="1">ROUND(+IF(ISERROR(OFFSET(Tabella!$G$1,MATCH(H274,Tabella!$G:$G,0)-1,MATCH(I274,Tabella!$G$1:$FG$1,0)-1)=TRUE),0,OFFSET(Tabella!$G$1,MATCH(H274,Tabella!$G:$G,0)-1,MATCH(I274,Tabella!$G$1:$AB$1,0)-1)),4)</f>
        <v>0</v>
      </c>
      <c r="Q274" s="446">
        <f ca="1">ROUND(IF(ISERROR(OFFSET(Ottone!$F$1,MATCH(H274,Ottone!$A:$A,0)-1,MATCH(I274,Ottone!$F$1:$FF$1,0)-1)=TRUE),0,OFFSET(Ottone!$F$1,MATCH(H274,Ottone!$A:$A,0)-1,MATCH(I274,Ottone!$F$1:$FF$1,0)-1))*IF(E274="Ottone",1,0),4)</f>
        <v>0</v>
      </c>
      <c r="R274" s="446">
        <f ca="1">ROUND(IF(ISERROR(OFFSET(Rame!$F$1,MATCH(H274,Rame!$F:$F,0)-1,MATCH(I274,Rame!$F$1:$FF$1,0)-1)=TRUE),0,OFFSET(Rame!$F$1,MATCH(H274,Rame!$F:$F,0)-1,MATCH(I274,Rame!$F$1:$FF$1,0)-1))*IF(E274="Rame",1,0),4)</f>
        <v>0</v>
      </c>
      <c r="S274" s="446">
        <f ca="1">ROUND(IF(ISERROR(OFFSET(Bronzo!$A$1,MATCH(H274,Bronzo!$A:$A,0)-1,MATCH(I274,Bronzo!$A$1:$AA$1,0)-1)=TRUE),0,OFFSET(Bronzo!$A$1,MATCH(H274,Bronzo!$A:$A,0)-1,MATCH(I274,Bronzo!$A$1:$AA$1,0)-1)),4)</f>
        <v>0</v>
      </c>
      <c r="T274" s="446">
        <f t="shared" ca="1" si="159"/>
        <v>0</v>
      </c>
      <c r="U274" s="443"/>
      <c r="V274" s="446">
        <v>0</v>
      </c>
      <c r="W274" s="449">
        <f t="shared" ca="1" si="160"/>
        <v>1</v>
      </c>
      <c r="X274" s="452">
        <f t="shared" si="169"/>
        <v>7.5</v>
      </c>
      <c r="Y274" s="440">
        <v>14.5</v>
      </c>
      <c r="Z274" s="440">
        <f t="shared" ca="1" si="161"/>
        <v>2.3199999999999998</v>
      </c>
      <c r="AA274" s="241">
        <v>46157</v>
      </c>
      <c r="AF274" s="225">
        <f t="shared" ca="1" si="163"/>
        <v>46156</v>
      </c>
      <c r="AG274" s="225" t="b">
        <f t="shared" si="164"/>
        <v>0</v>
      </c>
      <c r="AH274" s="242"/>
      <c r="AK274" s="223">
        <f t="shared" si="165"/>
        <v>20</v>
      </c>
      <c r="AL274" s="223">
        <f t="shared" si="166"/>
        <v>2026</v>
      </c>
      <c r="AS274" s="223">
        <f t="shared" si="167"/>
        <v>5</v>
      </c>
      <c r="AT274" s="223">
        <f t="shared" si="168"/>
        <v>2026</v>
      </c>
    </row>
    <row r="275" spans="2:46" ht="15.75" x14ac:dyDescent="0.25">
      <c r="B275" s="229" t="s">
        <v>581</v>
      </c>
      <c r="C275" s="235" t="s">
        <v>208</v>
      </c>
      <c r="D275" s="243">
        <v>700</v>
      </c>
      <c r="E275" s="232" t="s">
        <v>4</v>
      </c>
      <c r="F275" s="435">
        <v>2.91</v>
      </c>
      <c r="G275" s="234">
        <v>46091</v>
      </c>
      <c r="H275" s="235" t="s">
        <v>322</v>
      </c>
      <c r="I275" s="235"/>
      <c r="J275" s="440">
        <v>7.0000000000000007E-2</v>
      </c>
      <c r="K275" s="443">
        <f ca="1">ROUND(IF(ISERROR(OFFSET(Tabella!$A$1,MATCH(H275,Tabella!$A:$A,0)-1,MATCH(J275,Tabella!$A$1:$AC$1,0)-1)=TRUE),0,+OFFSET(Tabella!$A$1,MATCH(H275,Tabella!$A:$A,0)-1,MATCH(J275,Tabella!$A$1:$AC$1,0)-1)),4)</f>
        <v>1.25</v>
      </c>
      <c r="L275" s="446">
        <f ca="1">ROUND(IF(ISERROR(OFFSET(Ottone!$A$1,MATCH(H275,Ottone!$A:$A,0)-1,MATCH(J275,Ottone!$A$1:$Z$1,0)-1)=TRUE),0,OFFSET(Ottone!$A$1,MATCH(H275,Ottone!$A:$A,0)-1,MATCH(J275,Ottone!$A$1:$Z$1,0)-1))*IF(E275="Ottone",1,0),4)</f>
        <v>0</v>
      </c>
      <c r="M275" s="446">
        <f ca="1">ROUND(IF(ISERROR(OFFSET(Rame!$A$1,MATCH(H275,Rame!$A:$A,0)-1,MATCH(J275,Rame!$A$1:$AA$1,0)-1)=TRUE),0,OFFSET(Rame!$A$1,MATCH(H275,Rame!$A:$A,0)-1,MATCH(J275,Rame!$A$1:$AA$1,0)-1))*IF(E275="Rame",1,0),4)</f>
        <v>0</v>
      </c>
      <c r="N275" s="446">
        <v>0</v>
      </c>
      <c r="O275" s="446">
        <v>1.5</v>
      </c>
      <c r="P275" s="446">
        <f ca="1">ROUND(+IF(ISERROR(OFFSET(Tabella!$G$1,MATCH(H275,Tabella!$G:$G,0)-1,MATCH(I275,Tabella!$G$1:$FG$1,0)-1)=TRUE),0,OFFSET(Tabella!$G$1,MATCH(H275,Tabella!$G:$G,0)-1,MATCH(I275,Tabella!$G$1:$AB$1,0)-1)),4)</f>
        <v>0</v>
      </c>
      <c r="Q275" s="446">
        <f ca="1">ROUND(IF(ISERROR(OFFSET(Ottone!$F$1,MATCH(H275,Ottone!$A:$A,0)-1,MATCH(I275,Ottone!$F$1:$FF$1,0)-1)=TRUE),0,OFFSET(Ottone!$F$1,MATCH(H275,Ottone!$A:$A,0)-1,MATCH(I275,Ottone!$F$1:$FF$1,0)-1))*IF(E275="Ottone",1,0),4)</f>
        <v>0</v>
      </c>
      <c r="R275" s="446">
        <f ca="1">ROUND(IF(ISERROR(OFFSET(Rame!$F$1,MATCH(H275,Rame!$F:$F,0)-1,MATCH(I275,Rame!$F$1:$FF$1,0)-1)=TRUE),0,OFFSET(Rame!$F$1,MATCH(H275,Rame!$F:$F,0)-1,MATCH(I275,Rame!$F$1:$FF$1,0)-1))*IF(E275="Rame",1,0),4)</f>
        <v>0</v>
      </c>
      <c r="S275" s="446">
        <f ca="1">ROUND(IF(ISERROR(OFFSET(Bronzo!$A$1,MATCH(H275,Bronzo!$A:$A,0)-1,MATCH(I275,Bronzo!$A$1:$AA$1,0)-1)=TRUE),0,OFFSET(Bronzo!$A$1,MATCH(H275,Bronzo!$A:$A,0)-1,MATCH(I275,Bronzo!$A$1:$AA$1,0)-1)),4)</f>
        <v>0</v>
      </c>
      <c r="T275" s="446">
        <f t="shared" ca="1" si="159"/>
        <v>0</v>
      </c>
      <c r="U275" s="443"/>
      <c r="V275" s="446">
        <v>0</v>
      </c>
      <c r="W275" s="449">
        <f t="shared" ca="1" si="160"/>
        <v>1.5</v>
      </c>
      <c r="X275" s="452">
        <f t="shared" si="169"/>
        <v>49</v>
      </c>
      <c r="Y275" s="440">
        <v>4.3</v>
      </c>
      <c r="Z275" s="440">
        <f t="shared" ca="1" si="161"/>
        <v>-0.11</v>
      </c>
      <c r="AA275" s="241">
        <v>46156</v>
      </c>
      <c r="AF275" s="225">
        <f t="shared" ca="1" si="163"/>
        <v>46156</v>
      </c>
      <c r="AG275" s="225" t="b">
        <f t="shared" si="164"/>
        <v>0</v>
      </c>
      <c r="AH275" s="242"/>
      <c r="AK275" s="223">
        <f t="shared" si="165"/>
        <v>20</v>
      </c>
      <c r="AL275" s="223">
        <f t="shared" si="166"/>
        <v>2026</v>
      </c>
      <c r="AS275" s="223">
        <f t="shared" si="167"/>
        <v>5</v>
      </c>
      <c r="AT275" s="223">
        <f t="shared" si="168"/>
        <v>2026</v>
      </c>
    </row>
    <row r="276" spans="2:46" ht="15.75" x14ac:dyDescent="0.25">
      <c r="B276" s="229" t="s">
        <v>581</v>
      </c>
      <c r="C276" s="235" t="s">
        <v>208</v>
      </c>
      <c r="D276" s="243">
        <v>500</v>
      </c>
      <c r="E276" s="232" t="s">
        <v>4</v>
      </c>
      <c r="F276" s="435">
        <v>2.91</v>
      </c>
      <c r="G276" s="234">
        <v>46091</v>
      </c>
      <c r="H276" s="235" t="s">
        <v>243</v>
      </c>
      <c r="I276" s="235"/>
      <c r="J276" s="440">
        <v>7.0000000000000007E-2</v>
      </c>
      <c r="K276" s="443">
        <f ca="1">ROUND(IF(ISERROR(OFFSET(Tabella!$A$1,MATCH(H276,Tabella!$A:$A,0)-1,MATCH(J276,Tabella!$A$1:$AC$1,0)-1)=TRUE),0,+OFFSET(Tabella!$A$1,MATCH(H276,Tabella!$A:$A,0)-1,MATCH(J276,Tabella!$A$1:$AC$1,0)-1)),4)</f>
        <v>1.4</v>
      </c>
      <c r="L276" s="446">
        <f ca="1">ROUND(IF(ISERROR(OFFSET(Ottone!$A$1,MATCH(H276,Ottone!$A:$A,0)-1,MATCH(J276,Ottone!$A$1:$Z$1,0)-1)=TRUE),0,OFFSET(Ottone!$A$1,MATCH(H276,Ottone!$A:$A,0)-1,MATCH(J276,Ottone!$A$1:$Z$1,0)-1))*IF(E276="Ottone",1,0),4)</f>
        <v>0</v>
      </c>
      <c r="M276" s="446">
        <f ca="1">ROUND(IF(ISERROR(OFFSET(Rame!$A$1,MATCH(H276,Rame!$A:$A,0)-1,MATCH(J276,Rame!$A$1:$AA$1,0)-1)=TRUE),0,OFFSET(Rame!$A$1,MATCH(H276,Rame!$A:$A,0)-1,MATCH(J276,Rame!$A$1:$AA$1,0)-1))*IF(E276="Rame",1,0),4)</f>
        <v>0</v>
      </c>
      <c r="N276" s="446">
        <v>0</v>
      </c>
      <c r="O276" s="446">
        <v>1.6</v>
      </c>
      <c r="P276" s="446">
        <f ca="1">ROUND(+IF(ISERROR(OFFSET(Tabella!$G$1,MATCH(H276,Tabella!$G:$G,0)-1,MATCH(I276,Tabella!$G$1:$FG$1,0)-1)=TRUE),0,OFFSET(Tabella!$G$1,MATCH(H276,Tabella!$G:$G,0)-1,MATCH(I276,Tabella!$G$1:$AB$1,0)-1)),4)</f>
        <v>0</v>
      </c>
      <c r="Q276" s="446">
        <f ca="1">ROUND(IF(ISERROR(OFFSET(Ottone!$F$1,MATCH(H276,Ottone!$A:$A,0)-1,MATCH(I276,Ottone!$F$1:$FF$1,0)-1)=TRUE),0,OFFSET(Ottone!$F$1,MATCH(H276,Ottone!$A:$A,0)-1,MATCH(I276,Ottone!$F$1:$FF$1,0)-1))*IF(E276="Ottone",1,0),4)</f>
        <v>0</v>
      </c>
      <c r="R276" s="446">
        <f ca="1">ROUND(IF(ISERROR(OFFSET(Rame!$F$1,MATCH(H276,Rame!$F:$F,0)-1,MATCH(I276,Rame!$F$1:$FF$1,0)-1)=TRUE),0,OFFSET(Rame!$F$1,MATCH(H276,Rame!$F:$F,0)-1,MATCH(I276,Rame!$F$1:$FF$1,0)-1))*IF(E276="Rame",1,0),4)</f>
        <v>0</v>
      </c>
      <c r="S276" s="446">
        <f ca="1">ROUND(IF(ISERROR(OFFSET(Bronzo!$A$1,MATCH(H276,Bronzo!$A:$A,0)-1,MATCH(I276,Bronzo!$A$1:$AA$1,0)-1)=TRUE),0,OFFSET(Bronzo!$A$1,MATCH(H276,Bronzo!$A:$A,0)-1,MATCH(I276,Bronzo!$A$1:$AA$1,0)-1)),4)</f>
        <v>0</v>
      </c>
      <c r="T276" s="446">
        <f t="shared" ca="1" si="159"/>
        <v>0</v>
      </c>
      <c r="U276" s="443"/>
      <c r="V276" s="446">
        <v>0</v>
      </c>
      <c r="W276" s="449">
        <f t="shared" ca="1" si="160"/>
        <v>1.6</v>
      </c>
      <c r="X276" s="452">
        <f t="shared" si="169"/>
        <v>35</v>
      </c>
      <c r="Y276" s="440">
        <v>4.4000000000000004</v>
      </c>
      <c r="Z276" s="440">
        <f t="shared" ca="1" si="161"/>
        <v>-0.11</v>
      </c>
      <c r="AA276" s="241">
        <v>46162</v>
      </c>
      <c r="AF276" s="225">
        <f t="shared" ca="1" si="163"/>
        <v>46156</v>
      </c>
      <c r="AG276" s="225" t="b">
        <f t="shared" si="164"/>
        <v>0</v>
      </c>
      <c r="AH276" s="242"/>
      <c r="AK276" s="223">
        <f t="shared" si="165"/>
        <v>21</v>
      </c>
      <c r="AL276" s="223">
        <f t="shared" si="166"/>
        <v>2026</v>
      </c>
      <c r="AS276" s="223">
        <f t="shared" si="167"/>
        <v>5</v>
      </c>
      <c r="AT276" s="223">
        <f t="shared" si="168"/>
        <v>2026</v>
      </c>
    </row>
    <row r="277" spans="2:46" ht="15.75" x14ac:dyDescent="0.25">
      <c r="B277" s="229" t="s">
        <v>581</v>
      </c>
      <c r="C277" s="235" t="s">
        <v>208</v>
      </c>
      <c r="D277" s="243">
        <v>700</v>
      </c>
      <c r="E277" s="232" t="s">
        <v>4</v>
      </c>
      <c r="F277" s="435">
        <v>2.91</v>
      </c>
      <c r="G277" s="234">
        <v>46091</v>
      </c>
      <c r="H277" s="235" t="s">
        <v>24</v>
      </c>
      <c r="I277" s="235"/>
      <c r="J277" s="440">
        <v>7.0000000000000007E-2</v>
      </c>
      <c r="K277" s="443">
        <f ca="1">ROUND(IF(ISERROR(OFFSET(Tabella!$A$1,MATCH(H277,Tabella!$A:$A,0)-1,MATCH(J277,Tabella!$A$1:$AC$1,0)-1)=TRUE),0,+OFFSET(Tabella!$A$1,MATCH(H277,Tabella!$A:$A,0)-1,MATCH(J277,Tabella!$A$1:$AC$1,0)-1)),4)</f>
        <v>1.25</v>
      </c>
      <c r="L277" s="446">
        <f ca="1">ROUND(IF(ISERROR(OFFSET(Ottone!$A$1,MATCH(H277,Ottone!$A:$A,0)-1,MATCH(J277,Ottone!$A$1:$Z$1,0)-1)=TRUE),0,OFFSET(Ottone!$A$1,MATCH(H277,Ottone!$A:$A,0)-1,MATCH(J277,Ottone!$A$1:$Z$1,0)-1))*IF(E277="Ottone",1,0),4)</f>
        <v>0</v>
      </c>
      <c r="M277" s="446">
        <f ca="1">ROUND(IF(ISERROR(OFFSET(Rame!$A$1,MATCH(H277,Rame!$A:$A,0)-1,MATCH(J277,Rame!$A$1:$AA$1,0)-1)=TRUE),0,OFFSET(Rame!$A$1,MATCH(H277,Rame!$A:$A,0)-1,MATCH(J277,Rame!$A$1:$AA$1,0)-1))*IF(E277="Rame",1,0),4)</f>
        <v>0</v>
      </c>
      <c r="N277" s="446">
        <v>0</v>
      </c>
      <c r="O277" s="446">
        <v>1.5</v>
      </c>
      <c r="P277" s="446">
        <f ca="1">ROUND(+IF(ISERROR(OFFSET(Tabella!$G$1,MATCH(H277,Tabella!$G:$G,0)-1,MATCH(I277,Tabella!$G$1:$FG$1,0)-1)=TRUE),0,OFFSET(Tabella!$G$1,MATCH(H277,Tabella!$G:$G,0)-1,MATCH(I277,Tabella!$G$1:$AB$1,0)-1)),4)</f>
        <v>0</v>
      </c>
      <c r="Q277" s="446">
        <f ca="1">ROUND(IF(ISERROR(OFFSET(Ottone!$F$1,MATCH(H277,Ottone!$A:$A,0)-1,MATCH(I277,Ottone!$F$1:$FF$1,0)-1)=TRUE),0,OFFSET(Ottone!$F$1,MATCH(H277,Ottone!$A:$A,0)-1,MATCH(I277,Ottone!$F$1:$FF$1,0)-1))*IF(E277="Ottone",1,0),4)</f>
        <v>0</v>
      </c>
      <c r="R277" s="446">
        <f ca="1">ROUND(IF(ISERROR(OFFSET(Rame!$F$1,MATCH(H277,Rame!$F:$F,0)-1,MATCH(I277,Rame!$F$1:$FF$1,0)-1)=TRUE),0,OFFSET(Rame!$F$1,MATCH(H277,Rame!$F:$F,0)-1,MATCH(I277,Rame!$F$1:$FF$1,0)-1))*IF(E277="Rame",1,0),4)</f>
        <v>0</v>
      </c>
      <c r="S277" s="446">
        <f ca="1">ROUND(IF(ISERROR(OFFSET(Bronzo!$A$1,MATCH(H277,Bronzo!$A:$A,0)-1,MATCH(I277,Bronzo!$A$1:$AA$1,0)-1)=TRUE),0,OFFSET(Bronzo!$A$1,MATCH(H277,Bronzo!$A:$A,0)-1,MATCH(I277,Bronzo!$A$1:$AA$1,0)-1)),4)</f>
        <v>0</v>
      </c>
      <c r="T277" s="446">
        <f t="shared" ca="1" si="159"/>
        <v>0</v>
      </c>
      <c r="U277" s="443"/>
      <c r="V277" s="446">
        <v>0</v>
      </c>
      <c r="W277" s="449">
        <f t="shared" ca="1" si="160"/>
        <v>1.5</v>
      </c>
      <c r="X277" s="452">
        <f t="shared" si="169"/>
        <v>49</v>
      </c>
      <c r="Y277" s="440">
        <v>4.3</v>
      </c>
      <c r="Z277" s="440">
        <f t="shared" ca="1" si="161"/>
        <v>-0.11</v>
      </c>
      <c r="AA277" s="241">
        <v>46162</v>
      </c>
      <c r="AF277" s="225">
        <f t="shared" ca="1" si="163"/>
        <v>46156</v>
      </c>
      <c r="AG277" s="225" t="b">
        <f t="shared" si="164"/>
        <v>0</v>
      </c>
      <c r="AH277" s="242"/>
      <c r="AK277" s="223">
        <f t="shared" si="165"/>
        <v>21</v>
      </c>
      <c r="AL277" s="223">
        <f t="shared" si="166"/>
        <v>2026</v>
      </c>
      <c r="AS277" s="223">
        <f t="shared" si="167"/>
        <v>5</v>
      </c>
      <c r="AT277" s="223">
        <f t="shared" si="168"/>
        <v>2026</v>
      </c>
    </row>
    <row r="278" spans="2:46" ht="15.75" x14ac:dyDescent="0.25">
      <c r="B278" s="229" t="s">
        <v>581</v>
      </c>
      <c r="C278" s="235" t="s">
        <v>208</v>
      </c>
      <c r="D278" s="243">
        <v>800</v>
      </c>
      <c r="E278" s="232" t="s">
        <v>4</v>
      </c>
      <c r="F278" s="435">
        <v>2.91</v>
      </c>
      <c r="G278" s="234">
        <v>46091</v>
      </c>
      <c r="H278" s="235" t="s">
        <v>22</v>
      </c>
      <c r="I278" s="235"/>
      <c r="J278" s="440">
        <v>7.0000000000000007E-2</v>
      </c>
      <c r="K278" s="443">
        <f ca="1">ROUND(IF(ISERROR(OFFSET(Tabella!$A$1,MATCH(H278,Tabella!$A:$A,0)-1,MATCH(J278,Tabella!$A$1:$AC$1,0)-1)=TRUE),0,+OFFSET(Tabella!$A$1,MATCH(H278,Tabella!$A:$A,0)-1,MATCH(J278,Tabella!$A$1:$AC$1,0)-1)),4)</f>
        <v>1.25</v>
      </c>
      <c r="L278" s="446">
        <f ca="1">ROUND(IF(ISERROR(OFFSET(Ottone!$A$1,MATCH(H278,Ottone!$A:$A,0)-1,MATCH(J278,Ottone!$A$1:$Z$1,0)-1)=TRUE),0,OFFSET(Ottone!$A$1,MATCH(H278,Ottone!$A:$A,0)-1,MATCH(J278,Ottone!$A$1:$Z$1,0)-1))*IF(E278="Ottone",1,0),4)</f>
        <v>0</v>
      </c>
      <c r="M278" s="446">
        <f ca="1">ROUND(IF(ISERROR(OFFSET(Rame!$A$1,MATCH(H278,Rame!$A:$A,0)-1,MATCH(J278,Rame!$A$1:$AA$1,0)-1)=TRUE),0,OFFSET(Rame!$A$1,MATCH(H278,Rame!$A:$A,0)-1,MATCH(J278,Rame!$A$1:$AA$1,0)-1))*IF(E278="Rame",1,0),4)</f>
        <v>0</v>
      </c>
      <c r="N278" s="446">
        <v>0</v>
      </c>
      <c r="O278" s="446">
        <v>1.5</v>
      </c>
      <c r="P278" s="446">
        <f ca="1">ROUND(+IF(ISERROR(OFFSET(Tabella!$G$1,MATCH(H278,Tabella!$G:$G,0)-1,MATCH(I278,Tabella!$G$1:$FG$1,0)-1)=TRUE),0,OFFSET(Tabella!$G$1,MATCH(H278,Tabella!$G:$G,0)-1,MATCH(I278,Tabella!$G$1:$AB$1,0)-1)),4)</f>
        <v>0</v>
      </c>
      <c r="Q278" s="446">
        <f ca="1">ROUND(IF(ISERROR(OFFSET(Ottone!$F$1,MATCH(H278,Ottone!$A:$A,0)-1,MATCH(I278,Ottone!$F$1:$FF$1,0)-1)=TRUE),0,OFFSET(Ottone!$F$1,MATCH(H278,Ottone!$A:$A,0)-1,MATCH(I278,Ottone!$F$1:$FF$1,0)-1))*IF(E278="Ottone",1,0),4)</f>
        <v>0</v>
      </c>
      <c r="R278" s="446">
        <f ca="1">ROUND(IF(ISERROR(OFFSET(Rame!$F$1,MATCH(H278,Rame!$F:$F,0)-1,MATCH(I278,Rame!$F$1:$FF$1,0)-1)=TRUE),0,OFFSET(Rame!$F$1,MATCH(H278,Rame!$F:$F,0)-1,MATCH(I278,Rame!$F$1:$FF$1,0)-1))*IF(E278="Rame",1,0),4)</f>
        <v>0</v>
      </c>
      <c r="S278" s="446">
        <f ca="1">ROUND(IF(ISERROR(OFFSET(Bronzo!$A$1,MATCH(H278,Bronzo!$A:$A,0)-1,MATCH(I278,Bronzo!$A$1:$AA$1,0)-1)=TRUE),0,OFFSET(Bronzo!$A$1,MATCH(H278,Bronzo!$A:$A,0)-1,MATCH(I278,Bronzo!$A$1:$AA$1,0)-1)),4)</f>
        <v>0</v>
      </c>
      <c r="T278" s="446">
        <f t="shared" ca="1" si="159"/>
        <v>0</v>
      </c>
      <c r="U278" s="443"/>
      <c r="V278" s="446">
        <v>0</v>
      </c>
      <c r="W278" s="449">
        <f t="shared" ca="1" si="160"/>
        <v>1.5</v>
      </c>
      <c r="X278" s="452">
        <f t="shared" si="169"/>
        <v>56</v>
      </c>
      <c r="Y278" s="440">
        <v>4.3</v>
      </c>
      <c r="Z278" s="440">
        <f t="shared" ca="1" si="161"/>
        <v>-0.11</v>
      </c>
      <c r="AA278" s="241">
        <v>46156</v>
      </c>
      <c r="AF278" s="225">
        <f t="shared" ca="1" si="163"/>
        <v>46156</v>
      </c>
      <c r="AG278" s="225" t="b">
        <f t="shared" si="164"/>
        <v>0</v>
      </c>
      <c r="AH278" s="242"/>
      <c r="AK278" s="223">
        <f t="shared" si="165"/>
        <v>20</v>
      </c>
      <c r="AL278" s="223">
        <f t="shared" si="166"/>
        <v>2026</v>
      </c>
      <c r="AS278" s="223">
        <f t="shared" si="167"/>
        <v>5</v>
      </c>
      <c r="AT278" s="223">
        <f t="shared" si="168"/>
        <v>2026</v>
      </c>
    </row>
    <row r="279" spans="2:46" ht="15.75" x14ac:dyDescent="0.25">
      <c r="B279" s="229" t="s">
        <v>585</v>
      </c>
      <c r="C279" s="235" t="s">
        <v>263</v>
      </c>
      <c r="D279" s="243">
        <v>650</v>
      </c>
      <c r="E279" s="232" t="s">
        <v>4</v>
      </c>
      <c r="F279" s="435">
        <v>2.88</v>
      </c>
      <c r="G279" s="234">
        <v>46133</v>
      </c>
      <c r="H279" s="235" t="s">
        <v>25</v>
      </c>
      <c r="I279" s="235"/>
      <c r="J279" s="440">
        <v>7.0000000000000007E-2</v>
      </c>
      <c r="K279" s="443">
        <f ca="1">ROUND(IF(ISERROR(OFFSET(Tabella!$A$1,MATCH(H279,Tabella!$A:$A,0)-1,MATCH(J279,Tabella!$A$1:$AC$1,0)-1)=TRUE),0,+OFFSET(Tabella!$A$1,MATCH(H279,Tabella!$A:$A,0)-1,MATCH(J279,Tabella!$A$1:$AC$1,0)-1)),4)</f>
        <v>1.25</v>
      </c>
      <c r="L279" s="446">
        <f ca="1">ROUND(IF(ISERROR(OFFSET(Ottone!$A$1,MATCH(H279,Ottone!$A:$A,0)-1,MATCH(J279,Ottone!$A$1:$Z$1,0)-1)=TRUE),0,OFFSET(Ottone!$A$1,MATCH(H279,Ottone!$A:$A,0)-1,MATCH(J279,Ottone!$A$1:$Z$1,0)-1))*IF(E279="Ottone",1,0),4)</f>
        <v>0</v>
      </c>
      <c r="M279" s="446">
        <f ca="1">ROUND(IF(ISERROR(OFFSET(Rame!$A$1,MATCH(H279,Rame!$A:$A,0)-1,MATCH(J279,Rame!$A$1:$AA$1,0)-1)=TRUE),0,OFFSET(Rame!$A$1,MATCH(H279,Rame!$A:$A,0)-1,MATCH(J279,Rame!$A$1:$AA$1,0)-1))*IF(E279="Rame",1,0),4)</f>
        <v>0</v>
      </c>
      <c r="N279" s="446">
        <v>0</v>
      </c>
      <c r="O279" s="446">
        <v>1.73</v>
      </c>
      <c r="P279" s="446">
        <f ca="1">ROUND(+IF(ISERROR(OFFSET(Tabella!$G$1,MATCH(H279,Tabella!$G:$G,0)-1,MATCH(I279,Tabella!$G$1:$FG$1,0)-1)=TRUE),0,OFFSET(Tabella!$G$1,MATCH(H279,Tabella!$G:$G,0)-1,MATCH(I279,Tabella!$G$1:$AB$1,0)-1)),4)</f>
        <v>0</v>
      </c>
      <c r="Q279" s="446">
        <f ca="1">ROUND(IF(ISERROR(OFFSET(Ottone!$F$1,MATCH(H279,Ottone!$A:$A,0)-1,MATCH(I279,Ottone!$F$1:$FF$1,0)-1)=TRUE),0,OFFSET(Ottone!$F$1,MATCH(H279,Ottone!$A:$A,0)-1,MATCH(I279,Ottone!$F$1:$FF$1,0)-1))*IF(E279="Ottone",1,0),4)</f>
        <v>0</v>
      </c>
      <c r="R279" s="446">
        <f ca="1">ROUND(IF(ISERROR(OFFSET(Rame!$F$1,MATCH(H279,Rame!$F:$F,0)-1,MATCH(I279,Rame!$F$1:$FF$1,0)-1)=TRUE),0,OFFSET(Rame!$F$1,MATCH(H279,Rame!$F:$F,0)-1,MATCH(I279,Rame!$F$1:$FF$1,0)-1))*IF(E279="Rame",1,0),4)</f>
        <v>0</v>
      </c>
      <c r="S279" s="446">
        <f ca="1">ROUND(IF(ISERROR(OFFSET(Bronzo!$A$1,MATCH(H279,Bronzo!$A:$A,0)-1,MATCH(I279,Bronzo!$A$1:$AA$1,0)-1)=TRUE),0,OFFSET(Bronzo!$A$1,MATCH(H279,Bronzo!$A:$A,0)-1,MATCH(I279,Bronzo!$A$1:$AA$1,0)-1)),4)</f>
        <v>0</v>
      </c>
      <c r="T279" s="446">
        <f t="shared" ref="T279:T342" ca="1" si="170">ROUND(SUM(P279:S279),4)</f>
        <v>0</v>
      </c>
      <c r="U279" s="443"/>
      <c r="V279" s="446">
        <v>0</v>
      </c>
      <c r="W279" s="449">
        <f t="shared" ref="W279:W342" ca="1" si="171">ROUND(+O279+T279+U279+V279,4)</f>
        <v>1.73</v>
      </c>
      <c r="X279" s="452">
        <f t="shared" si="169"/>
        <v>45.5</v>
      </c>
      <c r="Y279" s="440">
        <v>4.5599999999999996</v>
      </c>
      <c r="Z279" s="440">
        <f t="shared" ref="Z279:Z342" ca="1" si="172">ROUND(+Y279-W279-F279,4)</f>
        <v>-0.05</v>
      </c>
      <c r="AA279" s="241">
        <v>46154</v>
      </c>
      <c r="AF279" s="225">
        <f t="shared" ca="1" si="163"/>
        <v>46156</v>
      </c>
      <c r="AG279" s="225" t="b">
        <f t="shared" si="164"/>
        <v>0</v>
      </c>
      <c r="AH279" s="242"/>
      <c r="AK279" s="223">
        <f t="shared" si="165"/>
        <v>20</v>
      </c>
      <c r="AL279" s="223">
        <f t="shared" si="166"/>
        <v>2026</v>
      </c>
      <c r="AS279" s="223">
        <f t="shared" si="167"/>
        <v>5</v>
      </c>
      <c r="AT279" s="223">
        <f t="shared" si="168"/>
        <v>2026</v>
      </c>
    </row>
    <row r="280" spans="2:46" ht="15.75" x14ac:dyDescent="0.25">
      <c r="B280" s="229" t="s">
        <v>585</v>
      </c>
      <c r="C280" s="235" t="s">
        <v>263</v>
      </c>
      <c r="D280" s="243">
        <v>2000</v>
      </c>
      <c r="E280" s="232" t="s">
        <v>4</v>
      </c>
      <c r="F280" s="435">
        <v>2.88</v>
      </c>
      <c r="G280" s="234">
        <v>46133</v>
      </c>
      <c r="H280" s="235" t="s">
        <v>15</v>
      </c>
      <c r="I280" s="235"/>
      <c r="J280" s="440">
        <v>7.0000000000000007E-2</v>
      </c>
      <c r="K280" s="443">
        <f ca="1">ROUND(IF(ISERROR(OFFSET(Tabella!$A$1,MATCH(H280,Tabella!$A:$A,0)-1,MATCH(J280,Tabella!$A$1:$AC$1,0)-1)=TRUE),0,+OFFSET(Tabella!$A$1,MATCH(H280,Tabella!$A:$A,0)-1,MATCH(J280,Tabella!$A$1:$AC$1,0)-1)),4)</f>
        <v>1.4</v>
      </c>
      <c r="L280" s="446">
        <f ca="1">ROUND(IF(ISERROR(OFFSET(Ottone!$A$1,MATCH(H280,Ottone!$A:$A,0)-1,MATCH(J280,Ottone!$A$1:$Z$1,0)-1)=TRUE),0,OFFSET(Ottone!$A$1,MATCH(H280,Ottone!$A:$A,0)-1,MATCH(J280,Ottone!$A$1:$Z$1,0)-1))*IF(E280="Ottone",1,0),4)</f>
        <v>0</v>
      </c>
      <c r="M280" s="446">
        <f ca="1">ROUND(IF(ISERROR(OFFSET(Rame!$A$1,MATCH(H280,Rame!$A:$A,0)-1,MATCH(J280,Rame!$A$1:$AA$1,0)-1)=TRUE),0,OFFSET(Rame!$A$1,MATCH(H280,Rame!$A:$A,0)-1,MATCH(J280,Rame!$A$1:$AA$1,0)-1))*IF(E280="Rame",1,0),4)</f>
        <v>0</v>
      </c>
      <c r="N280" s="446">
        <v>0</v>
      </c>
      <c r="O280" s="446">
        <v>1.88</v>
      </c>
      <c r="P280" s="446">
        <f ca="1">ROUND(+IF(ISERROR(OFFSET(Tabella!$G$1,MATCH(H280,Tabella!$G:$G,0)-1,MATCH(I280,Tabella!$G$1:$FG$1,0)-1)=TRUE),0,OFFSET(Tabella!$G$1,MATCH(H280,Tabella!$G:$G,0)-1,MATCH(I280,Tabella!$G$1:$AB$1,0)-1)),4)</f>
        <v>0</v>
      </c>
      <c r="Q280" s="446">
        <f ca="1">ROUND(IF(ISERROR(OFFSET(Ottone!$F$1,MATCH(H280,Ottone!$A:$A,0)-1,MATCH(I280,Ottone!$F$1:$FF$1,0)-1)=TRUE),0,OFFSET(Ottone!$F$1,MATCH(H280,Ottone!$A:$A,0)-1,MATCH(I280,Ottone!$F$1:$FF$1,0)-1))*IF(E280="Ottone",1,0),4)</f>
        <v>0</v>
      </c>
      <c r="R280" s="446">
        <f ca="1">ROUND(IF(ISERROR(OFFSET(Rame!$F$1,MATCH(H280,Rame!$F:$F,0)-1,MATCH(I280,Rame!$F$1:$FF$1,0)-1)=TRUE),0,OFFSET(Rame!$F$1,MATCH(H280,Rame!$F:$F,0)-1,MATCH(I280,Rame!$F$1:$FF$1,0)-1))*IF(E280="Rame",1,0),4)</f>
        <v>0</v>
      </c>
      <c r="S280" s="446">
        <f ca="1">ROUND(IF(ISERROR(OFFSET(Bronzo!$A$1,MATCH(H280,Bronzo!$A:$A,0)-1,MATCH(I280,Bronzo!$A$1:$AA$1,0)-1)=TRUE),0,OFFSET(Bronzo!$A$1,MATCH(H280,Bronzo!$A:$A,0)-1,MATCH(I280,Bronzo!$A$1:$AA$1,0)-1)),4)</f>
        <v>0</v>
      </c>
      <c r="T280" s="446">
        <f t="shared" ca="1" si="170"/>
        <v>0</v>
      </c>
      <c r="U280" s="443"/>
      <c r="V280" s="446">
        <v>0</v>
      </c>
      <c r="W280" s="449">
        <f t="shared" ca="1" si="171"/>
        <v>1.88</v>
      </c>
      <c r="X280" s="452">
        <f t="shared" si="169"/>
        <v>140</v>
      </c>
      <c r="Y280" s="440">
        <v>4.71</v>
      </c>
      <c r="Z280" s="440">
        <f t="shared" ca="1" si="172"/>
        <v>-0.05</v>
      </c>
      <c r="AA280" s="241">
        <v>46168</v>
      </c>
      <c r="AF280" s="225">
        <f t="shared" ca="1" si="163"/>
        <v>46156</v>
      </c>
      <c r="AG280" s="225" t="b">
        <f t="shared" si="164"/>
        <v>0</v>
      </c>
      <c r="AH280" s="242"/>
      <c r="AK280" s="223">
        <f t="shared" si="165"/>
        <v>22</v>
      </c>
      <c r="AL280" s="223">
        <f t="shared" si="166"/>
        <v>2026</v>
      </c>
      <c r="AS280" s="223">
        <f t="shared" si="167"/>
        <v>5</v>
      </c>
      <c r="AT280" s="223">
        <f t="shared" si="168"/>
        <v>2026</v>
      </c>
    </row>
    <row r="281" spans="2:46" ht="15.75" x14ac:dyDescent="0.25">
      <c r="B281" s="229" t="s">
        <v>585</v>
      </c>
      <c r="C281" s="235" t="s">
        <v>263</v>
      </c>
      <c r="D281" s="243">
        <v>1000</v>
      </c>
      <c r="E281" s="232" t="s">
        <v>4</v>
      </c>
      <c r="F281" s="435">
        <v>2.88</v>
      </c>
      <c r="G281" s="234">
        <v>46133</v>
      </c>
      <c r="H281" s="235" t="s">
        <v>17</v>
      </c>
      <c r="I281" s="235"/>
      <c r="J281" s="440">
        <v>7.0000000000000007E-2</v>
      </c>
      <c r="K281" s="443">
        <f ca="1">ROUND(IF(ISERROR(OFFSET(Tabella!$A$1,MATCH(H281,Tabella!$A:$A,0)-1,MATCH(J281,Tabella!$A$1:$AC$1,0)-1)=TRUE),0,+OFFSET(Tabella!$A$1,MATCH(H281,Tabella!$A:$A,0)-1,MATCH(J281,Tabella!$A$1:$AC$1,0)-1)),4)</f>
        <v>1.4</v>
      </c>
      <c r="L281" s="446">
        <f ca="1">ROUND(IF(ISERROR(OFFSET(Ottone!$A$1,MATCH(H281,Ottone!$A:$A,0)-1,MATCH(J281,Ottone!$A$1:$Z$1,0)-1)=TRUE),0,OFFSET(Ottone!$A$1,MATCH(H281,Ottone!$A:$A,0)-1,MATCH(J281,Ottone!$A$1:$Z$1,0)-1))*IF(E281="Ottone",1,0),4)</f>
        <v>0</v>
      </c>
      <c r="M281" s="446">
        <f ca="1">ROUND(IF(ISERROR(OFFSET(Rame!$A$1,MATCH(H281,Rame!$A:$A,0)-1,MATCH(J281,Rame!$A$1:$AA$1,0)-1)=TRUE),0,OFFSET(Rame!$A$1,MATCH(H281,Rame!$A:$A,0)-1,MATCH(J281,Rame!$A$1:$AA$1,0)-1))*IF(E281="Rame",1,0),4)</f>
        <v>0</v>
      </c>
      <c r="N281" s="446">
        <v>0</v>
      </c>
      <c r="O281" s="446">
        <v>1.83</v>
      </c>
      <c r="P281" s="446">
        <f ca="1">ROUND(+IF(ISERROR(OFFSET(Tabella!$G$1,MATCH(H281,Tabella!$G:$G,0)-1,MATCH(I281,Tabella!$G$1:$FG$1,0)-1)=TRUE),0,OFFSET(Tabella!$G$1,MATCH(H281,Tabella!$G:$G,0)-1,MATCH(I281,Tabella!$G$1:$AB$1,0)-1)),4)</f>
        <v>0</v>
      </c>
      <c r="Q281" s="446">
        <f ca="1">ROUND(IF(ISERROR(OFFSET(Ottone!$F$1,MATCH(H281,Ottone!$A:$A,0)-1,MATCH(I281,Ottone!$F$1:$FF$1,0)-1)=TRUE),0,OFFSET(Ottone!$F$1,MATCH(H281,Ottone!$A:$A,0)-1,MATCH(I281,Ottone!$F$1:$FF$1,0)-1))*IF(E281="Ottone",1,0),4)</f>
        <v>0</v>
      </c>
      <c r="R281" s="446">
        <f ca="1">ROUND(IF(ISERROR(OFFSET(Rame!$F$1,MATCH(H281,Rame!$F:$F,0)-1,MATCH(I281,Rame!$F$1:$FF$1,0)-1)=TRUE),0,OFFSET(Rame!$F$1,MATCH(H281,Rame!$F:$F,0)-1,MATCH(I281,Rame!$F$1:$FF$1,0)-1))*IF(E281="Rame",1,0),4)</f>
        <v>0</v>
      </c>
      <c r="S281" s="446">
        <f ca="1">ROUND(IF(ISERROR(OFFSET(Bronzo!$A$1,MATCH(H281,Bronzo!$A:$A,0)-1,MATCH(I281,Bronzo!$A$1:$AA$1,0)-1)=TRUE),0,OFFSET(Bronzo!$A$1,MATCH(H281,Bronzo!$A:$A,0)-1,MATCH(I281,Bronzo!$A$1:$AA$1,0)-1)),4)</f>
        <v>0</v>
      </c>
      <c r="T281" s="446">
        <f t="shared" ca="1" si="170"/>
        <v>0</v>
      </c>
      <c r="U281" s="443"/>
      <c r="V281" s="446">
        <v>0</v>
      </c>
      <c r="W281" s="449">
        <f t="shared" ca="1" si="171"/>
        <v>1.83</v>
      </c>
      <c r="X281" s="452">
        <f t="shared" si="169"/>
        <v>70</v>
      </c>
      <c r="Y281" s="440">
        <v>4.66</v>
      </c>
      <c r="Z281" s="440">
        <f t="shared" ca="1" si="172"/>
        <v>-0.05</v>
      </c>
      <c r="AA281" s="241">
        <v>46154</v>
      </c>
      <c r="AG281" s="225" t="b">
        <f t="shared" si="164"/>
        <v>0</v>
      </c>
      <c r="AH281" s="242"/>
      <c r="AK281" s="223">
        <f t="shared" si="165"/>
        <v>20</v>
      </c>
      <c r="AL281" s="223">
        <f t="shared" si="166"/>
        <v>2026</v>
      </c>
      <c r="AS281" s="223">
        <f t="shared" si="167"/>
        <v>5</v>
      </c>
      <c r="AT281" s="223">
        <f t="shared" si="168"/>
        <v>2026</v>
      </c>
    </row>
    <row r="282" spans="2:46" ht="15.75" x14ac:dyDescent="0.25">
      <c r="B282" s="229" t="s">
        <v>585</v>
      </c>
      <c r="C282" s="235" t="s">
        <v>263</v>
      </c>
      <c r="D282" s="243">
        <v>1000</v>
      </c>
      <c r="E282" s="232" t="s">
        <v>4</v>
      </c>
      <c r="F282" s="435">
        <v>2.88</v>
      </c>
      <c r="G282" s="234">
        <v>46133</v>
      </c>
      <c r="H282" s="235" t="s">
        <v>9</v>
      </c>
      <c r="I282" s="235"/>
      <c r="J282" s="440">
        <v>7.0000000000000007E-2</v>
      </c>
      <c r="K282" s="443">
        <f ca="1">ROUND(IF(ISERROR(OFFSET(Tabella!$A$1,MATCH(H282,Tabella!$A:$A,0)-1,MATCH(J282,Tabella!$A$1:$AC$1,0)-1)=TRUE),0,+OFFSET(Tabella!$A$1,MATCH(H282,Tabella!$A:$A,0)-1,MATCH(J282,Tabella!$A$1:$AC$1,0)-1)),4)</f>
        <v>1.6</v>
      </c>
      <c r="L282" s="446">
        <f ca="1">ROUND(IF(ISERROR(OFFSET(Ottone!$A$1,MATCH(H282,Ottone!$A:$A,0)-1,MATCH(J282,Ottone!$A$1:$Z$1,0)-1)=TRUE),0,OFFSET(Ottone!$A$1,MATCH(H282,Ottone!$A:$A,0)-1,MATCH(J282,Ottone!$A$1:$Z$1,0)-1))*IF(E282="Ottone",1,0),4)</f>
        <v>0</v>
      </c>
      <c r="M282" s="446">
        <f ca="1">ROUND(IF(ISERROR(OFFSET(Rame!$A$1,MATCH(H282,Rame!$A:$A,0)-1,MATCH(J282,Rame!$A$1:$AA$1,0)-1)=TRUE),0,OFFSET(Rame!$A$1,MATCH(H282,Rame!$A:$A,0)-1,MATCH(J282,Rame!$A$1:$AA$1,0)-1))*IF(E282="Rame",1,0),4)</f>
        <v>0</v>
      </c>
      <c r="N282" s="446">
        <v>0</v>
      </c>
      <c r="O282" s="446">
        <v>2.0299999999999998</v>
      </c>
      <c r="P282" s="446">
        <f ca="1">ROUND(+IF(ISERROR(OFFSET(Tabella!$G$1,MATCH(H282,Tabella!$G:$G,0)-1,MATCH(I282,Tabella!$G$1:$FG$1,0)-1)=TRUE),0,OFFSET(Tabella!$G$1,MATCH(H282,Tabella!$G:$G,0)-1,MATCH(I282,Tabella!$G$1:$AB$1,0)-1)),4)</f>
        <v>0</v>
      </c>
      <c r="Q282" s="446">
        <f ca="1">ROUND(IF(ISERROR(OFFSET(Ottone!$F$1,MATCH(H282,Ottone!$A:$A,0)-1,MATCH(I282,Ottone!$F$1:$FF$1,0)-1)=TRUE),0,OFFSET(Ottone!$F$1,MATCH(H282,Ottone!$A:$A,0)-1,MATCH(I282,Ottone!$F$1:$FF$1,0)-1))*IF(E282="Ottone",1,0),4)</f>
        <v>0</v>
      </c>
      <c r="R282" s="446">
        <f ca="1">ROUND(IF(ISERROR(OFFSET(Rame!$F$1,MATCH(H282,Rame!$F:$F,0)-1,MATCH(I282,Rame!$F$1:$FF$1,0)-1)=TRUE),0,OFFSET(Rame!$F$1,MATCH(H282,Rame!$F:$F,0)-1,MATCH(I282,Rame!$F$1:$FF$1,0)-1))*IF(E282="Rame",1,0),4)</f>
        <v>0</v>
      </c>
      <c r="S282" s="446">
        <f ca="1">ROUND(IF(ISERROR(OFFSET(Bronzo!$A$1,MATCH(H282,Bronzo!$A:$A,0)-1,MATCH(I282,Bronzo!$A$1:$AA$1,0)-1)=TRUE),0,OFFSET(Bronzo!$A$1,MATCH(H282,Bronzo!$A:$A,0)-1,MATCH(I282,Bronzo!$A$1:$AA$1,0)-1)),4)</f>
        <v>0</v>
      </c>
      <c r="T282" s="446">
        <f t="shared" ca="1" si="170"/>
        <v>0</v>
      </c>
      <c r="U282" s="443"/>
      <c r="V282" s="446">
        <v>0</v>
      </c>
      <c r="W282" s="449">
        <f t="shared" ca="1" si="171"/>
        <v>2.0299999999999998</v>
      </c>
      <c r="X282" s="452">
        <f t="shared" si="169"/>
        <v>70</v>
      </c>
      <c r="Y282" s="440">
        <v>4.8600000000000003</v>
      </c>
      <c r="Z282" s="440">
        <f t="shared" ca="1" si="172"/>
        <v>-0.05</v>
      </c>
      <c r="AA282" s="241">
        <v>46168</v>
      </c>
      <c r="AG282" s="225" t="b">
        <f t="shared" si="164"/>
        <v>0</v>
      </c>
      <c r="AH282" s="242"/>
      <c r="AK282" s="223">
        <f t="shared" si="165"/>
        <v>22</v>
      </c>
      <c r="AL282" s="223">
        <f t="shared" si="166"/>
        <v>2026</v>
      </c>
      <c r="AS282" s="223">
        <f t="shared" si="167"/>
        <v>5</v>
      </c>
      <c r="AT282" s="223">
        <f t="shared" si="168"/>
        <v>2026</v>
      </c>
    </row>
    <row r="283" spans="2:46" ht="15.75" x14ac:dyDescent="0.25">
      <c r="B283" s="229" t="s">
        <v>585</v>
      </c>
      <c r="C283" s="235" t="s">
        <v>263</v>
      </c>
      <c r="D283" s="243">
        <v>2000</v>
      </c>
      <c r="E283" s="232" t="s">
        <v>4</v>
      </c>
      <c r="F283" s="435">
        <v>2.88</v>
      </c>
      <c r="G283" s="234">
        <v>46133</v>
      </c>
      <c r="H283" s="235" t="s">
        <v>322</v>
      </c>
      <c r="I283" s="235"/>
      <c r="J283" s="440">
        <v>7.0000000000000007E-2</v>
      </c>
      <c r="K283" s="443">
        <f ca="1">ROUND(IF(ISERROR(OFFSET(Tabella!$A$1,MATCH(H283,Tabella!$A:$A,0)-1,MATCH(J283,Tabella!$A$1:$AC$1,0)-1)=TRUE),0,+OFFSET(Tabella!$A$1,MATCH(H283,Tabella!$A:$A,0)-1,MATCH(J283,Tabella!$A$1:$AC$1,0)-1)),4)</f>
        <v>1.25</v>
      </c>
      <c r="L283" s="446">
        <f ca="1">ROUND(IF(ISERROR(OFFSET(Ottone!$A$1,MATCH(H283,Ottone!$A:$A,0)-1,MATCH(J283,Ottone!$A$1:$Z$1,0)-1)=TRUE),0,OFFSET(Ottone!$A$1,MATCH(H283,Ottone!$A:$A,0)-1,MATCH(J283,Ottone!$A$1:$Z$1,0)-1))*IF(E283="Ottone",1,0),4)</f>
        <v>0</v>
      </c>
      <c r="M283" s="446">
        <f ca="1">ROUND(IF(ISERROR(OFFSET(Rame!$A$1,MATCH(H283,Rame!$A:$A,0)-1,MATCH(J283,Rame!$A$1:$AA$1,0)-1)=TRUE),0,OFFSET(Rame!$A$1,MATCH(H283,Rame!$A:$A,0)-1,MATCH(J283,Rame!$A$1:$AA$1,0)-1))*IF(E283="Rame",1,0),4)</f>
        <v>0</v>
      </c>
      <c r="N283" s="446">
        <v>0</v>
      </c>
      <c r="O283" s="446">
        <v>1.73</v>
      </c>
      <c r="P283" s="446">
        <f ca="1">ROUND(+IF(ISERROR(OFFSET(Tabella!$G$1,MATCH(H283,Tabella!$G:$G,0)-1,MATCH(I283,Tabella!$G$1:$FG$1,0)-1)=TRUE),0,OFFSET(Tabella!$G$1,MATCH(H283,Tabella!$G:$G,0)-1,MATCH(I283,Tabella!$G$1:$AB$1,0)-1)),4)</f>
        <v>0</v>
      </c>
      <c r="Q283" s="446">
        <f ca="1">ROUND(IF(ISERROR(OFFSET(Ottone!$F$1,MATCH(H283,Ottone!$A:$A,0)-1,MATCH(I283,Ottone!$F$1:$FF$1,0)-1)=TRUE),0,OFFSET(Ottone!$F$1,MATCH(H283,Ottone!$A:$A,0)-1,MATCH(I283,Ottone!$F$1:$FF$1,0)-1))*IF(E283="Ottone",1,0),4)</f>
        <v>0</v>
      </c>
      <c r="R283" s="446">
        <f ca="1">ROUND(IF(ISERROR(OFFSET(Rame!$F$1,MATCH(H283,Rame!$F:$F,0)-1,MATCH(I283,Rame!$F$1:$FF$1,0)-1)=TRUE),0,OFFSET(Rame!$F$1,MATCH(H283,Rame!$F:$F,0)-1,MATCH(I283,Rame!$F$1:$FF$1,0)-1))*IF(E283="Rame",1,0),4)</f>
        <v>0</v>
      </c>
      <c r="S283" s="446">
        <f ca="1">ROUND(IF(ISERROR(OFFSET(Bronzo!$A$1,MATCH(H283,Bronzo!$A:$A,0)-1,MATCH(I283,Bronzo!$A$1:$AA$1,0)-1)=TRUE),0,OFFSET(Bronzo!$A$1,MATCH(H283,Bronzo!$A:$A,0)-1,MATCH(I283,Bronzo!$A$1:$AA$1,0)-1)),4)</f>
        <v>0</v>
      </c>
      <c r="T283" s="446">
        <f t="shared" ca="1" si="170"/>
        <v>0</v>
      </c>
      <c r="U283" s="443"/>
      <c r="V283" s="446">
        <v>0</v>
      </c>
      <c r="W283" s="449">
        <f t="shared" ca="1" si="171"/>
        <v>1.73</v>
      </c>
      <c r="X283" s="452">
        <f t="shared" si="169"/>
        <v>140</v>
      </c>
      <c r="Y283" s="440">
        <v>4.5599999999999996</v>
      </c>
      <c r="Z283" s="440">
        <f t="shared" ca="1" si="172"/>
        <v>-0.05</v>
      </c>
      <c r="AA283" s="241">
        <v>46168</v>
      </c>
      <c r="AG283" s="225" t="b">
        <f t="shared" si="164"/>
        <v>0</v>
      </c>
      <c r="AH283" s="242"/>
      <c r="AK283" s="223">
        <f t="shared" si="165"/>
        <v>22</v>
      </c>
      <c r="AL283" s="223">
        <f t="shared" si="166"/>
        <v>2026</v>
      </c>
      <c r="AS283" s="223">
        <f t="shared" si="167"/>
        <v>5</v>
      </c>
      <c r="AT283" s="223">
        <f t="shared" si="168"/>
        <v>2026</v>
      </c>
    </row>
    <row r="284" spans="2:46" ht="15.75" x14ac:dyDescent="0.25">
      <c r="B284" s="229" t="s">
        <v>585</v>
      </c>
      <c r="C284" s="235" t="s">
        <v>263</v>
      </c>
      <c r="D284" s="243">
        <v>1500</v>
      </c>
      <c r="E284" s="232" t="s">
        <v>4</v>
      </c>
      <c r="F284" s="435">
        <v>2.88</v>
      </c>
      <c r="G284" s="234">
        <v>46133</v>
      </c>
      <c r="H284" s="235" t="s">
        <v>314</v>
      </c>
      <c r="I284" s="235"/>
      <c r="J284" s="440">
        <v>7.0000000000000007E-2</v>
      </c>
      <c r="K284" s="443">
        <f ca="1">ROUND(IF(ISERROR(OFFSET(Tabella!$A$1,MATCH(H284,Tabella!$A:$A,0)-1,MATCH(J284,Tabella!$A$1:$AC$1,0)-1)=TRUE),0,+OFFSET(Tabella!$A$1,MATCH(H284,Tabella!$A:$A,0)-1,MATCH(J284,Tabella!$A$1:$AC$1,0)-1)),4)</f>
        <v>1.25</v>
      </c>
      <c r="L284" s="446">
        <f ca="1">ROUND(IF(ISERROR(OFFSET(Ottone!$A$1,MATCH(H284,Ottone!$A:$A,0)-1,MATCH(J284,Ottone!$A$1:$Z$1,0)-1)=TRUE),0,OFFSET(Ottone!$A$1,MATCH(H284,Ottone!$A:$A,0)-1,MATCH(J284,Ottone!$A$1:$Z$1,0)-1))*IF(E284="Ottone",1,0),4)</f>
        <v>0</v>
      </c>
      <c r="M284" s="446">
        <f ca="1">ROUND(IF(ISERROR(OFFSET(Rame!$A$1,MATCH(H284,Rame!$A:$A,0)-1,MATCH(J284,Rame!$A$1:$AA$1,0)-1)=TRUE),0,OFFSET(Rame!$A$1,MATCH(H284,Rame!$A:$A,0)-1,MATCH(J284,Rame!$A$1:$AA$1,0)-1))*IF(E284="Rame",1,0),4)</f>
        <v>0</v>
      </c>
      <c r="N284" s="446">
        <v>0</v>
      </c>
      <c r="O284" s="446">
        <v>1.73</v>
      </c>
      <c r="P284" s="446">
        <f ca="1">ROUND(+IF(ISERROR(OFFSET(Tabella!$G$1,MATCH(H284,Tabella!$G:$G,0)-1,MATCH(I284,Tabella!$G$1:$FG$1,0)-1)=TRUE),0,OFFSET(Tabella!$G$1,MATCH(H284,Tabella!$G:$G,0)-1,MATCH(I284,Tabella!$G$1:$AB$1,0)-1)),4)</f>
        <v>0</v>
      </c>
      <c r="Q284" s="446">
        <f ca="1">ROUND(IF(ISERROR(OFFSET(Ottone!$F$1,MATCH(H284,Ottone!$A:$A,0)-1,MATCH(I284,Ottone!$F$1:$FF$1,0)-1)=TRUE),0,OFFSET(Ottone!$F$1,MATCH(H284,Ottone!$A:$A,0)-1,MATCH(I284,Ottone!$F$1:$FF$1,0)-1))*IF(E284="Ottone",1,0),4)</f>
        <v>0</v>
      </c>
      <c r="R284" s="446">
        <f ca="1">ROUND(IF(ISERROR(OFFSET(Rame!$F$1,MATCH(H284,Rame!$F:$F,0)-1,MATCH(I284,Rame!$F$1:$FF$1,0)-1)=TRUE),0,OFFSET(Rame!$F$1,MATCH(H284,Rame!$F:$F,0)-1,MATCH(I284,Rame!$F$1:$FF$1,0)-1))*IF(E284="Rame",1,0),4)</f>
        <v>0</v>
      </c>
      <c r="S284" s="446">
        <f ca="1">ROUND(IF(ISERROR(OFFSET(Bronzo!$A$1,MATCH(H284,Bronzo!$A:$A,0)-1,MATCH(I284,Bronzo!$A$1:$AA$1,0)-1)=TRUE),0,OFFSET(Bronzo!$A$1,MATCH(H284,Bronzo!$A:$A,0)-1,MATCH(I284,Bronzo!$A$1:$AA$1,0)-1)),4)</f>
        <v>0</v>
      </c>
      <c r="T284" s="446">
        <f t="shared" ca="1" si="170"/>
        <v>0</v>
      </c>
      <c r="U284" s="443"/>
      <c r="V284" s="446">
        <v>0</v>
      </c>
      <c r="W284" s="449">
        <f t="shared" ca="1" si="171"/>
        <v>1.73</v>
      </c>
      <c r="X284" s="452">
        <f t="shared" si="169"/>
        <v>105</v>
      </c>
      <c r="Y284" s="440">
        <v>4.5599999999999996</v>
      </c>
      <c r="Z284" s="440">
        <f t="shared" ca="1" si="172"/>
        <v>-0.05</v>
      </c>
      <c r="AA284" s="241">
        <v>46168</v>
      </c>
      <c r="AG284" s="225" t="b">
        <f t="shared" si="164"/>
        <v>0</v>
      </c>
      <c r="AH284" s="242"/>
      <c r="AK284" s="223">
        <f t="shared" si="165"/>
        <v>22</v>
      </c>
      <c r="AL284" s="223">
        <f t="shared" si="166"/>
        <v>2026</v>
      </c>
      <c r="AS284" s="223">
        <f t="shared" si="167"/>
        <v>5</v>
      </c>
      <c r="AT284" s="223">
        <f t="shared" si="168"/>
        <v>2026</v>
      </c>
    </row>
    <row r="285" spans="2:46" ht="15.75" x14ac:dyDescent="0.25">
      <c r="B285" s="229" t="s">
        <v>569</v>
      </c>
      <c r="C285" s="235" t="s">
        <v>212</v>
      </c>
      <c r="D285" s="243">
        <v>4000</v>
      </c>
      <c r="E285" s="232" t="s">
        <v>6</v>
      </c>
      <c r="F285" s="435">
        <v>11.21</v>
      </c>
      <c r="G285" s="234">
        <v>46133</v>
      </c>
      <c r="H285" s="235" t="s">
        <v>16</v>
      </c>
      <c r="I285" s="235"/>
      <c r="J285" s="440">
        <v>0.1</v>
      </c>
      <c r="K285" s="443">
        <f ca="1">ROUND(IF(ISERROR(OFFSET(Tabella!$A$1,MATCH(H285,Tabella!$A:$A,0)-1,MATCH(J285,Tabella!$A$1:$AC$1,0)-1)=TRUE),0,+OFFSET(Tabella!$A$1,MATCH(H285,Tabella!$A:$A,0)-1,MATCH(J285,Tabella!$A$1:$AC$1,0)-1)),4)</f>
        <v>0</v>
      </c>
      <c r="L285" s="446">
        <f ca="1">ROUND(IF(ISERROR(OFFSET(Ottone!$A$1,MATCH(H285,Ottone!$A:$A,0)-1,MATCH(J285,Ottone!$A$1:$Z$1,0)-1)=TRUE),0,OFFSET(Ottone!$A$1,MATCH(H285,Ottone!$A:$A,0)-1,MATCH(J285,Ottone!$A$1:$Z$1,0)-1))*IF(E285="Ottone",1,0),4)</f>
        <v>0</v>
      </c>
      <c r="M285" s="446">
        <f ca="1">ROUND(IF(ISERROR(OFFSET(Rame!$A$1,MATCH(H285,Rame!$A:$A,0)-1,MATCH(J285,Rame!$A$1:$AA$1,0)-1)=TRUE),0,OFFSET(Rame!$A$1,MATCH(H285,Rame!$A:$A,0)-1,MATCH(J285,Rame!$A$1:$AA$1,0)-1))*IF(E285="Rame",1,0),4)</f>
        <v>0.82</v>
      </c>
      <c r="N285" s="446">
        <v>0</v>
      </c>
      <c r="O285" s="446">
        <f t="shared" ref="O285:O295" ca="1" si="173">ROUND(SUM(K285:N285),4)</f>
        <v>0.82</v>
      </c>
      <c r="P285" s="446">
        <f ca="1">ROUND(+IF(ISERROR(OFFSET(Tabella!$G$1,MATCH(H285,Tabella!$G:$G,0)-1,MATCH(I285,Tabella!$G$1:$FG$1,0)-1)=TRUE),0,OFFSET(Tabella!$G$1,MATCH(H285,Tabella!$G:$G,0)-1,MATCH(I285,Tabella!$G$1:$AB$1,0)-1)),4)</f>
        <v>0</v>
      </c>
      <c r="Q285" s="446">
        <f ca="1">ROUND(IF(ISERROR(OFFSET(Ottone!$F$1,MATCH(H285,Ottone!$A:$A,0)-1,MATCH(I285,Ottone!$F$1:$FF$1,0)-1)=TRUE),0,OFFSET(Ottone!$F$1,MATCH(H285,Ottone!$A:$A,0)-1,MATCH(I285,Ottone!$F$1:$FF$1,0)-1))*IF(E285="Ottone",1,0),4)</f>
        <v>0</v>
      </c>
      <c r="R285" s="446">
        <f ca="1">ROUND(IF(ISERROR(OFFSET(Rame!$F$1,MATCH(H285,Rame!$F:$F,0)-1,MATCH(I285,Rame!$F$1:$FF$1,0)-1)=TRUE),0,OFFSET(Rame!$F$1,MATCH(H285,Rame!$F:$F,0)-1,MATCH(I285,Rame!$F$1:$FF$1,0)-1))*IF(E285="Rame",1,0),4)</f>
        <v>0</v>
      </c>
      <c r="S285" s="446">
        <f ca="1">ROUND(IF(ISERROR(OFFSET(Bronzo!$A$1,MATCH(H285,Bronzo!$A:$A,0)-1,MATCH(I285,Bronzo!$A$1:$AA$1,0)-1)=TRUE),0,OFFSET(Bronzo!$A$1,MATCH(H285,Bronzo!$A:$A,0)-1,MATCH(I285,Bronzo!$A$1:$AA$1,0)-1)),4)</f>
        <v>0</v>
      </c>
      <c r="T285" s="446">
        <f t="shared" ca="1" si="170"/>
        <v>0</v>
      </c>
      <c r="U285" s="443"/>
      <c r="V285" s="446">
        <v>0</v>
      </c>
      <c r="W285" s="449">
        <f t="shared" ca="1" si="171"/>
        <v>0.82</v>
      </c>
      <c r="X285" s="452">
        <f t="shared" si="169"/>
        <v>400</v>
      </c>
      <c r="Y285" s="440">
        <v>14.51</v>
      </c>
      <c r="Z285" s="440">
        <f t="shared" ca="1" si="172"/>
        <v>2.48</v>
      </c>
      <c r="AA285" s="241">
        <v>46161</v>
      </c>
      <c r="AG285" s="225" t="b">
        <f t="shared" si="164"/>
        <v>0</v>
      </c>
      <c r="AH285" s="242"/>
      <c r="AK285" s="223">
        <f t="shared" si="165"/>
        <v>21</v>
      </c>
      <c r="AL285" s="223">
        <f t="shared" si="166"/>
        <v>2026</v>
      </c>
      <c r="AS285" s="223">
        <f t="shared" si="167"/>
        <v>5</v>
      </c>
      <c r="AT285" s="223">
        <f t="shared" si="168"/>
        <v>2026</v>
      </c>
    </row>
    <row r="286" spans="2:46" ht="15.75" x14ac:dyDescent="0.25">
      <c r="B286" s="229" t="s">
        <v>590</v>
      </c>
      <c r="C286" s="235" t="s">
        <v>212</v>
      </c>
      <c r="D286" s="243">
        <v>1000</v>
      </c>
      <c r="E286" s="232" t="s">
        <v>6</v>
      </c>
      <c r="F286" s="435">
        <v>11.21</v>
      </c>
      <c r="G286" s="234">
        <v>46133</v>
      </c>
      <c r="H286" s="235" t="s">
        <v>12</v>
      </c>
      <c r="I286" s="235"/>
      <c r="J286" s="440">
        <v>0.1</v>
      </c>
      <c r="K286" s="443">
        <f ca="1">ROUND(IF(ISERROR(OFFSET(Tabella!$A$1,MATCH(H286,Tabella!$A:$A,0)-1,MATCH(J286,Tabella!$A$1:$AC$1,0)-1)=TRUE),0,+OFFSET(Tabella!$A$1,MATCH(H286,Tabella!$A:$A,0)-1,MATCH(J286,Tabella!$A$1:$AC$1,0)-1)),4)</f>
        <v>0</v>
      </c>
      <c r="L286" s="446">
        <f ca="1">ROUND(IF(ISERROR(OFFSET(Ottone!$A$1,MATCH(H286,Ottone!$A:$A,0)-1,MATCH(J286,Ottone!$A$1:$Z$1,0)-1)=TRUE),0,OFFSET(Ottone!$A$1,MATCH(H286,Ottone!$A:$A,0)-1,MATCH(J286,Ottone!$A$1:$Z$1,0)-1))*IF(E286="Ottone",1,0),4)</f>
        <v>0</v>
      </c>
      <c r="M286" s="446">
        <f ca="1">ROUND(IF(ISERROR(OFFSET(Rame!$A$1,MATCH(H286,Rame!$A:$A,0)-1,MATCH(J286,Rame!$A$1:$AA$1,0)-1)=TRUE),0,OFFSET(Rame!$A$1,MATCH(H286,Rame!$A:$A,0)-1,MATCH(J286,Rame!$A$1:$AA$1,0)-1))*IF(E286="Rame",1,0),4)</f>
        <v>1.1000000000000001</v>
      </c>
      <c r="N286" s="446">
        <v>0</v>
      </c>
      <c r="O286" s="446">
        <f t="shared" ca="1" si="173"/>
        <v>1.1000000000000001</v>
      </c>
      <c r="P286" s="446">
        <f ca="1">ROUND(+IF(ISERROR(OFFSET(Tabella!$G$1,MATCH(H286,Tabella!$G:$G,0)-1,MATCH(I286,Tabella!$G$1:$FG$1,0)-1)=TRUE),0,OFFSET(Tabella!$G$1,MATCH(H286,Tabella!$G:$G,0)-1,MATCH(I286,Tabella!$G$1:$AB$1,0)-1)),4)</f>
        <v>0</v>
      </c>
      <c r="Q286" s="446">
        <f ca="1">ROUND(IF(ISERROR(OFFSET(Ottone!$F$1,MATCH(H286,Ottone!$A:$A,0)-1,MATCH(I286,Ottone!$F$1:$FF$1,0)-1)=TRUE),0,OFFSET(Ottone!$F$1,MATCH(H286,Ottone!$A:$A,0)-1,MATCH(I286,Ottone!$F$1:$FF$1,0)-1))*IF(E286="Ottone",1,0),4)</f>
        <v>0</v>
      </c>
      <c r="R286" s="446">
        <f ca="1">ROUND(IF(ISERROR(OFFSET(Rame!$F$1,MATCH(H286,Rame!$F:$F,0)-1,MATCH(I286,Rame!$F$1:$FF$1,0)-1)=TRUE),0,OFFSET(Rame!$F$1,MATCH(H286,Rame!$F:$F,0)-1,MATCH(I286,Rame!$F$1:$FF$1,0)-1))*IF(E286="Rame",1,0),4)</f>
        <v>0</v>
      </c>
      <c r="S286" s="446">
        <f ca="1">ROUND(IF(ISERROR(OFFSET(Bronzo!$A$1,MATCH(H286,Bronzo!$A:$A,0)-1,MATCH(I286,Bronzo!$A$1:$AA$1,0)-1)=TRUE),0,OFFSET(Bronzo!$A$1,MATCH(H286,Bronzo!$A:$A,0)-1,MATCH(I286,Bronzo!$A$1:$AA$1,0)-1)),4)</f>
        <v>0</v>
      </c>
      <c r="T286" s="446">
        <f t="shared" ca="1" si="170"/>
        <v>0</v>
      </c>
      <c r="U286" s="443"/>
      <c r="V286" s="446">
        <v>0</v>
      </c>
      <c r="W286" s="449">
        <f t="shared" ca="1" si="171"/>
        <v>1.1000000000000001</v>
      </c>
      <c r="X286" s="452">
        <f t="shared" si="169"/>
        <v>100</v>
      </c>
      <c r="Y286" s="440">
        <v>14.91</v>
      </c>
      <c r="Z286" s="440">
        <f t="shared" ca="1" si="172"/>
        <v>2.6</v>
      </c>
      <c r="AA286" s="241">
        <v>46157</v>
      </c>
      <c r="AH286" s="242"/>
      <c r="AK286" s="223">
        <f t="shared" si="165"/>
        <v>20</v>
      </c>
      <c r="AL286" s="223">
        <f t="shared" si="166"/>
        <v>2026</v>
      </c>
      <c r="AS286" s="223">
        <f t="shared" si="167"/>
        <v>5</v>
      </c>
      <c r="AT286" s="223">
        <f t="shared" si="168"/>
        <v>2026</v>
      </c>
    </row>
    <row r="287" spans="2:46" ht="15.75" x14ac:dyDescent="0.25">
      <c r="B287" s="229" t="s">
        <v>589</v>
      </c>
      <c r="C287" s="235" t="s">
        <v>212</v>
      </c>
      <c r="D287" s="243">
        <v>2400</v>
      </c>
      <c r="E287" s="232" t="s">
        <v>6</v>
      </c>
      <c r="F287" s="435">
        <v>11.21</v>
      </c>
      <c r="G287" s="234">
        <v>46133</v>
      </c>
      <c r="H287" s="235" t="s">
        <v>18</v>
      </c>
      <c r="I287" s="235"/>
      <c r="J287" s="440">
        <v>0.1</v>
      </c>
      <c r="K287" s="443">
        <f ca="1">ROUND(IF(ISERROR(OFFSET(Tabella!$A$1,MATCH(H287,Tabella!$A:$A,0)-1,MATCH(J287,Tabella!$A$1:$AC$1,0)-1)=TRUE),0,+OFFSET(Tabella!$A$1,MATCH(H287,Tabella!$A:$A,0)-1,MATCH(J287,Tabella!$A$1:$AC$1,0)-1)),4)</f>
        <v>0</v>
      </c>
      <c r="L287" s="446">
        <f ca="1">ROUND(IF(ISERROR(OFFSET(Ottone!$A$1,MATCH(H287,Ottone!$A:$A,0)-1,MATCH(J287,Ottone!$A$1:$Z$1,0)-1)=TRUE),0,OFFSET(Ottone!$A$1,MATCH(H287,Ottone!$A:$A,0)-1,MATCH(J287,Ottone!$A$1:$Z$1,0)-1))*IF(E287="Ottone",1,0),4)</f>
        <v>0</v>
      </c>
      <c r="M287" s="446">
        <f ca="1">ROUND(IF(ISERROR(OFFSET(Rame!$A$1,MATCH(H287,Rame!$A:$A,0)-1,MATCH(J287,Rame!$A$1:$AA$1,0)-1)=TRUE),0,OFFSET(Rame!$A$1,MATCH(H287,Rame!$A:$A,0)-1,MATCH(J287,Rame!$A$1:$AA$1,0)-1))*IF(E287="Rame",1,0),4)</f>
        <v>0.78</v>
      </c>
      <c r="N287" s="446">
        <v>0</v>
      </c>
      <c r="O287" s="446">
        <f t="shared" ca="1" si="173"/>
        <v>0.78</v>
      </c>
      <c r="P287" s="446">
        <f ca="1">ROUND(+IF(ISERROR(OFFSET(Tabella!$G$1,MATCH(H287,Tabella!$G:$G,0)-1,MATCH(I287,Tabella!$G$1:$FG$1,0)-1)=TRUE),0,OFFSET(Tabella!$G$1,MATCH(H287,Tabella!$G:$G,0)-1,MATCH(I287,Tabella!$G$1:$AB$1,0)-1)),4)</f>
        <v>0</v>
      </c>
      <c r="Q287" s="446">
        <f ca="1">ROUND(IF(ISERROR(OFFSET(Ottone!$F$1,MATCH(H287,Ottone!$A:$A,0)-1,MATCH(I287,Ottone!$F$1:$FF$1,0)-1)=TRUE),0,OFFSET(Ottone!$F$1,MATCH(H287,Ottone!$A:$A,0)-1,MATCH(I287,Ottone!$F$1:$FF$1,0)-1))*IF(E287="Ottone",1,0),4)</f>
        <v>0</v>
      </c>
      <c r="R287" s="446">
        <f ca="1">ROUND(IF(ISERROR(OFFSET(Rame!$F$1,MATCH(H287,Rame!$F:$F,0)-1,MATCH(I287,Rame!$F$1:$FF$1,0)-1)=TRUE),0,OFFSET(Rame!$F$1,MATCH(H287,Rame!$F:$F,0)-1,MATCH(I287,Rame!$F$1:$FF$1,0)-1))*IF(E287="Rame",1,0),4)</f>
        <v>0</v>
      </c>
      <c r="S287" s="446">
        <f ca="1">ROUND(IF(ISERROR(OFFSET(Bronzo!$A$1,MATCH(H287,Bronzo!$A:$A,0)-1,MATCH(I287,Bronzo!$A$1:$AA$1,0)-1)=TRUE),0,OFFSET(Bronzo!$A$1,MATCH(H287,Bronzo!$A:$A,0)-1,MATCH(I287,Bronzo!$A$1:$AA$1,0)-1)),4)</f>
        <v>0</v>
      </c>
      <c r="T287" s="446">
        <f t="shared" ca="1" si="170"/>
        <v>0</v>
      </c>
      <c r="U287" s="443"/>
      <c r="V287" s="446">
        <v>0</v>
      </c>
      <c r="W287" s="449">
        <f t="shared" ca="1" si="171"/>
        <v>0.78</v>
      </c>
      <c r="X287" s="452">
        <f t="shared" si="169"/>
        <v>240</v>
      </c>
      <c r="Y287" s="440">
        <v>14.46</v>
      </c>
      <c r="Z287" s="440">
        <f t="shared" ca="1" si="172"/>
        <v>2.4700000000000002</v>
      </c>
      <c r="AA287" s="241">
        <v>46167</v>
      </c>
      <c r="AH287" s="242"/>
      <c r="AK287" s="223">
        <f t="shared" si="165"/>
        <v>22</v>
      </c>
      <c r="AL287" s="223">
        <f t="shared" si="166"/>
        <v>2026</v>
      </c>
      <c r="AS287" s="223">
        <f t="shared" si="167"/>
        <v>5</v>
      </c>
      <c r="AT287" s="223">
        <f t="shared" si="168"/>
        <v>2026</v>
      </c>
    </row>
    <row r="288" spans="2:46" ht="15.75" x14ac:dyDescent="0.25">
      <c r="B288" s="229" t="s">
        <v>589</v>
      </c>
      <c r="C288" s="235" t="s">
        <v>212</v>
      </c>
      <c r="D288" s="243">
        <v>1600</v>
      </c>
      <c r="E288" s="232" t="s">
        <v>6</v>
      </c>
      <c r="F288" s="435">
        <v>11.21</v>
      </c>
      <c r="G288" s="234">
        <v>46133</v>
      </c>
      <c r="H288" s="235" t="s">
        <v>16</v>
      </c>
      <c r="I288" s="235"/>
      <c r="J288" s="440">
        <v>0.1</v>
      </c>
      <c r="K288" s="443">
        <f ca="1">ROUND(IF(ISERROR(OFFSET(Tabella!$A$1,MATCH(H288,Tabella!$A:$A,0)-1,MATCH(J288,Tabella!$A$1:$AC$1,0)-1)=TRUE),0,+OFFSET(Tabella!$A$1,MATCH(H288,Tabella!$A:$A,0)-1,MATCH(J288,Tabella!$A$1:$AC$1,0)-1)),4)</f>
        <v>0</v>
      </c>
      <c r="L288" s="446">
        <f ca="1">ROUND(IF(ISERROR(OFFSET(Ottone!$A$1,MATCH(H288,Ottone!$A:$A,0)-1,MATCH(J288,Ottone!$A$1:$Z$1,0)-1)=TRUE),0,OFFSET(Ottone!$A$1,MATCH(H288,Ottone!$A:$A,0)-1,MATCH(J288,Ottone!$A$1:$Z$1,0)-1))*IF(E288="Ottone",1,0),4)</f>
        <v>0</v>
      </c>
      <c r="M288" s="446">
        <f ca="1">ROUND(IF(ISERROR(OFFSET(Rame!$A$1,MATCH(H288,Rame!$A:$A,0)-1,MATCH(J288,Rame!$A$1:$AA$1,0)-1)=TRUE),0,OFFSET(Rame!$A$1,MATCH(H288,Rame!$A:$A,0)-1,MATCH(J288,Rame!$A$1:$AA$1,0)-1))*IF(E288="Rame",1,0),4)</f>
        <v>0.82</v>
      </c>
      <c r="N288" s="446">
        <v>0</v>
      </c>
      <c r="O288" s="446">
        <f t="shared" ca="1" si="173"/>
        <v>0.82</v>
      </c>
      <c r="P288" s="446">
        <f ca="1">ROUND(+IF(ISERROR(OFFSET(Tabella!$G$1,MATCH(H288,Tabella!$G:$G,0)-1,MATCH(I288,Tabella!$G$1:$FG$1,0)-1)=TRUE),0,OFFSET(Tabella!$G$1,MATCH(H288,Tabella!$G:$G,0)-1,MATCH(I288,Tabella!$G$1:$AB$1,0)-1)),4)</f>
        <v>0</v>
      </c>
      <c r="Q288" s="446">
        <f ca="1">ROUND(IF(ISERROR(OFFSET(Ottone!$F$1,MATCH(H288,Ottone!$A:$A,0)-1,MATCH(I288,Ottone!$F$1:$FF$1,0)-1)=TRUE),0,OFFSET(Ottone!$F$1,MATCH(H288,Ottone!$A:$A,0)-1,MATCH(I288,Ottone!$F$1:$FF$1,0)-1))*IF(E288="Ottone",1,0),4)</f>
        <v>0</v>
      </c>
      <c r="R288" s="446">
        <f ca="1">ROUND(IF(ISERROR(OFFSET(Rame!$F$1,MATCH(H288,Rame!$F:$F,0)-1,MATCH(I288,Rame!$F$1:$FF$1,0)-1)=TRUE),0,OFFSET(Rame!$F$1,MATCH(H288,Rame!$F:$F,0)-1,MATCH(I288,Rame!$F$1:$FF$1,0)-1))*IF(E288="Rame",1,0),4)</f>
        <v>0</v>
      </c>
      <c r="S288" s="446">
        <f ca="1">ROUND(IF(ISERROR(OFFSET(Bronzo!$A$1,MATCH(H288,Bronzo!$A:$A,0)-1,MATCH(I288,Bronzo!$A$1:$AA$1,0)-1)=TRUE),0,OFFSET(Bronzo!$A$1,MATCH(H288,Bronzo!$A:$A,0)-1,MATCH(I288,Bronzo!$A$1:$AA$1,0)-1)),4)</f>
        <v>0</v>
      </c>
      <c r="T288" s="446">
        <f t="shared" ca="1" si="170"/>
        <v>0</v>
      </c>
      <c r="U288" s="443"/>
      <c r="V288" s="446">
        <v>0</v>
      </c>
      <c r="W288" s="449">
        <f t="shared" ca="1" si="171"/>
        <v>0.82</v>
      </c>
      <c r="X288" s="452">
        <f t="shared" si="169"/>
        <v>160</v>
      </c>
      <c r="Y288" s="440">
        <v>14.51</v>
      </c>
      <c r="Z288" s="440">
        <f t="shared" ca="1" si="172"/>
        <v>2.48</v>
      </c>
      <c r="AA288" s="241">
        <v>46167</v>
      </c>
      <c r="AH288" s="242"/>
      <c r="AK288" s="223">
        <f t="shared" si="165"/>
        <v>22</v>
      </c>
      <c r="AL288" s="223">
        <f t="shared" si="166"/>
        <v>2026</v>
      </c>
      <c r="AS288" s="223">
        <f t="shared" si="167"/>
        <v>5</v>
      </c>
      <c r="AT288" s="223">
        <f t="shared" si="168"/>
        <v>2026</v>
      </c>
    </row>
    <row r="289" spans="2:46" ht="15.75" x14ac:dyDescent="0.25">
      <c r="B289" s="229" t="s">
        <v>589</v>
      </c>
      <c r="C289" s="235" t="s">
        <v>212</v>
      </c>
      <c r="D289" s="243">
        <v>950</v>
      </c>
      <c r="E289" s="232" t="s">
        <v>6</v>
      </c>
      <c r="F289" s="435">
        <v>11.21</v>
      </c>
      <c r="G289" s="234">
        <v>46133</v>
      </c>
      <c r="H289" s="235" t="s">
        <v>18</v>
      </c>
      <c r="I289" s="235"/>
      <c r="J289" s="440">
        <v>0.1</v>
      </c>
      <c r="K289" s="443">
        <f ca="1">ROUND(IF(ISERROR(OFFSET(Tabella!$A$1,MATCH(H289,Tabella!$A:$A,0)-1,MATCH(J289,Tabella!$A$1:$AC$1,0)-1)=TRUE),0,+OFFSET(Tabella!$A$1,MATCH(H289,Tabella!$A:$A,0)-1,MATCH(J289,Tabella!$A$1:$AC$1,0)-1)),4)</f>
        <v>0</v>
      </c>
      <c r="L289" s="446">
        <f ca="1">ROUND(IF(ISERROR(OFFSET(Ottone!$A$1,MATCH(H289,Ottone!$A:$A,0)-1,MATCH(J289,Ottone!$A$1:$Z$1,0)-1)=TRUE),0,OFFSET(Ottone!$A$1,MATCH(H289,Ottone!$A:$A,0)-1,MATCH(J289,Ottone!$A$1:$Z$1,0)-1))*IF(E289="Ottone",1,0),4)</f>
        <v>0</v>
      </c>
      <c r="M289" s="446">
        <f ca="1">ROUND(IF(ISERROR(OFFSET(Rame!$A$1,MATCH(H289,Rame!$A:$A,0)-1,MATCH(J289,Rame!$A$1:$AA$1,0)-1)=TRUE),0,OFFSET(Rame!$A$1,MATCH(H289,Rame!$A:$A,0)-1,MATCH(J289,Rame!$A$1:$AA$1,0)-1))*IF(E289="Rame",1,0),4)</f>
        <v>0.78</v>
      </c>
      <c r="N289" s="446">
        <v>0</v>
      </c>
      <c r="O289" s="446">
        <f t="shared" ca="1" si="173"/>
        <v>0.78</v>
      </c>
      <c r="P289" s="446">
        <f ca="1">ROUND(+IF(ISERROR(OFFSET(Tabella!$G$1,MATCH(H289,Tabella!$G:$G,0)-1,MATCH(I289,Tabella!$G$1:$FG$1,0)-1)=TRUE),0,OFFSET(Tabella!$G$1,MATCH(H289,Tabella!$G:$G,0)-1,MATCH(I289,Tabella!$G$1:$AB$1,0)-1)),4)</f>
        <v>0</v>
      </c>
      <c r="Q289" s="446">
        <f ca="1">ROUND(IF(ISERROR(OFFSET(Ottone!$F$1,MATCH(H289,Ottone!$A:$A,0)-1,MATCH(I289,Ottone!$F$1:$FF$1,0)-1)=TRUE),0,OFFSET(Ottone!$F$1,MATCH(H289,Ottone!$A:$A,0)-1,MATCH(I289,Ottone!$F$1:$FF$1,0)-1))*IF(E289="Ottone",1,0),4)</f>
        <v>0</v>
      </c>
      <c r="R289" s="446">
        <f ca="1">ROUND(IF(ISERROR(OFFSET(Rame!$F$1,MATCH(H289,Rame!$F:$F,0)-1,MATCH(I289,Rame!$F$1:$FF$1,0)-1)=TRUE),0,OFFSET(Rame!$F$1,MATCH(H289,Rame!$F:$F,0)-1,MATCH(I289,Rame!$F$1:$FF$1,0)-1))*IF(E289="Rame",1,0),4)</f>
        <v>0</v>
      </c>
      <c r="S289" s="446">
        <f ca="1">ROUND(IF(ISERROR(OFFSET(Bronzo!$A$1,MATCH(H289,Bronzo!$A:$A,0)-1,MATCH(I289,Bronzo!$A$1:$AA$1,0)-1)=TRUE),0,OFFSET(Bronzo!$A$1,MATCH(H289,Bronzo!$A:$A,0)-1,MATCH(I289,Bronzo!$A$1:$AA$1,0)-1)),4)</f>
        <v>0</v>
      </c>
      <c r="T289" s="446">
        <f t="shared" ca="1" si="170"/>
        <v>0</v>
      </c>
      <c r="U289" s="443"/>
      <c r="V289" s="446">
        <v>0</v>
      </c>
      <c r="W289" s="449">
        <f t="shared" ca="1" si="171"/>
        <v>0.78</v>
      </c>
      <c r="X289" s="452">
        <f t="shared" si="169"/>
        <v>95</v>
      </c>
      <c r="Y289" s="440">
        <v>14.51</v>
      </c>
      <c r="Z289" s="440">
        <f t="shared" ca="1" si="172"/>
        <v>2.52</v>
      </c>
      <c r="AA289" s="241">
        <v>46181</v>
      </c>
      <c r="AH289" s="242"/>
      <c r="AK289" s="223">
        <f t="shared" si="165"/>
        <v>24</v>
      </c>
      <c r="AL289" s="223">
        <f t="shared" si="166"/>
        <v>2026</v>
      </c>
      <c r="AS289" s="223">
        <f t="shared" si="167"/>
        <v>6</v>
      </c>
      <c r="AT289" s="223">
        <f t="shared" si="168"/>
        <v>2026</v>
      </c>
    </row>
    <row r="290" spans="2:46" ht="15.75" x14ac:dyDescent="0.25">
      <c r="B290" s="229" t="s">
        <v>591</v>
      </c>
      <c r="C290" s="235" t="s">
        <v>212</v>
      </c>
      <c r="D290" s="243">
        <v>1300</v>
      </c>
      <c r="E290" s="232" t="s">
        <v>6</v>
      </c>
      <c r="F290" s="435">
        <v>11.21</v>
      </c>
      <c r="G290" s="234">
        <v>46133</v>
      </c>
      <c r="H290" s="235" t="s">
        <v>18</v>
      </c>
      <c r="I290" s="235"/>
      <c r="J290" s="440">
        <v>0.1</v>
      </c>
      <c r="K290" s="443">
        <f ca="1">ROUND(IF(ISERROR(OFFSET(Tabella!$A$1,MATCH(H290,Tabella!$A:$A,0)-1,MATCH(J290,Tabella!$A$1:$AC$1,0)-1)=TRUE),0,+OFFSET(Tabella!$A$1,MATCH(H290,Tabella!$A:$A,0)-1,MATCH(J290,Tabella!$A$1:$AC$1,0)-1)),4)</f>
        <v>0</v>
      </c>
      <c r="L290" s="446">
        <f ca="1">ROUND(IF(ISERROR(OFFSET(Ottone!$A$1,MATCH(H290,Ottone!$A:$A,0)-1,MATCH(J290,Ottone!$A$1:$Z$1,0)-1)=TRUE),0,OFFSET(Ottone!$A$1,MATCH(H290,Ottone!$A:$A,0)-1,MATCH(J290,Ottone!$A$1:$Z$1,0)-1))*IF(E290="Ottone",1,0),4)</f>
        <v>0</v>
      </c>
      <c r="M290" s="446">
        <f ca="1">ROUND(IF(ISERROR(OFFSET(Rame!$A$1,MATCH(H290,Rame!$A:$A,0)-1,MATCH(J290,Rame!$A$1:$AA$1,0)-1)=TRUE),0,OFFSET(Rame!$A$1,MATCH(H290,Rame!$A:$A,0)-1,MATCH(J290,Rame!$A$1:$AA$1,0)-1))*IF(E290="Rame",1,0),4)</f>
        <v>0.78</v>
      </c>
      <c r="N290" s="446">
        <v>0</v>
      </c>
      <c r="O290" s="446">
        <f t="shared" ca="1" si="173"/>
        <v>0.78</v>
      </c>
      <c r="P290" s="446">
        <f ca="1">ROUND(+IF(ISERROR(OFFSET(Tabella!$G$1,MATCH(H290,Tabella!$G:$G,0)-1,MATCH(I290,Tabella!$G$1:$FG$1,0)-1)=TRUE),0,OFFSET(Tabella!$G$1,MATCH(H290,Tabella!$G:$G,0)-1,MATCH(I290,Tabella!$G$1:$AB$1,0)-1)),4)</f>
        <v>0</v>
      </c>
      <c r="Q290" s="446">
        <f ca="1">ROUND(IF(ISERROR(OFFSET(Ottone!$F$1,MATCH(H290,Ottone!$A:$A,0)-1,MATCH(I290,Ottone!$F$1:$FF$1,0)-1)=TRUE),0,OFFSET(Ottone!$F$1,MATCH(H290,Ottone!$A:$A,0)-1,MATCH(I290,Ottone!$F$1:$FF$1,0)-1))*IF(E290="Ottone",1,0),4)</f>
        <v>0</v>
      </c>
      <c r="R290" s="446">
        <f ca="1">ROUND(IF(ISERROR(OFFSET(Rame!$F$1,MATCH(H290,Rame!$F:$F,0)-1,MATCH(I290,Rame!$F$1:$FF$1,0)-1)=TRUE),0,OFFSET(Rame!$F$1,MATCH(H290,Rame!$F:$F,0)-1,MATCH(I290,Rame!$F$1:$FF$1,0)-1))*IF(E290="Rame",1,0),4)</f>
        <v>0</v>
      </c>
      <c r="S290" s="446">
        <f ca="1">ROUND(IF(ISERROR(OFFSET(Bronzo!$A$1,MATCH(H290,Bronzo!$A:$A,0)-1,MATCH(I290,Bronzo!$A$1:$AA$1,0)-1)=TRUE),0,OFFSET(Bronzo!$A$1,MATCH(H290,Bronzo!$A:$A,0)-1,MATCH(I290,Bronzo!$A$1:$AA$1,0)-1)),4)</f>
        <v>0</v>
      </c>
      <c r="T290" s="446">
        <f t="shared" ca="1" si="170"/>
        <v>0</v>
      </c>
      <c r="U290" s="443"/>
      <c r="V290" s="446">
        <v>0</v>
      </c>
      <c r="W290" s="449">
        <f t="shared" ca="1" si="171"/>
        <v>0.78</v>
      </c>
      <c r="X290" s="452">
        <f t="shared" si="169"/>
        <v>130</v>
      </c>
      <c r="Y290" s="440">
        <v>14.51</v>
      </c>
      <c r="Z290" s="440">
        <f t="shared" ca="1" si="172"/>
        <v>2.52</v>
      </c>
      <c r="AA290" s="241">
        <v>46181</v>
      </c>
      <c r="AH290" s="242"/>
      <c r="AK290" s="223">
        <f t="shared" si="165"/>
        <v>24</v>
      </c>
      <c r="AL290" s="223">
        <f t="shared" si="166"/>
        <v>2026</v>
      </c>
      <c r="AS290" s="223">
        <f t="shared" si="167"/>
        <v>6</v>
      </c>
      <c r="AT290" s="223">
        <f t="shared" si="168"/>
        <v>2026</v>
      </c>
    </row>
    <row r="291" spans="2:46" ht="15.75" x14ac:dyDescent="0.25">
      <c r="B291" s="229" t="s">
        <v>591</v>
      </c>
      <c r="C291" s="235" t="s">
        <v>212</v>
      </c>
      <c r="D291" s="243">
        <v>1100</v>
      </c>
      <c r="E291" s="232" t="s">
        <v>6</v>
      </c>
      <c r="F291" s="435">
        <v>11.21</v>
      </c>
      <c r="G291" s="234">
        <v>46133</v>
      </c>
      <c r="H291" s="235" t="s">
        <v>14</v>
      </c>
      <c r="I291" s="235"/>
      <c r="J291" s="440">
        <v>0.1</v>
      </c>
      <c r="K291" s="443">
        <f ca="1">ROUND(IF(ISERROR(OFFSET(Tabella!$A$1,MATCH(H291,Tabella!$A:$A,0)-1,MATCH(J291,Tabella!$A$1:$AC$1,0)-1)=TRUE),0,+OFFSET(Tabella!$A$1,MATCH(H291,Tabella!$A:$A,0)-1,MATCH(J291,Tabella!$A$1:$AC$1,0)-1)),4)</f>
        <v>0</v>
      </c>
      <c r="L291" s="446">
        <f ca="1">ROUND(IF(ISERROR(OFFSET(Ottone!$A$1,MATCH(H291,Ottone!$A:$A,0)-1,MATCH(J291,Ottone!$A$1:$Z$1,0)-1)=TRUE),0,OFFSET(Ottone!$A$1,MATCH(H291,Ottone!$A:$A,0)-1,MATCH(J291,Ottone!$A$1:$Z$1,0)-1))*IF(E291="Ottone",1,0),4)</f>
        <v>0</v>
      </c>
      <c r="M291" s="446">
        <f ca="1">ROUND(IF(ISERROR(OFFSET(Rame!$A$1,MATCH(H291,Rame!$A:$A,0)-1,MATCH(J291,Rame!$A$1:$AA$1,0)-1)=TRUE),0,OFFSET(Rame!$A$1,MATCH(H291,Rame!$A:$A,0)-1,MATCH(J291,Rame!$A$1:$AA$1,0)-1))*IF(E291="Rame",1,0),4)</f>
        <v>0.95</v>
      </c>
      <c r="N291" s="446">
        <v>0</v>
      </c>
      <c r="O291" s="446">
        <f t="shared" ca="1" si="173"/>
        <v>0.95</v>
      </c>
      <c r="P291" s="446">
        <f ca="1">ROUND(+IF(ISERROR(OFFSET(Tabella!$G$1,MATCH(H291,Tabella!$G:$G,0)-1,MATCH(I291,Tabella!$G$1:$FG$1,0)-1)=TRUE),0,OFFSET(Tabella!$G$1,MATCH(H291,Tabella!$G:$G,0)-1,MATCH(I291,Tabella!$G$1:$AB$1,0)-1)),4)</f>
        <v>0</v>
      </c>
      <c r="Q291" s="446">
        <f ca="1">ROUND(IF(ISERROR(OFFSET(Ottone!$F$1,MATCH(H291,Ottone!$A:$A,0)-1,MATCH(I291,Ottone!$F$1:$FF$1,0)-1)=TRUE),0,OFFSET(Ottone!$F$1,MATCH(H291,Ottone!$A:$A,0)-1,MATCH(I291,Ottone!$F$1:$FF$1,0)-1))*IF(E291="Ottone",1,0),4)</f>
        <v>0</v>
      </c>
      <c r="R291" s="446">
        <f ca="1">ROUND(IF(ISERROR(OFFSET(Rame!$F$1,MATCH(H291,Rame!$F:$F,0)-1,MATCH(I291,Rame!$F$1:$FF$1,0)-1)=TRUE),0,OFFSET(Rame!$F$1,MATCH(H291,Rame!$F:$F,0)-1,MATCH(I291,Rame!$F$1:$FF$1,0)-1))*IF(E291="Rame",1,0),4)</f>
        <v>0</v>
      </c>
      <c r="S291" s="446">
        <f ca="1">ROUND(IF(ISERROR(OFFSET(Bronzo!$A$1,MATCH(H291,Bronzo!$A:$A,0)-1,MATCH(I291,Bronzo!$A$1:$AA$1,0)-1)=TRUE),0,OFFSET(Bronzo!$A$1,MATCH(H291,Bronzo!$A:$A,0)-1,MATCH(I291,Bronzo!$A$1:$AA$1,0)-1)),4)</f>
        <v>0</v>
      </c>
      <c r="T291" s="446">
        <f t="shared" ca="1" si="170"/>
        <v>0</v>
      </c>
      <c r="U291" s="443"/>
      <c r="V291" s="446">
        <v>0</v>
      </c>
      <c r="W291" s="449">
        <f t="shared" ca="1" si="171"/>
        <v>0.95</v>
      </c>
      <c r="X291" s="452">
        <f t="shared" si="169"/>
        <v>110</v>
      </c>
      <c r="Y291" s="440">
        <v>14.61</v>
      </c>
      <c r="Z291" s="440">
        <f t="shared" ca="1" si="172"/>
        <v>2.4500000000000002</v>
      </c>
      <c r="AA291" s="241">
        <v>46188</v>
      </c>
      <c r="AH291" s="242"/>
      <c r="AK291" s="223">
        <f t="shared" si="165"/>
        <v>25</v>
      </c>
      <c r="AL291" s="223">
        <f t="shared" si="166"/>
        <v>2026</v>
      </c>
      <c r="AS291" s="223">
        <f t="shared" si="167"/>
        <v>6</v>
      </c>
      <c r="AT291" s="223">
        <f t="shared" si="168"/>
        <v>2026</v>
      </c>
    </row>
    <row r="292" spans="2:46" ht="15.75" x14ac:dyDescent="0.25">
      <c r="B292" s="229" t="s">
        <v>591</v>
      </c>
      <c r="C292" s="235" t="s">
        <v>212</v>
      </c>
      <c r="D292" s="243">
        <v>800</v>
      </c>
      <c r="E292" s="232" t="s">
        <v>6</v>
      </c>
      <c r="F292" s="435">
        <v>11.21</v>
      </c>
      <c r="G292" s="234">
        <v>46133</v>
      </c>
      <c r="H292" s="235" t="s">
        <v>16</v>
      </c>
      <c r="I292" s="235"/>
      <c r="J292" s="440">
        <v>0.1</v>
      </c>
      <c r="K292" s="443">
        <f ca="1">ROUND(IF(ISERROR(OFFSET(Tabella!$A$1,MATCH(H292,Tabella!$A:$A,0)-1,MATCH(J292,Tabella!$A$1:$AC$1,0)-1)=TRUE),0,+OFFSET(Tabella!$A$1,MATCH(H292,Tabella!$A:$A,0)-1,MATCH(J292,Tabella!$A$1:$AC$1,0)-1)),4)</f>
        <v>0</v>
      </c>
      <c r="L292" s="446">
        <f ca="1">ROUND(IF(ISERROR(OFFSET(Ottone!$A$1,MATCH(H292,Ottone!$A:$A,0)-1,MATCH(J292,Ottone!$A$1:$Z$1,0)-1)=TRUE),0,OFFSET(Ottone!$A$1,MATCH(H292,Ottone!$A:$A,0)-1,MATCH(J292,Ottone!$A$1:$Z$1,0)-1))*IF(E292="Ottone",1,0),4)</f>
        <v>0</v>
      </c>
      <c r="M292" s="446">
        <f ca="1">ROUND(IF(ISERROR(OFFSET(Rame!$A$1,MATCH(H292,Rame!$A:$A,0)-1,MATCH(J292,Rame!$A$1:$AA$1,0)-1)=TRUE),0,OFFSET(Rame!$A$1,MATCH(H292,Rame!$A:$A,0)-1,MATCH(J292,Rame!$A$1:$AA$1,0)-1))*IF(E292="Rame",1,0),4)</f>
        <v>0.82</v>
      </c>
      <c r="N292" s="446">
        <v>0</v>
      </c>
      <c r="O292" s="446">
        <f t="shared" ca="1" si="173"/>
        <v>0.82</v>
      </c>
      <c r="P292" s="446">
        <f ca="1">ROUND(+IF(ISERROR(OFFSET(Tabella!$G$1,MATCH(H292,Tabella!$G:$G,0)-1,MATCH(I292,Tabella!$G$1:$FG$1,0)-1)=TRUE),0,OFFSET(Tabella!$G$1,MATCH(H292,Tabella!$G:$G,0)-1,MATCH(I292,Tabella!$G$1:$AB$1,0)-1)),4)</f>
        <v>0</v>
      </c>
      <c r="Q292" s="446">
        <f ca="1">ROUND(IF(ISERROR(OFFSET(Ottone!$F$1,MATCH(H292,Ottone!$A:$A,0)-1,MATCH(I292,Ottone!$F$1:$FF$1,0)-1)=TRUE),0,OFFSET(Ottone!$F$1,MATCH(H292,Ottone!$A:$A,0)-1,MATCH(I292,Ottone!$F$1:$FF$1,0)-1))*IF(E292="Ottone",1,0),4)</f>
        <v>0</v>
      </c>
      <c r="R292" s="446">
        <f ca="1">ROUND(IF(ISERROR(OFFSET(Rame!$F$1,MATCH(H292,Rame!$F:$F,0)-1,MATCH(I292,Rame!$F$1:$FF$1,0)-1)=TRUE),0,OFFSET(Rame!$F$1,MATCH(H292,Rame!$F:$F,0)-1,MATCH(I292,Rame!$F$1:$FF$1,0)-1))*IF(E292="Rame",1,0),4)</f>
        <v>0</v>
      </c>
      <c r="S292" s="446">
        <f ca="1">ROUND(IF(ISERROR(OFFSET(Bronzo!$A$1,MATCH(H292,Bronzo!$A:$A,0)-1,MATCH(I292,Bronzo!$A$1:$AA$1,0)-1)=TRUE),0,OFFSET(Bronzo!$A$1,MATCH(H292,Bronzo!$A:$A,0)-1,MATCH(I292,Bronzo!$A$1:$AA$1,0)-1)),4)</f>
        <v>0</v>
      </c>
      <c r="T292" s="446">
        <f t="shared" ca="1" si="170"/>
        <v>0</v>
      </c>
      <c r="U292" s="443"/>
      <c r="V292" s="446">
        <v>0</v>
      </c>
      <c r="W292" s="449">
        <f t="shared" ca="1" si="171"/>
        <v>0.82</v>
      </c>
      <c r="X292" s="452">
        <f t="shared" si="169"/>
        <v>80</v>
      </c>
      <c r="Y292" s="440">
        <v>14.51</v>
      </c>
      <c r="Z292" s="440">
        <f t="shared" ca="1" si="172"/>
        <v>2.48</v>
      </c>
      <c r="AA292" s="241">
        <v>46204</v>
      </c>
      <c r="AH292" s="242"/>
      <c r="AK292" s="223">
        <f t="shared" si="165"/>
        <v>27</v>
      </c>
      <c r="AL292" s="223">
        <f t="shared" si="166"/>
        <v>2026</v>
      </c>
      <c r="AS292" s="223">
        <f t="shared" si="167"/>
        <v>7</v>
      </c>
      <c r="AT292" s="223">
        <f t="shared" si="168"/>
        <v>2026</v>
      </c>
    </row>
    <row r="293" spans="2:46" ht="15.75" x14ac:dyDescent="0.25">
      <c r="B293" s="229" t="s">
        <v>591</v>
      </c>
      <c r="C293" s="235" t="s">
        <v>212</v>
      </c>
      <c r="D293" s="243">
        <v>300</v>
      </c>
      <c r="E293" s="232" t="s">
        <v>6</v>
      </c>
      <c r="F293" s="435">
        <v>11.21</v>
      </c>
      <c r="G293" s="234">
        <v>46133</v>
      </c>
      <c r="H293" s="235" t="s">
        <v>14</v>
      </c>
      <c r="I293" s="235"/>
      <c r="J293" s="440">
        <v>0.1</v>
      </c>
      <c r="K293" s="443">
        <f ca="1">ROUND(IF(ISERROR(OFFSET(Tabella!$A$1,MATCH(H293,Tabella!$A:$A,0)-1,MATCH(J293,Tabella!$A$1:$AC$1,0)-1)=TRUE),0,+OFFSET(Tabella!$A$1,MATCH(H293,Tabella!$A:$A,0)-1,MATCH(J293,Tabella!$A$1:$AC$1,0)-1)),4)</f>
        <v>0</v>
      </c>
      <c r="L293" s="446">
        <f ca="1">ROUND(IF(ISERROR(OFFSET(Ottone!$A$1,MATCH(H293,Ottone!$A:$A,0)-1,MATCH(J293,Ottone!$A$1:$Z$1,0)-1)=TRUE),0,OFFSET(Ottone!$A$1,MATCH(H293,Ottone!$A:$A,0)-1,MATCH(J293,Ottone!$A$1:$Z$1,0)-1))*IF(E293="Ottone",1,0),4)</f>
        <v>0</v>
      </c>
      <c r="M293" s="446">
        <f ca="1">ROUND(IF(ISERROR(OFFSET(Rame!$A$1,MATCH(H293,Rame!$A:$A,0)-1,MATCH(J293,Rame!$A$1:$AA$1,0)-1)=TRUE),0,OFFSET(Rame!$A$1,MATCH(H293,Rame!$A:$A,0)-1,MATCH(J293,Rame!$A$1:$AA$1,0)-1))*IF(E293="Rame",1,0),4)</f>
        <v>0.95</v>
      </c>
      <c r="N293" s="446">
        <v>0</v>
      </c>
      <c r="O293" s="446">
        <f t="shared" ca="1" si="173"/>
        <v>0.95</v>
      </c>
      <c r="P293" s="446">
        <f ca="1">ROUND(+IF(ISERROR(OFFSET(Tabella!$G$1,MATCH(H293,Tabella!$G:$G,0)-1,MATCH(I293,Tabella!$G$1:$FG$1,0)-1)=TRUE),0,OFFSET(Tabella!$G$1,MATCH(H293,Tabella!$G:$G,0)-1,MATCH(I293,Tabella!$G$1:$AB$1,0)-1)),4)</f>
        <v>0</v>
      </c>
      <c r="Q293" s="446">
        <f ca="1">ROUND(IF(ISERROR(OFFSET(Ottone!$F$1,MATCH(H293,Ottone!$A:$A,0)-1,MATCH(I293,Ottone!$F$1:$FF$1,0)-1)=TRUE),0,OFFSET(Ottone!$F$1,MATCH(H293,Ottone!$A:$A,0)-1,MATCH(I293,Ottone!$F$1:$FF$1,0)-1))*IF(E293="Ottone",1,0),4)</f>
        <v>0</v>
      </c>
      <c r="R293" s="446">
        <f ca="1">ROUND(IF(ISERROR(OFFSET(Rame!$F$1,MATCH(H293,Rame!$F:$F,0)-1,MATCH(I293,Rame!$F$1:$FF$1,0)-1)=TRUE),0,OFFSET(Rame!$F$1,MATCH(H293,Rame!$F:$F,0)-1,MATCH(I293,Rame!$F$1:$FF$1,0)-1))*IF(E293="Rame",1,0),4)</f>
        <v>0</v>
      </c>
      <c r="S293" s="446">
        <f ca="1">ROUND(IF(ISERROR(OFFSET(Bronzo!$A$1,MATCH(H293,Bronzo!$A:$A,0)-1,MATCH(I293,Bronzo!$A$1:$AA$1,0)-1)=TRUE),0,OFFSET(Bronzo!$A$1,MATCH(H293,Bronzo!$A:$A,0)-1,MATCH(I293,Bronzo!$A$1:$AA$1,0)-1)),4)</f>
        <v>0</v>
      </c>
      <c r="T293" s="446">
        <f t="shared" ca="1" si="170"/>
        <v>0</v>
      </c>
      <c r="U293" s="443"/>
      <c r="V293" s="446">
        <v>0</v>
      </c>
      <c r="W293" s="449">
        <f t="shared" ca="1" si="171"/>
        <v>0.95</v>
      </c>
      <c r="X293" s="452">
        <f t="shared" si="169"/>
        <v>30</v>
      </c>
      <c r="Y293" s="440">
        <v>14.61</v>
      </c>
      <c r="Z293" s="440">
        <f t="shared" ca="1" si="172"/>
        <v>2.4500000000000002</v>
      </c>
      <c r="AA293" s="241">
        <v>46204</v>
      </c>
      <c r="AH293" s="242"/>
      <c r="AK293" s="223">
        <f t="shared" si="165"/>
        <v>27</v>
      </c>
      <c r="AL293" s="223">
        <f t="shared" si="166"/>
        <v>2026</v>
      </c>
      <c r="AS293" s="223">
        <f t="shared" si="167"/>
        <v>7</v>
      </c>
      <c r="AT293" s="223">
        <f t="shared" si="168"/>
        <v>2026</v>
      </c>
    </row>
    <row r="294" spans="2:46" ht="15.75" x14ac:dyDescent="0.25">
      <c r="B294" s="229" t="s">
        <v>591</v>
      </c>
      <c r="C294" s="235" t="s">
        <v>212</v>
      </c>
      <c r="D294" s="243">
        <v>700</v>
      </c>
      <c r="E294" s="232" t="s">
        <v>6</v>
      </c>
      <c r="F294" s="435">
        <v>11.21</v>
      </c>
      <c r="G294" s="234">
        <v>46133</v>
      </c>
      <c r="H294" s="235" t="s">
        <v>18</v>
      </c>
      <c r="I294" s="235"/>
      <c r="J294" s="440">
        <v>0.1</v>
      </c>
      <c r="K294" s="443">
        <f ca="1">ROUND(IF(ISERROR(OFFSET(Tabella!$A$1,MATCH(H294,Tabella!$A:$A,0)-1,MATCH(J294,Tabella!$A$1:$AC$1,0)-1)=TRUE),0,+OFFSET(Tabella!$A$1,MATCH(H294,Tabella!$A:$A,0)-1,MATCH(J294,Tabella!$A$1:$AC$1,0)-1)),4)</f>
        <v>0</v>
      </c>
      <c r="L294" s="446">
        <f ca="1">ROUND(IF(ISERROR(OFFSET(Ottone!$A$1,MATCH(H294,Ottone!$A:$A,0)-1,MATCH(J294,Ottone!$A$1:$Z$1,0)-1)=TRUE),0,OFFSET(Ottone!$A$1,MATCH(H294,Ottone!$A:$A,0)-1,MATCH(J294,Ottone!$A$1:$Z$1,0)-1))*IF(E294="Ottone",1,0),4)</f>
        <v>0</v>
      </c>
      <c r="M294" s="446">
        <f ca="1">ROUND(IF(ISERROR(OFFSET(Rame!$A$1,MATCH(H294,Rame!$A:$A,0)-1,MATCH(J294,Rame!$A$1:$AA$1,0)-1)=TRUE),0,OFFSET(Rame!$A$1,MATCH(H294,Rame!$A:$A,0)-1,MATCH(J294,Rame!$A$1:$AA$1,0)-1))*IF(E294="Rame",1,0),4)</f>
        <v>0.78</v>
      </c>
      <c r="N294" s="446">
        <v>0</v>
      </c>
      <c r="O294" s="446">
        <f t="shared" ca="1" si="173"/>
        <v>0.78</v>
      </c>
      <c r="P294" s="446">
        <f ca="1">ROUND(+IF(ISERROR(OFFSET(Tabella!$G$1,MATCH(H294,Tabella!$G:$G,0)-1,MATCH(I294,Tabella!$G$1:$FG$1,0)-1)=TRUE),0,OFFSET(Tabella!$G$1,MATCH(H294,Tabella!$G:$G,0)-1,MATCH(I294,Tabella!$G$1:$AB$1,0)-1)),4)</f>
        <v>0</v>
      </c>
      <c r="Q294" s="446">
        <f ca="1">ROUND(IF(ISERROR(OFFSET(Ottone!$F$1,MATCH(H294,Ottone!$A:$A,0)-1,MATCH(I294,Ottone!$F$1:$FF$1,0)-1)=TRUE),0,OFFSET(Ottone!$F$1,MATCH(H294,Ottone!$A:$A,0)-1,MATCH(I294,Ottone!$F$1:$FF$1,0)-1))*IF(E294="Ottone",1,0),4)</f>
        <v>0</v>
      </c>
      <c r="R294" s="446">
        <f ca="1">ROUND(IF(ISERROR(OFFSET(Rame!$F$1,MATCH(H294,Rame!$F:$F,0)-1,MATCH(I294,Rame!$F$1:$FF$1,0)-1)=TRUE),0,OFFSET(Rame!$F$1,MATCH(H294,Rame!$F:$F,0)-1,MATCH(I294,Rame!$F$1:$FF$1,0)-1))*IF(E294="Rame",1,0),4)</f>
        <v>0</v>
      </c>
      <c r="S294" s="446">
        <f ca="1">ROUND(IF(ISERROR(OFFSET(Bronzo!$A$1,MATCH(H294,Bronzo!$A:$A,0)-1,MATCH(I294,Bronzo!$A$1:$AA$1,0)-1)=TRUE),0,OFFSET(Bronzo!$A$1,MATCH(H294,Bronzo!$A:$A,0)-1,MATCH(I294,Bronzo!$A$1:$AA$1,0)-1)),4)</f>
        <v>0</v>
      </c>
      <c r="T294" s="446">
        <f t="shared" ca="1" si="170"/>
        <v>0</v>
      </c>
      <c r="U294" s="443"/>
      <c r="V294" s="446">
        <v>0</v>
      </c>
      <c r="W294" s="449">
        <f t="shared" ca="1" si="171"/>
        <v>0.78</v>
      </c>
      <c r="X294" s="452">
        <f t="shared" si="169"/>
        <v>70</v>
      </c>
      <c r="Y294" s="440">
        <v>14.46</v>
      </c>
      <c r="Z294" s="440">
        <f t="shared" ca="1" si="172"/>
        <v>2.4700000000000002</v>
      </c>
      <c r="AA294" s="241">
        <v>46209</v>
      </c>
      <c r="AH294" s="242"/>
      <c r="AK294" s="223">
        <f t="shared" si="165"/>
        <v>28</v>
      </c>
      <c r="AL294" s="223">
        <f t="shared" si="166"/>
        <v>2026</v>
      </c>
      <c r="AS294" s="223">
        <f t="shared" si="167"/>
        <v>7</v>
      </c>
      <c r="AT294" s="223">
        <f t="shared" si="168"/>
        <v>2026</v>
      </c>
    </row>
    <row r="295" spans="2:46" ht="15.75" x14ac:dyDescent="0.25">
      <c r="B295" s="229" t="s">
        <v>543</v>
      </c>
      <c r="C295" s="235" t="s">
        <v>304</v>
      </c>
      <c r="D295" s="243">
        <v>430</v>
      </c>
      <c r="E295" s="232" t="s">
        <v>6</v>
      </c>
      <c r="F295" s="435">
        <v>11.21</v>
      </c>
      <c r="G295" s="234">
        <v>46133</v>
      </c>
      <c r="H295" s="235" t="s">
        <v>14</v>
      </c>
      <c r="I295" s="235"/>
      <c r="J295" s="440">
        <v>0.15</v>
      </c>
      <c r="K295" s="443">
        <f ca="1">ROUND(IF(ISERROR(OFFSET(Tabella!$A$1,MATCH(H295,Tabella!$A:$A,0)-1,MATCH(J295,Tabella!$A$1:$AC$1,0)-1)=TRUE),0,+OFFSET(Tabella!$A$1,MATCH(H295,Tabella!$A:$A,0)-1,MATCH(J295,Tabella!$A$1:$AC$1,0)-1)),4)</f>
        <v>0</v>
      </c>
      <c r="L295" s="446">
        <f ca="1">ROUND(IF(ISERROR(OFFSET(Ottone!$A$1,MATCH(H295,Ottone!$A:$A,0)-1,MATCH(J295,Ottone!$A$1:$Z$1,0)-1)=TRUE),0,OFFSET(Ottone!$A$1,MATCH(H295,Ottone!$A:$A,0)-1,MATCH(J295,Ottone!$A$1:$Z$1,0)-1))*IF(E295="Ottone",1,0),4)</f>
        <v>0</v>
      </c>
      <c r="M295" s="446">
        <f ca="1">ROUND(IF(ISERROR(OFFSET(Rame!$A$1,MATCH(H295,Rame!$A:$A,0)-1,MATCH(J295,Rame!$A$1:$AA$1,0)-1)=TRUE),0,OFFSET(Rame!$A$1,MATCH(H295,Rame!$A:$A,0)-1,MATCH(J295,Rame!$A$1:$AA$1,0)-1))*IF(E295="Rame",1,0),4)</f>
        <v>1</v>
      </c>
      <c r="N295" s="446">
        <v>0</v>
      </c>
      <c r="O295" s="446">
        <f t="shared" ca="1" si="173"/>
        <v>1</v>
      </c>
      <c r="P295" s="446">
        <f ca="1">ROUND(+IF(ISERROR(OFFSET(Tabella!$G$1,MATCH(H295,Tabella!$G:$G,0)-1,MATCH(I295,Tabella!$G$1:$FG$1,0)-1)=TRUE),0,OFFSET(Tabella!$G$1,MATCH(H295,Tabella!$G:$G,0)-1,MATCH(I295,Tabella!$G$1:$AB$1,0)-1)),4)</f>
        <v>0</v>
      </c>
      <c r="Q295" s="446">
        <f ca="1">ROUND(IF(ISERROR(OFFSET(Ottone!$F$1,MATCH(H295,Ottone!$A:$A,0)-1,MATCH(I295,Ottone!$F$1:$FF$1,0)-1)=TRUE),0,OFFSET(Ottone!$F$1,MATCH(H295,Ottone!$A:$A,0)-1,MATCH(I295,Ottone!$F$1:$FF$1,0)-1))*IF(E295="Ottone",1,0),4)</f>
        <v>0</v>
      </c>
      <c r="R295" s="446">
        <f ca="1">ROUND(IF(ISERROR(OFFSET(Rame!$F$1,MATCH(H295,Rame!$F:$F,0)-1,MATCH(I295,Rame!$F$1:$FF$1,0)-1)=TRUE),0,OFFSET(Rame!$F$1,MATCH(H295,Rame!$F:$F,0)-1,MATCH(I295,Rame!$F$1:$FF$1,0)-1))*IF(E295="Rame",1,0),4)</f>
        <v>0</v>
      </c>
      <c r="S295" s="446">
        <f ca="1">ROUND(IF(ISERROR(OFFSET(Bronzo!$A$1,MATCH(H295,Bronzo!$A:$A,0)-1,MATCH(I295,Bronzo!$A$1:$AA$1,0)-1)=TRUE),0,OFFSET(Bronzo!$A$1,MATCH(H295,Bronzo!$A:$A,0)-1,MATCH(I295,Bronzo!$A$1:$AA$1,0)-1)),4)</f>
        <v>0</v>
      </c>
      <c r="T295" s="446">
        <f t="shared" ca="1" si="170"/>
        <v>0</v>
      </c>
      <c r="U295" s="443"/>
      <c r="V295" s="446">
        <v>0</v>
      </c>
      <c r="W295" s="449">
        <f t="shared" ca="1" si="171"/>
        <v>1</v>
      </c>
      <c r="X295" s="452">
        <f t="shared" si="169"/>
        <v>64.5</v>
      </c>
      <c r="Y295" s="440">
        <v>14.9</v>
      </c>
      <c r="Z295" s="440">
        <f t="shared" ca="1" si="172"/>
        <v>2.69</v>
      </c>
      <c r="AA295" s="241">
        <v>46133</v>
      </c>
      <c r="AH295" s="242"/>
      <c r="AS295" s="223">
        <f t="shared" si="167"/>
        <v>4</v>
      </c>
      <c r="AT295" s="223">
        <f t="shared" si="168"/>
        <v>2026</v>
      </c>
    </row>
    <row r="296" spans="2:46" ht="15.75" x14ac:dyDescent="0.25">
      <c r="B296" s="229" t="s">
        <v>572</v>
      </c>
      <c r="C296" s="235" t="s">
        <v>396</v>
      </c>
      <c r="D296" s="243">
        <v>200</v>
      </c>
      <c r="E296" s="232" t="s">
        <v>4</v>
      </c>
      <c r="F296" s="435">
        <v>3.07</v>
      </c>
      <c r="G296" s="234">
        <v>46134</v>
      </c>
      <c r="H296" s="235" t="s">
        <v>19</v>
      </c>
      <c r="I296" s="235"/>
      <c r="J296" s="440">
        <v>7.0000000000000007E-2</v>
      </c>
      <c r="K296" s="443">
        <f ca="1">ROUND(IF(ISERROR(OFFSET(Tabella!$A$1,MATCH(H296,Tabella!$A:$A,0)-1,MATCH(J296,Tabella!$A$1:$AC$1,0)-1)=TRUE),0,+OFFSET(Tabella!$A$1,MATCH(H296,Tabella!$A:$A,0)-1,MATCH(J296,Tabella!$A$1:$AC$1,0)-1)),4)</f>
        <v>1.35</v>
      </c>
      <c r="L296" s="446">
        <f ca="1">ROUND(IF(ISERROR(OFFSET(Ottone!$A$1,MATCH(H296,Ottone!$A:$A,0)-1,MATCH(J296,Ottone!$A$1:$Z$1,0)-1)=TRUE),0,OFFSET(Ottone!$A$1,MATCH(H296,Ottone!$A:$A,0)-1,MATCH(J296,Ottone!$A$1:$Z$1,0)-1))*IF(E296="Ottone",1,0),4)</f>
        <v>0</v>
      </c>
      <c r="M296" s="446">
        <f ca="1">ROUND(IF(ISERROR(OFFSET(Rame!$A$1,MATCH(H296,Rame!$A:$A,0)-1,MATCH(J296,Rame!$A$1:$AA$1,0)-1)=TRUE),0,OFFSET(Rame!$A$1,MATCH(H296,Rame!$A:$A,0)-1,MATCH(J296,Rame!$A$1:$AA$1,0)-1))*IF(E296="Rame",1,0),4)</f>
        <v>0</v>
      </c>
      <c r="N296" s="446">
        <v>0</v>
      </c>
      <c r="O296" s="446">
        <v>1.78</v>
      </c>
      <c r="P296" s="446">
        <f ca="1">ROUND(+IF(ISERROR(OFFSET(Tabella!$G$1,MATCH(H296,Tabella!$G:$G,0)-1,MATCH(I296,Tabella!$G$1:$FG$1,0)-1)=TRUE),0,OFFSET(Tabella!$G$1,MATCH(H296,Tabella!$G:$G,0)-1,MATCH(I296,Tabella!$G$1:$AB$1,0)-1)),4)</f>
        <v>0</v>
      </c>
      <c r="Q296" s="446">
        <f ca="1">ROUND(IF(ISERROR(OFFSET(Ottone!$F$1,MATCH(H296,Ottone!$A:$A,0)-1,MATCH(I296,Ottone!$F$1:$FF$1,0)-1)=TRUE),0,OFFSET(Ottone!$F$1,MATCH(H296,Ottone!$A:$A,0)-1,MATCH(I296,Ottone!$F$1:$FF$1,0)-1))*IF(E296="Ottone",1,0),4)</f>
        <v>0</v>
      </c>
      <c r="R296" s="446">
        <f ca="1">ROUND(IF(ISERROR(OFFSET(Rame!$F$1,MATCH(H296,Rame!$F:$F,0)-1,MATCH(I296,Rame!$F$1:$FF$1,0)-1)=TRUE),0,OFFSET(Rame!$F$1,MATCH(H296,Rame!$F:$F,0)-1,MATCH(I296,Rame!$F$1:$FF$1,0)-1))*IF(E296="Rame",1,0),4)</f>
        <v>0</v>
      </c>
      <c r="S296" s="446">
        <f ca="1">ROUND(IF(ISERROR(OFFSET(Bronzo!$A$1,MATCH(H296,Bronzo!$A:$A,0)-1,MATCH(I296,Bronzo!$A$1:$AA$1,0)-1)=TRUE),0,OFFSET(Bronzo!$A$1,MATCH(H296,Bronzo!$A:$A,0)-1,MATCH(I296,Bronzo!$A$1:$AA$1,0)-1)),4)</f>
        <v>0</v>
      </c>
      <c r="T296" s="446">
        <f t="shared" ca="1" si="170"/>
        <v>0</v>
      </c>
      <c r="U296" s="443"/>
      <c r="V296" s="446">
        <v>0</v>
      </c>
      <c r="W296" s="449">
        <f t="shared" ca="1" si="171"/>
        <v>1.78</v>
      </c>
      <c r="X296" s="452">
        <f t="shared" si="169"/>
        <v>14</v>
      </c>
      <c r="Y296" s="440">
        <v>5.07</v>
      </c>
      <c r="Z296" s="440">
        <f t="shared" ca="1" si="172"/>
        <v>0.22</v>
      </c>
      <c r="AA296" s="241">
        <v>46185</v>
      </c>
      <c r="AH296" s="242"/>
      <c r="AS296" s="223">
        <f t="shared" si="167"/>
        <v>6</v>
      </c>
      <c r="AT296" s="223">
        <f t="shared" si="168"/>
        <v>2026</v>
      </c>
    </row>
    <row r="297" spans="2:46" ht="15.75" x14ac:dyDescent="0.25">
      <c r="B297" s="229" t="s">
        <v>571</v>
      </c>
      <c r="C297" s="235" t="s">
        <v>396</v>
      </c>
      <c r="D297" s="243">
        <v>700</v>
      </c>
      <c r="E297" s="232" t="s">
        <v>4</v>
      </c>
      <c r="F297" s="435">
        <v>3.07</v>
      </c>
      <c r="G297" s="234">
        <v>46134</v>
      </c>
      <c r="H297" s="235" t="s">
        <v>25</v>
      </c>
      <c r="I297" s="235"/>
      <c r="J297" s="440">
        <v>7.0000000000000007E-2</v>
      </c>
      <c r="K297" s="443">
        <f ca="1">ROUND(IF(ISERROR(OFFSET(Tabella!$A$1,MATCH(H297,Tabella!$A:$A,0)-1,MATCH(J297,Tabella!$A$1:$AC$1,0)-1)=TRUE),0,+OFFSET(Tabella!$A$1,MATCH(H297,Tabella!$A:$A,0)-1,MATCH(J297,Tabella!$A$1:$AC$1,0)-1)),4)</f>
        <v>1.25</v>
      </c>
      <c r="L297" s="446">
        <f ca="1">ROUND(IF(ISERROR(OFFSET(Ottone!$A$1,MATCH(H297,Ottone!$A:$A,0)-1,MATCH(J297,Ottone!$A$1:$Z$1,0)-1)=TRUE),0,OFFSET(Ottone!$A$1,MATCH(H297,Ottone!$A:$A,0)-1,MATCH(J297,Ottone!$A$1:$Z$1,0)-1))*IF(E297="Ottone",1,0),4)</f>
        <v>0</v>
      </c>
      <c r="M297" s="446">
        <f ca="1">ROUND(IF(ISERROR(OFFSET(Rame!$A$1,MATCH(H297,Rame!$A:$A,0)-1,MATCH(J297,Rame!$A$1:$AA$1,0)-1)=TRUE),0,OFFSET(Rame!$A$1,MATCH(H297,Rame!$A:$A,0)-1,MATCH(J297,Rame!$A$1:$AA$1,0)-1))*IF(E297="Rame",1,0),4)</f>
        <v>0</v>
      </c>
      <c r="N297" s="446">
        <v>0</v>
      </c>
      <c r="O297" s="446">
        <v>1.73</v>
      </c>
      <c r="P297" s="446">
        <f ca="1">ROUND(+IF(ISERROR(OFFSET(Tabella!$G$1,MATCH(H297,Tabella!$G:$G,0)-1,MATCH(I297,Tabella!$G$1:$FG$1,0)-1)=TRUE),0,OFFSET(Tabella!$G$1,MATCH(H297,Tabella!$G:$G,0)-1,MATCH(I297,Tabella!$G$1:$AB$1,0)-1)),4)</f>
        <v>0</v>
      </c>
      <c r="Q297" s="446">
        <f ca="1">ROUND(IF(ISERROR(OFFSET(Ottone!$F$1,MATCH(H297,Ottone!$A:$A,0)-1,MATCH(I297,Ottone!$F$1:$FF$1,0)-1)=TRUE),0,OFFSET(Ottone!$F$1,MATCH(H297,Ottone!$A:$A,0)-1,MATCH(I297,Ottone!$F$1:$FF$1,0)-1))*IF(E297="Ottone",1,0),4)</f>
        <v>0</v>
      </c>
      <c r="R297" s="446">
        <f ca="1">ROUND(IF(ISERROR(OFFSET(Rame!$F$1,MATCH(H297,Rame!$F:$F,0)-1,MATCH(I297,Rame!$F$1:$FF$1,0)-1)=TRUE),0,OFFSET(Rame!$F$1,MATCH(H297,Rame!$F:$F,0)-1,MATCH(I297,Rame!$F$1:$FF$1,0)-1))*IF(E297="Rame",1,0),4)</f>
        <v>0</v>
      </c>
      <c r="S297" s="446">
        <f ca="1">ROUND(IF(ISERROR(OFFSET(Bronzo!$A$1,MATCH(H297,Bronzo!$A:$A,0)-1,MATCH(I297,Bronzo!$A$1:$AA$1,0)-1)=TRUE),0,OFFSET(Bronzo!$A$1,MATCH(H297,Bronzo!$A:$A,0)-1,MATCH(I297,Bronzo!$A$1:$AA$1,0)-1)),4)</f>
        <v>0</v>
      </c>
      <c r="T297" s="446">
        <f t="shared" ca="1" si="170"/>
        <v>0</v>
      </c>
      <c r="U297" s="443"/>
      <c r="V297" s="446">
        <v>0</v>
      </c>
      <c r="W297" s="449">
        <f t="shared" ca="1" si="171"/>
        <v>1.73</v>
      </c>
      <c r="X297" s="452">
        <f t="shared" si="169"/>
        <v>49</v>
      </c>
      <c r="Y297" s="440">
        <v>5.0199999999999996</v>
      </c>
      <c r="Z297" s="440">
        <f t="shared" ca="1" si="172"/>
        <v>0.22</v>
      </c>
      <c r="AA297" s="241">
        <v>46164</v>
      </c>
      <c r="AH297" s="242"/>
      <c r="AS297" s="223">
        <f t="shared" si="167"/>
        <v>5</v>
      </c>
      <c r="AT297" s="223">
        <f t="shared" si="168"/>
        <v>2026</v>
      </c>
    </row>
    <row r="298" spans="2:46" ht="15.75" x14ac:dyDescent="0.25">
      <c r="B298" s="229" t="s">
        <v>586</v>
      </c>
      <c r="C298" s="235" t="s">
        <v>103</v>
      </c>
      <c r="D298" s="243">
        <v>800</v>
      </c>
      <c r="E298" s="232" t="s">
        <v>6</v>
      </c>
      <c r="F298" s="435">
        <v>11.29</v>
      </c>
      <c r="G298" s="234">
        <v>46134</v>
      </c>
      <c r="H298" s="235" t="s">
        <v>18</v>
      </c>
      <c r="I298" s="235"/>
      <c r="J298" s="440">
        <v>0.15</v>
      </c>
      <c r="K298" s="443">
        <f ca="1">ROUND(IF(ISERROR(OFFSET(Tabella!$A$1,MATCH(H298,Tabella!$A:$A,0)-1,MATCH(J298,Tabella!$A$1:$AC$1,0)-1)=TRUE),0,+OFFSET(Tabella!$A$1,MATCH(H298,Tabella!$A:$A,0)-1,MATCH(J298,Tabella!$A$1:$AC$1,0)-1)),4)</f>
        <v>0</v>
      </c>
      <c r="L298" s="446">
        <f ca="1">ROUND(IF(ISERROR(OFFSET(Ottone!$A$1,MATCH(H298,Ottone!$A:$A,0)-1,MATCH(J298,Ottone!$A$1:$Z$1,0)-1)=TRUE),0,OFFSET(Ottone!$A$1,MATCH(H298,Ottone!$A:$A,0)-1,MATCH(J298,Ottone!$A$1:$Z$1,0)-1))*IF(E298="Ottone",1,0),4)</f>
        <v>0</v>
      </c>
      <c r="M298" s="446">
        <f ca="1">ROUND(IF(ISERROR(OFFSET(Rame!$A$1,MATCH(H298,Rame!$A:$A,0)-1,MATCH(J298,Rame!$A$1:$AA$1,0)-1)=TRUE),0,OFFSET(Rame!$A$1,MATCH(H298,Rame!$A:$A,0)-1,MATCH(J298,Rame!$A$1:$AA$1,0)-1))*IF(E298="Rame",1,0),4)</f>
        <v>0.82</v>
      </c>
      <c r="N298" s="446">
        <v>0</v>
      </c>
      <c r="O298" s="446">
        <f ca="1">ROUND(SUM(K298:N298),4)</f>
        <v>0.82</v>
      </c>
      <c r="P298" s="446">
        <f ca="1">ROUND(+IF(ISERROR(OFFSET(Tabella!$G$1,MATCH(H298,Tabella!$G:$G,0)-1,MATCH(I298,Tabella!$G$1:$FG$1,0)-1)=TRUE),0,OFFSET(Tabella!$G$1,MATCH(H298,Tabella!$G:$G,0)-1,MATCH(I298,Tabella!$G$1:$AB$1,0)-1)),4)</f>
        <v>0</v>
      </c>
      <c r="Q298" s="446">
        <f ca="1">ROUND(IF(ISERROR(OFFSET(Ottone!$F$1,MATCH(H298,Ottone!$A:$A,0)-1,MATCH(I298,Ottone!$F$1:$FF$1,0)-1)=TRUE),0,OFFSET(Ottone!$F$1,MATCH(H298,Ottone!$A:$A,0)-1,MATCH(I298,Ottone!$F$1:$FF$1,0)-1))*IF(E298="Ottone",1,0),4)</f>
        <v>0</v>
      </c>
      <c r="R298" s="446">
        <f ca="1">ROUND(IF(ISERROR(OFFSET(Rame!$F$1,MATCH(H298,Rame!$F:$F,0)-1,MATCH(I298,Rame!$F$1:$FF$1,0)-1)=TRUE),0,OFFSET(Rame!$F$1,MATCH(H298,Rame!$F:$F,0)-1,MATCH(I298,Rame!$F$1:$FF$1,0)-1))*IF(E298="Rame",1,0),4)</f>
        <v>0</v>
      </c>
      <c r="S298" s="446">
        <f ca="1">ROUND(IF(ISERROR(OFFSET(Bronzo!$A$1,MATCH(H298,Bronzo!$A:$A,0)-1,MATCH(I298,Bronzo!$A$1:$AA$1,0)-1)=TRUE),0,OFFSET(Bronzo!$A$1,MATCH(H298,Bronzo!$A:$A,0)-1,MATCH(I298,Bronzo!$A$1:$AA$1,0)-1)),4)</f>
        <v>0</v>
      </c>
      <c r="T298" s="446">
        <f t="shared" ca="1" si="170"/>
        <v>0</v>
      </c>
      <c r="U298" s="443"/>
      <c r="V298" s="446">
        <v>0</v>
      </c>
      <c r="W298" s="449">
        <f t="shared" ca="1" si="171"/>
        <v>0.82</v>
      </c>
      <c r="X298" s="452">
        <f t="shared" si="169"/>
        <v>120</v>
      </c>
      <c r="Y298" s="440">
        <v>14.85</v>
      </c>
      <c r="Z298" s="440">
        <f t="shared" ca="1" si="172"/>
        <v>2.74</v>
      </c>
      <c r="AA298" s="241">
        <v>46160</v>
      </c>
      <c r="AH298" s="242"/>
      <c r="AS298" s="223">
        <f t="shared" si="167"/>
        <v>5</v>
      </c>
      <c r="AT298" s="223">
        <f t="shared" si="168"/>
        <v>2026</v>
      </c>
    </row>
    <row r="299" spans="2:46" ht="15.75" x14ac:dyDescent="0.25">
      <c r="B299" s="229" t="s">
        <v>593</v>
      </c>
      <c r="C299" s="235" t="s">
        <v>444</v>
      </c>
      <c r="D299" s="243">
        <v>200</v>
      </c>
      <c r="E299" s="232" t="s">
        <v>4</v>
      </c>
      <c r="F299" s="435">
        <v>3.03</v>
      </c>
      <c r="G299" s="234">
        <v>46134</v>
      </c>
      <c r="H299" s="235" t="s">
        <v>22</v>
      </c>
      <c r="I299" s="235"/>
      <c r="J299" s="440">
        <v>7.0000000000000007E-2</v>
      </c>
      <c r="K299" s="443">
        <f ca="1">ROUND(IF(ISERROR(OFFSET(Tabella!$A$1,MATCH(H299,Tabella!$A:$A,0)-1,MATCH(J299,Tabella!$A$1:$AC$1,0)-1)=TRUE),0,+OFFSET(Tabella!$A$1,MATCH(H299,Tabella!$A:$A,0)-1,MATCH(J299,Tabella!$A$1:$AC$1,0)-1)),4)</f>
        <v>1.25</v>
      </c>
      <c r="L299" s="446">
        <f ca="1">ROUND(IF(ISERROR(OFFSET(Ottone!$A$1,MATCH(H299,Ottone!$A:$A,0)-1,MATCH(J299,Ottone!$A$1:$Z$1,0)-1)=TRUE),0,OFFSET(Ottone!$A$1,MATCH(H299,Ottone!$A:$A,0)-1,MATCH(J299,Ottone!$A$1:$Z$1,0)-1))*IF(E299="Ottone",1,0),4)</f>
        <v>0</v>
      </c>
      <c r="M299" s="446">
        <f ca="1">ROUND(IF(ISERROR(OFFSET(Rame!$A$1,MATCH(H299,Rame!$A:$A,0)-1,MATCH(J299,Rame!$A$1:$AA$1,0)-1)=TRUE),0,OFFSET(Rame!$A$1,MATCH(H299,Rame!$A:$A,0)-1,MATCH(J299,Rame!$A$1:$AA$1,0)-1))*IF(E299="Rame",1,0),4)</f>
        <v>0</v>
      </c>
      <c r="N299" s="446">
        <v>0</v>
      </c>
      <c r="O299" s="446">
        <v>1.73</v>
      </c>
      <c r="P299" s="446">
        <f ca="1">ROUND(+IF(ISERROR(OFFSET(Tabella!$G$1,MATCH(H299,Tabella!$G:$G,0)-1,MATCH(I299,Tabella!$G$1:$FG$1,0)-1)=TRUE),0,OFFSET(Tabella!$G$1,MATCH(H299,Tabella!$G:$G,0)-1,MATCH(I299,Tabella!$G$1:$AB$1,0)-1)),4)</f>
        <v>0</v>
      </c>
      <c r="Q299" s="446">
        <f ca="1">ROUND(IF(ISERROR(OFFSET(Ottone!$F$1,MATCH(H299,Ottone!$A:$A,0)-1,MATCH(I299,Ottone!$F$1:$FF$1,0)-1)=TRUE),0,OFFSET(Ottone!$F$1,MATCH(H299,Ottone!$A:$A,0)-1,MATCH(I299,Ottone!$F$1:$FF$1,0)-1))*IF(E299="Ottone",1,0),4)</f>
        <v>0</v>
      </c>
      <c r="R299" s="446">
        <f ca="1">ROUND(IF(ISERROR(OFFSET(Rame!$F$1,MATCH(H299,Rame!$F:$F,0)-1,MATCH(I299,Rame!$F$1:$FF$1,0)-1)=TRUE),0,OFFSET(Rame!$F$1,MATCH(H299,Rame!$F:$F,0)-1,MATCH(I299,Rame!$F$1:$FF$1,0)-1))*IF(E299="Rame",1,0),4)</f>
        <v>0</v>
      </c>
      <c r="S299" s="446">
        <f ca="1">ROUND(IF(ISERROR(OFFSET(Bronzo!$A$1,MATCH(H299,Bronzo!$A:$A,0)-1,MATCH(I299,Bronzo!$A$1:$AA$1,0)-1)=TRUE),0,OFFSET(Bronzo!$A$1,MATCH(H299,Bronzo!$A:$A,0)-1,MATCH(I299,Bronzo!$A$1:$AA$1,0)-1)),4)</f>
        <v>0</v>
      </c>
      <c r="T299" s="446">
        <f t="shared" ca="1" si="170"/>
        <v>0</v>
      </c>
      <c r="U299" s="443"/>
      <c r="V299" s="446">
        <v>0</v>
      </c>
      <c r="W299" s="449">
        <f t="shared" ca="1" si="171"/>
        <v>1.73</v>
      </c>
      <c r="X299" s="452">
        <f t="shared" si="169"/>
        <v>14</v>
      </c>
      <c r="Y299" s="440">
        <v>4.9000000000000004</v>
      </c>
      <c r="Z299" s="440">
        <f t="shared" ca="1" si="172"/>
        <v>0.14000000000000001</v>
      </c>
      <c r="AA299" s="241">
        <v>46157</v>
      </c>
      <c r="AH299" s="242"/>
      <c r="AS299" s="223">
        <f t="shared" si="167"/>
        <v>5</v>
      </c>
      <c r="AT299" s="223">
        <f t="shared" si="168"/>
        <v>2026</v>
      </c>
    </row>
    <row r="300" spans="2:46" ht="15.75" x14ac:dyDescent="0.25">
      <c r="B300" s="229" t="s">
        <v>582</v>
      </c>
      <c r="C300" s="235" t="s">
        <v>208</v>
      </c>
      <c r="D300" s="243">
        <v>700</v>
      </c>
      <c r="E300" s="232" t="s">
        <v>4</v>
      </c>
      <c r="F300" s="435">
        <v>3.07</v>
      </c>
      <c r="G300" s="234">
        <v>46134</v>
      </c>
      <c r="H300" s="235" t="s">
        <v>310</v>
      </c>
      <c r="I300" s="235"/>
      <c r="J300" s="440">
        <v>7.0000000000000007E-2</v>
      </c>
      <c r="K300" s="443">
        <f ca="1">ROUND(IF(ISERROR(OFFSET(Tabella!$A$1,MATCH(H300,Tabella!$A:$A,0)-1,MATCH(J300,Tabella!$A$1:$AC$1,0)-1)=TRUE),0,+OFFSET(Tabella!$A$1,MATCH(H300,Tabella!$A:$A,0)-1,MATCH(J300,Tabella!$A$1:$AC$1,0)-1)),4)</f>
        <v>1.25</v>
      </c>
      <c r="L300" s="446">
        <f ca="1">ROUND(IF(ISERROR(OFFSET(Ottone!$A$1,MATCH(H300,Ottone!$A:$A,0)-1,MATCH(J300,Ottone!$A$1:$Z$1,0)-1)=TRUE),0,OFFSET(Ottone!$A$1,MATCH(H300,Ottone!$A:$A,0)-1,MATCH(J300,Ottone!$A$1:$Z$1,0)-1))*IF(E300="Ottone",1,0),4)</f>
        <v>0</v>
      </c>
      <c r="M300" s="446">
        <f ca="1">ROUND(IF(ISERROR(OFFSET(Rame!$A$1,MATCH(H300,Rame!$A:$A,0)-1,MATCH(J300,Rame!$A$1:$AA$1,0)-1)=TRUE),0,OFFSET(Rame!$A$1,MATCH(H300,Rame!$A:$A,0)-1,MATCH(J300,Rame!$A$1:$AA$1,0)-1))*IF(E300="Rame",1,0),4)</f>
        <v>0</v>
      </c>
      <c r="N300" s="446">
        <v>0</v>
      </c>
      <c r="O300" s="446">
        <v>1.73</v>
      </c>
      <c r="P300" s="446">
        <f ca="1">ROUND(+IF(ISERROR(OFFSET(Tabella!$G$1,MATCH(H300,Tabella!$G:$G,0)-1,MATCH(I300,Tabella!$G$1:$FG$1,0)-1)=TRUE),0,OFFSET(Tabella!$G$1,MATCH(H300,Tabella!$G:$G,0)-1,MATCH(I300,Tabella!$G$1:$AB$1,0)-1)),4)</f>
        <v>0</v>
      </c>
      <c r="Q300" s="446">
        <f ca="1">ROUND(IF(ISERROR(OFFSET(Ottone!$F$1,MATCH(H300,Ottone!$A:$A,0)-1,MATCH(I300,Ottone!$F$1:$FF$1,0)-1)=TRUE),0,OFFSET(Ottone!$F$1,MATCH(H300,Ottone!$A:$A,0)-1,MATCH(I300,Ottone!$F$1:$FF$1,0)-1))*IF(E300="Ottone",1,0),4)</f>
        <v>0</v>
      </c>
      <c r="R300" s="446">
        <f ca="1">ROUND(IF(ISERROR(OFFSET(Rame!$F$1,MATCH(H300,Rame!$F:$F,0)-1,MATCH(I300,Rame!$F$1:$FF$1,0)-1)=TRUE),0,OFFSET(Rame!$F$1,MATCH(H300,Rame!$F:$F,0)-1,MATCH(I300,Rame!$F$1:$FF$1,0)-1))*IF(E300="Rame",1,0),4)</f>
        <v>0</v>
      </c>
      <c r="S300" s="446">
        <f ca="1">ROUND(IF(ISERROR(OFFSET(Bronzo!$A$1,MATCH(H300,Bronzo!$A:$A,0)-1,MATCH(I300,Bronzo!$A$1:$AA$1,0)-1)=TRUE),0,OFFSET(Bronzo!$A$1,MATCH(H300,Bronzo!$A:$A,0)-1,MATCH(I300,Bronzo!$A$1:$AA$1,0)-1)),4)</f>
        <v>0</v>
      </c>
      <c r="T300" s="446">
        <f t="shared" ca="1" si="170"/>
        <v>0</v>
      </c>
      <c r="U300" s="443"/>
      <c r="V300" s="446">
        <v>0</v>
      </c>
      <c r="W300" s="449">
        <f t="shared" ca="1" si="171"/>
        <v>1.73</v>
      </c>
      <c r="X300" s="452">
        <f t="shared" si="169"/>
        <v>49</v>
      </c>
      <c r="Y300" s="440">
        <v>4.8</v>
      </c>
      <c r="Z300" s="440">
        <f t="shared" ca="1" si="172"/>
        <v>0</v>
      </c>
      <c r="AA300" s="241">
        <v>46127</v>
      </c>
      <c r="AH300" s="242"/>
      <c r="AS300" s="223">
        <f t="shared" si="167"/>
        <v>4</v>
      </c>
      <c r="AT300" s="223">
        <f t="shared" si="168"/>
        <v>2026</v>
      </c>
    </row>
    <row r="301" spans="2:46" ht="15.75" x14ac:dyDescent="0.25">
      <c r="B301" s="229" t="s">
        <v>582</v>
      </c>
      <c r="C301" s="235" t="s">
        <v>208</v>
      </c>
      <c r="D301" s="243">
        <v>500</v>
      </c>
      <c r="E301" s="232" t="s">
        <v>4</v>
      </c>
      <c r="F301" s="435">
        <v>3.07</v>
      </c>
      <c r="G301" s="234">
        <v>46134</v>
      </c>
      <c r="H301" s="235" t="s">
        <v>15</v>
      </c>
      <c r="I301" s="235"/>
      <c r="J301" s="440">
        <v>7.0000000000000007E-2</v>
      </c>
      <c r="K301" s="443">
        <f ca="1">ROUND(IF(ISERROR(OFFSET(Tabella!$A$1,MATCH(H301,Tabella!$A:$A,0)-1,MATCH(J301,Tabella!$A$1:$AC$1,0)-1)=TRUE),0,+OFFSET(Tabella!$A$1,MATCH(H301,Tabella!$A:$A,0)-1,MATCH(J301,Tabella!$A$1:$AC$1,0)-1)),4)</f>
        <v>1.4</v>
      </c>
      <c r="L301" s="446">
        <f ca="1">ROUND(IF(ISERROR(OFFSET(Ottone!$A$1,MATCH(H301,Ottone!$A:$A,0)-1,MATCH(J301,Ottone!$A$1:$Z$1,0)-1)=TRUE),0,OFFSET(Ottone!$A$1,MATCH(H301,Ottone!$A:$A,0)-1,MATCH(J301,Ottone!$A$1:$Z$1,0)-1))*IF(E301="Ottone",1,0),4)</f>
        <v>0</v>
      </c>
      <c r="M301" s="446">
        <f ca="1">ROUND(IF(ISERROR(OFFSET(Rame!$A$1,MATCH(H301,Rame!$A:$A,0)-1,MATCH(J301,Rame!$A$1:$AA$1,0)-1)=TRUE),0,OFFSET(Rame!$A$1,MATCH(H301,Rame!$A:$A,0)-1,MATCH(J301,Rame!$A$1:$AA$1,0)-1))*IF(E301="Rame",1,0),4)</f>
        <v>0</v>
      </c>
      <c r="N301" s="446">
        <v>0</v>
      </c>
      <c r="O301" s="446">
        <v>1.88</v>
      </c>
      <c r="P301" s="446">
        <f ca="1">ROUND(+IF(ISERROR(OFFSET(Tabella!$G$1,MATCH(H301,Tabella!$G:$G,0)-1,MATCH(I301,Tabella!$G$1:$FG$1,0)-1)=TRUE),0,OFFSET(Tabella!$G$1,MATCH(H301,Tabella!$G:$G,0)-1,MATCH(I301,Tabella!$G$1:$AB$1,0)-1)),4)</f>
        <v>0</v>
      </c>
      <c r="Q301" s="446">
        <f ca="1">ROUND(IF(ISERROR(OFFSET(Ottone!$F$1,MATCH(H301,Ottone!$A:$A,0)-1,MATCH(I301,Ottone!$F$1:$FF$1,0)-1)=TRUE),0,OFFSET(Ottone!$F$1,MATCH(H301,Ottone!$A:$A,0)-1,MATCH(I301,Ottone!$F$1:$FF$1,0)-1))*IF(E301="Ottone",1,0),4)</f>
        <v>0</v>
      </c>
      <c r="R301" s="446">
        <f ca="1">ROUND(IF(ISERROR(OFFSET(Rame!$F$1,MATCH(H301,Rame!$F:$F,0)-1,MATCH(I301,Rame!$F$1:$FF$1,0)-1)=TRUE),0,OFFSET(Rame!$F$1,MATCH(H301,Rame!$F:$F,0)-1,MATCH(I301,Rame!$F$1:$FF$1,0)-1))*IF(E301="Rame",1,0),4)</f>
        <v>0</v>
      </c>
      <c r="S301" s="446">
        <f ca="1">ROUND(IF(ISERROR(OFFSET(Bronzo!$A$1,MATCH(H301,Bronzo!$A:$A,0)-1,MATCH(I301,Bronzo!$A$1:$AA$1,0)-1)=TRUE),0,OFFSET(Bronzo!$A$1,MATCH(H301,Bronzo!$A:$A,0)-1,MATCH(I301,Bronzo!$A$1:$AA$1,0)-1)),4)</f>
        <v>0</v>
      </c>
      <c r="T301" s="446">
        <f t="shared" ca="1" si="170"/>
        <v>0</v>
      </c>
      <c r="U301" s="443"/>
      <c r="V301" s="446">
        <v>0</v>
      </c>
      <c r="W301" s="449">
        <f t="shared" ca="1" si="171"/>
        <v>1.88</v>
      </c>
      <c r="X301" s="452">
        <f t="shared" si="169"/>
        <v>35</v>
      </c>
      <c r="Y301" s="440">
        <v>4.95</v>
      </c>
      <c r="Z301" s="440">
        <f t="shared" ca="1" si="172"/>
        <v>0</v>
      </c>
      <c r="AA301" s="241">
        <v>46127</v>
      </c>
      <c r="AH301" s="242"/>
      <c r="AS301" s="223">
        <f t="shared" si="167"/>
        <v>4</v>
      </c>
      <c r="AT301" s="223">
        <f t="shared" si="168"/>
        <v>2026</v>
      </c>
    </row>
    <row r="302" spans="2:46" ht="15.75" x14ac:dyDescent="0.25">
      <c r="B302" s="229"/>
      <c r="C302" s="235" t="s">
        <v>208</v>
      </c>
      <c r="D302" s="243">
        <v>700</v>
      </c>
      <c r="E302" s="232" t="s">
        <v>4</v>
      </c>
      <c r="F302" s="435">
        <v>3.07</v>
      </c>
      <c r="G302" s="234">
        <v>46134</v>
      </c>
      <c r="H302" s="235" t="s">
        <v>322</v>
      </c>
      <c r="I302" s="235"/>
      <c r="J302" s="440">
        <v>7.0000000000000007E-2</v>
      </c>
      <c r="K302" s="443">
        <f ca="1">ROUND(IF(ISERROR(OFFSET(Tabella!$A$1,MATCH(H302,Tabella!$A:$A,0)-1,MATCH(J302,Tabella!$A$1:$AC$1,0)-1)=TRUE),0,+OFFSET(Tabella!$A$1,MATCH(H302,Tabella!$A:$A,0)-1,MATCH(J302,Tabella!$A$1:$AC$1,0)-1)),4)</f>
        <v>1.25</v>
      </c>
      <c r="L302" s="446">
        <f ca="1">ROUND(IF(ISERROR(OFFSET(Ottone!$A$1,MATCH(H302,Ottone!$A:$A,0)-1,MATCH(J302,Ottone!$A$1:$Z$1,0)-1)=TRUE),0,OFFSET(Ottone!$A$1,MATCH(H302,Ottone!$A:$A,0)-1,MATCH(J302,Ottone!$A$1:$Z$1,0)-1))*IF(E302="Ottone",1,0),4)</f>
        <v>0</v>
      </c>
      <c r="M302" s="446">
        <f ca="1">ROUND(IF(ISERROR(OFFSET(Rame!$A$1,MATCH(H302,Rame!$A:$A,0)-1,MATCH(J302,Rame!$A$1:$AA$1,0)-1)=TRUE),0,OFFSET(Rame!$A$1,MATCH(H302,Rame!$A:$A,0)-1,MATCH(J302,Rame!$A$1:$AA$1,0)-1))*IF(E302="Rame",1,0),4)</f>
        <v>0</v>
      </c>
      <c r="N302" s="446">
        <v>0</v>
      </c>
      <c r="O302" s="446">
        <v>1.73</v>
      </c>
      <c r="P302" s="446">
        <f ca="1">ROUND(+IF(ISERROR(OFFSET(Tabella!$G$1,MATCH(H302,Tabella!$G:$G,0)-1,MATCH(I302,Tabella!$G$1:$FG$1,0)-1)=TRUE),0,OFFSET(Tabella!$G$1,MATCH(H302,Tabella!$G:$G,0)-1,MATCH(I302,Tabella!$G$1:$AB$1,0)-1)),4)</f>
        <v>0</v>
      </c>
      <c r="Q302" s="446">
        <f ca="1">ROUND(IF(ISERROR(OFFSET(Ottone!$F$1,MATCH(H302,Ottone!$A:$A,0)-1,MATCH(I302,Ottone!$F$1:$FF$1,0)-1)=TRUE),0,OFFSET(Ottone!$F$1,MATCH(H302,Ottone!$A:$A,0)-1,MATCH(I302,Ottone!$F$1:$FF$1,0)-1))*IF(E302="Ottone",1,0),4)</f>
        <v>0</v>
      </c>
      <c r="R302" s="446">
        <f ca="1">ROUND(IF(ISERROR(OFFSET(Rame!$F$1,MATCH(H302,Rame!$F:$F,0)-1,MATCH(I302,Rame!$F$1:$FF$1,0)-1)=TRUE),0,OFFSET(Rame!$F$1,MATCH(H302,Rame!$F:$F,0)-1,MATCH(I302,Rame!$F$1:$FF$1,0)-1))*IF(E302="Rame",1,0),4)</f>
        <v>0</v>
      </c>
      <c r="S302" s="446">
        <f ca="1">ROUND(IF(ISERROR(OFFSET(Bronzo!$A$1,MATCH(H302,Bronzo!$A:$A,0)-1,MATCH(I302,Bronzo!$A$1:$AA$1,0)-1)=TRUE),0,OFFSET(Bronzo!$A$1,MATCH(H302,Bronzo!$A:$A,0)-1,MATCH(I302,Bronzo!$A$1:$AA$1,0)-1)),4)</f>
        <v>0</v>
      </c>
      <c r="T302" s="446">
        <f t="shared" ca="1" si="170"/>
        <v>0</v>
      </c>
      <c r="U302" s="443"/>
      <c r="V302" s="446">
        <v>0</v>
      </c>
      <c r="W302" s="449">
        <f t="shared" ca="1" si="171"/>
        <v>1.73</v>
      </c>
      <c r="X302" s="452">
        <f t="shared" si="169"/>
        <v>49</v>
      </c>
      <c r="Y302" s="440">
        <v>4.8</v>
      </c>
      <c r="Z302" s="440">
        <f t="shared" ca="1" si="172"/>
        <v>0</v>
      </c>
      <c r="AA302" s="241"/>
      <c r="AH302" s="242"/>
      <c r="AS302" s="223">
        <f t="shared" si="167"/>
        <v>0</v>
      </c>
      <c r="AT302" s="223">
        <f t="shared" si="168"/>
        <v>0</v>
      </c>
    </row>
    <row r="303" spans="2:46" ht="15.75" x14ac:dyDescent="0.25">
      <c r="B303" s="229"/>
      <c r="C303" s="235" t="s">
        <v>208</v>
      </c>
      <c r="D303" s="243">
        <v>800</v>
      </c>
      <c r="E303" s="232" t="s">
        <v>4</v>
      </c>
      <c r="F303" s="435">
        <v>3.07</v>
      </c>
      <c r="G303" s="234">
        <v>46134</v>
      </c>
      <c r="H303" s="235" t="s">
        <v>22</v>
      </c>
      <c r="I303" s="235"/>
      <c r="J303" s="440">
        <v>7.0000000000000007E-2</v>
      </c>
      <c r="K303" s="443">
        <f ca="1">ROUND(IF(ISERROR(OFFSET(Tabella!$A$1,MATCH(H303,Tabella!$A:$A,0)-1,MATCH(J303,Tabella!$A$1:$AC$1,0)-1)=TRUE),0,+OFFSET(Tabella!$A$1,MATCH(H303,Tabella!$A:$A,0)-1,MATCH(J303,Tabella!$A$1:$AC$1,0)-1)),4)</f>
        <v>1.25</v>
      </c>
      <c r="L303" s="446">
        <f ca="1">ROUND(IF(ISERROR(OFFSET(Ottone!$A$1,MATCH(H303,Ottone!$A:$A,0)-1,MATCH(J303,Ottone!$A$1:$Z$1,0)-1)=TRUE),0,OFFSET(Ottone!$A$1,MATCH(H303,Ottone!$A:$A,0)-1,MATCH(J303,Ottone!$A$1:$Z$1,0)-1))*IF(E303="Ottone",1,0),4)</f>
        <v>0</v>
      </c>
      <c r="M303" s="446">
        <f ca="1">ROUND(IF(ISERROR(OFFSET(Rame!$A$1,MATCH(H303,Rame!$A:$A,0)-1,MATCH(J303,Rame!$A$1:$AA$1,0)-1)=TRUE),0,OFFSET(Rame!$A$1,MATCH(H303,Rame!$A:$A,0)-1,MATCH(J303,Rame!$A$1:$AA$1,0)-1))*IF(E303="Rame",1,0),4)</f>
        <v>0</v>
      </c>
      <c r="N303" s="446">
        <v>0</v>
      </c>
      <c r="O303" s="446">
        <v>1.73</v>
      </c>
      <c r="P303" s="446">
        <f ca="1">ROUND(+IF(ISERROR(OFFSET(Tabella!$G$1,MATCH(H303,Tabella!$G:$G,0)-1,MATCH(I303,Tabella!$G$1:$FG$1,0)-1)=TRUE),0,OFFSET(Tabella!$G$1,MATCH(H303,Tabella!$G:$G,0)-1,MATCH(I303,Tabella!$G$1:$AB$1,0)-1)),4)</f>
        <v>0</v>
      </c>
      <c r="Q303" s="446">
        <f ca="1">ROUND(IF(ISERROR(OFFSET(Ottone!$F$1,MATCH(H303,Ottone!$A:$A,0)-1,MATCH(I303,Ottone!$F$1:$FF$1,0)-1)=TRUE),0,OFFSET(Ottone!$F$1,MATCH(H303,Ottone!$A:$A,0)-1,MATCH(I303,Ottone!$F$1:$FF$1,0)-1))*IF(E303="Ottone",1,0),4)</f>
        <v>0</v>
      </c>
      <c r="R303" s="446">
        <f ca="1">ROUND(IF(ISERROR(OFFSET(Rame!$F$1,MATCH(H303,Rame!$F:$F,0)-1,MATCH(I303,Rame!$F$1:$FF$1,0)-1)=TRUE),0,OFFSET(Rame!$F$1,MATCH(H303,Rame!$F:$F,0)-1,MATCH(I303,Rame!$F$1:$FF$1,0)-1))*IF(E303="Rame",1,0),4)</f>
        <v>0</v>
      </c>
      <c r="S303" s="446">
        <f ca="1">ROUND(IF(ISERROR(OFFSET(Bronzo!$A$1,MATCH(H303,Bronzo!$A:$A,0)-1,MATCH(I303,Bronzo!$A$1:$AA$1,0)-1)=TRUE),0,OFFSET(Bronzo!$A$1,MATCH(H303,Bronzo!$A:$A,0)-1,MATCH(I303,Bronzo!$A$1:$AA$1,0)-1)),4)</f>
        <v>0</v>
      </c>
      <c r="T303" s="446">
        <f t="shared" ca="1" si="170"/>
        <v>0</v>
      </c>
      <c r="U303" s="443"/>
      <c r="V303" s="446">
        <v>0</v>
      </c>
      <c r="W303" s="449">
        <f t="shared" ca="1" si="171"/>
        <v>1.73</v>
      </c>
      <c r="X303" s="452">
        <f t="shared" si="169"/>
        <v>56</v>
      </c>
      <c r="Y303" s="440">
        <v>4.8</v>
      </c>
      <c r="Z303" s="440">
        <f t="shared" ca="1" si="172"/>
        <v>0</v>
      </c>
      <c r="AA303" s="241"/>
      <c r="AH303" s="242"/>
      <c r="AS303" s="223">
        <f t="shared" si="167"/>
        <v>0</v>
      </c>
      <c r="AT303" s="223">
        <f t="shared" si="168"/>
        <v>0</v>
      </c>
    </row>
    <row r="304" spans="2:46" ht="15.75" x14ac:dyDescent="0.25">
      <c r="B304" s="229"/>
      <c r="C304" s="235" t="s">
        <v>208</v>
      </c>
      <c r="D304" s="243">
        <v>500</v>
      </c>
      <c r="E304" s="232" t="s">
        <v>4</v>
      </c>
      <c r="F304" s="435">
        <v>3.07</v>
      </c>
      <c r="G304" s="234">
        <v>46134</v>
      </c>
      <c r="H304" s="235" t="s">
        <v>243</v>
      </c>
      <c r="I304" s="235"/>
      <c r="J304" s="440">
        <v>7.0000000000000007E-2</v>
      </c>
      <c r="K304" s="443">
        <f ca="1">ROUND(IF(ISERROR(OFFSET(Tabella!$A$1,MATCH(H304,Tabella!$A:$A,0)-1,MATCH(J304,Tabella!$A$1:$AC$1,0)-1)=TRUE),0,+OFFSET(Tabella!$A$1,MATCH(H304,Tabella!$A:$A,0)-1,MATCH(J304,Tabella!$A$1:$AC$1,0)-1)),4)</f>
        <v>1.4</v>
      </c>
      <c r="L304" s="446">
        <f ca="1">ROUND(IF(ISERROR(OFFSET(Ottone!$A$1,MATCH(H304,Ottone!$A:$A,0)-1,MATCH(J304,Ottone!$A$1:$Z$1,0)-1)=TRUE),0,OFFSET(Ottone!$A$1,MATCH(H304,Ottone!$A:$A,0)-1,MATCH(J304,Ottone!$A$1:$Z$1,0)-1))*IF(E304="Ottone",1,0),4)</f>
        <v>0</v>
      </c>
      <c r="M304" s="446">
        <f ca="1">ROUND(IF(ISERROR(OFFSET(Rame!$A$1,MATCH(H304,Rame!$A:$A,0)-1,MATCH(J304,Rame!$A$1:$AA$1,0)-1)=TRUE),0,OFFSET(Rame!$A$1,MATCH(H304,Rame!$A:$A,0)-1,MATCH(J304,Rame!$A$1:$AA$1,0)-1))*IF(E304="Rame",1,0),4)</f>
        <v>0</v>
      </c>
      <c r="N304" s="446">
        <v>0</v>
      </c>
      <c r="O304" s="446">
        <v>1.83</v>
      </c>
      <c r="P304" s="446">
        <f ca="1">ROUND(+IF(ISERROR(OFFSET(Tabella!$G$1,MATCH(H304,Tabella!$G:$G,0)-1,MATCH(I304,Tabella!$G$1:$FG$1,0)-1)=TRUE),0,OFFSET(Tabella!$G$1,MATCH(H304,Tabella!$G:$G,0)-1,MATCH(I304,Tabella!$G$1:$AB$1,0)-1)),4)</f>
        <v>0</v>
      </c>
      <c r="Q304" s="446">
        <f ca="1">ROUND(IF(ISERROR(OFFSET(Ottone!$F$1,MATCH(H304,Ottone!$A:$A,0)-1,MATCH(I304,Ottone!$F$1:$FF$1,0)-1)=TRUE),0,OFFSET(Ottone!$F$1,MATCH(H304,Ottone!$A:$A,0)-1,MATCH(I304,Ottone!$F$1:$FF$1,0)-1))*IF(E304="Ottone",1,0),4)</f>
        <v>0</v>
      </c>
      <c r="R304" s="446">
        <f ca="1">ROUND(IF(ISERROR(OFFSET(Rame!$F$1,MATCH(H304,Rame!$F:$F,0)-1,MATCH(I304,Rame!$F$1:$FF$1,0)-1)=TRUE),0,OFFSET(Rame!$F$1,MATCH(H304,Rame!$F:$F,0)-1,MATCH(I304,Rame!$F$1:$FF$1,0)-1))*IF(E304="Rame",1,0),4)</f>
        <v>0</v>
      </c>
      <c r="S304" s="446">
        <f ca="1">ROUND(IF(ISERROR(OFFSET(Bronzo!$A$1,MATCH(H304,Bronzo!$A:$A,0)-1,MATCH(I304,Bronzo!$A$1:$AA$1,0)-1)=TRUE),0,OFFSET(Bronzo!$A$1,MATCH(H304,Bronzo!$A:$A,0)-1,MATCH(I304,Bronzo!$A$1:$AA$1,0)-1)),4)</f>
        <v>0</v>
      </c>
      <c r="T304" s="446">
        <f t="shared" ca="1" si="170"/>
        <v>0</v>
      </c>
      <c r="U304" s="443"/>
      <c r="V304" s="446">
        <v>0</v>
      </c>
      <c r="W304" s="449">
        <f t="shared" ca="1" si="171"/>
        <v>1.83</v>
      </c>
      <c r="X304" s="452">
        <f t="shared" si="169"/>
        <v>35</v>
      </c>
      <c r="Y304" s="440">
        <v>4.9000000000000004</v>
      </c>
      <c r="Z304" s="440">
        <f t="shared" ca="1" si="172"/>
        <v>0</v>
      </c>
      <c r="AA304" s="241"/>
      <c r="AH304" s="242"/>
      <c r="AS304" s="223">
        <f t="shared" si="167"/>
        <v>0</v>
      </c>
      <c r="AT304" s="223">
        <f t="shared" si="168"/>
        <v>0</v>
      </c>
    </row>
    <row r="305" spans="2:46" ht="15.75" x14ac:dyDescent="0.25">
      <c r="B305" s="229"/>
      <c r="C305" s="235" t="s">
        <v>208</v>
      </c>
      <c r="D305" s="243">
        <v>500</v>
      </c>
      <c r="E305" s="232" t="s">
        <v>4</v>
      </c>
      <c r="F305" s="435">
        <v>3.07</v>
      </c>
      <c r="G305" s="234">
        <v>46134</v>
      </c>
      <c r="H305" s="235" t="s">
        <v>24</v>
      </c>
      <c r="I305" s="235"/>
      <c r="J305" s="440">
        <v>7.0000000000000007E-2</v>
      </c>
      <c r="K305" s="443">
        <f ca="1">ROUND(IF(ISERROR(OFFSET(Tabella!$A$1,MATCH(H305,Tabella!$A:$A,0)-1,MATCH(J305,Tabella!$A$1:$AC$1,0)-1)=TRUE),0,+OFFSET(Tabella!$A$1,MATCH(H305,Tabella!$A:$A,0)-1,MATCH(J305,Tabella!$A$1:$AC$1,0)-1)),4)</f>
        <v>1.25</v>
      </c>
      <c r="L305" s="446">
        <f ca="1">ROUND(IF(ISERROR(OFFSET(Ottone!$A$1,MATCH(H305,Ottone!$A:$A,0)-1,MATCH(J305,Ottone!$A$1:$Z$1,0)-1)=TRUE),0,OFFSET(Ottone!$A$1,MATCH(H305,Ottone!$A:$A,0)-1,MATCH(J305,Ottone!$A$1:$Z$1,0)-1))*IF(E305="Ottone",1,0),4)</f>
        <v>0</v>
      </c>
      <c r="M305" s="446">
        <f ca="1">ROUND(IF(ISERROR(OFFSET(Rame!$A$1,MATCH(H305,Rame!$A:$A,0)-1,MATCH(J305,Rame!$A$1:$AA$1,0)-1)=TRUE),0,OFFSET(Rame!$A$1,MATCH(H305,Rame!$A:$A,0)-1,MATCH(J305,Rame!$A$1:$AA$1,0)-1))*IF(E305="Rame",1,0),4)</f>
        <v>0</v>
      </c>
      <c r="N305" s="446">
        <v>0</v>
      </c>
      <c r="O305" s="446">
        <v>1.73</v>
      </c>
      <c r="P305" s="446">
        <f ca="1">ROUND(+IF(ISERROR(OFFSET(Tabella!$G$1,MATCH(H305,Tabella!$G:$G,0)-1,MATCH(I305,Tabella!$G$1:$FG$1,0)-1)=TRUE),0,OFFSET(Tabella!$G$1,MATCH(H305,Tabella!$G:$G,0)-1,MATCH(I305,Tabella!$G$1:$AB$1,0)-1)),4)</f>
        <v>0</v>
      </c>
      <c r="Q305" s="446">
        <f ca="1">ROUND(IF(ISERROR(OFFSET(Ottone!$F$1,MATCH(H305,Ottone!$A:$A,0)-1,MATCH(I305,Ottone!$F$1:$FF$1,0)-1)=TRUE),0,OFFSET(Ottone!$F$1,MATCH(H305,Ottone!$A:$A,0)-1,MATCH(I305,Ottone!$F$1:$FF$1,0)-1))*IF(E305="Ottone",1,0),4)</f>
        <v>0</v>
      </c>
      <c r="R305" s="446">
        <f ca="1">ROUND(IF(ISERROR(OFFSET(Rame!$F$1,MATCH(H305,Rame!$F:$F,0)-1,MATCH(I305,Rame!$F$1:$FF$1,0)-1)=TRUE),0,OFFSET(Rame!$F$1,MATCH(H305,Rame!$F:$F,0)-1,MATCH(I305,Rame!$F$1:$FF$1,0)-1))*IF(E305="Rame",1,0),4)</f>
        <v>0</v>
      </c>
      <c r="S305" s="446">
        <f ca="1">ROUND(IF(ISERROR(OFFSET(Bronzo!$A$1,MATCH(H305,Bronzo!$A:$A,0)-1,MATCH(I305,Bronzo!$A$1:$AA$1,0)-1)=TRUE),0,OFFSET(Bronzo!$A$1,MATCH(H305,Bronzo!$A:$A,0)-1,MATCH(I305,Bronzo!$A$1:$AA$1,0)-1)),4)</f>
        <v>0</v>
      </c>
      <c r="T305" s="446">
        <f t="shared" ca="1" si="170"/>
        <v>0</v>
      </c>
      <c r="U305" s="443"/>
      <c r="V305" s="446">
        <v>0</v>
      </c>
      <c r="W305" s="449">
        <f t="shared" ca="1" si="171"/>
        <v>1.73</v>
      </c>
      <c r="X305" s="452">
        <f t="shared" si="169"/>
        <v>35</v>
      </c>
      <c r="Y305" s="440">
        <v>4.8</v>
      </c>
      <c r="Z305" s="440">
        <f t="shared" ca="1" si="172"/>
        <v>0</v>
      </c>
      <c r="AA305" s="241"/>
      <c r="AH305" s="242"/>
      <c r="AS305" s="223">
        <f t="shared" si="167"/>
        <v>0</v>
      </c>
      <c r="AT305" s="223">
        <f t="shared" si="168"/>
        <v>0</v>
      </c>
    </row>
    <row r="306" spans="2:46" ht="15.75" x14ac:dyDescent="0.25">
      <c r="B306" s="229" t="s">
        <v>588</v>
      </c>
      <c r="C306" s="235" t="s">
        <v>418</v>
      </c>
      <c r="D306" s="243">
        <v>3000</v>
      </c>
      <c r="E306" s="232" t="s">
        <v>4</v>
      </c>
      <c r="F306" s="435">
        <v>2.97</v>
      </c>
      <c r="G306" s="234">
        <v>46115</v>
      </c>
      <c r="H306" s="235" t="s">
        <v>314</v>
      </c>
      <c r="I306" s="235"/>
      <c r="J306" s="440">
        <v>7.0000000000000007E-2</v>
      </c>
      <c r="K306" s="443">
        <f ca="1">ROUND(IF(ISERROR(OFFSET(Tabella!$A$1,MATCH(H306,Tabella!$A:$A,0)-1,MATCH(J306,Tabella!$A$1:$AC$1,0)-1)=TRUE),0,+OFFSET(Tabella!$A$1,MATCH(H306,Tabella!$A:$A,0)-1,MATCH(J306,Tabella!$A$1:$AC$1,0)-1)),4)</f>
        <v>1.25</v>
      </c>
      <c r="L306" s="446">
        <f ca="1">ROUND(IF(ISERROR(OFFSET(Ottone!$A$1,MATCH(H306,Ottone!$A:$A,0)-1,MATCH(J306,Ottone!$A$1:$Z$1,0)-1)=TRUE),0,OFFSET(Ottone!$A$1,MATCH(H306,Ottone!$A:$A,0)-1,MATCH(J306,Ottone!$A$1:$Z$1,0)-1))*IF(E306="Ottone",1,0),4)</f>
        <v>0</v>
      </c>
      <c r="M306" s="446">
        <f ca="1">ROUND(IF(ISERROR(OFFSET(Rame!$A$1,MATCH(H306,Rame!$A:$A,0)-1,MATCH(J306,Rame!$A$1:$AA$1,0)-1)=TRUE),0,OFFSET(Rame!$A$1,MATCH(H306,Rame!$A:$A,0)-1,MATCH(J306,Rame!$A$1:$AA$1,0)-1))*IF(E306="Rame",1,0),4)</f>
        <v>0</v>
      </c>
      <c r="N306" s="446">
        <v>0</v>
      </c>
      <c r="O306" s="446">
        <v>1.73</v>
      </c>
      <c r="P306" s="446">
        <f ca="1">ROUND(+IF(ISERROR(OFFSET(Tabella!$G$1,MATCH(H306,Tabella!$G:$G,0)-1,MATCH(I306,Tabella!$G$1:$FG$1,0)-1)=TRUE),0,OFFSET(Tabella!$G$1,MATCH(H306,Tabella!$G:$G,0)-1,MATCH(I306,Tabella!$G$1:$AB$1,0)-1)),4)</f>
        <v>0</v>
      </c>
      <c r="Q306" s="446">
        <f ca="1">ROUND(IF(ISERROR(OFFSET(Ottone!$F$1,MATCH(H306,Ottone!$A:$A,0)-1,MATCH(I306,Ottone!$F$1:$FF$1,0)-1)=TRUE),0,OFFSET(Ottone!$F$1,MATCH(H306,Ottone!$A:$A,0)-1,MATCH(I306,Ottone!$F$1:$FF$1,0)-1))*IF(E306="Ottone",1,0),4)</f>
        <v>0</v>
      </c>
      <c r="R306" s="446">
        <f ca="1">ROUND(IF(ISERROR(OFFSET(Rame!$F$1,MATCH(H306,Rame!$F:$F,0)-1,MATCH(I306,Rame!$F$1:$FF$1,0)-1)=TRUE),0,OFFSET(Rame!$F$1,MATCH(H306,Rame!$F:$F,0)-1,MATCH(I306,Rame!$F$1:$FF$1,0)-1))*IF(E306="Rame",1,0),4)</f>
        <v>0</v>
      </c>
      <c r="S306" s="446">
        <f ca="1">ROUND(IF(ISERROR(OFFSET(Bronzo!$A$1,MATCH(H306,Bronzo!$A:$A,0)-1,MATCH(I306,Bronzo!$A$1:$AA$1,0)-1)=TRUE),0,OFFSET(Bronzo!$A$1,MATCH(H306,Bronzo!$A:$A,0)-1,MATCH(I306,Bronzo!$A$1:$AA$1,0)-1)),4)</f>
        <v>0</v>
      </c>
      <c r="T306" s="446">
        <f t="shared" ca="1" si="170"/>
        <v>0</v>
      </c>
      <c r="U306" s="443"/>
      <c r="V306" s="446">
        <v>0</v>
      </c>
      <c r="W306" s="449">
        <f t="shared" ca="1" si="171"/>
        <v>1.73</v>
      </c>
      <c r="X306" s="452">
        <f t="shared" si="169"/>
        <v>210</v>
      </c>
      <c r="Y306" s="440">
        <v>4.57</v>
      </c>
      <c r="Z306" s="440">
        <f t="shared" ca="1" si="172"/>
        <v>-0.13</v>
      </c>
      <c r="AA306" s="241">
        <v>46155</v>
      </c>
      <c r="AH306" s="242"/>
      <c r="AS306" s="223">
        <f t="shared" si="167"/>
        <v>5</v>
      </c>
      <c r="AT306" s="223">
        <f t="shared" si="168"/>
        <v>2026</v>
      </c>
    </row>
    <row r="307" spans="2:46" ht="15.75" x14ac:dyDescent="0.25">
      <c r="B307" s="229" t="s">
        <v>588</v>
      </c>
      <c r="C307" s="235" t="s">
        <v>418</v>
      </c>
      <c r="D307" s="243">
        <v>2000</v>
      </c>
      <c r="E307" s="232" t="s">
        <v>4</v>
      </c>
      <c r="F307" s="435">
        <v>2.97</v>
      </c>
      <c r="G307" s="234">
        <v>46115</v>
      </c>
      <c r="H307" s="235" t="s">
        <v>325</v>
      </c>
      <c r="I307" s="235"/>
      <c r="J307" s="440">
        <v>7.0000000000000007E-2</v>
      </c>
      <c r="K307" s="443">
        <f ca="1">ROUND(IF(ISERROR(OFFSET(Tabella!$A$1,MATCH(H307,Tabella!$A:$A,0)-1,MATCH(J307,Tabella!$A$1:$AC$1,0)-1)=TRUE),0,+OFFSET(Tabella!$A$1,MATCH(H307,Tabella!$A:$A,0)-1,MATCH(J307,Tabella!$A$1:$AC$1,0)-1)),4)</f>
        <v>1.25</v>
      </c>
      <c r="L307" s="446">
        <f ca="1">ROUND(IF(ISERROR(OFFSET(Ottone!$A$1,MATCH(H307,Ottone!$A:$A,0)-1,MATCH(J307,Ottone!$A$1:$Z$1,0)-1)=TRUE),0,OFFSET(Ottone!$A$1,MATCH(H307,Ottone!$A:$A,0)-1,MATCH(J307,Ottone!$A$1:$Z$1,0)-1))*IF(E307="Ottone",1,0),4)</f>
        <v>0</v>
      </c>
      <c r="M307" s="446">
        <f ca="1">ROUND(IF(ISERROR(OFFSET(Rame!$A$1,MATCH(H307,Rame!$A:$A,0)-1,MATCH(J307,Rame!$A$1:$AA$1,0)-1)=TRUE),0,OFFSET(Rame!$A$1,MATCH(H307,Rame!$A:$A,0)-1,MATCH(J307,Rame!$A$1:$AA$1,0)-1))*IF(E307="Rame",1,0),4)</f>
        <v>0</v>
      </c>
      <c r="N307" s="446">
        <v>0</v>
      </c>
      <c r="O307" s="446">
        <v>1.73</v>
      </c>
      <c r="P307" s="446">
        <f ca="1">ROUND(+IF(ISERROR(OFFSET(Tabella!$G$1,MATCH(H307,Tabella!$G:$G,0)-1,MATCH(I307,Tabella!$G$1:$FG$1,0)-1)=TRUE),0,OFFSET(Tabella!$G$1,MATCH(H307,Tabella!$G:$G,0)-1,MATCH(I307,Tabella!$G$1:$AB$1,0)-1)),4)</f>
        <v>0</v>
      </c>
      <c r="Q307" s="446">
        <f ca="1">ROUND(IF(ISERROR(OFFSET(Ottone!$F$1,MATCH(H307,Ottone!$A:$A,0)-1,MATCH(I307,Ottone!$F$1:$FF$1,0)-1)=TRUE),0,OFFSET(Ottone!$F$1,MATCH(H307,Ottone!$A:$A,0)-1,MATCH(I307,Ottone!$F$1:$FF$1,0)-1))*IF(E307="Ottone",1,0),4)</f>
        <v>0</v>
      </c>
      <c r="R307" s="446">
        <f ca="1">ROUND(IF(ISERROR(OFFSET(Rame!$F$1,MATCH(H307,Rame!$F:$F,0)-1,MATCH(I307,Rame!$F$1:$FF$1,0)-1)=TRUE),0,OFFSET(Rame!$F$1,MATCH(H307,Rame!$F:$F,0)-1,MATCH(I307,Rame!$F$1:$FF$1,0)-1))*IF(E307="Rame",1,0),4)</f>
        <v>0</v>
      </c>
      <c r="S307" s="446">
        <f ca="1">ROUND(IF(ISERROR(OFFSET(Bronzo!$A$1,MATCH(H307,Bronzo!$A:$A,0)-1,MATCH(I307,Bronzo!$A$1:$AA$1,0)-1)=TRUE),0,OFFSET(Bronzo!$A$1,MATCH(H307,Bronzo!$A:$A,0)-1,MATCH(I307,Bronzo!$A$1:$AA$1,0)-1)),4)</f>
        <v>0</v>
      </c>
      <c r="T307" s="446">
        <f t="shared" ca="1" si="170"/>
        <v>0</v>
      </c>
      <c r="U307" s="443"/>
      <c r="V307" s="446">
        <v>0</v>
      </c>
      <c r="W307" s="449">
        <f t="shared" ca="1" si="171"/>
        <v>1.73</v>
      </c>
      <c r="X307" s="452">
        <f t="shared" si="169"/>
        <v>140</v>
      </c>
      <c r="Y307" s="440">
        <v>4.57</v>
      </c>
      <c r="Z307" s="440">
        <f t="shared" ca="1" si="172"/>
        <v>-0.13</v>
      </c>
      <c r="AA307" s="241">
        <v>46155</v>
      </c>
      <c r="AH307" s="242"/>
    </row>
    <row r="308" spans="2:46" ht="15.75" x14ac:dyDescent="0.25">
      <c r="B308" s="229" t="s">
        <v>588</v>
      </c>
      <c r="C308" s="235" t="s">
        <v>418</v>
      </c>
      <c r="D308" s="243">
        <v>1500</v>
      </c>
      <c r="E308" s="232" t="s">
        <v>4</v>
      </c>
      <c r="F308" s="435">
        <v>2.97</v>
      </c>
      <c r="G308" s="234">
        <v>46115</v>
      </c>
      <c r="H308" s="235" t="s">
        <v>24</v>
      </c>
      <c r="I308" s="235"/>
      <c r="J308" s="440">
        <v>7.0000000000000007E-2</v>
      </c>
      <c r="K308" s="443">
        <f ca="1">ROUND(IF(ISERROR(OFFSET(Tabella!$A$1,MATCH(H308,Tabella!$A:$A,0)-1,MATCH(J308,Tabella!$A$1:$AC$1,0)-1)=TRUE),0,+OFFSET(Tabella!$A$1,MATCH(H308,Tabella!$A:$A,0)-1,MATCH(J308,Tabella!$A$1:$AC$1,0)-1)),4)</f>
        <v>1.25</v>
      </c>
      <c r="L308" s="446">
        <f ca="1">ROUND(IF(ISERROR(OFFSET(Ottone!$A$1,MATCH(H308,Ottone!$A:$A,0)-1,MATCH(J308,Ottone!$A$1:$Z$1,0)-1)=TRUE),0,OFFSET(Ottone!$A$1,MATCH(H308,Ottone!$A:$A,0)-1,MATCH(J308,Ottone!$A$1:$Z$1,0)-1))*IF(E308="Ottone",1,0),4)</f>
        <v>0</v>
      </c>
      <c r="M308" s="446">
        <f ca="1">ROUND(IF(ISERROR(OFFSET(Rame!$A$1,MATCH(H308,Rame!$A:$A,0)-1,MATCH(J308,Rame!$A$1:$AA$1,0)-1)=TRUE),0,OFFSET(Rame!$A$1,MATCH(H308,Rame!$A:$A,0)-1,MATCH(J308,Rame!$A$1:$AA$1,0)-1))*IF(E308="Rame",1,0),4)</f>
        <v>0</v>
      </c>
      <c r="N308" s="446">
        <v>0</v>
      </c>
      <c r="O308" s="446">
        <v>1.73</v>
      </c>
      <c r="P308" s="446">
        <f ca="1">ROUND(+IF(ISERROR(OFFSET(Tabella!$G$1,MATCH(H308,Tabella!$G:$G,0)-1,MATCH(I308,Tabella!$G$1:$FG$1,0)-1)=TRUE),0,OFFSET(Tabella!$G$1,MATCH(H308,Tabella!$G:$G,0)-1,MATCH(I308,Tabella!$G$1:$AB$1,0)-1)),4)</f>
        <v>0</v>
      </c>
      <c r="Q308" s="446">
        <f ca="1">ROUND(IF(ISERROR(OFFSET(Ottone!$F$1,MATCH(H308,Ottone!$A:$A,0)-1,MATCH(I308,Ottone!$F$1:$FF$1,0)-1)=TRUE),0,OFFSET(Ottone!$F$1,MATCH(H308,Ottone!$A:$A,0)-1,MATCH(I308,Ottone!$F$1:$FF$1,0)-1))*IF(E308="Ottone",1,0),4)</f>
        <v>0</v>
      </c>
      <c r="R308" s="446">
        <f ca="1">ROUND(IF(ISERROR(OFFSET(Rame!$F$1,MATCH(H308,Rame!$F:$F,0)-1,MATCH(I308,Rame!$F$1:$FF$1,0)-1)=TRUE),0,OFFSET(Rame!$F$1,MATCH(H308,Rame!$F:$F,0)-1,MATCH(I308,Rame!$F$1:$FF$1,0)-1))*IF(E308="Rame",1,0),4)</f>
        <v>0</v>
      </c>
      <c r="S308" s="446">
        <f ca="1">ROUND(IF(ISERROR(OFFSET(Bronzo!$A$1,MATCH(H308,Bronzo!$A:$A,0)-1,MATCH(I308,Bronzo!$A$1:$AA$1,0)-1)=TRUE),0,OFFSET(Bronzo!$A$1,MATCH(H308,Bronzo!$A:$A,0)-1,MATCH(I308,Bronzo!$A$1:$AA$1,0)-1)),4)</f>
        <v>0</v>
      </c>
      <c r="T308" s="446">
        <f t="shared" ca="1" si="170"/>
        <v>0</v>
      </c>
      <c r="U308" s="443"/>
      <c r="V308" s="446">
        <v>0</v>
      </c>
      <c r="W308" s="449">
        <f t="shared" ca="1" si="171"/>
        <v>1.73</v>
      </c>
      <c r="X308" s="452">
        <f t="shared" si="169"/>
        <v>105</v>
      </c>
      <c r="Y308" s="440">
        <v>4.57</v>
      </c>
      <c r="Z308" s="440">
        <f t="shared" ca="1" si="172"/>
        <v>-0.13</v>
      </c>
      <c r="AA308" s="241">
        <v>46155</v>
      </c>
      <c r="AH308" s="242"/>
    </row>
    <row r="309" spans="2:46" ht="15.75" x14ac:dyDescent="0.25">
      <c r="B309" s="229" t="s">
        <v>588</v>
      </c>
      <c r="C309" s="235" t="s">
        <v>418</v>
      </c>
      <c r="D309" s="243">
        <v>2400</v>
      </c>
      <c r="E309" s="232" t="s">
        <v>4</v>
      </c>
      <c r="F309" s="435">
        <v>2.97</v>
      </c>
      <c r="G309" s="234">
        <v>46115</v>
      </c>
      <c r="H309" s="235" t="s">
        <v>322</v>
      </c>
      <c r="I309" s="235"/>
      <c r="J309" s="440">
        <v>7.0000000000000007E-2</v>
      </c>
      <c r="K309" s="443">
        <f ca="1">ROUND(IF(ISERROR(OFFSET(Tabella!$A$1,MATCH(H309,Tabella!$A:$A,0)-1,MATCH(J309,Tabella!$A$1:$AC$1,0)-1)=TRUE),0,+OFFSET(Tabella!$A$1,MATCH(H309,Tabella!$A:$A,0)-1,MATCH(J309,Tabella!$A$1:$AC$1,0)-1)),4)</f>
        <v>1.25</v>
      </c>
      <c r="L309" s="446">
        <f ca="1">ROUND(IF(ISERROR(OFFSET(Ottone!$A$1,MATCH(H309,Ottone!$A:$A,0)-1,MATCH(J309,Ottone!$A$1:$Z$1,0)-1)=TRUE),0,OFFSET(Ottone!$A$1,MATCH(H309,Ottone!$A:$A,0)-1,MATCH(J309,Ottone!$A$1:$Z$1,0)-1))*IF(E309="Ottone",1,0),4)</f>
        <v>0</v>
      </c>
      <c r="M309" s="446">
        <f ca="1">ROUND(IF(ISERROR(OFFSET(Rame!$A$1,MATCH(H309,Rame!$A:$A,0)-1,MATCH(J309,Rame!$A$1:$AA$1,0)-1)=TRUE),0,OFFSET(Rame!$A$1,MATCH(H309,Rame!$A:$A,0)-1,MATCH(J309,Rame!$A$1:$AA$1,0)-1))*IF(E309="Rame",1,0),4)</f>
        <v>0</v>
      </c>
      <c r="N309" s="446">
        <v>0</v>
      </c>
      <c r="O309" s="446">
        <v>1.73</v>
      </c>
      <c r="P309" s="446">
        <f ca="1">ROUND(+IF(ISERROR(OFFSET(Tabella!$G$1,MATCH(H309,Tabella!$G:$G,0)-1,MATCH(I309,Tabella!$G$1:$FG$1,0)-1)=TRUE),0,OFFSET(Tabella!$G$1,MATCH(H309,Tabella!$G:$G,0)-1,MATCH(I309,Tabella!$G$1:$AB$1,0)-1)),4)</f>
        <v>0</v>
      </c>
      <c r="Q309" s="446">
        <f ca="1">ROUND(IF(ISERROR(OFFSET(Ottone!$F$1,MATCH(H309,Ottone!$A:$A,0)-1,MATCH(I309,Ottone!$F$1:$FF$1,0)-1)=TRUE),0,OFFSET(Ottone!$F$1,MATCH(H309,Ottone!$A:$A,0)-1,MATCH(I309,Ottone!$F$1:$FF$1,0)-1))*IF(E309="Ottone",1,0),4)</f>
        <v>0</v>
      </c>
      <c r="R309" s="446">
        <f ca="1">ROUND(IF(ISERROR(OFFSET(Rame!$F$1,MATCH(H309,Rame!$F:$F,0)-1,MATCH(I309,Rame!$F$1:$FF$1,0)-1)=TRUE),0,OFFSET(Rame!$F$1,MATCH(H309,Rame!$F:$F,0)-1,MATCH(I309,Rame!$F$1:$FF$1,0)-1))*IF(E309="Rame",1,0),4)</f>
        <v>0</v>
      </c>
      <c r="S309" s="446">
        <f ca="1">ROUND(IF(ISERROR(OFFSET(Bronzo!$A$1,MATCH(H309,Bronzo!$A:$A,0)-1,MATCH(I309,Bronzo!$A$1:$AA$1,0)-1)=TRUE),0,OFFSET(Bronzo!$A$1,MATCH(H309,Bronzo!$A:$A,0)-1,MATCH(I309,Bronzo!$A$1:$AA$1,0)-1)),4)</f>
        <v>0</v>
      </c>
      <c r="T309" s="446">
        <f t="shared" ca="1" si="170"/>
        <v>0</v>
      </c>
      <c r="U309" s="443"/>
      <c r="V309" s="446">
        <v>0</v>
      </c>
      <c r="W309" s="449">
        <f t="shared" ca="1" si="171"/>
        <v>1.73</v>
      </c>
      <c r="X309" s="452">
        <f t="shared" si="169"/>
        <v>168</v>
      </c>
      <c r="Y309" s="440">
        <v>4.57</v>
      </c>
      <c r="Z309" s="440">
        <f t="shared" ca="1" si="172"/>
        <v>-0.13</v>
      </c>
      <c r="AA309" s="241">
        <v>46155</v>
      </c>
      <c r="AH309" s="242"/>
    </row>
    <row r="310" spans="2:46" ht="15.75" x14ac:dyDescent="0.25">
      <c r="B310" s="229" t="s">
        <v>588</v>
      </c>
      <c r="C310" s="235" t="s">
        <v>418</v>
      </c>
      <c r="D310" s="243">
        <v>1000</v>
      </c>
      <c r="E310" s="232" t="s">
        <v>4</v>
      </c>
      <c r="F310" s="435">
        <v>2.97</v>
      </c>
      <c r="G310" s="234">
        <v>46115</v>
      </c>
      <c r="H310" s="235" t="s">
        <v>21</v>
      </c>
      <c r="I310" s="235"/>
      <c r="J310" s="440">
        <v>7.0000000000000007E-2</v>
      </c>
      <c r="K310" s="443">
        <f ca="1">ROUND(IF(ISERROR(OFFSET(Tabella!$A$1,MATCH(H310,Tabella!$A:$A,0)-1,MATCH(J310,Tabella!$A$1:$AC$1,0)-1)=TRUE),0,+OFFSET(Tabella!$A$1,MATCH(H310,Tabella!$A:$A,0)-1,MATCH(J310,Tabella!$A$1:$AC$1,0)-1)),4)</f>
        <v>1.25</v>
      </c>
      <c r="L310" s="446">
        <f ca="1">ROUND(IF(ISERROR(OFFSET(Ottone!$A$1,MATCH(H310,Ottone!$A:$A,0)-1,MATCH(J310,Ottone!$A$1:$Z$1,0)-1)=TRUE),0,OFFSET(Ottone!$A$1,MATCH(H310,Ottone!$A:$A,0)-1,MATCH(J310,Ottone!$A$1:$Z$1,0)-1))*IF(E310="Ottone",1,0),4)</f>
        <v>0</v>
      </c>
      <c r="M310" s="446">
        <f ca="1">ROUND(IF(ISERROR(OFFSET(Rame!$A$1,MATCH(H310,Rame!$A:$A,0)-1,MATCH(J310,Rame!$A$1:$AA$1,0)-1)=TRUE),0,OFFSET(Rame!$A$1,MATCH(H310,Rame!$A:$A,0)-1,MATCH(J310,Rame!$A$1:$AA$1,0)-1))*IF(E310="Rame",1,0),4)</f>
        <v>0</v>
      </c>
      <c r="N310" s="446">
        <v>0</v>
      </c>
      <c r="O310" s="446">
        <v>1.73</v>
      </c>
      <c r="P310" s="446">
        <f ca="1">ROUND(+IF(ISERROR(OFFSET(Tabella!$G$1,MATCH(H310,Tabella!$G:$G,0)-1,MATCH(I310,Tabella!$G$1:$FG$1,0)-1)=TRUE),0,OFFSET(Tabella!$G$1,MATCH(H310,Tabella!$G:$G,0)-1,MATCH(I310,Tabella!$G$1:$AB$1,0)-1)),4)</f>
        <v>0</v>
      </c>
      <c r="Q310" s="446">
        <f ca="1">ROUND(IF(ISERROR(OFFSET(Ottone!$F$1,MATCH(H310,Ottone!$A:$A,0)-1,MATCH(I310,Ottone!$F$1:$FF$1,0)-1)=TRUE),0,OFFSET(Ottone!$F$1,MATCH(H310,Ottone!$A:$A,0)-1,MATCH(I310,Ottone!$F$1:$FF$1,0)-1))*IF(E310="Ottone",1,0),4)</f>
        <v>0</v>
      </c>
      <c r="R310" s="446">
        <f ca="1">ROUND(IF(ISERROR(OFFSET(Rame!$F$1,MATCH(H310,Rame!$F:$F,0)-1,MATCH(I310,Rame!$F$1:$FF$1,0)-1)=TRUE),0,OFFSET(Rame!$F$1,MATCH(H310,Rame!$F:$F,0)-1,MATCH(I310,Rame!$F$1:$FF$1,0)-1))*IF(E310="Rame",1,0),4)</f>
        <v>0</v>
      </c>
      <c r="S310" s="446">
        <f ca="1">ROUND(IF(ISERROR(OFFSET(Bronzo!$A$1,MATCH(H310,Bronzo!$A:$A,0)-1,MATCH(I310,Bronzo!$A$1:$AA$1,0)-1)=TRUE),0,OFFSET(Bronzo!$A$1,MATCH(H310,Bronzo!$A:$A,0)-1,MATCH(I310,Bronzo!$A$1:$AA$1,0)-1)),4)</f>
        <v>0</v>
      </c>
      <c r="T310" s="446">
        <f t="shared" ca="1" si="170"/>
        <v>0</v>
      </c>
      <c r="U310" s="443"/>
      <c r="V310" s="446">
        <v>0</v>
      </c>
      <c r="W310" s="449">
        <f t="shared" ca="1" si="171"/>
        <v>1.73</v>
      </c>
      <c r="X310" s="452">
        <f t="shared" si="169"/>
        <v>70</v>
      </c>
      <c r="Y310" s="440">
        <v>4.57</v>
      </c>
      <c r="Z310" s="440">
        <f t="shared" ca="1" si="172"/>
        <v>-0.13</v>
      </c>
      <c r="AA310" s="241">
        <v>46155</v>
      </c>
      <c r="AH310" s="242"/>
    </row>
    <row r="311" spans="2:46" ht="15.75" x14ac:dyDescent="0.25">
      <c r="B311" s="229" t="s">
        <v>588</v>
      </c>
      <c r="C311" s="235" t="s">
        <v>418</v>
      </c>
      <c r="D311" s="243">
        <v>1000</v>
      </c>
      <c r="E311" s="232" t="s">
        <v>4</v>
      </c>
      <c r="F311" s="435">
        <v>2.97</v>
      </c>
      <c r="G311" s="234">
        <v>46115</v>
      </c>
      <c r="H311" s="235" t="s">
        <v>22</v>
      </c>
      <c r="I311" s="235"/>
      <c r="J311" s="440">
        <v>7.0000000000000007E-2</v>
      </c>
      <c r="K311" s="443">
        <f ca="1">ROUND(IF(ISERROR(OFFSET(Tabella!$A$1,MATCH(H311,Tabella!$A:$A,0)-1,MATCH(J311,Tabella!$A$1:$AC$1,0)-1)=TRUE),0,+OFFSET(Tabella!$A$1,MATCH(H311,Tabella!$A:$A,0)-1,MATCH(J311,Tabella!$A$1:$AC$1,0)-1)),4)</f>
        <v>1.25</v>
      </c>
      <c r="L311" s="446">
        <f ca="1">ROUND(IF(ISERROR(OFFSET(Ottone!$A$1,MATCH(H311,Ottone!$A:$A,0)-1,MATCH(J311,Ottone!$A$1:$Z$1,0)-1)=TRUE),0,OFFSET(Ottone!$A$1,MATCH(H311,Ottone!$A:$A,0)-1,MATCH(J311,Ottone!$A$1:$Z$1,0)-1))*IF(E311="Ottone",1,0),4)</f>
        <v>0</v>
      </c>
      <c r="M311" s="446">
        <f ca="1">ROUND(IF(ISERROR(OFFSET(Rame!$A$1,MATCH(H311,Rame!$A:$A,0)-1,MATCH(J311,Rame!$A$1:$AA$1,0)-1)=TRUE),0,OFFSET(Rame!$A$1,MATCH(H311,Rame!$A:$A,0)-1,MATCH(J311,Rame!$A$1:$AA$1,0)-1))*IF(E311="Rame",1,0),4)</f>
        <v>0</v>
      </c>
      <c r="N311" s="446">
        <v>0</v>
      </c>
      <c r="O311" s="446">
        <v>1.73</v>
      </c>
      <c r="P311" s="446">
        <f ca="1">ROUND(+IF(ISERROR(OFFSET(Tabella!$G$1,MATCH(H311,Tabella!$G:$G,0)-1,MATCH(I311,Tabella!$G$1:$FG$1,0)-1)=TRUE),0,OFFSET(Tabella!$G$1,MATCH(H311,Tabella!$G:$G,0)-1,MATCH(I311,Tabella!$G$1:$AB$1,0)-1)),4)</f>
        <v>0</v>
      </c>
      <c r="Q311" s="446">
        <f ca="1">ROUND(IF(ISERROR(OFFSET(Ottone!$F$1,MATCH(H311,Ottone!$A:$A,0)-1,MATCH(I311,Ottone!$F$1:$FF$1,0)-1)=TRUE),0,OFFSET(Ottone!$F$1,MATCH(H311,Ottone!$A:$A,0)-1,MATCH(I311,Ottone!$F$1:$FF$1,0)-1))*IF(E311="Ottone",1,0),4)</f>
        <v>0</v>
      </c>
      <c r="R311" s="446">
        <f ca="1">ROUND(IF(ISERROR(OFFSET(Rame!$F$1,MATCH(H311,Rame!$F:$F,0)-1,MATCH(I311,Rame!$F$1:$FF$1,0)-1)=TRUE),0,OFFSET(Rame!$F$1,MATCH(H311,Rame!$F:$F,0)-1,MATCH(I311,Rame!$F$1:$FF$1,0)-1))*IF(E311="Rame",1,0),4)</f>
        <v>0</v>
      </c>
      <c r="S311" s="446">
        <f ca="1">ROUND(IF(ISERROR(OFFSET(Bronzo!$A$1,MATCH(H311,Bronzo!$A:$A,0)-1,MATCH(I311,Bronzo!$A$1:$AA$1,0)-1)=TRUE),0,OFFSET(Bronzo!$A$1,MATCH(H311,Bronzo!$A:$A,0)-1,MATCH(I311,Bronzo!$A$1:$AA$1,0)-1)),4)</f>
        <v>0</v>
      </c>
      <c r="T311" s="446">
        <f t="shared" ca="1" si="170"/>
        <v>0</v>
      </c>
      <c r="U311" s="443"/>
      <c r="V311" s="446">
        <v>0</v>
      </c>
      <c r="W311" s="449">
        <f t="shared" ca="1" si="171"/>
        <v>1.73</v>
      </c>
      <c r="X311" s="452">
        <f t="shared" si="169"/>
        <v>70</v>
      </c>
      <c r="Y311" s="440">
        <v>4.57</v>
      </c>
      <c r="Z311" s="440">
        <f t="shared" ca="1" si="172"/>
        <v>-0.13</v>
      </c>
      <c r="AA311" s="241">
        <v>46155</v>
      </c>
      <c r="AH311" s="242"/>
    </row>
    <row r="312" spans="2:46" ht="15.75" x14ac:dyDescent="0.25">
      <c r="B312" s="229" t="s">
        <v>588</v>
      </c>
      <c r="C312" s="235" t="s">
        <v>418</v>
      </c>
      <c r="D312" s="243">
        <v>2000</v>
      </c>
      <c r="E312" s="232" t="s">
        <v>4</v>
      </c>
      <c r="F312" s="435">
        <v>2.97</v>
      </c>
      <c r="G312" s="234">
        <v>46115</v>
      </c>
      <c r="H312" s="235" t="s">
        <v>28</v>
      </c>
      <c r="I312" s="235"/>
      <c r="J312" s="440">
        <v>7.0000000000000007E-2</v>
      </c>
      <c r="K312" s="443">
        <f ca="1">ROUND(IF(ISERROR(OFFSET(Tabella!$A$1,MATCH(H312,Tabella!$A:$A,0)-1,MATCH(J312,Tabella!$A$1:$AC$1,0)-1)=TRUE),0,+OFFSET(Tabella!$A$1,MATCH(H312,Tabella!$A:$A,0)-1,MATCH(J312,Tabella!$A$1:$AC$1,0)-1)),4)</f>
        <v>1.25</v>
      </c>
      <c r="L312" s="446">
        <f ca="1">ROUND(IF(ISERROR(OFFSET(Ottone!$A$1,MATCH(H312,Ottone!$A:$A,0)-1,MATCH(J312,Ottone!$A$1:$Z$1,0)-1)=TRUE),0,OFFSET(Ottone!$A$1,MATCH(H312,Ottone!$A:$A,0)-1,MATCH(J312,Ottone!$A$1:$Z$1,0)-1))*IF(E312="Ottone",1,0),4)</f>
        <v>0</v>
      </c>
      <c r="M312" s="446">
        <f ca="1">ROUND(IF(ISERROR(OFFSET(Rame!$A$1,MATCH(H312,Rame!$A:$A,0)-1,MATCH(J312,Rame!$A$1:$AA$1,0)-1)=TRUE),0,OFFSET(Rame!$A$1,MATCH(H312,Rame!$A:$A,0)-1,MATCH(J312,Rame!$A$1:$AA$1,0)-1))*IF(E312="Rame",1,0),4)</f>
        <v>0</v>
      </c>
      <c r="N312" s="446">
        <v>0</v>
      </c>
      <c r="O312" s="446">
        <v>1.73</v>
      </c>
      <c r="P312" s="446">
        <f ca="1">ROUND(+IF(ISERROR(OFFSET(Tabella!$G$1,MATCH(H312,Tabella!$G:$G,0)-1,MATCH(I312,Tabella!$G$1:$FG$1,0)-1)=TRUE),0,OFFSET(Tabella!$G$1,MATCH(H312,Tabella!$G:$G,0)-1,MATCH(I312,Tabella!$G$1:$AB$1,0)-1)),4)</f>
        <v>0</v>
      </c>
      <c r="Q312" s="446">
        <f ca="1">ROUND(IF(ISERROR(OFFSET(Ottone!$F$1,MATCH(H312,Ottone!$A:$A,0)-1,MATCH(I312,Ottone!$F$1:$FF$1,0)-1)=TRUE),0,OFFSET(Ottone!$F$1,MATCH(H312,Ottone!$A:$A,0)-1,MATCH(I312,Ottone!$F$1:$FF$1,0)-1))*IF(E312="Ottone",1,0),4)</f>
        <v>0</v>
      </c>
      <c r="R312" s="446">
        <f ca="1">ROUND(IF(ISERROR(OFFSET(Rame!$F$1,MATCH(H312,Rame!$F:$F,0)-1,MATCH(I312,Rame!$F$1:$FF$1,0)-1)=TRUE),0,OFFSET(Rame!$F$1,MATCH(H312,Rame!$F:$F,0)-1,MATCH(I312,Rame!$F$1:$FF$1,0)-1))*IF(E312="Rame",1,0),4)</f>
        <v>0</v>
      </c>
      <c r="S312" s="446">
        <f ca="1">ROUND(IF(ISERROR(OFFSET(Bronzo!$A$1,MATCH(H312,Bronzo!$A:$A,0)-1,MATCH(I312,Bronzo!$A$1:$AA$1,0)-1)=TRUE),0,OFFSET(Bronzo!$A$1,MATCH(H312,Bronzo!$A:$A,0)-1,MATCH(I312,Bronzo!$A$1:$AA$1,0)-1)),4)</f>
        <v>0</v>
      </c>
      <c r="T312" s="446">
        <f t="shared" ca="1" si="170"/>
        <v>0</v>
      </c>
      <c r="U312" s="443"/>
      <c r="V312" s="446">
        <v>0</v>
      </c>
      <c r="W312" s="449">
        <f t="shared" ca="1" si="171"/>
        <v>1.73</v>
      </c>
      <c r="X312" s="452">
        <f t="shared" si="169"/>
        <v>140</v>
      </c>
      <c r="Y312" s="440">
        <v>4.57</v>
      </c>
      <c r="Z312" s="440">
        <f t="shared" ca="1" si="172"/>
        <v>-0.13</v>
      </c>
      <c r="AA312" s="241">
        <v>46155</v>
      </c>
      <c r="AH312" s="242"/>
    </row>
    <row r="313" spans="2:46" ht="15.75" x14ac:dyDescent="0.25">
      <c r="B313" s="229" t="s">
        <v>588</v>
      </c>
      <c r="C313" s="235" t="s">
        <v>418</v>
      </c>
      <c r="D313" s="243">
        <v>1000</v>
      </c>
      <c r="E313" s="232" t="s">
        <v>4</v>
      </c>
      <c r="F313" s="435">
        <v>2.97</v>
      </c>
      <c r="G313" s="234">
        <v>46115</v>
      </c>
      <c r="H313" s="235" t="s">
        <v>310</v>
      </c>
      <c r="I313" s="235"/>
      <c r="J313" s="440">
        <v>7.0000000000000007E-2</v>
      </c>
      <c r="K313" s="443">
        <f ca="1">ROUND(IF(ISERROR(OFFSET(Tabella!$A$1,MATCH(H313,Tabella!$A:$A,0)-1,MATCH(J313,Tabella!$A$1:$AC$1,0)-1)=TRUE),0,+OFFSET(Tabella!$A$1,MATCH(H313,Tabella!$A:$A,0)-1,MATCH(J313,Tabella!$A$1:$AC$1,0)-1)),4)</f>
        <v>1.25</v>
      </c>
      <c r="L313" s="446">
        <f ca="1">ROUND(IF(ISERROR(OFFSET(Ottone!$A$1,MATCH(H313,Ottone!$A:$A,0)-1,MATCH(J313,Ottone!$A$1:$Z$1,0)-1)=TRUE),0,OFFSET(Ottone!$A$1,MATCH(H313,Ottone!$A:$A,0)-1,MATCH(J313,Ottone!$A$1:$Z$1,0)-1))*IF(E313="Ottone",1,0),4)</f>
        <v>0</v>
      </c>
      <c r="M313" s="446">
        <f ca="1">ROUND(IF(ISERROR(OFFSET(Rame!$A$1,MATCH(H313,Rame!$A:$A,0)-1,MATCH(J313,Rame!$A$1:$AA$1,0)-1)=TRUE),0,OFFSET(Rame!$A$1,MATCH(H313,Rame!$A:$A,0)-1,MATCH(J313,Rame!$A$1:$AA$1,0)-1))*IF(E313="Rame",1,0),4)</f>
        <v>0</v>
      </c>
      <c r="N313" s="446">
        <v>0</v>
      </c>
      <c r="O313" s="446">
        <v>1.73</v>
      </c>
      <c r="P313" s="446">
        <f ca="1">ROUND(+IF(ISERROR(OFFSET(Tabella!$G$1,MATCH(H313,Tabella!$G:$G,0)-1,MATCH(I313,Tabella!$G$1:$FG$1,0)-1)=TRUE),0,OFFSET(Tabella!$G$1,MATCH(H313,Tabella!$G:$G,0)-1,MATCH(I313,Tabella!$G$1:$AB$1,0)-1)),4)</f>
        <v>0</v>
      </c>
      <c r="Q313" s="446">
        <f ca="1">ROUND(IF(ISERROR(OFFSET(Ottone!$F$1,MATCH(H313,Ottone!$A:$A,0)-1,MATCH(I313,Ottone!$F$1:$FF$1,0)-1)=TRUE),0,OFFSET(Ottone!$F$1,MATCH(H313,Ottone!$A:$A,0)-1,MATCH(I313,Ottone!$F$1:$FF$1,0)-1))*IF(E313="Ottone",1,0),4)</f>
        <v>0</v>
      </c>
      <c r="R313" s="446">
        <f ca="1">ROUND(IF(ISERROR(OFFSET(Rame!$F$1,MATCH(H313,Rame!$F:$F,0)-1,MATCH(I313,Rame!$F$1:$FF$1,0)-1)=TRUE),0,OFFSET(Rame!$F$1,MATCH(H313,Rame!$F:$F,0)-1,MATCH(I313,Rame!$F$1:$FF$1,0)-1))*IF(E313="Rame",1,0),4)</f>
        <v>0</v>
      </c>
      <c r="S313" s="446">
        <f ca="1">ROUND(IF(ISERROR(OFFSET(Bronzo!$A$1,MATCH(H313,Bronzo!$A:$A,0)-1,MATCH(I313,Bronzo!$A$1:$AA$1,0)-1)=TRUE),0,OFFSET(Bronzo!$A$1,MATCH(H313,Bronzo!$A:$A,0)-1,MATCH(I313,Bronzo!$A$1:$AA$1,0)-1)),4)</f>
        <v>0</v>
      </c>
      <c r="T313" s="446">
        <f t="shared" ca="1" si="170"/>
        <v>0</v>
      </c>
      <c r="U313" s="443"/>
      <c r="V313" s="446">
        <v>0</v>
      </c>
      <c r="W313" s="449">
        <f t="shared" ca="1" si="171"/>
        <v>1.73</v>
      </c>
      <c r="X313" s="452">
        <f t="shared" si="169"/>
        <v>70</v>
      </c>
      <c r="Y313" s="440">
        <v>4.57</v>
      </c>
      <c r="Z313" s="440">
        <f t="shared" ca="1" si="172"/>
        <v>-0.13</v>
      </c>
      <c r="AA313" s="241">
        <v>46155</v>
      </c>
      <c r="AH313" s="242"/>
    </row>
    <row r="314" spans="2:46" ht="15.75" x14ac:dyDescent="0.25">
      <c r="B314" s="229" t="s">
        <v>628</v>
      </c>
      <c r="C314" s="235" t="s">
        <v>561</v>
      </c>
      <c r="D314" s="243">
        <v>300</v>
      </c>
      <c r="E314" s="232" t="s">
        <v>4</v>
      </c>
      <c r="F314" s="435">
        <v>3.07</v>
      </c>
      <c r="G314" s="234">
        <v>46135</v>
      </c>
      <c r="H314" s="235" t="s">
        <v>22</v>
      </c>
      <c r="I314" s="235"/>
      <c r="J314" s="440">
        <v>7.0000000000000007E-2</v>
      </c>
      <c r="K314" s="443">
        <f ca="1">ROUND(IF(ISERROR(OFFSET(Tabella!$A$1,MATCH(H314,Tabella!$A:$A,0)-1,MATCH(J314,Tabella!$A$1:$AC$1,0)-1)=TRUE),0,+OFFSET(Tabella!$A$1,MATCH(H314,Tabella!$A:$A,0)-1,MATCH(J314,Tabella!$A$1:$AC$1,0)-1)),4)</f>
        <v>1.25</v>
      </c>
      <c r="L314" s="446">
        <f ca="1">ROUND(IF(ISERROR(OFFSET(Ottone!$A$1,MATCH(H314,Ottone!$A:$A,0)-1,MATCH(J314,Ottone!$A$1:$Z$1,0)-1)=TRUE),0,OFFSET(Ottone!$A$1,MATCH(H314,Ottone!$A:$A,0)-1,MATCH(J314,Ottone!$A$1:$Z$1,0)-1))*IF(E314="Ottone",1,0),4)</f>
        <v>0</v>
      </c>
      <c r="M314" s="446">
        <f ca="1">ROUND(IF(ISERROR(OFFSET(Rame!$A$1,MATCH(H314,Rame!$A:$A,0)-1,MATCH(J314,Rame!$A$1:$AA$1,0)-1)=TRUE),0,OFFSET(Rame!$A$1,MATCH(H314,Rame!$A:$A,0)-1,MATCH(J314,Rame!$A$1:$AA$1,0)-1))*IF(E314="Rame",1,0),4)</f>
        <v>0</v>
      </c>
      <c r="N314" s="446">
        <v>0</v>
      </c>
      <c r="O314" s="446">
        <v>1.73</v>
      </c>
      <c r="P314" s="446">
        <f ca="1">ROUND(+IF(ISERROR(OFFSET(Tabella!$G$1,MATCH(H314,Tabella!$G:$G,0)-1,MATCH(I314,Tabella!$G$1:$FG$1,0)-1)=TRUE),0,OFFSET(Tabella!$G$1,MATCH(H314,Tabella!$G:$G,0)-1,MATCH(I314,Tabella!$G$1:$AB$1,0)-1)),4)</f>
        <v>0</v>
      </c>
      <c r="Q314" s="446">
        <f ca="1">ROUND(IF(ISERROR(OFFSET(Ottone!$F$1,MATCH(H314,Ottone!$A:$A,0)-1,MATCH(I314,Ottone!$F$1:$FF$1,0)-1)=TRUE),0,OFFSET(Ottone!$F$1,MATCH(H314,Ottone!$A:$A,0)-1,MATCH(I314,Ottone!$F$1:$FF$1,0)-1))*IF(E314="Ottone",1,0),4)</f>
        <v>0</v>
      </c>
      <c r="R314" s="446">
        <f ca="1">ROUND(IF(ISERROR(OFFSET(Rame!$F$1,MATCH(H314,Rame!$F:$F,0)-1,MATCH(I314,Rame!$F$1:$FF$1,0)-1)=TRUE),0,OFFSET(Rame!$F$1,MATCH(H314,Rame!$F:$F,0)-1,MATCH(I314,Rame!$F$1:$FF$1,0)-1))*IF(E314="Rame",1,0),4)</f>
        <v>0</v>
      </c>
      <c r="S314" s="446">
        <f ca="1">ROUND(IF(ISERROR(OFFSET(Bronzo!$A$1,MATCH(H314,Bronzo!$A:$A,0)-1,MATCH(I314,Bronzo!$A$1:$AA$1,0)-1)=TRUE),0,OFFSET(Bronzo!$A$1,MATCH(H314,Bronzo!$A:$A,0)-1,MATCH(I314,Bronzo!$A$1:$AA$1,0)-1)),4)</f>
        <v>0</v>
      </c>
      <c r="T314" s="446">
        <f t="shared" ca="1" si="170"/>
        <v>0</v>
      </c>
      <c r="U314" s="443"/>
      <c r="V314" s="446">
        <v>0</v>
      </c>
      <c r="W314" s="449">
        <f t="shared" ca="1" si="171"/>
        <v>1.73</v>
      </c>
      <c r="X314" s="452">
        <f t="shared" si="169"/>
        <v>21</v>
      </c>
      <c r="Y314" s="440">
        <v>4.8</v>
      </c>
      <c r="Z314" s="440">
        <f t="shared" ca="1" si="172"/>
        <v>0</v>
      </c>
      <c r="AA314" s="241">
        <v>46160</v>
      </c>
      <c r="AH314" s="242"/>
    </row>
    <row r="315" spans="2:46" ht="15.75" x14ac:dyDescent="0.25">
      <c r="B315" s="229" t="s">
        <v>587</v>
      </c>
      <c r="C315" s="235" t="s">
        <v>102</v>
      </c>
      <c r="D315" s="243">
        <v>1800</v>
      </c>
      <c r="E315" s="232" t="s">
        <v>4</v>
      </c>
      <c r="F315" s="435">
        <v>2.65</v>
      </c>
      <c r="G315" s="234">
        <v>46050</v>
      </c>
      <c r="H315" s="235" t="s">
        <v>27</v>
      </c>
      <c r="I315" s="235"/>
      <c r="J315" s="440">
        <v>7.0000000000000007E-2</v>
      </c>
      <c r="K315" s="443">
        <f ca="1">ROUND(IF(ISERROR(OFFSET(Tabella!$A$1,MATCH(H315,Tabella!$A:$A,0)-1,MATCH(J315,Tabella!$A$1:$AC$1,0)-1)=TRUE),0,+OFFSET(Tabella!$A$1,MATCH(H315,Tabella!$A:$A,0)-1,MATCH(J315,Tabella!$A$1:$AC$1,0)-1)),4)</f>
        <v>1.25</v>
      </c>
      <c r="L315" s="446">
        <f ca="1">ROUND(IF(ISERROR(OFFSET(Ottone!$A$1,MATCH(H315,Ottone!$A:$A,0)-1,MATCH(J315,Ottone!$A$1:$Z$1,0)-1)=TRUE),0,OFFSET(Ottone!$A$1,MATCH(H315,Ottone!$A:$A,0)-1,MATCH(J315,Ottone!$A$1:$Z$1,0)-1))*IF(E315="Ottone",1,0),4)</f>
        <v>0</v>
      </c>
      <c r="M315" s="446">
        <f ca="1">ROUND(IF(ISERROR(OFFSET(Rame!$A$1,MATCH(H315,Rame!$A:$A,0)-1,MATCH(J315,Rame!$A$1:$AA$1,0)-1)=TRUE),0,OFFSET(Rame!$A$1,MATCH(H315,Rame!$A:$A,0)-1,MATCH(J315,Rame!$A$1:$AA$1,0)-1))*IF(E315="Rame",1,0),4)</f>
        <v>0</v>
      </c>
      <c r="N315" s="446">
        <v>0</v>
      </c>
      <c r="O315" s="446">
        <v>1.5</v>
      </c>
      <c r="P315" s="446">
        <f ca="1">ROUND(+IF(ISERROR(OFFSET(Tabella!$G$1,MATCH(H315,Tabella!$G:$G,0)-1,MATCH(I315,Tabella!$G$1:$FG$1,0)-1)=TRUE),0,OFFSET(Tabella!$G$1,MATCH(H315,Tabella!$G:$G,0)-1,MATCH(I315,Tabella!$G$1:$AB$1,0)-1)),4)</f>
        <v>0</v>
      </c>
      <c r="Q315" s="446">
        <f ca="1">ROUND(IF(ISERROR(OFFSET(Ottone!$F$1,MATCH(H315,Ottone!$A:$A,0)-1,MATCH(I315,Ottone!$F$1:$FF$1,0)-1)=TRUE),0,OFFSET(Ottone!$F$1,MATCH(H315,Ottone!$A:$A,0)-1,MATCH(I315,Ottone!$F$1:$FF$1,0)-1))*IF(E315="Ottone",1,0),4)</f>
        <v>0</v>
      </c>
      <c r="R315" s="446">
        <f ca="1">ROUND(IF(ISERROR(OFFSET(Rame!$F$1,MATCH(H315,Rame!$F:$F,0)-1,MATCH(I315,Rame!$F$1:$FF$1,0)-1)=TRUE),0,OFFSET(Rame!$F$1,MATCH(H315,Rame!$F:$F,0)-1,MATCH(I315,Rame!$F$1:$FF$1,0)-1))*IF(E315="Rame",1,0),4)</f>
        <v>0</v>
      </c>
      <c r="S315" s="446">
        <f ca="1">ROUND(IF(ISERROR(OFFSET(Bronzo!$A$1,MATCH(H315,Bronzo!$A:$A,0)-1,MATCH(I315,Bronzo!$A$1:$AA$1,0)-1)=TRUE),0,OFFSET(Bronzo!$A$1,MATCH(H315,Bronzo!$A:$A,0)-1,MATCH(I315,Bronzo!$A$1:$AA$1,0)-1)),4)</f>
        <v>0</v>
      </c>
      <c r="T315" s="446">
        <f t="shared" ca="1" si="170"/>
        <v>0</v>
      </c>
      <c r="U315" s="443"/>
      <c r="V315" s="446">
        <v>0</v>
      </c>
      <c r="W315" s="449">
        <f t="shared" ca="1" si="171"/>
        <v>1.5</v>
      </c>
      <c r="X315" s="452">
        <f t="shared" si="169"/>
        <v>126</v>
      </c>
      <c r="Y315" s="440">
        <v>4.1500000000000004</v>
      </c>
      <c r="Z315" s="440">
        <f t="shared" ca="1" si="172"/>
        <v>0</v>
      </c>
      <c r="AA315" s="241">
        <v>46176</v>
      </c>
      <c r="AD315" s="238"/>
      <c r="AH315" s="242"/>
    </row>
    <row r="316" spans="2:46" ht="15.75" x14ac:dyDescent="0.25">
      <c r="B316" s="229" t="s">
        <v>587</v>
      </c>
      <c r="C316" s="235" t="s">
        <v>102</v>
      </c>
      <c r="D316" s="243">
        <v>1200</v>
      </c>
      <c r="E316" s="232" t="s">
        <v>4</v>
      </c>
      <c r="F316" s="435">
        <v>2.65</v>
      </c>
      <c r="G316" s="234">
        <v>46050</v>
      </c>
      <c r="H316" s="235" t="s">
        <v>27</v>
      </c>
      <c r="I316" s="235"/>
      <c r="J316" s="440">
        <v>7.0000000000000007E-2</v>
      </c>
      <c r="K316" s="443">
        <f ca="1">ROUND(IF(ISERROR(OFFSET(Tabella!$A$1,MATCH(H316,Tabella!$A:$A,0)-1,MATCH(J316,Tabella!$A$1:$AC$1,0)-1)=TRUE),0,+OFFSET(Tabella!$A$1,MATCH(H316,Tabella!$A:$A,0)-1,MATCH(J316,Tabella!$A$1:$AC$1,0)-1)),4)</f>
        <v>1.25</v>
      </c>
      <c r="L316" s="446">
        <f ca="1">ROUND(IF(ISERROR(OFFSET(Ottone!$A$1,MATCH(H316,Ottone!$A:$A,0)-1,MATCH(J316,Ottone!$A$1:$Z$1,0)-1)=TRUE),0,OFFSET(Ottone!$A$1,MATCH(H316,Ottone!$A:$A,0)-1,MATCH(J316,Ottone!$A$1:$Z$1,0)-1))*IF(E316="Ottone",1,0),4)</f>
        <v>0</v>
      </c>
      <c r="M316" s="446">
        <f ca="1">ROUND(IF(ISERROR(OFFSET(Rame!$A$1,MATCH(H316,Rame!$A:$A,0)-1,MATCH(J316,Rame!$A$1:$AA$1,0)-1)=TRUE),0,OFFSET(Rame!$A$1,MATCH(H316,Rame!$A:$A,0)-1,MATCH(J316,Rame!$A$1:$AA$1,0)-1))*IF(E316="Rame",1,0),4)</f>
        <v>0</v>
      </c>
      <c r="N316" s="446">
        <v>0</v>
      </c>
      <c r="O316" s="446">
        <v>1.5</v>
      </c>
      <c r="P316" s="446">
        <f ca="1">ROUND(+IF(ISERROR(OFFSET(Tabella!$G$1,MATCH(H316,Tabella!$G:$G,0)-1,MATCH(I316,Tabella!$G$1:$FG$1,0)-1)=TRUE),0,OFFSET(Tabella!$G$1,MATCH(H316,Tabella!$G:$G,0)-1,MATCH(I316,Tabella!$G$1:$AB$1,0)-1)),4)</f>
        <v>0</v>
      </c>
      <c r="Q316" s="446">
        <f ca="1">ROUND(IF(ISERROR(OFFSET(Ottone!$F$1,MATCH(H316,Ottone!$A:$A,0)-1,MATCH(I316,Ottone!$F$1:$FF$1,0)-1)=TRUE),0,OFFSET(Ottone!$F$1,MATCH(H316,Ottone!$A:$A,0)-1,MATCH(I316,Ottone!$F$1:$FF$1,0)-1))*IF(E316="Ottone",1,0),4)</f>
        <v>0</v>
      </c>
      <c r="R316" s="446">
        <f ca="1">ROUND(IF(ISERROR(OFFSET(Rame!$F$1,MATCH(H316,Rame!$F:$F,0)-1,MATCH(I316,Rame!$F$1:$FF$1,0)-1)=TRUE),0,OFFSET(Rame!$F$1,MATCH(H316,Rame!$F:$F,0)-1,MATCH(I316,Rame!$F$1:$FF$1,0)-1))*IF(E316="Rame",1,0),4)</f>
        <v>0</v>
      </c>
      <c r="S316" s="446">
        <f ca="1">ROUND(IF(ISERROR(OFFSET(Bronzo!$A$1,MATCH(H316,Bronzo!$A:$A,0)-1,MATCH(I316,Bronzo!$A$1:$AA$1,0)-1)=TRUE),0,OFFSET(Bronzo!$A$1,MATCH(H316,Bronzo!$A:$A,0)-1,MATCH(I316,Bronzo!$A$1:$AA$1,0)-1)),4)</f>
        <v>0</v>
      </c>
      <c r="T316" s="446">
        <f t="shared" ca="1" si="170"/>
        <v>0</v>
      </c>
      <c r="U316" s="443"/>
      <c r="V316" s="446">
        <v>0</v>
      </c>
      <c r="W316" s="449">
        <f t="shared" ca="1" si="171"/>
        <v>1.5</v>
      </c>
      <c r="X316" s="452">
        <f t="shared" si="169"/>
        <v>84</v>
      </c>
      <c r="Y316" s="440">
        <v>4.1500000000000004</v>
      </c>
      <c r="Z316" s="440">
        <f t="shared" ca="1" si="172"/>
        <v>0</v>
      </c>
      <c r="AA316" s="241">
        <v>46183</v>
      </c>
      <c r="AH316" s="242"/>
    </row>
    <row r="317" spans="2:46" ht="15.75" x14ac:dyDescent="0.25">
      <c r="B317" s="229" t="s">
        <v>587</v>
      </c>
      <c r="C317" s="235" t="s">
        <v>102</v>
      </c>
      <c r="D317" s="243">
        <v>2200</v>
      </c>
      <c r="E317" s="232" t="s">
        <v>4</v>
      </c>
      <c r="F317" s="435">
        <v>2.65</v>
      </c>
      <c r="G317" s="234">
        <v>46050</v>
      </c>
      <c r="H317" s="235" t="s">
        <v>310</v>
      </c>
      <c r="I317" s="235"/>
      <c r="J317" s="440">
        <v>7.0000000000000007E-2</v>
      </c>
      <c r="K317" s="443">
        <f ca="1">ROUND(IF(ISERROR(OFFSET(Tabella!$A$1,MATCH(H317,Tabella!$A:$A,0)-1,MATCH(J317,Tabella!$A$1:$AC$1,0)-1)=TRUE),0,+OFFSET(Tabella!$A$1,MATCH(H317,Tabella!$A:$A,0)-1,MATCH(J317,Tabella!$A$1:$AC$1,0)-1)),4)</f>
        <v>1.25</v>
      </c>
      <c r="L317" s="446">
        <f ca="1">ROUND(IF(ISERROR(OFFSET(Ottone!$A$1,MATCH(H317,Ottone!$A:$A,0)-1,MATCH(J317,Ottone!$A$1:$Z$1,0)-1)=TRUE),0,OFFSET(Ottone!$A$1,MATCH(H317,Ottone!$A:$A,0)-1,MATCH(J317,Ottone!$A$1:$Z$1,0)-1))*IF(E317="Ottone",1,0),4)</f>
        <v>0</v>
      </c>
      <c r="M317" s="446">
        <f ca="1">ROUND(IF(ISERROR(OFFSET(Rame!$A$1,MATCH(H317,Rame!$A:$A,0)-1,MATCH(J317,Rame!$A$1:$AA$1,0)-1)=TRUE),0,OFFSET(Rame!$A$1,MATCH(H317,Rame!$A:$A,0)-1,MATCH(J317,Rame!$A$1:$AA$1,0)-1))*IF(E317="Rame",1,0),4)</f>
        <v>0</v>
      </c>
      <c r="N317" s="446">
        <v>0</v>
      </c>
      <c r="O317" s="446">
        <v>1.5</v>
      </c>
      <c r="P317" s="446">
        <f ca="1">ROUND(+IF(ISERROR(OFFSET(Tabella!$G$1,MATCH(H317,Tabella!$G:$G,0)-1,MATCH(I317,Tabella!$G$1:$FG$1,0)-1)=TRUE),0,OFFSET(Tabella!$G$1,MATCH(H317,Tabella!$G:$G,0)-1,MATCH(I317,Tabella!$G$1:$AB$1,0)-1)),4)</f>
        <v>0</v>
      </c>
      <c r="Q317" s="446">
        <f ca="1">ROUND(IF(ISERROR(OFFSET(Ottone!$F$1,MATCH(H317,Ottone!$A:$A,0)-1,MATCH(I317,Ottone!$F$1:$FF$1,0)-1)=TRUE),0,OFFSET(Ottone!$F$1,MATCH(H317,Ottone!$A:$A,0)-1,MATCH(I317,Ottone!$F$1:$FF$1,0)-1))*IF(E317="Ottone",1,0),4)</f>
        <v>0</v>
      </c>
      <c r="R317" s="446">
        <f ca="1">ROUND(IF(ISERROR(OFFSET(Rame!$F$1,MATCH(H317,Rame!$F:$F,0)-1,MATCH(I317,Rame!$F$1:$FF$1,0)-1)=TRUE),0,OFFSET(Rame!$F$1,MATCH(H317,Rame!$F:$F,0)-1,MATCH(I317,Rame!$F$1:$FF$1,0)-1))*IF(E317="Rame",1,0),4)</f>
        <v>0</v>
      </c>
      <c r="S317" s="446">
        <f ca="1">ROUND(IF(ISERROR(OFFSET(Bronzo!$A$1,MATCH(H317,Bronzo!$A:$A,0)-1,MATCH(I317,Bronzo!$A$1:$AA$1,0)-1)=TRUE),0,OFFSET(Bronzo!$A$1,MATCH(H317,Bronzo!$A:$A,0)-1,MATCH(I317,Bronzo!$A$1:$AA$1,0)-1)),4)</f>
        <v>0</v>
      </c>
      <c r="T317" s="446">
        <f t="shared" ca="1" si="170"/>
        <v>0</v>
      </c>
      <c r="U317" s="443"/>
      <c r="V317" s="446">
        <v>0</v>
      </c>
      <c r="W317" s="449">
        <f t="shared" ca="1" si="171"/>
        <v>1.5</v>
      </c>
      <c r="X317" s="452">
        <f t="shared" si="169"/>
        <v>154</v>
      </c>
      <c r="Y317" s="440">
        <v>4.1500000000000004</v>
      </c>
      <c r="Z317" s="440">
        <f t="shared" ca="1" si="172"/>
        <v>0</v>
      </c>
      <c r="AA317" s="241">
        <v>46183</v>
      </c>
      <c r="AH317" s="242"/>
    </row>
    <row r="318" spans="2:46" ht="15.75" x14ac:dyDescent="0.25">
      <c r="B318" s="229" t="s">
        <v>587</v>
      </c>
      <c r="C318" s="235" t="s">
        <v>102</v>
      </c>
      <c r="D318" s="243">
        <v>1800</v>
      </c>
      <c r="E318" s="232" t="s">
        <v>4</v>
      </c>
      <c r="F318" s="435">
        <v>2.65</v>
      </c>
      <c r="G318" s="234">
        <v>46050</v>
      </c>
      <c r="H318" s="235" t="s">
        <v>25</v>
      </c>
      <c r="I318" s="235"/>
      <c r="J318" s="440">
        <v>7.0000000000000007E-2</v>
      </c>
      <c r="K318" s="443">
        <f ca="1">ROUND(IF(ISERROR(OFFSET(Tabella!$A$1,MATCH(H318,Tabella!$A:$A,0)-1,MATCH(J318,Tabella!$A$1:$AC$1,0)-1)=TRUE),0,+OFFSET(Tabella!$A$1,MATCH(H318,Tabella!$A:$A,0)-1,MATCH(J318,Tabella!$A$1:$AC$1,0)-1)),4)</f>
        <v>1.25</v>
      </c>
      <c r="L318" s="446">
        <f ca="1">ROUND(IF(ISERROR(OFFSET(Ottone!$A$1,MATCH(H318,Ottone!$A:$A,0)-1,MATCH(J318,Ottone!$A$1:$Z$1,0)-1)=TRUE),0,OFFSET(Ottone!$A$1,MATCH(H318,Ottone!$A:$A,0)-1,MATCH(J318,Ottone!$A$1:$Z$1,0)-1))*IF(E318="Ottone",1,0),4)</f>
        <v>0</v>
      </c>
      <c r="M318" s="446">
        <f ca="1">ROUND(IF(ISERROR(OFFSET(Rame!$A$1,MATCH(H318,Rame!$A:$A,0)-1,MATCH(J318,Rame!$A$1:$AA$1,0)-1)=TRUE),0,OFFSET(Rame!$A$1,MATCH(H318,Rame!$A:$A,0)-1,MATCH(J318,Rame!$A$1:$AA$1,0)-1))*IF(E318="Rame",1,0),4)</f>
        <v>0</v>
      </c>
      <c r="N318" s="446">
        <v>0</v>
      </c>
      <c r="O318" s="446">
        <v>1.5</v>
      </c>
      <c r="P318" s="446">
        <f ca="1">ROUND(+IF(ISERROR(OFFSET(Tabella!$G$1,MATCH(H318,Tabella!$G:$G,0)-1,MATCH(I318,Tabella!$G$1:$FG$1,0)-1)=TRUE),0,OFFSET(Tabella!$G$1,MATCH(H318,Tabella!$G:$G,0)-1,MATCH(I318,Tabella!$G$1:$AB$1,0)-1)),4)</f>
        <v>0</v>
      </c>
      <c r="Q318" s="446">
        <f ca="1">ROUND(IF(ISERROR(OFFSET(Ottone!$F$1,MATCH(H318,Ottone!$A:$A,0)-1,MATCH(I318,Ottone!$F$1:$FF$1,0)-1)=TRUE),0,OFFSET(Ottone!$F$1,MATCH(H318,Ottone!$A:$A,0)-1,MATCH(I318,Ottone!$F$1:$FF$1,0)-1))*IF(E318="Ottone",1,0),4)</f>
        <v>0</v>
      </c>
      <c r="R318" s="446">
        <f ca="1">ROUND(IF(ISERROR(OFFSET(Rame!$F$1,MATCH(H318,Rame!$F:$F,0)-1,MATCH(I318,Rame!$F$1:$FF$1,0)-1)=TRUE),0,OFFSET(Rame!$F$1,MATCH(H318,Rame!$F:$F,0)-1,MATCH(I318,Rame!$F$1:$FF$1,0)-1))*IF(E318="Rame",1,0),4)</f>
        <v>0</v>
      </c>
      <c r="S318" s="446">
        <f ca="1">ROUND(IF(ISERROR(OFFSET(Bronzo!$A$1,MATCH(H318,Bronzo!$A:$A,0)-1,MATCH(I318,Bronzo!$A$1:$AA$1,0)-1)=TRUE),0,OFFSET(Bronzo!$A$1,MATCH(H318,Bronzo!$A:$A,0)-1,MATCH(I318,Bronzo!$A$1:$AA$1,0)-1)),4)</f>
        <v>0</v>
      </c>
      <c r="T318" s="446">
        <f t="shared" ca="1" si="170"/>
        <v>0</v>
      </c>
      <c r="U318" s="443"/>
      <c r="V318" s="446">
        <v>0</v>
      </c>
      <c r="W318" s="449">
        <f t="shared" ca="1" si="171"/>
        <v>1.5</v>
      </c>
      <c r="X318" s="452">
        <f t="shared" si="169"/>
        <v>126</v>
      </c>
      <c r="Y318" s="440">
        <v>4.1500000000000004</v>
      </c>
      <c r="Z318" s="440">
        <f t="shared" ca="1" si="172"/>
        <v>0</v>
      </c>
      <c r="AA318" s="241">
        <v>46183</v>
      </c>
      <c r="AH318" s="242"/>
    </row>
    <row r="319" spans="2:46" ht="15.75" x14ac:dyDescent="0.25">
      <c r="B319" s="229" t="s">
        <v>587</v>
      </c>
      <c r="C319" s="235" t="s">
        <v>102</v>
      </c>
      <c r="D319" s="243">
        <v>2500</v>
      </c>
      <c r="E319" s="232" t="s">
        <v>4</v>
      </c>
      <c r="F319" s="435">
        <v>2.65</v>
      </c>
      <c r="G319" s="234">
        <v>46050</v>
      </c>
      <c r="H319" s="235" t="s">
        <v>21</v>
      </c>
      <c r="I319" s="235"/>
      <c r="J319" s="440">
        <v>7.0000000000000007E-2</v>
      </c>
      <c r="K319" s="443">
        <f ca="1">ROUND(IF(ISERROR(OFFSET(Tabella!$A$1,MATCH(H319,Tabella!$A:$A,0)-1,MATCH(J319,Tabella!$A$1:$AC$1,0)-1)=TRUE),0,+OFFSET(Tabella!$A$1,MATCH(H319,Tabella!$A:$A,0)-1,MATCH(J319,Tabella!$A$1:$AC$1,0)-1)),4)</f>
        <v>1.25</v>
      </c>
      <c r="L319" s="446">
        <f ca="1">ROUND(IF(ISERROR(OFFSET(Ottone!$A$1,MATCH(H319,Ottone!$A:$A,0)-1,MATCH(J319,Ottone!$A$1:$Z$1,0)-1)=TRUE),0,OFFSET(Ottone!$A$1,MATCH(H319,Ottone!$A:$A,0)-1,MATCH(J319,Ottone!$A$1:$Z$1,0)-1))*IF(E319="Ottone",1,0),4)</f>
        <v>0</v>
      </c>
      <c r="M319" s="446">
        <f ca="1">ROUND(IF(ISERROR(OFFSET(Rame!$A$1,MATCH(H319,Rame!$A:$A,0)-1,MATCH(J319,Rame!$A$1:$AA$1,0)-1)=TRUE),0,OFFSET(Rame!$A$1,MATCH(H319,Rame!$A:$A,0)-1,MATCH(J319,Rame!$A$1:$AA$1,0)-1))*IF(E319="Rame",1,0),4)</f>
        <v>0</v>
      </c>
      <c r="N319" s="446">
        <v>0</v>
      </c>
      <c r="O319" s="446">
        <v>1.5</v>
      </c>
      <c r="P319" s="446">
        <f ca="1">ROUND(+IF(ISERROR(OFFSET(Tabella!$G$1,MATCH(H319,Tabella!$G:$G,0)-1,MATCH(I319,Tabella!$G$1:$FG$1,0)-1)=TRUE),0,OFFSET(Tabella!$G$1,MATCH(H319,Tabella!$G:$G,0)-1,MATCH(I319,Tabella!$G$1:$AB$1,0)-1)),4)</f>
        <v>0</v>
      </c>
      <c r="Q319" s="446">
        <f ca="1">ROUND(IF(ISERROR(OFFSET(Ottone!$F$1,MATCH(H319,Ottone!$A:$A,0)-1,MATCH(I319,Ottone!$F$1:$FF$1,0)-1)=TRUE),0,OFFSET(Ottone!$F$1,MATCH(H319,Ottone!$A:$A,0)-1,MATCH(I319,Ottone!$F$1:$FF$1,0)-1))*IF(E319="Ottone",1,0),4)</f>
        <v>0</v>
      </c>
      <c r="R319" s="446">
        <f ca="1">ROUND(IF(ISERROR(OFFSET(Rame!$F$1,MATCH(H319,Rame!$F:$F,0)-1,MATCH(I319,Rame!$F$1:$FF$1,0)-1)=TRUE),0,OFFSET(Rame!$F$1,MATCH(H319,Rame!$F:$F,0)-1,MATCH(I319,Rame!$F$1:$FF$1,0)-1))*IF(E319="Rame",1,0),4)</f>
        <v>0</v>
      </c>
      <c r="S319" s="446">
        <f ca="1">ROUND(IF(ISERROR(OFFSET(Bronzo!$A$1,MATCH(H319,Bronzo!$A:$A,0)-1,MATCH(I319,Bronzo!$A$1:$AA$1,0)-1)=TRUE),0,OFFSET(Bronzo!$A$1,MATCH(H319,Bronzo!$A:$A,0)-1,MATCH(I319,Bronzo!$A$1:$AA$1,0)-1)),4)</f>
        <v>0</v>
      </c>
      <c r="T319" s="446">
        <f t="shared" ca="1" si="170"/>
        <v>0</v>
      </c>
      <c r="U319" s="443"/>
      <c r="V319" s="446">
        <v>0</v>
      </c>
      <c r="W319" s="449">
        <f t="shared" ca="1" si="171"/>
        <v>1.5</v>
      </c>
      <c r="X319" s="452">
        <f t="shared" si="169"/>
        <v>175</v>
      </c>
      <c r="Y319" s="440">
        <v>4.1500000000000004</v>
      </c>
      <c r="Z319" s="440">
        <f t="shared" ca="1" si="172"/>
        <v>0</v>
      </c>
      <c r="AA319" s="241">
        <v>46213</v>
      </c>
      <c r="AH319" s="242"/>
    </row>
    <row r="320" spans="2:46" ht="15.75" x14ac:dyDescent="0.25">
      <c r="B320" s="229" t="s">
        <v>587</v>
      </c>
      <c r="C320" s="235" t="s">
        <v>102</v>
      </c>
      <c r="D320" s="243">
        <v>1300</v>
      </c>
      <c r="E320" s="232" t="s">
        <v>4</v>
      </c>
      <c r="F320" s="435">
        <v>2.65</v>
      </c>
      <c r="G320" s="234">
        <v>46050</v>
      </c>
      <c r="H320" s="235" t="s">
        <v>23</v>
      </c>
      <c r="I320" s="235"/>
      <c r="J320" s="440">
        <v>7.0000000000000007E-2</v>
      </c>
      <c r="K320" s="443">
        <f ca="1">ROUND(IF(ISERROR(OFFSET(Tabella!$A$1,MATCH(H320,Tabella!$A:$A,0)-1,MATCH(J320,Tabella!$A$1:$AC$1,0)-1)=TRUE),0,+OFFSET(Tabella!$A$1,MATCH(H320,Tabella!$A:$A,0)-1,MATCH(J320,Tabella!$A$1:$AC$1,0)-1)),4)</f>
        <v>1.25</v>
      </c>
      <c r="L320" s="446">
        <f ca="1">ROUND(IF(ISERROR(OFFSET(Ottone!$A$1,MATCH(H320,Ottone!$A:$A,0)-1,MATCH(J320,Ottone!$A$1:$Z$1,0)-1)=TRUE),0,OFFSET(Ottone!$A$1,MATCH(H320,Ottone!$A:$A,0)-1,MATCH(J320,Ottone!$A$1:$Z$1,0)-1))*IF(E320="Ottone",1,0),4)</f>
        <v>0</v>
      </c>
      <c r="M320" s="446">
        <f ca="1">ROUND(IF(ISERROR(OFFSET(Rame!$A$1,MATCH(H320,Rame!$A:$A,0)-1,MATCH(J320,Rame!$A$1:$AA$1,0)-1)=TRUE),0,OFFSET(Rame!$A$1,MATCH(H320,Rame!$A:$A,0)-1,MATCH(J320,Rame!$A$1:$AA$1,0)-1))*IF(E320="Rame",1,0),4)</f>
        <v>0</v>
      </c>
      <c r="N320" s="446">
        <v>0</v>
      </c>
      <c r="O320" s="446">
        <v>1.5</v>
      </c>
      <c r="P320" s="446">
        <f ca="1">ROUND(+IF(ISERROR(OFFSET(Tabella!$G$1,MATCH(H320,Tabella!$G:$G,0)-1,MATCH(I320,Tabella!$G$1:$FG$1,0)-1)=TRUE),0,OFFSET(Tabella!$G$1,MATCH(H320,Tabella!$G:$G,0)-1,MATCH(I320,Tabella!$G$1:$AB$1,0)-1)),4)</f>
        <v>0</v>
      </c>
      <c r="Q320" s="446">
        <f ca="1">ROUND(IF(ISERROR(OFFSET(Ottone!$F$1,MATCH(H320,Ottone!$A:$A,0)-1,MATCH(I320,Ottone!$F$1:$FF$1,0)-1)=TRUE),0,OFFSET(Ottone!$F$1,MATCH(H320,Ottone!$A:$A,0)-1,MATCH(I320,Ottone!$F$1:$FF$1,0)-1))*IF(E320="Ottone",1,0),4)</f>
        <v>0</v>
      </c>
      <c r="R320" s="446">
        <f ca="1">ROUND(IF(ISERROR(OFFSET(Rame!$F$1,MATCH(H320,Rame!$F:$F,0)-1,MATCH(I320,Rame!$F$1:$FF$1,0)-1)=TRUE),0,OFFSET(Rame!$F$1,MATCH(H320,Rame!$F:$F,0)-1,MATCH(I320,Rame!$F$1:$FF$1,0)-1))*IF(E320="Rame",1,0),4)</f>
        <v>0</v>
      </c>
      <c r="S320" s="446">
        <f ca="1">ROUND(IF(ISERROR(OFFSET(Bronzo!$A$1,MATCH(H320,Bronzo!$A:$A,0)-1,MATCH(I320,Bronzo!$A$1:$AA$1,0)-1)=TRUE),0,OFFSET(Bronzo!$A$1,MATCH(H320,Bronzo!$A:$A,0)-1,MATCH(I320,Bronzo!$A$1:$AA$1,0)-1)),4)</f>
        <v>0</v>
      </c>
      <c r="T320" s="446">
        <f t="shared" ca="1" si="170"/>
        <v>0</v>
      </c>
      <c r="U320" s="443"/>
      <c r="V320" s="446">
        <v>0</v>
      </c>
      <c r="W320" s="449">
        <f t="shared" ca="1" si="171"/>
        <v>1.5</v>
      </c>
      <c r="X320" s="452">
        <f t="shared" si="169"/>
        <v>91</v>
      </c>
      <c r="Y320" s="440">
        <v>4.1500000000000004</v>
      </c>
      <c r="Z320" s="440">
        <f t="shared" ca="1" si="172"/>
        <v>0</v>
      </c>
      <c r="AA320" s="241">
        <v>46261</v>
      </c>
      <c r="AH320" s="242"/>
    </row>
    <row r="321" spans="2:34" ht="15.75" x14ac:dyDescent="0.25">
      <c r="B321" s="229" t="s">
        <v>584</v>
      </c>
      <c r="C321" s="235" t="s">
        <v>263</v>
      </c>
      <c r="D321" s="243">
        <v>600</v>
      </c>
      <c r="E321" s="232" t="s">
        <v>4</v>
      </c>
      <c r="F321" s="435">
        <v>2.88</v>
      </c>
      <c r="G321" s="234">
        <v>46135</v>
      </c>
      <c r="H321" s="235" t="s">
        <v>9</v>
      </c>
      <c r="I321" s="235"/>
      <c r="J321" s="440">
        <v>7.0000000000000007E-2</v>
      </c>
      <c r="K321" s="443">
        <f ca="1">ROUND(IF(ISERROR(OFFSET(Tabella!$A$1,MATCH(H321,Tabella!$A:$A,0)-1,MATCH(J321,Tabella!$A$1:$AC$1,0)-1)=TRUE),0,+OFFSET(Tabella!$A$1,MATCH(H321,Tabella!$A:$A,0)-1,MATCH(J321,Tabella!$A$1:$AC$1,0)-1)),4)</f>
        <v>1.6</v>
      </c>
      <c r="L321" s="446">
        <f ca="1">ROUND(IF(ISERROR(OFFSET(Ottone!$A$1,MATCH(H321,Ottone!$A:$A,0)-1,MATCH(J321,Ottone!$A$1:$Z$1,0)-1)=TRUE),0,OFFSET(Ottone!$A$1,MATCH(H321,Ottone!$A:$A,0)-1,MATCH(J321,Ottone!$A$1:$Z$1,0)-1))*IF(E321="Ottone",1,0),4)</f>
        <v>0</v>
      </c>
      <c r="M321" s="446">
        <f ca="1">ROUND(IF(ISERROR(OFFSET(Rame!$A$1,MATCH(H321,Rame!$A:$A,0)-1,MATCH(J321,Rame!$A$1:$AA$1,0)-1)=TRUE),0,OFFSET(Rame!$A$1,MATCH(H321,Rame!$A:$A,0)-1,MATCH(J321,Rame!$A$1:$AA$1,0)-1))*IF(E321="Rame",1,0),4)</f>
        <v>0</v>
      </c>
      <c r="N321" s="446">
        <v>0</v>
      </c>
      <c r="O321" s="446">
        <v>2.1800000000000002</v>
      </c>
      <c r="P321" s="446">
        <f ca="1">ROUND(+IF(ISERROR(OFFSET(Tabella!$G$1,MATCH(H321,Tabella!$G:$G,0)-1,MATCH(I321,Tabella!$G$1:$FG$1,0)-1)=TRUE),0,OFFSET(Tabella!$G$1,MATCH(H321,Tabella!$G:$G,0)-1,MATCH(I321,Tabella!$G$1:$AB$1,0)-1)),4)</f>
        <v>0</v>
      </c>
      <c r="Q321" s="446">
        <f ca="1">ROUND(IF(ISERROR(OFFSET(Ottone!$F$1,MATCH(H321,Ottone!$A:$A,0)-1,MATCH(I321,Ottone!$F$1:$FF$1,0)-1)=TRUE),0,OFFSET(Ottone!$F$1,MATCH(H321,Ottone!$A:$A,0)-1,MATCH(I321,Ottone!$F$1:$FF$1,0)-1))*IF(E321="Ottone",1,0),4)</f>
        <v>0</v>
      </c>
      <c r="R321" s="446">
        <f ca="1">ROUND(IF(ISERROR(OFFSET(Rame!$F$1,MATCH(H321,Rame!$F:$F,0)-1,MATCH(I321,Rame!$F$1:$FF$1,0)-1)=TRUE),0,OFFSET(Rame!$F$1,MATCH(H321,Rame!$F:$F,0)-1,MATCH(I321,Rame!$F$1:$FF$1,0)-1))*IF(E321="Rame",1,0),4)</f>
        <v>0</v>
      </c>
      <c r="S321" s="446">
        <f ca="1">ROUND(IF(ISERROR(OFFSET(Bronzo!$A$1,MATCH(H321,Bronzo!$A:$A,0)-1,MATCH(I321,Bronzo!$A$1:$AA$1,0)-1)=TRUE),0,OFFSET(Bronzo!$A$1,MATCH(H321,Bronzo!$A:$A,0)-1,MATCH(I321,Bronzo!$A$1:$AA$1,0)-1)),4)</f>
        <v>0</v>
      </c>
      <c r="T321" s="446">
        <f t="shared" ca="1" si="170"/>
        <v>0</v>
      </c>
      <c r="U321" s="443"/>
      <c r="V321" s="446">
        <v>0</v>
      </c>
      <c r="W321" s="449">
        <f t="shared" ca="1" si="171"/>
        <v>2.1800000000000002</v>
      </c>
      <c r="X321" s="452">
        <f t="shared" si="169"/>
        <v>42</v>
      </c>
      <c r="Y321" s="440">
        <v>5.01</v>
      </c>
      <c r="Z321" s="440">
        <f t="shared" ca="1" si="172"/>
        <v>-0.05</v>
      </c>
      <c r="AA321" s="241">
        <v>46154</v>
      </c>
      <c r="AH321" s="242"/>
    </row>
    <row r="322" spans="2:34" ht="15.75" x14ac:dyDescent="0.25">
      <c r="B322" s="229" t="s">
        <v>583</v>
      </c>
      <c r="C322" s="235" t="s">
        <v>263</v>
      </c>
      <c r="D322" s="243">
        <v>1000</v>
      </c>
      <c r="E322" s="232" t="s">
        <v>4</v>
      </c>
      <c r="F322" s="435">
        <v>2.88</v>
      </c>
      <c r="G322" s="234">
        <v>46135</v>
      </c>
      <c r="H322" s="235" t="s">
        <v>15</v>
      </c>
      <c r="I322" s="235"/>
      <c r="J322" s="440">
        <v>7.0000000000000007E-2</v>
      </c>
      <c r="K322" s="443">
        <f ca="1">ROUND(IF(ISERROR(OFFSET(Tabella!$A$1,MATCH(H322,Tabella!$A:$A,0)-1,MATCH(J322,Tabella!$A$1:$AC$1,0)-1)=TRUE),0,+OFFSET(Tabella!$A$1,MATCH(H322,Tabella!$A:$A,0)-1,MATCH(J322,Tabella!$A$1:$AC$1,0)-1)),4)</f>
        <v>1.4</v>
      </c>
      <c r="L322" s="446">
        <f ca="1">ROUND(IF(ISERROR(OFFSET(Ottone!$A$1,MATCH(H322,Ottone!$A:$A,0)-1,MATCH(J322,Ottone!$A$1:$Z$1,0)-1)=TRUE),0,OFFSET(Ottone!$A$1,MATCH(H322,Ottone!$A:$A,0)-1,MATCH(J322,Ottone!$A$1:$Z$1,0)-1))*IF(E322="Ottone",1,0),4)</f>
        <v>0</v>
      </c>
      <c r="M322" s="446">
        <f ca="1">ROUND(IF(ISERROR(OFFSET(Rame!$A$1,MATCH(H322,Rame!$A:$A,0)-1,MATCH(J322,Rame!$A$1:$AA$1,0)-1)=TRUE),0,OFFSET(Rame!$A$1,MATCH(H322,Rame!$A:$A,0)-1,MATCH(J322,Rame!$A$1:$AA$1,0)-1))*IF(E322="Rame",1,0),4)</f>
        <v>0</v>
      </c>
      <c r="N322" s="446">
        <v>0</v>
      </c>
      <c r="O322" s="446">
        <v>1.88</v>
      </c>
      <c r="P322" s="446">
        <f ca="1">ROUND(+IF(ISERROR(OFFSET(Tabella!$G$1,MATCH(H322,Tabella!$G:$G,0)-1,MATCH(I322,Tabella!$G$1:$FG$1,0)-1)=TRUE),0,OFFSET(Tabella!$G$1,MATCH(H322,Tabella!$G:$G,0)-1,MATCH(I322,Tabella!$G$1:$AB$1,0)-1)),4)</f>
        <v>0</v>
      </c>
      <c r="Q322" s="446">
        <f ca="1">ROUND(IF(ISERROR(OFFSET(Ottone!$F$1,MATCH(H322,Ottone!$A:$A,0)-1,MATCH(I322,Ottone!$F$1:$FF$1,0)-1)=TRUE),0,OFFSET(Ottone!$F$1,MATCH(H322,Ottone!$A:$A,0)-1,MATCH(I322,Ottone!$F$1:$FF$1,0)-1))*IF(E322="Ottone",1,0),4)</f>
        <v>0</v>
      </c>
      <c r="R322" s="446">
        <f ca="1">ROUND(IF(ISERROR(OFFSET(Rame!$F$1,MATCH(H322,Rame!$F:$F,0)-1,MATCH(I322,Rame!$F$1:$FF$1,0)-1)=TRUE),0,OFFSET(Rame!$F$1,MATCH(H322,Rame!$F:$F,0)-1,MATCH(I322,Rame!$F$1:$FF$1,0)-1))*IF(E322="Rame",1,0),4)</f>
        <v>0</v>
      </c>
      <c r="S322" s="446">
        <f ca="1">ROUND(IF(ISERROR(OFFSET(Bronzo!$A$1,MATCH(H322,Bronzo!$A:$A,0)-1,MATCH(I322,Bronzo!$A$1:$AA$1,0)-1)=TRUE),0,OFFSET(Bronzo!$A$1,MATCH(H322,Bronzo!$A:$A,0)-1,MATCH(I322,Bronzo!$A$1:$AA$1,0)-1)),4)</f>
        <v>0</v>
      </c>
      <c r="T322" s="446">
        <f t="shared" ca="1" si="170"/>
        <v>0</v>
      </c>
      <c r="U322" s="443"/>
      <c r="V322" s="446">
        <v>0</v>
      </c>
      <c r="W322" s="449">
        <f t="shared" ca="1" si="171"/>
        <v>1.88</v>
      </c>
      <c r="X322" s="452">
        <f t="shared" si="169"/>
        <v>70</v>
      </c>
      <c r="Y322" s="440">
        <v>4.71</v>
      </c>
      <c r="Z322" s="440">
        <f t="shared" ca="1" si="172"/>
        <v>-0.05</v>
      </c>
      <c r="AA322" s="241">
        <v>46168</v>
      </c>
      <c r="AH322" s="242"/>
    </row>
    <row r="323" spans="2:34" ht="15.75" x14ac:dyDescent="0.25">
      <c r="B323" s="229" t="s">
        <v>583</v>
      </c>
      <c r="C323" s="235" t="s">
        <v>263</v>
      </c>
      <c r="D323" s="243">
        <v>250</v>
      </c>
      <c r="E323" s="232" t="s">
        <v>4</v>
      </c>
      <c r="F323" s="435">
        <v>2.88</v>
      </c>
      <c r="G323" s="234">
        <v>46135</v>
      </c>
      <c r="H323" s="235" t="s">
        <v>9</v>
      </c>
      <c r="I323" s="235"/>
      <c r="J323" s="440">
        <v>7.0000000000000007E-2</v>
      </c>
      <c r="K323" s="443">
        <f ca="1">ROUND(IF(ISERROR(OFFSET(Tabella!$A$1,MATCH(H323,Tabella!$A:$A,0)-1,MATCH(J323,Tabella!$A$1:$AC$1,0)-1)=TRUE),0,+OFFSET(Tabella!$A$1,MATCH(H323,Tabella!$A:$A,0)-1,MATCH(J323,Tabella!$A$1:$AC$1,0)-1)),4)</f>
        <v>1.6</v>
      </c>
      <c r="L323" s="446">
        <f ca="1">ROUND(IF(ISERROR(OFFSET(Ottone!$A$1,MATCH(H323,Ottone!$A:$A,0)-1,MATCH(J323,Ottone!$A$1:$Z$1,0)-1)=TRUE),0,OFFSET(Ottone!$A$1,MATCH(H323,Ottone!$A:$A,0)-1,MATCH(J323,Ottone!$A$1:$Z$1,0)-1))*IF(E323="Ottone",1,0),4)</f>
        <v>0</v>
      </c>
      <c r="M323" s="446">
        <f ca="1">ROUND(IF(ISERROR(OFFSET(Rame!$A$1,MATCH(H323,Rame!$A:$A,0)-1,MATCH(J323,Rame!$A$1:$AA$1,0)-1)=TRUE),0,OFFSET(Rame!$A$1,MATCH(H323,Rame!$A:$A,0)-1,MATCH(J323,Rame!$A$1:$AA$1,0)-1))*IF(E323="Rame",1,0),4)</f>
        <v>0</v>
      </c>
      <c r="N323" s="446">
        <v>0</v>
      </c>
      <c r="O323" s="446">
        <v>2.1800000000000002</v>
      </c>
      <c r="P323" s="446">
        <f ca="1">ROUND(+IF(ISERROR(OFFSET(Tabella!$G$1,MATCH(H323,Tabella!$G:$G,0)-1,MATCH(I323,Tabella!$G$1:$FG$1,0)-1)=TRUE),0,OFFSET(Tabella!$G$1,MATCH(H323,Tabella!$G:$G,0)-1,MATCH(I323,Tabella!$G$1:$AB$1,0)-1)),4)</f>
        <v>0</v>
      </c>
      <c r="Q323" s="446">
        <f ca="1">ROUND(IF(ISERROR(OFFSET(Ottone!$F$1,MATCH(H323,Ottone!$A:$A,0)-1,MATCH(I323,Ottone!$F$1:$FF$1,0)-1)=TRUE),0,OFFSET(Ottone!$F$1,MATCH(H323,Ottone!$A:$A,0)-1,MATCH(I323,Ottone!$F$1:$FF$1,0)-1))*IF(E323="Ottone",1,0),4)</f>
        <v>0</v>
      </c>
      <c r="R323" s="446">
        <f ca="1">ROUND(IF(ISERROR(OFFSET(Rame!$F$1,MATCH(H323,Rame!$F:$F,0)-1,MATCH(I323,Rame!$F$1:$FF$1,0)-1)=TRUE),0,OFFSET(Rame!$F$1,MATCH(H323,Rame!$F:$F,0)-1,MATCH(I323,Rame!$F$1:$FF$1,0)-1))*IF(E323="Rame",1,0),4)</f>
        <v>0</v>
      </c>
      <c r="S323" s="446">
        <f ca="1">ROUND(IF(ISERROR(OFFSET(Bronzo!$A$1,MATCH(H323,Bronzo!$A:$A,0)-1,MATCH(I323,Bronzo!$A$1:$AA$1,0)-1)=TRUE),0,OFFSET(Bronzo!$A$1,MATCH(H323,Bronzo!$A:$A,0)-1,MATCH(I323,Bronzo!$A$1:$AA$1,0)-1)),4)</f>
        <v>0</v>
      </c>
      <c r="T323" s="446">
        <f t="shared" ca="1" si="170"/>
        <v>0</v>
      </c>
      <c r="U323" s="443"/>
      <c r="V323" s="446">
        <v>0</v>
      </c>
      <c r="W323" s="449">
        <f t="shared" ca="1" si="171"/>
        <v>2.1800000000000002</v>
      </c>
      <c r="X323" s="452">
        <f t="shared" si="169"/>
        <v>17.5</v>
      </c>
      <c r="Y323" s="440">
        <v>5.01</v>
      </c>
      <c r="Z323" s="440">
        <f t="shared" ca="1" si="172"/>
        <v>-0.05</v>
      </c>
      <c r="AA323" s="241">
        <v>46168</v>
      </c>
      <c r="AH323" s="242"/>
    </row>
    <row r="324" spans="2:34" ht="15.75" x14ac:dyDescent="0.25">
      <c r="B324" s="229" t="s">
        <v>583</v>
      </c>
      <c r="C324" s="235" t="s">
        <v>263</v>
      </c>
      <c r="D324" s="243">
        <v>700</v>
      </c>
      <c r="E324" s="232" t="s">
        <v>4</v>
      </c>
      <c r="F324" s="435">
        <v>2.88</v>
      </c>
      <c r="G324" s="234">
        <v>46135</v>
      </c>
      <c r="H324" s="235" t="s">
        <v>15</v>
      </c>
      <c r="I324" s="235"/>
      <c r="J324" s="440">
        <v>7.0000000000000007E-2</v>
      </c>
      <c r="K324" s="443">
        <f ca="1">ROUND(IF(ISERROR(OFFSET(Tabella!$A$1,MATCH(H324,Tabella!$A:$A,0)-1,MATCH(J324,Tabella!$A$1:$AC$1,0)-1)=TRUE),0,+OFFSET(Tabella!$A$1,MATCH(H324,Tabella!$A:$A,0)-1,MATCH(J324,Tabella!$A$1:$AC$1,0)-1)),4)</f>
        <v>1.4</v>
      </c>
      <c r="L324" s="446">
        <f ca="1">ROUND(IF(ISERROR(OFFSET(Ottone!$A$1,MATCH(H324,Ottone!$A:$A,0)-1,MATCH(J324,Ottone!$A$1:$Z$1,0)-1)=TRUE),0,OFFSET(Ottone!$A$1,MATCH(H324,Ottone!$A:$A,0)-1,MATCH(J324,Ottone!$A$1:$Z$1,0)-1))*IF(E324="Ottone",1,0),4)</f>
        <v>0</v>
      </c>
      <c r="M324" s="446">
        <f ca="1">ROUND(IF(ISERROR(OFFSET(Rame!$A$1,MATCH(H324,Rame!$A:$A,0)-1,MATCH(J324,Rame!$A$1:$AA$1,0)-1)=TRUE),0,OFFSET(Rame!$A$1,MATCH(H324,Rame!$A:$A,0)-1,MATCH(J324,Rame!$A$1:$AA$1,0)-1))*IF(E324="Rame",1,0),4)</f>
        <v>0</v>
      </c>
      <c r="N324" s="446">
        <v>0</v>
      </c>
      <c r="O324" s="446">
        <v>1.88</v>
      </c>
      <c r="P324" s="446">
        <f ca="1">ROUND(+IF(ISERROR(OFFSET(Tabella!$G$1,MATCH(H324,Tabella!$G:$G,0)-1,MATCH(I324,Tabella!$G$1:$FG$1,0)-1)=TRUE),0,OFFSET(Tabella!$G$1,MATCH(H324,Tabella!$G:$G,0)-1,MATCH(I324,Tabella!$G$1:$AB$1,0)-1)),4)</f>
        <v>0</v>
      </c>
      <c r="Q324" s="446">
        <f ca="1">ROUND(IF(ISERROR(OFFSET(Ottone!$F$1,MATCH(H324,Ottone!$A:$A,0)-1,MATCH(I324,Ottone!$F$1:$FF$1,0)-1)=TRUE),0,OFFSET(Ottone!$F$1,MATCH(H324,Ottone!$A:$A,0)-1,MATCH(I324,Ottone!$F$1:$FF$1,0)-1))*IF(E324="Ottone",1,0),4)</f>
        <v>0</v>
      </c>
      <c r="R324" s="446">
        <f ca="1">ROUND(IF(ISERROR(OFFSET(Rame!$F$1,MATCH(H324,Rame!$F:$F,0)-1,MATCH(I324,Rame!$F$1:$FF$1,0)-1)=TRUE),0,OFFSET(Rame!$F$1,MATCH(H324,Rame!$F:$F,0)-1,MATCH(I324,Rame!$F$1:$FF$1,0)-1))*IF(E324="Rame",1,0),4)</f>
        <v>0</v>
      </c>
      <c r="S324" s="446">
        <f ca="1">ROUND(IF(ISERROR(OFFSET(Bronzo!$A$1,MATCH(H324,Bronzo!$A:$A,0)-1,MATCH(I324,Bronzo!$A$1:$AA$1,0)-1)=TRUE),0,OFFSET(Bronzo!$A$1,MATCH(H324,Bronzo!$A:$A,0)-1,MATCH(I324,Bronzo!$A$1:$AA$1,0)-1)),4)</f>
        <v>0</v>
      </c>
      <c r="T324" s="446">
        <f t="shared" ca="1" si="170"/>
        <v>0</v>
      </c>
      <c r="U324" s="443"/>
      <c r="V324" s="446">
        <v>0</v>
      </c>
      <c r="W324" s="449">
        <f t="shared" ca="1" si="171"/>
        <v>1.88</v>
      </c>
      <c r="X324" s="452">
        <f t="shared" si="169"/>
        <v>49</v>
      </c>
      <c r="Y324" s="440">
        <v>4.71</v>
      </c>
      <c r="Z324" s="440">
        <f t="shared" ca="1" si="172"/>
        <v>-0.05</v>
      </c>
      <c r="AA324" s="241">
        <v>46168</v>
      </c>
      <c r="AH324" s="242"/>
    </row>
    <row r="325" spans="2:34" ht="15.75" x14ac:dyDescent="0.25">
      <c r="B325" s="229" t="s">
        <v>599</v>
      </c>
      <c r="C325" s="235" t="s">
        <v>263</v>
      </c>
      <c r="D325" s="243">
        <v>1000</v>
      </c>
      <c r="E325" s="232" t="s">
        <v>4</v>
      </c>
      <c r="F325" s="435">
        <v>2.88</v>
      </c>
      <c r="G325" s="234">
        <v>46136</v>
      </c>
      <c r="H325" s="235" t="s">
        <v>13</v>
      </c>
      <c r="I325" s="235"/>
      <c r="J325" s="440">
        <v>7.0000000000000007E-2</v>
      </c>
      <c r="K325" s="443">
        <f ca="1">ROUND(IF(ISERROR(OFFSET(Tabella!$A$1,MATCH(H325,Tabella!$A:$A,0)-1,MATCH(J325,Tabella!$A$1:$AC$1,0)-1)=TRUE),0,+OFFSET(Tabella!$A$1,MATCH(H325,Tabella!$A:$A,0)-1,MATCH(J325,Tabella!$A$1:$AC$1,0)-1)),4)</f>
        <v>1.4</v>
      </c>
      <c r="L325" s="446">
        <f ca="1">ROUND(IF(ISERROR(OFFSET(Ottone!$A$1,MATCH(H325,Ottone!$A:$A,0)-1,MATCH(J325,Ottone!$A$1:$Z$1,0)-1)=TRUE),0,OFFSET(Ottone!$A$1,MATCH(H325,Ottone!$A:$A,0)-1,MATCH(J325,Ottone!$A$1:$Z$1,0)-1))*IF(E325="Ottone",1,0),4)</f>
        <v>0</v>
      </c>
      <c r="M325" s="446">
        <f ca="1">ROUND(IF(ISERROR(OFFSET(Rame!$A$1,MATCH(H325,Rame!$A:$A,0)-1,MATCH(J325,Rame!$A$1:$AA$1,0)-1)=TRUE),0,OFFSET(Rame!$A$1,MATCH(H325,Rame!$A:$A,0)-1,MATCH(J325,Rame!$A$1:$AA$1,0)-1))*IF(E325="Rame",1,0),4)</f>
        <v>0</v>
      </c>
      <c r="N325" s="446">
        <v>0</v>
      </c>
      <c r="O325" s="446">
        <v>1.88</v>
      </c>
      <c r="P325" s="446">
        <f ca="1">ROUND(+IF(ISERROR(OFFSET(Tabella!$G$1,MATCH(H325,Tabella!$G:$G,0)-1,MATCH(I325,Tabella!$G$1:$FG$1,0)-1)=TRUE),0,OFFSET(Tabella!$G$1,MATCH(H325,Tabella!$G:$G,0)-1,MATCH(I325,Tabella!$G$1:$AB$1,0)-1)),4)</f>
        <v>0</v>
      </c>
      <c r="Q325" s="446">
        <f ca="1">ROUND(IF(ISERROR(OFFSET(Ottone!$F$1,MATCH(H325,Ottone!$A:$A,0)-1,MATCH(I325,Ottone!$F$1:$FF$1,0)-1)=TRUE),0,OFFSET(Ottone!$F$1,MATCH(H325,Ottone!$A:$A,0)-1,MATCH(I325,Ottone!$F$1:$FF$1,0)-1))*IF(E325="Ottone",1,0),4)</f>
        <v>0</v>
      </c>
      <c r="R325" s="446">
        <f ca="1">ROUND(IF(ISERROR(OFFSET(Rame!$F$1,MATCH(H325,Rame!$F:$F,0)-1,MATCH(I325,Rame!$F$1:$FF$1,0)-1)=TRUE),0,OFFSET(Rame!$F$1,MATCH(H325,Rame!$F:$F,0)-1,MATCH(I325,Rame!$F$1:$FF$1,0)-1))*IF(E325="Rame",1,0),4)</f>
        <v>0</v>
      </c>
      <c r="S325" s="446">
        <f ca="1">ROUND(IF(ISERROR(OFFSET(Bronzo!$A$1,MATCH(H325,Bronzo!$A:$A,0)-1,MATCH(I325,Bronzo!$A$1:$AA$1,0)-1)=TRUE),0,OFFSET(Bronzo!$A$1,MATCH(H325,Bronzo!$A:$A,0)-1,MATCH(I325,Bronzo!$A$1:$AA$1,0)-1)),4)</f>
        <v>0</v>
      </c>
      <c r="T325" s="446">
        <f t="shared" ca="1" si="170"/>
        <v>0</v>
      </c>
      <c r="U325" s="443"/>
      <c r="V325" s="446">
        <v>0</v>
      </c>
      <c r="W325" s="449">
        <f t="shared" ca="1" si="171"/>
        <v>1.88</v>
      </c>
      <c r="X325" s="452">
        <f t="shared" si="169"/>
        <v>70</v>
      </c>
      <c r="Y325" s="440">
        <v>4.71</v>
      </c>
      <c r="Z325" s="440">
        <f t="shared" ca="1" si="172"/>
        <v>-0.05</v>
      </c>
      <c r="AA325" s="241">
        <v>46168</v>
      </c>
      <c r="AH325" s="242"/>
    </row>
    <row r="326" spans="2:34" ht="15.75" x14ac:dyDescent="0.25">
      <c r="B326" s="229" t="s">
        <v>599</v>
      </c>
      <c r="C326" s="235" t="s">
        <v>263</v>
      </c>
      <c r="D326" s="243">
        <v>1200</v>
      </c>
      <c r="E326" s="232" t="s">
        <v>4</v>
      </c>
      <c r="F326" s="435">
        <v>2.88</v>
      </c>
      <c r="G326" s="234">
        <v>46136</v>
      </c>
      <c r="H326" s="235" t="s">
        <v>22</v>
      </c>
      <c r="I326" s="235"/>
      <c r="J326" s="440">
        <v>7.0000000000000007E-2</v>
      </c>
      <c r="K326" s="443">
        <f ca="1">ROUND(IF(ISERROR(OFFSET(Tabella!$A$1,MATCH(H326,Tabella!$A:$A,0)-1,MATCH(J326,Tabella!$A$1:$AC$1,0)-1)=TRUE),0,+OFFSET(Tabella!$A$1,MATCH(H326,Tabella!$A:$A,0)-1,MATCH(J326,Tabella!$A$1:$AC$1,0)-1)),4)</f>
        <v>1.25</v>
      </c>
      <c r="L326" s="446">
        <f ca="1">ROUND(IF(ISERROR(OFFSET(Ottone!$A$1,MATCH(H326,Ottone!$A:$A,0)-1,MATCH(J326,Ottone!$A$1:$Z$1,0)-1)=TRUE),0,OFFSET(Ottone!$A$1,MATCH(H326,Ottone!$A:$A,0)-1,MATCH(J326,Ottone!$A$1:$Z$1,0)-1))*IF(E326="Ottone",1,0),4)</f>
        <v>0</v>
      </c>
      <c r="M326" s="446">
        <f ca="1">ROUND(IF(ISERROR(OFFSET(Rame!$A$1,MATCH(H326,Rame!$A:$A,0)-1,MATCH(J326,Rame!$A$1:$AA$1,0)-1)=TRUE),0,OFFSET(Rame!$A$1,MATCH(H326,Rame!$A:$A,0)-1,MATCH(J326,Rame!$A$1:$AA$1,0)-1))*IF(E326="Rame",1,0),4)</f>
        <v>0</v>
      </c>
      <c r="N326" s="446">
        <v>0</v>
      </c>
      <c r="O326" s="446">
        <v>1.73</v>
      </c>
      <c r="P326" s="446">
        <f ca="1">ROUND(+IF(ISERROR(OFFSET(Tabella!$G$1,MATCH(H326,Tabella!$G:$G,0)-1,MATCH(I326,Tabella!$G$1:$FG$1,0)-1)=TRUE),0,OFFSET(Tabella!$G$1,MATCH(H326,Tabella!$G:$G,0)-1,MATCH(I326,Tabella!$G$1:$AB$1,0)-1)),4)</f>
        <v>0</v>
      </c>
      <c r="Q326" s="446">
        <f ca="1">ROUND(IF(ISERROR(OFFSET(Ottone!$F$1,MATCH(H326,Ottone!$A:$A,0)-1,MATCH(I326,Ottone!$F$1:$FF$1,0)-1)=TRUE),0,OFFSET(Ottone!$F$1,MATCH(H326,Ottone!$A:$A,0)-1,MATCH(I326,Ottone!$F$1:$FF$1,0)-1))*IF(E326="Ottone",1,0),4)</f>
        <v>0</v>
      </c>
      <c r="R326" s="446">
        <f ca="1">ROUND(IF(ISERROR(OFFSET(Rame!$F$1,MATCH(H326,Rame!$F:$F,0)-1,MATCH(I326,Rame!$F$1:$FF$1,0)-1)=TRUE),0,OFFSET(Rame!$F$1,MATCH(H326,Rame!$F:$F,0)-1,MATCH(I326,Rame!$F$1:$FF$1,0)-1))*IF(E326="Rame",1,0),4)</f>
        <v>0</v>
      </c>
      <c r="S326" s="446">
        <f ca="1">ROUND(IF(ISERROR(OFFSET(Bronzo!$A$1,MATCH(H326,Bronzo!$A:$A,0)-1,MATCH(I326,Bronzo!$A$1:$AA$1,0)-1)=TRUE),0,OFFSET(Bronzo!$A$1,MATCH(H326,Bronzo!$A:$A,0)-1,MATCH(I326,Bronzo!$A$1:$AA$1,0)-1)),4)</f>
        <v>0</v>
      </c>
      <c r="T326" s="446">
        <f t="shared" ca="1" si="170"/>
        <v>0</v>
      </c>
      <c r="U326" s="443"/>
      <c r="V326" s="446">
        <v>0</v>
      </c>
      <c r="W326" s="449">
        <f t="shared" ca="1" si="171"/>
        <v>1.73</v>
      </c>
      <c r="X326" s="452">
        <f t="shared" si="169"/>
        <v>84</v>
      </c>
      <c r="Y326" s="440">
        <v>4.5599999999999996</v>
      </c>
      <c r="Z326" s="440">
        <f t="shared" ca="1" si="172"/>
        <v>-0.05</v>
      </c>
      <c r="AA326" s="241">
        <v>46168</v>
      </c>
      <c r="AH326" s="242"/>
    </row>
    <row r="327" spans="2:34" ht="15.75" x14ac:dyDescent="0.25">
      <c r="B327" s="229" t="s">
        <v>599</v>
      </c>
      <c r="C327" s="235" t="s">
        <v>263</v>
      </c>
      <c r="D327" s="243">
        <v>2000</v>
      </c>
      <c r="E327" s="232" t="s">
        <v>4</v>
      </c>
      <c r="F327" s="435">
        <v>2.88</v>
      </c>
      <c r="G327" s="234">
        <v>46136</v>
      </c>
      <c r="H327" s="235" t="s">
        <v>322</v>
      </c>
      <c r="I327" s="235"/>
      <c r="J327" s="440">
        <v>7.0000000000000007E-2</v>
      </c>
      <c r="K327" s="443">
        <f ca="1">ROUND(IF(ISERROR(OFFSET(Tabella!$A$1,MATCH(H327,Tabella!$A:$A,0)-1,MATCH(J327,Tabella!$A$1:$AC$1,0)-1)=TRUE),0,+OFFSET(Tabella!$A$1,MATCH(H327,Tabella!$A:$A,0)-1,MATCH(J327,Tabella!$A$1:$AC$1,0)-1)),4)</f>
        <v>1.25</v>
      </c>
      <c r="L327" s="446">
        <f ca="1">ROUND(IF(ISERROR(OFFSET(Ottone!$A$1,MATCH(H327,Ottone!$A:$A,0)-1,MATCH(J327,Ottone!$A$1:$Z$1,0)-1)=TRUE),0,OFFSET(Ottone!$A$1,MATCH(H327,Ottone!$A:$A,0)-1,MATCH(J327,Ottone!$A$1:$Z$1,0)-1))*IF(E327="Ottone",1,0),4)</f>
        <v>0</v>
      </c>
      <c r="M327" s="446">
        <f ca="1">ROUND(IF(ISERROR(OFFSET(Rame!$A$1,MATCH(H327,Rame!$A:$A,0)-1,MATCH(J327,Rame!$A$1:$AA$1,0)-1)=TRUE),0,OFFSET(Rame!$A$1,MATCH(H327,Rame!$A:$A,0)-1,MATCH(J327,Rame!$A$1:$AA$1,0)-1))*IF(E327="Rame",1,0),4)</f>
        <v>0</v>
      </c>
      <c r="N327" s="446">
        <v>0</v>
      </c>
      <c r="O327" s="446">
        <v>1.73</v>
      </c>
      <c r="P327" s="446">
        <f ca="1">ROUND(+IF(ISERROR(OFFSET(Tabella!$G$1,MATCH(H327,Tabella!$G:$G,0)-1,MATCH(I327,Tabella!$G$1:$FG$1,0)-1)=TRUE),0,OFFSET(Tabella!$G$1,MATCH(H327,Tabella!$G:$G,0)-1,MATCH(I327,Tabella!$G$1:$AB$1,0)-1)),4)</f>
        <v>0</v>
      </c>
      <c r="Q327" s="446">
        <f ca="1">ROUND(IF(ISERROR(OFFSET(Ottone!$F$1,MATCH(H327,Ottone!$A:$A,0)-1,MATCH(I327,Ottone!$F$1:$FF$1,0)-1)=TRUE),0,OFFSET(Ottone!$F$1,MATCH(H327,Ottone!$A:$A,0)-1,MATCH(I327,Ottone!$F$1:$FF$1,0)-1))*IF(E327="Ottone",1,0),4)</f>
        <v>0</v>
      </c>
      <c r="R327" s="446">
        <f ca="1">ROUND(IF(ISERROR(OFFSET(Rame!$F$1,MATCH(H327,Rame!$F:$F,0)-1,MATCH(I327,Rame!$F$1:$FF$1,0)-1)=TRUE),0,OFFSET(Rame!$F$1,MATCH(H327,Rame!$F:$F,0)-1,MATCH(I327,Rame!$F$1:$FF$1,0)-1))*IF(E327="Rame",1,0),4)</f>
        <v>0</v>
      </c>
      <c r="S327" s="446">
        <f ca="1">ROUND(IF(ISERROR(OFFSET(Bronzo!$A$1,MATCH(H327,Bronzo!$A:$A,0)-1,MATCH(I327,Bronzo!$A$1:$AA$1,0)-1)=TRUE),0,OFFSET(Bronzo!$A$1,MATCH(H327,Bronzo!$A:$A,0)-1,MATCH(I327,Bronzo!$A$1:$AA$1,0)-1)),4)</f>
        <v>0</v>
      </c>
      <c r="T327" s="446">
        <f t="shared" ca="1" si="170"/>
        <v>0</v>
      </c>
      <c r="U327" s="443"/>
      <c r="V327" s="446">
        <v>0</v>
      </c>
      <c r="W327" s="449">
        <f t="shared" ca="1" si="171"/>
        <v>1.73</v>
      </c>
      <c r="X327" s="452">
        <f t="shared" si="169"/>
        <v>140</v>
      </c>
      <c r="Y327" s="440">
        <v>4.5599999999999996</v>
      </c>
      <c r="Z327" s="440">
        <f t="shared" ca="1" si="172"/>
        <v>-0.05</v>
      </c>
      <c r="AA327" s="241">
        <v>46168</v>
      </c>
      <c r="AH327" s="242"/>
    </row>
    <row r="328" spans="2:34" ht="15.75" x14ac:dyDescent="0.25">
      <c r="B328" s="229" t="s">
        <v>599</v>
      </c>
      <c r="C328" s="235" t="s">
        <v>263</v>
      </c>
      <c r="D328" s="243">
        <v>700</v>
      </c>
      <c r="E328" s="232" t="s">
        <v>4</v>
      </c>
      <c r="F328" s="435">
        <v>2.88</v>
      </c>
      <c r="G328" s="234">
        <v>46136</v>
      </c>
      <c r="H328" s="235" t="s">
        <v>9</v>
      </c>
      <c r="I328" s="235"/>
      <c r="J328" s="440">
        <v>7.0000000000000007E-2</v>
      </c>
      <c r="K328" s="443">
        <f ca="1">ROUND(IF(ISERROR(OFFSET(Tabella!$A$1,MATCH(H328,Tabella!$A:$A,0)-1,MATCH(J328,Tabella!$A$1:$AC$1,0)-1)=TRUE),0,+OFFSET(Tabella!$A$1,MATCH(H328,Tabella!$A:$A,0)-1,MATCH(J328,Tabella!$A$1:$AC$1,0)-1)),4)</f>
        <v>1.6</v>
      </c>
      <c r="L328" s="446">
        <f ca="1">ROUND(IF(ISERROR(OFFSET(Ottone!$A$1,MATCH(H328,Ottone!$A:$A,0)-1,MATCH(J328,Ottone!$A$1:$Z$1,0)-1)=TRUE),0,OFFSET(Ottone!$A$1,MATCH(H328,Ottone!$A:$A,0)-1,MATCH(J328,Ottone!$A$1:$Z$1,0)-1))*IF(E328="Ottone",1,0),4)</f>
        <v>0</v>
      </c>
      <c r="M328" s="446">
        <f ca="1">ROUND(IF(ISERROR(OFFSET(Rame!$A$1,MATCH(H328,Rame!$A:$A,0)-1,MATCH(J328,Rame!$A$1:$AA$1,0)-1)=TRUE),0,OFFSET(Rame!$A$1,MATCH(H328,Rame!$A:$A,0)-1,MATCH(J328,Rame!$A$1:$AA$1,0)-1))*IF(E328="Rame",1,0),4)</f>
        <v>0</v>
      </c>
      <c r="N328" s="446">
        <v>0</v>
      </c>
      <c r="O328" s="446">
        <v>2.0299999999999998</v>
      </c>
      <c r="P328" s="446">
        <f ca="1">ROUND(+IF(ISERROR(OFFSET(Tabella!$G$1,MATCH(H328,Tabella!$G:$G,0)-1,MATCH(I328,Tabella!$G$1:$FG$1,0)-1)=TRUE),0,OFFSET(Tabella!$G$1,MATCH(H328,Tabella!$G:$G,0)-1,MATCH(I328,Tabella!$G$1:$AB$1,0)-1)),4)</f>
        <v>0</v>
      </c>
      <c r="Q328" s="446">
        <f ca="1">ROUND(IF(ISERROR(OFFSET(Ottone!$F$1,MATCH(H328,Ottone!$A:$A,0)-1,MATCH(I328,Ottone!$F$1:$FF$1,0)-1)=TRUE),0,OFFSET(Ottone!$F$1,MATCH(H328,Ottone!$A:$A,0)-1,MATCH(I328,Ottone!$F$1:$FF$1,0)-1))*IF(E328="Ottone",1,0),4)</f>
        <v>0</v>
      </c>
      <c r="R328" s="446">
        <f ca="1">ROUND(IF(ISERROR(OFFSET(Rame!$F$1,MATCH(H328,Rame!$F:$F,0)-1,MATCH(I328,Rame!$F$1:$FF$1,0)-1)=TRUE),0,OFFSET(Rame!$F$1,MATCH(H328,Rame!$F:$F,0)-1,MATCH(I328,Rame!$F$1:$FF$1,0)-1))*IF(E328="Rame",1,0),4)</f>
        <v>0</v>
      </c>
      <c r="S328" s="446">
        <f ca="1">ROUND(IF(ISERROR(OFFSET(Bronzo!$A$1,MATCH(H328,Bronzo!$A:$A,0)-1,MATCH(I328,Bronzo!$A$1:$AA$1,0)-1)=TRUE),0,OFFSET(Bronzo!$A$1,MATCH(H328,Bronzo!$A:$A,0)-1,MATCH(I328,Bronzo!$A$1:$AA$1,0)-1)),4)</f>
        <v>0</v>
      </c>
      <c r="T328" s="446">
        <f t="shared" ca="1" si="170"/>
        <v>0</v>
      </c>
      <c r="U328" s="443"/>
      <c r="V328" s="446">
        <v>0</v>
      </c>
      <c r="W328" s="449">
        <f t="shared" ca="1" si="171"/>
        <v>2.0299999999999998</v>
      </c>
      <c r="X328" s="452">
        <f t="shared" si="169"/>
        <v>49</v>
      </c>
      <c r="Y328" s="440">
        <v>4.8600000000000003</v>
      </c>
      <c r="Z328" s="440">
        <f t="shared" ca="1" si="172"/>
        <v>-0.05</v>
      </c>
      <c r="AA328" s="241">
        <v>46154</v>
      </c>
      <c r="AH328" s="242"/>
    </row>
    <row r="329" spans="2:34" ht="15.75" x14ac:dyDescent="0.25">
      <c r="B329" s="229" t="s">
        <v>599</v>
      </c>
      <c r="C329" s="235" t="s">
        <v>263</v>
      </c>
      <c r="D329" s="243">
        <v>1200</v>
      </c>
      <c r="E329" s="232" t="s">
        <v>4</v>
      </c>
      <c r="F329" s="435">
        <v>2.88</v>
      </c>
      <c r="G329" s="234">
        <v>46136</v>
      </c>
      <c r="H329" s="235" t="s">
        <v>322</v>
      </c>
      <c r="I329" s="235"/>
      <c r="J329" s="440">
        <v>7.0000000000000007E-2</v>
      </c>
      <c r="K329" s="443">
        <f ca="1">ROUND(IF(ISERROR(OFFSET(Tabella!$A$1,MATCH(H329,Tabella!$A:$A,0)-1,MATCH(J329,Tabella!$A$1:$AC$1,0)-1)=TRUE),0,+OFFSET(Tabella!$A$1,MATCH(H329,Tabella!$A:$A,0)-1,MATCH(J329,Tabella!$A$1:$AC$1,0)-1)),4)</f>
        <v>1.25</v>
      </c>
      <c r="L329" s="446">
        <f ca="1">ROUND(IF(ISERROR(OFFSET(Ottone!$A$1,MATCH(H329,Ottone!$A:$A,0)-1,MATCH(J329,Ottone!$A$1:$Z$1,0)-1)=TRUE),0,OFFSET(Ottone!$A$1,MATCH(H329,Ottone!$A:$A,0)-1,MATCH(J329,Ottone!$A$1:$Z$1,0)-1))*IF(E329="Ottone",1,0),4)</f>
        <v>0</v>
      </c>
      <c r="M329" s="446">
        <f ca="1">ROUND(IF(ISERROR(OFFSET(Rame!$A$1,MATCH(H329,Rame!$A:$A,0)-1,MATCH(J329,Rame!$A$1:$AA$1,0)-1)=TRUE),0,OFFSET(Rame!$A$1,MATCH(H329,Rame!$A:$A,0)-1,MATCH(J329,Rame!$A$1:$AA$1,0)-1))*IF(E329="Rame",1,0),4)</f>
        <v>0</v>
      </c>
      <c r="N329" s="446">
        <v>0</v>
      </c>
      <c r="O329" s="446">
        <v>1.73</v>
      </c>
      <c r="P329" s="446">
        <f ca="1">ROUND(+IF(ISERROR(OFFSET(Tabella!$G$1,MATCH(H329,Tabella!$G:$G,0)-1,MATCH(I329,Tabella!$G$1:$FG$1,0)-1)=TRUE),0,OFFSET(Tabella!$G$1,MATCH(H329,Tabella!$G:$G,0)-1,MATCH(I329,Tabella!$G$1:$AB$1,0)-1)),4)</f>
        <v>0</v>
      </c>
      <c r="Q329" s="446">
        <f ca="1">ROUND(IF(ISERROR(OFFSET(Ottone!$F$1,MATCH(H329,Ottone!$A:$A,0)-1,MATCH(I329,Ottone!$F$1:$FF$1,0)-1)=TRUE),0,OFFSET(Ottone!$F$1,MATCH(H329,Ottone!$A:$A,0)-1,MATCH(I329,Ottone!$F$1:$FF$1,0)-1))*IF(E329="Ottone",1,0),4)</f>
        <v>0</v>
      </c>
      <c r="R329" s="446">
        <f ca="1">ROUND(IF(ISERROR(OFFSET(Rame!$F$1,MATCH(H329,Rame!$F:$F,0)-1,MATCH(I329,Rame!$F$1:$FF$1,0)-1)=TRUE),0,OFFSET(Rame!$F$1,MATCH(H329,Rame!$F:$F,0)-1,MATCH(I329,Rame!$F$1:$FF$1,0)-1))*IF(E329="Rame",1,0),4)</f>
        <v>0</v>
      </c>
      <c r="S329" s="446">
        <f ca="1">ROUND(IF(ISERROR(OFFSET(Bronzo!$A$1,MATCH(H329,Bronzo!$A:$A,0)-1,MATCH(I329,Bronzo!$A$1:$AA$1,0)-1)=TRUE),0,OFFSET(Bronzo!$A$1,MATCH(H329,Bronzo!$A:$A,0)-1,MATCH(I329,Bronzo!$A$1:$AA$1,0)-1)),4)</f>
        <v>0</v>
      </c>
      <c r="T329" s="446">
        <f t="shared" ca="1" si="170"/>
        <v>0</v>
      </c>
      <c r="U329" s="443"/>
      <c r="V329" s="446">
        <v>0</v>
      </c>
      <c r="W329" s="449">
        <f t="shared" ca="1" si="171"/>
        <v>1.73</v>
      </c>
      <c r="X329" s="452">
        <f t="shared" si="169"/>
        <v>84</v>
      </c>
      <c r="Y329" s="440">
        <v>4.5599999999999996</v>
      </c>
      <c r="Z329" s="440">
        <f t="shared" ca="1" si="172"/>
        <v>-0.05</v>
      </c>
      <c r="AA329" s="241">
        <v>46154</v>
      </c>
      <c r="AH329" s="242"/>
    </row>
    <row r="330" spans="2:34" ht="15.75" x14ac:dyDescent="0.25">
      <c r="B330" s="229" t="s">
        <v>599</v>
      </c>
      <c r="C330" s="235" t="s">
        <v>263</v>
      </c>
      <c r="D330" s="243">
        <v>2500</v>
      </c>
      <c r="E330" s="232" t="s">
        <v>4</v>
      </c>
      <c r="F330" s="435">
        <v>2.88</v>
      </c>
      <c r="G330" s="234">
        <v>46136</v>
      </c>
      <c r="H330" s="235" t="s">
        <v>243</v>
      </c>
      <c r="I330" s="235"/>
      <c r="J330" s="440">
        <v>7.0000000000000007E-2</v>
      </c>
      <c r="K330" s="443">
        <f ca="1">ROUND(IF(ISERROR(OFFSET(Tabella!$A$1,MATCH(H330,Tabella!$A:$A,0)-1,MATCH(J330,Tabella!$A$1:$AC$1,0)-1)=TRUE),0,+OFFSET(Tabella!$A$1,MATCH(H330,Tabella!$A:$A,0)-1,MATCH(J330,Tabella!$A$1:$AC$1,0)-1)),4)</f>
        <v>1.4</v>
      </c>
      <c r="L330" s="446">
        <f ca="1">ROUND(IF(ISERROR(OFFSET(Ottone!$A$1,MATCH(H330,Ottone!$A:$A,0)-1,MATCH(J330,Ottone!$A$1:$Z$1,0)-1)=TRUE),0,OFFSET(Ottone!$A$1,MATCH(H330,Ottone!$A:$A,0)-1,MATCH(J330,Ottone!$A$1:$Z$1,0)-1))*IF(E330="Ottone",1,0),4)</f>
        <v>0</v>
      </c>
      <c r="M330" s="446">
        <f ca="1">ROUND(IF(ISERROR(OFFSET(Rame!$A$1,MATCH(H330,Rame!$A:$A,0)-1,MATCH(J330,Rame!$A$1:$AA$1,0)-1)=TRUE),0,OFFSET(Rame!$A$1,MATCH(H330,Rame!$A:$A,0)-1,MATCH(J330,Rame!$A$1:$AA$1,0)-1))*IF(E330="Rame",1,0),4)</f>
        <v>0</v>
      </c>
      <c r="N330" s="446">
        <v>0</v>
      </c>
      <c r="O330" s="446">
        <v>1.83</v>
      </c>
      <c r="P330" s="446">
        <f ca="1">ROUND(+IF(ISERROR(OFFSET(Tabella!$G$1,MATCH(H330,Tabella!$G:$G,0)-1,MATCH(I330,Tabella!$G$1:$FG$1,0)-1)=TRUE),0,OFFSET(Tabella!$G$1,MATCH(H330,Tabella!$G:$G,0)-1,MATCH(I330,Tabella!$G$1:$AB$1,0)-1)),4)</f>
        <v>0</v>
      </c>
      <c r="Q330" s="446">
        <f ca="1">ROUND(IF(ISERROR(OFFSET(Ottone!$F$1,MATCH(H330,Ottone!$A:$A,0)-1,MATCH(I330,Ottone!$F$1:$FF$1,0)-1)=TRUE),0,OFFSET(Ottone!$F$1,MATCH(H330,Ottone!$A:$A,0)-1,MATCH(I330,Ottone!$F$1:$FF$1,0)-1))*IF(E330="Ottone",1,0),4)</f>
        <v>0</v>
      </c>
      <c r="R330" s="446">
        <f ca="1">ROUND(IF(ISERROR(OFFSET(Rame!$F$1,MATCH(H330,Rame!$F:$F,0)-1,MATCH(I330,Rame!$F$1:$FF$1,0)-1)=TRUE),0,OFFSET(Rame!$F$1,MATCH(H330,Rame!$F:$F,0)-1,MATCH(I330,Rame!$F$1:$FF$1,0)-1))*IF(E330="Rame",1,0),4)</f>
        <v>0</v>
      </c>
      <c r="S330" s="446">
        <f ca="1">ROUND(IF(ISERROR(OFFSET(Bronzo!$A$1,MATCH(H330,Bronzo!$A:$A,0)-1,MATCH(I330,Bronzo!$A$1:$AA$1,0)-1)=TRUE),0,OFFSET(Bronzo!$A$1,MATCH(H330,Bronzo!$A:$A,0)-1,MATCH(I330,Bronzo!$A$1:$AA$1,0)-1)),4)</f>
        <v>0</v>
      </c>
      <c r="T330" s="446">
        <f t="shared" ca="1" si="170"/>
        <v>0</v>
      </c>
      <c r="U330" s="443"/>
      <c r="V330" s="446">
        <v>0</v>
      </c>
      <c r="W330" s="449">
        <f t="shared" ca="1" si="171"/>
        <v>1.83</v>
      </c>
      <c r="X330" s="452">
        <f t="shared" si="169"/>
        <v>175</v>
      </c>
      <c r="Y330" s="440">
        <v>4.66</v>
      </c>
      <c r="Z330" s="440">
        <f t="shared" ca="1" si="172"/>
        <v>-0.05</v>
      </c>
      <c r="AA330" s="241">
        <v>46168</v>
      </c>
      <c r="AH330" s="242"/>
    </row>
    <row r="331" spans="2:34" ht="15.75" x14ac:dyDescent="0.25">
      <c r="B331" s="229" t="s">
        <v>600</v>
      </c>
      <c r="C331" s="235" t="s">
        <v>103</v>
      </c>
      <c r="D331" s="243">
        <v>1200</v>
      </c>
      <c r="E331" s="232" t="s">
        <v>4</v>
      </c>
      <c r="F331" s="435">
        <v>2.62</v>
      </c>
      <c r="G331" s="234">
        <v>46076</v>
      </c>
      <c r="H331" s="235" t="s">
        <v>27</v>
      </c>
      <c r="I331" s="235"/>
      <c r="J331" s="440">
        <v>7.0000000000000007E-2</v>
      </c>
      <c r="K331" s="443">
        <f ca="1">ROUND(IF(ISERROR(OFFSET(Tabella!$A$1,MATCH(H331,Tabella!$A:$A,0)-1,MATCH(J331,Tabella!$A$1:$AC$1,0)-1)=TRUE),0,+OFFSET(Tabella!$A$1,MATCH(H331,Tabella!$A:$A,0)-1,MATCH(J331,Tabella!$A$1:$AC$1,0)-1)),4)</f>
        <v>1.25</v>
      </c>
      <c r="L331" s="446">
        <f ca="1">ROUND(IF(ISERROR(OFFSET(Ottone!$A$1,MATCH(H331,Ottone!$A:$A,0)-1,MATCH(J331,Ottone!$A$1:$Z$1,0)-1)=TRUE),0,OFFSET(Ottone!$A$1,MATCH(H331,Ottone!$A:$A,0)-1,MATCH(J331,Ottone!$A$1:$Z$1,0)-1))*IF(E331="Ottone",1,0),4)</f>
        <v>0</v>
      </c>
      <c r="M331" s="446">
        <f ca="1">ROUND(IF(ISERROR(OFFSET(Rame!$A$1,MATCH(H331,Rame!$A:$A,0)-1,MATCH(J331,Rame!$A$1:$AA$1,0)-1)=TRUE),0,OFFSET(Rame!$A$1,MATCH(H331,Rame!$A:$A,0)-1,MATCH(J331,Rame!$A$1:$AA$1,0)-1))*IF(E331="Rame",1,0),4)</f>
        <v>0</v>
      </c>
      <c r="N331" s="446">
        <v>0</v>
      </c>
      <c r="O331" s="446">
        <v>1.5</v>
      </c>
      <c r="P331" s="446">
        <f ca="1">ROUND(+IF(ISERROR(OFFSET(Tabella!$G$1,MATCH(H331,Tabella!$G:$G,0)-1,MATCH(I331,Tabella!$G$1:$FG$1,0)-1)=TRUE),0,OFFSET(Tabella!$G$1,MATCH(H331,Tabella!$G:$G,0)-1,MATCH(I331,Tabella!$G$1:$AB$1,0)-1)),4)</f>
        <v>0</v>
      </c>
      <c r="Q331" s="446">
        <f ca="1">ROUND(IF(ISERROR(OFFSET(Ottone!$F$1,MATCH(H331,Ottone!$A:$A,0)-1,MATCH(I331,Ottone!$F$1:$FF$1,0)-1)=TRUE),0,OFFSET(Ottone!$F$1,MATCH(H331,Ottone!$A:$A,0)-1,MATCH(I331,Ottone!$F$1:$FF$1,0)-1))*IF(E331="Ottone",1,0),4)</f>
        <v>0</v>
      </c>
      <c r="R331" s="446">
        <f ca="1">ROUND(IF(ISERROR(OFFSET(Rame!$F$1,MATCH(H331,Rame!$F:$F,0)-1,MATCH(I331,Rame!$F$1:$FF$1,0)-1)=TRUE),0,OFFSET(Rame!$F$1,MATCH(H331,Rame!$F:$F,0)-1,MATCH(I331,Rame!$F$1:$FF$1,0)-1))*IF(E331="Rame",1,0),4)</f>
        <v>0</v>
      </c>
      <c r="S331" s="446">
        <f ca="1">ROUND(IF(ISERROR(OFFSET(Bronzo!$A$1,MATCH(H331,Bronzo!$A:$A,0)-1,MATCH(I331,Bronzo!$A$1:$AA$1,0)-1)=TRUE),0,OFFSET(Bronzo!$A$1,MATCH(H331,Bronzo!$A:$A,0)-1,MATCH(I331,Bronzo!$A$1:$AA$1,0)-1)),4)</f>
        <v>0</v>
      </c>
      <c r="T331" s="446">
        <f t="shared" ca="1" si="170"/>
        <v>0</v>
      </c>
      <c r="U331" s="443"/>
      <c r="V331" s="446">
        <v>0</v>
      </c>
      <c r="W331" s="449">
        <f t="shared" ca="1" si="171"/>
        <v>1.5</v>
      </c>
      <c r="X331" s="452">
        <f t="shared" si="169"/>
        <v>84</v>
      </c>
      <c r="Y331" s="440">
        <v>4.0999999999999996</v>
      </c>
      <c r="Z331" s="440">
        <f t="shared" ca="1" si="172"/>
        <v>-0.02</v>
      </c>
      <c r="AA331" s="241">
        <v>46156</v>
      </c>
      <c r="AH331" s="242"/>
    </row>
    <row r="332" spans="2:34" ht="15.75" x14ac:dyDescent="0.25">
      <c r="B332" s="229" t="s">
        <v>601</v>
      </c>
      <c r="C332" s="235" t="s">
        <v>208</v>
      </c>
      <c r="D332" s="243">
        <v>500</v>
      </c>
      <c r="E332" s="232" t="s">
        <v>4</v>
      </c>
      <c r="F332" s="435">
        <v>3.07</v>
      </c>
      <c r="G332" s="234">
        <v>46136</v>
      </c>
      <c r="H332" s="235" t="s">
        <v>25</v>
      </c>
      <c r="I332" s="235"/>
      <c r="J332" s="440">
        <v>7.0000000000000007E-2</v>
      </c>
      <c r="K332" s="443">
        <f ca="1">ROUND(IF(ISERROR(OFFSET(Tabella!$A$1,MATCH(H332,Tabella!$A:$A,0)-1,MATCH(J332,Tabella!$A$1:$AC$1,0)-1)=TRUE),0,+OFFSET(Tabella!$A$1,MATCH(H332,Tabella!$A:$A,0)-1,MATCH(J332,Tabella!$A$1:$AC$1,0)-1)),4)</f>
        <v>1.25</v>
      </c>
      <c r="L332" s="446">
        <f ca="1">ROUND(IF(ISERROR(OFFSET(Ottone!$A$1,MATCH(H332,Ottone!$A:$A,0)-1,MATCH(J332,Ottone!$A$1:$Z$1,0)-1)=TRUE),0,OFFSET(Ottone!$A$1,MATCH(H332,Ottone!$A:$A,0)-1,MATCH(J332,Ottone!$A$1:$Z$1,0)-1))*IF(E332="Ottone",1,0),4)</f>
        <v>0</v>
      </c>
      <c r="M332" s="446">
        <f ca="1">ROUND(IF(ISERROR(OFFSET(Rame!$A$1,MATCH(H332,Rame!$A:$A,0)-1,MATCH(J332,Rame!$A$1:$AA$1,0)-1)=TRUE),0,OFFSET(Rame!$A$1,MATCH(H332,Rame!$A:$A,0)-1,MATCH(J332,Rame!$A$1:$AA$1,0)-1))*IF(E332="Rame",1,0),4)</f>
        <v>0</v>
      </c>
      <c r="N332" s="446">
        <v>0</v>
      </c>
      <c r="O332" s="446">
        <v>1.73</v>
      </c>
      <c r="P332" s="446">
        <f ca="1">ROUND(+IF(ISERROR(OFFSET(Tabella!$G$1,MATCH(H332,Tabella!$G:$G,0)-1,MATCH(I332,Tabella!$G$1:$FG$1,0)-1)=TRUE),0,OFFSET(Tabella!$G$1,MATCH(H332,Tabella!$G:$G,0)-1,MATCH(I332,Tabella!$G$1:$AB$1,0)-1)),4)</f>
        <v>0</v>
      </c>
      <c r="Q332" s="446">
        <f ca="1">ROUND(IF(ISERROR(OFFSET(Ottone!$F$1,MATCH(H332,Ottone!$A:$A,0)-1,MATCH(I332,Ottone!$F$1:$FF$1,0)-1)=TRUE),0,OFFSET(Ottone!$F$1,MATCH(H332,Ottone!$A:$A,0)-1,MATCH(I332,Ottone!$F$1:$FF$1,0)-1))*IF(E332="Ottone",1,0),4)</f>
        <v>0</v>
      </c>
      <c r="R332" s="446">
        <f ca="1">ROUND(IF(ISERROR(OFFSET(Rame!$F$1,MATCH(H332,Rame!$F:$F,0)-1,MATCH(I332,Rame!$F$1:$FF$1,0)-1)=TRUE),0,OFFSET(Rame!$F$1,MATCH(H332,Rame!$F:$F,0)-1,MATCH(I332,Rame!$F$1:$FF$1,0)-1))*IF(E332="Rame",1,0),4)</f>
        <v>0</v>
      </c>
      <c r="S332" s="446">
        <f ca="1">ROUND(IF(ISERROR(OFFSET(Bronzo!$A$1,MATCH(H332,Bronzo!$A:$A,0)-1,MATCH(I332,Bronzo!$A$1:$AA$1,0)-1)=TRUE),0,OFFSET(Bronzo!$A$1,MATCH(H332,Bronzo!$A:$A,0)-1,MATCH(I332,Bronzo!$A$1:$AA$1,0)-1)),4)</f>
        <v>0</v>
      </c>
      <c r="T332" s="446">
        <f t="shared" ca="1" si="170"/>
        <v>0</v>
      </c>
      <c r="U332" s="443"/>
      <c r="V332" s="446">
        <v>0</v>
      </c>
      <c r="W332" s="449">
        <f t="shared" ca="1" si="171"/>
        <v>1.73</v>
      </c>
      <c r="X332" s="452">
        <f t="shared" si="169"/>
        <v>35</v>
      </c>
      <c r="Y332" s="440">
        <v>4.8</v>
      </c>
      <c r="Z332" s="440">
        <f t="shared" ca="1" si="172"/>
        <v>0</v>
      </c>
      <c r="AA332" s="241">
        <v>46168</v>
      </c>
      <c r="AH332" s="242"/>
    </row>
    <row r="333" spans="2:34" ht="15.75" x14ac:dyDescent="0.25">
      <c r="B333" s="229" t="s">
        <v>594</v>
      </c>
      <c r="C333" s="235" t="s">
        <v>401</v>
      </c>
      <c r="D333" s="243">
        <v>400</v>
      </c>
      <c r="E333" s="232" t="s">
        <v>6</v>
      </c>
      <c r="F333" s="435">
        <v>11.29</v>
      </c>
      <c r="G333" s="234">
        <v>46139</v>
      </c>
      <c r="H333" s="235" t="s">
        <v>14</v>
      </c>
      <c r="I333" s="235"/>
      <c r="J333" s="440">
        <v>0.15</v>
      </c>
      <c r="K333" s="443">
        <f ca="1">ROUND(IF(ISERROR(OFFSET(Tabella!$A$1,MATCH(H333,Tabella!$A:$A,0)-1,MATCH(J333,Tabella!$A$1:$AC$1,0)-1)=TRUE),0,+OFFSET(Tabella!$A$1,MATCH(H333,Tabella!$A:$A,0)-1,MATCH(J333,Tabella!$A$1:$AC$1,0)-1)),4)</f>
        <v>0</v>
      </c>
      <c r="L333" s="446">
        <f ca="1">ROUND(IF(ISERROR(OFFSET(Ottone!$A$1,MATCH(H333,Ottone!$A:$A,0)-1,MATCH(J333,Ottone!$A$1:$Z$1,0)-1)=TRUE),0,OFFSET(Ottone!$A$1,MATCH(H333,Ottone!$A:$A,0)-1,MATCH(J333,Ottone!$A$1:$Z$1,0)-1))*IF(E333="Ottone",1,0),4)</f>
        <v>0</v>
      </c>
      <c r="M333" s="446">
        <f ca="1">ROUND(IF(ISERROR(OFFSET(Rame!$A$1,MATCH(H333,Rame!$A:$A,0)-1,MATCH(J333,Rame!$A$1:$AA$1,0)-1)=TRUE),0,OFFSET(Rame!$A$1,MATCH(H333,Rame!$A:$A,0)-1,MATCH(J333,Rame!$A$1:$AA$1,0)-1))*IF(E333="Rame",1,0),4)</f>
        <v>1</v>
      </c>
      <c r="N333" s="446">
        <v>0</v>
      </c>
      <c r="O333" s="446">
        <f ca="1">ROUND(SUM(K333:N333),4)</f>
        <v>1</v>
      </c>
      <c r="P333" s="446">
        <f ca="1">ROUND(+IF(ISERROR(OFFSET(Tabella!$G$1,MATCH(H333,Tabella!$G:$G,0)-1,MATCH(I333,Tabella!$G$1:$FG$1,0)-1)=TRUE),0,OFFSET(Tabella!$G$1,MATCH(H333,Tabella!$G:$G,0)-1,MATCH(I333,Tabella!$G$1:$AB$1,0)-1)),4)</f>
        <v>0</v>
      </c>
      <c r="Q333" s="446">
        <f ca="1">ROUND(IF(ISERROR(OFFSET(Ottone!$F$1,MATCH(H333,Ottone!$A:$A,0)-1,MATCH(I333,Ottone!$F$1:$FF$1,0)-1)=TRUE),0,OFFSET(Ottone!$F$1,MATCH(H333,Ottone!$A:$A,0)-1,MATCH(I333,Ottone!$F$1:$FF$1,0)-1))*IF(E333="Ottone",1,0),4)</f>
        <v>0</v>
      </c>
      <c r="R333" s="446">
        <f ca="1">ROUND(IF(ISERROR(OFFSET(Rame!$F$1,MATCH(H333,Rame!$F:$F,0)-1,MATCH(I333,Rame!$F$1:$FF$1,0)-1)=TRUE),0,OFFSET(Rame!$F$1,MATCH(H333,Rame!$F:$F,0)-1,MATCH(I333,Rame!$F$1:$FF$1,0)-1))*IF(E333="Rame",1,0),4)</f>
        <v>0</v>
      </c>
      <c r="S333" s="446">
        <f ca="1">ROUND(IF(ISERROR(OFFSET(Bronzo!$A$1,MATCH(H333,Bronzo!$A:$A,0)-1,MATCH(I333,Bronzo!$A$1:$AA$1,0)-1)=TRUE),0,OFFSET(Bronzo!$A$1,MATCH(H333,Bronzo!$A:$A,0)-1,MATCH(I333,Bronzo!$A$1:$AA$1,0)-1)),4)</f>
        <v>0</v>
      </c>
      <c r="T333" s="446">
        <f t="shared" ca="1" si="170"/>
        <v>0</v>
      </c>
      <c r="U333" s="443"/>
      <c r="V333" s="446">
        <v>0</v>
      </c>
      <c r="W333" s="449">
        <f t="shared" ca="1" si="171"/>
        <v>1</v>
      </c>
      <c r="X333" s="452">
        <f t="shared" si="169"/>
        <v>60</v>
      </c>
      <c r="Y333" s="440">
        <v>15.05</v>
      </c>
      <c r="Z333" s="440">
        <f t="shared" ca="1" si="172"/>
        <v>2.76</v>
      </c>
      <c r="AA333" s="241">
        <v>46161</v>
      </c>
      <c r="AH333" s="242"/>
    </row>
    <row r="334" spans="2:34" ht="15.75" x14ac:dyDescent="0.25">
      <c r="B334" s="229" t="s">
        <v>605</v>
      </c>
      <c r="C334" s="235" t="s">
        <v>260</v>
      </c>
      <c r="D334" s="243">
        <v>917</v>
      </c>
      <c r="E334" s="232" t="s">
        <v>4</v>
      </c>
      <c r="F334" s="435">
        <v>3.02</v>
      </c>
      <c r="G334" s="234">
        <v>46133</v>
      </c>
      <c r="H334" s="235" t="s">
        <v>244</v>
      </c>
      <c r="I334" s="235"/>
      <c r="J334" s="440">
        <v>7.0000000000000007E-2</v>
      </c>
      <c r="K334" s="443">
        <f ca="1">ROUND(IF(ISERROR(OFFSET(Tabella!$A$1,MATCH(H334,Tabella!$A:$A,0)-1,MATCH(J334,Tabella!$A$1:$AC$1,0)-1)=TRUE),0,+OFFSET(Tabella!$A$1,MATCH(H334,Tabella!$A:$A,0)-1,MATCH(J334,Tabella!$A$1:$AC$1,0)-1)),4)</f>
        <v>1.35</v>
      </c>
      <c r="L334" s="446">
        <f ca="1">ROUND(IF(ISERROR(OFFSET(Ottone!$A$1,MATCH(H334,Ottone!$A:$A,0)-1,MATCH(J334,Ottone!$A$1:$Z$1,0)-1)=TRUE),0,OFFSET(Ottone!$A$1,MATCH(H334,Ottone!$A:$A,0)-1,MATCH(J334,Ottone!$A$1:$Z$1,0)-1))*IF(E334="Ottone",1,0),4)</f>
        <v>0</v>
      </c>
      <c r="M334" s="446">
        <f ca="1">ROUND(IF(ISERROR(OFFSET(Rame!$A$1,MATCH(H334,Rame!$A:$A,0)-1,MATCH(J334,Rame!$A$1:$AA$1,0)-1)=TRUE),0,OFFSET(Rame!$A$1,MATCH(H334,Rame!$A:$A,0)-1,MATCH(J334,Rame!$A$1:$AA$1,0)-1))*IF(E334="Rame",1,0),4)</f>
        <v>0</v>
      </c>
      <c r="N334" s="446">
        <v>0</v>
      </c>
      <c r="O334" s="446">
        <v>1.78</v>
      </c>
      <c r="P334" s="446">
        <f ca="1">ROUND(+IF(ISERROR(OFFSET(Tabella!$G$1,MATCH(H334,Tabella!$G:$G,0)-1,MATCH(I334,Tabella!$G$1:$FG$1,0)-1)=TRUE),0,OFFSET(Tabella!$G$1,MATCH(H334,Tabella!$G:$G,0)-1,MATCH(I334,Tabella!$G$1:$AB$1,0)-1)),4)</f>
        <v>0</v>
      </c>
      <c r="Q334" s="446">
        <f ca="1">ROUND(IF(ISERROR(OFFSET(Ottone!$F$1,MATCH(H334,Ottone!$A:$A,0)-1,MATCH(I334,Ottone!$F$1:$FF$1,0)-1)=TRUE),0,OFFSET(Ottone!$F$1,MATCH(H334,Ottone!$A:$A,0)-1,MATCH(I334,Ottone!$F$1:$FF$1,0)-1))*IF(E334="Ottone",1,0),4)</f>
        <v>0</v>
      </c>
      <c r="R334" s="446">
        <f ca="1">ROUND(IF(ISERROR(OFFSET(Rame!$F$1,MATCH(H334,Rame!$F:$F,0)-1,MATCH(I334,Rame!$F$1:$FF$1,0)-1)=TRUE),0,OFFSET(Rame!$F$1,MATCH(H334,Rame!$F:$F,0)-1,MATCH(I334,Rame!$F$1:$FF$1,0)-1))*IF(E334="Rame",1,0),4)</f>
        <v>0</v>
      </c>
      <c r="S334" s="446">
        <f ca="1">ROUND(IF(ISERROR(OFFSET(Bronzo!$A$1,MATCH(H334,Bronzo!$A:$A,0)-1,MATCH(I334,Bronzo!$A$1:$AA$1,0)-1)=TRUE),0,OFFSET(Bronzo!$A$1,MATCH(H334,Bronzo!$A:$A,0)-1,MATCH(I334,Bronzo!$A$1:$AA$1,0)-1)),4)</f>
        <v>0</v>
      </c>
      <c r="T334" s="446">
        <f t="shared" ca="1" si="170"/>
        <v>0</v>
      </c>
      <c r="U334" s="443"/>
      <c r="V334" s="446">
        <v>0</v>
      </c>
      <c r="W334" s="449">
        <f t="shared" ca="1" si="171"/>
        <v>1.78</v>
      </c>
      <c r="X334" s="452">
        <f t="shared" si="169"/>
        <v>64.19</v>
      </c>
      <c r="Y334" s="440">
        <v>4.8</v>
      </c>
      <c r="Z334" s="440">
        <f t="shared" ca="1" si="172"/>
        <v>0</v>
      </c>
      <c r="AA334" s="241">
        <v>46156</v>
      </c>
      <c r="AH334" s="242"/>
    </row>
    <row r="335" spans="2:34" ht="15.75" x14ac:dyDescent="0.25">
      <c r="B335" s="229"/>
      <c r="C335" s="235" t="s">
        <v>260</v>
      </c>
      <c r="D335" s="243">
        <v>577</v>
      </c>
      <c r="E335" s="232" t="s">
        <v>4</v>
      </c>
      <c r="F335" s="435">
        <v>3.02</v>
      </c>
      <c r="G335" s="234">
        <v>46133</v>
      </c>
      <c r="H335" s="235" t="s">
        <v>24</v>
      </c>
      <c r="I335" s="235"/>
      <c r="J335" s="440">
        <v>7.0000000000000007E-2</v>
      </c>
      <c r="K335" s="443">
        <f ca="1">ROUND(IF(ISERROR(OFFSET(Tabella!$A$1,MATCH(H335,Tabella!$A:$A,0)-1,MATCH(J335,Tabella!$A$1:$AC$1,0)-1)=TRUE),0,+OFFSET(Tabella!$A$1,MATCH(H335,Tabella!$A:$A,0)-1,MATCH(J335,Tabella!$A$1:$AC$1,0)-1)),4)</f>
        <v>1.25</v>
      </c>
      <c r="L335" s="446">
        <f ca="1">ROUND(IF(ISERROR(OFFSET(Ottone!$A$1,MATCH(H335,Ottone!$A:$A,0)-1,MATCH(J335,Ottone!$A$1:$Z$1,0)-1)=TRUE),0,OFFSET(Ottone!$A$1,MATCH(H335,Ottone!$A:$A,0)-1,MATCH(J335,Ottone!$A$1:$Z$1,0)-1))*IF(E335="Ottone",1,0),4)</f>
        <v>0</v>
      </c>
      <c r="M335" s="446">
        <f ca="1">ROUND(IF(ISERROR(OFFSET(Rame!$A$1,MATCH(H335,Rame!$A:$A,0)-1,MATCH(J335,Rame!$A$1:$AA$1,0)-1)=TRUE),0,OFFSET(Rame!$A$1,MATCH(H335,Rame!$A:$A,0)-1,MATCH(J335,Rame!$A$1:$AA$1,0)-1))*IF(E335="Rame",1,0),4)</f>
        <v>0</v>
      </c>
      <c r="N335" s="446">
        <v>0</v>
      </c>
      <c r="O335" s="446">
        <v>1.73</v>
      </c>
      <c r="P335" s="446">
        <f ca="1">ROUND(+IF(ISERROR(OFFSET(Tabella!$G$1,MATCH(H335,Tabella!$G:$G,0)-1,MATCH(I335,Tabella!$G$1:$FG$1,0)-1)=TRUE),0,OFFSET(Tabella!$G$1,MATCH(H335,Tabella!$G:$G,0)-1,MATCH(I335,Tabella!$G$1:$AB$1,0)-1)),4)</f>
        <v>0</v>
      </c>
      <c r="Q335" s="446">
        <f ca="1">ROUND(IF(ISERROR(OFFSET(Ottone!$F$1,MATCH(H335,Ottone!$A:$A,0)-1,MATCH(I335,Ottone!$F$1:$FF$1,0)-1)=TRUE),0,OFFSET(Ottone!$F$1,MATCH(H335,Ottone!$A:$A,0)-1,MATCH(I335,Ottone!$F$1:$FF$1,0)-1))*IF(E335="Ottone",1,0),4)</f>
        <v>0</v>
      </c>
      <c r="R335" s="446">
        <f ca="1">ROUND(IF(ISERROR(OFFSET(Rame!$F$1,MATCH(H335,Rame!$F:$F,0)-1,MATCH(I335,Rame!$F$1:$FF$1,0)-1)=TRUE),0,OFFSET(Rame!$F$1,MATCH(H335,Rame!$F:$F,0)-1,MATCH(I335,Rame!$F$1:$FF$1,0)-1))*IF(E335="Rame",1,0),4)</f>
        <v>0</v>
      </c>
      <c r="S335" s="446">
        <f ca="1">ROUND(IF(ISERROR(OFFSET(Bronzo!$A$1,MATCH(H335,Bronzo!$A:$A,0)-1,MATCH(I335,Bronzo!$A$1:$AA$1,0)-1)=TRUE),0,OFFSET(Bronzo!$A$1,MATCH(H335,Bronzo!$A:$A,0)-1,MATCH(I335,Bronzo!$A$1:$AA$1,0)-1)),4)</f>
        <v>0</v>
      </c>
      <c r="T335" s="446">
        <f t="shared" ca="1" si="170"/>
        <v>0</v>
      </c>
      <c r="U335" s="443"/>
      <c r="V335" s="446">
        <v>0</v>
      </c>
      <c r="W335" s="449">
        <f t="shared" ca="1" si="171"/>
        <v>1.73</v>
      </c>
      <c r="X335" s="452">
        <f t="shared" si="169"/>
        <v>40.39</v>
      </c>
      <c r="Y335" s="440">
        <v>4.8</v>
      </c>
      <c r="Z335" s="440">
        <f t="shared" ca="1" si="172"/>
        <v>0.05</v>
      </c>
      <c r="AA335" s="241"/>
      <c r="AH335" s="242"/>
    </row>
    <row r="336" spans="2:34" ht="15.75" x14ac:dyDescent="0.25">
      <c r="B336" s="229" t="s">
        <v>595</v>
      </c>
      <c r="C336" s="235" t="s">
        <v>108</v>
      </c>
      <c r="D336" s="243">
        <v>500</v>
      </c>
      <c r="E336" s="232" t="s">
        <v>4</v>
      </c>
      <c r="F336" s="435">
        <v>2.98</v>
      </c>
      <c r="G336" s="234">
        <v>46097</v>
      </c>
      <c r="H336" s="235" t="s">
        <v>308</v>
      </c>
      <c r="I336" s="235"/>
      <c r="J336" s="440">
        <v>7.0000000000000007E-2</v>
      </c>
      <c r="K336" s="443">
        <f ca="1">ROUND(IF(ISERROR(OFFSET(Tabella!$A$1,MATCH(H336,Tabella!$A:$A,0)-1,MATCH(J336,Tabella!$A$1:$AC$1,0)-1)=TRUE),0,+OFFSET(Tabella!$A$1,MATCH(H336,Tabella!$A:$A,0)-1,MATCH(J336,Tabella!$A$1:$AC$1,0)-1)),4)</f>
        <v>1.25</v>
      </c>
      <c r="L336" s="446">
        <f ca="1">ROUND(IF(ISERROR(OFFSET(Ottone!$A$1,MATCH(H336,Ottone!$A:$A,0)-1,MATCH(J336,Ottone!$A$1:$Z$1,0)-1)=TRUE),0,OFFSET(Ottone!$A$1,MATCH(H336,Ottone!$A:$A,0)-1,MATCH(J336,Ottone!$A$1:$Z$1,0)-1))*IF(E336="Ottone",1,0),4)</f>
        <v>0</v>
      </c>
      <c r="M336" s="446">
        <f ca="1">ROUND(IF(ISERROR(OFFSET(Rame!$A$1,MATCH(H336,Rame!$A:$A,0)-1,MATCH(J336,Rame!$A$1:$AA$1,0)-1)=TRUE),0,OFFSET(Rame!$A$1,MATCH(H336,Rame!$A:$A,0)-1,MATCH(J336,Rame!$A$1:$AA$1,0)-1))*IF(E336="Rame",1,0),4)</f>
        <v>0</v>
      </c>
      <c r="N336" s="446">
        <v>0</v>
      </c>
      <c r="O336" s="446">
        <v>1.6</v>
      </c>
      <c r="P336" s="446">
        <f ca="1">ROUND(+IF(ISERROR(OFFSET(Tabella!$G$1,MATCH(H336,Tabella!$G:$G,0)-1,MATCH(I336,Tabella!$G$1:$FG$1,0)-1)=TRUE),0,OFFSET(Tabella!$G$1,MATCH(H336,Tabella!$G:$G,0)-1,MATCH(I336,Tabella!$G$1:$AB$1,0)-1)),4)</f>
        <v>0</v>
      </c>
      <c r="Q336" s="446">
        <f ca="1">ROUND(IF(ISERROR(OFFSET(Ottone!$F$1,MATCH(H336,Ottone!$A:$A,0)-1,MATCH(I336,Ottone!$F$1:$FF$1,0)-1)=TRUE),0,OFFSET(Ottone!$F$1,MATCH(H336,Ottone!$A:$A,0)-1,MATCH(I336,Ottone!$F$1:$FF$1,0)-1))*IF(E336="Ottone",1,0),4)</f>
        <v>0</v>
      </c>
      <c r="R336" s="446">
        <f ca="1">ROUND(IF(ISERROR(OFFSET(Rame!$F$1,MATCH(H336,Rame!$F:$F,0)-1,MATCH(I336,Rame!$F$1:$FF$1,0)-1)=TRUE),0,OFFSET(Rame!$F$1,MATCH(H336,Rame!$F:$F,0)-1,MATCH(I336,Rame!$F$1:$FF$1,0)-1))*IF(E336="Rame",1,0),4)</f>
        <v>0</v>
      </c>
      <c r="S336" s="446">
        <f ca="1">ROUND(IF(ISERROR(OFFSET(Bronzo!$A$1,MATCH(H336,Bronzo!$A:$A,0)-1,MATCH(I336,Bronzo!$A$1:$AA$1,0)-1)=TRUE),0,OFFSET(Bronzo!$A$1,MATCH(H336,Bronzo!$A:$A,0)-1,MATCH(I336,Bronzo!$A$1:$AA$1,0)-1)),4)</f>
        <v>0</v>
      </c>
      <c r="T336" s="446">
        <f t="shared" ca="1" si="170"/>
        <v>0</v>
      </c>
      <c r="U336" s="443"/>
      <c r="V336" s="446">
        <v>0</v>
      </c>
      <c r="W336" s="449">
        <f t="shared" ca="1" si="171"/>
        <v>1.6</v>
      </c>
      <c r="X336" s="452">
        <f t="shared" si="169"/>
        <v>35</v>
      </c>
      <c r="Y336" s="440">
        <v>4.58</v>
      </c>
      <c r="Z336" s="440">
        <f t="shared" ca="1" si="172"/>
        <v>0</v>
      </c>
      <c r="AA336" s="241">
        <v>46156</v>
      </c>
      <c r="AH336" s="242"/>
    </row>
    <row r="337" spans="2:34" ht="15.75" x14ac:dyDescent="0.25">
      <c r="B337" s="229" t="s">
        <v>595</v>
      </c>
      <c r="C337" s="235" t="s">
        <v>108</v>
      </c>
      <c r="D337" s="243">
        <v>1000</v>
      </c>
      <c r="E337" s="232" t="s">
        <v>4</v>
      </c>
      <c r="F337" s="435">
        <v>2.98</v>
      </c>
      <c r="G337" s="234">
        <v>46097</v>
      </c>
      <c r="H337" s="235" t="s">
        <v>308</v>
      </c>
      <c r="I337" s="235"/>
      <c r="J337" s="440">
        <v>7.0000000000000007E-2</v>
      </c>
      <c r="K337" s="443">
        <f ca="1">ROUND(IF(ISERROR(OFFSET(Tabella!$A$1,MATCH(H337,Tabella!$A:$A,0)-1,MATCH(J337,Tabella!$A$1:$AC$1,0)-1)=TRUE),0,+OFFSET(Tabella!$A$1,MATCH(H337,Tabella!$A:$A,0)-1,MATCH(J337,Tabella!$A$1:$AC$1,0)-1)),4)</f>
        <v>1.25</v>
      </c>
      <c r="L337" s="446">
        <f ca="1">ROUND(IF(ISERROR(OFFSET(Ottone!$A$1,MATCH(H337,Ottone!$A:$A,0)-1,MATCH(J337,Ottone!$A$1:$Z$1,0)-1)=TRUE),0,OFFSET(Ottone!$A$1,MATCH(H337,Ottone!$A:$A,0)-1,MATCH(J337,Ottone!$A$1:$Z$1,0)-1))*IF(E337="Ottone",1,0),4)</f>
        <v>0</v>
      </c>
      <c r="M337" s="446">
        <f ca="1">ROUND(IF(ISERROR(OFFSET(Rame!$A$1,MATCH(H337,Rame!$A:$A,0)-1,MATCH(J337,Rame!$A$1:$AA$1,0)-1)=TRUE),0,OFFSET(Rame!$A$1,MATCH(H337,Rame!$A:$A,0)-1,MATCH(J337,Rame!$A$1:$AA$1,0)-1))*IF(E337="Rame",1,0),4)</f>
        <v>0</v>
      </c>
      <c r="N337" s="446">
        <v>0</v>
      </c>
      <c r="O337" s="446">
        <v>1.6</v>
      </c>
      <c r="P337" s="446">
        <f ca="1">ROUND(+IF(ISERROR(OFFSET(Tabella!$G$1,MATCH(H337,Tabella!$G:$G,0)-1,MATCH(I337,Tabella!$G$1:$FG$1,0)-1)=TRUE),0,OFFSET(Tabella!$G$1,MATCH(H337,Tabella!$G:$G,0)-1,MATCH(I337,Tabella!$G$1:$AB$1,0)-1)),4)</f>
        <v>0</v>
      </c>
      <c r="Q337" s="446">
        <f ca="1">ROUND(IF(ISERROR(OFFSET(Ottone!$F$1,MATCH(H337,Ottone!$A:$A,0)-1,MATCH(I337,Ottone!$F$1:$FF$1,0)-1)=TRUE),0,OFFSET(Ottone!$F$1,MATCH(H337,Ottone!$A:$A,0)-1,MATCH(I337,Ottone!$F$1:$FF$1,0)-1))*IF(E337="Ottone",1,0),4)</f>
        <v>0</v>
      </c>
      <c r="R337" s="446">
        <f ca="1">ROUND(IF(ISERROR(OFFSET(Rame!$F$1,MATCH(H337,Rame!$F:$F,0)-1,MATCH(I337,Rame!$F$1:$FF$1,0)-1)=TRUE),0,OFFSET(Rame!$F$1,MATCH(H337,Rame!$F:$F,0)-1,MATCH(I337,Rame!$F$1:$FF$1,0)-1))*IF(E337="Rame",1,0),4)</f>
        <v>0</v>
      </c>
      <c r="S337" s="446">
        <f ca="1">ROUND(IF(ISERROR(OFFSET(Bronzo!$A$1,MATCH(H337,Bronzo!$A:$A,0)-1,MATCH(I337,Bronzo!$A$1:$AA$1,0)-1)=TRUE),0,OFFSET(Bronzo!$A$1,MATCH(H337,Bronzo!$A:$A,0)-1,MATCH(I337,Bronzo!$A$1:$AA$1,0)-1)),4)</f>
        <v>0</v>
      </c>
      <c r="T337" s="446">
        <f t="shared" ca="1" si="170"/>
        <v>0</v>
      </c>
      <c r="U337" s="443"/>
      <c r="V337" s="446">
        <v>0</v>
      </c>
      <c r="W337" s="449">
        <f t="shared" ca="1" si="171"/>
        <v>1.6</v>
      </c>
      <c r="X337" s="452">
        <f t="shared" ref="X337:X400" si="174">ROUND(+J337*D337,4)</f>
        <v>70</v>
      </c>
      <c r="Y337" s="440">
        <v>4.58</v>
      </c>
      <c r="Z337" s="440">
        <f t="shared" ca="1" si="172"/>
        <v>0</v>
      </c>
      <c r="AA337" s="241">
        <v>46156</v>
      </c>
      <c r="AH337" s="242"/>
    </row>
    <row r="338" spans="2:34" ht="15.75" x14ac:dyDescent="0.25">
      <c r="B338" s="229" t="s">
        <v>595</v>
      </c>
      <c r="C338" s="235" t="s">
        <v>108</v>
      </c>
      <c r="D338" s="243">
        <v>1200</v>
      </c>
      <c r="E338" s="232" t="s">
        <v>4</v>
      </c>
      <c r="F338" s="435">
        <v>2.98</v>
      </c>
      <c r="G338" s="234">
        <v>46097</v>
      </c>
      <c r="H338" s="235" t="s">
        <v>308</v>
      </c>
      <c r="I338" s="235"/>
      <c r="J338" s="440">
        <v>7.0000000000000007E-2</v>
      </c>
      <c r="K338" s="443">
        <f ca="1">ROUND(IF(ISERROR(OFFSET(Tabella!$A$1,MATCH(H338,Tabella!$A:$A,0)-1,MATCH(J338,Tabella!$A$1:$AC$1,0)-1)=TRUE),0,+OFFSET(Tabella!$A$1,MATCH(H338,Tabella!$A:$A,0)-1,MATCH(J338,Tabella!$A$1:$AC$1,0)-1)),4)</f>
        <v>1.25</v>
      </c>
      <c r="L338" s="446">
        <f ca="1">ROUND(IF(ISERROR(OFFSET(Ottone!$A$1,MATCH(H338,Ottone!$A:$A,0)-1,MATCH(J338,Ottone!$A$1:$Z$1,0)-1)=TRUE),0,OFFSET(Ottone!$A$1,MATCH(H338,Ottone!$A:$A,0)-1,MATCH(J338,Ottone!$A$1:$Z$1,0)-1))*IF(E338="Ottone",1,0),4)</f>
        <v>0</v>
      </c>
      <c r="M338" s="446">
        <f ca="1">ROUND(IF(ISERROR(OFFSET(Rame!$A$1,MATCH(H338,Rame!$A:$A,0)-1,MATCH(J338,Rame!$A$1:$AA$1,0)-1)=TRUE),0,OFFSET(Rame!$A$1,MATCH(H338,Rame!$A:$A,0)-1,MATCH(J338,Rame!$A$1:$AA$1,0)-1))*IF(E338="Rame",1,0),4)</f>
        <v>0</v>
      </c>
      <c r="N338" s="446">
        <v>0</v>
      </c>
      <c r="O338" s="446">
        <v>1.6</v>
      </c>
      <c r="P338" s="446">
        <f ca="1">ROUND(+IF(ISERROR(OFFSET(Tabella!$G$1,MATCH(H338,Tabella!$G:$G,0)-1,MATCH(I338,Tabella!$G$1:$FG$1,0)-1)=TRUE),0,OFFSET(Tabella!$G$1,MATCH(H338,Tabella!$G:$G,0)-1,MATCH(I338,Tabella!$G$1:$AB$1,0)-1)),4)</f>
        <v>0</v>
      </c>
      <c r="Q338" s="446">
        <f ca="1">ROUND(IF(ISERROR(OFFSET(Ottone!$F$1,MATCH(H338,Ottone!$A:$A,0)-1,MATCH(I338,Ottone!$F$1:$FF$1,0)-1)=TRUE),0,OFFSET(Ottone!$F$1,MATCH(H338,Ottone!$A:$A,0)-1,MATCH(I338,Ottone!$F$1:$FF$1,0)-1))*IF(E338="Ottone",1,0),4)</f>
        <v>0</v>
      </c>
      <c r="R338" s="446">
        <f ca="1">ROUND(IF(ISERROR(OFFSET(Rame!$F$1,MATCH(H338,Rame!$F:$F,0)-1,MATCH(I338,Rame!$F$1:$FF$1,0)-1)=TRUE),0,OFFSET(Rame!$F$1,MATCH(H338,Rame!$F:$F,0)-1,MATCH(I338,Rame!$F$1:$FF$1,0)-1))*IF(E338="Rame",1,0),4)</f>
        <v>0</v>
      </c>
      <c r="S338" s="446">
        <f ca="1">ROUND(IF(ISERROR(OFFSET(Bronzo!$A$1,MATCH(H338,Bronzo!$A:$A,0)-1,MATCH(I338,Bronzo!$A$1:$AA$1,0)-1)=TRUE),0,OFFSET(Bronzo!$A$1,MATCH(H338,Bronzo!$A:$A,0)-1,MATCH(I338,Bronzo!$A$1:$AA$1,0)-1)),4)</f>
        <v>0</v>
      </c>
      <c r="T338" s="446">
        <f t="shared" ca="1" si="170"/>
        <v>0</v>
      </c>
      <c r="U338" s="443"/>
      <c r="V338" s="446">
        <v>0</v>
      </c>
      <c r="W338" s="449">
        <f t="shared" ca="1" si="171"/>
        <v>1.6</v>
      </c>
      <c r="X338" s="452">
        <f t="shared" si="174"/>
        <v>84</v>
      </c>
      <c r="Y338" s="440">
        <v>4.58</v>
      </c>
      <c r="Z338" s="440">
        <f t="shared" ca="1" si="172"/>
        <v>0</v>
      </c>
      <c r="AA338" s="241">
        <v>46156</v>
      </c>
      <c r="AH338" s="242"/>
    </row>
    <row r="339" spans="2:34" ht="15.75" x14ac:dyDescent="0.25">
      <c r="B339" s="229" t="s">
        <v>596</v>
      </c>
      <c r="C339" s="235" t="s">
        <v>108</v>
      </c>
      <c r="D339" s="243">
        <v>500</v>
      </c>
      <c r="E339" s="232" t="s">
        <v>4</v>
      </c>
      <c r="F339" s="435">
        <v>2.98</v>
      </c>
      <c r="G339" s="234">
        <v>46097</v>
      </c>
      <c r="H339" s="235" t="s">
        <v>29</v>
      </c>
      <c r="I339" s="235"/>
      <c r="J339" s="440">
        <v>7.0000000000000007E-2</v>
      </c>
      <c r="K339" s="443">
        <f ca="1">ROUND(IF(ISERROR(OFFSET(Tabella!$A$1,MATCH(H339,Tabella!$A:$A,0)-1,MATCH(J339,Tabella!$A$1:$AC$1,0)-1)=TRUE),0,+OFFSET(Tabella!$A$1,MATCH(H339,Tabella!$A:$A,0)-1,MATCH(J339,Tabella!$A$1:$AC$1,0)-1)),4)</f>
        <v>1.3</v>
      </c>
      <c r="L339" s="446">
        <f ca="1">ROUND(IF(ISERROR(OFFSET(Ottone!$A$1,MATCH(H339,Ottone!$A:$A,0)-1,MATCH(J339,Ottone!$A$1:$Z$1,0)-1)=TRUE),0,OFFSET(Ottone!$A$1,MATCH(H339,Ottone!$A:$A,0)-1,MATCH(J339,Ottone!$A$1:$Z$1,0)-1))*IF(E339="Ottone",1,0),4)</f>
        <v>0</v>
      </c>
      <c r="M339" s="446">
        <f ca="1">ROUND(IF(ISERROR(OFFSET(Rame!$A$1,MATCH(H339,Rame!$A:$A,0)-1,MATCH(J339,Rame!$A$1:$AA$1,0)-1)=TRUE),0,OFFSET(Rame!$A$1,MATCH(H339,Rame!$A:$A,0)-1,MATCH(J339,Rame!$A$1:$AA$1,0)-1))*IF(E339="Rame",1,0),4)</f>
        <v>0</v>
      </c>
      <c r="N339" s="446">
        <v>0</v>
      </c>
      <c r="O339" s="446">
        <v>1.6</v>
      </c>
      <c r="P339" s="446">
        <f ca="1">ROUND(+IF(ISERROR(OFFSET(Tabella!$G$1,MATCH(H339,Tabella!$G:$G,0)-1,MATCH(I339,Tabella!$G$1:$FG$1,0)-1)=TRUE),0,OFFSET(Tabella!$G$1,MATCH(H339,Tabella!$G:$G,0)-1,MATCH(I339,Tabella!$G$1:$AB$1,0)-1)),4)</f>
        <v>0</v>
      </c>
      <c r="Q339" s="446">
        <f ca="1">ROUND(IF(ISERROR(OFFSET(Ottone!$F$1,MATCH(H339,Ottone!$A:$A,0)-1,MATCH(I339,Ottone!$F$1:$FF$1,0)-1)=TRUE),0,OFFSET(Ottone!$F$1,MATCH(H339,Ottone!$A:$A,0)-1,MATCH(I339,Ottone!$F$1:$FF$1,0)-1))*IF(E339="Ottone",1,0),4)</f>
        <v>0</v>
      </c>
      <c r="R339" s="446">
        <f ca="1">ROUND(IF(ISERROR(OFFSET(Rame!$F$1,MATCH(H339,Rame!$F:$F,0)-1,MATCH(I339,Rame!$F$1:$FF$1,0)-1)=TRUE),0,OFFSET(Rame!$F$1,MATCH(H339,Rame!$F:$F,0)-1,MATCH(I339,Rame!$F$1:$FF$1,0)-1))*IF(E339="Rame",1,0),4)</f>
        <v>0</v>
      </c>
      <c r="S339" s="446">
        <f ca="1">ROUND(IF(ISERROR(OFFSET(Bronzo!$A$1,MATCH(H339,Bronzo!$A:$A,0)-1,MATCH(I339,Bronzo!$A$1:$AA$1,0)-1)=TRUE),0,OFFSET(Bronzo!$A$1,MATCH(H339,Bronzo!$A:$A,0)-1,MATCH(I339,Bronzo!$A$1:$AA$1,0)-1)),4)</f>
        <v>0</v>
      </c>
      <c r="T339" s="446">
        <f t="shared" ca="1" si="170"/>
        <v>0</v>
      </c>
      <c r="U339" s="443"/>
      <c r="V339" s="446">
        <v>0</v>
      </c>
      <c r="W339" s="449">
        <f t="shared" ca="1" si="171"/>
        <v>1.6</v>
      </c>
      <c r="X339" s="452">
        <f t="shared" si="174"/>
        <v>35</v>
      </c>
      <c r="Y339" s="440">
        <v>4.58</v>
      </c>
      <c r="Z339" s="440">
        <f t="shared" ca="1" si="172"/>
        <v>0</v>
      </c>
      <c r="AA339" s="241">
        <v>46157</v>
      </c>
      <c r="AH339" s="242"/>
    </row>
    <row r="340" spans="2:34" ht="15.75" x14ac:dyDescent="0.25">
      <c r="B340" s="229" t="s">
        <v>597</v>
      </c>
      <c r="C340" s="235" t="s">
        <v>443</v>
      </c>
      <c r="D340" s="243">
        <v>1500</v>
      </c>
      <c r="E340" s="232" t="s">
        <v>4</v>
      </c>
      <c r="F340" s="435">
        <v>2.62</v>
      </c>
      <c r="G340" s="234">
        <v>46076</v>
      </c>
      <c r="H340" s="235" t="s">
        <v>15</v>
      </c>
      <c r="I340" s="235"/>
      <c r="J340" s="440">
        <v>7.0000000000000007E-2</v>
      </c>
      <c r="K340" s="443">
        <f ca="1">ROUND(IF(ISERROR(OFFSET(Tabella!$A$1,MATCH(H340,Tabella!$A:$A,0)-1,MATCH(J340,Tabella!$A$1:$AC$1,0)-1)=TRUE),0,+OFFSET(Tabella!$A$1,MATCH(H340,Tabella!$A:$A,0)-1,MATCH(J340,Tabella!$A$1:$AC$1,0)-1)),4)</f>
        <v>1.4</v>
      </c>
      <c r="L340" s="446">
        <f ca="1">ROUND(IF(ISERROR(OFFSET(Ottone!$A$1,MATCH(H340,Ottone!$A:$A,0)-1,MATCH(J340,Ottone!$A$1:$Z$1,0)-1)=TRUE),0,OFFSET(Ottone!$A$1,MATCH(H340,Ottone!$A:$A,0)-1,MATCH(J340,Ottone!$A$1:$Z$1,0)-1))*IF(E340="Ottone",1,0),4)</f>
        <v>0</v>
      </c>
      <c r="M340" s="446">
        <f ca="1">ROUND(IF(ISERROR(OFFSET(Rame!$A$1,MATCH(H340,Rame!$A:$A,0)-1,MATCH(J340,Rame!$A$1:$AA$1,0)-1)=TRUE),0,OFFSET(Rame!$A$1,MATCH(H340,Rame!$A:$A,0)-1,MATCH(J340,Rame!$A$1:$AA$1,0)-1))*IF(E340="Rame",1,0),4)</f>
        <v>0</v>
      </c>
      <c r="N340" s="446">
        <v>0</v>
      </c>
      <c r="O340" s="446">
        <f ca="1">ROUND(SUM(K340:N340),4)</f>
        <v>1.4</v>
      </c>
      <c r="P340" s="446">
        <f ca="1">ROUND(+IF(ISERROR(OFFSET(Tabella!$G$1,MATCH(H340,Tabella!$G:$G,0)-1,MATCH(I340,Tabella!$G$1:$FG$1,0)-1)=TRUE),0,OFFSET(Tabella!$G$1,MATCH(H340,Tabella!$G:$G,0)-1,MATCH(I340,Tabella!$G$1:$AB$1,0)-1)),4)</f>
        <v>0</v>
      </c>
      <c r="Q340" s="446">
        <f ca="1">ROUND(IF(ISERROR(OFFSET(Ottone!$F$1,MATCH(H340,Ottone!$A:$A,0)-1,MATCH(I340,Ottone!$F$1:$FF$1,0)-1)=TRUE),0,OFFSET(Ottone!$F$1,MATCH(H340,Ottone!$A:$A,0)-1,MATCH(I340,Ottone!$F$1:$FF$1,0)-1))*IF(E340="Ottone",1,0),4)</f>
        <v>0</v>
      </c>
      <c r="R340" s="446">
        <f ca="1">ROUND(IF(ISERROR(OFFSET(Rame!$F$1,MATCH(H340,Rame!$F:$F,0)-1,MATCH(I340,Rame!$F$1:$FF$1,0)-1)=TRUE),0,OFFSET(Rame!$F$1,MATCH(H340,Rame!$F:$F,0)-1,MATCH(I340,Rame!$F$1:$FF$1,0)-1))*IF(E340="Rame",1,0),4)</f>
        <v>0</v>
      </c>
      <c r="S340" s="446">
        <f ca="1">ROUND(IF(ISERROR(OFFSET(Bronzo!$A$1,MATCH(H340,Bronzo!$A:$A,0)-1,MATCH(I340,Bronzo!$A$1:$AA$1,0)-1)=TRUE),0,OFFSET(Bronzo!$A$1,MATCH(H340,Bronzo!$A:$A,0)-1,MATCH(I340,Bronzo!$A$1:$AA$1,0)-1)),4)</f>
        <v>0</v>
      </c>
      <c r="T340" s="446">
        <f t="shared" ca="1" si="170"/>
        <v>0</v>
      </c>
      <c r="U340" s="443"/>
      <c r="V340" s="446">
        <v>0</v>
      </c>
      <c r="W340" s="449">
        <f t="shared" ca="1" si="171"/>
        <v>1.4</v>
      </c>
      <c r="X340" s="452">
        <f t="shared" si="174"/>
        <v>105</v>
      </c>
      <c r="Y340" s="440">
        <v>4.25</v>
      </c>
      <c r="Z340" s="440">
        <f t="shared" ca="1" si="172"/>
        <v>0.23</v>
      </c>
      <c r="AA340" s="241">
        <v>46157</v>
      </c>
      <c r="AH340" s="242"/>
    </row>
    <row r="341" spans="2:34" ht="15.75" x14ac:dyDescent="0.25">
      <c r="B341" s="229" t="s">
        <v>639</v>
      </c>
      <c r="C341" s="409" t="s">
        <v>443</v>
      </c>
      <c r="D341" s="410">
        <v>538</v>
      </c>
      <c r="E341" s="232" t="s">
        <v>4</v>
      </c>
      <c r="F341" s="435">
        <v>2.62</v>
      </c>
      <c r="G341" s="234">
        <v>46076</v>
      </c>
      <c r="H341" s="235" t="s">
        <v>17</v>
      </c>
      <c r="I341" s="235"/>
      <c r="J341" s="440">
        <v>7.0000000000000007E-2</v>
      </c>
      <c r="K341" s="443">
        <f ca="1">ROUND(IF(ISERROR(OFFSET(Tabella!$A$1,MATCH(H341,Tabella!$A:$A,0)-1,MATCH(J341,Tabella!$A$1:$AC$1,0)-1)=TRUE),0,+OFFSET(Tabella!$A$1,MATCH(H341,Tabella!$A:$A,0)-1,MATCH(J341,Tabella!$A$1:$AC$1,0)-1)),4)</f>
        <v>1.4</v>
      </c>
      <c r="L341" s="446">
        <f ca="1">ROUND(IF(ISERROR(OFFSET(Ottone!$A$1,MATCH(H341,Ottone!$A:$A,0)-1,MATCH(J341,Ottone!$A$1:$Z$1,0)-1)=TRUE),0,OFFSET(Ottone!$A$1,MATCH(H341,Ottone!$A:$A,0)-1,MATCH(J341,Ottone!$A$1:$Z$1,0)-1))*IF(E341="Ottone",1,0),4)</f>
        <v>0</v>
      </c>
      <c r="M341" s="446">
        <f ca="1">ROUND(IF(ISERROR(OFFSET(Rame!$A$1,MATCH(H341,Rame!$A:$A,0)-1,MATCH(J341,Rame!$A$1:$AA$1,0)-1)=TRUE),0,OFFSET(Rame!$A$1,MATCH(H341,Rame!$A:$A,0)-1,MATCH(J341,Rame!$A$1:$AA$1,0)-1))*IF(E341="Rame",1,0),4)</f>
        <v>0</v>
      </c>
      <c r="N341" s="446">
        <v>0</v>
      </c>
      <c r="O341" s="446">
        <f ca="1">ROUND(SUM(K341:N341),4)</f>
        <v>1.4</v>
      </c>
      <c r="P341" s="446">
        <f ca="1">ROUND(+IF(ISERROR(OFFSET(Tabella!$G$1,MATCH(H341,Tabella!$G:$G,0)-1,MATCH(I341,Tabella!$G$1:$FG$1,0)-1)=TRUE),0,OFFSET(Tabella!$G$1,MATCH(H341,Tabella!$G:$G,0)-1,MATCH(I341,Tabella!$G$1:$AB$1,0)-1)),4)</f>
        <v>0</v>
      </c>
      <c r="Q341" s="446">
        <f ca="1">ROUND(IF(ISERROR(OFFSET(Ottone!$F$1,MATCH(H341,Ottone!$A:$A,0)-1,MATCH(I341,Ottone!$F$1:$FF$1,0)-1)=TRUE),0,OFFSET(Ottone!$F$1,MATCH(H341,Ottone!$A:$A,0)-1,MATCH(I341,Ottone!$F$1:$FF$1,0)-1))*IF(E341="Ottone",1,0),4)</f>
        <v>0</v>
      </c>
      <c r="R341" s="446">
        <f ca="1">ROUND(IF(ISERROR(OFFSET(Rame!$F$1,MATCH(H341,Rame!$F:$F,0)-1,MATCH(I341,Rame!$F$1:$FF$1,0)-1)=TRUE),0,OFFSET(Rame!$F$1,MATCH(H341,Rame!$F:$F,0)-1,MATCH(I341,Rame!$F$1:$FF$1,0)-1))*IF(E341="Rame",1,0),4)</f>
        <v>0</v>
      </c>
      <c r="S341" s="446">
        <f ca="1">ROUND(IF(ISERROR(OFFSET(Bronzo!$A$1,MATCH(H341,Bronzo!$A:$A,0)-1,MATCH(I341,Bronzo!$A$1:$AA$1,0)-1)=TRUE),0,OFFSET(Bronzo!$A$1,MATCH(H341,Bronzo!$A:$A,0)-1,MATCH(I341,Bronzo!$A$1:$AA$1,0)-1)),4)</f>
        <v>0</v>
      </c>
      <c r="T341" s="446">
        <f t="shared" ca="1" si="170"/>
        <v>0</v>
      </c>
      <c r="U341" s="443"/>
      <c r="V341" s="446">
        <v>0</v>
      </c>
      <c r="W341" s="449">
        <f t="shared" ca="1" si="171"/>
        <v>1.4</v>
      </c>
      <c r="X341" s="457">
        <f t="shared" si="174"/>
        <v>37.659999999999997</v>
      </c>
      <c r="Y341" s="440">
        <v>4.2</v>
      </c>
      <c r="Z341" s="440">
        <f t="shared" ca="1" si="172"/>
        <v>0.18</v>
      </c>
      <c r="AA341" s="241"/>
      <c r="AD341" s="223" t="s">
        <v>403</v>
      </c>
      <c r="AH341" s="242"/>
    </row>
    <row r="342" spans="2:34" ht="15.75" x14ac:dyDescent="0.25">
      <c r="B342" s="229" t="s">
        <v>598</v>
      </c>
      <c r="C342" s="235" t="s">
        <v>443</v>
      </c>
      <c r="D342" s="243">
        <v>1800</v>
      </c>
      <c r="E342" s="232" t="s">
        <v>4</v>
      </c>
      <c r="F342" s="435">
        <v>2.62</v>
      </c>
      <c r="G342" s="234">
        <v>46076</v>
      </c>
      <c r="H342" s="235" t="s">
        <v>308</v>
      </c>
      <c r="I342" s="235"/>
      <c r="J342" s="440">
        <v>7.0000000000000007E-2</v>
      </c>
      <c r="K342" s="443">
        <f ca="1">ROUND(IF(ISERROR(OFFSET(Tabella!$A$1,MATCH(H342,Tabella!$A:$A,0)-1,MATCH(J342,Tabella!$A$1:$AC$1,0)-1)=TRUE),0,+OFFSET(Tabella!$A$1,MATCH(H342,Tabella!$A:$A,0)-1,MATCH(J342,Tabella!$A$1:$AC$1,0)-1)),4)</f>
        <v>1.25</v>
      </c>
      <c r="L342" s="446">
        <f ca="1">ROUND(IF(ISERROR(OFFSET(Ottone!$A$1,MATCH(H342,Ottone!$A:$A,0)-1,MATCH(J342,Ottone!$A$1:$Z$1,0)-1)=TRUE),0,OFFSET(Ottone!$A$1,MATCH(H342,Ottone!$A:$A,0)-1,MATCH(J342,Ottone!$A$1:$Z$1,0)-1))*IF(E342="Ottone",1,0),4)</f>
        <v>0</v>
      </c>
      <c r="M342" s="446">
        <f ca="1">ROUND(IF(ISERROR(OFFSET(Rame!$A$1,MATCH(H342,Rame!$A:$A,0)-1,MATCH(J342,Rame!$A$1:$AA$1,0)-1)=TRUE),0,OFFSET(Rame!$A$1,MATCH(H342,Rame!$A:$A,0)-1,MATCH(J342,Rame!$A$1:$AA$1,0)-1))*IF(E342="Rame",1,0),4)</f>
        <v>0</v>
      </c>
      <c r="N342" s="446">
        <v>0</v>
      </c>
      <c r="O342" s="446">
        <f ca="1">ROUND(SUM(K342:N342),4)</f>
        <v>1.25</v>
      </c>
      <c r="P342" s="446">
        <f ca="1">ROUND(+IF(ISERROR(OFFSET(Tabella!$G$1,MATCH(H342,Tabella!$G:$G,0)-1,MATCH(I342,Tabella!$G$1:$FG$1,0)-1)=TRUE),0,OFFSET(Tabella!$G$1,MATCH(H342,Tabella!$G:$G,0)-1,MATCH(I342,Tabella!$G$1:$AB$1,0)-1)),4)</f>
        <v>0</v>
      </c>
      <c r="Q342" s="446">
        <f ca="1">ROUND(IF(ISERROR(OFFSET(Ottone!$F$1,MATCH(H342,Ottone!$A:$A,0)-1,MATCH(I342,Ottone!$F$1:$FF$1,0)-1)=TRUE),0,OFFSET(Ottone!$F$1,MATCH(H342,Ottone!$A:$A,0)-1,MATCH(I342,Ottone!$F$1:$FF$1,0)-1))*IF(E342="Ottone",1,0),4)</f>
        <v>0</v>
      </c>
      <c r="R342" s="446">
        <f ca="1">ROUND(IF(ISERROR(OFFSET(Rame!$F$1,MATCH(H342,Rame!$F:$F,0)-1,MATCH(I342,Rame!$F$1:$FF$1,0)-1)=TRUE),0,OFFSET(Rame!$F$1,MATCH(H342,Rame!$F:$F,0)-1,MATCH(I342,Rame!$F$1:$FF$1,0)-1))*IF(E342="Rame",1,0),4)</f>
        <v>0</v>
      </c>
      <c r="S342" s="446">
        <f ca="1">ROUND(IF(ISERROR(OFFSET(Bronzo!$A$1,MATCH(H342,Bronzo!$A:$A,0)-1,MATCH(I342,Bronzo!$A$1:$AA$1,0)-1)=TRUE),0,OFFSET(Bronzo!$A$1,MATCH(H342,Bronzo!$A:$A,0)-1,MATCH(I342,Bronzo!$A$1:$AA$1,0)-1)),4)</f>
        <v>0</v>
      </c>
      <c r="T342" s="446">
        <f t="shared" ca="1" si="170"/>
        <v>0</v>
      </c>
      <c r="U342" s="443"/>
      <c r="V342" s="446">
        <v>0</v>
      </c>
      <c r="W342" s="449">
        <f t="shared" ca="1" si="171"/>
        <v>1.25</v>
      </c>
      <c r="X342" s="452">
        <f t="shared" si="174"/>
        <v>126</v>
      </c>
      <c r="Y342" s="440">
        <v>4.0999999999999996</v>
      </c>
      <c r="Z342" s="440">
        <f t="shared" ca="1" si="172"/>
        <v>0.23</v>
      </c>
      <c r="AA342" s="241">
        <v>46157</v>
      </c>
      <c r="AH342" s="242"/>
    </row>
    <row r="343" spans="2:34" ht="15.75" x14ac:dyDescent="0.25">
      <c r="B343" s="229" t="s">
        <v>618</v>
      </c>
      <c r="C343" s="246" t="s">
        <v>208</v>
      </c>
      <c r="D343" s="247">
        <v>13200</v>
      </c>
      <c r="E343" s="232" t="s">
        <v>4</v>
      </c>
      <c r="F343" s="435">
        <v>3.04</v>
      </c>
      <c r="G343" s="234">
        <v>46139</v>
      </c>
      <c r="H343" s="235" t="s">
        <v>21</v>
      </c>
      <c r="I343" s="235"/>
      <c r="J343" s="440">
        <v>7.0000000000000007E-2</v>
      </c>
      <c r="K343" s="443">
        <f ca="1">ROUND(IF(ISERROR(OFFSET(Tabella!$A$1,MATCH(H343,Tabella!$A:$A,0)-1,MATCH(J343,Tabella!$A$1:$AC$1,0)-1)=TRUE),0,+OFFSET(Tabella!$A$1,MATCH(H343,Tabella!$A:$A,0)-1,MATCH(J343,Tabella!$A$1:$AC$1,0)-1)),4)</f>
        <v>1.25</v>
      </c>
      <c r="L343" s="446">
        <f ca="1">ROUND(IF(ISERROR(OFFSET(Ottone!$A$1,MATCH(H343,Ottone!$A:$A,0)-1,MATCH(J343,Ottone!$A$1:$Z$1,0)-1)=TRUE),0,OFFSET(Ottone!$A$1,MATCH(H343,Ottone!$A:$A,0)-1,MATCH(J343,Ottone!$A$1:$Z$1,0)-1))*IF(E343="Ottone",1,0),4)</f>
        <v>0</v>
      </c>
      <c r="M343" s="446">
        <f ca="1">ROUND(IF(ISERROR(OFFSET(Rame!$A$1,MATCH(H343,Rame!$A:$A,0)-1,MATCH(J343,Rame!$A$1:$AA$1,0)-1)=TRUE),0,OFFSET(Rame!$A$1,MATCH(H343,Rame!$A:$A,0)-1,MATCH(J343,Rame!$A$1:$AA$1,0)-1))*IF(E343="Rame",1,0),4)</f>
        <v>0</v>
      </c>
      <c r="N343" s="446">
        <v>0</v>
      </c>
      <c r="O343" s="446">
        <f ca="1">ROUND(SUM(K343:N343),4)</f>
        <v>1.25</v>
      </c>
      <c r="P343" s="446">
        <f ca="1">ROUND(+IF(ISERROR(OFFSET(Tabella!$G$1,MATCH(H343,Tabella!$G:$G,0)-1,MATCH(I343,Tabella!$G$1:$FG$1,0)-1)=TRUE),0,OFFSET(Tabella!$G$1,MATCH(H343,Tabella!$G:$G,0)-1,MATCH(I343,Tabella!$G$1:$AB$1,0)-1)),4)</f>
        <v>0</v>
      </c>
      <c r="Q343" s="446">
        <f ca="1">ROUND(IF(ISERROR(OFFSET(Ottone!$F$1,MATCH(H343,Ottone!$A:$A,0)-1,MATCH(I343,Ottone!$F$1:$FF$1,0)-1)=TRUE),0,OFFSET(Ottone!$F$1,MATCH(H343,Ottone!$A:$A,0)-1,MATCH(I343,Ottone!$F$1:$FF$1,0)-1))*IF(E343="Ottone",1,0),4)</f>
        <v>0</v>
      </c>
      <c r="R343" s="446">
        <f ca="1">ROUND(IF(ISERROR(OFFSET(Rame!$F$1,MATCH(H343,Rame!$F:$F,0)-1,MATCH(I343,Rame!$F$1:$FF$1,0)-1)=TRUE),0,OFFSET(Rame!$F$1,MATCH(H343,Rame!$F:$F,0)-1,MATCH(I343,Rame!$F$1:$FF$1,0)-1))*IF(E343="Rame",1,0),4)</f>
        <v>0</v>
      </c>
      <c r="S343" s="446">
        <f ca="1">ROUND(IF(ISERROR(OFFSET(Bronzo!$A$1,MATCH(H343,Bronzo!$A:$A,0)-1,MATCH(I343,Bronzo!$A$1:$AA$1,0)-1)=TRUE),0,OFFSET(Bronzo!$A$1,MATCH(H343,Bronzo!$A:$A,0)-1,MATCH(I343,Bronzo!$A$1:$AA$1,0)-1)),4)</f>
        <v>0</v>
      </c>
      <c r="T343" s="446">
        <f t="shared" ref="T343:T406" ca="1" si="175">ROUND(SUM(P343:S343),4)</f>
        <v>0</v>
      </c>
      <c r="U343" s="443"/>
      <c r="V343" s="446">
        <v>0</v>
      </c>
      <c r="W343" s="449">
        <f t="shared" ref="W343:W406" ca="1" si="176">ROUND(+O343+T343+U343+V343,4)</f>
        <v>1.25</v>
      </c>
      <c r="X343" s="455">
        <f t="shared" si="174"/>
        <v>924</v>
      </c>
      <c r="Y343" s="440">
        <v>4.75</v>
      </c>
      <c r="Z343" s="440">
        <f t="shared" ref="Z343:Z406" ca="1" si="177">ROUND(+Y343-W343-F343,4)</f>
        <v>0.46</v>
      </c>
      <c r="AA343" s="241">
        <v>46203</v>
      </c>
      <c r="AH343" s="242"/>
    </row>
    <row r="344" spans="2:34" ht="15.75" x14ac:dyDescent="0.25">
      <c r="B344" s="229" t="s">
        <v>617</v>
      </c>
      <c r="C344" s="235" t="s">
        <v>208</v>
      </c>
      <c r="D344" s="243">
        <v>600</v>
      </c>
      <c r="E344" s="232" t="s">
        <v>4</v>
      </c>
      <c r="F344" s="435">
        <v>3.04</v>
      </c>
      <c r="G344" s="234">
        <v>46139</v>
      </c>
      <c r="H344" s="235" t="s">
        <v>243</v>
      </c>
      <c r="I344" s="235"/>
      <c r="J344" s="440">
        <v>7.0000000000000007E-2</v>
      </c>
      <c r="K344" s="443">
        <f ca="1">ROUND(IF(ISERROR(OFFSET(Tabella!$A$1,MATCH(H344,Tabella!$A:$A,0)-1,MATCH(J344,Tabella!$A$1:$AC$1,0)-1)=TRUE),0,+OFFSET(Tabella!$A$1,MATCH(H344,Tabella!$A:$A,0)-1,MATCH(J344,Tabella!$A$1:$AC$1,0)-1)),4)</f>
        <v>1.4</v>
      </c>
      <c r="L344" s="446">
        <f ca="1">ROUND(IF(ISERROR(OFFSET(Ottone!$A$1,MATCH(H344,Ottone!$A:$A,0)-1,MATCH(J344,Ottone!$A$1:$Z$1,0)-1)=TRUE),0,OFFSET(Ottone!$A$1,MATCH(H344,Ottone!$A:$A,0)-1,MATCH(J344,Ottone!$A$1:$Z$1,0)-1))*IF(E344="Ottone",1,0),4)</f>
        <v>0</v>
      </c>
      <c r="M344" s="446">
        <f ca="1">ROUND(IF(ISERROR(OFFSET(Rame!$A$1,MATCH(H344,Rame!$A:$A,0)-1,MATCH(J344,Rame!$A$1:$AA$1,0)-1)=TRUE),0,OFFSET(Rame!$A$1,MATCH(H344,Rame!$A:$A,0)-1,MATCH(J344,Rame!$A$1:$AA$1,0)-1))*IF(E344="Rame",1,0),4)</f>
        <v>0</v>
      </c>
      <c r="N344" s="446">
        <v>0</v>
      </c>
      <c r="O344" s="446">
        <v>1.83</v>
      </c>
      <c r="P344" s="446">
        <f ca="1">ROUND(+IF(ISERROR(OFFSET(Tabella!$G$1,MATCH(H344,Tabella!$G:$G,0)-1,MATCH(I344,Tabella!$G$1:$FG$1,0)-1)=TRUE),0,OFFSET(Tabella!$G$1,MATCH(H344,Tabella!$G:$G,0)-1,MATCH(I344,Tabella!$G$1:$AB$1,0)-1)),4)</f>
        <v>0</v>
      </c>
      <c r="Q344" s="446">
        <f ca="1">ROUND(IF(ISERROR(OFFSET(Ottone!$F$1,MATCH(H344,Ottone!$A:$A,0)-1,MATCH(I344,Ottone!$F$1:$FF$1,0)-1)=TRUE),0,OFFSET(Ottone!$F$1,MATCH(H344,Ottone!$A:$A,0)-1,MATCH(I344,Ottone!$F$1:$FF$1,0)-1))*IF(E344="Ottone",1,0),4)</f>
        <v>0</v>
      </c>
      <c r="R344" s="446">
        <f ca="1">ROUND(IF(ISERROR(OFFSET(Rame!$F$1,MATCH(H344,Rame!$F:$F,0)-1,MATCH(I344,Rame!$F$1:$FF$1,0)-1)=TRUE),0,OFFSET(Rame!$F$1,MATCH(H344,Rame!$F:$F,0)-1,MATCH(I344,Rame!$F$1:$FF$1,0)-1))*IF(E344="Rame",1,0),4)</f>
        <v>0</v>
      </c>
      <c r="S344" s="446">
        <f ca="1">ROUND(IF(ISERROR(OFFSET(Bronzo!$A$1,MATCH(H344,Bronzo!$A:$A,0)-1,MATCH(I344,Bronzo!$A$1:$AA$1,0)-1)=TRUE),0,OFFSET(Bronzo!$A$1,MATCH(H344,Bronzo!$A:$A,0)-1,MATCH(I344,Bronzo!$A$1:$AA$1,0)-1)),4)</f>
        <v>0</v>
      </c>
      <c r="T344" s="446">
        <f t="shared" ca="1" si="175"/>
        <v>0</v>
      </c>
      <c r="U344" s="443"/>
      <c r="V344" s="446">
        <v>0</v>
      </c>
      <c r="W344" s="449">
        <f t="shared" ca="1" si="176"/>
        <v>1.83</v>
      </c>
      <c r="X344" s="452">
        <f t="shared" si="174"/>
        <v>42</v>
      </c>
      <c r="Y344" s="440">
        <v>4.8499999999999996</v>
      </c>
      <c r="Z344" s="440">
        <f t="shared" ca="1" si="177"/>
        <v>-0.02</v>
      </c>
      <c r="AA344" s="241">
        <v>46164</v>
      </c>
      <c r="AH344" s="242"/>
    </row>
    <row r="345" spans="2:34" ht="15.75" x14ac:dyDescent="0.25">
      <c r="B345" s="229" t="s">
        <v>651</v>
      </c>
      <c r="C345" s="235" t="s">
        <v>208</v>
      </c>
      <c r="D345" s="243">
        <v>700</v>
      </c>
      <c r="E345" s="232" t="s">
        <v>4</v>
      </c>
      <c r="F345" s="435">
        <v>3.04</v>
      </c>
      <c r="G345" s="234">
        <v>46139</v>
      </c>
      <c r="H345" s="235" t="s">
        <v>306</v>
      </c>
      <c r="I345" s="235"/>
      <c r="J345" s="440">
        <v>7.0000000000000007E-2</v>
      </c>
      <c r="K345" s="443">
        <f ca="1">ROUND(IF(ISERROR(OFFSET(Tabella!$A$1,MATCH(H345,Tabella!$A:$A,0)-1,MATCH(J345,Tabella!$A$1:$AC$1,0)-1)=TRUE),0,+OFFSET(Tabella!$A$1,MATCH(H345,Tabella!$A:$A,0)-1,MATCH(J345,Tabella!$A$1:$AC$1,0)-1)),4)</f>
        <v>1.25</v>
      </c>
      <c r="L345" s="446">
        <f ca="1">ROUND(IF(ISERROR(OFFSET(Ottone!$A$1,MATCH(H345,Ottone!$A:$A,0)-1,MATCH(J345,Ottone!$A$1:$Z$1,0)-1)=TRUE),0,OFFSET(Ottone!$A$1,MATCH(H345,Ottone!$A:$A,0)-1,MATCH(J345,Ottone!$A$1:$Z$1,0)-1))*IF(E345="Ottone",1,0),4)</f>
        <v>0</v>
      </c>
      <c r="M345" s="446">
        <f ca="1">ROUND(IF(ISERROR(OFFSET(Rame!$A$1,MATCH(H345,Rame!$A:$A,0)-1,MATCH(J345,Rame!$A$1:$AA$1,0)-1)=TRUE),0,OFFSET(Rame!$A$1,MATCH(H345,Rame!$A:$A,0)-1,MATCH(J345,Rame!$A$1:$AA$1,0)-1))*IF(E345="Rame",1,0),4)</f>
        <v>0</v>
      </c>
      <c r="N345" s="446">
        <v>0</v>
      </c>
      <c r="O345" s="446">
        <v>1.73</v>
      </c>
      <c r="P345" s="446">
        <f ca="1">ROUND(+IF(ISERROR(OFFSET(Tabella!$G$1,MATCH(H345,Tabella!$G:$G,0)-1,MATCH(I345,Tabella!$G$1:$FG$1,0)-1)=TRUE),0,OFFSET(Tabella!$G$1,MATCH(H345,Tabella!$G:$G,0)-1,MATCH(I345,Tabella!$G$1:$AB$1,0)-1)),4)</f>
        <v>0</v>
      </c>
      <c r="Q345" s="446">
        <f ca="1">ROUND(IF(ISERROR(OFFSET(Ottone!$F$1,MATCH(H345,Ottone!$A:$A,0)-1,MATCH(I345,Ottone!$F$1:$FF$1,0)-1)=TRUE),0,OFFSET(Ottone!$F$1,MATCH(H345,Ottone!$A:$A,0)-1,MATCH(I345,Ottone!$F$1:$FF$1,0)-1))*IF(E345="Ottone",1,0),4)</f>
        <v>0</v>
      </c>
      <c r="R345" s="446">
        <f ca="1">ROUND(IF(ISERROR(OFFSET(Rame!$F$1,MATCH(H345,Rame!$F:$F,0)-1,MATCH(I345,Rame!$F$1:$FF$1,0)-1)=TRUE),0,OFFSET(Rame!$F$1,MATCH(H345,Rame!$F:$F,0)-1,MATCH(I345,Rame!$F$1:$FF$1,0)-1))*IF(E345="Rame",1,0),4)</f>
        <v>0</v>
      </c>
      <c r="S345" s="446">
        <f ca="1">ROUND(IF(ISERROR(OFFSET(Bronzo!$A$1,MATCH(H345,Bronzo!$A:$A,0)-1,MATCH(I345,Bronzo!$A$1:$AA$1,0)-1)=TRUE),0,OFFSET(Bronzo!$A$1,MATCH(H345,Bronzo!$A:$A,0)-1,MATCH(I345,Bronzo!$A$1:$AA$1,0)-1)),4)</f>
        <v>0</v>
      </c>
      <c r="T345" s="446">
        <f t="shared" ca="1" si="175"/>
        <v>0</v>
      </c>
      <c r="U345" s="443"/>
      <c r="V345" s="446">
        <v>0</v>
      </c>
      <c r="W345" s="449">
        <f t="shared" ca="1" si="176"/>
        <v>1.73</v>
      </c>
      <c r="X345" s="452">
        <f t="shared" si="174"/>
        <v>49</v>
      </c>
      <c r="Y345" s="440">
        <v>4.75</v>
      </c>
      <c r="Z345" s="440">
        <f t="shared" ca="1" si="177"/>
        <v>-0.02</v>
      </c>
      <c r="AA345" s="241">
        <v>46280</v>
      </c>
      <c r="AH345" s="242"/>
    </row>
    <row r="346" spans="2:34" ht="15.75" x14ac:dyDescent="0.25">
      <c r="B346" s="229" t="s">
        <v>616</v>
      </c>
      <c r="C346" s="235" t="s">
        <v>208</v>
      </c>
      <c r="D346" s="243">
        <v>700</v>
      </c>
      <c r="E346" s="232" t="s">
        <v>4</v>
      </c>
      <c r="F346" s="435">
        <v>3.04</v>
      </c>
      <c r="G346" s="234">
        <v>46139</v>
      </c>
      <c r="H346" s="235" t="s">
        <v>306</v>
      </c>
      <c r="I346" s="235"/>
      <c r="J346" s="440">
        <v>7.0000000000000007E-2</v>
      </c>
      <c r="K346" s="443">
        <f ca="1">ROUND(IF(ISERROR(OFFSET(Tabella!$A$1,MATCH(H346,Tabella!$A:$A,0)-1,MATCH(J346,Tabella!$A$1:$AC$1,0)-1)=TRUE),0,+OFFSET(Tabella!$A$1,MATCH(H346,Tabella!$A:$A,0)-1,MATCH(J346,Tabella!$A$1:$AC$1,0)-1)),4)</f>
        <v>1.25</v>
      </c>
      <c r="L346" s="446">
        <f ca="1">ROUND(IF(ISERROR(OFFSET(Ottone!$A$1,MATCH(H346,Ottone!$A:$A,0)-1,MATCH(J346,Ottone!$A$1:$Z$1,0)-1)=TRUE),0,OFFSET(Ottone!$A$1,MATCH(H346,Ottone!$A:$A,0)-1,MATCH(J346,Ottone!$A$1:$Z$1,0)-1))*IF(E346="Ottone",1,0),4)</f>
        <v>0</v>
      </c>
      <c r="M346" s="446">
        <f ca="1">ROUND(IF(ISERROR(OFFSET(Rame!$A$1,MATCH(H346,Rame!$A:$A,0)-1,MATCH(J346,Rame!$A$1:$AA$1,0)-1)=TRUE),0,OFFSET(Rame!$A$1,MATCH(H346,Rame!$A:$A,0)-1,MATCH(J346,Rame!$A$1:$AA$1,0)-1))*IF(E346="Rame",1,0),4)</f>
        <v>0</v>
      </c>
      <c r="N346" s="446">
        <v>0</v>
      </c>
      <c r="O346" s="446">
        <v>1.73</v>
      </c>
      <c r="P346" s="446">
        <f ca="1">ROUND(+IF(ISERROR(OFFSET(Tabella!$G$1,MATCH(H346,Tabella!$G:$G,0)-1,MATCH(I346,Tabella!$G$1:$FG$1,0)-1)=TRUE),0,OFFSET(Tabella!$G$1,MATCH(H346,Tabella!$G:$G,0)-1,MATCH(I346,Tabella!$G$1:$AB$1,0)-1)),4)</f>
        <v>0</v>
      </c>
      <c r="Q346" s="446">
        <f ca="1">ROUND(IF(ISERROR(OFFSET(Ottone!$F$1,MATCH(H346,Ottone!$A:$A,0)-1,MATCH(I346,Ottone!$F$1:$FF$1,0)-1)=TRUE),0,OFFSET(Ottone!$F$1,MATCH(H346,Ottone!$A:$A,0)-1,MATCH(I346,Ottone!$F$1:$FF$1,0)-1))*IF(E346="Ottone",1,0),4)</f>
        <v>0</v>
      </c>
      <c r="R346" s="446">
        <f ca="1">ROUND(IF(ISERROR(OFFSET(Rame!$F$1,MATCH(H346,Rame!$F:$F,0)-1,MATCH(I346,Rame!$F$1:$FF$1,0)-1)=TRUE),0,OFFSET(Rame!$F$1,MATCH(H346,Rame!$F:$F,0)-1,MATCH(I346,Rame!$F$1:$FF$1,0)-1))*IF(E346="Rame",1,0),4)</f>
        <v>0</v>
      </c>
      <c r="S346" s="446">
        <f ca="1">ROUND(IF(ISERROR(OFFSET(Bronzo!$A$1,MATCH(H346,Bronzo!$A:$A,0)-1,MATCH(I346,Bronzo!$A$1:$AA$1,0)-1)=TRUE),0,OFFSET(Bronzo!$A$1,MATCH(H346,Bronzo!$A:$A,0)-1,MATCH(I346,Bronzo!$A$1:$AA$1,0)-1)),4)</f>
        <v>0</v>
      </c>
      <c r="T346" s="446">
        <f t="shared" ca="1" si="175"/>
        <v>0</v>
      </c>
      <c r="U346" s="443"/>
      <c r="V346" s="446">
        <v>0</v>
      </c>
      <c r="W346" s="449">
        <f t="shared" ca="1" si="176"/>
        <v>1.73</v>
      </c>
      <c r="X346" s="452">
        <f t="shared" si="174"/>
        <v>49</v>
      </c>
      <c r="Y346" s="440">
        <v>4.75</v>
      </c>
      <c r="Z346" s="440">
        <f t="shared" ca="1" si="177"/>
        <v>-0.02</v>
      </c>
      <c r="AA346" s="241">
        <v>46189</v>
      </c>
      <c r="AH346" s="242"/>
    </row>
    <row r="347" spans="2:34" ht="15.75" x14ac:dyDescent="0.25">
      <c r="B347" s="229" t="s">
        <v>616</v>
      </c>
      <c r="C347" s="235" t="s">
        <v>208</v>
      </c>
      <c r="D347" s="243">
        <v>500</v>
      </c>
      <c r="E347" s="232" t="s">
        <v>4</v>
      </c>
      <c r="F347" s="435">
        <v>3.04</v>
      </c>
      <c r="G347" s="234">
        <v>46139</v>
      </c>
      <c r="H347" s="235" t="s">
        <v>314</v>
      </c>
      <c r="I347" s="235"/>
      <c r="J347" s="440">
        <v>7.0000000000000007E-2</v>
      </c>
      <c r="K347" s="443">
        <f ca="1">ROUND(IF(ISERROR(OFFSET(Tabella!$A$1,MATCH(H347,Tabella!$A:$A,0)-1,MATCH(J347,Tabella!$A$1:$AC$1,0)-1)=TRUE),0,+OFFSET(Tabella!$A$1,MATCH(H347,Tabella!$A:$A,0)-1,MATCH(J347,Tabella!$A$1:$AC$1,0)-1)),4)</f>
        <v>1.25</v>
      </c>
      <c r="L347" s="446">
        <f ca="1">ROUND(IF(ISERROR(OFFSET(Ottone!$A$1,MATCH(H347,Ottone!$A:$A,0)-1,MATCH(J347,Ottone!$A$1:$Z$1,0)-1)=TRUE),0,OFFSET(Ottone!$A$1,MATCH(H347,Ottone!$A:$A,0)-1,MATCH(J347,Ottone!$A$1:$Z$1,0)-1))*IF(E347="Ottone",1,0),4)</f>
        <v>0</v>
      </c>
      <c r="M347" s="446">
        <f ca="1">ROUND(IF(ISERROR(OFFSET(Rame!$A$1,MATCH(H347,Rame!$A:$A,0)-1,MATCH(J347,Rame!$A$1:$AA$1,0)-1)=TRUE),0,OFFSET(Rame!$A$1,MATCH(H347,Rame!$A:$A,0)-1,MATCH(J347,Rame!$A$1:$AA$1,0)-1))*IF(E347="Rame",1,0),4)</f>
        <v>0</v>
      </c>
      <c r="N347" s="446">
        <v>0</v>
      </c>
      <c r="O347" s="446">
        <v>1.73</v>
      </c>
      <c r="P347" s="446">
        <f ca="1">ROUND(+IF(ISERROR(OFFSET(Tabella!$G$1,MATCH(H347,Tabella!$G:$G,0)-1,MATCH(I347,Tabella!$G$1:$FG$1,0)-1)=TRUE),0,OFFSET(Tabella!$G$1,MATCH(H347,Tabella!$G:$G,0)-1,MATCH(I347,Tabella!$G$1:$AB$1,0)-1)),4)</f>
        <v>0</v>
      </c>
      <c r="Q347" s="446">
        <f ca="1">ROUND(IF(ISERROR(OFFSET(Ottone!$F$1,MATCH(H347,Ottone!$A:$A,0)-1,MATCH(I347,Ottone!$F$1:$FF$1,0)-1)=TRUE),0,OFFSET(Ottone!$F$1,MATCH(H347,Ottone!$A:$A,0)-1,MATCH(I347,Ottone!$F$1:$FF$1,0)-1))*IF(E347="Ottone",1,0),4)</f>
        <v>0</v>
      </c>
      <c r="R347" s="446">
        <f ca="1">ROUND(IF(ISERROR(OFFSET(Rame!$F$1,MATCH(H347,Rame!$F:$F,0)-1,MATCH(I347,Rame!$F$1:$FF$1,0)-1)=TRUE),0,OFFSET(Rame!$F$1,MATCH(H347,Rame!$F:$F,0)-1,MATCH(I347,Rame!$F$1:$FF$1,0)-1))*IF(E347="Rame",1,0),4)</f>
        <v>0</v>
      </c>
      <c r="S347" s="446">
        <f ca="1">ROUND(IF(ISERROR(OFFSET(Bronzo!$A$1,MATCH(H347,Bronzo!$A:$A,0)-1,MATCH(I347,Bronzo!$A$1:$AA$1,0)-1)=TRUE),0,OFFSET(Bronzo!$A$1,MATCH(H347,Bronzo!$A:$A,0)-1,MATCH(I347,Bronzo!$A$1:$AA$1,0)-1)),4)</f>
        <v>0</v>
      </c>
      <c r="T347" s="446">
        <f t="shared" ca="1" si="175"/>
        <v>0</v>
      </c>
      <c r="U347" s="443"/>
      <c r="V347" s="446">
        <v>0</v>
      </c>
      <c r="W347" s="449">
        <f t="shared" ca="1" si="176"/>
        <v>1.73</v>
      </c>
      <c r="X347" s="452">
        <f t="shared" si="174"/>
        <v>35</v>
      </c>
      <c r="Y347" s="440">
        <v>4.75</v>
      </c>
      <c r="Z347" s="440">
        <f t="shared" ca="1" si="177"/>
        <v>-0.02</v>
      </c>
      <c r="AA347" s="241">
        <v>46189</v>
      </c>
      <c r="AH347" s="242"/>
    </row>
    <row r="348" spans="2:34" ht="15.75" x14ac:dyDescent="0.25">
      <c r="B348" s="229" t="s">
        <v>604</v>
      </c>
      <c r="C348" s="235" t="s">
        <v>269</v>
      </c>
      <c r="D348" s="243">
        <v>1200</v>
      </c>
      <c r="E348" s="232" t="s">
        <v>6</v>
      </c>
      <c r="F348" s="435">
        <v>11.08</v>
      </c>
      <c r="G348" s="234">
        <v>46140</v>
      </c>
      <c r="H348" s="235" t="s">
        <v>18</v>
      </c>
      <c r="I348" s="235"/>
      <c r="J348" s="440">
        <v>0.15</v>
      </c>
      <c r="K348" s="443">
        <f ca="1">ROUND(IF(ISERROR(OFFSET(Tabella!$A$1,MATCH(H348,Tabella!$A:$A,0)-1,MATCH(J348,Tabella!$A$1:$AC$1,0)-1)=TRUE),0,+OFFSET(Tabella!$A$1,MATCH(H348,Tabella!$A:$A,0)-1,MATCH(J348,Tabella!$A$1:$AC$1,0)-1)),4)</f>
        <v>0</v>
      </c>
      <c r="L348" s="446">
        <f ca="1">ROUND(IF(ISERROR(OFFSET(Ottone!$A$1,MATCH(H348,Ottone!$A:$A,0)-1,MATCH(J348,Ottone!$A$1:$Z$1,0)-1)=TRUE),0,OFFSET(Ottone!$A$1,MATCH(H348,Ottone!$A:$A,0)-1,MATCH(J348,Ottone!$A$1:$Z$1,0)-1))*IF(E348="Ottone",1,0),4)</f>
        <v>0</v>
      </c>
      <c r="M348" s="446">
        <f ca="1">ROUND(IF(ISERROR(OFFSET(Rame!$A$1,MATCH(H348,Rame!$A:$A,0)-1,MATCH(J348,Rame!$A$1:$AA$1,0)-1)=TRUE),0,OFFSET(Rame!$A$1,MATCH(H348,Rame!$A:$A,0)-1,MATCH(J348,Rame!$A$1:$AA$1,0)-1))*IF(E348="Rame",1,0),4)</f>
        <v>0.82</v>
      </c>
      <c r="N348" s="446">
        <v>0</v>
      </c>
      <c r="O348" s="446">
        <f ca="1">ROUND(SUM(K348:N348),4)</f>
        <v>0.82</v>
      </c>
      <c r="P348" s="446">
        <f ca="1">ROUND(+IF(ISERROR(OFFSET(Tabella!$G$1,MATCH(H348,Tabella!$G:$G,0)-1,MATCH(I348,Tabella!$G$1:$FG$1,0)-1)=TRUE),0,OFFSET(Tabella!$G$1,MATCH(H348,Tabella!$G:$G,0)-1,MATCH(I348,Tabella!$G$1:$AB$1,0)-1)),4)</f>
        <v>0</v>
      </c>
      <c r="Q348" s="446">
        <f ca="1">ROUND(IF(ISERROR(OFFSET(Ottone!$F$1,MATCH(H348,Ottone!$A:$A,0)-1,MATCH(I348,Ottone!$F$1:$FF$1,0)-1)=TRUE),0,OFFSET(Ottone!$F$1,MATCH(H348,Ottone!$A:$A,0)-1,MATCH(I348,Ottone!$F$1:$FF$1,0)-1))*IF(E348="Ottone",1,0),4)</f>
        <v>0</v>
      </c>
      <c r="R348" s="446">
        <f ca="1">ROUND(IF(ISERROR(OFFSET(Rame!$F$1,MATCH(H348,Rame!$F:$F,0)-1,MATCH(I348,Rame!$F$1:$FF$1,0)-1)=TRUE),0,OFFSET(Rame!$F$1,MATCH(H348,Rame!$F:$F,0)-1,MATCH(I348,Rame!$F$1:$FF$1,0)-1))*IF(E348="Rame",1,0),4)</f>
        <v>0</v>
      </c>
      <c r="S348" s="446">
        <f ca="1">ROUND(IF(ISERROR(OFFSET(Bronzo!$A$1,MATCH(H348,Bronzo!$A:$A,0)-1,MATCH(I348,Bronzo!$A$1:$AA$1,0)-1)=TRUE),0,OFFSET(Bronzo!$A$1,MATCH(H348,Bronzo!$A:$A,0)-1,MATCH(I348,Bronzo!$A$1:$AA$1,0)-1)),4)</f>
        <v>0</v>
      </c>
      <c r="T348" s="446">
        <f t="shared" ca="1" si="175"/>
        <v>0</v>
      </c>
      <c r="U348" s="443"/>
      <c r="V348" s="446">
        <v>0</v>
      </c>
      <c r="W348" s="449">
        <f t="shared" ca="1" si="176"/>
        <v>0.82</v>
      </c>
      <c r="X348" s="452">
        <f t="shared" si="174"/>
        <v>180</v>
      </c>
      <c r="Y348" s="440">
        <v>15.6</v>
      </c>
      <c r="Z348" s="440">
        <f t="shared" ca="1" si="177"/>
        <v>3.7</v>
      </c>
      <c r="AA348" s="241">
        <v>46227</v>
      </c>
      <c r="AH348" s="242"/>
    </row>
    <row r="349" spans="2:34" ht="15.75" x14ac:dyDescent="0.25">
      <c r="B349" s="229" t="s">
        <v>608</v>
      </c>
      <c r="C349" s="246" t="s">
        <v>108</v>
      </c>
      <c r="D349" s="247">
        <v>50000</v>
      </c>
      <c r="E349" s="232" t="s">
        <v>4</v>
      </c>
      <c r="F349" s="435">
        <v>3.07</v>
      </c>
      <c r="G349" s="234">
        <v>46140</v>
      </c>
      <c r="H349" s="235" t="s">
        <v>21</v>
      </c>
      <c r="I349" s="235"/>
      <c r="J349" s="440">
        <v>7.0000000000000007E-2</v>
      </c>
      <c r="K349" s="443">
        <f ca="1">ROUND(IF(ISERROR(OFFSET(Tabella!$A$1,MATCH(H349,Tabella!$A:$A,0)-1,MATCH(J349,Tabella!$A$1:$AC$1,0)-1)=TRUE),0,+OFFSET(Tabella!$A$1,MATCH(H349,Tabella!$A:$A,0)-1,MATCH(J349,Tabella!$A$1:$AC$1,0)-1)),4)</f>
        <v>1.25</v>
      </c>
      <c r="L349" s="446">
        <f ca="1">ROUND(IF(ISERROR(OFFSET(Ottone!$A$1,MATCH(H349,Ottone!$A:$A,0)-1,MATCH(J349,Ottone!$A$1:$Z$1,0)-1)=TRUE),0,OFFSET(Ottone!$A$1,MATCH(H349,Ottone!$A:$A,0)-1,MATCH(J349,Ottone!$A$1:$Z$1,0)-1))*IF(E349="Ottone",1,0),4)</f>
        <v>0</v>
      </c>
      <c r="M349" s="446">
        <f ca="1">ROUND(IF(ISERROR(OFFSET(Rame!$A$1,MATCH(H349,Rame!$A:$A,0)-1,MATCH(J349,Rame!$A$1:$AA$1,0)-1)=TRUE),0,OFFSET(Rame!$A$1,MATCH(H349,Rame!$A:$A,0)-1,MATCH(J349,Rame!$A$1:$AA$1,0)-1))*IF(E349="Rame",1,0),4)</f>
        <v>0</v>
      </c>
      <c r="N349" s="446">
        <v>0</v>
      </c>
      <c r="O349" s="446">
        <f ca="1">ROUND(SUM(K349:N349),4)</f>
        <v>1.25</v>
      </c>
      <c r="P349" s="446">
        <f ca="1">ROUND(+IF(ISERROR(OFFSET(Tabella!$G$1,MATCH(H349,Tabella!$G:$G,0)-1,MATCH(I349,Tabella!$G$1:$FG$1,0)-1)=TRUE),0,OFFSET(Tabella!$G$1,MATCH(H349,Tabella!$G:$G,0)-1,MATCH(I349,Tabella!$G$1:$AB$1,0)-1)),4)</f>
        <v>0</v>
      </c>
      <c r="Q349" s="446">
        <f ca="1">ROUND(IF(ISERROR(OFFSET(Ottone!$F$1,MATCH(H349,Ottone!$A:$A,0)-1,MATCH(I349,Ottone!$F$1:$FF$1,0)-1)=TRUE),0,OFFSET(Ottone!$F$1,MATCH(H349,Ottone!$A:$A,0)-1,MATCH(I349,Ottone!$F$1:$FF$1,0)-1))*IF(E349="Ottone",1,0),4)</f>
        <v>0</v>
      </c>
      <c r="R349" s="446">
        <f ca="1">ROUND(IF(ISERROR(OFFSET(Rame!$F$1,MATCH(H349,Rame!$F:$F,0)-1,MATCH(I349,Rame!$F$1:$FF$1,0)-1)=TRUE),0,OFFSET(Rame!$F$1,MATCH(H349,Rame!$F:$F,0)-1,MATCH(I349,Rame!$F$1:$FF$1,0)-1))*IF(E349="Rame",1,0),4)</f>
        <v>0</v>
      </c>
      <c r="S349" s="446">
        <f ca="1">ROUND(IF(ISERROR(OFFSET(Bronzo!$A$1,MATCH(H349,Bronzo!$A:$A,0)-1,MATCH(I349,Bronzo!$A$1:$AA$1,0)-1)=TRUE),0,OFFSET(Bronzo!$A$1,MATCH(H349,Bronzo!$A:$A,0)-1,MATCH(I349,Bronzo!$A$1:$AA$1,0)-1)),4)</f>
        <v>0</v>
      </c>
      <c r="T349" s="446">
        <f t="shared" ca="1" si="175"/>
        <v>0</v>
      </c>
      <c r="U349" s="443"/>
      <c r="V349" s="446">
        <v>0</v>
      </c>
      <c r="W349" s="449">
        <f t="shared" ca="1" si="176"/>
        <v>1.25</v>
      </c>
      <c r="X349" s="455">
        <f t="shared" si="174"/>
        <v>3500</v>
      </c>
      <c r="Y349" s="440">
        <v>4.78</v>
      </c>
      <c r="Z349" s="440">
        <f t="shared" ca="1" si="177"/>
        <v>0.46</v>
      </c>
      <c r="AA349" s="241"/>
      <c r="AH349" s="242"/>
    </row>
    <row r="350" spans="2:34" ht="15.75" x14ac:dyDescent="0.25">
      <c r="B350" s="229" t="s">
        <v>620</v>
      </c>
      <c r="C350" s="235" t="s">
        <v>401</v>
      </c>
      <c r="D350" s="243">
        <v>400</v>
      </c>
      <c r="E350" s="232" t="s">
        <v>6</v>
      </c>
      <c r="F350" s="435">
        <v>11.25</v>
      </c>
      <c r="G350" s="234">
        <v>46140</v>
      </c>
      <c r="H350" s="235" t="s">
        <v>16</v>
      </c>
      <c r="I350" s="235"/>
      <c r="J350" s="440">
        <v>0.15</v>
      </c>
      <c r="K350" s="443">
        <f ca="1">ROUND(IF(ISERROR(OFFSET(Tabella!$A$1,MATCH(H350,Tabella!$A:$A,0)-1,MATCH(J350,Tabella!$A$1:$AC$1,0)-1)=TRUE),0,+OFFSET(Tabella!$A$1,MATCH(H350,Tabella!$A:$A,0)-1,MATCH(J350,Tabella!$A$1:$AC$1,0)-1)),4)</f>
        <v>0</v>
      </c>
      <c r="L350" s="446">
        <f ca="1">ROUND(IF(ISERROR(OFFSET(Ottone!$A$1,MATCH(H350,Ottone!$A:$A,0)-1,MATCH(J350,Ottone!$A$1:$Z$1,0)-1)=TRUE),0,OFFSET(Ottone!$A$1,MATCH(H350,Ottone!$A:$A,0)-1,MATCH(J350,Ottone!$A$1:$Z$1,0)-1))*IF(E350="Ottone",1,0),4)</f>
        <v>0</v>
      </c>
      <c r="M350" s="446">
        <f ca="1">ROUND(IF(ISERROR(OFFSET(Rame!$A$1,MATCH(H350,Rame!$A:$A,0)-1,MATCH(J350,Rame!$A$1:$AA$1,0)-1)=TRUE),0,OFFSET(Rame!$A$1,MATCH(H350,Rame!$A:$A,0)-1,MATCH(J350,Rame!$A$1:$AA$1,0)-1))*IF(E350="Rame",1,0),4)</f>
        <v>0.85</v>
      </c>
      <c r="N350" s="446">
        <v>0</v>
      </c>
      <c r="O350" s="446">
        <f ca="1">ROUND(SUM(K350:N350),4)</f>
        <v>0.85</v>
      </c>
      <c r="P350" s="446">
        <f ca="1">ROUND(+IF(ISERROR(OFFSET(Tabella!$G$1,MATCH(H350,Tabella!$G:$G,0)-1,MATCH(I350,Tabella!$G$1:$FG$1,0)-1)=TRUE),0,OFFSET(Tabella!$G$1,MATCH(H350,Tabella!$G:$G,0)-1,MATCH(I350,Tabella!$G$1:$AB$1,0)-1)),4)</f>
        <v>0</v>
      </c>
      <c r="Q350" s="446">
        <f ca="1">ROUND(IF(ISERROR(OFFSET(Ottone!$F$1,MATCH(H350,Ottone!$A:$A,0)-1,MATCH(I350,Ottone!$F$1:$FF$1,0)-1)=TRUE),0,OFFSET(Ottone!$F$1,MATCH(H350,Ottone!$A:$A,0)-1,MATCH(I350,Ottone!$F$1:$FF$1,0)-1))*IF(E350="Ottone",1,0),4)</f>
        <v>0</v>
      </c>
      <c r="R350" s="446">
        <f ca="1">ROUND(IF(ISERROR(OFFSET(Rame!$F$1,MATCH(H350,Rame!$F:$F,0)-1,MATCH(I350,Rame!$F$1:$FF$1,0)-1)=TRUE),0,OFFSET(Rame!$F$1,MATCH(H350,Rame!$F:$F,0)-1,MATCH(I350,Rame!$F$1:$FF$1,0)-1))*IF(E350="Rame",1,0),4)</f>
        <v>0</v>
      </c>
      <c r="S350" s="446">
        <f ca="1">ROUND(IF(ISERROR(OFFSET(Bronzo!$A$1,MATCH(H350,Bronzo!$A:$A,0)-1,MATCH(I350,Bronzo!$A$1:$AA$1,0)-1)=TRUE),0,OFFSET(Bronzo!$A$1,MATCH(H350,Bronzo!$A:$A,0)-1,MATCH(I350,Bronzo!$A$1:$AA$1,0)-1)),4)</f>
        <v>0</v>
      </c>
      <c r="T350" s="446">
        <f t="shared" ca="1" si="175"/>
        <v>0</v>
      </c>
      <c r="U350" s="443"/>
      <c r="V350" s="446">
        <v>0</v>
      </c>
      <c r="W350" s="449">
        <f t="shared" ca="1" si="176"/>
        <v>0.85</v>
      </c>
      <c r="X350" s="452">
        <f t="shared" si="174"/>
        <v>60</v>
      </c>
      <c r="Y350" s="440">
        <v>14.8</v>
      </c>
      <c r="Z350" s="440">
        <f t="shared" ca="1" si="177"/>
        <v>2.7</v>
      </c>
      <c r="AA350" s="241">
        <v>46164</v>
      </c>
      <c r="AH350" s="242"/>
    </row>
    <row r="351" spans="2:34" ht="15.75" x14ac:dyDescent="0.25">
      <c r="B351" s="229" t="s">
        <v>619</v>
      </c>
      <c r="C351" s="235" t="s">
        <v>297</v>
      </c>
      <c r="D351" s="243">
        <v>800</v>
      </c>
      <c r="E351" s="232" t="s">
        <v>4</v>
      </c>
      <c r="F351" s="435">
        <v>3.03</v>
      </c>
      <c r="G351" s="234">
        <v>46140</v>
      </c>
      <c r="H351" s="235" t="s">
        <v>27</v>
      </c>
      <c r="I351" s="235"/>
      <c r="J351" s="440">
        <v>0.05</v>
      </c>
      <c r="K351" s="443">
        <f ca="1">ROUND(IF(ISERROR(OFFSET(Tabella!$A$1,MATCH(H351,Tabella!$A:$A,0)-1,MATCH(J351,Tabella!$A$1:$AC$1,0)-1)=TRUE),0,+OFFSET(Tabella!$A$1,MATCH(H351,Tabella!$A:$A,0)-1,MATCH(J351,Tabella!$A$1:$AC$1,0)-1)),4)</f>
        <v>0</v>
      </c>
      <c r="L351" s="446">
        <f ca="1">ROUND(IF(ISERROR(OFFSET(Ottone!$A$1,MATCH(H351,Ottone!$A:$A,0)-1,MATCH(J351,Ottone!$A$1:$Z$1,0)-1)=TRUE),0,OFFSET(Ottone!$A$1,MATCH(H351,Ottone!$A:$A,0)-1,MATCH(J351,Ottone!$A$1:$Z$1,0)-1))*IF(E351="Ottone",1,0),4)</f>
        <v>0</v>
      </c>
      <c r="M351" s="446">
        <f ca="1">ROUND(IF(ISERROR(OFFSET(Rame!$A$1,MATCH(H351,Rame!$A:$A,0)-1,MATCH(J351,Rame!$A$1:$AA$1,0)-1)=TRUE),0,OFFSET(Rame!$A$1,MATCH(H351,Rame!$A:$A,0)-1,MATCH(J351,Rame!$A$1:$AA$1,0)-1))*IF(E351="Rame",1,0),4)</f>
        <v>0</v>
      </c>
      <c r="N351" s="446">
        <v>0</v>
      </c>
      <c r="O351" s="446">
        <v>1.73</v>
      </c>
      <c r="P351" s="446">
        <f ca="1">ROUND(+IF(ISERROR(OFFSET(Tabella!$G$1,MATCH(H351,Tabella!$G:$G,0)-1,MATCH(I351,Tabella!$G$1:$FG$1,0)-1)=TRUE),0,OFFSET(Tabella!$G$1,MATCH(H351,Tabella!$G:$G,0)-1,MATCH(I351,Tabella!$G$1:$AB$1,0)-1)),4)</f>
        <v>0</v>
      </c>
      <c r="Q351" s="446">
        <f ca="1">ROUND(IF(ISERROR(OFFSET(Ottone!$F$1,MATCH(H351,Ottone!$A:$A,0)-1,MATCH(I351,Ottone!$F$1:$FF$1,0)-1)=TRUE),0,OFFSET(Ottone!$F$1,MATCH(H351,Ottone!$A:$A,0)-1,MATCH(I351,Ottone!$F$1:$FF$1,0)-1))*IF(E351="Ottone",1,0),4)</f>
        <v>0</v>
      </c>
      <c r="R351" s="446">
        <f ca="1">ROUND(IF(ISERROR(OFFSET(Rame!$F$1,MATCH(H351,Rame!$F:$F,0)-1,MATCH(I351,Rame!$F$1:$FF$1,0)-1)=TRUE),0,OFFSET(Rame!$F$1,MATCH(H351,Rame!$F:$F,0)-1,MATCH(I351,Rame!$F$1:$FF$1,0)-1))*IF(E351="Rame",1,0),4)</f>
        <v>0</v>
      </c>
      <c r="S351" s="446">
        <f ca="1">ROUND(IF(ISERROR(OFFSET(Bronzo!$A$1,MATCH(H351,Bronzo!$A:$A,0)-1,MATCH(I351,Bronzo!$A$1:$AA$1,0)-1)=TRUE),0,OFFSET(Bronzo!$A$1,MATCH(H351,Bronzo!$A:$A,0)-1,MATCH(I351,Bronzo!$A$1:$AA$1,0)-1)),4)</f>
        <v>0</v>
      </c>
      <c r="T351" s="446">
        <f t="shared" ca="1" si="175"/>
        <v>0</v>
      </c>
      <c r="U351" s="443"/>
      <c r="V351" s="446">
        <v>0</v>
      </c>
      <c r="W351" s="449">
        <f t="shared" ca="1" si="176"/>
        <v>1.73</v>
      </c>
      <c r="X351" s="452">
        <f t="shared" si="174"/>
        <v>40</v>
      </c>
      <c r="Y351" s="440">
        <v>4.7</v>
      </c>
      <c r="Z351" s="440">
        <f t="shared" ca="1" si="177"/>
        <v>-0.06</v>
      </c>
      <c r="AA351" s="241">
        <v>46164</v>
      </c>
      <c r="AH351" s="242"/>
    </row>
    <row r="352" spans="2:34" ht="15.75" x14ac:dyDescent="0.25">
      <c r="B352" s="229" t="s">
        <v>619</v>
      </c>
      <c r="C352" s="235" t="s">
        <v>297</v>
      </c>
      <c r="D352" s="243">
        <v>500</v>
      </c>
      <c r="E352" s="232" t="s">
        <v>4</v>
      </c>
      <c r="F352" s="435">
        <v>3.03</v>
      </c>
      <c r="G352" s="234">
        <v>46140</v>
      </c>
      <c r="H352" s="235" t="s">
        <v>25</v>
      </c>
      <c r="I352" s="235"/>
      <c r="J352" s="440">
        <v>0.05</v>
      </c>
      <c r="K352" s="443">
        <f ca="1">ROUND(IF(ISERROR(OFFSET(Tabella!$A$1,MATCH(H352,Tabella!$A:$A,0)-1,MATCH(J352,Tabella!$A$1:$AC$1,0)-1)=TRUE),0,+OFFSET(Tabella!$A$1,MATCH(H352,Tabella!$A:$A,0)-1,MATCH(J352,Tabella!$A$1:$AC$1,0)-1)),4)</f>
        <v>0</v>
      </c>
      <c r="L352" s="446">
        <f ca="1">ROUND(IF(ISERROR(OFFSET(Ottone!$A$1,MATCH(H352,Ottone!$A:$A,0)-1,MATCH(J352,Ottone!$A$1:$Z$1,0)-1)=TRUE),0,OFFSET(Ottone!$A$1,MATCH(H352,Ottone!$A:$A,0)-1,MATCH(J352,Ottone!$A$1:$Z$1,0)-1))*IF(E352="Ottone",1,0),4)</f>
        <v>0</v>
      </c>
      <c r="M352" s="446">
        <f ca="1">ROUND(IF(ISERROR(OFFSET(Rame!$A$1,MATCH(H352,Rame!$A:$A,0)-1,MATCH(J352,Rame!$A$1:$AA$1,0)-1)=TRUE),0,OFFSET(Rame!$A$1,MATCH(H352,Rame!$A:$A,0)-1,MATCH(J352,Rame!$A$1:$AA$1,0)-1))*IF(E352="Rame",1,0),4)</f>
        <v>0</v>
      </c>
      <c r="N352" s="446">
        <v>0</v>
      </c>
      <c r="O352" s="446">
        <v>1.73</v>
      </c>
      <c r="P352" s="446">
        <f ca="1">ROUND(+IF(ISERROR(OFFSET(Tabella!$G$1,MATCH(H352,Tabella!$G:$G,0)-1,MATCH(I352,Tabella!$G$1:$FG$1,0)-1)=TRUE),0,OFFSET(Tabella!$G$1,MATCH(H352,Tabella!$G:$G,0)-1,MATCH(I352,Tabella!$G$1:$AB$1,0)-1)),4)</f>
        <v>0</v>
      </c>
      <c r="Q352" s="446">
        <f ca="1">ROUND(IF(ISERROR(OFFSET(Ottone!$F$1,MATCH(H352,Ottone!$A:$A,0)-1,MATCH(I352,Ottone!$F$1:$FF$1,0)-1)=TRUE),0,OFFSET(Ottone!$F$1,MATCH(H352,Ottone!$A:$A,0)-1,MATCH(I352,Ottone!$F$1:$FF$1,0)-1))*IF(E352="Ottone",1,0),4)</f>
        <v>0</v>
      </c>
      <c r="R352" s="446">
        <f ca="1">ROUND(IF(ISERROR(OFFSET(Rame!$F$1,MATCH(H352,Rame!$F:$F,0)-1,MATCH(I352,Rame!$F$1:$FF$1,0)-1)=TRUE),0,OFFSET(Rame!$F$1,MATCH(H352,Rame!$F:$F,0)-1,MATCH(I352,Rame!$F$1:$FF$1,0)-1))*IF(E352="Rame",1,0),4)</f>
        <v>0</v>
      </c>
      <c r="S352" s="446">
        <f ca="1">ROUND(IF(ISERROR(OFFSET(Bronzo!$A$1,MATCH(H352,Bronzo!$A:$A,0)-1,MATCH(I352,Bronzo!$A$1:$AA$1,0)-1)=TRUE),0,OFFSET(Bronzo!$A$1,MATCH(H352,Bronzo!$A:$A,0)-1,MATCH(I352,Bronzo!$A$1:$AA$1,0)-1)),4)</f>
        <v>0</v>
      </c>
      <c r="T352" s="446">
        <f t="shared" ca="1" si="175"/>
        <v>0</v>
      </c>
      <c r="U352" s="443"/>
      <c r="V352" s="446">
        <v>0</v>
      </c>
      <c r="W352" s="449">
        <f t="shared" ca="1" si="176"/>
        <v>1.73</v>
      </c>
      <c r="X352" s="452">
        <f t="shared" si="174"/>
        <v>25</v>
      </c>
      <c r="Y352" s="440">
        <v>4.7</v>
      </c>
      <c r="Z352" s="440">
        <f t="shared" ca="1" si="177"/>
        <v>-0.06</v>
      </c>
      <c r="AA352" s="241">
        <v>46164</v>
      </c>
      <c r="AH352" s="242"/>
    </row>
    <row r="353" spans="2:34" ht="15.75" x14ac:dyDescent="0.25">
      <c r="B353" s="229" t="s">
        <v>619</v>
      </c>
      <c r="C353" s="235" t="s">
        <v>297</v>
      </c>
      <c r="D353" s="243">
        <v>500</v>
      </c>
      <c r="E353" s="232" t="s">
        <v>4</v>
      </c>
      <c r="F353" s="435">
        <v>3.03</v>
      </c>
      <c r="G353" s="234">
        <v>46140</v>
      </c>
      <c r="H353" s="235" t="s">
        <v>26</v>
      </c>
      <c r="I353" s="235"/>
      <c r="J353" s="440">
        <v>0.05</v>
      </c>
      <c r="K353" s="443">
        <f ca="1">ROUND(IF(ISERROR(OFFSET(Tabella!$A$1,MATCH(H353,Tabella!$A:$A,0)-1,MATCH(J353,Tabella!$A$1:$AC$1,0)-1)=TRUE),0,+OFFSET(Tabella!$A$1,MATCH(H353,Tabella!$A:$A,0)-1,MATCH(J353,Tabella!$A$1:$AC$1,0)-1)),4)</f>
        <v>0</v>
      </c>
      <c r="L353" s="446">
        <f ca="1">ROUND(IF(ISERROR(OFFSET(Ottone!$A$1,MATCH(H353,Ottone!$A:$A,0)-1,MATCH(J353,Ottone!$A$1:$Z$1,0)-1)=TRUE),0,OFFSET(Ottone!$A$1,MATCH(H353,Ottone!$A:$A,0)-1,MATCH(J353,Ottone!$A$1:$Z$1,0)-1))*IF(E353="Ottone",1,0),4)</f>
        <v>0</v>
      </c>
      <c r="M353" s="446">
        <f ca="1">ROUND(IF(ISERROR(OFFSET(Rame!$A$1,MATCH(H353,Rame!$A:$A,0)-1,MATCH(J353,Rame!$A$1:$AA$1,0)-1)=TRUE),0,OFFSET(Rame!$A$1,MATCH(H353,Rame!$A:$A,0)-1,MATCH(J353,Rame!$A$1:$AA$1,0)-1))*IF(E353="Rame",1,0),4)</f>
        <v>0</v>
      </c>
      <c r="N353" s="446">
        <v>0</v>
      </c>
      <c r="O353" s="446">
        <v>1.73</v>
      </c>
      <c r="P353" s="446">
        <f ca="1">ROUND(+IF(ISERROR(OFFSET(Tabella!$G$1,MATCH(H353,Tabella!$G:$G,0)-1,MATCH(I353,Tabella!$G$1:$FG$1,0)-1)=TRUE),0,OFFSET(Tabella!$G$1,MATCH(H353,Tabella!$G:$G,0)-1,MATCH(I353,Tabella!$G$1:$AB$1,0)-1)),4)</f>
        <v>0</v>
      </c>
      <c r="Q353" s="446">
        <f ca="1">ROUND(IF(ISERROR(OFFSET(Ottone!$F$1,MATCH(H353,Ottone!$A:$A,0)-1,MATCH(I353,Ottone!$F$1:$FF$1,0)-1)=TRUE),0,OFFSET(Ottone!$F$1,MATCH(H353,Ottone!$A:$A,0)-1,MATCH(I353,Ottone!$F$1:$FF$1,0)-1))*IF(E353="Ottone",1,0),4)</f>
        <v>0</v>
      </c>
      <c r="R353" s="446">
        <f ca="1">ROUND(IF(ISERROR(OFFSET(Rame!$F$1,MATCH(H353,Rame!$F:$F,0)-1,MATCH(I353,Rame!$F$1:$FF$1,0)-1)=TRUE),0,OFFSET(Rame!$F$1,MATCH(H353,Rame!$F:$F,0)-1,MATCH(I353,Rame!$F$1:$FF$1,0)-1))*IF(E353="Rame",1,0),4)</f>
        <v>0</v>
      </c>
      <c r="S353" s="446">
        <f ca="1">ROUND(IF(ISERROR(OFFSET(Bronzo!$A$1,MATCH(H353,Bronzo!$A:$A,0)-1,MATCH(I353,Bronzo!$A$1:$AA$1,0)-1)=TRUE),0,OFFSET(Bronzo!$A$1,MATCH(H353,Bronzo!$A:$A,0)-1,MATCH(I353,Bronzo!$A$1:$AA$1,0)-1)),4)</f>
        <v>0</v>
      </c>
      <c r="T353" s="446">
        <f t="shared" ca="1" si="175"/>
        <v>0</v>
      </c>
      <c r="U353" s="443"/>
      <c r="V353" s="446">
        <v>0</v>
      </c>
      <c r="W353" s="449">
        <f t="shared" ca="1" si="176"/>
        <v>1.73</v>
      </c>
      <c r="X353" s="452">
        <f t="shared" si="174"/>
        <v>25</v>
      </c>
      <c r="Y353" s="440">
        <v>4.7</v>
      </c>
      <c r="Z353" s="440">
        <f t="shared" ca="1" si="177"/>
        <v>-0.06</v>
      </c>
      <c r="AA353" s="241">
        <v>46164</v>
      </c>
      <c r="AH353" s="242"/>
    </row>
    <row r="354" spans="2:34" ht="15.75" x14ac:dyDescent="0.25">
      <c r="B354" s="229" t="s">
        <v>619</v>
      </c>
      <c r="C354" s="235" t="s">
        <v>297</v>
      </c>
      <c r="D354" s="243">
        <v>600</v>
      </c>
      <c r="E354" s="232" t="s">
        <v>4</v>
      </c>
      <c r="F354" s="435">
        <v>3.03</v>
      </c>
      <c r="G354" s="234">
        <v>46140</v>
      </c>
      <c r="H354" s="235" t="s">
        <v>314</v>
      </c>
      <c r="I354" s="235"/>
      <c r="J354" s="440">
        <v>0.05</v>
      </c>
      <c r="K354" s="443">
        <f ca="1">ROUND(IF(ISERROR(OFFSET(Tabella!$A$1,MATCH(H354,Tabella!$A:$A,0)-1,MATCH(J354,Tabella!$A$1:$AC$1,0)-1)=TRUE),0,+OFFSET(Tabella!$A$1,MATCH(H354,Tabella!$A:$A,0)-1,MATCH(J354,Tabella!$A$1:$AC$1,0)-1)),4)</f>
        <v>0</v>
      </c>
      <c r="L354" s="446">
        <f ca="1">ROUND(IF(ISERROR(OFFSET(Ottone!$A$1,MATCH(H354,Ottone!$A:$A,0)-1,MATCH(J354,Ottone!$A$1:$Z$1,0)-1)=TRUE),0,OFFSET(Ottone!$A$1,MATCH(H354,Ottone!$A:$A,0)-1,MATCH(J354,Ottone!$A$1:$Z$1,0)-1))*IF(E354="Ottone",1,0),4)</f>
        <v>0</v>
      </c>
      <c r="M354" s="446">
        <f ca="1">ROUND(IF(ISERROR(OFFSET(Rame!$A$1,MATCH(H354,Rame!$A:$A,0)-1,MATCH(J354,Rame!$A$1:$AA$1,0)-1)=TRUE),0,OFFSET(Rame!$A$1,MATCH(H354,Rame!$A:$A,0)-1,MATCH(J354,Rame!$A$1:$AA$1,0)-1))*IF(E354="Rame",1,0),4)</f>
        <v>0</v>
      </c>
      <c r="N354" s="446">
        <v>0</v>
      </c>
      <c r="O354" s="446">
        <v>1.73</v>
      </c>
      <c r="P354" s="446">
        <f ca="1">ROUND(+IF(ISERROR(OFFSET(Tabella!$G$1,MATCH(H354,Tabella!$G:$G,0)-1,MATCH(I354,Tabella!$G$1:$FG$1,0)-1)=TRUE),0,OFFSET(Tabella!$G$1,MATCH(H354,Tabella!$G:$G,0)-1,MATCH(I354,Tabella!$G$1:$AB$1,0)-1)),4)</f>
        <v>0</v>
      </c>
      <c r="Q354" s="446">
        <f ca="1">ROUND(IF(ISERROR(OFFSET(Ottone!$F$1,MATCH(H354,Ottone!$A:$A,0)-1,MATCH(I354,Ottone!$F$1:$FF$1,0)-1)=TRUE),0,OFFSET(Ottone!$F$1,MATCH(H354,Ottone!$A:$A,0)-1,MATCH(I354,Ottone!$F$1:$FF$1,0)-1))*IF(E354="Ottone",1,0),4)</f>
        <v>0</v>
      </c>
      <c r="R354" s="446">
        <f ca="1">ROUND(IF(ISERROR(OFFSET(Rame!$F$1,MATCH(H354,Rame!$F:$F,0)-1,MATCH(I354,Rame!$F$1:$FF$1,0)-1)=TRUE),0,OFFSET(Rame!$F$1,MATCH(H354,Rame!$F:$F,0)-1,MATCH(I354,Rame!$F$1:$FF$1,0)-1))*IF(E354="Rame",1,0),4)</f>
        <v>0</v>
      </c>
      <c r="S354" s="446">
        <f ca="1">ROUND(IF(ISERROR(OFFSET(Bronzo!$A$1,MATCH(H354,Bronzo!$A:$A,0)-1,MATCH(I354,Bronzo!$A$1:$AA$1,0)-1)=TRUE),0,OFFSET(Bronzo!$A$1,MATCH(H354,Bronzo!$A:$A,0)-1,MATCH(I354,Bronzo!$A$1:$AA$1,0)-1)),4)</f>
        <v>0</v>
      </c>
      <c r="T354" s="446">
        <f t="shared" ca="1" si="175"/>
        <v>0</v>
      </c>
      <c r="U354" s="443"/>
      <c r="V354" s="446">
        <v>0</v>
      </c>
      <c r="W354" s="449">
        <f t="shared" ca="1" si="176"/>
        <v>1.73</v>
      </c>
      <c r="X354" s="452">
        <f t="shared" si="174"/>
        <v>30</v>
      </c>
      <c r="Y354" s="440">
        <v>4.7</v>
      </c>
      <c r="Z354" s="440">
        <f t="shared" ca="1" si="177"/>
        <v>-0.06</v>
      </c>
      <c r="AA354" s="241">
        <v>46164</v>
      </c>
      <c r="AH354" s="242"/>
    </row>
    <row r="355" spans="2:34" ht="15.75" x14ac:dyDescent="0.25">
      <c r="B355" s="229" t="s">
        <v>619</v>
      </c>
      <c r="C355" s="235" t="s">
        <v>297</v>
      </c>
      <c r="D355" s="243">
        <v>800</v>
      </c>
      <c r="E355" s="232" t="s">
        <v>4</v>
      </c>
      <c r="F355" s="435">
        <v>3.03</v>
      </c>
      <c r="G355" s="234">
        <v>46140</v>
      </c>
      <c r="H355" s="235" t="s">
        <v>23</v>
      </c>
      <c r="I355" s="235"/>
      <c r="J355" s="440">
        <v>0.05</v>
      </c>
      <c r="K355" s="443">
        <f ca="1">ROUND(IF(ISERROR(OFFSET(Tabella!$A$1,MATCH(H355,Tabella!$A:$A,0)-1,MATCH(J355,Tabella!$A$1:$AC$1,0)-1)=TRUE),0,+OFFSET(Tabella!$A$1,MATCH(H355,Tabella!$A:$A,0)-1,MATCH(J355,Tabella!$A$1:$AC$1,0)-1)),4)</f>
        <v>0</v>
      </c>
      <c r="L355" s="446">
        <f ca="1">ROUND(IF(ISERROR(OFFSET(Ottone!$A$1,MATCH(H355,Ottone!$A:$A,0)-1,MATCH(J355,Ottone!$A$1:$Z$1,0)-1)=TRUE),0,OFFSET(Ottone!$A$1,MATCH(H355,Ottone!$A:$A,0)-1,MATCH(J355,Ottone!$A$1:$Z$1,0)-1))*IF(E355="Ottone",1,0),4)</f>
        <v>0</v>
      </c>
      <c r="M355" s="446">
        <f ca="1">ROUND(IF(ISERROR(OFFSET(Rame!$A$1,MATCH(H355,Rame!$A:$A,0)-1,MATCH(J355,Rame!$A$1:$AA$1,0)-1)=TRUE),0,OFFSET(Rame!$A$1,MATCH(H355,Rame!$A:$A,0)-1,MATCH(J355,Rame!$A$1:$AA$1,0)-1))*IF(E355="Rame",1,0),4)</f>
        <v>0</v>
      </c>
      <c r="N355" s="446">
        <v>0</v>
      </c>
      <c r="O355" s="446">
        <v>1.73</v>
      </c>
      <c r="P355" s="446">
        <f ca="1">ROUND(+IF(ISERROR(OFFSET(Tabella!$G$1,MATCH(H355,Tabella!$G:$G,0)-1,MATCH(I355,Tabella!$G$1:$FG$1,0)-1)=TRUE),0,OFFSET(Tabella!$G$1,MATCH(H355,Tabella!$G:$G,0)-1,MATCH(I355,Tabella!$G$1:$AB$1,0)-1)),4)</f>
        <v>0</v>
      </c>
      <c r="Q355" s="446">
        <f ca="1">ROUND(IF(ISERROR(OFFSET(Ottone!$F$1,MATCH(H355,Ottone!$A:$A,0)-1,MATCH(I355,Ottone!$F$1:$FF$1,0)-1)=TRUE),0,OFFSET(Ottone!$F$1,MATCH(H355,Ottone!$A:$A,0)-1,MATCH(I355,Ottone!$F$1:$FF$1,0)-1))*IF(E355="Ottone",1,0),4)</f>
        <v>0</v>
      </c>
      <c r="R355" s="446">
        <f ca="1">ROUND(IF(ISERROR(OFFSET(Rame!$F$1,MATCH(H355,Rame!$F:$F,0)-1,MATCH(I355,Rame!$F$1:$FF$1,0)-1)=TRUE),0,OFFSET(Rame!$F$1,MATCH(H355,Rame!$F:$F,0)-1,MATCH(I355,Rame!$F$1:$FF$1,0)-1))*IF(E355="Rame",1,0),4)</f>
        <v>0</v>
      </c>
      <c r="S355" s="446">
        <f ca="1">ROUND(IF(ISERROR(OFFSET(Bronzo!$A$1,MATCH(H355,Bronzo!$A:$A,0)-1,MATCH(I355,Bronzo!$A$1:$AA$1,0)-1)=TRUE),0,OFFSET(Bronzo!$A$1,MATCH(H355,Bronzo!$A:$A,0)-1,MATCH(I355,Bronzo!$A$1:$AA$1,0)-1)),4)</f>
        <v>0</v>
      </c>
      <c r="T355" s="446">
        <f t="shared" ca="1" si="175"/>
        <v>0</v>
      </c>
      <c r="U355" s="443"/>
      <c r="V355" s="446">
        <v>0</v>
      </c>
      <c r="W355" s="449">
        <f t="shared" ca="1" si="176"/>
        <v>1.73</v>
      </c>
      <c r="X355" s="452">
        <f t="shared" si="174"/>
        <v>40</v>
      </c>
      <c r="Y355" s="440">
        <v>4.7</v>
      </c>
      <c r="Z355" s="440">
        <f t="shared" ca="1" si="177"/>
        <v>-0.06</v>
      </c>
      <c r="AA355" s="241">
        <v>46164</v>
      </c>
      <c r="AH355" s="242"/>
    </row>
    <row r="356" spans="2:34" ht="15.75" x14ac:dyDescent="0.25">
      <c r="B356" s="229" t="s">
        <v>619</v>
      </c>
      <c r="C356" s="235" t="s">
        <v>297</v>
      </c>
      <c r="D356" s="243">
        <v>800</v>
      </c>
      <c r="E356" s="232" t="s">
        <v>4</v>
      </c>
      <c r="F356" s="435">
        <v>3.03</v>
      </c>
      <c r="G356" s="234">
        <v>46140</v>
      </c>
      <c r="H356" s="235" t="s">
        <v>22</v>
      </c>
      <c r="I356" s="235"/>
      <c r="J356" s="440">
        <v>0.05</v>
      </c>
      <c r="K356" s="443">
        <f ca="1">ROUND(IF(ISERROR(OFFSET(Tabella!$A$1,MATCH(H356,Tabella!$A:$A,0)-1,MATCH(J356,Tabella!$A$1:$AC$1,0)-1)=TRUE),0,+OFFSET(Tabella!$A$1,MATCH(H356,Tabella!$A:$A,0)-1,MATCH(J356,Tabella!$A$1:$AC$1,0)-1)),4)</f>
        <v>0</v>
      </c>
      <c r="L356" s="446">
        <f ca="1">ROUND(IF(ISERROR(OFFSET(Ottone!$A$1,MATCH(H356,Ottone!$A:$A,0)-1,MATCH(J356,Ottone!$A$1:$Z$1,0)-1)=TRUE),0,OFFSET(Ottone!$A$1,MATCH(H356,Ottone!$A:$A,0)-1,MATCH(J356,Ottone!$A$1:$Z$1,0)-1))*IF(E356="Ottone",1,0),4)</f>
        <v>0</v>
      </c>
      <c r="M356" s="446">
        <f ca="1">ROUND(IF(ISERROR(OFFSET(Rame!$A$1,MATCH(H356,Rame!$A:$A,0)-1,MATCH(J356,Rame!$A$1:$AA$1,0)-1)=TRUE),0,OFFSET(Rame!$A$1,MATCH(H356,Rame!$A:$A,0)-1,MATCH(J356,Rame!$A$1:$AA$1,0)-1))*IF(E356="Rame",1,0),4)</f>
        <v>0</v>
      </c>
      <c r="N356" s="446">
        <v>0</v>
      </c>
      <c r="O356" s="446">
        <v>1.73</v>
      </c>
      <c r="P356" s="446">
        <f ca="1">ROUND(+IF(ISERROR(OFFSET(Tabella!$G$1,MATCH(H356,Tabella!$G:$G,0)-1,MATCH(I356,Tabella!$G$1:$FG$1,0)-1)=TRUE),0,OFFSET(Tabella!$G$1,MATCH(H356,Tabella!$G:$G,0)-1,MATCH(I356,Tabella!$G$1:$AB$1,0)-1)),4)</f>
        <v>0</v>
      </c>
      <c r="Q356" s="446">
        <f ca="1">ROUND(IF(ISERROR(OFFSET(Ottone!$F$1,MATCH(H356,Ottone!$A:$A,0)-1,MATCH(I356,Ottone!$F$1:$FF$1,0)-1)=TRUE),0,OFFSET(Ottone!$F$1,MATCH(H356,Ottone!$A:$A,0)-1,MATCH(I356,Ottone!$F$1:$FF$1,0)-1))*IF(E356="Ottone",1,0),4)</f>
        <v>0</v>
      </c>
      <c r="R356" s="446">
        <f ca="1">ROUND(IF(ISERROR(OFFSET(Rame!$F$1,MATCH(H356,Rame!$F:$F,0)-1,MATCH(I356,Rame!$F$1:$FF$1,0)-1)=TRUE),0,OFFSET(Rame!$F$1,MATCH(H356,Rame!$F:$F,0)-1,MATCH(I356,Rame!$F$1:$FF$1,0)-1))*IF(E356="Rame",1,0),4)</f>
        <v>0</v>
      </c>
      <c r="S356" s="446">
        <f ca="1">ROUND(IF(ISERROR(OFFSET(Bronzo!$A$1,MATCH(H356,Bronzo!$A:$A,0)-1,MATCH(I356,Bronzo!$A$1:$AA$1,0)-1)=TRUE),0,OFFSET(Bronzo!$A$1,MATCH(H356,Bronzo!$A:$A,0)-1,MATCH(I356,Bronzo!$A$1:$AA$1,0)-1)),4)</f>
        <v>0</v>
      </c>
      <c r="T356" s="446">
        <f t="shared" ca="1" si="175"/>
        <v>0</v>
      </c>
      <c r="U356" s="443"/>
      <c r="V356" s="446">
        <v>0</v>
      </c>
      <c r="W356" s="449">
        <f t="shared" ca="1" si="176"/>
        <v>1.73</v>
      </c>
      <c r="X356" s="452">
        <f t="shared" si="174"/>
        <v>40</v>
      </c>
      <c r="Y356" s="440">
        <v>4.7</v>
      </c>
      <c r="Z356" s="440">
        <f t="shared" ca="1" si="177"/>
        <v>-0.06</v>
      </c>
      <c r="AA356" s="241">
        <v>46164</v>
      </c>
      <c r="AH356" s="242"/>
    </row>
    <row r="357" spans="2:34" ht="15.75" x14ac:dyDescent="0.25">
      <c r="B357" s="229" t="s">
        <v>619</v>
      </c>
      <c r="C357" s="235" t="s">
        <v>297</v>
      </c>
      <c r="D357" s="243">
        <v>400</v>
      </c>
      <c r="E357" s="232" t="s">
        <v>4</v>
      </c>
      <c r="F357" s="435">
        <v>3.03</v>
      </c>
      <c r="G357" s="234">
        <v>46140</v>
      </c>
      <c r="H357" s="235" t="s">
        <v>21</v>
      </c>
      <c r="I357" s="235"/>
      <c r="J357" s="440">
        <v>0.05</v>
      </c>
      <c r="K357" s="443">
        <f ca="1">ROUND(IF(ISERROR(OFFSET(Tabella!$A$1,MATCH(H357,Tabella!$A:$A,0)-1,MATCH(J357,Tabella!$A$1:$AC$1,0)-1)=TRUE),0,+OFFSET(Tabella!$A$1,MATCH(H357,Tabella!$A:$A,0)-1,MATCH(J357,Tabella!$A$1:$AC$1,0)-1)),4)</f>
        <v>0</v>
      </c>
      <c r="L357" s="446">
        <f ca="1">ROUND(IF(ISERROR(OFFSET(Ottone!$A$1,MATCH(H357,Ottone!$A:$A,0)-1,MATCH(J357,Ottone!$A$1:$Z$1,0)-1)=TRUE),0,OFFSET(Ottone!$A$1,MATCH(H357,Ottone!$A:$A,0)-1,MATCH(J357,Ottone!$A$1:$Z$1,0)-1))*IF(E357="Ottone",1,0),4)</f>
        <v>0</v>
      </c>
      <c r="M357" s="446">
        <f ca="1">ROUND(IF(ISERROR(OFFSET(Rame!$A$1,MATCH(H357,Rame!$A:$A,0)-1,MATCH(J357,Rame!$A$1:$AA$1,0)-1)=TRUE),0,OFFSET(Rame!$A$1,MATCH(H357,Rame!$A:$A,0)-1,MATCH(J357,Rame!$A$1:$AA$1,0)-1))*IF(E357="Rame",1,0),4)</f>
        <v>0</v>
      </c>
      <c r="N357" s="446">
        <v>0</v>
      </c>
      <c r="O357" s="446">
        <v>1.73</v>
      </c>
      <c r="P357" s="446">
        <f ca="1">ROUND(+IF(ISERROR(OFFSET(Tabella!$G$1,MATCH(H357,Tabella!$G:$G,0)-1,MATCH(I357,Tabella!$G$1:$FG$1,0)-1)=TRUE),0,OFFSET(Tabella!$G$1,MATCH(H357,Tabella!$G:$G,0)-1,MATCH(I357,Tabella!$G$1:$AB$1,0)-1)),4)</f>
        <v>0</v>
      </c>
      <c r="Q357" s="446">
        <f ca="1">ROUND(IF(ISERROR(OFFSET(Ottone!$F$1,MATCH(H357,Ottone!$A:$A,0)-1,MATCH(I357,Ottone!$F$1:$FF$1,0)-1)=TRUE),0,OFFSET(Ottone!$F$1,MATCH(H357,Ottone!$A:$A,0)-1,MATCH(I357,Ottone!$F$1:$FF$1,0)-1))*IF(E357="Ottone",1,0),4)</f>
        <v>0</v>
      </c>
      <c r="R357" s="446">
        <f ca="1">ROUND(IF(ISERROR(OFFSET(Rame!$F$1,MATCH(H357,Rame!$F:$F,0)-1,MATCH(I357,Rame!$F$1:$FF$1,0)-1)=TRUE),0,OFFSET(Rame!$F$1,MATCH(H357,Rame!$F:$F,0)-1,MATCH(I357,Rame!$F$1:$FF$1,0)-1))*IF(E357="Rame",1,0),4)</f>
        <v>0</v>
      </c>
      <c r="S357" s="446">
        <f ca="1">ROUND(IF(ISERROR(OFFSET(Bronzo!$A$1,MATCH(H357,Bronzo!$A:$A,0)-1,MATCH(I357,Bronzo!$A$1:$AA$1,0)-1)=TRUE),0,OFFSET(Bronzo!$A$1,MATCH(H357,Bronzo!$A:$A,0)-1,MATCH(I357,Bronzo!$A$1:$AA$1,0)-1)),4)</f>
        <v>0</v>
      </c>
      <c r="T357" s="446">
        <f t="shared" ca="1" si="175"/>
        <v>0</v>
      </c>
      <c r="U357" s="443"/>
      <c r="V357" s="446">
        <v>0</v>
      </c>
      <c r="W357" s="449">
        <f t="shared" ca="1" si="176"/>
        <v>1.73</v>
      </c>
      <c r="X357" s="452">
        <f t="shared" si="174"/>
        <v>20</v>
      </c>
      <c r="Y357" s="440">
        <v>4.7</v>
      </c>
      <c r="Z357" s="440">
        <f t="shared" ca="1" si="177"/>
        <v>-0.06</v>
      </c>
      <c r="AA357" s="241">
        <v>46164</v>
      </c>
      <c r="AH357" s="242"/>
    </row>
    <row r="358" spans="2:34" ht="15.75" x14ac:dyDescent="0.25">
      <c r="B358" s="229" t="s">
        <v>627</v>
      </c>
      <c r="C358" s="235" t="s">
        <v>108</v>
      </c>
      <c r="D358" s="243">
        <v>800</v>
      </c>
      <c r="E358" s="232" t="s">
        <v>4</v>
      </c>
      <c r="F358" s="435">
        <v>2.98</v>
      </c>
      <c r="G358" s="234">
        <v>46097</v>
      </c>
      <c r="H358" s="235" t="s">
        <v>29</v>
      </c>
      <c r="I358" s="235"/>
      <c r="J358" s="440">
        <v>7.0000000000000007E-2</v>
      </c>
      <c r="K358" s="443">
        <f ca="1">ROUND(IF(ISERROR(OFFSET(Tabella!$A$1,MATCH(H358,Tabella!$A:$A,0)-1,MATCH(J358,Tabella!$A$1:$AC$1,0)-1)=TRUE),0,+OFFSET(Tabella!$A$1,MATCH(H358,Tabella!$A:$A,0)-1,MATCH(J358,Tabella!$A$1:$AC$1,0)-1)),4)</f>
        <v>1.3</v>
      </c>
      <c r="L358" s="446">
        <f ca="1">ROUND(IF(ISERROR(OFFSET(Ottone!$A$1,MATCH(H358,Ottone!$A:$A,0)-1,MATCH(J358,Ottone!$A$1:$Z$1,0)-1)=TRUE),0,OFFSET(Ottone!$A$1,MATCH(H358,Ottone!$A:$A,0)-1,MATCH(J358,Ottone!$A$1:$Z$1,0)-1))*IF(E358="Ottone",1,0),4)</f>
        <v>0</v>
      </c>
      <c r="M358" s="446">
        <f ca="1">ROUND(IF(ISERROR(OFFSET(Rame!$A$1,MATCH(H358,Rame!$A:$A,0)-1,MATCH(J358,Rame!$A$1:$AA$1,0)-1)=TRUE),0,OFFSET(Rame!$A$1,MATCH(H358,Rame!$A:$A,0)-1,MATCH(J358,Rame!$A$1:$AA$1,0)-1))*IF(E358="Rame",1,0),4)</f>
        <v>0</v>
      </c>
      <c r="N358" s="446">
        <v>0</v>
      </c>
      <c r="O358" s="446">
        <v>1.6</v>
      </c>
      <c r="P358" s="446">
        <f ca="1">ROUND(+IF(ISERROR(OFFSET(Tabella!$G$1,MATCH(H358,Tabella!$G:$G,0)-1,MATCH(I358,Tabella!$G$1:$FG$1,0)-1)=TRUE),0,OFFSET(Tabella!$G$1,MATCH(H358,Tabella!$G:$G,0)-1,MATCH(I358,Tabella!$G$1:$AB$1,0)-1)),4)</f>
        <v>0</v>
      </c>
      <c r="Q358" s="446">
        <f ca="1">ROUND(IF(ISERROR(OFFSET(Ottone!$F$1,MATCH(H358,Ottone!$A:$A,0)-1,MATCH(I358,Ottone!$F$1:$FF$1,0)-1)=TRUE),0,OFFSET(Ottone!$F$1,MATCH(H358,Ottone!$A:$A,0)-1,MATCH(I358,Ottone!$F$1:$FF$1,0)-1))*IF(E358="Ottone",1,0),4)</f>
        <v>0</v>
      </c>
      <c r="R358" s="446">
        <f ca="1">ROUND(IF(ISERROR(OFFSET(Rame!$F$1,MATCH(H358,Rame!$F:$F,0)-1,MATCH(I358,Rame!$F$1:$FF$1,0)-1)=TRUE),0,OFFSET(Rame!$F$1,MATCH(H358,Rame!$F:$F,0)-1,MATCH(I358,Rame!$F$1:$FF$1,0)-1))*IF(E358="Rame",1,0),4)</f>
        <v>0</v>
      </c>
      <c r="S358" s="446">
        <f ca="1">ROUND(IF(ISERROR(OFFSET(Bronzo!$A$1,MATCH(H358,Bronzo!$A:$A,0)-1,MATCH(I358,Bronzo!$A$1:$AA$1,0)-1)=TRUE),0,OFFSET(Bronzo!$A$1,MATCH(H358,Bronzo!$A:$A,0)-1,MATCH(I358,Bronzo!$A$1:$AA$1,0)-1)),4)</f>
        <v>0</v>
      </c>
      <c r="T358" s="446">
        <f t="shared" ca="1" si="175"/>
        <v>0</v>
      </c>
      <c r="U358" s="443"/>
      <c r="V358" s="446">
        <v>0</v>
      </c>
      <c r="W358" s="449">
        <f t="shared" ca="1" si="176"/>
        <v>1.6</v>
      </c>
      <c r="X358" s="452">
        <f t="shared" si="174"/>
        <v>56</v>
      </c>
      <c r="Y358" s="440">
        <v>4.58</v>
      </c>
      <c r="Z358" s="440">
        <f t="shared" ca="1" si="177"/>
        <v>0</v>
      </c>
      <c r="AA358" s="241">
        <v>46157</v>
      </c>
      <c r="AH358" s="242"/>
    </row>
    <row r="359" spans="2:34" ht="15.75" x14ac:dyDescent="0.25">
      <c r="B359" s="229" t="s">
        <v>627</v>
      </c>
      <c r="C359" s="235" t="s">
        <v>108</v>
      </c>
      <c r="D359" s="243">
        <v>850</v>
      </c>
      <c r="E359" s="232" t="s">
        <v>4</v>
      </c>
      <c r="F359" s="435">
        <v>2.98</v>
      </c>
      <c r="G359" s="234">
        <v>46097</v>
      </c>
      <c r="H359" s="235" t="s">
        <v>314</v>
      </c>
      <c r="I359" s="235"/>
      <c r="J359" s="440">
        <v>7.0000000000000007E-2</v>
      </c>
      <c r="K359" s="443">
        <f ca="1">ROUND(IF(ISERROR(OFFSET(Tabella!$A$1,MATCH(H359,Tabella!$A:$A,0)-1,MATCH(J359,Tabella!$A$1:$AC$1,0)-1)=TRUE),0,+OFFSET(Tabella!$A$1,MATCH(H359,Tabella!$A:$A,0)-1,MATCH(J359,Tabella!$A$1:$AC$1,0)-1)),4)</f>
        <v>1.25</v>
      </c>
      <c r="L359" s="446">
        <f ca="1">ROUND(IF(ISERROR(OFFSET(Ottone!$A$1,MATCH(H359,Ottone!$A:$A,0)-1,MATCH(J359,Ottone!$A$1:$Z$1,0)-1)=TRUE),0,OFFSET(Ottone!$A$1,MATCH(H359,Ottone!$A:$A,0)-1,MATCH(J359,Ottone!$A$1:$Z$1,0)-1))*IF(E359="Ottone",1,0),4)</f>
        <v>0</v>
      </c>
      <c r="M359" s="446">
        <f ca="1">ROUND(IF(ISERROR(OFFSET(Rame!$A$1,MATCH(H359,Rame!$A:$A,0)-1,MATCH(J359,Rame!$A$1:$AA$1,0)-1)=TRUE),0,OFFSET(Rame!$A$1,MATCH(H359,Rame!$A:$A,0)-1,MATCH(J359,Rame!$A$1:$AA$1,0)-1))*IF(E359="Rame",1,0),4)</f>
        <v>0</v>
      </c>
      <c r="N359" s="446">
        <v>0</v>
      </c>
      <c r="O359" s="446">
        <v>1.6</v>
      </c>
      <c r="P359" s="446">
        <f ca="1">ROUND(+IF(ISERROR(OFFSET(Tabella!$G$1,MATCH(H359,Tabella!$G:$G,0)-1,MATCH(I359,Tabella!$G$1:$FG$1,0)-1)=TRUE),0,OFFSET(Tabella!$G$1,MATCH(H359,Tabella!$G:$G,0)-1,MATCH(I359,Tabella!$G$1:$AB$1,0)-1)),4)</f>
        <v>0</v>
      </c>
      <c r="Q359" s="446">
        <f ca="1">ROUND(IF(ISERROR(OFFSET(Ottone!$F$1,MATCH(H359,Ottone!$A:$A,0)-1,MATCH(I359,Ottone!$F$1:$FF$1,0)-1)=TRUE),0,OFFSET(Ottone!$F$1,MATCH(H359,Ottone!$A:$A,0)-1,MATCH(I359,Ottone!$F$1:$FF$1,0)-1))*IF(E359="Ottone",1,0),4)</f>
        <v>0</v>
      </c>
      <c r="R359" s="446">
        <f ca="1">ROUND(IF(ISERROR(OFFSET(Rame!$F$1,MATCH(H359,Rame!$F:$F,0)-1,MATCH(I359,Rame!$F$1:$FF$1,0)-1)=TRUE),0,OFFSET(Rame!$F$1,MATCH(H359,Rame!$F:$F,0)-1,MATCH(I359,Rame!$F$1:$FF$1,0)-1))*IF(E359="Rame",1,0),4)</f>
        <v>0</v>
      </c>
      <c r="S359" s="446">
        <f ca="1">ROUND(IF(ISERROR(OFFSET(Bronzo!$A$1,MATCH(H359,Bronzo!$A:$A,0)-1,MATCH(I359,Bronzo!$A$1:$AA$1,0)-1)=TRUE),0,OFFSET(Bronzo!$A$1,MATCH(H359,Bronzo!$A:$A,0)-1,MATCH(I359,Bronzo!$A$1:$AA$1,0)-1)),4)</f>
        <v>0</v>
      </c>
      <c r="T359" s="446">
        <f t="shared" ca="1" si="175"/>
        <v>0</v>
      </c>
      <c r="U359" s="443"/>
      <c r="V359" s="446">
        <v>0</v>
      </c>
      <c r="W359" s="449">
        <f t="shared" ca="1" si="176"/>
        <v>1.6</v>
      </c>
      <c r="X359" s="452">
        <f t="shared" si="174"/>
        <v>59.5</v>
      </c>
      <c r="Y359" s="440">
        <v>4.58</v>
      </c>
      <c r="Z359" s="440">
        <f t="shared" ca="1" si="177"/>
        <v>0</v>
      </c>
      <c r="AA359" s="241">
        <v>46157</v>
      </c>
      <c r="AH359" s="242"/>
    </row>
    <row r="360" spans="2:34" ht="15.75" x14ac:dyDescent="0.25">
      <c r="B360" s="229" t="s">
        <v>627</v>
      </c>
      <c r="C360" s="235" t="s">
        <v>108</v>
      </c>
      <c r="D360" s="243">
        <v>500</v>
      </c>
      <c r="E360" s="232" t="s">
        <v>4</v>
      </c>
      <c r="F360" s="435">
        <v>2.98</v>
      </c>
      <c r="G360" s="234">
        <v>46097</v>
      </c>
      <c r="H360" s="235" t="s">
        <v>13</v>
      </c>
      <c r="I360" s="235"/>
      <c r="J360" s="440">
        <v>7.0000000000000007E-2</v>
      </c>
      <c r="K360" s="443">
        <f ca="1">ROUND(IF(ISERROR(OFFSET(Tabella!$A$1,MATCH(H360,Tabella!$A:$A,0)-1,MATCH(J360,Tabella!$A$1:$AC$1,0)-1)=TRUE),0,+OFFSET(Tabella!$A$1,MATCH(H360,Tabella!$A:$A,0)-1,MATCH(J360,Tabella!$A$1:$AC$1,0)-1)),4)</f>
        <v>1.4</v>
      </c>
      <c r="L360" s="446">
        <f ca="1">ROUND(IF(ISERROR(OFFSET(Ottone!$A$1,MATCH(H360,Ottone!$A:$A,0)-1,MATCH(J360,Ottone!$A$1:$Z$1,0)-1)=TRUE),0,OFFSET(Ottone!$A$1,MATCH(H360,Ottone!$A:$A,0)-1,MATCH(J360,Ottone!$A$1:$Z$1,0)-1))*IF(E360="Ottone",1,0),4)</f>
        <v>0</v>
      </c>
      <c r="M360" s="446">
        <f ca="1">ROUND(IF(ISERROR(OFFSET(Rame!$A$1,MATCH(H360,Rame!$A:$A,0)-1,MATCH(J360,Rame!$A$1:$AA$1,0)-1)=TRUE),0,OFFSET(Rame!$A$1,MATCH(H360,Rame!$A:$A,0)-1,MATCH(J360,Rame!$A$1:$AA$1,0)-1))*IF(E360="Rame",1,0),4)</f>
        <v>0</v>
      </c>
      <c r="N360" s="446">
        <v>0</v>
      </c>
      <c r="O360" s="446">
        <v>1.75</v>
      </c>
      <c r="P360" s="446">
        <f ca="1">ROUND(+IF(ISERROR(OFFSET(Tabella!$G$1,MATCH(H360,Tabella!$G:$G,0)-1,MATCH(I360,Tabella!$G$1:$FG$1,0)-1)=TRUE),0,OFFSET(Tabella!$G$1,MATCH(H360,Tabella!$G:$G,0)-1,MATCH(I360,Tabella!$G$1:$AB$1,0)-1)),4)</f>
        <v>0</v>
      </c>
      <c r="Q360" s="446">
        <f ca="1">ROUND(IF(ISERROR(OFFSET(Ottone!$F$1,MATCH(H360,Ottone!$A:$A,0)-1,MATCH(I360,Ottone!$F$1:$FF$1,0)-1)=TRUE),0,OFFSET(Ottone!$F$1,MATCH(H360,Ottone!$A:$A,0)-1,MATCH(I360,Ottone!$F$1:$FF$1,0)-1))*IF(E360="Ottone",1,0),4)</f>
        <v>0</v>
      </c>
      <c r="R360" s="446">
        <f ca="1">ROUND(IF(ISERROR(OFFSET(Rame!$F$1,MATCH(H360,Rame!$F:$F,0)-1,MATCH(I360,Rame!$F$1:$FF$1,0)-1)=TRUE),0,OFFSET(Rame!$F$1,MATCH(H360,Rame!$F:$F,0)-1,MATCH(I360,Rame!$F$1:$FF$1,0)-1))*IF(E360="Rame",1,0),4)</f>
        <v>0</v>
      </c>
      <c r="S360" s="446">
        <f ca="1">ROUND(IF(ISERROR(OFFSET(Bronzo!$A$1,MATCH(H360,Bronzo!$A:$A,0)-1,MATCH(I360,Bronzo!$A$1:$AA$1,0)-1)=TRUE),0,OFFSET(Bronzo!$A$1,MATCH(H360,Bronzo!$A:$A,0)-1,MATCH(I360,Bronzo!$A$1:$AA$1,0)-1)),4)</f>
        <v>0</v>
      </c>
      <c r="T360" s="446">
        <f t="shared" ca="1" si="175"/>
        <v>0</v>
      </c>
      <c r="U360" s="443"/>
      <c r="V360" s="446">
        <v>0</v>
      </c>
      <c r="W360" s="449">
        <f t="shared" ca="1" si="176"/>
        <v>1.75</v>
      </c>
      <c r="X360" s="452">
        <f t="shared" si="174"/>
        <v>35</v>
      </c>
      <c r="Y360" s="440">
        <v>4.7300000000000004</v>
      </c>
      <c r="Z360" s="440">
        <f t="shared" ca="1" si="177"/>
        <v>0</v>
      </c>
      <c r="AA360" s="241">
        <v>46157</v>
      </c>
      <c r="AH360" s="242"/>
    </row>
    <row r="361" spans="2:34" ht="15.75" x14ac:dyDescent="0.25">
      <c r="B361" s="229" t="s">
        <v>627</v>
      </c>
      <c r="C361" s="235" t="s">
        <v>108</v>
      </c>
      <c r="D361" s="243">
        <v>500</v>
      </c>
      <c r="E361" s="232" t="s">
        <v>4</v>
      </c>
      <c r="F361" s="435">
        <v>2.98</v>
      </c>
      <c r="G361" s="234">
        <v>46097</v>
      </c>
      <c r="H361" s="235" t="s">
        <v>21</v>
      </c>
      <c r="I361" s="235"/>
      <c r="J361" s="440">
        <v>7.0000000000000007E-2</v>
      </c>
      <c r="K361" s="443">
        <f ca="1">ROUND(IF(ISERROR(OFFSET(Tabella!$A$1,MATCH(H361,Tabella!$A:$A,0)-1,MATCH(J361,Tabella!$A$1:$AC$1,0)-1)=TRUE),0,+OFFSET(Tabella!$A$1,MATCH(H361,Tabella!$A:$A,0)-1,MATCH(J361,Tabella!$A$1:$AC$1,0)-1)),4)</f>
        <v>1.25</v>
      </c>
      <c r="L361" s="446">
        <f ca="1">ROUND(IF(ISERROR(OFFSET(Ottone!$A$1,MATCH(H361,Ottone!$A:$A,0)-1,MATCH(J361,Ottone!$A$1:$Z$1,0)-1)=TRUE),0,OFFSET(Ottone!$A$1,MATCH(H361,Ottone!$A:$A,0)-1,MATCH(J361,Ottone!$A$1:$Z$1,0)-1))*IF(E361="Ottone",1,0),4)</f>
        <v>0</v>
      </c>
      <c r="M361" s="446">
        <f ca="1">ROUND(IF(ISERROR(OFFSET(Rame!$A$1,MATCH(H361,Rame!$A:$A,0)-1,MATCH(J361,Rame!$A$1:$AA$1,0)-1)=TRUE),0,OFFSET(Rame!$A$1,MATCH(H361,Rame!$A:$A,0)-1,MATCH(J361,Rame!$A$1:$AA$1,0)-1))*IF(E361="Rame",1,0),4)</f>
        <v>0</v>
      </c>
      <c r="N361" s="446">
        <v>0</v>
      </c>
      <c r="O361" s="446">
        <v>1.6</v>
      </c>
      <c r="P361" s="446">
        <f ca="1">ROUND(+IF(ISERROR(OFFSET(Tabella!$G$1,MATCH(H361,Tabella!$G:$G,0)-1,MATCH(I361,Tabella!$G$1:$FG$1,0)-1)=TRUE),0,OFFSET(Tabella!$G$1,MATCH(H361,Tabella!$G:$G,0)-1,MATCH(I361,Tabella!$G$1:$AB$1,0)-1)),4)</f>
        <v>0</v>
      </c>
      <c r="Q361" s="446">
        <f ca="1">ROUND(IF(ISERROR(OFFSET(Ottone!$F$1,MATCH(H361,Ottone!$A:$A,0)-1,MATCH(I361,Ottone!$F$1:$FF$1,0)-1)=TRUE),0,OFFSET(Ottone!$F$1,MATCH(H361,Ottone!$A:$A,0)-1,MATCH(I361,Ottone!$F$1:$FF$1,0)-1))*IF(E361="Ottone",1,0),4)</f>
        <v>0</v>
      </c>
      <c r="R361" s="446">
        <f ca="1">ROUND(IF(ISERROR(OFFSET(Rame!$F$1,MATCH(H361,Rame!$F:$F,0)-1,MATCH(I361,Rame!$F$1:$FF$1,0)-1)=TRUE),0,OFFSET(Rame!$F$1,MATCH(H361,Rame!$F:$F,0)-1,MATCH(I361,Rame!$F$1:$FF$1,0)-1))*IF(E361="Rame",1,0),4)</f>
        <v>0</v>
      </c>
      <c r="S361" s="446">
        <f ca="1">ROUND(IF(ISERROR(OFFSET(Bronzo!$A$1,MATCH(H361,Bronzo!$A:$A,0)-1,MATCH(I361,Bronzo!$A$1:$AA$1,0)-1)=TRUE),0,OFFSET(Bronzo!$A$1,MATCH(H361,Bronzo!$A:$A,0)-1,MATCH(I361,Bronzo!$A$1:$AA$1,0)-1)),4)</f>
        <v>0</v>
      </c>
      <c r="T361" s="446">
        <f t="shared" ca="1" si="175"/>
        <v>0</v>
      </c>
      <c r="U361" s="443"/>
      <c r="V361" s="446">
        <v>0</v>
      </c>
      <c r="W361" s="449">
        <f t="shared" ca="1" si="176"/>
        <v>1.6</v>
      </c>
      <c r="X361" s="452">
        <f t="shared" si="174"/>
        <v>35</v>
      </c>
      <c r="Y361" s="440">
        <v>4.58</v>
      </c>
      <c r="Z361" s="440">
        <f t="shared" ca="1" si="177"/>
        <v>0</v>
      </c>
      <c r="AA361" s="241">
        <v>46157</v>
      </c>
      <c r="AH361" s="242"/>
    </row>
    <row r="362" spans="2:34" ht="15.75" x14ac:dyDescent="0.25">
      <c r="B362" s="229" t="s">
        <v>627</v>
      </c>
      <c r="C362" s="235" t="s">
        <v>108</v>
      </c>
      <c r="D362" s="243">
        <v>1800</v>
      </c>
      <c r="E362" s="232" t="s">
        <v>4</v>
      </c>
      <c r="F362" s="435">
        <v>2.98</v>
      </c>
      <c r="G362" s="234">
        <v>46097</v>
      </c>
      <c r="H362" s="235" t="s">
        <v>19</v>
      </c>
      <c r="I362" s="235"/>
      <c r="J362" s="440">
        <v>7.0000000000000007E-2</v>
      </c>
      <c r="K362" s="443">
        <f ca="1">ROUND(IF(ISERROR(OFFSET(Tabella!$A$1,MATCH(H362,Tabella!$A:$A,0)-1,MATCH(J362,Tabella!$A$1:$AC$1,0)-1)=TRUE),0,+OFFSET(Tabella!$A$1,MATCH(H362,Tabella!$A:$A,0)-1,MATCH(J362,Tabella!$A$1:$AC$1,0)-1)),4)</f>
        <v>1.35</v>
      </c>
      <c r="L362" s="446">
        <f ca="1">ROUND(IF(ISERROR(OFFSET(Ottone!$A$1,MATCH(H362,Ottone!$A:$A,0)-1,MATCH(J362,Ottone!$A$1:$Z$1,0)-1)=TRUE),0,OFFSET(Ottone!$A$1,MATCH(H362,Ottone!$A:$A,0)-1,MATCH(J362,Ottone!$A$1:$Z$1,0)-1))*IF(E362="Ottone",1,0),4)</f>
        <v>0</v>
      </c>
      <c r="M362" s="446">
        <f ca="1">ROUND(IF(ISERROR(OFFSET(Rame!$A$1,MATCH(H362,Rame!$A:$A,0)-1,MATCH(J362,Rame!$A$1:$AA$1,0)-1)=TRUE),0,OFFSET(Rame!$A$1,MATCH(H362,Rame!$A:$A,0)-1,MATCH(J362,Rame!$A$1:$AA$1,0)-1))*IF(E362="Rame",1,0),4)</f>
        <v>0</v>
      </c>
      <c r="N362" s="446">
        <v>0</v>
      </c>
      <c r="O362" s="446">
        <v>1.65</v>
      </c>
      <c r="P362" s="446">
        <f ca="1">ROUND(+IF(ISERROR(OFFSET(Tabella!$G$1,MATCH(H362,Tabella!$G:$G,0)-1,MATCH(I362,Tabella!$G$1:$FG$1,0)-1)=TRUE),0,OFFSET(Tabella!$G$1,MATCH(H362,Tabella!$G:$G,0)-1,MATCH(I362,Tabella!$G$1:$AB$1,0)-1)),4)</f>
        <v>0</v>
      </c>
      <c r="Q362" s="446">
        <f ca="1">ROUND(IF(ISERROR(OFFSET(Ottone!$F$1,MATCH(H362,Ottone!$A:$A,0)-1,MATCH(I362,Ottone!$F$1:$FF$1,0)-1)=TRUE),0,OFFSET(Ottone!$F$1,MATCH(H362,Ottone!$A:$A,0)-1,MATCH(I362,Ottone!$F$1:$FF$1,0)-1))*IF(E362="Ottone",1,0),4)</f>
        <v>0</v>
      </c>
      <c r="R362" s="446">
        <f ca="1">ROUND(IF(ISERROR(OFFSET(Rame!$F$1,MATCH(H362,Rame!$F:$F,0)-1,MATCH(I362,Rame!$F$1:$FF$1,0)-1)=TRUE),0,OFFSET(Rame!$F$1,MATCH(H362,Rame!$F:$F,0)-1,MATCH(I362,Rame!$F$1:$FF$1,0)-1))*IF(E362="Rame",1,0),4)</f>
        <v>0</v>
      </c>
      <c r="S362" s="446">
        <f ca="1">ROUND(IF(ISERROR(OFFSET(Bronzo!$A$1,MATCH(H362,Bronzo!$A:$A,0)-1,MATCH(I362,Bronzo!$A$1:$AA$1,0)-1)=TRUE),0,OFFSET(Bronzo!$A$1,MATCH(H362,Bronzo!$A:$A,0)-1,MATCH(I362,Bronzo!$A$1:$AA$1,0)-1)),4)</f>
        <v>0</v>
      </c>
      <c r="T362" s="446">
        <f t="shared" ca="1" si="175"/>
        <v>0</v>
      </c>
      <c r="U362" s="443"/>
      <c r="V362" s="446">
        <v>0</v>
      </c>
      <c r="W362" s="449">
        <f t="shared" ca="1" si="176"/>
        <v>1.65</v>
      </c>
      <c r="X362" s="452">
        <f t="shared" si="174"/>
        <v>126</v>
      </c>
      <c r="Y362" s="440">
        <v>4.63</v>
      </c>
      <c r="Z362" s="440">
        <f t="shared" ca="1" si="177"/>
        <v>0</v>
      </c>
      <c r="AA362" s="241">
        <v>46157</v>
      </c>
      <c r="AH362" s="242"/>
    </row>
    <row r="363" spans="2:34" ht="15.75" x14ac:dyDescent="0.25">
      <c r="B363" s="229" t="s">
        <v>627</v>
      </c>
      <c r="C363" s="235" t="s">
        <v>108</v>
      </c>
      <c r="D363" s="243">
        <v>700</v>
      </c>
      <c r="E363" s="232" t="s">
        <v>4</v>
      </c>
      <c r="F363" s="435">
        <v>2.98</v>
      </c>
      <c r="G363" s="234">
        <v>46097</v>
      </c>
      <c r="H363" s="235" t="s">
        <v>322</v>
      </c>
      <c r="I363" s="235"/>
      <c r="J363" s="440">
        <v>7.0000000000000007E-2</v>
      </c>
      <c r="K363" s="443">
        <f ca="1">ROUND(IF(ISERROR(OFFSET(Tabella!$A$1,MATCH(H363,Tabella!$A:$A,0)-1,MATCH(J363,Tabella!$A$1:$AC$1,0)-1)=TRUE),0,+OFFSET(Tabella!$A$1,MATCH(H363,Tabella!$A:$A,0)-1,MATCH(J363,Tabella!$A$1:$AC$1,0)-1)),4)</f>
        <v>1.25</v>
      </c>
      <c r="L363" s="446">
        <f ca="1">ROUND(IF(ISERROR(OFFSET(Ottone!$A$1,MATCH(H363,Ottone!$A:$A,0)-1,MATCH(J363,Ottone!$A$1:$Z$1,0)-1)=TRUE),0,OFFSET(Ottone!$A$1,MATCH(H363,Ottone!$A:$A,0)-1,MATCH(J363,Ottone!$A$1:$Z$1,0)-1))*IF(E363="Ottone",1,0),4)</f>
        <v>0</v>
      </c>
      <c r="M363" s="446">
        <f ca="1">ROUND(IF(ISERROR(OFFSET(Rame!$A$1,MATCH(H363,Rame!$A:$A,0)-1,MATCH(J363,Rame!$A$1:$AA$1,0)-1)=TRUE),0,OFFSET(Rame!$A$1,MATCH(H363,Rame!$A:$A,0)-1,MATCH(J363,Rame!$A$1:$AA$1,0)-1))*IF(E363="Rame",1,0),4)</f>
        <v>0</v>
      </c>
      <c r="N363" s="446">
        <v>0</v>
      </c>
      <c r="O363" s="446">
        <v>1.6</v>
      </c>
      <c r="P363" s="446">
        <f ca="1">ROUND(+IF(ISERROR(OFFSET(Tabella!$G$1,MATCH(H363,Tabella!$G:$G,0)-1,MATCH(I363,Tabella!$G$1:$FG$1,0)-1)=TRUE),0,OFFSET(Tabella!$G$1,MATCH(H363,Tabella!$G:$G,0)-1,MATCH(I363,Tabella!$G$1:$AB$1,0)-1)),4)</f>
        <v>0</v>
      </c>
      <c r="Q363" s="446">
        <f ca="1">ROUND(IF(ISERROR(OFFSET(Ottone!$F$1,MATCH(H363,Ottone!$A:$A,0)-1,MATCH(I363,Ottone!$F$1:$FF$1,0)-1)=TRUE),0,OFFSET(Ottone!$F$1,MATCH(H363,Ottone!$A:$A,0)-1,MATCH(I363,Ottone!$F$1:$FF$1,0)-1))*IF(E363="Ottone",1,0),4)</f>
        <v>0</v>
      </c>
      <c r="R363" s="446">
        <f ca="1">ROUND(IF(ISERROR(OFFSET(Rame!$F$1,MATCH(H363,Rame!$F:$F,0)-1,MATCH(I363,Rame!$F$1:$FF$1,0)-1)=TRUE),0,OFFSET(Rame!$F$1,MATCH(H363,Rame!$F:$F,0)-1,MATCH(I363,Rame!$F$1:$FF$1,0)-1))*IF(E363="Rame",1,0),4)</f>
        <v>0</v>
      </c>
      <c r="S363" s="446">
        <f ca="1">ROUND(IF(ISERROR(OFFSET(Bronzo!$A$1,MATCH(H363,Bronzo!$A:$A,0)-1,MATCH(I363,Bronzo!$A$1:$AA$1,0)-1)=TRUE),0,OFFSET(Bronzo!$A$1,MATCH(H363,Bronzo!$A:$A,0)-1,MATCH(I363,Bronzo!$A$1:$AA$1,0)-1)),4)</f>
        <v>0</v>
      </c>
      <c r="T363" s="446">
        <f t="shared" ca="1" si="175"/>
        <v>0</v>
      </c>
      <c r="U363" s="443"/>
      <c r="V363" s="446">
        <v>0</v>
      </c>
      <c r="W363" s="449">
        <f t="shared" ca="1" si="176"/>
        <v>1.6</v>
      </c>
      <c r="X363" s="452">
        <f t="shared" si="174"/>
        <v>49</v>
      </c>
      <c r="Y363" s="440">
        <v>4.58</v>
      </c>
      <c r="Z363" s="440">
        <f t="shared" ca="1" si="177"/>
        <v>0</v>
      </c>
      <c r="AA363" s="241">
        <v>46157</v>
      </c>
      <c r="AH363" s="242"/>
    </row>
    <row r="364" spans="2:34" ht="15.75" x14ac:dyDescent="0.25">
      <c r="B364" s="229" t="s">
        <v>627</v>
      </c>
      <c r="C364" s="235" t="s">
        <v>108</v>
      </c>
      <c r="D364" s="243">
        <v>1000</v>
      </c>
      <c r="E364" s="232" t="s">
        <v>4</v>
      </c>
      <c r="F364" s="435">
        <v>2.98</v>
      </c>
      <c r="G364" s="234">
        <v>46097</v>
      </c>
      <c r="H364" s="235" t="s">
        <v>326</v>
      </c>
      <c r="I364" s="235"/>
      <c r="J364" s="440">
        <v>7.0000000000000007E-2</v>
      </c>
      <c r="K364" s="443">
        <f ca="1">ROUND(IF(ISERROR(OFFSET(Tabella!$A$1,MATCH(H364,Tabella!$A:$A,0)-1,MATCH(J364,Tabella!$A$1:$AC$1,0)-1)=TRUE),0,+OFFSET(Tabella!$A$1,MATCH(H364,Tabella!$A:$A,0)-1,MATCH(J364,Tabella!$A$1:$AC$1,0)-1)),4)</f>
        <v>1.25</v>
      </c>
      <c r="L364" s="446">
        <f ca="1">ROUND(IF(ISERROR(OFFSET(Ottone!$A$1,MATCH(H364,Ottone!$A:$A,0)-1,MATCH(J364,Ottone!$A$1:$Z$1,0)-1)=TRUE),0,OFFSET(Ottone!$A$1,MATCH(H364,Ottone!$A:$A,0)-1,MATCH(J364,Ottone!$A$1:$Z$1,0)-1))*IF(E364="Ottone",1,0),4)</f>
        <v>0</v>
      </c>
      <c r="M364" s="446">
        <f ca="1">ROUND(IF(ISERROR(OFFSET(Rame!$A$1,MATCH(H364,Rame!$A:$A,0)-1,MATCH(J364,Rame!$A$1:$AA$1,0)-1)=TRUE),0,OFFSET(Rame!$A$1,MATCH(H364,Rame!$A:$A,0)-1,MATCH(J364,Rame!$A$1:$AA$1,0)-1))*IF(E364="Rame",1,0),4)</f>
        <v>0</v>
      </c>
      <c r="N364" s="446">
        <v>0</v>
      </c>
      <c r="O364" s="446">
        <v>1.6</v>
      </c>
      <c r="P364" s="446">
        <f ca="1">ROUND(+IF(ISERROR(OFFSET(Tabella!$G$1,MATCH(H364,Tabella!$G:$G,0)-1,MATCH(I364,Tabella!$G$1:$FG$1,0)-1)=TRUE),0,OFFSET(Tabella!$G$1,MATCH(H364,Tabella!$G:$G,0)-1,MATCH(I364,Tabella!$G$1:$AB$1,0)-1)),4)</f>
        <v>0</v>
      </c>
      <c r="Q364" s="446">
        <f ca="1">ROUND(IF(ISERROR(OFFSET(Ottone!$F$1,MATCH(H364,Ottone!$A:$A,0)-1,MATCH(I364,Ottone!$F$1:$FF$1,0)-1)=TRUE),0,OFFSET(Ottone!$F$1,MATCH(H364,Ottone!$A:$A,0)-1,MATCH(I364,Ottone!$F$1:$FF$1,0)-1))*IF(E364="Ottone",1,0),4)</f>
        <v>0</v>
      </c>
      <c r="R364" s="446">
        <f ca="1">ROUND(IF(ISERROR(OFFSET(Rame!$F$1,MATCH(H364,Rame!$F:$F,0)-1,MATCH(I364,Rame!$F$1:$FF$1,0)-1)=TRUE),0,OFFSET(Rame!$F$1,MATCH(H364,Rame!$F:$F,0)-1,MATCH(I364,Rame!$F$1:$FF$1,0)-1))*IF(E364="Rame",1,0),4)</f>
        <v>0</v>
      </c>
      <c r="S364" s="446">
        <f ca="1">ROUND(IF(ISERROR(OFFSET(Bronzo!$A$1,MATCH(H364,Bronzo!$A:$A,0)-1,MATCH(I364,Bronzo!$A$1:$AA$1,0)-1)=TRUE),0,OFFSET(Bronzo!$A$1,MATCH(H364,Bronzo!$A:$A,0)-1,MATCH(I364,Bronzo!$A$1:$AA$1,0)-1)),4)</f>
        <v>0</v>
      </c>
      <c r="T364" s="446">
        <f t="shared" ca="1" si="175"/>
        <v>0</v>
      </c>
      <c r="U364" s="443"/>
      <c r="V364" s="446">
        <v>0</v>
      </c>
      <c r="W364" s="449">
        <f t="shared" ca="1" si="176"/>
        <v>1.6</v>
      </c>
      <c r="X364" s="452">
        <f t="shared" si="174"/>
        <v>70</v>
      </c>
      <c r="Y364" s="440">
        <v>4.58</v>
      </c>
      <c r="Z364" s="440">
        <f t="shared" ca="1" si="177"/>
        <v>0</v>
      </c>
      <c r="AA364" s="241">
        <v>46157</v>
      </c>
      <c r="AH364" s="242"/>
    </row>
    <row r="365" spans="2:34" ht="15.75" x14ac:dyDescent="0.25">
      <c r="B365" s="229" t="s">
        <v>627</v>
      </c>
      <c r="C365" s="235" t="s">
        <v>108</v>
      </c>
      <c r="D365" s="243">
        <v>700</v>
      </c>
      <c r="E365" s="232" t="s">
        <v>4</v>
      </c>
      <c r="F365" s="435">
        <v>2.98</v>
      </c>
      <c r="G365" s="234">
        <v>46097</v>
      </c>
      <c r="H365" s="235" t="s">
        <v>29</v>
      </c>
      <c r="I365" s="235"/>
      <c r="J365" s="440">
        <v>7.0000000000000007E-2</v>
      </c>
      <c r="K365" s="443">
        <f ca="1">ROUND(IF(ISERROR(OFFSET(Tabella!$A$1,MATCH(H365,Tabella!$A:$A,0)-1,MATCH(J365,Tabella!$A$1:$AC$1,0)-1)=TRUE),0,+OFFSET(Tabella!$A$1,MATCH(H365,Tabella!$A:$A,0)-1,MATCH(J365,Tabella!$A$1:$AC$1,0)-1)),4)</f>
        <v>1.3</v>
      </c>
      <c r="L365" s="446">
        <f ca="1">ROUND(IF(ISERROR(OFFSET(Ottone!$A$1,MATCH(H365,Ottone!$A:$A,0)-1,MATCH(J365,Ottone!$A$1:$Z$1,0)-1)=TRUE),0,OFFSET(Ottone!$A$1,MATCH(H365,Ottone!$A:$A,0)-1,MATCH(J365,Ottone!$A$1:$Z$1,0)-1))*IF(E365="Ottone",1,0),4)</f>
        <v>0</v>
      </c>
      <c r="M365" s="446">
        <f ca="1">ROUND(IF(ISERROR(OFFSET(Rame!$A$1,MATCH(H365,Rame!$A:$A,0)-1,MATCH(J365,Rame!$A$1:$AA$1,0)-1)=TRUE),0,OFFSET(Rame!$A$1,MATCH(H365,Rame!$A:$A,0)-1,MATCH(J365,Rame!$A$1:$AA$1,0)-1))*IF(E365="Rame",1,0),4)</f>
        <v>0</v>
      </c>
      <c r="N365" s="446">
        <v>0</v>
      </c>
      <c r="O365" s="446">
        <v>1.6</v>
      </c>
      <c r="P365" s="446">
        <f ca="1">ROUND(+IF(ISERROR(OFFSET(Tabella!$G$1,MATCH(H365,Tabella!$G:$G,0)-1,MATCH(I365,Tabella!$G$1:$FG$1,0)-1)=TRUE),0,OFFSET(Tabella!$G$1,MATCH(H365,Tabella!$G:$G,0)-1,MATCH(I365,Tabella!$G$1:$AB$1,0)-1)),4)</f>
        <v>0</v>
      </c>
      <c r="Q365" s="446">
        <f ca="1">ROUND(IF(ISERROR(OFFSET(Ottone!$F$1,MATCH(H365,Ottone!$A:$A,0)-1,MATCH(I365,Ottone!$F$1:$FF$1,0)-1)=TRUE),0,OFFSET(Ottone!$F$1,MATCH(H365,Ottone!$A:$A,0)-1,MATCH(I365,Ottone!$F$1:$FF$1,0)-1))*IF(E365="Ottone",1,0),4)</f>
        <v>0</v>
      </c>
      <c r="R365" s="446">
        <f ca="1">ROUND(IF(ISERROR(OFFSET(Rame!$F$1,MATCH(H365,Rame!$F:$F,0)-1,MATCH(I365,Rame!$F$1:$FF$1,0)-1)=TRUE),0,OFFSET(Rame!$F$1,MATCH(H365,Rame!$F:$F,0)-1,MATCH(I365,Rame!$F$1:$FF$1,0)-1))*IF(E365="Rame",1,0),4)</f>
        <v>0</v>
      </c>
      <c r="S365" s="446">
        <f ca="1">ROUND(IF(ISERROR(OFFSET(Bronzo!$A$1,MATCH(H365,Bronzo!$A:$A,0)-1,MATCH(I365,Bronzo!$A$1:$AA$1,0)-1)=TRUE),0,OFFSET(Bronzo!$A$1,MATCH(H365,Bronzo!$A:$A,0)-1,MATCH(I365,Bronzo!$A$1:$AA$1,0)-1)),4)</f>
        <v>0</v>
      </c>
      <c r="T365" s="446">
        <f t="shared" ca="1" si="175"/>
        <v>0</v>
      </c>
      <c r="U365" s="443"/>
      <c r="V365" s="446">
        <v>0</v>
      </c>
      <c r="W365" s="449">
        <f t="shared" ca="1" si="176"/>
        <v>1.6</v>
      </c>
      <c r="X365" s="452">
        <f t="shared" si="174"/>
        <v>49</v>
      </c>
      <c r="Y365" s="440">
        <v>4.58</v>
      </c>
      <c r="Z365" s="440">
        <f t="shared" ca="1" si="177"/>
        <v>0</v>
      </c>
      <c r="AA365" s="241"/>
      <c r="AH365" s="242"/>
    </row>
    <row r="366" spans="2:34" ht="15.75" x14ac:dyDescent="0.25">
      <c r="B366" s="229" t="s">
        <v>606</v>
      </c>
      <c r="C366" s="235" t="s">
        <v>108</v>
      </c>
      <c r="D366" s="243">
        <v>250</v>
      </c>
      <c r="E366" s="232" t="s">
        <v>4</v>
      </c>
      <c r="F366" s="435">
        <v>3.03</v>
      </c>
      <c r="G366" s="234">
        <v>46141</v>
      </c>
      <c r="H366" s="235" t="s">
        <v>30</v>
      </c>
      <c r="I366" s="235"/>
      <c r="J366" s="440">
        <v>0.13</v>
      </c>
      <c r="K366" s="443">
        <f ca="1">ROUND(IF(ISERROR(OFFSET(Tabella!$A$1,MATCH(H366,Tabella!$A:$A,0)-1,MATCH(J366,Tabella!$A$1:$AC$1,0)-1)=TRUE),0,+OFFSET(Tabella!$A$1,MATCH(H366,Tabella!$A:$A,0)-1,MATCH(J366,Tabella!$A$1:$AC$1,0)-1)),4)</f>
        <v>0</v>
      </c>
      <c r="L366" s="446">
        <f ca="1">ROUND(IF(ISERROR(OFFSET(Ottone!$A$1,MATCH(H366,Ottone!$A:$A,0)-1,MATCH(J366,Ottone!$A$1:$Z$1,0)-1)=TRUE),0,OFFSET(Ottone!$A$1,MATCH(H366,Ottone!$A:$A,0)-1,MATCH(J366,Ottone!$A$1:$Z$1,0)-1))*IF(E366="Ottone",1,0),4)</f>
        <v>0</v>
      </c>
      <c r="M366" s="446">
        <f ca="1">ROUND(IF(ISERROR(OFFSET(Rame!$A$1,MATCH(H366,Rame!$A:$A,0)-1,MATCH(J366,Rame!$A$1:$AA$1,0)-1)=TRUE),0,OFFSET(Rame!$A$1,MATCH(H366,Rame!$A:$A,0)-1,MATCH(J366,Rame!$A$1:$AA$1,0)-1))*IF(E366="Rame",1,0),4)</f>
        <v>0</v>
      </c>
      <c r="N366" s="446">
        <v>0</v>
      </c>
      <c r="O366" s="446">
        <v>1.6</v>
      </c>
      <c r="P366" s="446">
        <f ca="1">ROUND(+IF(ISERROR(OFFSET(Tabella!$G$1,MATCH(H366,Tabella!$G:$G,0)-1,MATCH(I366,Tabella!$G$1:$FG$1,0)-1)=TRUE),0,OFFSET(Tabella!$G$1,MATCH(H366,Tabella!$G:$G,0)-1,MATCH(I366,Tabella!$G$1:$AB$1,0)-1)),4)</f>
        <v>0</v>
      </c>
      <c r="Q366" s="446">
        <f ca="1">ROUND(IF(ISERROR(OFFSET(Ottone!$F$1,MATCH(H366,Ottone!$A:$A,0)-1,MATCH(I366,Ottone!$F$1:$FF$1,0)-1)=TRUE),0,OFFSET(Ottone!$F$1,MATCH(H366,Ottone!$A:$A,0)-1,MATCH(I366,Ottone!$F$1:$FF$1,0)-1))*IF(E366="Ottone",1,0),4)</f>
        <v>0</v>
      </c>
      <c r="R366" s="446">
        <f ca="1">ROUND(IF(ISERROR(OFFSET(Rame!$F$1,MATCH(H366,Rame!$F:$F,0)-1,MATCH(I366,Rame!$F$1:$FF$1,0)-1)=TRUE),0,OFFSET(Rame!$F$1,MATCH(H366,Rame!$F:$F,0)-1,MATCH(I366,Rame!$F$1:$FF$1,0)-1))*IF(E366="Rame",1,0),4)</f>
        <v>0</v>
      </c>
      <c r="S366" s="446">
        <f ca="1">ROUND(IF(ISERROR(OFFSET(Bronzo!$A$1,MATCH(H366,Bronzo!$A:$A,0)-1,MATCH(I366,Bronzo!$A$1:$AA$1,0)-1)=TRUE),0,OFFSET(Bronzo!$A$1,MATCH(H366,Bronzo!$A:$A,0)-1,MATCH(I366,Bronzo!$A$1:$AA$1,0)-1)),4)</f>
        <v>0</v>
      </c>
      <c r="T366" s="446">
        <f t="shared" ca="1" si="175"/>
        <v>0</v>
      </c>
      <c r="U366" s="443"/>
      <c r="V366" s="446">
        <v>0</v>
      </c>
      <c r="W366" s="449">
        <f t="shared" ca="1" si="176"/>
        <v>1.6</v>
      </c>
      <c r="X366" s="452">
        <f t="shared" si="174"/>
        <v>32.5</v>
      </c>
      <c r="Y366" s="440">
        <v>5.4</v>
      </c>
      <c r="Z366" s="440">
        <f t="shared" ca="1" si="177"/>
        <v>0.77</v>
      </c>
      <c r="AA366" s="241">
        <v>46178</v>
      </c>
      <c r="AH366" s="242"/>
    </row>
    <row r="367" spans="2:34" ht="15.75" x14ac:dyDescent="0.25">
      <c r="B367" s="229"/>
      <c r="C367" s="235" t="s">
        <v>396</v>
      </c>
      <c r="D367" s="243">
        <v>500</v>
      </c>
      <c r="E367" s="232" t="s">
        <v>4</v>
      </c>
      <c r="F367" s="435">
        <v>3.03</v>
      </c>
      <c r="G367" s="234">
        <v>46141</v>
      </c>
      <c r="H367" s="235" t="s">
        <v>22</v>
      </c>
      <c r="I367" s="235"/>
      <c r="J367" s="440">
        <v>7.0000000000000007E-2</v>
      </c>
      <c r="K367" s="443">
        <f ca="1">ROUND(IF(ISERROR(OFFSET(Tabella!$A$1,MATCH(H367,Tabella!$A:$A,0)-1,MATCH(J367,Tabella!$A$1:$AC$1,0)-1)=TRUE),0,+OFFSET(Tabella!$A$1,MATCH(H367,Tabella!$A:$A,0)-1,MATCH(J367,Tabella!$A$1:$AC$1,0)-1)),4)</f>
        <v>1.25</v>
      </c>
      <c r="L367" s="446">
        <f ca="1">ROUND(IF(ISERROR(OFFSET(Ottone!$A$1,MATCH(H367,Ottone!$A:$A,0)-1,MATCH(J367,Ottone!$A$1:$Z$1,0)-1)=TRUE),0,OFFSET(Ottone!$A$1,MATCH(H367,Ottone!$A:$A,0)-1,MATCH(J367,Ottone!$A$1:$Z$1,0)-1))*IF(E367="Ottone",1,0),4)</f>
        <v>0</v>
      </c>
      <c r="M367" s="446">
        <f ca="1">ROUND(IF(ISERROR(OFFSET(Rame!$A$1,MATCH(H367,Rame!$A:$A,0)-1,MATCH(J367,Rame!$A$1:$AA$1,0)-1)=TRUE),0,OFFSET(Rame!$A$1,MATCH(H367,Rame!$A:$A,0)-1,MATCH(J367,Rame!$A$1:$AA$1,0)-1))*IF(E367="Rame",1,0),4)</f>
        <v>0</v>
      </c>
      <c r="N367" s="446">
        <v>0</v>
      </c>
      <c r="O367" s="446">
        <v>1.73</v>
      </c>
      <c r="P367" s="446">
        <f ca="1">ROUND(+IF(ISERROR(OFFSET(Tabella!$G$1,MATCH(H367,Tabella!$G:$G,0)-1,MATCH(I367,Tabella!$G$1:$FG$1,0)-1)=TRUE),0,OFFSET(Tabella!$G$1,MATCH(H367,Tabella!$G:$G,0)-1,MATCH(I367,Tabella!$G$1:$AB$1,0)-1)),4)</f>
        <v>0</v>
      </c>
      <c r="Q367" s="446">
        <f ca="1">ROUND(IF(ISERROR(OFFSET(Ottone!$F$1,MATCH(H367,Ottone!$A:$A,0)-1,MATCH(I367,Ottone!$F$1:$FF$1,0)-1)=TRUE),0,OFFSET(Ottone!$F$1,MATCH(H367,Ottone!$A:$A,0)-1,MATCH(I367,Ottone!$F$1:$FF$1,0)-1))*IF(E367="Ottone",1,0),4)</f>
        <v>0</v>
      </c>
      <c r="R367" s="446">
        <f ca="1">ROUND(IF(ISERROR(OFFSET(Rame!$F$1,MATCH(H367,Rame!$F:$F,0)-1,MATCH(I367,Rame!$F$1:$FF$1,0)-1)=TRUE),0,OFFSET(Rame!$F$1,MATCH(H367,Rame!$F:$F,0)-1,MATCH(I367,Rame!$F$1:$FF$1,0)-1))*IF(E367="Rame",1,0),4)</f>
        <v>0</v>
      </c>
      <c r="S367" s="446">
        <f ca="1">ROUND(IF(ISERROR(OFFSET(Bronzo!$A$1,MATCH(H367,Bronzo!$A:$A,0)-1,MATCH(I367,Bronzo!$A$1:$AA$1,0)-1)=TRUE),0,OFFSET(Bronzo!$A$1,MATCH(H367,Bronzo!$A:$A,0)-1,MATCH(I367,Bronzo!$A$1:$AA$1,0)-1)),4)</f>
        <v>0</v>
      </c>
      <c r="T367" s="446">
        <f t="shared" ca="1" si="175"/>
        <v>0</v>
      </c>
      <c r="U367" s="443"/>
      <c r="V367" s="446">
        <v>0</v>
      </c>
      <c r="W367" s="449">
        <f t="shared" ca="1" si="176"/>
        <v>1.73</v>
      </c>
      <c r="X367" s="452">
        <f t="shared" si="174"/>
        <v>35</v>
      </c>
      <c r="Y367" s="440">
        <v>4.9800000000000004</v>
      </c>
      <c r="Z367" s="440">
        <f t="shared" ca="1" si="177"/>
        <v>0.22</v>
      </c>
      <c r="AA367" s="241"/>
      <c r="AH367" s="242"/>
    </row>
    <row r="368" spans="2:34" ht="15.75" x14ac:dyDescent="0.25">
      <c r="B368" s="229" t="s">
        <v>615</v>
      </c>
      <c r="C368" s="235" t="s">
        <v>396</v>
      </c>
      <c r="D368" s="243">
        <v>200</v>
      </c>
      <c r="E368" s="232" t="s">
        <v>4</v>
      </c>
      <c r="F368" s="435">
        <v>3.03</v>
      </c>
      <c r="G368" s="234">
        <v>46141</v>
      </c>
      <c r="H368" s="235" t="s">
        <v>307</v>
      </c>
      <c r="I368" s="235"/>
      <c r="J368" s="440">
        <v>7.0000000000000007E-2</v>
      </c>
      <c r="K368" s="443">
        <f ca="1">ROUND(IF(ISERROR(OFFSET(Tabella!$A$1,MATCH(H368,Tabella!$A:$A,0)-1,MATCH(J368,Tabella!$A$1:$AC$1,0)-1)=TRUE),0,+OFFSET(Tabella!$A$1,MATCH(H368,Tabella!$A:$A,0)-1,MATCH(J368,Tabella!$A$1:$AC$1,0)-1)),4)</f>
        <v>1.25</v>
      </c>
      <c r="L368" s="446">
        <f ca="1">ROUND(IF(ISERROR(OFFSET(Ottone!$A$1,MATCH(H368,Ottone!$A:$A,0)-1,MATCH(J368,Ottone!$A$1:$Z$1,0)-1)=TRUE),0,OFFSET(Ottone!$A$1,MATCH(H368,Ottone!$A:$A,0)-1,MATCH(J368,Ottone!$A$1:$Z$1,0)-1))*IF(E368="Ottone",1,0),4)</f>
        <v>0</v>
      </c>
      <c r="M368" s="446">
        <f ca="1">ROUND(IF(ISERROR(OFFSET(Rame!$A$1,MATCH(H368,Rame!$A:$A,0)-1,MATCH(J368,Rame!$A$1:$AA$1,0)-1)=TRUE),0,OFFSET(Rame!$A$1,MATCH(H368,Rame!$A:$A,0)-1,MATCH(J368,Rame!$A$1:$AA$1,0)-1))*IF(E368="Rame",1,0),4)</f>
        <v>0</v>
      </c>
      <c r="N368" s="446">
        <v>0</v>
      </c>
      <c r="O368" s="446">
        <v>1.73</v>
      </c>
      <c r="P368" s="446">
        <f ca="1">ROUND(+IF(ISERROR(OFFSET(Tabella!$G$1,MATCH(H368,Tabella!$G:$G,0)-1,MATCH(I368,Tabella!$G$1:$FG$1,0)-1)=TRUE),0,OFFSET(Tabella!$G$1,MATCH(H368,Tabella!$G:$G,0)-1,MATCH(I368,Tabella!$G$1:$AB$1,0)-1)),4)</f>
        <v>0</v>
      </c>
      <c r="Q368" s="446">
        <f ca="1">ROUND(IF(ISERROR(OFFSET(Ottone!$F$1,MATCH(H368,Ottone!$A:$A,0)-1,MATCH(I368,Ottone!$F$1:$FF$1,0)-1)=TRUE),0,OFFSET(Ottone!$F$1,MATCH(H368,Ottone!$A:$A,0)-1,MATCH(I368,Ottone!$F$1:$FF$1,0)-1))*IF(E368="Ottone",1,0),4)</f>
        <v>0</v>
      </c>
      <c r="R368" s="446">
        <f ca="1">ROUND(IF(ISERROR(OFFSET(Rame!$F$1,MATCH(H368,Rame!$F:$F,0)-1,MATCH(I368,Rame!$F$1:$FF$1,0)-1)=TRUE),0,OFFSET(Rame!$F$1,MATCH(H368,Rame!$F:$F,0)-1,MATCH(I368,Rame!$F$1:$FF$1,0)-1))*IF(E368="Rame",1,0),4)</f>
        <v>0</v>
      </c>
      <c r="S368" s="446">
        <f ca="1">ROUND(IF(ISERROR(OFFSET(Bronzo!$A$1,MATCH(H368,Bronzo!$A:$A,0)-1,MATCH(I368,Bronzo!$A$1:$AA$1,0)-1)=TRUE),0,OFFSET(Bronzo!$A$1,MATCH(H368,Bronzo!$A:$A,0)-1,MATCH(I368,Bronzo!$A$1:$AA$1,0)-1)),4)</f>
        <v>0</v>
      </c>
      <c r="T368" s="446">
        <f t="shared" ca="1" si="175"/>
        <v>0</v>
      </c>
      <c r="U368" s="443"/>
      <c r="V368" s="446">
        <v>0</v>
      </c>
      <c r="W368" s="449">
        <f t="shared" ca="1" si="176"/>
        <v>1.73</v>
      </c>
      <c r="X368" s="452">
        <f t="shared" si="174"/>
        <v>14</v>
      </c>
      <c r="Y368" s="440">
        <v>4.9800000000000004</v>
      </c>
      <c r="Z368" s="440">
        <f t="shared" ca="1" si="177"/>
        <v>0.22</v>
      </c>
      <c r="AA368" s="241">
        <v>46185</v>
      </c>
      <c r="AH368" s="242"/>
    </row>
    <row r="369" spans="2:34" ht="15.75" x14ac:dyDescent="0.25">
      <c r="B369" s="229" t="s">
        <v>615</v>
      </c>
      <c r="C369" s="235" t="s">
        <v>396</v>
      </c>
      <c r="D369" s="243">
        <v>500</v>
      </c>
      <c r="E369" s="232" t="s">
        <v>4</v>
      </c>
      <c r="F369" s="435">
        <v>3.03</v>
      </c>
      <c r="G369" s="234">
        <v>46141</v>
      </c>
      <c r="H369" s="235" t="s">
        <v>308</v>
      </c>
      <c r="I369" s="235"/>
      <c r="J369" s="440">
        <v>7.0000000000000007E-2</v>
      </c>
      <c r="K369" s="443">
        <f ca="1">ROUND(IF(ISERROR(OFFSET(Tabella!$A$1,MATCH(H369,Tabella!$A:$A,0)-1,MATCH(J369,Tabella!$A$1:$AC$1,0)-1)=TRUE),0,+OFFSET(Tabella!$A$1,MATCH(H369,Tabella!$A:$A,0)-1,MATCH(J369,Tabella!$A$1:$AC$1,0)-1)),4)</f>
        <v>1.25</v>
      </c>
      <c r="L369" s="446">
        <f ca="1">ROUND(IF(ISERROR(OFFSET(Ottone!$A$1,MATCH(H369,Ottone!$A:$A,0)-1,MATCH(J369,Ottone!$A$1:$Z$1,0)-1)=TRUE),0,OFFSET(Ottone!$A$1,MATCH(H369,Ottone!$A:$A,0)-1,MATCH(J369,Ottone!$A$1:$Z$1,0)-1))*IF(E369="Ottone",1,0),4)</f>
        <v>0</v>
      </c>
      <c r="M369" s="446">
        <f ca="1">ROUND(IF(ISERROR(OFFSET(Rame!$A$1,MATCH(H369,Rame!$A:$A,0)-1,MATCH(J369,Rame!$A$1:$AA$1,0)-1)=TRUE),0,OFFSET(Rame!$A$1,MATCH(H369,Rame!$A:$A,0)-1,MATCH(J369,Rame!$A$1:$AA$1,0)-1))*IF(E369="Rame",1,0),4)</f>
        <v>0</v>
      </c>
      <c r="N369" s="446">
        <v>0</v>
      </c>
      <c r="O369" s="446">
        <v>1.73</v>
      </c>
      <c r="P369" s="446">
        <f ca="1">ROUND(+IF(ISERROR(OFFSET(Tabella!$G$1,MATCH(H369,Tabella!$G:$G,0)-1,MATCH(I369,Tabella!$G$1:$FG$1,0)-1)=TRUE),0,OFFSET(Tabella!$G$1,MATCH(H369,Tabella!$G:$G,0)-1,MATCH(I369,Tabella!$G$1:$AB$1,0)-1)),4)</f>
        <v>0</v>
      </c>
      <c r="Q369" s="446">
        <f ca="1">ROUND(IF(ISERROR(OFFSET(Ottone!$F$1,MATCH(H369,Ottone!$A:$A,0)-1,MATCH(I369,Ottone!$F$1:$FF$1,0)-1)=TRUE),0,OFFSET(Ottone!$F$1,MATCH(H369,Ottone!$A:$A,0)-1,MATCH(I369,Ottone!$F$1:$FF$1,0)-1))*IF(E369="Ottone",1,0),4)</f>
        <v>0</v>
      </c>
      <c r="R369" s="446">
        <f ca="1">ROUND(IF(ISERROR(OFFSET(Rame!$F$1,MATCH(H369,Rame!$F:$F,0)-1,MATCH(I369,Rame!$F$1:$FF$1,0)-1)=TRUE),0,OFFSET(Rame!$F$1,MATCH(H369,Rame!$F:$F,0)-1,MATCH(I369,Rame!$F$1:$FF$1,0)-1))*IF(E369="Rame",1,0),4)</f>
        <v>0</v>
      </c>
      <c r="S369" s="446">
        <f ca="1">ROUND(IF(ISERROR(OFFSET(Bronzo!$A$1,MATCH(H369,Bronzo!$A:$A,0)-1,MATCH(I369,Bronzo!$A$1:$AA$1,0)-1)=TRUE),0,OFFSET(Bronzo!$A$1,MATCH(H369,Bronzo!$A:$A,0)-1,MATCH(I369,Bronzo!$A$1:$AA$1,0)-1)),4)</f>
        <v>0</v>
      </c>
      <c r="T369" s="446">
        <f t="shared" ca="1" si="175"/>
        <v>0</v>
      </c>
      <c r="U369" s="443"/>
      <c r="V369" s="446">
        <v>0</v>
      </c>
      <c r="W369" s="449">
        <f t="shared" ca="1" si="176"/>
        <v>1.73</v>
      </c>
      <c r="X369" s="452">
        <f t="shared" si="174"/>
        <v>35</v>
      </c>
      <c r="Y369" s="440">
        <v>4.9800000000000004</v>
      </c>
      <c r="Z369" s="440">
        <f t="shared" ca="1" si="177"/>
        <v>0.22</v>
      </c>
      <c r="AA369" s="241">
        <v>46185</v>
      </c>
      <c r="AH369" s="242"/>
    </row>
    <row r="370" spans="2:34" ht="15.75" x14ac:dyDescent="0.25">
      <c r="B370" s="229" t="s">
        <v>615</v>
      </c>
      <c r="C370" s="235" t="s">
        <v>396</v>
      </c>
      <c r="D370" s="243">
        <v>300</v>
      </c>
      <c r="E370" s="232" t="s">
        <v>4</v>
      </c>
      <c r="F370" s="435">
        <v>3.03</v>
      </c>
      <c r="G370" s="234">
        <v>46141</v>
      </c>
      <c r="H370" s="235" t="s">
        <v>21</v>
      </c>
      <c r="I370" s="235"/>
      <c r="J370" s="440">
        <v>7.0000000000000007E-2</v>
      </c>
      <c r="K370" s="443">
        <f ca="1">ROUND(IF(ISERROR(OFFSET(Tabella!$A$1,MATCH(H370,Tabella!$A:$A,0)-1,MATCH(J370,Tabella!$A$1:$AC$1,0)-1)=TRUE),0,+OFFSET(Tabella!$A$1,MATCH(H370,Tabella!$A:$A,0)-1,MATCH(J370,Tabella!$A$1:$AC$1,0)-1)),4)</f>
        <v>1.25</v>
      </c>
      <c r="L370" s="446">
        <f ca="1">ROUND(IF(ISERROR(OFFSET(Ottone!$A$1,MATCH(H370,Ottone!$A:$A,0)-1,MATCH(J370,Ottone!$A$1:$Z$1,0)-1)=TRUE),0,OFFSET(Ottone!$A$1,MATCH(H370,Ottone!$A:$A,0)-1,MATCH(J370,Ottone!$A$1:$Z$1,0)-1))*IF(E370="Ottone",1,0),4)</f>
        <v>0</v>
      </c>
      <c r="M370" s="446">
        <f ca="1">ROUND(IF(ISERROR(OFFSET(Rame!$A$1,MATCH(H370,Rame!$A:$A,0)-1,MATCH(J370,Rame!$A$1:$AA$1,0)-1)=TRUE),0,OFFSET(Rame!$A$1,MATCH(H370,Rame!$A:$A,0)-1,MATCH(J370,Rame!$A$1:$AA$1,0)-1))*IF(E370="Rame",1,0),4)</f>
        <v>0</v>
      </c>
      <c r="N370" s="446">
        <v>0</v>
      </c>
      <c r="O370" s="446">
        <v>1.73</v>
      </c>
      <c r="P370" s="446">
        <f ca="1">ROUND(+IF(ISERROR(OFFSET(Tabella!$G$1,MATCH(H370,Tabella!$G:$G,0)-1,MATCH(I370,Tabella!$G$1:$FG$1,0)-1)=TRUE),0,OFFSET(Tabella!$G$1,MATCH(H370,Tabella!$G:$G,0)-1,MATCH(I370,Tabella!$G$1:$AB$1,0)-1)),4)</f>
        <v>0</v>
      </c>
      <c r="Q370" s="446">
        <f ca="1">ROUND(IF(ISERROR(OFFSET(Ottone!$F$1,MATCH(H370,Ottone!$A:$A,0)-1,MATCH(I370,Ottone!$F$1:$FF$1,0)-1)=TRUE),0,OFFSET(Ottone!$F$1,MATCH(H370,Ottone!$A:$A,0)-1,MATCH(I370,Ottone!$F$1:$FF$1,0)-1))*IF(E370="Ottone",1,0),4)</f>
        <v>0</v>
      </c>
      <c r="R370" s="446">
        <f ca="1">ROUND(IF(ISERROR(OFFSET(Rame!$F$1,MATCH(H370,Rame!$F:$F,0)-1,MATCH(I370,Rame!$F$1:$FF$1,0)-1)=TRUE),0,OFFSET(Rame!$F$1,MATCH(H370,Rame!$F:$F,0)-1,MATCH(I370,Rame!$F$1:$FF$1,0)-1))*IF(E370="Rame",1,0),4)</f>
        <v>0</v>
      </c>
      <c r="S370" s="446">
        <f ca="1">ROUND(IF(ISERROR(OFFSET(Bronzo!$A$1,MATCH(H370,Bronzo!$A:$A,0)-1,MATCH(I370,Bronzo!$A$1:$AA$1,0)-1)=TRUE),0,OFFSET(Bronzo!$A$1,MATCH(H370,Bronzo!$A:$A,0)-1,MATCH(I370,Bronzo!$A$1:$AA$1,0)-1)),4)</f>
        <v>0</v>
      </c>
      <c r="T370" s="446">
        <f t="shared" ca="1" si="175"/>
        <v>0</v>
      </c>
      <c r="U370" s="443"/>
      <c r="V370" s="446">
        <v>0</v>
      </c>
      <c r="W370" s="449">
        <f t="shared" ca="1" si="176"/>
        <v>1.73</v>
      </c>
      <c r="X370" s="452">
        <f t="shared" si="174"/>
        <v>21</v>
      </c>
      <c r="Y370" s="440">
        <v>4.9800000000000004</v>
      </c>
      <c r="Z370" s="440">
        <f t="shared" ca="1" si="177"/>
        <v>0.22</v>
      </c>
      <c r="AA370" s="241">
        <v>46185</v>
      </c>
      <c r="AH370" s="242"/>
    </row>
    <row r="371" spans="2:34" ht="15.75" x14ac:dyDescent="0.25">
      <c r="B371" s="229" t="s">
        <v>615</v>
      </c>
      <c r="C371" s="235" t="s">
        <v>396</v>
      </c>
      <c r="D371" s="243">
        <v>300</v>
      </c>
      <c r="E371" s="232" t="s">
        <v>4</v>
      </c>
      <c r="F371" s="435">
        <v>3.03</v>
      </c>
      <c r="G371" s="234">
        <v>46141</v>
      </c>
      <c r="H371" s="235" t="s">
        <v>13</v>
      </c>
      <c r="I371" s="235"/>
      <c r="J371" s="440">
        <v>7.0000000000000007E-2</v>
      </c>
      <c r="K371" s="443">
        <f ca="1">ROUND(IF(ISERROR(OFFSET(Tabella!$A$1,MATCH(H371,Tabella!$A:$A,0)-1,MATCH(J371,Tabella!$A$1:$AC$1,0)-1)=TRUE),0,+OFFSET(Tabella!$A$1,MATCH(H371,Tabella!$A:$A,0)-1,MATCH(J371,Tabella!$A$1:$AC$1,0)-1)),4)</f>
        <v>1.4</v>
      </c>
      <c r="L371" s="446">
        <f ca="1">ROUND(IF(ISERROR(OFFSET(Ottone!$A$1,MATCH(H371,Ottone!$A:$A,0)-1,MATCH(J371,Ottone!$A$1:$Z$1,0)-1)=TRUE),0,OFFSET(Ottone!$A$1,MATCH(H371,Ottone!$A:$A,0)-1,MATCH(J371,Ottone!$A$1:$Z$1,0)-1))*IF(E371="Ottone",1,0),4)</f>
        <v>0</v>
      </c>
      <c r="M371" s="446">
        <f ca="1">ROUND(IF(ISERROR(OFFSET(Rame!$A$1,MATCH(H371,Rame!$A:$A,0)-1,MATCH(J371,Rame!$A$1:$AA$1,0)-1)=TRUE),0,OFFSET(Rame!$A$1,MATCH(H371,Rame!$A:$A,0)-1,MATCH(J371,Rame!$A$1:$AA$1,0)-1))*IF(E371="Rame",1,0),4)</f>
        <v>0</v>
      </c>
      <c r="N371" s="446">
        <v>0</v>
      </c>
      <c r="O371" s="446">
        <v>1.93</v>
      </c>
      <c r="P371" s="446">
        <f ca="1">ROUND(+IF(ISERROR(OFFSET(Tabella!$G$1,MATCH(H371,Tabella!$G:$G,0)-1,MATCH(I371,Tabella!$G$1:$FG$1,0)-1)=TRUE),0,OFFSET(Tabella!$G$1,MATCH(H371,Tabella!$G:$G,0)-1,MATCH(I371,Tabella!$G$1:$AB$1,0)-1)),4)</f>
        <v>0</v>
      </c>
      <c r="Q371" s="446">
        <f ca="1">ROUND(IF(ISERROR(OFFSET(Ottone!$F$1,MATCH(H371,Ottone!$A:$A,0)-1,MATCH(I371,Ottone!$F$1:$FF$1,0)-1)=TRUE),0,OFFSET(Ottone!$F$1,MATCH(H371,Ottone!$A:$A,0)-1,MATCH(I371,Ottone!$F$1:$FF$1,0)-1))*IF(E371="Ottone",1,0),4)</f>
        <v>0</v>
      </c>
      <c r="R371" s="446">
        <f ca="1">ROUND(IF(ISERROR(OFFSET(Rame!$F$1,MATCH(H371,Rame!$F:$F,0)-1,MATCH(I371,Rame!$F$1:$FF$1,0)-1)=TRUE),0,OFFSET(Rame!$F$1,MATCH(H371,Rame!$F:$F,0)-1,MATCH(I371,Rame!$F$1:$FF$1,0)-1))*IF(E371="Rame",1,0),4)</f>
        <v>0</v>
      </c>
      <c r="S371" s="446">
        <f ca="1">ROUND(IF(ISERROR(OFFSET(Bronzo!$A$1,MATCH(H371,Bronzo!$A:$A,0)-1,MATCH(I371,Bronzo!$A$1:$AA$1,0)-1)=TRUE),0,OFFSET(Bronzo!$A$1,MATCH(H371,Bronzo!$A:$A,0)-1,MATCH(I371,Bronzo!$A$1:$AA$1,0)-1)),4)</f>
        <v>0</v>
      </c>
      <c r="T371" s="446">
        <f t="shared" ca="1" si="175"/>
        <v>0</v>
      </c>
      <c r="U371" s="443"/>
      <c r="V371" s="446">
        <v>0</v>
      </c>
      <c r="W371" s="449">
        <f t="shared" ca="1" si="176"/>
        <v>1.93</v>
      </c>
      <c r="X371" s="452">
        <f t="shared" si="174"/>
        <v>21</v>
      </c>
      <c r="Y371" s="440">
        <v>5.18</v>
      </c>
      <c r="Z371" s="440">
        <f t="shared" ca="1" si="177"/>
        <v>0.22</v>
      </c>
      <c r="AA371" s="241">
        <v>46185</v>
      </c>
      <c r="AH371" s="242"/>
    </row>
    <row r="372" spans="2:34" ht="15.75" x14ac:dyDescent="0.25">
      <c r="B372" s="229" t="s">
        <v>615</v>
      </c>
      <c r="C372" s="235" t="s">
        <v>396</v>
      </c>
      <c r="D372" s="243">
        <v>500</v>
      </c>
      <c r="E372" s="232" t="s">
        <v>4</v>
      </c>
      <c r="F372" s="435">
        <v>3.03</v>
      </c>
      <c r="G372" s="234">
        <v>46141</v>
      </c>
      <c r="H372" s="235" t="s">
        <v>22</v>
      </c>
      <c r="I372" s="235"/>
      <c r="J372" s="440">
        <v>7.0000000000000007E-2</v>
      </c>
      <c r="K372" s="443">
        <f ca="1">ROUND(IF(ISERROR(OFFSET(Tabella!$A$1,MATCH(H372,Tabella!$A:$A,0)-1,MATCH(J372,Tabella!$A$1:$AC$1,0)-1)=TRUE),0,+OFFSET(Tabella!$A$1,MATCH(H372,Tabella!$A:$A,0)-1,MATCH(J372,Tabella!$A$1:$AC$1,0)-1)),4)</f>
        <v>1.25</v>
      </c>
      <c r="L372" s="446">
        <f ca="1">ROUND(IF(ISERROR(OFFSET(Ottone!$A$1,MATCH(H372,Ottone!$A:$A,0)-1,MATCH(J372,Ottone!$A$1:$Z$1,0)-1)=TRUE),0,OFFSET(Ottone!$A$1,MATCH(H372,Ottone!$A:$A,0)-1,MATCH(J372,Ottone!$A$1:$Z$1,0)-1))*IF(E372="Ottone",1,0),4)</f>
        <v>0</v>
      </c>
      <c r="M372" s="446">
        <f ca="1">ROUND(IF(ISERROR(OFFSET(Rame!$A$1,MATCH(H372,Rame!$A:$A,0)-1,MATCH(J372,Rame!$A$1:$AA$1,0)-1)=TRUE),0,OFFSET(Rame!$A$1,MATCH(H372,Rame!$A:$A,0)-1,MATCH(J372,Rame!$A$1:$AA$1,0)-1))*IF(E372="Rame",1,0),4)</f>
        <v>0</v>
      </c>
      <c r="N372" s="446">
        <v>0</v>
      </c>
      <c r="O372" s="446">
        <v>1.73</v>
      </c>
      <c r="P372" s="446">
        <f ca="1">ROUND(+IF(ISERROR(OFFSET(Tabella!$G$1,MATCH(H372,Tabella!$G:$G,0)-1,MATCH(I372,Tabella!$G$1:$FG$1,0)-1)=TRUE),0,OFFSET(Tabella!$G$1,MATCH(H372,Tabella!$G:$G,0)-1,MATCH(I372,Tabella!$G$1:$AB$1,0)-1)),4)</f>
        <v>0</v>
      </c>
      <c r="Q372" s="446">
        <f ca="1">ROUND(IF(ISERROR(OFFSET(Ottone!$F$1,MATCH(H372,Ottone!$A:$A,0)-1,MATCH(I372,Ottone!$F$1:$FF$1,0)-1)=TRUE),0,OFFSET(Ottone!$F$1,MATCH(H372,Ottone!$A:$A,0)-1,MATCH(I372,Ottone!$F$1:$FF$1,0)-1))*IF(E372="Ottone",1,0),4)</f>
        <v>0</v>
      </c>
      <c r="R372" s="446">
        <f ca="1">ROUND(IF(ISERROR(OFFSET(Rame!$F$1,MATCH(H372,Rame!$F:$F,0)-1,MATCH(I372,Rame!$F$1:$FF$1,0)-1)=TRUE),0,OFFSET(Rame!$F$1,MATCH(H372,Rame!$F:$F,0)-1,MATCH(I372,Rame!$F$1:$FF$1,0)-1))*IF(E372="Rame",1,0),4)</f>
        <v>0</v>
      </c>
      <c r="S372" s="446">
        <f ca="1">ROUND(IF(ISERROR(OFFSET(Bronzo!$A$1,MATCH(H372,Bronzo!$A:$A,0)-1,MATCH(I372,Bronzo!$A$1:$AA$1,0)-1)=TRUE),0,OFFSET(Bronzo!$A$1,MATCH(H372,Bronzo!$A:$A,0)-1,MATCH(I372,Bronzo!$A$1:$AA$1,0)-1)),4)</f>
        <v>0</v>
      </c>
      <c r="T372" s="446">
        <f t="shared" ca="1" si="175"/>
        <v>0</v>
      </c>
      <c r="U372" s="443"/>
      <c r="V372" s="446">
        <v>0</v>
      </c>
      <c r="W372" s="449">
        <f t="shared" ca="1" si="176"/>
        <v>1.73</v>
      </c>
      <c r="X372" s="452">
        <f t="shared" si="174"/>
        <v>35</v>
      </c>
      <c r="Y372" s="440">
        <v>4.9800000000000004</v>
      </c>
      <c r="Z372" s="440">
        <f t="shared" ca="1" si="177"/>
        <v>0.22</v>
      </c>
      <c r="AA372" s="241">
        <v>46185</v>
      </c>
      <c r="AH372" s="242"/>
    </row>
    <row r="373" spans="2:34" ht="15.75" x14ac:dyDescent="0.25">
      <c r="B373" s="229" t="s">
        <v>615</v>
      </c>
      <c r="C373" s="235" t="s">
        <v>396</v>
      </c>
      <c r="D373" s="243">
        <v>200</v>
      </c>
      <c r="E373" s="232" t="s">
        <v>4</v>
      </c>
      <c r="F373" s="435">
        <v>3.03</v>
      </c>
      <c r="G373" s="234">
        <v>46141</v>
      </c>
      <c r="H373" s="235" t="s">
        <v>19</v>
      </c>
      <c r="I373" s="235"/>
      <c r="J373" s="440">
        <v>7.0000000000000007E-2</v>
      </c>
      <c r="K373" s="443">
        <f ca="1">ROUND(IF(ISERROR(OFFSET(Tabella!$A$1,MATCH(H373,Tabella!$A:$A,0)-1,MATCH(J373,Tabella!$A$1:$AC$1,0)-1)=TRUE),0,+OFFSET(Tabella!$A$1,MATCH(H373,Tabella!$A:$A,0)-1,MATCH(J373,Tabella!$A$1:$AC$1,0)-1)),4)</f>
        <v>1.35</v>
      </c>
      <c r="L373" s="446">
        <f ca="1">ROUND(IF(ISERROR(OFFSET(Ottone!$A$1,MATCH(H373,Ottone!$A:$A,0)-1,MATCH(J373,Ottone!$A$1:$Z$1,0)-1)=TRUE),0,OFFSET(Ottone!$A$1,MATCH(H373,Ottone!$A:$A,0)-1,MATCH(J373,Ottone!$A$1:$Z$1,0)-1))*IF(E373="Ottone",1,0),4)</f>
        <v>0</v>
      </c>
      <c r="M373" s="446">
        <f ca="1">ROUND(IF(ISERROR(OFFSET(Rame!$A$1,MATCH(H373,Rame!$A:$A,0)-1,MATCH(J373,Rame!$A$1:$AA$1,0)-1)=TRUE),0,OFFSET(Rame!$A$1,MATCH(H373,Rame!$A:$A,0)-1,MATCH(J373,Rame!$A$1:$AA$1,0)-1))*IF(E373="Rame",1,0),4)</f>
        <v>0</v>
      </c>
      <c r="N373" s="446">
        <v>0</v>
      </c>
      <c r="O373" s="446">
        <v>1.78</v>
      </c>
      <c r="P373" s="446">
        <f ca="1">ROUND(+IF(ISERROR(OFFSET(Tabella!$G$1,MATCH(H373,Tabella!$G:$G,0)-1,MATCH(I373,Tabella!$G$1:$FG$1,0)-1)=TRUE),0,OFFSET(Tabella!$G$1,MATCH(H373,Tabella!$G:$G,0)-1,MATCH(I373,Tabella!$G$1:$AB$1,0)-1)),4)</f>
        <v>0</v>
      </c>
      <c r="Q373" s="446">
        <f ca="1">ROUND(IF(ISERROR(OFFSET(Ottone!$F$1,MATCH(H373,Ottone!$A:$A,0)-1,MATCH(I373,Ottone!$F$1:$FF$1,0)-1)=TRUE),0,OFFSET(Ottone!$F$1,MATCH(H373,Ottone!$A:$A,0)-1,MATCH(I373,Ottone!$F$1:$FF$1,0)-1))*IF(E373="Ottone",1,0),4)</f>
        <v>0</v>
      </c>
      <c r="R373" s="446">
        <f ca="1">ROUND(IF(ISERROR(OFFSET(Rame!$F$1,MATCH(H373,Rame!$F:$F,0)-1,MATCH(I373,Rame!$F$1:$FF$1,0)-1)=TRUE),0,OFFSET(Rame!$F$1,MATCH(H373,Rame!$F:$F,0)-1,MATCH(I373,Rame!$F$1:$FF$1,0)-1))*IF(E373="Rame",1,0),4)</f>
        <v>0</v>
      </c>
      <c r="S373" s="446">
        <f ca="1">ROUND(IF(ISERROR(OFFSET(Bronzo!$A$1,MATCH(H373,Bronzo!$A:$A,0)-1,MATCH(I373,Bronzo!$A$1:$AA$1,0)-1)=TRUE),0,OFFSET(Bronzo!$A$1,MATCH(H373,Bronzo!$A:$A,0)-1,MATCH(I373,Bronzo!$A$1:$AA$1,0)-1)),4)</f>
        <v>0</v>
      </c>
      <c r="T373" s="446">
        <f t="shared" ca="1" si="175"/>
        <v>0</v>
      </c>
      <c r="U373" s="443"/>
      <c r="V373" s="446">
        <v>0</v>
      </c>
      <c r="W373" s="449">
        <f t="shared" ca="1" si="176"/>
        <v>1.78</v>
      </c>
      <c r="X373" s="452">
        <f t="shared" si="174"/>
        <v>14</v>
      </c>
      <c r="Y373" s="440">
        <v>5.03</v>
      </c>
      <c r="Z373" s="440">
        <f t="shared" ca="1" si="177"/>
        <v>0.22</v>
      </c>
      <c r="AA373" s="241">
        <v>46185</v>
      </c>
      <c r="AH373" s="242"/>
    </row>
    <row r="374" spans="2:34" ht="15.75" x14ac:dyDescent="0.25">
      <c r="B374" s="229" t="s">
        <v>607</v>
      </c>
      <c r="C374" s="235" t="s">
        <v>393</v>
      </c>
      <c r="D374" s="243">
        <v>100</v>
      </c>
      <c r="E374" s="232" t="s">
        <v>6</v>
      </c>
      <c r="F374" s="435">
        <v>11.25</v>
      </c>
      <c r="G374" s="234">
        <v>46141</v>
      </c>
      <c r="H374" s="235" t="s">
        <v>16</v>
      </c>
      <c r="I374" s="235"/>
      <c r="J374" s="440">
        <v>0.15</v>
      </c>
      <c r="K374" s="443">
        <f ca="1">ROUND(IF(ISERROR(OFFSET(Tabella!$A$1,MATCH(H374,Tabella!$A:$A,0)-1,MATCH(J374,Tabella!$A$1:$AC$1,0)-1)=TRUE),0,+OFFSET(Tabella!$A$1,MATCH(H374,Tabella!$A:$A,0)-1,MATCH(J374,Tabella!$A$1:$AC$1,0)-1)),4)</f>
        <v>0</v>
      </c>
      <c r="L374" s="446">
        <f ca="1">ROUND(IF(ISERROR(OFFSET(Ottone!$A$1,MATCH(H374,Ottone!$A:$A,0)-1,MATCH(J374,Ottone!$A$1:$Z$1,0)-1)=TRUE),0,OFFSET(Ottone!$A$1,MATCH(H374,Ottone!$A:$A,0)-1,MATCH(J374,Ottone!$A$1:$Z$1,0)-1))*IF(E374="Ottone",1,0),4)</f>
        <v>0</v>
      </c>
      <c r="M374" s="446">
        <f ca="1">ROUND(IF(ISERROR(OFFSET(Rame!$A$1,MATCH(H374,Rame!$A:$A,0)-1,MATCH(J374,Rame!$A$1:$AA$1,0)-1)=TRUE),0,OFFSET(Rame!$A$1,MATCH(H374,Rame!$A:$A,0)-1,MATCH(J374,Rame!$A$1:$AA$1,0)-1))*IF(E374="Rame",1,0),4)</f>
        <v>0.85</v>
      </c>
      <c r="N374" s="446">
        <v>0</v>
      </c>
      <c r="O374" s="446">
        <f ca="1">ROUND(SUM(K374:N374),4)</f>
        <v>0.85</v>
      </c>
      <c r="P374" s="446">
        <f ca="1">ROUND(+IF(ISERROR(OFFSET(Tabella!$G$1,MATCH(H374,Tabella!$G:$G,0)-1,MATCH(I374,Tabella!$G$1:$FG$1,0)-1)=TRUE),0,OFFSET(Tabella!$G$1,MATCH(H374,Tabella!$G:$G,0)-1,MATCH(I374,Tabella!$G$1:$AB$1,0)-1)),4)</f>
        <v>0</v>
      </c>
      <c r="Q374" s="446">
        <f ca="1">ROUND(IF(ISERROR(OFFSET(Ottone!$F$1,MATCH(H374,Ottone!$A:$A,0)-1,MATCH(I374,Ottone!$F$1:$FF$1,0)-1)=TRUE),0,OFFSET(Ottone!$F$1,MATCH(H374,Ottone!$A:$A,0)-1,MATCH(I374,Ottone!$F$1:$FF$1,0)-1))*IF(E374="Ottone",1,0),4)</f>
        <v>0</v>
      </c>
      <c r="R374" s="446">
        <f ca="1">ROUND(IF(ISERROR(OFFSET(Rame!$F$1,MATCH(H374,Rame!$F:$F,0)-1,MATCH(I374,Rame!$F$1:$FF$1,0)-1)=TRUE),0,OFFSET(Rame!$F$1,MATCH(H374,Rame!$F:$F,0)-1,MATCH(I374,Rame!$F$1:$FF$1,0)-1))*IF(E374="Rame",1,0),4)</f>
        <v>0</v>
      </c>
      <c r="S374" s="446">
        <f ca="1">ROUND(IF(ISERROR(OFFSET(Bronzo!$A$1,MATCH(H374,Bronzo!$A:$A,0)-1,MATCH(I374,Bronzo!$A$1:$AA$1,0)-1)=TRUE),0,OFFSET(Bronzo!$A$1,MATCH(H374,Bronzo!$A:$A,0)-1,MATCH(I374,Bronzo!$A$1:$AA$1,0)-1)),4)</f>
        <v>0</v>
      </c>
      <c r="T374" s="446">
        <f t="shared" ca="1" si="175"/>
        <v>0</v>
      </c>
      <c r="U374" s="443"/>
      <c r="V374" s="446">
        <v>0</v>
      </c>
      <c r="W374" s="449">
        <f t="shared" ca="1" si="176"/>
        <v>0.85</v>
      </c>
      <c r="X374" s="452">
        <f t="shared" si="174"/>
        <v>15</v>
      </c>
      <c r="Y374" s="440">
        <v>16.850000000000001</v>
      </c>
      <c r="Z374" s="440">
        <f t="shared" ca="1" si="177"/>
        <v>4.75</v>
      </c>
      <c r="AA374" s="241">
        <v>46157</v>
      </c>
      <c r="AH374" s="242"/>
    </row>
    <row r="375" spans="2:34" ht="15.75" x14ac:dyDescent="0.25">
      <c r="B375" s="229" t="s">
        <v>647</v>
      </c>
      <c r="C375" s="235" t="s">
        <v>92</v>
      </c>
      <c r="D375" s="243">
        <v>300</v>
      </c>
      <c r="E375" s="232" t="s">
        <v>4</v>
      </c>
      <c r="F375" s="435">
        <v>2.98</v>
      </c>
      <c r="G375" s="234">
        <v>46142</v>
      </c>
      <c r="H375" s="235" t="s">
        <v>22</v>
      </c>
      <c r="I375" s="235"/>
      <c r="J375" s="440">
        <v>7.0000000000000007E-2</v>
      </c>
      <c r="K375" s="443">
        <f ca="1">ROUND(IF(ISERROR(OFFSET(Tabella!$A$1,MATCH(H375,Tabella!$A:$A,0)-1,MATCH(J375,Tabella!$A$1:$AC$1,0)-1)=TRUE),0,+OFFSET(Tabella!$A$1,MATCH(H375,Tabella!$A:$A,0)-1,MATCH(J375,Tabella!$A$1:$AC$1,0)-1)),4)</f>
        <v>1.25</v>
      </c>
      <c r="L375" s="446">
        <f ca="1">ROUND(IF(ISERROR(OFFSET(Ottone!$A$1,MATCH(H375,Ottone!$A:$A,0)-1,MATCH(J375,Ottone!$A$1:$Z$1,0)-1)=TRUE),0,OFFSET(Ottone!$A$1,MATCH(H375,Ottone!$A:$A,0)-1,MATCH(J375,Ottone!$A$1:$Z$1,0)-1))*IF(E375="Ottone",1,0),4)</f>
        <v>0</v>
      </c>
      <c r="M375" s="446">
        <f ca="1">ROUND(IF(ISERROR(OFFSET(Rame!$A$1,MATCH(H375,Rame!$A:$A,0)-1,MATCH(J375,Rame!$A$1:$AA$1,0)-1)=TRUE),0,OFFSET(Rame!$A$1,MATCH(H375,Rame!$A:$A,0)-1,MATCH(J375,Rame!$A$1:$AA$1,0)-1))*IF(E375="Rame",1,0),4)</f>
        <v>0</v>
      </c>
      <c r="N375" s="446">
        <v>0</v>
      </c>
      <c r="O375" s="446">
        <v>1.73</v>
      </c>
      <c r="P375" s="446">
        <f ca="1">ROUND(+IF(ISERROR(OFFSET(Tabella!$G$1,MATCH(H375,Tabella!$G:$G,0)-1,MATCH(I375,Tabella!$G$1:$FG$1,0)-1)=TRUE),0,OFFSET(Tabella!$G$1,MATCH(H375,Tabella!$G:$G,0)-1,MATCH(I375,Tabella!$G$1:$AB$1,0)-1)),4)</f>
        <v>0</v>
      </c>
      <c r="Q375" s="446">
        <f ca="1">ROUND(IF(ISERROR(OFFSET(Ottone!$F$1,MATCH(H375,Ottone!$A:$A,0)-1,MATCH(I375,Ottone!$F$1:$FF$1,0)-1)=TRUE),0,OFFSET(Ottone!$F$1,MATCH(H375,Ottone!$A:$A,0)-1,MATCH(I375,Ottone!$F$1:$FF$1,0)-1))*IF(E375="Ottone",1,0),4)</f>
        <v>0</v>
      </c>
      <c r="R375" s="446">
        <f ca="1">ROUND(IF(ISERROR(OFFSET(Rame!$F$1,MATCH(H375,Rame!$F:$F,0)-1,MATCH(I375,Rame!$F$1:$FF$1,0)-1)=TRUE),0,OFFSET(Rame!$F$1,MATCH(H375,Rame!$F:$F,0)-1,MATCH(I375,Rame!$F$1:$FF$1,0)-1))*IF(E375="Rame",1,0),4)</f>
        <v>0</v>
      </c>
      <c r="S375" s="446">
        <f ca="1">ROUND(IF(ISERROR(OFFSET(Bronzo!$A$1,MATCH(H375,Bronzo!$A:$A,0)-1,MATCH(I375,Bronzo!$A$1:$AA$1,0)-1)=TRUE),0,OFFSET(Bronzo!$A$1,MATCH(H375,Bronzo!$A:$A,0)-1,MATCH(I375,Bronzo!$A$1:$AA$1,0)-1)),4)</f>
        <v>0</v>
      </c>
      <c r="T375" s="446">
        <f t="shared" ca="1" si="175"/>
        <v>0</v>
      </c>
      <c r="U375" s="443"/>
      <c r="V375" s="446">
        <v>0</v>
      </c>
      <c r="W375" s="449">
        <f t="shared" ca="1" si="176"/>
        <v>1.73</v>
      </c>
      <c r="X375" s="452">
        <f t="shared" si="174"/>
        <v>21</v>
      </c>
      <c r="Y375" s="440">
        <v>4.71</v>
      </c>
      <c r="Z375" s="440">
        <f t="shared" ca="1" si="177"/>
        <v>0</v>
      </c>
      <c r="AA375" s="241">
        <v>46177</v>
      </c>
      <c r="AH375" s="242"/>
    </row>
    <row r="376" spans="2:34" ht="15.75" x14ac:dyDescent="0.25">
      <c r="B376" s="229" t="s">
        <v>647</v>
      </c>
      <c r="C376" s="235" t="s">
        <v>92</v>
      </c>
      <c r="D376" s="243">
        <v>600</v>
      </c>
      <c r="E376" s="232" t="s">
        <v>4</v>
      </c>
      <c r="F376" s="435">
        <v>2.98</v>
      </c>
      <c r="G376" s="234">
        <v>46142</v>
      </c>
      <c r="H376" s="235" t="s">
        <v>26</v>
      </c>
      <c r="I376" s="235"/>
      <c r="J376" s="440">
        <v>7.0000000000000007E-2</v>
      </c>
      <c r="K376" s="443">
        <f ca="1">ROUND(IF(ISERROR(OFFSET(Tabella!$A$1,MATCH(H376,Tabella!$A:$A,0)-1,MATCH(J376,Tabella!$A$1:$AC$1,0)-1)=TRUE),0,+OFFSET(Tabella!$A$1,MATCH(H376,Tabella!$A:$A,0)-1,MATCH(J376,Tabella!$A$1:$AC$1,0)-1)),4)</f>
        <v>1.25</v>
      </c>
      <c r="L376" s="446">
        <f ca="1">ROUND(IF(ISERROR(OFFSET(Ottone!$A$1,MATCH(H376,Ottone!$A:$A,0)-1,MATCH(J376,Ottone!$A$1:$Z$1,0)-1)=TRUE),0,OFFSET(Ottone!$A$1,MATCH(H376,Ottone!$A:$A,0)-1,MATCH(J376,Ottone!$A$1:$Z$1,0)-1))*IF(E376="Ottone",1,0),4)</f>
        <v>0</v>
      </c>
      <c r="M376" s="446">
        <f ca="1">ROUND(IF(ISERROR(OFFSET(Rame!$A$1,MATCH(H376,Rame!$A:$A,0)-1,MATCH(J376,Rame!$A$1:$AA$1,0)-1)=TRUE),0,OFFSET(Rame!$A$1,MATCH(H376,Rame!$A:$A,0)-1,MATCH(J376,Rame!$A$1:$AA$1,0)-1))*IF(E376="Rame",1,0),4)</f>
        <v>0</v>
      </c>
      <c r="N376" s="446">
        <v>0</v>
      </c>
      <c r="O376" s="446">
        <v>1.73</v>
      </c>
      <c r="P376" s="446">
        <f ca="1">ROUND(+IF(ISERROR(OFFSET(Tabella!$G$1,MATCH(H376,Tabella!$G:$G,0)-1,MATCH(I376,Tabella!$G$1:$FG$1,0)-1)=TRUE),0,OFFSET(Tabella!$G$1,MATCH(H376,Tabella!$G:$G,0)-1,MATCH(I376,Tabella!$G$1:$AB$1,0)-1)),4)</f>
        <v>0</v>
      </c>
      <c r="Q376" s="446">
        <f ca="1">ROUND(IF(ISERROR(OFFSET(Ottone!$F$1,MATCH(H376,Ottone!$A:$A,0)-1,MATCH(I376,Ottone!$F$1:$FF$1,0)-1)=TRUE),0,OFFSET(Ottone!$F$1,MATCH(H376,Ottone!$A:$A,0)-1,MATCH(I376,Ottone!$F$1:$FF$1,0)-1))*IF(E376="Ottone",1,0),4)</f>
        <v>0</v>
      </c>
      <c r="R376" s="446">
        <f ca="1">ROUND(IF(ISERROR(OFFSET(Rame!$F$1,MATCH(H376,Rame!$F:$F,0)-1,MATCH(I376,Rame!$F$1:$FF$1,0)-1)=TRUE),0,OFFSET(Rame!$F$1,MATCH(H376,Rame!$F:$F,0)-1,MATCH(I376,Rame!$F$1:$FF$1,0)-1))*IF(E376="Rame",1,0),4)</f>
        <v>0</v>
      </c>
      <c r="S376" s="446">
        <f ca="1">ROUND(IF(ISERROR(OFFSET(Bronzo!$A$1,MATCH(H376,Bronzo!$A:$A,0)-1,MATCH(I376,Bronzo!$A$1:$AA$1,0)-1)=TRUE),0,OFFSET(Bronzo!$A$1,MATCH(H376,Bronzo!$A:$A,0)-1,MATCH(I376,Bronzo!$A$1:$AA$1,0)-1)),4)</f>
        <v>0</v>
      </c>
      <c r="T376" s="446">
        <f t="shared" ca="1" si="175"/>
        <v>0</v>
      </c>
      <c r="U376" s="443"/>
      <c r="V376" s="446">
        <v>0</v>
      </c>
      <c r="W376" s="449">
        <f t="shared" ca="1" si="176"/>
        <v>1.73</v>
      </c>
      <c r="X376" s="452">
        <f t="shared" si="174"/>
        <v>42</v>
      </c>
      <c r="Y376" s="440">
        <v>4.71</v>
      </c>
      <c r="Z376" s="440">
        <f t="shared" ca="1" si="177"/>
        <v>0</v>
      </c>
      <c r="AA376" s="241">
        <v>46177</v>
      </c>
      <c r="AH376" s="242"/>
    </row>
    <row r="377" spans="2:34" ht="15.75" x14ac:dyDescent="0.25">
      <c r="B377" s="229" t="s">
        <v>647</v>
      </c>
      <c r="C377" s="235" t="s">
        <v>92</v>
      </c>
      <c r="D377" s="243">
        <v>500</v>
      </c>
      <c r="E377" s="232" t="s">
        <v>4</v>
      </c>
      <c r="F377" s="435">
        <v>2.98</v>
      </c>
      <c r="G377" s="234">
        <v>46142</v>
      </c>
      <c r="H377" s="235" t="s">
        <v>28</v>
      </c>
      <c r="I377" s="235"/>
      <c r="J377" s="440">
        <v>7.0000000000000007E-2</v>
      </c>
      <c r="K377" s="443">
        <f ca="1">ROUND(IF(ISERROR(OFFSET(Tabella!$A$1,MATCH(H377,Tabella!$A:$A,0)-1,MATCH(J377,Tabella!$A$1:$AC$1,0)-1)=TRUE),0,+OFFSET(Tabella!$A$1,MATCH(H377,Tabella!$A:$A,0)-1,MATCH(J377,Tabella!$A$1:$AC$1,0)-1)),4)</f>
        <v>1.25</v>
      </c>
      <c r="L377" s="446">
        <f ca="1">ROUND(IF(ISERROR(OFFSET(Ottone!$A$1,MATCH(H377,Ottone!$A:$A,0)-1,MATCH(J377,Ottone!$A$1:$Z$1,0)-1)=TRUE),0,OFFSET(Ottone!$A$1,MATCH(H377,Ottone!$A:$A,0)-1,MATCH(J377,Ottone!$A$1:$Z$1,0)-1))*IF(E377="Ottone",1,0),4)</f>
        <v>0</v>
      </c>
      <c r="M377" s="446">
        <f ca="1">ROUND(IF(ISERROR(OFFSET(Rame!$A$1,MATCH(H377,Rame!$A:$A,0)-1,MATCH(J377,Rame!$A$1:$AA$1,0)-1)=TRUE),0,OFFSET(Rame!$A$1,MATCH(H377,Rame!$A:$A,0)-1,MATCH(J377,Rame!$A$1:$AA$1,0)-1))*IF(E377="Rame",1,0),4)</f>
        <v>0</v>
      </c>
      <c r="N377" s="446">
        <v>0</v>
      </c>
      <c r="O377" s="446">
        <v>1.73</v>
      </c>
      <c r="P377" s="446">
        <f ca="1">ROUND(+IF(ISERROR(OFFSET(Tabella!$G$1,MATCH(H377,Tabella!$G:$G,0)-1,MATCH(I377,Tabella!$G$1:$FG$1,0)-1)=TRUE),0,OFFSET(Tabella!$G$1,MATCH(H377,Tabella!$G:$G,0)-1,MATCH(I377,Tabella!$G$1:$AB$1,0)-1)),4)</f>
        <v>0</v>
      </c>
      <c r="Q377" s="446">
        <f ca="1">ROUND(IF(ISERROR(OFFSET(Ottone!$F$1,MATCH(H377,Ottone!$A:$A,0)-1,MATCH(I377,Ottone!$F$1:$FF$1,0)-1)=TRUE),0,OFFSET(Ottone!$F$1,MATCH(H377,Ottone!$A:$A,0)-1,MATCH(I377,Ottone!$F$1:$FF$1,0)-1))*IF(E377="Ottone",1,0),4)</f>
        <v>0</v>
      </c>
      <c r="R377" s="446">
        <f ca="1">ROUND(IF(ISERROR(OFFSET(Rame!$F$1,MATCH(H377,Rame!$F:$F,0)-1,MATCH(I377,Rame!$F$1:$FF$1,0)-1)=TRUE),0,OFFSET(Rame!$F$1,MATCH(H377,Rame!$F:$F,0)-1,MATCH(I377,Rame!$F$1:$FF$1,0)-1))*IF(E377="Rame",1,0),4)</f>
        <v>0</v>
      </c>
      <c r="S377" s="446">
        <f ca="1">ROUND(IF(ISERROR(OFFSET(Bronzo!$A$1,MATCH(H377,Bronzo!$A:$A,0)-1,MATCH(I377,Bronzo!$A$1:$AA$1,0)-1)=TRUE),0,OFFSET(Bronzo!$A$1,MATCH(H377,Bronzo!$A:$A,0)-1,MATCH(I377,Bronzo!$A$1:$AA$1,0)-1)),4)</f>
        <v>0</v>
      </c>
      <c r="T377" s="446">
        <f t="shared" ca="1" si="175"/>
        <v>0</v>
      </c>
      <c r="U377" s="443"/>
      <c r="V377" s="446">
        <v>0</v>
      </c>
      <c r="W377" s="449">
        <f t="shared" ca="1" si="176"/>
        <v>1.73</v>
      </c>
      <c r="X377" s="452">
        <f t="shared" si="174"/>
        <v>35</v>
      </c>
      <c r="Y377" s="440">
        <v>4.71</v>
      </c>
      <c r="Z377" s="440">
        <f t="shared" ca="1" si="177"/>
        <v>0</v>
      </c>
      <c r="AA377" s="241">
        <v>46177</v>
      </c>
      <c r="AH377" s="242"/>
    </row>
    <row r="378" spans="2:34" ht="15.75" x14ac:dyDescent="0.25">
      <c r="B378" s="229" t="s">
        <v>643</v>
      </c>
      <c r="C378" s="235" t="s">
        <v>297</v>
      </c>
      <c r="D378" s="243">
        <v>300</v>
      </c>
      <c r="E378" s="232" t="s">
        <v>4</v>
      </c>
      <c r="F378" s="435">
        <v>2.98</v>
      </c>
      <c r="G378" s="234">
        <v>46142</v>
      </c>
      <c r="H378" s="235" t="s">
        <v>9</v>
      </c>
      <c r="I378" s="235"/>
      <c r="J378" s="440">
        <v>0.1</v>
      </c>
      <c r="K378" s="443">
        <f ca="1">ROUND(IF(ISERROR(OFFSET(Tabella!$A$1,MATCH(H378,Tabella!$A:$A,0)-1,MATCH(J378,Tabella!$A$1:$AC$1,0)-1)=TRUE),0,+OFFSET(Tabella!$A$1,MATCH(H378,Tabella!$A:$A,0)-1,MATCH(J378,Tabella!$A$1:$AC$1,0)-1)),4)</f>
        <v>1.75</v>
      </c>
      <c r="L378" s="446">
        <f ca="1">ROUND(IF(ISERROR(OFFSET(Ottone!$A$1,MATCH(H378,Ottone!$A:$A,0)-1,MATCH(J378,Ottone!$A$1:$Z$1,0)-1)=TRUE),0,OFFSET(Ottone!$A$1,MATCH(H378,Ottone!$A:$A,0)-1,MATCH(J378,Ottone!$A$1:$Z$1,0)-1))*IF(E378="Ottone",1,0),4)</f>
        <v>0</v>
      </c>
      <c r="M378" s="446">
        <f ca="1">ROUND(IF(ISERROR(OFFSET(Rame!$A$1,MATCH(H378,Rame!$A:$A,0)-1,MATCH(J378,Rame!$A$1:$AA$1,0)-1)=TRUE),0,OFFSET(Rame!$A$1,MATCH(H378,Rame!$A:$A,0)-1,MATCH(J378,Rame!$A$1:$AA$1,0)-1))*IF(E378="Rame",1,0),4)</f>
        <v>0</v>
      </c>
      <c r="N378" s="446">
        <v>0</v>
      </c>
      <c r="O378" s="446">
        <v>2.13</v>
      </c>
      <c r="P378" s="446">
        <f ca="1">ROUND(+IF(ISERROR(OFFSET(Tabella!$G$1,MATCH(H378,Tabella!$G:$G,0)-1,MATCH(I378,Tabella!$G$1:$FG$1,0)-1)=TRUE),0,OFFSET(Tabella!$G$1,MATCH(H378,Tabella!$G:$G,0)-1,MATCH(I378,Tabella!$G$1:$AB$1,0)-1)),4)</f>
        <v>0</v>
      </c>
      <c r="Q378" s="446">
        <f ca="1">ROUND(IF(ISERROR(OFFSET(Ottone!$F$1,MATCH(H378,Ottone!$A:$A,0)-1,MATCH(I378,Ottone!$F$1:$FF$1,0)-1)=TRUE),0,OFFSET(Ottone!$F$1,MATCH(H378,Ottone!$A:$A,0)-1,MATCH(I378,Ottone!$F$1:$FF$1,0)-1))*IF(E378="Ottone",1,0),4)</f>
        <v>0</v>
      </c>
      <c r="R378" s="446">
        <f ca="1">ROUND(IF(ISERROR(OFFSET(Rame!$F$1,MATCH(H378,Rame!$F:$F,0)-1,MATCH(I378,Rame!$F$1:$FF$1,0)-1)=TRUE),0,OFFSET(Rame!$F$1,MATCH(H378,Rame!$F:$F,0)-1,MATCH(I378,Rame!$F$1:$FF$1,0)-1))*IF(E378="Rame",1,0),4)</f>
        <v>0</v>
      </c>
      <c r="S378" s="446">
        <f ca="1">ROUND(IF(ISERROR(OFFSET(Bronzo!$A$1,MATCH(H378,Bronzo!$A:$A,0)-1,MATCH(I378,Bronzo!$A$1:$AA$1,0)-1)=TRUE),0,OFFSET(Bronzo!$A$1,MATCH(H378,Bronzo!$A:$A,0)-1,MATCH(I378,Bronzo!$A$1:$AA$1,0)-1)),4)</f>
        <v>0</v>
      </c>
      <c r="T378" s="446">
        <f t="shared" ca="1" si="175"/>
        <v>0</v>
      </c>
      <c r="U378" s="443"/>
      <c r="V378" s="446">
        <v>0</v>
      </c>
      <c r="W378" s="449">
        <f t="shared" ca="1" si="176"/>
        <v>2.13</v>
      </c>
      <c r="X378" s="452">
        <f t="shared" si="174"/>
        <v>30</v>
      </c>
      <c r="Y378" s="440">
        <v>5.16</v>
      </c>
      <c r="Z378" s="440">
        <f t="shared" ca="1" si="177"/>
        <v>0.05</v>
      </c>
      <c r="AA378" s="241">
        <v>46164</v>
      </c>
      <c r="AH378" s="242"/>
    </row>
    <row r="379" spans="2:34" ht="15.75" x14ac:dyDescent="0.25">
      <c r="B379" s="229" t="s">
        <v>642</v>
      </c>
      <c r="C379" s="235" t="s">
        <v>263</v>
      </c>
      <c r="D379" s="243">
        <v>550</v>
      </c>
      <c r="E379" s="232" t="s">
        <v>4</v>
      </c>
      <c r="F379" s="435">
        <v>2.88</v>
      </c>
      <c r="G379" s="234">
        <v>46142</v>
      </c>
      <c r="H379" s="235" t="s">
        <v>21</v>
      </c>
      <c r="I379" s="235"/>
      <c r="J379" s="440">
        <v>7.0000000000000007E-2</v>
      </c>
      <c r="K379" s="443">
        <f ca="1">ROUND(IF(ISERROR(OFFSET(Tabella!$A$1,MATCH(H379,Tabella!$A:$A,0)-1,MATCH(J379,Tabella!$A$1:$AC$1,0)-1)=TRUE),0,+OFFSET(Tabella!$A$1,MATCH(H379,Tabella!$A:$A,0)-1,MATCH(J379,Tabella!$A$1:$AC$1,0)-1)),4)</f>
        <v>1.25</v>
      </c>
      <c r="L379" s="446">
        <f ca="1">ROUND(IF(ISERROR(OFFSET(Ottone!$A$1,MATCH(H379,Ottone!$A:$A,0)-1,MATCH(J379,Ottone!$A$1:$Z$1,0)-1)=TRUE),0,OFFSET(Ottone!$A$1,MATCH(H379,Ottone!$A:$A,0)-1,MATCH(J379,Ottone!$A$1:$Z$1,0)-1))*IF(E379="Ottone",1,0),4)</f>
        <v>0</v>
      </c>
      <c r="M379" s="446">
        <f ca="1">ROUND(IF(ISERROR(OFFSET(Rame!$A$1,MATCH(H379,Rame!$A:$A,0)-1,MATCH(J379,Rame!$A$1:$AA$1,0)-1)=TRUE),0,OFFSET(Rame!$A$1,MATCH(H379,Rame!$A:$A,0)-1,MATCH(J379,Rame!$A$1:$AA$1,0)-1))*IF(E379="Rame",1,0),4)</f>
        <v>0</v>
      </c>
      <c r="N379" s="446">
        <v>0</v>
      </c>
      <c r="O379" s="446">
        <v>1.73</v>
      </c>
      <c r="P379" s="446">
        <f ca="1">ROUND(+IF(ISERROR(OFFSET(Tabella!$G$1,MATCH(H379,Tabella!$G:$G,0)-1,MATCH(I379,Tabella!$G$1:$FG$1,0)-1)=TRUE),0,OFFSET(Tabella!$G$1,MATCH(H379,Tabella!$G:$G,0)-1,MATCH(I379,Tabella!$G$1:$AB$1,0)-1)),4)</f>
        <v>0</v>
      </c>
      <c r="Q379" s="446">
        <f ca="1">ROUND(IF(ISERROR(OFFSET(Ottone!$F$1,MATCH(H379,Ottone!$A:$A,0)-1,MATCH(I379,Ottone!$F$1:$FF$1,0)-1)=TRUE),0,OFFSET(Ottone!$F$1,MATCH(H379,Ottone!$A:$A,0)-1,MATCH(I379,Ottone!$F$1:$FF$1,0)-1))*IF(E379="Ottone",1,0),4)</f>
        <v>0</v>
      </c>
      <c r="R379" s="446">
        <f ca="1">ROUND(IF(ISERROR(OFFSET(Rame!$F$1,MATCH(H379,Rame!$F:$F,0)-1,MATCH(I379,Rame!$F$1:$FF$1,0)-1)=TRUE),0,OFFSET(Rame!$F$1,MATCH(H379,Rame!$F:$F,0)-1,MATCH(I379,Rame!$F$1:$FF$1,0)-1))*IF(E379="Rame",1,0),4)</f>
        <v>0</v>
      </c>
      <c r="S379" s="446">
        <f ca="1">ROUND(IF(ISERROR(OFFSET(Bronzo!$A$1,MATCH(H379,Bronzo!$A:$A,0)-1,MATCH(I379,Bronzo!$A$1:$AA$1,0)-1)=TRUE),0,OFFSET(Bronzo!$A$1,MATCH(H379,Bronzo!$A:$A,0)-1,MATCH(I379,Bronzo!$A$1:$AA$1,0)-1)),4)</f>
        <v>0</v>
      </c>
      <c r="T379" s="446">
        <f t="shared" ca="1" si="175"/>
        <v>0</v>
      </c>
      <c r="U379" s="443"/>
      <c r="V379" s="446">
        <v>0</v>
      </c>
      <c r="W379" s="449">
        <f t="shared" ca="1" si="176"/>
        <v>1.73</v>
      </c>
      <c r="X379" s="452">
        <f t="shared" si="174"/>
        <v>38.5</v>
      </c>
      <c r="Y379" s="440">
        <v>4.5599999999999996</v>
      </c>
      <c r="Z379" s="440">
        <f t="shared" ca="1" si="177"/>
        <v>-0.05</v>
      </c>
      <c r="AA379" s="241">
        <v>46196</v>
      </c>
      <c r="AH379" s="242"/>
    </row>
    <row r="380" spans="2:34" ht="15.75" x14ac:dyDescent="0.25">
      <c r="B380" s="229" t="s">
        <v>642</v>
      </c>
      <c r="C380" s="235" t="s">
        <v>263</v>
      </c>
      <c r="D380" s="243">
        <v>1000</v>
      </c>
      <c r="E380" s="232" t="s">
        <v>4</v>
      </c>
      <c r="F380" s="435">
        <v>2.88</v>
      </c>
      <c r="G380" s="234">
        <v>46142</v>
      </c>
      <c r="H380" s="235" t="s">
        <v>22</v>
      </c>
      <c r="I380" s="235"/>
      <c r="J380" s="440">
        <v>7.0000000000000007E-2</v>
      </c>
      <c r="K380" s="443">
        <f ca="1">ROUND(IF(ISERROR(OFFSET(Tabella!$A$1,MATCH(H380,Tabella!$A:$A,0)-1,MATCH(J380,Tabella!$A$1:$AC$1,0)-1)=TRUE),0,+OFFSET(Tabella!$A$1,MATCH(H380,Tabella!$A:$A,0)-1,MATCH(J380,Tabella!$A$1:$AC$1,0)-1)),4)</f>
        <v>1.25</v>
      </c>
      <c r="L380" s="446">
        <f ca="1">ROUND(IF(ISERROR(OFFSET(Ottone!$A$1,MATCH(H380,Ottone!$A:$A,0)-1,MATCH(J380,Ottone!$A$1:$Z$1,0)-1)=TRUE),0,OFFSET(Ottone!$A$1,MATCH(H380,Ottone!$A:$A,0)-1,MATCH(J380,Ottone!$A$1:$Z$1,0)-1))*IF(E380="Ottone",1,0),4)</f>
        <v>0</v>
      </c>
      <c r="M380" s="446">
        <f ca="1">ROUND(IF(ISERROR(OFFSET(Rame!$A$1,MATCH(H380,Rame!$A:$A,0)-1,MATCH(J380,Rame!$A$1:$AA$1,0)-1)=TRUE),0,OFFSET(Rame!$A$1,MATCH(H380,Rame!$A:$A,0)-1,MATCH(J380,Rame!$A$1:$AA$1,0)-1))*IF(E380="Rame",1,0),4)</f>
        <v>0</v>
      </c>
      <c r="N380" s="446">
        <v>0</v>
      </c>
      <c r="O380" s="446">
        <v>1.73</v>
      </c>
      <c r="P380" s="446">
        <f ca="1">ROUND(+IF(ISERROR(OFFSET(Tabella!$G$1,MATCH(H380,Tabella!$G:$G,0)-1,MATCH(I380,Tabella!$G$1:$FG$1,0)-1)=TRUE),0,OFFSET(Tabella!$G$1,MATCH(H380,Tabella!$G:$G,0)-1,MATCH(I380,Tabella!$G$1:$AB$1,0)-1)),4)</f>
        <v>0</v>
      </c>
      <c r="Q380" s="446">
        <f ca="1">ROUND(IF(ISERROR(OFFSET(Ottone!$F$1,MATCH(H380,Ottone!$A:$A,0)-1,MATCH(I380,Ottone!$F$1:$FF$1,0)-1)=TRUE),0,OFFSET(Ottone!$F$1,MATCH(H380,Ottone!$A:$A,0)-1,MATCH(I380,Ottone!$F$1:$FF$1,0)-1))*IF(E380="Ottone",1,0),4)</f>
        <v>0</v>
      </c>
      <c r="R380" s="446">
        <f ca="1">ROUND(IF(ISERROR(OFFSET(Rame!$F$1,MATCH(H380,Rame!$F:$F,0)-1,MATCH(I380,Rame!$F$1:$FF$1,0)-1)=TRUE),0,OFFSET(Rame!$F$1,MATCH(H380,Rame!$F:$F,0)-1,MATCH(I380,Rame!$F$1:$FF$1,0)-1))*IF(E380="Rame",1,0),4)</f>
        <v>0</v>
      </c>
      <c r="S380" s="446">
        <f ca="1">ROUND(IF(ISERROR(OFFSET(Bronzo!$A$1,MATCH(H380,Bronzo!$A:$A,0)-1,MATCH(I380,Bronzo!$A$1:$AA$1,0)-1)=TRUE),0,OFFSET(Bronzo!$A$1,MATCH(H380,Bronzo!$A:$A,0)-1,MATCH(I380,Bronzo!$A$1:$AA$1,0)-1)),4)</f>
        <v>0</v>
      </c>
      <c r="T380" s="446">
        <f t="shared" ca="1" si="175"/>
        <v>0</v>
      </c>
      <c r="U380" s="443"/>
      <c r="V380" s="446">
        <v>0</v>
      </c>
      <c r="W380" s="449">
        <f t="shared" ca="1" si="176"/>
        <v>1.73</v>
      </c>
      <c r="X380" s="452">
        <f t="shared" si="174"/>
        <v>70</v>
      </c>
      <c r="Y380" s="440">
        <v>4.5599999999999996</v>
      </c>
      <c r="Z380" s="440">
        <f t="shared" ca="1" si="177"/>
        <v>-0.05</v>
      </c>
      <c r="AA380" s="241">
        <v>46168</v>
      </c>
      <c r="AH380" s="242"/>
    </row>
    <row r="381" spans="2:34" ht="15.75" x14ac:dyDescent="0.25">
      <c r="B381" s="229" t="s">
        <v>642</v>
      </c>
      <c r="C381" s="235" t="s">
        <v>263</v>
      </c>
      <c r="D381" s="243">
        <v>500</v>
      </c>
      <c r="E381" s="232" t="s">
        <v>4</v>
      </c>
      <c r="F381" s="435">
        <v>2.88</v>
      </c>
      <c r="G381" s="234">
        <v>46142</v>
      </c>
      <c r="H381" s="235" t="s">
        <v>9</v>
      </c>
      <c r="I381" s="235"/>
      <c r="J381" s="440">
        <v>7.0000000000000007E-2</v>
      </c>
      <c r="K381" s="443">
        <f ca="1">ROUND(IF(ISERROR(OFFSET(Tabella!$A$1,MATCH(H381,Tabella!$A:$A,0)-1,MATCH(J381,Tabella!$A$1:$AC$1,0)-1)=TRUE),0,+OFFSET(Tabella!$A$1,MATCH(H381,Tabella!$A:$A,0)-1,MATCH(J381,Tabella!$A$1:$AC$1,0)-1)),4)</f>
        <v>1.6</v>
      </c>
      <c r="L381" s="446">
        <f ca="1">ROUND(IF(ISERROR(OFFSET(Ottone!$A$1,MATCH(H381,Ottone!$A:$A,0)-1,MATCH(J381,Ottone!$A$1:$Z$1,0)-1)=TRUE),0,OFFSET(Ottone!$A$1,MATCH(H381,Ottone!$A:$A,0)-1,MATCH(J381,Ottone!$A$1:$Z$1,0)-1))*IF(E381="Ottone",1,0),4)</f>
        <v>0</v>
      </c>
      <c r="M381" s="446">
        <f ca="1">ROUND(IF(ISERROR(OFFSET(Rame!$A$1,MATCH(H381,Rame!$A:$A,0)-1,MATCH(J381,Rame!$A$1:$AA$1,0)-1)=TRUE),0,OFFSET(Rame!$A$1,MATCH(H381,Rame!$A:$A,0)-1,MATCH(J381,Rame!$A$1:$AA$1,0)-1))*IF(E381="Rame",1,0),4)</f>
        <v>0</v>
      </c>
      <c r="N381" s="446">
        <v>0</v>
      </c>
      <c r="O381" s="446">
        <v>2.0299999999999998</v>
      </c>
      <c r="P381" s="446">
        <f ca="1">ROUND(+IF(ISERROR(OFFSET(Tabella!$G$1,MATCH(H381,Tabella!$G:$G,0)-1,MATCH(I381,Tabella!$G$1:$FG$1,0)-1)=TRUE),0,OFFSET(Tabella!$G$1,MATCH(H381,Tabella!$G:$G,0)-1,MATCH(I381,Tabella!$G$1:$AB$1,0)-1)),4)</f>
        <v>0</v>
      </c>
      <c r="Q381" s="446">
        <f ca="1">ROUND(IF(ISERROR(OFFSET(Ottone!$F$1,MATCH(H381,Ottone!$A:$A,0)-1,MATCH(I381,Ottone!$F$1:$FF$1,0)-1)=TRUE),0,OFFSET(Ottone!$F$1,MATCH(H381,Ottone!$A:$A,0)-1,MATCH(I381,Ottone!$F$1:$FF$1,0)-1))*IF(E381="Ottone",1,0),4)</f>
        <v>0</v>
      </c>
      <c r="R381" s="446">
        <f ca="1">ROUND(IF(ISERROR(OFFSET(Rame!$F$1,MATCH(H381,Rame!$F:$F,0)-1,MATCH(I381,Rame!$F$1:$FF$1,0)-1)=TRUE),0,OFFSET(Rame!$F$1,MATCH(H381,Rame!$F:$F,0)-1,MATCH(I381,Rame!$F$1:$FF$1,0)-1))*IF(E381="Rame",1,0),4)</f>
        <v>0</v>
      </c>
      <c r="S381" s="446">
        <f ca="1">ROUND(IF(ISERROR(OFFSET(Bronzo!$A$1,MATCH(H381,Bronzo!$A:$A,0)-1,MATCH(I381,Bronzo!$A$1:$AA$1,0)-1)=TRUE),0,OFFSET(Bronzo!$A$1,MATCH(H381,Bronzo!$A:$A,0)-1,MATCH(I381,Bronzo!$A$1:$AA$1,0)-1)),4)</f>
        <v>0</v>
      </c>
      <c r="T381" s="446">
        <f t="shared" ca="1" si="175"/>
        <v>0</v>
      </c>
      <c r="U381" s="443"/>
      <c r="V381" s="446">
        <v>0</v>
      </c>
      <c r="W381" s="449">
        <f t="shared" ca="1" si="176"/>
        <v>2.0299999999999998</v>
      </c>
      <c r="X381" s="452">
        <f t="shared" si="174"/>
        <v>35</v>
      </c>
      <c r="Y381" s="440">
        <v>4.8600000000000003</v>
      </c>
      <c r="Z381" s="440">
        <f t="shared" ca="1" si="177"/>
        <v>-0.05</v>
      </c>
      <c r="AA381" s="241">
        <v>46168</v>
      </c>
      <c r="AH381" s="242"/>
    </row>
    <row r="382" spans="2:34" ht="15.75" x14ac:dyDescent="0.25">
      <c r="B382" s="229" t="s">
        <v>642</v>
      </c>
      <c r="C382" s="235" t="s">
        <v>263</v>
      </c>
      <c r="D382" s="243">
        <v>750</v>
      </c>
      <c r="E382" s="232" t="s">
        <v>4</v>
      </c>
      <c r="F382" s="435">
        <v>2.88</v>
      </c>
      <c r="G382" s="234">
        <v>46142</v>
      </c>
      <c r="H382" s="235" t="s">
        <v>309</v>
      </c>
      <c r="I382" s="235"/>
      <c r="J382" s="440">
        <v>7.0000000000000007E-2</v>
      </c>
      <c r="K382" s="443">
        <f ca="1">ROUND(IF(ISERROR(OFFSET(Tabella!$A$1,MATCH(H382,Tabella!$A:$A,0)-1,MATCH(J382,Tabella!$A$1:$AC$1,0)-1)=TRUE),0,+OFFSET(Tabella!$A$1,MATCH(H382,Tabella!$A:$A,0)-1,MATCH(J382,Tabella!$A$1:$AC$1,0)-1)),4)</f>
        <v>1.25</v>
      </c>
      <c r="L382" s="446">
        <f ca="1">ROUND(IF(ISERROR(OFFSET(Ottone!$A$1,MATCH(H382,Ottone!$A:$A,0)-1,MATCH(J382,Ottone!$A$1:$Z$1,0)-1)=TRUE),0,OFFSET(Ottone!$A$1,MATCH(H382,Ottone!$A:$A,0)-1,MATCH(J382,Ottone!$A$1:$Z$1,0)-1))*IF(E382="Ottone",1,0),4)</f>
        <v>0</v>
      </c>
      <c r="M382" s="446">
        <f ca="1">ROUND(IF(ISERROR(OFFSET(Rame!$A$1,MATCH(H382,Rame!$A:$A,0)-1,MATCH(J382,Rame!$A$1:$AA$1,0)-1)=TRUE),0,OFFSET(Rame!$A$1,MATCH(H382,Rame!$A:$A,0)-1,MATCH(J382,Rame!$A$1:$AA$1,0)-1))*IF(E382="Rame",1,0),4)</f>
        <v>0</v>
      </c>
      <c r="N382" s="446">
        <v>0</v>
      </c>
      <c r="O382" s="446">
        <v>1.73</v>
      </c>
      <c r="P382" s="446">
        <f ca="1">ROUND(+IF(ISERROR(OFFSET(Tabella!$G$1,MATCH(H382,Tabella!$G:$G,0)-1,MATCH(I382,Tabella!$G$1:$FG$1,0)-1)=TRUE),0,OFFSET(Tabella!$G$1,MATCH(H382,Tabella!$G:$G,0)-1,MATCH(I382,Tabella!$G$1:$AB$1,0)-1)),4)</f>
        <v>0</v>
      </c>
      <c r="Q382" s="446">
        <f ca="1">ROUND(IF(ISERROR(OFFSET(Ottone!$F$1,MATCH(H382,Ottone!$A:$A,0)-1,MATCH(I382,Ottone!$F$1:$FF$1,0)-1)=TRUE),0,OFFSET(Ottone!$F$1,MATCH(H382,Ottone!$A:$A,0)-1,MATCH(I382,Ottone!$F$1:$FF$1,0)-1))*IF(E382="Ottone",1,0),4)</f>
        <v>0</v>
      </c>
      <c r="R382" s="446">
        <f ca="1">ROUND(IF(ISERROR(OFFSET(Rame!$F$1,MATCH(H382,Rame!$F:$F,0)-1,MATCH(I382,Rame!$F$1:$FF$1,0)-1)=TRUE),0,OFFSET(Rame!$F$1,MATCH(H382,Rame!$F:$F,0)-1,MATCH(I382,Rame!$F$1:$FF$1,0)-1))*IF(E382="Rame",1,0),4)</f>
        <v>0</v>
      </c>
      <c r="S382" s="446">
        <f ca="1">ROUND(IF(ISERROR(OFFSET(Bronzo!$A$1,MATCH(H382,Bronzo!$A:$A,0)-1,MATCH(I382,Bronzo!$A$1:$AA$1,0)-1)=TRUE),0,OFFSET(Bronzo!$A$1,MATCH(H382,Bronzo!$A:$A,0)-1,MATCH(I382,Bronzo!$A$1:$AA$1,0)-1)),4)</f>
        <v>0</v>
      </c>
      <c r="T382" s="446">
        <f t="shared" ca="1" si="175"/>
        <v>0</v>
      </c>
      <c r="U382" s="443"/>
      <c r="V382" s="446">
        <v>0</v>
      </c>
      <c r="W382" s="449">
        <f t="shared" ca="1" si="176"/>
        <v>1.73</v>
      </c>
      <c r="X382" s="452">
        <f t="shared" si="174"/>
        <v>52.5</v>
      </c>
      <c r="Y382" s="440">
        <v>4.5599999999999996</v>
      </c>
      <c r="Z382" s="440">
        <f t="shared" ca="1" si="177"/>
        <v>-0.05</v>
      </c>
      <c r="AA382" s="241">
        <v>46199</v>
      </c>
      <c r="AH382" s="242"/>
    </row>
    <row r="383" spans="2:34" ht="15.75" x14ac:dyDescent="0.25">
      <c r="B383" s="229" t="s">
        <v>642</v>
      </c>
      <c r="C383" s="235" t="s">
        <v>263</v>
      </c>
      <c r="D383" s="243">
        <v>100</v>
      </c>
      <c r="E383" s="232" t="s">
        <v>4</v>
      </c>
      <c r="F383" s="435">
        <v>2.88</v>
      </c>
      <c r="G383" s="234">
        <v>46142</v>
      </c>
      <c r="H383" s="235" t="s">
        <v>9</v>
      </c>
      <c r="I383" s="235"/>
      <c r="J383" s="440">
        <v>7.0000000000000007E-2</v>
      </c>
      <c r="K383" s="443">
        <f ca="1">ROUND(IF(ISERROR(OFFSET(Tabella!$A$1,MATCH(H383,Tabella!$A:$A,0)-1,MATCH(J383,Tabella!$A$1:$AC$1,0)-1)=TRUE),0,+OFFSET(Tabella!$A$1,MATCH(H383,Tabella!$A:$A,0)-1,MATCH(J383,Tabella!$A$1:$AC$1,0)-1)),4)</f>
        <v>1.6</v>
      </c>
      <c r="L383" s="446">
        <f ca="1">ROUND(IF(ISERROR(OFFSET(Ottone!$A$1,MATCH(H383,Ottone!$A:$A,0)-1,MATCH(J383,Ottone!$A$1:$Z$1,0)-1)=TRUE),0,OFFSET(Ottone!$A$1,MATCH(H383,Ottone!$A:$A,0)-1,MATCH(J383,Ottone!$A$1:$Z$1,0)-1))*IF(E383="Ottone",1,0),4)</f>
        <v>0</v>
      </c>
      <c r="M383" s="446">
        <f ca="1">ROUND(IF(ISERROR(OFFSET(Rame!$A$1,MATCH(H383,Rame!$A:$A,0)-1,MATCH(J383,Rame!$A$1:$AA$1,0)-1)=TRUE),0,OFFSET(Rame!$A$1,MATCH(H383,Rame!$A:$A,0)-1,MATCH(J383,Rame!$A$1:$AA$1,0)-1))*IF(E383="Rame",1,0),4)</f>
        <v>0</v>
      </c>
      <c r="N383" s="446">
        <v>0</v>
      </c>
      <c r="O383" s="446">
        <v>2.0299999999999998</v>
      </c>
      <c r="P383" s="446">
        <f ca="1">ROUND(+IF(ISERROR(OFFSET(Tabella!$G$1,MATCH(H383,Tabella!$G:$G,0)-1,MATCH(I383,Tabella!$G$1:$FG$1,0)-1)=TRUE),0,OFFSET(Tabella!$G$1,MATCH(H383,Tabella!$G:$G,0)-1,MATCH(I383,Tabella!$G$1:$AB$1,0)-1)),4)</f>
        <v>0</v>
      </c>
      <c r="Q383" s="446">
        <f ca="1">ROUND(IF(ISERROR(OFFSET(Ottone!$F$1,MATCH(H383,Ottone!$A:$A,0)-1,MATCH(I383,Ottone!$F$1:$FF$1,0)-1)=TRUE),0,OFFSET(Ottone!$F$1,MATCH(H383,Ottone!$A:$A,0)-1,MATCH(I383,Ottone!$F$1:$FF$1,0)-1))*IF(E383="Ottone",1,0),4)</f>
        <v>0</v>
      </c>
      <c r="R383" s="446">
        <f ca="1">ROUND(IF(ISERROR(OFFSET(Rame!$F$1,MATCH(H383,Rame!$F:$F,0)-1,MATCH(I383,Rame!$F$1:$FF$1,0)-1)=TRUE),0,OFFSET(Rame!$F$1,MATCH(H383,Rame!$F:$F,0)-1,MATCH(I383,Rame!$F$1:$FF$1,0)-1))*IF(E383="Rame",1,0),4)</f>
        <v>0</v>
      </c>
      <c r="S383" s="446">
        <f ca="1">ROUND(IF(ISERROR(OFFSET(Bronzo!$A$1,MATCH(H383,Bronzo!$A:$A,0)-1,MATCH(I383,Bronzo!$A$1:$AA$1,0)-1)=TRUE),0,OFFSET(Bronzo!$A$1,MATCH(H383,Bronzo!$A:$A,0)-1,MATCH(I383,Bronzo!$A$1:$AA$1,0)-1)),4)</f>
        <v>0</v>
      </c>
      <c r="T383" s="446">
        <f t="shared" ca="1" si="175"/>
        <v>0</v>
      </c>
      <c r="U383" s="443"/>
      <c r="V383" s="446">
        <v>0</v>
      </c>
      <c r="W383" s="449">
        <f t="shared" ca="1" si="176"/>
        <v>2.0299999999999998</v>
      </c>
      <c r="X383" s="452">
        <f t="shared" si="174"/>
        <v>7</v>
      </c>
      <c r="Y383" s="440">
        <v>4.8600000000000003</v>
      </c>
      <c r="Z383" s="440">
        <f t="shared" ca="1" si="177"/>
        <v>-0.05</v>
      </c>
      <c r="AA383" s="241">
        <v>46168</v>
      </c>
      <c r="AH383" s="242"/>
    </row>
    <row r="384" spans="2:34" ht="15.75" x14ac:dyDescent="0.25">
      <c r="B384" s="229" t="s">
        <v>641</v>
      </c>
      <c r="C384" s="235" t="s">
        <v>263</v>
      </c>
      <c r="D384" s="243">
        <v>1500</v>
      </c>
      <c r="E384" s="232" t="s">
        <v>4</v>
      </c>
      <c r="F384" s="435">
        <v>2.88</v>
      </c>
      <c r="G384" s="234">
        <v>46142</v>
      </c>
      <c r="H384" s="235" t="s">
        <v>13</v>
      </c>
      <c r="I384" s="235"/>
      <c r="J384" s="440">
        <v>7.0000000000000007E-2</v>
      </c>
      <c r="K384" s="443">
        <f ca="1">ROUND(IF(ISERROR(OFFSET(Tabella!$A$1,MATCH(H384,Tabella!$A:$A,0)-1,MATCH(J384,Tabella!$A$1:$AC$1,0)-1)=TRUE),0,+OFFSET(Tabella!$A$1,MATCH(H384,Tabella!$A:$A,0)-1,MATCH(J384,Tabella!$A$1:$AC$1,0)-1)),4)</f>
        <v>1.4</v>
      </c>
      <c r="L384" s="446">
        <f ca="1">ROUND(IF(ISERROR(OFFSET(Ottone!$A$1,MATCH(H384,Ottone!$A:$A,0)-1,MATCH(J384,Ottone!$A$1:$Z$1,0)-1)=TRUE),0,OFFSET(Ottone!$A$1,MATCH(H384,Ottone!$A:$A,0)-1,MATCH(J384,Ottone!$A$1:$Z$1,0)-1))*IF(E384="Ottone",1,0),4)</f>
        <v>0</v>
      </c>
      <c r="M384" s="446">
        <f ca="1">ROUND(IF(ISERROR(OFFSET(Rame!$A$1,MATCH(H384,Rame!$A:$A,0)-1,MATCH(J384,Rame!$A$1:$AA$1,0)-1)=TRUE),0,OFFSET(Rame!$A$1,MATCH(H384,Rame!$A:$A,0)-1,MATCH(J384,Rame!$A$1:$AA$1,0)-1))*IF(E384="Rame",1,0),4)</f>
        <v>0</v>
      </c>
      <c r="N384" s="446">
        <v>0</v>
      </c>
      <c r="O384" s="446">
        <v>1.88</v>
      </c>
      <c r="P384" s="446">
        <f ca="1">ROUND(+IF(ISERROR(OFFSET(Tabella!$G$1,MATCH(H384,Tabella!$G:$G,0)-1,MATCH(I384,Tabella!$G$1:$FG$1,0)-1)=TRUE),0,OFFSET(Tabella!$G$1,MATCH(H384,Tabella!$G:$G,0)-1,MATCH(I384,Tabella!$G$1:$AB$1,0)-1)),4)</f>
        <v>0</v>
      </c>
      <c r="Q384" s="446">
        <f ca="1">ROUND(IF(ISERROR(OFFSET(Ottone!$F$1,MATCH(H384,Ottone!$A:$A,0)-1,MATCH(I384,Ottone!$F$1:$FF$1,0)-1)=TRUE),0,OFFSET(Ottone!$F$1,MATCH(H384,Ottone!$A:$A,0)-1,MATCH(I384,Ottone!$F$1:$FF$1,0)-1))*IF(E384="Ottone",1,0),4)</f>
        <v>0</v>
      </c>
      <c r="R384" s="446">
        <f ca="1">ROUND(IF(ISERROR(OFFSET(Rame!$F$1,MATCH(H384,Rame!$F:$F,0)-1,MATCH(I384,Rame!$F$1:$FF$1,0)-1)=TRUE),0,OFFSET(Rame!$F$1,MATCH(H384,Rame!$F:$F,0)-1,MATCH(I384,Rame!$F$1:$FF$1,0)-1))*IF(E384="Rame",1,0),4)</f>
        <v>0</v>
      </c>
      <c r="S384" s="446">
        <f ca="1">ROUND(IF(ISERROR(OFFSET(Bronzo!$A$1,MATCH(H384,Bronzo!$A:$A,0)-1,MATCH(I384,Bronzo!$A$1:$AA$1,0)-1)=TRUE),0,OFFSET(Bronzo!$A$1,MATCH(H384,Bronzo!$A:$A,0)-1,MATCH(I384,Bronzo!$A$1:$AA$1,0)-1)),4)</f>
        <v>0</v>
      </c>
      <c r="T384" s="446">
        <f t="shared" ca="1" si="175"/>
        <v>0</v>
      </c>
      <c r="U384" s="443"/>
      <c r="V384" s="446">
        <v>0</v>
      </c>
      <c r="W384" s="449">
        <f t="shared" ca="1" si="176"/>
        <v>1.88</v>
      </c>
      <c r="X384" s="452">
        <f t="shared" si="174"/>
        <v>105</v>
      </c>
      <c r="Y384" s="440">
        <v>4.71</v>
      </c>
      <c r="Z384" s="440">
        <f t="shared" ca="1" si="177"/>
        <v>-0.05</v>
      </c>
      <c r="AA384" s="241">
        <v>46182</v>
      </c>
      <c r="AH384" s="242"/>
    </row>
    <row r="385" spans="2:34" ht="15.75" x14ac:dyDescent="0.25">
      <c r="B385" s="229" t="s">
        <v>641</v>
      </c>
      <c r="C385" s="235" t="s">
        <v>263</v>
      </c>
      <c r="D385" s="243">
        <v>1300</v>
      </c>
      <c r="E385" s="232" t="s">
        <v>4</v>
      </c>
      <c r="F385" s="435">
        <v>2.88</v>
      </c>
      <c r="G385" s="234">
        <v>46142</v>
      </c>
      <c r="H385" s="235" t="s">
        <v>25</v>
      </c>
      <c r="I385" s="235"/>
      <c r="J385" s="440">
        <v>7.0000000000000007E-2</v>
      </c>
      <c r="K385" s="443">
        <f ca="1">ROUND(IF(ISERROR(OFFSET(Tabella!$A$1,MATCH(H385,Tabella!$A:$A,0)-1,MATCH(J385,Tabella!$A$1:$AC$1,0)-1)=TRUE),0,+OFFSET(Tabella!$A$1,MATCH(H385,Tabella!$A:$A,0)-1,MATCH(J385,Tabella!$A$1:$AC$1,0)-1)),4)</f>
        <v>1.25</v>
      </c>
      <c r="L385" s="446">
        <f ca="1">ROUND(IF(ISERROR(OFFSET(Ottone!$A$1,MATCH(H385,Ottone!$A:$A,0)-1,MATCH(J385,Ottone!$A$1:$Z$1,0)-1)=TRUE),0,OFFSET(Ottone!$A$1,MATCH(H385,Ottone!$A:$A,0)-1,MATCH(J385,Ottone!$A$1:$Z$1,0)-1))*IF(E385="Ottone",1,0),4)</f>
        <v>0</v>
      </c>
      <c r="M385" s="446">
        <f ca="1">ROUND(IF(ISERROR(OFFSET(Rame!$A$1,MATCH(H385,Rame!$A:$A,0)-1,MATCH(J385,Rame!$A$1:$AA$1,0)-1)=TRUE),0,OFFSET(Rame!$A$1,MATCH(H385,Rame!$A:$A,0)-1,MATCH(J385,Rame!$A$1:$AA$1,0)-1))*IF(E385="Rame",1,0),4)</f>
        <v>0</v>
      </c>
      <c r="N385" s="446">
        <v>0</v>
      </c>
      <c r="O385" s="446">
        <v>1.73</v>
      </c>
      <c r="P385" s="446">
        <f ca="1">ROUND(+IF(ISERROR(OFFSET(Tabella!$G$1,MATCH(H385,Tabella!$G:$G,0)-1,MATCH(I385,Tabella!$G$1:$FG$1,0)-1)=TRUE),0,OFFSET(Tabella!$G$1,MATCH(H385,Tabella!$G:$G,0)-1,MATCH(I385,Tabella!$G$1:$AB$1,0)-1)),4)</f>
        <v>0</v>
      </c>
      <c r="Q385" s="446">
        <f ca="1">ROUND(IF(ISERROR(OFFSET(Ottone!$F$1,MATCH(H385,Ottone!$A:$A,0)-1,MATCH(I385,Ottone!$F$1:$FF$1,0)-1)=TRUE),0,OFFSET(Ottone!$F$1,MATCH(H385,Ottone!$A:$A,0)-1,MATCH(I385,Ottone!$F$1:$FF$1,0)-1))*IF(E385="Ottone",1,0),4)</f>
        <v>0</v>
      </c>
      <c r="R385" s="446">
        <f ca="1">ROUND(IF(ISERROR(OFFSET(Rame!$F$1,MATCH(H385,Rame!$F:$F,0)-1,MATCH(I385,Rame!$F$1:$FF$1,0)-1)=TRUE),0,OFFSET(Rame!$F$1,MATCH(H385,Rame!$F:$F,0)-1,MATCH(I385,Rame!$F$1:$FF$1,0)-1))*IF(E385="Rame",1,0),4)</f>
        <v>0</v>
      </c>
      <c r="S385" s="446">
        <f ca="1">ROUND(IF(ISERROR(OFFSET(Bronzo!$A$1,MATCH(H385,Bronzo!$A:$A,0)-1,MATCH(I385,Bronzo!$A$1:$AA$1,0)-1)=TRUE),0,OFFSET(Bronzo!$A$1,MATCH(H385,Bronzo!$A:$A,0)-1,MATCH(I385,Bronzo!$A$1:$AA$1,0)-1)),4)</f>
        <v>0</v>
      </c>
      <c r="T385" s="446">
        <f t="shared" ca="1" si="175"/>
        <v>0</v>
      </c>
      <c r="U385" s="443"/>
      <c r="V385" s="446">
        <v>0</v>
      </c>
      <c r="W385" s="449">
        <f t="shared" ca="1" si="176"/>
        <v>1.73</v>
      </c>
      <c r="X385" s="452">
        <f t="shared" si="174"/>
        <v>91</v>
      </c>
      <c r="Y385" s="440">
        <v>4.5599999999999996</v>
      </c>
      <c r="Z385" s="440">
        <f t="shared" ca="1" si="177"/>
        <v>-0.05</v>
      </c>
      <c r="AA385" s="241">
        <v>46182</v>
      </c>
      <c r="AH385" s="242"/>
    </row>
    <row r="386" spans="2:34" ht="15.75" x14ac:dyDescent="0.25">
      <c r="B386" s="229" t="s">
        <v>641</v>
      </c>
      <c r="C386" s="235" t="s">
        <v>263</v>
      </c>
      <c r="D386" s="243">
        <v>4500</v>
      </c>
      <c r="E386" s="232" t="s">
        <v>4</v>
      </c>
      <c r="F386" s="435">
        <v>2.88</v>
      </c>
      <c r="G386" s="234">
        <v>46142</v>
      </c>
      <c r="H386" s="235" t="s">
        <v>15</v>
      </c>
      <c r="I386" s="235"/>
      <c r="J386" s="440">
        <v>7.0000000000000007E-2</v>
      </c>
      <c r="K386" s="443">
        <f ca="1">ROUND(IF(ISERROR(OFFSET(Tabella!$A$1,MATCH(H386,Tabella!$A:$A,0)-1,MATCH(J386,Tabella!$A$1:$AC$1,0)-1)=TRUE),0,+OFFSET(Tabella!$A$1,MATCH(H386,Tabella!$A:$A,0)-1,MATCH(J386,Tabella!$A$1:$AC$1,0)-1)),4)</f>
        <v>1.4</v>
      </c>
      <c r="L386" s="446">
        <f ca="1">ROUND(IF(ISERROR(OFFSET(Ottone!$A$1,MATCH(H386,Ottone!$A:$A,0)-1,MATCH(J386,Ottone!$A$1:$Z$1,0)-1)=TRUE),0,OFFSET(Ottone!$A$1,MATCH(H386,Ottone!$A:$A,0)-1,MATCH(J386,Ottone!$A$1:$Z$1,0)-1))*IF(E386="Ottone",1,0),4)</f>
        <v>0</v>
      </c>
      <c r="M386" s="446">
        <f ca="1">ROUND(IF(ISERROR(OFFSET(Rame!$A$1,MATCH(H386,Rame!$A:$A,0)-1,MATCH(J386,Rame!$A$1:$AA$1,0)-1)=TRUE),0,OFFSET(Rame!$A$1,MATCH(H386,Rame!$A:$A,0)-1,MATCH(J386,Rame!$A$1:$AA$1,0)-1))*IF(E386="Rame",1,0),4)</f>
        <v>0</v>
      </c>
      <c r="N386" s="446">
        <v>0</v>
      </c>
      <c r="O386" s="446">
        <v>1.88</v>
      </c>
      <c r="P386" s="446">
        <f ca="1">ROUND(+IF(ISERROR(OFFSET(Tabella!$G$1,MATCH(H386,Tabella!$G:$G,0)-1,MATCH(I386,Tabella!$G$1:$FG$1,0)-1)=TRUE),0,OFFSET(Tabella!$G$1,MATCH(H386,Tabella!$G:$G,0)-1,MATCH(I386,Tabella!$G$1:$AB$1,0)-1)),4)</f>
        <v>0</v>
      </c>
      <c r="Q386" s="446">
        <f ca="1">ROUND(IF(ISERROR(OFFSET(Ottone!$F$1,MATCH(H386,Ottone!$A:$A,0)-1,MATCH(I386,Ottone!$F$1:$FF$1,0)-1)=TRUE),0,OFFSET(Ottone!$F$1,MATCH(H386,Ottone!$A:$A,0)-1,MATCH(I386,Ottone!$F$1:$FF$1,0)-1))*IF(E386="Ottone",1,0),4)</f>
        <v>0</v>
      </c>
      <c r="R386" s="446">
        <f ca="1">ROUND(IF(ISERROR(OFFSET(Rame!$F$1,MATCH(H386,Rame!$F:$F,0)-1,MATCH(I386,Rame!$F$1:$FF$1,0)-1)=TRUE),0,OFFSET(Rame!$F$1,MATCH(H386,Rame!$F:$F,0)-1,MATCH(I386,Rame!$F$1:$FF$1,0)-1))*IF(E386="Rame",1,0),4)</f>
        <v>0</v>
      </c>
      <c r="S386" s="446">
        <f ca="1">ROUND(IF(ISERROR(OFFSET(Bronzo!$A$1,MATCH(H386,Bronzo!$A:$A,0)-1,MATCH(I386,Bronzo!$A$1:$AA$1,0)-1)=TRUE),0,OFFSET(Bronzo!$A$1,MATCH(H386,Bronzo!$A:$A,0)-1,MATCH(I386,Bronzo!$A$1:$AA$1,0)-1)),4)</f>
        <v>0</v>
      </c>
      <c r="T386" s="446">
        <f t="shared" ca="1" si="175"/>
        <v>0</v>
      </c>
      <c r="U386" s="443"/>
      <c r="V386" s="446">
        <v>0</v>
      </c>
      <c r="W386" s="449">
        <f t="shared" ca="1" si="176"/>
        <v>1.88</v>
      </c>
      <c r="X386" s="452">
        <f t="shared" si="174"/>
        <v>315</v>
      </c>
      <c r="Y386" s="440">
        <v>4.71</v>
      </c>
      <c r="Z386" s="440">
        <f t="shared" ca="1" si="177"/>
        <v>-0.05</v>
      </c>
      <c r="AA386" s="241">
        <v>46182</v>
      </c>
      <c r="AH386" s="242"/>
    </row>
    <row r="387" spans="2:34" ht="15.75" x14ac:dyDescent="0.25">
      <c r="B387" s="229" t="s">
        <v>641</v>
      </c>
      <c r="C387" s="235" t="s">
        <v>263</v>
      </c>
      <c r="D387" s="243">
        <v>2000</v>
      </c>
      <c r="E387" s="232" t="s">
        <v>4</v>
      </c>
      <c r="F387" s="435">
        <v>2.88</v>
      </c>
      <c r="G387" s="234">
        <v>46142</v>
      </c>
      <c r="H387" s="235" t="s">
        <v>17</v>
      </c>
      <c r="I387" s="235"/>
      <c r="J387" s="440">
        <v>7.0000000000000007E-2</v>
      </c>
      <c r="K387" s="443">
        <f ca="1">ROUND(IF(ISERROR(OFFSET(Tabella!$A$1,MATCH(H387,Tabella!$A:$A,0)-1,MATCH(J387,Tabella!$A$1:$AC$1,0)-1)=TRUE),0,+OFFSET(Tabella!$A$1,MATCH(H387,Tabella!$A:$A,0)-1,MATCH(J387,Tabella!$A$1:$AC$1,0)-1)),4)</f>
        <v>1.4</v>
      </c>
      <c r="L387" s="446">
        <f ca="1">ROUND(IF(ISERROR(OFFSET(Ottone!$A$1,MATCH(H387,Ottone!$A:$A,0)-1,MATCH(J387,Ottone!$A$1:$Z$1,0)-1)=TRUE),0,OFFSET(Ottone!$A$1,MATCH(H387,Ottone!$A:$A,0)-1,MATCH(J387,Ottone!$A$1:$Z$1,0)-1))*IF(E387="Ottone",1,0),4)</f>
        <v>0</v>
      </c>
      <c r="M387" s="446">
        <f ca="1">ROUND(IF(ISERROR(OFFSET(Rame!$A$1,MATCH(H387,Rame!$A:$A,0)-1,MATCH(J387,Rame!$A$1:$AA$1,0)-1)=TRUE),0,OFFSET(Rame!$A$1,MATCH(H387,Rame!$A:$A,0)-1,MATCH(J387,Rame!$A$1:$AA$1,0)-1))*IF(E387="Rame",1,0),4)</f>
        <v>0</v>
      </c>
      <c r="N387" s="446">
        <v>0</v>
      </c>
      <c r="O387" s="446">
        <v>1.83</v>
      </c>
      <c r="P387" s="446">
        <f ca="1">ROUND(+IF(ISERROR(OFFSET(Tabella!$G$1,MATCH(H387,Tabella!$G:$G,0)-1,MATCH(I387,Tabella!$G$1:$FG$1,0)-1)=TRUE),0,OFFSET(Tabella!$G$1,MATCH(H387,Tabella!$G:$G,0)-1,MATCH(I387,Tabella!$G$1:$AB$1,0)-1)),4)</f>
        <v>0</v>
      </c>
      <c r="Q387" s="446">
        <f ca="1">ROUND(IF(ISERROR(OFFSET(Ottone!$F$1,MATCH(H387,Ottone!$A:$A,0)-1,MATCH(I387,Ottone!$F$1:$FF$1,0)-1)=TRUE),0,OFFSET(Ottone!$F$1,MATCH(H387,Ottone!$A:$A,0)-1,MATCH(I387,Ottone!$F$1:$FF$1,0)-1))*IF(E387="Ottone",1,0),4)</f>
        <v>0</v>
      </c>
      <c r="R387" s="446">
        <f ca="1">ROUND(IF(ISERROR(OFFSET(Rame!$F$1,MATCH(H387,Rame!$F:$F,0)-1,MATCH(I387,Rame!$F$1:$FF$1,0)-1)=TRUE),0,OFFSET(Rame!$F$1,MATCH(H387,Rame!$F:$F,0)-1,MATCH(I387,Rame!$F$1:$FF$1,0)-1))*IF(E387="Rame",1,0),4)</f>
        <v>0</v>
      </c>
      <c r="S387" s="446">
        <f ca="1">ROUND(IF(ISERROR(OFFSET(Bronzo!$A$1,MATCH(H387,Bronzo!$A:$A,0)-1,MATCH(I387,Bronzo!$A$1:$AA$1,0)-1)=TRUE),0,OFFSET(Bronzo!$A$1,MATCH(H387,Bronzo!$A:$A,0)-1,MATCH(I387,Bronzo!$A$1:$AA$1,0)-1)),4)</f>
        <v>0</v>
      </c>
      <c r="T387" s="446">
        <f t="shared" ca="1" si="175"/>
        <v>0</v>
      </c>
      <c r="U387" s="443"/>
      <c r="V387" s="446">
        <v>0</v>
      </c>
      <c r="W387" s="449">
        <f t="shared" ca="1" si="176"/>
        <v>1.83</v>
      </c>
      <c r="X387" s="452">
        <f t="shared" si="174"/>
        <v>140</v>
      </c>
      <c r="Y387" s="440">
        <v>4.66</v>
      </c>
      <c r="Z387" s="440">
        <f t="shared" ca="1" si="177"/>
        <v>-0.05</v>
      </c>
      <c r="AA387" s="241">
        <v>46182</v>
      </c>
      <c r="AH387" s="242"/>
    </row>
    <row r="388" spans="2:34" ht="15.75" x14ac:dyDescent="0.25">
      <c r="B388" s="229" t="s">
        <v>641</v>
      </c>
      <c r="C388" s="235" t="s">
        <v>263</v>
      </c>
      <c r="D388" s="243">
        <v>600</v>
      </c>
      <c r="E388" s="232" t="s">
        <v>4</v>
      </c>
      <c r="F388" s="435">
        <v>2.88</v>
      </c>
      <c r="G388" s="234">
        <v>46142</v>
      </c>
      <c r="H388" s="235" t="s">
        <v>11</v>
      </c>
      <c r="I388" s="235"/>
      <c r="J388" s="440">
        <v>7.0000000000000007E-2</v>
      </c>
      <c r="K388" s="443">
        <f ca="1">ROUND(IF(ISERROR(OFFSET(Tabella!$A$1,MATCH(H388,Tabella!$A:$A,0)-1,MATCH(J388,Tabella!$A$1:$AC$1,0)-1)=TRUE),0,+OFFSET(Tabella!$A$1,MATCH(H388,Tabella!$A:$A,0)-1,MATCH(J388,Tabella!$A$1:$AC$1,0)-1)),4)</f>
        <v>1.5</v>
      </c>
      <c r="L388" s="446">
        <f ca="1">ROUND(IF(ISERROR(OFFSET(Ottone!$A$1,MATCH(H388,Ottone!$A:$A,0)-1,MATCH(J388,Ottone!$A$1:$Z$1,0)-1)=TRUE),0,OFFSET(Ottone!$A$1,MATCH(H388,Ottone!$A:$A,0)-1,MATCH(J388,Ottone!$A$1:$Z$1,0)-1))*IF(E388="Ottone",1,0),4)</f>
        <v>0</v>
      </c>
      <c r="M388" s="446">
        <f ca="1">ROUND(IF(ISERROR(OFFSET(Rame!$A$1,MATCH(H388,Rame!$A:$A,0)-1,MATCH(J388,Rame!$A$1:$AA$1,0)-1)=TRUE),0,OFFSET(Rame!$A$1,MATCH(H388,Rame!$A:$A,0)-1,MATCH(J388,Rame!$A$1:$AA$1,0)-1))*IF(E388="Rame",1,0),4)</f>
        <v>0</v>
      </c>
      <c r="N388" s="446">
        <v>0</v>
      </c>
      <c r="O388" s="446">
        <v>1.88</v>
      </c>
      <c r="P388" s="446">
        <f ca="1">ROUND(+IF(ISERROR(OFFSET(Tabella!$G$1,MATCH(H388,Tabella!$G:$G,0)-1,MATCH(I388,Tabella!$G$1:$FG$1,0)-1)=TRUE),0,OFFSET(Tabella!$G$1,MATCH(H388,Tabella!$G:$G,0)-1,MATCH(I388,Tabella!$G$1:$AB$1,0)-1)),4)</f>
        <v>0</v>
      </c>
      <c r="Q388" s="446">
        <f ca="1">ROUND(IF(ISERROR(OFFSET(Ottone!$F$1,MATCH(H388,Ottone!$A:$A,0)-1,MATCH(I388,Ottone!$F$1:$FF$1,0)-1)=TRUE),0,OFFSET(Ottone!$F$1,MATCH(H388,Ottone!$A:$A,0)-1,MATCH(I388,Ottone!$F$1:$FF$1,0)-1))*IF(E388="Ottone",1,0),4)</f>
        <v>0</v>
      </c>
      <c r="R388" s="446">
        <f ca="1">ROUND(IF(ISERROR(OFFSET(Rame!$F$1,MATCH(H388,Rame!$F:$F,0)-1,MATCH(I388,Rame!$F$1:$FF$1,0)-1)=TRUE),0,OFFSET(Rame!$F$1,MATCH(H388,Rame!$F:$F,0)-1,MATCH(I388,Rame!$F$1:$FF$1,0)-1))*IF(E388="Rame",1,0),4)</f>
        <v>0</v>
      </c>
      <c r="S388" s="446">
        <f ca="1">ROUND(IF(ISERROR(OFFSET(Bronzo!$A$1,MATCH(H388,Bronzo!$A:$A,0)-1,MATCH(I388,Bronzo!$A$1:$AA$1,0)-1)=TRUE),0,OFFSET(Bronzo!$A$1,MATCH(H388,Bronzo!$A:$A,0)-1,MATCH(I388,Bronzo!$A$1:$AA$1,0)-1)),4)</f>
        <v>0</v>
      </c>
      <c r="T388" s="446">
        <f t="shared" ca="1" si="175"/>
        <v>0</v>
      </c>
      <c r="U388" s="443"/>
      <c r="V388" s="446">
        <v>0</v>
      </c>
      <c r="W388" s="449">
        <f t="shared" ca="1" si="176"/>
        <v>1.88</v>
      </c>
      <c r="X388" s="452">
        <f t="shared" si="174"/>
        <v>42</v>
      </c>
      <c r="Y388" s="440">
        <v>4.8600000000000003</v>
      </c>
      <c r="Z388" s="440">
        <f t="shared" ca="1" si="177"/>
        <v>0.1</v>
      </c>
      <c r="AA388" s="241">
        <v>46168</v>
      </c>
      <c r="AH388" s="242"/>
    </row>
    <row r="389" spans="2:34" ht="15.75" x14ac:dyDescent="0.25">
      <c r="B389" s="229" t="s">
        <v>641</v>
      </c>
      <c r="C389" s="235" t="s">
        <v>263</v>
      </c>
      <c r="D389" s="243">
        <v>3000</v>
      </c>
      <c r="E389" s="232" t="s">
        <v>4</v>
      </c>
      <c r="F389" s="435">
        <v>2.88</v>
      </c>
      <c r="G389" s="234">
        <v>46142</v>
      </c>
      <c r="H389" s="235" t="s">
        <v>314</v>
      </c>
      <c r="I389" s="235"/>
      <c r="J389" s="440">
        <v>7.0000000000000007E-2</v>
      </c>
      <c r="K389" s="443">
        <f ca="1">ROUND(IF(ISERROR(OFFSET(Tabella!$A$1,MATCH(H389,Tabella!$A:$A,0)-1,MATCH(J389,Tabella!$A$1:$AC$1,0)-1)=TRUE),0,+OFFSET(Tabella!$A$1,MATCH(H389,Tabella!$A:$A,0)-1,MATCH(J389,Tabella!$A$1:$AC$1,0)-1)),4)</f>
        <v>1.25</v>
      </c>
      <c r="L389" s="446">
        <f ca="1">ROUND(IF(ISERROR(OFFSET(Ottone!$A$1,MATCH(H389,Ottone!$A:$A,0)-1,MATCH(J389,Ottone!$A$1:$Z$1,0)-1)=TRUE),0,OFFSET(Ottone!$A$1,MATCH(H389,Ottone!$A:$A,0)-1,MATCH(J389,Ottone!$A$1:$Z$1,0)-1))*IF(E389="Ottone",1,0),4)</f>
        <v>0</v>
      </c>
      <c r="M389" s="446">
        <f ca="1">ROUND(IF(ISERROR(OFFSET(Rame!$A$1,MATCH(H389,Rame!$A:$A,0)-1,MATCH(J389,Rame!$A$1:$AA$1,0)-1)=TRUE),0,OFFSET(Rame!$A$1,MATCH(H389,Rame!$A:$A,0)-1,MATCH(J389,Rame!$A$1:$AA$1,0)-1))*IF(E389="Rame",1,0),4)</f>
        <v>0</v>
      </c>
      <c r="N389" s="446">
        <v>0</v>
      </c>
      <c r="O389" s="446">
        <v>1.73</v>
      </c>
      <c r="P389" s="446">
        <f ca="1">ROUND(+IF(ISERROR(OFFSET(Tabella!$G$1,MATCH(H389,Tabella!$G:$G,0)-1,MATCH(I389,Tabella!$G$1:$FG$1,0)-1)=TRUE),0,OFFSET(Tabella!$G$1,MATCH(H389,Tabella!$G:$G,0)-1,MATCH(I389,Tabella!$G$1:$AB$1,0)-1)),4)</f>
        <v>0</v>
      </c>
      <c r="Q389" s="446">
        <f ca="1">ROUND(IF(ISERROR(OFFSET(Ottone!$F$1,MATCH(H389,Ottone!$A:$A,0)-1,MATCH(I389,Ottone!$F$1:$FF$1,0)-1)=TRUE),0,OFFSET(Ottone!$F$1,MATCH(H389,Ottone!$A:$A,0)-1,MATCH(I389,Ottone!$F$1:$FF$1,0)-1))*IF(E389="Ottone",1,0),4)</f>
        <v>0</v>
      </c>
      <c r="R389" s="446">
        <f ca="1">ROUND(IF(ISERROR(OFFSET(Rame!$F$1,MATCH(H389,Rame!$F:$F,0)-1,MATCH(I389,Rame!$F$1:$FF$1,0)-1)=TRUE),0,OFFSET(Rame!$F$1,MATCH(H389,Rame!$F:$F,0)-1,MATCH(I389,Rame!$F$1:$FF$1,0)-1))*IF(E389="Rame",1,0),4)</f>
        <v>0</v>
      </c>
      <c r="S389" s="446">
        <f ca="1">ROUND(IF(ISERROR(OFFSET(Bronzo!$A$1,MATCH(H389,Bronzo!$A:$A,0)-1,MATCH(I389,Bronzo!$A$1:$AA$1,0)-1)=TRUE),0,OFFSET(Bronzo!$A$1,MATCH(H389,Bronzo!$A:$A,0)-1,MATCH(I389,Bronzo!$A$1:$AA$1,0)-1)),4)</f>
        <v>0</v>
      </c>
      <c r="T389" s="446">
        <f t="shared" ca="1" si="175"/>
        <v>0</v>
      </c>
      <c r="U389" s="443"/>
      <c r="V389" s="446">
        <v>0</v>
      </c>
      <c r="W389" s="449">
        <f t="shared" ca="1" si="176"/>
        <v>1.73</v>
      </c>
      <c r="X389" s="452">
        <f t="shared" si="174"/>
        <v>210</v>
      </c>
      <c r="Y389" s="440">
        <v>4.5599999999999996</v>
      </c>
      <c r="Z389" s="440">
        <f t="shared" ca="1" si="177"/>
        <v>-0.05</v>
      </c>
      <c r="AA389" s="241">
        <v>46182</v>
      </c>
      <c r="AH389" s="242"/>
    </row>
    <row r="390" spans="2:34" ht="15.75" x14ac:dyDescent="0.25">
      <c r="B390" s="229" t="s">
        <v>614</v>
      </c>
      <c r="C390" s="235" t="s">
        <v>263</v>
      </c>
      <c r="D390" s="243">
        <v>1000</v>
      </c>
      <c r="E390" s="232" t="s">
        <v>4</v>
      </c>
      <c r="F390" s="435">
        <v>2.88</v>
      </c>
      <c r="G390" s="234">
        <v>46142</v>
      </c>
      <c r="H390" s="235" t="s">
        <v>17</v>
      </c>
      <c r="I390" s="235"/>
      <c r="J390" s="440">
        <v>7.0000000000000007E-2</v>
      </c>
      <c r="K390" s="443">
        <f ca="1">ROUND(IF(ISERROR(OFFSET(Tabella!$A$1,MATCH(H390,Tabella!$A:$A,0)-1,MATCH(J390,Tabella!$A$1:$AC$1,0)-1)=TRUE),0,+OFFSET(Tabella!$A$1,MATCH(H390,Tabella!$A:$A,0)-1,MATCH(J390,Tabella!$A$1:$AC$1,0)-1)),4)</f>
        <v>1.4</v>
      </c>
      <c r="L390" s="446">
        <f ca="1">ROUND(IF(ISERROR(OFFSET(Ottone!$A$1,MATCH(H390,Ottone!$A:$A,0)-1,MATCH(J390,Ottone!$A$1:$Z$1,0)-1)=TRUE),0,OFFSET(Ottone!$A$1,MATCH(H390,Ottone!$A:$A,0)-1,MATCH(J390,Ottone!$A$1:$Z$1,0)-1))*IF(E390="Ottone",1,0),4)</f>
        <v>0</v>
      </c>
      <c r="M390" s="446">
        <f ca="1">ROUND(IF(ISERROR(OFFSET(Rame!$A$1,MATCH(H390,Rame!$A:$A,0)-1,MATCH(J390,Rame!$A$1:$AA$1,0)-1)=TRUE),0,OFFSET(Rame!$A$1,MATCH(H390,Rame!$A:$A,0)-1,MATCH(J390,Rame!$A$1:$AA$1,0)-1))*IF(E390="Rame",1,0),4)</f>
        <v>0</v>
      </c>
      <c r="N390" s="446">
        <v>0</v>
      </c>
      <c r="O390" s="446">
        <v>1.83</v>
      </c>
      <c r="P390" s="446">
        <f ca="1">ROUND(+IF(ISERROR(OFFSET(Tabella!$G$1,MATCH(H390,Tabella!$G:$G,0)-1,MATCH(I390,Tabella!$G$1:$FG$1,0)-1)=TRUE),0,OFFSET(Tabella!$G$1,MATCH(H390,Tabella!$G:$G,0)-1,MATCH(I390,Tabella!$G$1:$AB$1,0)-1)),4)</f>
        <v>0</v>
      </c>
      <c r="Q390" s="446">
        <f ca="1">ROUND(IF(ISERROR(OFFSET(Ottone!$F$1,MATCH(H390,Ottone!$A:$A,0)-1,MATCH(I390,Ottone!$F$1:$FF$1,0)-1)=TRUE),0,OFFSET(Ottone!$F$1,MATCH(H390,Ottone!$A:$A,0)-1,MATCH(I390,Ottone!$F$1:$FF$1,0)-1))*IF(E390="Ottone",1,0),4)</f>
        <v>0</v>
      </c>
      <c r="R390" s="446">
        <f ca="1">ROUND(IF(ISERROR(OFFSET(Rame!$F$1,MATCH(H390,Rame!$F:$F,0)-1,MATCH(I390,Rame!$F$1:$FF$1,0)-1)=TRUE),0,OFFSET(Rame!$F$1,MATCH(H390,Rame!$F:$F,0)-1,MATCH(I390,Rame!$F$1:$FF$1,0)-1))*IF(E390="Rame",1,0),4)</f>
        <v>0</v>
      </c>
      <c r="S390" s="446">
        <f ca="1">ROUND(IF(ISERROR(OFFSET(Bronzo!$A$1,MATCH(H390,Bronzo!$A:$A,0)-1,MATCH(I390,Bronzo!$A$1:$AA$1,0)-1)=TRUE),0,OFFSET(Bronzo!$A$1,MATCH(H390,Bronzo!$A:$A,0)-1,MATCH(I390,Bronzo!$A$1:$AA$1,0)-1)),4)</f>
        <v>0</v>
      </c>
      <c r="T390" s="446">
        <f t="shared" ca="1" si="175"/>
        <v>0</v>
      </c>
      <c r="U390" s="443"/>
      <c r="V390" s="446">
        <v>0</v>
      </c>
      <c r="W390" s="449">
        <f t="shared" ca="1" si="176"/>
        <v>1.83</v>
      </c>
      <c r="X390" s="452">
        <f t="shared" si="174"/>
        <v>70</v>
      </c>
      <c r="Y390" s="440">
        <v>4.66</v>
      </c>
      <c r="Z390" s="440">
        <f t="shared" ca="1" si="177"/>
        <v>-0.05</v>
      </c>
      <c r="AA390" s="241">
        <v>46168</v>
      </c>
      <c r="AH390" s="242"/>
    </row>
    <row r="391" spans="2:34" ht="15.75" x14ac:dyDescent="0.25">
      <c r="B391" s="229" t="s">
        <v>614</v>
      </c>
      <c r="C391" s="235" t="s">
        <v>263</v>
      </c>
      <c r="D391" s="243">
        <v>900</v>
      </c>
      <c r="E391" s="232" t="s">
        <v>4</v>
      </c>
      <c r="F391" s="435">
        <v>2.88</v>
      </c>
      <c r="G391" s="234">
        <v>46142</v>
      </c>
      <c r="H391" s="235" t="s">
        <v>22</v>
      </c>
      <c r="I391" s="235"/>
      <c r="J391" s="440">
        <v>7.0000000000000007E-2</v>
      </c>
      <c r="K391" s="443">
        <f ca="1">ROUND(IF(ISERROR(OFFSET(Tabella!$A$1,MATCH(H391,Tabella!$A:$A,0)-1,MATCH(J391,Tabella!$A$1:$AC$1,0)-1)=TRUE),0,+OFFSET(Tabella!$A$1,MATCH(H391,Tabella!$A:$A,0)-1,MATCH(J391,Tabella!$A$1:$AC$1,0)-1)),4)</f>
        <v>1.25</v>
      </c>
      <c r="L391" s="446">
        <f ca="1">ROUND(IF(ISERROR(OFFSET(Ottone!$A$1,MATCH(H391,Ottone!$A:$A,0)-1,MATCH(J391,Ottone!$A$1:$Z$1,0)-1)=TRUE),0,OFFSET(Ottone!$A$1,MATCH(H391,Ottone!$A:$A,0)-1,MATCH(J391,Ottone!$A$1:$Z$1,0)-1))*IF(E391="Ottone",1,0),4)</f>
        <v>0</v>
      </c>
      <c r="M391" s="446">
        <f ca="1">ROUND(IF(ISERROR(OFFSET(Rame!$A$1,MATCH(H391,Rame!$A:$A,0)-1,MATCH(J391,Rame!$A$1:$AA$1,0)-1)=TRUE),0,OFFSET(Rame!$A$1,MATCH(H391,Rame!$A:$A,0)-1,MATCH(J391,Rame!$A$1:$AA$1,0)-1))*IF(E391="Rame",1,0),4)</f>
        <v>0</v>
      </c>
      <c r="N391" s="446">
        <v>0</v>
      </c>
      <c r="O391" s="446">
        <v>1.73</v>
      </c>
      <c r="P391" s="446">
        <f ca="1">ROUND(+IF(ISERROR(OFFSET(Tabella!$G$1,MATCH(H391,Tabella!$G:$G,0)-1,MATCH(I391,Tabella!$G$1:$FG$1,0)-1)=TRUE),0,OFFSET(Tabella!$G$1,MATCH(H391,Tabella!$G:$G,0)-1,MATCH(I391,Tabella!$G$1:$AB$1,0)-1)),4)</f>
        <v>0</v>
      </c>
      <c r="Q391" s="446">
        <f ca="1">ROUND(IF(ISERROR(OFFSET(Ottone!$F$1,MATCH(H391,Ottone!$A:$A,0)-1,MATCH(I391,Ottone!$F$1:$FF$1,0)-1)=TRUE),0,OFFSET(Ottone!$F$1,MATCH(H391,Ottone!$A:$A,0)-1,MATCH(I391,Ottone!$F$1:$FF$1,0)-1))*IF(E391="Ottone",1,0),4)</f>
        <v>0</v>
      </c>
      <c r="R391" s="446">
        <f ca="1">ROUND(IF(ISERROR(OFFSET(Rame!$F$1,MATCH(H391,Rame!$F:$F,0)-1,MATCH(I391,Rame!$F$1:$FF$1,0)-1)=TRUE),0,OFFSET(Rame!$F$1,MATCH(H391,Rame!$F:$F,0)-1,MATCH(I391,Rame!$F$1:$FF$1,0)-1))*IF(E391="Rame",1,0),4)</f>
        <v>0</v>
      </c>
      <c r="S391" s="446">
        <f ca="1">ROUND(IF(ISERROR(OFFSET(Bronzo!$A$1,MATCH(H391,Bronzo!$A:$A,0)-1,MATCH(I391,Bronzo!$A$1:$AA$1,0)-1)=TRUE),0,OFFSET(Bronzo!$A$1,MATCH(H391,Bronzo!$A:$A,0)-1,MATCH(I391,Bronzo!$A$1:$AA$1,0)-1)),4)</f>
        <v>0</v>
      </c>
      <c r="T391" s="446">
        <f t="shared" ca="1" si="175"/>
        <v>0</v>
      </c>
      <c r="U391" s="443"/>
      <c r="V391" s="446">
        <v>0</v>
      </c>
      <c r="W391" s="449">
        <f t="shared" ca="1" si="176"/>
        <v>1.73</v>
      </c>
      <c r="X391" s="452">
        <f t="shared" si="174"/>
        <v>63</v>
      </c>
      <c r="Y391" s="440">
        <v>4.5599999999999996</v>
      </c>
      <c r="Z391" s="440">
        <f t="shared" ca="1" si="177"/>
        <v>-0.05</v>
      </c>
      <c r="AA391" s="241">
        <v>46196</v>
      </c>
      <c r="AH391" s="242"/>
    </row>
    <row r="392" spans="2:34" ht="15.75" x14ac:dyDescent="0.25">
      <c r="B392" s="229" t="s">
        <v>614</v>
      </c>
      <c r="C392" s="235" t="s">
        <v>263</v>
      </c>
      <c r="D392" s="243">
        <v>1000</v>
      </c>
      <c r="E392" s="232" t="s">
        <v>4</v>
      </c>
      <c r="F392" s="435">
        <v>2.88</v>
      </c>
      <c r="G392" s="234">
        <v>46142</v>
      </c>
      <c r="H392" s="235" t="s">
        <v>9</v>
      </c>
      <c r="I392" s="235"/>
      <c r="J392" s="440">
        <v>7.0000000000000007E-2</v>
      </c>
      <c r="K392" s="443">
        <f ca="1">ROUND(IF(ISERROR(OFFSET(Tabella!$A$1,MATCH(H392,Tabella!$A:$A,0)-1,MATCH(J392,Tabella!$A$1:$AC$1,0)-1)=TRUE),0,+OFFSET(Tabella!$A$1,MATCH(H392,Tabella!$A:$A,0)-1,MATCH(J392,Tabella!$A$1:$AC$1,0)-1)),4)</f>
        <v>1.6</v>
      </c>
      <c r="L392" s="446">
        <f ca="1">ROUND(IF(ISERROR(OFFSET(Ottone!$A$1,MATCH(H392,Ottone!$A:$A,0)-1,MATCH(J392,Ottone!$A$1:$Z$1,0)-1)=TRUE),0,OFFSET(Ottone!$A$1,MATCH(H392,Ottone!$A:$A,0)-1,MATCH(J392,Ottone!$A$1:$Z$1,0)-1))*IF(E392="Ottone",1,0),4)</f>
        <v>0</v>
      </c>
      <c r="M392" s="446">
        <f ca="1">ROUND(IF(ISERROR(OFFSET(Rame!$A$1,MATCH(H392,Rame!$A:$A,0)-1,MATCH(J392,Rame!$A$1:$AA$1,0)-1)=TRUE),0,OFFSET(Rame!$A$1,MATCH(H392,Rame!$A:$A,0)-1,MATCH(J392,Rame!$A$1:$AA$1,0)-1))*IF(E392="Rame",1,0),4)</f>
        <v>0</v>
      </c>
      <c r="N392" s="446">
        <v>0</v>
      </c>
      <c r="O392" s="446">
        <v>2.0299999999999998</v>
      </c>
      <c r="P392" s="446">
        <f ca="1">ROUND(+IF(ISERROR(OFFSET(Tabella!$G$1,MATCH(H392,Tabella!$G:$G,0)-1,MATCH(I392,Tabella!$G$1:$FG$1,0)-1)=TRUE),0,OFFSET(Tabella!$G$1,MATCH(H392,Tabella!$G:$G,0)-1,MATCH(I392,Tabella!$G$1:$AB$1,0)-1)),4)</f>
        <v>0</v>
      </c>
      <c r="Q392" s="446">
        <f ca="1">ROUND(IF(ISERROR(OFFSET(Ottone!$F$1,MATCH(H392,Ottone!$A:$A,0)-1,MATCH(I392,Ottone!$F$1:$FF$1,0)-1)=TRUE),0,OFFSET(Ottone!$F$1,MATCH(H392,Ottone!$A:$A,0)-1,MATCH(I392,Ottone!$F$1:$FF$1,0)-1))*IF(E392="Ottone",1,0),4)</f>
        <v>0</v>
      </c>
      <c r="R392" s="446">
        <f ca="1">ROUND(IF(ISERROR(OFFSET(Rame!$F$1,MATCH(H392,Rame!$F:$F,0)-1,MATCH(I392,Rame!$F$1:$FF$1,0)-1)=TRUE),0,OFFSET(Rame!$F$1,MATCH(H392,Rame!$F:$F,0)-1,MATCH(I392,Rame!$F$1:$FF$1,0)-1))*IF(E392="Rame",1,0),4)</f>
        <v>0</v>
      </c>
      <c r="S392" s="446">
        <f ca="1">ROUND(IF(ISERROR(OFFSET(Bronzo!$A$1,MATCH(H392,Bronzo!$A:$A,0)-1,MATCH(I392,Bronzo!$A$1:$AA$1,0)-1)=TRUE),0,OFFSET(Bronzo!$A$1,MATCH(H392,Bronzo!$A:$A,0)-1,MATCH(I392,Bronzo!$A$1:$AA$1,0)-1)),4)</f>
        <v>0</v>
      </c>
      <c r="T392" s="446">
        <f t="shared" ca="1" si="175"/>
        <v>0</v>
      </c>
      <c r="U392" s="443"/>
      <c r="V392" s="446">
        <v>0</v>
      </c>
      <c r="W392" s="449">
        <f t="shared" ca="1" si="176"/>
        <v>2.0299999999999998</v>
      </c>
      <c r="X392" s="452">
        <f t="shared" si="174"/>
        <v>70</v>
      </c>
      <c r="Y392" s="440">
        <v>4.8600000000000003</v>
      </c>
      <c r="Z392" s="440">
        <f t="shared" ca="1" si="177"/>
        <v>-0.05</v>
      </c>
      <c r="AA392" s="241">
        <v>46168</v>
      </c>
      <c r="AH392" s="242"/>
    </row>
    <row r="393" spans="2:34" ht="15.75" x14ac:dyDescent="0.25">
      <c r="B393" s="229" t="s">
        <v>614</v>
      </c>
      <c r="C393" s="235" t="s">
        <v>263</v>
      </c>
      <c r="D393" s="243">
        <v>1200</v>
      </c>
      <c r="E393" s="232" t="s">
        <v>4</v>
      </c>
      <c r="F393" s="435">
        <v>2.88</v>
      </c>
      <c r="G393" s="234">
        <v>46142</v>
      </c>
      <c r="H393" s="235" t="s">
        <v>24</v>
      </c>
      <c r="I393" s="235"/>
      <c r="J393" s="440">
        <v>7.0000000000000007E-2</v>
      </c>
      <c r="K393" s="443">
        <f ca="1">ROUND(IF(ISERROR(OFFSET(Tabella!$A$1,MATCH(H393,Tabella!$A:$A,0)-1,MATCH(J393,Tabella!$A$1:$AC$1,0)-1)=TRUE),0,+OFFSET(Tabella!$A$1,MATCH(H393,Tabella!$A:$A,0)-1,MATCH(J393,Tabella!$A$1:$AC$1,0)-1)),4)</f>
        <v>1.25</v>
      </c>
      <c r="L393" s="446">
        <f ca="1">ROUND(IF(ISERROR(OFFSET(Ottone!$A$1,MATCH(H393,Ottone!$A:$A,0)-1,MATCH(J393,Ottone!$A$1:$Z$1,0)-1)=TRUE),0,OFFSET(Ottone!$A$1,MATCH(H393,Ottone!$A:$A,0)-1,MATCH(J393,Ottone!$A$1:$Z$1,0)-1))*IF(E393="Ottone",1,0),4)</f>
        <v>0</v>
      </c>
      <c r="M393" s="446">
        <f ca="1">ROUND(IF(ISERROR(OFFSET(Rame!$A$1,MATCH(H393,Rame!$A:$A,0)-1,MATCH(J393,Rame!$A$1:$AA$1,0)-1)=TRUE),0,OFFSET(Rame!$A$1,MATCH(H393,Rame!$A:$A,0)-1,MATCH(J393,Rame!$A$1:$AA$1,0)-1))*IF(E393="Rame",1,0),4)</f>
        <v>0</v>
      </c>
      <c r="N393" s="446">
        <v>0</v>
      </c>
      <c r="O393" s="446">
        <v>1.73</v>
      </c>
      <c r="P393" s="446">
        <f ca="1">ROUND(+IF(ISERROR(OFFSET(Tabella!$G$1,MATCH(H393,Tabella!$G:$G,0)-1,MATCH(I393,Tabella!$G$1:$FG$1,0)-1)=TRUE),0,OFFSET(Tabella!$G$1,MATCH(H393,Tabella!$G:$G,0)-1,MATCH(I393,Tabella!$G$1:$AB$1,0)-1)),4)</f>
        <v>0</v>
      </c>
      <c r="Q393" s="446">
        <f ca="1">ROUND(IF(ISERROR(OFFSET(Ottone!$F$1,MATCH(H393,Ottone!$A:$A,0)-1,MATCH(I393,Ottone!$F$1:$FF$1,0)-1)=TRUE),0,OFFSET(Ottone!$F$1,MATCH(H393,Ottone!$A:$A,0)-1,MATCH(I393,Ottone!$F$1:$FF$1,0)-1))*IF(E393="Ottone",1,0),4)</f>
        <v>0</v>
      </c>
      <c r="R393" s="446">
        <f ca="1">ROUND(IF(ISERROR(OFFSET(Rame!$F$1,MATCH(H393,Rame!$F:$F,0)-1,MATCH(I393,Rame!$F$1:$FF$1,0)-1)=TRUE),0,OFFSET(Rame!$F$1,MATCH(H393,Rame!$F:$F,0)-1,MATCH(I393,Rame!$F$1:$FF$1,0)-1))*IF(E393="Rame",1,0),4)</f>
        <v>0</v>
      </c>
      <c r="S393" s="446">
        <f ca="1">ROUND(IF(ISERROR(OFFSET(Bronzo!$A$1,MATCH(H393,Bronzo!$A:$A,0)-1,MATCH(I393,Bronzo!$A$1:$AA$1,0)-1)=TRUE),0,OFFSET(Bronzo!$A$1,MATCH(H393,Bronzo!$A:$A,0)-1,MATCH(I393,Bronzo!$A$1:$AA$1,0)-1)),4)</f>
        <v>0</v>
      </c>
      <c r="T393" s="446">
        <f t="shared" ca="1" si="175"/>
        <v>0</v>
      </c>
      <c r="U393" s="443"/>
      <c r="V393" s="446">
        <v>0</v>
      </c>
      <c r="W393" s="449">
        <f t="shared" ca="1" si="176"/>
        <v>1.73</v>
      </c>
      <c r="X393" s="452">
        <f t="shared" si="174"/>
        <v>84</v>
      </c>
      <c r="Y393" s="440">
        <v>4.5599999999999996</v>
      </c>
      <c r="Z393" s="440">
        <f t="shared" ca="1" si="177"/>
        <v>-0.05</v>
      </c>
      <c r="AA393" s="241">
        <v>46161</v>
      </c>
      <c r="AH393" s="242"/>
    </row>
    <row r="394" spans="2:34" ht="15.75" x14ac:dyDescent="0.25">
      <c r="B394" s="229" t="s">
        <v>622</v>
      </c>
      <c r="C394" s="235" t="s">
        <v>108</v>
      </c>
      <c r="D394" s="243">
        <v>1300</v>
      </c>
      <c r="E394" s="232" t="s">
        <v>4</v>
      </c>
      <c r="F394" s="435">
        <v>2.98</v>
      </c>
      <c r="G394" s="234">
        <v>46142</v>
      </c>
      <c r="H394" s="235" t="s">
        <v>29</v>
      </c>
      <c r="I394" s="235"/>
      <c r="J394" s="440">
        <v>7.0000000000000007E-2</v>
      </c>
      <c r="K394" s="443">
        <f ca="1">ROUND(IF(ISERROR(OFFSET(Tabella!$A$1,MATCH(H394,Tabella!$A:$A,0)-1,MATCH(J394,Tabella!$A$1:$AC$1,0)-1)=TRUE),0,+OFFSET(Tabella!$A$1,MATCH(H394,Tabella!$A:$A,0)-1,MATCH(J394,Tabella!$A$1:$AC$1,0)-1)),4)</f>
        <v>1.3</v>
      </c>
      <c r="L394" s="446">
        <f ca="1">ROUND(IF(ISERROR(OFFSET(Ottone!$A$1,MATCH(H394,Ottone!$A:$A,0)-1,MATCH(J394,Ottone!$A$1:$Z$1,0)-1)=TRUE),0,OFFSET(Ottone!$A$1,MATCH(H394,Ottone!$A:$A,0)-1,MATCH(J394,Ottone!$A$1:$Z$1,0)-1))*IF(E394="Ottone",1,0),4)</f>
        <v>0</v>
      </c>
      <c r="M394" s="446">
        <f ca="1">ROUND(IF(ISERROR(OFFSET(Rame!$A$1,MATCH(H394,Rame!$A:$A,0)-1,MATCH(J394,Rame!$A$1:$AA$1,0)-1)=TRUE),0,OFFSET(Rame!$A$1,MATCH(H394,Rame!$A:$A,0)-1,MATCH(J394,Rame!$A$1:$AA$1,0)-1))*IF(E394="Rame",1,0),4)</f>
        <v>0</v>
      </c>
      <c r="N394" s="446">
        <v>0</v>
      </c>
      <c r="O394" s="446">
        <f ca="1">ROUND(SUM(K394:N394),4)</f>
        <v>1.3</v>
      </c>
      <c r="P394" s="446">
        <f ca="1">ROUND(+IF(ISERROR(OFFSET(Tabella!$G$1,MATCH(H394,Tabella!$G:$G,0)-1,MATCH(I394,Tabella!$G$1:$FG$1,0)-1)=TRUE),0,OFFSET(Tabella!$G$1,MATCH(H394,Tabella!$G:$G,0)-1,MATCH(I394,Tabella!$G$1:$AB$1,0)-1)),4)</f>
        <v>0</v>
      </c>
      <c r="Q394" s="446">
        <f ca="1">ROUND(IF(ISERROR(OFFSET(Ottone!$F$1,MATCH(H394,Ottone!$A:$A,0)-1,MATCH(I394,Ottone!$F$1:$FF$1,0)-1)=TRUE),0,OFFSET(Ottone!$F$1,MATCH(H394,Ottone!$A:$A,0)-1,MATCH(I394,Ottone!$F$1:$FF$1,0)-1))*IF(E394="Ottone",1,0),4)</f>
        <v>0</v>
      </c>
      <c r="R394" s="446">
        <f ca="1">ROUND(IF(ISERROR(OFFSET(Rame!$F$1,MATCH(H394,Rame!$F:$F,0)-1,MATCH(I394,Rame!$F$1:$FF$1,0)-1)=TRUE),0,OFFSET(Rame!$F$1,MATCH(H394,Rame!$F:$F,0)-1,MATCH(I394,Rame!$F$1:$FF$1,0)-1))*IF(E394="Rame",1,0),4)</f>
        <v>0</v>
      </c>
      <c r="S394" s="446">
        <f ca="1">ROUND(IF(ISERROR(OFFSET(Bronzo!$A$1,MATCH(H394,Bronzo!$A:$A,0)-1,MATCH(I394,Bronzo!$A$1:$AA$1,0)-1)=TRUE),0,OFFSET(Bronzo!$A$1,MATCH(H394,Bronzo!$A:$A,0)-1,MATCH(I394,Bronzo!$A$1:$AA$1,0)-1)),4)</f>
        <v>0</v>
      </c>
      <c r="T394" s="446">
        <f t="shared" ca="1" si="175"/>
        <v>0</v>
      </c>
      <c r="U394" s="443"/>
      <c r="V394" s="446">
        <v>0</v>
      </c>
      <c r="W394" s="449">
        <f t="shared" ca="1" si="176"/>
        <v>1.3</v>
      </c>
      <c r="X394" s="452">
        <f t="shared" si="174"/>
        <v>91</v>
      </c>
      <c r="Y394" s="440">
        <v>4.58</v>
      </c>
      <c r="Z394" s="440">
        <f t="shared" ca="1" si="177"/>
        <v>0.3</v>
      </c>
      <c r="AA394" s="241">
        <v>46160</v>
      </c>
      <c r="AH394" s="242"/>
    </row>
    <row r="395" spans="2:34" ht="15.75" x14ac:dyDescent="0.25">
      <c r="B395" s="229" t="s">
        <v>646</v>
      </c>
      <c r="C395" s="235" t="s">
        <v>396</v>
      </c>
      <c r="D395" s="243">
        <v>400</v>
      </c>
      <c r="E395" s="232" t="s">
        <v>4</v>
      </c>
      <c r="F395" s="435">
        <v>3.02</v>
      </c>
      <c r="G395" s="234">
        <v>46140</v>
      </c>
      <c r="H395" s="235" t="s">
        <v>17</v>
      </c>
      <c r="I395" s="235"/>
      <c r="J395" s="440">
        <v>7.0000000000000007E-2</v>
      </c>
      <c r="K395" s="443">
        <f ca="1">ROUND(IF(ISERROR(OFFSET(Tabella!$A$1,MATCH(H395,Tabella!$A:$A,0)-1,MATCH(J395,Tabella!$A$1:$AC$1,0)-1)=TRUE),0,+OFFSET(Tabella!$A$1,MATCH(H395,Tabella!$A:$A,0)-1,MATCH(J395,Tabella!$A$1:$AC$1,0)-1)),4)</f>
        <v>1.4</v>
      </c>
      <c r="L395" s="446">
        <f ca="1">ROUND(IF(ISERROR(OFFSET(Ottone!$A$1,MATCH(H395,Ottone!$A:$A,0)-1,MATCH(J395,Ottone!$A$1:$Z$1,0)-1)=TRUE),0,OFFSET(Ottone!$A$1,MATCH(H395,Ottone!$A:$A,0)-1,MATCH(J395,Ottone!$A$1:$Z$1,0)-1))*IF(E395="Ottone",1,0),4)</f>
        <v>0</v>
      </c>
      <c r="M395" s="446">
        <f ca="1">ROUND(IF(ISERROR(OFFSET(Rame!$A$1,MATCH(H395,Rame!$A:$A,0)-1,MATCH(J395,Rame!$A$1:$AA$1,0)-1)=TRUE),0,OFFSET(Rame!$A$1,MATCH(H395,Rame!$A:$A,0)-1,MATCH(J395,Rame!$A$1:$AA$1,0)-1))*IF(E395="Rame",1,0),4)</f>
        <v>0</v>
      </c>
      <c r="N395" s="446">
        <v>0</v>
      </c>
      <c r="O395" s="446">
        <f ca="1">ROUND(SUM(K395:N395),4)</f>
        <v>1.4</v>
      </c>
      <c r="P395" s="446">
        <f ca="1">ROUND(+IF(ISERROR(OFFSET(Tabella!$G$1,MATCH(H395,Tabella!$G:$G,0)-1,MATCH(I395,Tabella!$G$1:$FG$1,0)-1)=TRUE),0,OFFSET(Tabella!$G$1,MATCH(H395,Tabella!$G:$G,0)-1,MATCH(I395,Tabella!$G$1:$AB$1,0)-1)),4)</f>
        <v>0</v>
      </c>
      <c r="Q395" s="446">
        <f ca="1">ROUND(IF(ISERROR(OFFSET(Ottone!$F$1,MATCH(H395,Ottone!$A:$A,0)-1,MATCH(I395,Ottone!$F$1:$FF$1,0)-1)=TRUE),0,OFFSET(Ottone!$F$1,MATCH(H395,Ottone!$A:$A,0)-1,MATCH(I395,Ottone!$F$1:$FF$1,0)-1))*IF(E395="Ottone",1,0),4)</f>
        <v>0</v>
      </c>
      <c r="R395" s="446">
        <f ca="1">ROUND(IF(ISERROR(OFFSET(Rame!$F$1,MATCH(H395,Rame!$F:$F,0)-1,MATCH(I395,Rame!$F$1:$FF$1,0)-1)=TRUE),0,OFFSET(Rame!$F$1,MATCH(H395,Rame!$F:$F,0)-1,MATCH(I395,Rame!$F$1:$FF$1,0)-1))*IF(E395="Rame",1,0),4)</f>
        <v>0</v>
      </c>
      <c r="S395" s="446">
        <f ca="1">ROUND(IF(ISERROR(OFFSET(Bronzo!$A$1,MATCH(H395,Bronzo!$A:$A,0)-1,MATCH(I395,Bronzo!$A$1:$AA$1,0)-1)=TRUE),0,OFFSET(Bronzo!$A$1,MATCH(H395,Bronzo!$A:$A,0)-1,MATCH(I395,Bronzo!$A$1:$AA$1,0)-1)),4)</f>
        <v>0</v>
      </c>
      <c r="T395" s="446">
        <f t="shared" ca="1" si="175"/>
        <v>0</v>
      </c>
      <c r="U395" s="443"/>
      <c r="V395" s="446">
        <v>0</v>
      </c>
      <c r="W395" s="449">
        <f t="shared" ca="1" si="176"/>
        <v>1.4</v>
      </c>
      <c r="X395" s="452">
        <f t="shared" si="174"/>
        <v>28</v>
      </c>
      <c r="Y395" s="440">
        <v>5.07</v>
      </c>
      <c r="Z395" s="440">
        <f t="shared" ca="1" si="177"/>
        <v>0.65</v>
      </c>
      <c r="AA395" s="241">
        <v>46154</v>
      </c>
      <c r="AH395" s="242"/>
    </row>
    <row r="396" spans="2:34" ht="15.75" x14ac:dyDescent="0.25">
      <c r="B396" s="229" t="s">
        <v>653</v>
      </c>
      <c r="C396" s="235" t="s">
        <v>212</v>
      </c>
      <c r="D396" s="243">
        <v>3500</v>
      </c>
      <c r="E396" s="232" t="s">
        <v>4</v>
      </c>
      <c r="F396" s="435">
        <v>3.03</v>
      </c>
      <c r="G396" s="234">
        <v>46146</v>
      </c>
      <c r="H396" s="235" t="s">
        <v>23</v>
      </c>
      <c r="I396" s="235"/>
      <c r="J396" s="440">
        <v>0.05</v>
      </c>
      <c r="K396" s="443">
        <f ca="1">ROUND(IF(ISERROR(OFFSET(Tabella!$A$1,MATCH(H396,Tabella!$A:$A,0)-1,MATCH(J396,Tabella!$A$1:$AC$1,0)-1)=TRUE),0,+OFFSET(Tabella!$A$1,MATCH(H396,Tabella!$A:$A,0)-1,MATCH(J396,Tabella!$A$1:$AC$1,0)-1)),4)</f>
        <v>0</v>
      </c>
      <c r="L396" s="446">
        <f ca="1">ROUND(IF(ISERROR(OFFSET(Ottone!$A$1,MATCH(H396,Ottone!$A:$A,0)-1,MATCH(J396,Ottone!$A$1:$Z$1,0)-1)=TRUE),0,OFFSET(Ottone!$A$1,MATCH(H396,Ottone!$A:$A,0)-1,MATCH(J396,Ottone!$A$1:$Z$1,0)-1))*IF(E396="Ottone",1,0),4)</f>
        <v>0</v>
      </c>
      <c r="M396" s="446">
        <f ca="1">ROUND(IF(ISERROR(OFFSET(Rame!$A$1,MATCH(H396,Rame!$A:$A,0)-1,MATCH(J396,Rame!$A$1:$AA$1,0)-1)=TRUE),0,OFFSET(Rame!$A$1,MATCH(H396,Rame!$A:$A,0)-1,MATCH(J396,Rame!$A$1:$AA$1,0)-1))*IF(E396="Rame",1,0),4)</f>
        <v>0</v>
      </c>
      <c r="N396" s="446">
        <v>0</v>
      </c>
      <c r="O396" s="446">
        <v>1.73</v>
      </c>
      <c r="P396" s="446">
        <f ca="1">ROUND(+IF(ISERROR(OFFSET(Tabella!$G$1,MATCH(H396,Tabella!$G:$G,0)-1,MATCH(I396,Tabella!$G$1:$FG$1,0)-1)=TRUE),0,OFFSET(Tabella!$G$1,MATCH(H396,Tabella!$G:$G,0)-1,MATCH(I396,Tabella!$G$1:$AB$1,0)-1)),4)</f>
        <v>0</v>
      </c>
      <c r="Q396" s="446">
        <f ca="1">ROUND(IF(ISERROR(OFFSET(Ottone!$F$1,MATCH(H396,Ottone!$A:$A,0)-1,MATCH(I396,Ottone!$F$1:$FF$1,0)-1)=TRUE),0,OFFSET(Ottone!$F$1,MATCH(H396,Ottone!$A:$A,0)-1,MATCH(I396,Ottone!$F$1:$FF$1,0)-1))*IF(E396="Ottone",1,0),4)</f>
        <v>0</v>
      </c>
      <c r="R396" s="446">
        <f ca="1">ROUND(IF(ISERROR(OFFSET(Rame!$F$1,MATCH(H396,Rame!$F:$F,0)-1,MATCH(I396,Rame!$F$1:$FF$1,0)-1)=TRUE),0,OFFSET(Rame!$F$1,MATCH(H396,Rame!$F:$F,0)-1,MATCH(I396,Rame!$F$1:$FF$1,0)-1))*IF(E396="Rame",1,0),4)</f>
        <v>0</v>
      </c>
      <c r="S396" s="446">
        <f ca="1">ROUND(IF(ISERROR(OFFSET(Bronzo!$A$1,MATCH(H396,Bronzo!$A:$A,0)-1,MATCH(I396,Bronzo!$A$1:$AA$1,0)-1)=TRUE),0,OFFSET(Bronzo!$A$1,MATCH(H396,Bronzo!$A:$A,0)-1,MATCH(I396,Bronzo!$A$1:$AA$1,0)-1)),4)</f>
        <v>0</v>
      </c>
      <c r="T396" s="446">
        <f t="shared" ca="1" si="175"/>
        <v>0</v>
      </c>
      <c r="U396" s="443"/>
      <c r="V396" s="446">
        <v>0</v>
      </c>
      <c r="W396" s="449">
        <f t="shared" ca="1" si="176"/>
        <v>1.73</v>
      </c>
      <c r="X396" s="452">
        <f t="shared" si="174"/>
        <v>175</v>
      </c>
      <c r="Y396" s="440">
        <v>4.63</v>
      </c>
      <c r="Z396" s="440">
        <f t="shared" ca="1" si="177"/>
        <v>-0.13</v>
      </c>
      <c r="AA396" s="241">
        <v>46163</v>
      </c>
      <c r="AH396" s="242"/>
    </row>
    <row r="397" spans="2:34" ht="15.75" x14ac:dyDescent="0.25">
      <c r="B397" s="229" t="s">
        <v>652</v>
      </c>
      <c r="C397" s="235" t="s">
        <v>212</v>
      </c>
      <c r="D397" s="243">
        <v>700</v>
      </c>
      <c r="E397" s="232" t="s">
        <v>4</v>
      </c>
      <c r="F397" s="435">
        <v>3.03</v>
      </c>
      <c r="G397" s="234">
        <v>46146</v>
      </c>
      <c r="H397" s="235" t="s">
        <v>9</v>
      </c>
      <c r="I397" s="235"/>
      <c r="J397" s="440">
        <v>0.05</v>
      </c>
      <c r="K397" s="443">
        <f ca="1">ROUND(IF(ISERROR(OFFSET(Tabella!$A$1,MATCH(H397,Tabella!$A:$A,0)-1,MATCH(J397,Tabella!$A$1:$AC$1,0)-1)=TRUE),0,+OFFSET(Tabella!$A$1,MATCH(H397,Tabella!$A:$A,0)-1,MATCH(J397,Tabella!$A$1:$AC$1,0)-1)),4)</f>
        <v>0</v>
      </c>
      <c r="L397" s="446">
        <f ca="1">ROUND(IF(ISERROR(OFFSET(Ottone!$A$1,MATCH(H397,Ottone!$A:$A,0)-1,MATCH(J397,Ottone!$A$1:$Z$1,0)-1)=TRUE),0,OFFSET(Ottone!$A$1,MATCH(H397,Ottone!$A:$A,0)-1,MATCH(J397,Ottone!$A$1:$Z$1,0)-1))*IF(E397="Ottone",1,0),4)</f>
        <v>0</v>
      </c>
      <c r="M397" s="446">
        <f ca="1">ROUND(IF(ISERROR(OFFSET(Rame!$A$1,MATCH(H397,Rame!$A:$A,0)-1,MATCH(J397,Rame!$A$1:$AA$1,0)-1)=TRUE),0,OFFSET(Rame!$A$1,MATCH(H397,Rame!$A:$A,0)-1,MATCH(J397,Rame!$A$1:$AA$1,0)-1))*IF(E397="Rame",1,0),4)</f>
        <v>0</v>
      </c>
      <c r="N397" s="446">
        <v>0</v>
      </c>
      <c r="O397" s="446">
        <v>2.0299999999999998</v>
      </c>
      <c r="P397" s="446">
        <f ca="1">ROUND(+IF(ISERROR(OFFSET(Tabella!$G$1,MATCH(H397,Tabella!$G:$G,0)-1,MATCH(I397,Tabella!$G$1:$FG$1,0)-1)=TRUE),0,OFFSET(Tabella!$G$1,MATCH(H397,Tabella!$G:$G,0)-1,MATCH(I397,Tabella!$G$1:$AB$1,0)-1)),4)</f>
        <v>0</v>
      </c>
      <c r="Q397" s="446">
        <f ca="1">ROUND(IF(ISERROR(OFFSET(Ottone!$F$1,MATCH(H397,Ottone!$A:$A,0)-1,MATCH(I397,Ottone!$F$1:$FF$1,0)-1)=TRUE),0,OFFSET(Ottone!$F$1,MATCH(H397,Ottone!$A:$A,0)-1,MATCH(I397,Ottone!$F$1:$FF$1,0)-1))*IF(E397="Ottone",1,0),4)</f>
        <v>0</v>
      </c>
      <c r="R397" s="446">
        <f ca="1">ROUND(IF(ISERROR(OFFSET(Rame!$F$1,MATCH(H397,Rame!$F:$F,0)-1,MATCH(I397,Rame!$F$1:$FF$1,0)-1)=TRUE),0,OFFSET(Rame!$F$1,MATCH(H397,Rame!$F:$F,0)-1,MATCH(I397,Rame!$F$1:$FF$1,0)-1))*IF(E397="Rame",1,0),4)</f>
        <v>0</v>
      </c>
      <c r="S397" s="446">
        <f ca="1">ROUND(IF(ISERROR(OFFSET(Bronzo!$A$1,MATCH(H397,Bronzo!$A:$A,0)-1,MATCH(I397,Bronzo!$A$1:$AA$1,0)-1)=TRUE),0,OFFSET(Bronzo!$A$1,MATCH(H397,Bronzo!$A:$A,0)-1,MATCH(I397,Bronzo!$A$1:$AA$1,0)-1)),4)</f>
        <v>0</v>
      </c>
      <c r="T397" s="446">
        <f t="shared" ca="1" si="175"/>
        <v>0</v>
      </c>
      <c r="U397" s="443"/>
      <c r="V397" s="446">
        <v>0</v>
      </c>
      <c r="W397" s="449">
        <f t="shared" ca="1" si="176"/>
        <v>2.0299999999999998</v>
      </c>
      <c r="X397" s="452">
        <f t="shared" si="174"/>
        <v>35</v>
      </c>
      <c r="Y397" s="440">
        <v>4.93</v>
      </c>
      <c r="Z397" s="440">
        <f t="shared" ca="1" si="177"/>
        <v>-0.13</v>
      </c>
      <c r="AA397" s="241">
        <v>46163</v>
      </c>
      <c r="AH397" s="242"/>
    </row>
    <row r="398" spans="2:34" ht="15.75" x14ac:dyDescent="0.25">
      <c r="B398" s="229" t="s">
        <v>621</v>
      </c>
      <c r="C398" s="235" t="s">
        <v>246</v>
      </c>
      <c r="D398" s="243">
        <v>2500</v>
      </c>
      <c r="E398" s="232" t="s">
        <v>4</v>
      </c>
      <c r="F398" s="435">
        <v>2.98</v>
      </c>
      <c r="G398" s="234">
        <v>46146</v>
      </c>
      <c r="H398" s="235" t="s">
        <v>314</v>
      </c>
      <c r="I398" s="235"/>
      <c r="J398" s="440">
        <v>7.0000000000000007E-2</v>
      </c>
      <c r="K398" s="443">
        <f ca="1">ROUND(IF(ISERROR(OFFSET(Tabella!$A$1,MATCH(H398,Tabella!$A:$A,0)-1,MATCH(J398,Tabella!$A$1:$AC$1,0)-1)=TRUE),0,+OFFSET(Tabella!$A$1,MATCH(H398,Tabella!$A:$A,0)-1,MATCH(J398,Tabella!$A$1:$AC$1,0)-1)),4)</f>
        <v>1.25</v>
      </c>
      <c r="L398" s="446">
        <f ca="1">ROUND(IF(ISERROR(OFFSET(Ottone!$A$1,MATCH(H398,Ottone!$A:$A,0)-1,MATCH(J398,Ottone!$A$1:$Z$1,0)-1)=TRUE),0,OFFSET(Ottone!$A$1,MATCH(H398,Ottone!$A:$A,0)-1,MATCH(J398,Ottone!$A$1:$Z$1,0)-1))*IF(E398="Ottone",1,0),4)</f>
        <v>0</v>
      </c>
      <c r="M398" s="446">
        <f ca="1">ROUND(IF(ISERROR(OFFSET(Rame!$A$1,MATCH(H398,Rame!$A:$A,0)-1,MATCH(J398,Rame!$A$1:$AA$1,0)-1)=TRUE),0,OFFSET(Rame!$A$1,MATCH(H398,Rame!$A:$A,0)-1,MATCH(J398,Rame!$A$1:$AA$1,0)-1))*IF(E398="Rame",1,0),4)</f>
        <v>0</v>
      </c>
      <c r="N398" s="446">
        <v>0</v>
      </c>
      <c r="O398" s="446">
        <f t="shared" ref="O398:O414" ca="1" si="178">ROUND(SUM(K398:N398),4)</f>
        <v>1.25</v>
      </c>
      <c r="P398" s="446">
        <f ca="1">ROUND(+IF(ISERROR(OFFSET(Tabella!$G$1,MATCH(H398,Tabella!$G:$G,0)-1,MATCH(I398,Tabella!$G$1:$FG$1,0)-1)=TRUE),0,OFFSET(Tabella!$G$1,MATCH(H398,Tabella!$G:$G,0)-1,MATCH(I398,Tabella!$G$1:$AB$1,0)-1)),4)</f>
        <v>0</v>
      </c>
      <c r="Q398" s="446">
        <f ca="1">ROUND(IF(ISERROR(OFFSET(Ottone!$F$1,MATCH(H398,Ottone!$A:$A,0)-1,MATCH(I398,Ottone!$F$1:$FF$1,0)-1)=TRUE),0,OFFSET(Ottone!$F$1,MATCH(H398,Ottone!$A:$A,0)-1,MATCH(I398,Ottone!$F$1:$FF$1,0)-1))*IF(E398="Ottone",1,0),4)</f>
        <v>0</v>
      </c>
      <c r="R398" s="446">
        <f ca="1">ROUND(IF(ISERROR(OFFSET(Rame!$F$1,MATCH(H398,Rame!$F:$F,0)-1,MATCH(I398,Rame!$F$1:$FF$1,0)-1)=TRUE),0,OFFSET(Rame!$F$1,MATCH(H398,Rame!$F:$F,0)-1,MATCH(I398,Rame!$F$1:$FF$1,0)-1))*IF(E398="Rame",1,0),4)</f>
        <v>0</v>
      </c>
      <c r="S398" s="446">
        <f ca="1">ROUND(IF(ISERROR(OFFSET(Bronzo!$A$1,MATCH(H398,Bronzo!$A:$A,0)-1,MATCH(I398,Bronzo!$A$1:$AA$1,0)-1)=TRUE),0,OFFSET(Bronzo!$A$1,MATCH(H398,Bronzo!$A:$A,0)-1,MATCH(I398,Bronzo!$A$1:$AA$1,0)-1)),4)</f>
        <v>0</v>
      </c>
      <c r="T398" s="446">
        <f t="shared" ca="1" si="175"/>
        <v>0</v>
      </c>
      <c r="U398" s="443"/>
      <c r="V398" s="446">
        <v>0</v>
      </c>
      <c r="W398" s="449">
        <f t="shared" ca="1" si="176"/>
        <v>1.25</v>
      </c>
      <c r="X398" s="452">
        <f t="shared" si="174"/>
        <v>175</v>
      </c>
      <c r="Y398" s="440">
        <v>4.7</v>
      </c>
      <c r="Z398" s="440">
        <f t="shared" ca="1" si="177"/>
        <v>0.47</v>
      </c>
      <c r="AA398" s="241">
        <v>46163</v>
      </c>
      <c r="AH398" s="242"/>
    </row>
    <row r="399" spans="2:34" ht="15.75" x14ac:dyDescent="0.25">
      <c r="B399" s="229" t="s">
        <v>621</v>
      </c>
      <c r="C399" s="235" t="s">
        <v>246</v>
      </c>
      <c r="D399" s="243">
        <v>1380</v>
      </c>
      <c r="E399" s="232" t="s">
        <v>4</v>
      </c>
      <c r="F399" s="435">
        <v>2.98</v>
      </c>
      <c r="G399" s="234">
        <v>46146</v>
      </c>
      <c r="H399" s="235" t="s">
        <v>29</v>
      </c>
      <c r="I399" s="235"/>
      <c r="J399" s="440">
        <v>7.0000000000000007E-2</v>
      </c>
      <c r="K399" s="443">
        <f ca="1">ROUND(IF(ISERROR(OFFSET(Tabella!$A$1,MATCH(H399,Tabella!$A:$A,0)-1,MATCH(J399,Tabella!$A$1:$AC$1,0)-1)=TRUE),0,+OFFSET(Tabella!$A$1,MATCH(H399,Tabella!$A:$A,0)-1,MATCH(J399,Tabella!$A$1:$AC$1,0)-1)),4)</f>
        <v>1.3</v>
      </c>
      <c r="L399" s="446">
        <f ca="1">ROUND(IF(ISERROR(OFFSET(Ottone!$A$1,MATCH(H399,Ottone!$A:$A,0)-1,MATCH(J399,Ottone!$A$1:$Z$1,0)-1)=TRUE),0,OFFSET(Ottone!$A$1,MATCH(H399,Ottone!$A:$A,0)-1,MATCH(J399,Ottone!$A$1:$Z$1,0)-1))*IF(E399="Ottone",1,0),4)</f>
        <v>0</v>
      </c>
      <c r="M399" s="446">
        <f ca="1">ROUND(IF(ISERROR(OFFSET(Rame!$A$1,MATCH(H399,Rame!$A:$A,0)-1,MATCH(J399,Rame!$A$1:$AA$1,0)-1)=TRUE),0,OFFSET(Rame!$A$1,MATCH(H399,Rame!$A:$A,0)-1,MATCH(J399,Rame!$A$1:$AA$1,0)-1))*IF(E399="Rame",1,0),4)</f>
        <v>0</v>
      </c>
      <c r="N399" s="446">
        <v>0</v>
      </c>
      <c r="O399" s="446">
        <f t="shared" ca="1" si="178"/>
        <v>1.3</v>
      </c>
      <c r="P399" s="446">
        <f ca="1">ROUND(+IF(ISERROR(OFFSET(Tabella!$G$1,MATCH(H399,Tabella!$G:$G,0)-1,MATCH(I399,Tabella!$G$1:$FG$1,0)-1)=TRUE),0,OFFSET(Tabella!$G$1,MATCH(H399,Tabella!$G:$G,0)-1,MATCH(I399,Tabella!$G$1:$AB$1,0)-1)),4)</f>
        <v>0</v>
      </c>
      <c r="Q399" s="446">
        <f ca="1">ROUND(IF(ISERROR(OFFSET(Ottone!$F$1,MATCH(H399,Ottone!$A:$A,0)-1,MATCH(I399,Ottone!$F$1:$FF$1,0)-1)=TRUE),0,OFFSET(Ottone!$F$1,MATCH(H399,Ottone!$A:$A,0)-1,MATCH(I399,Ottone!$F$1:$FF$1,0)-1))*IF(E399="Ottone",1,0),4)</f>
        <v>0</v>
      </c>
      <c r="R399" s="446">
        <f ca="1">ROUND(IF(ISERROR(OFFSET(Rame!$F$1,MATCH(H399,Rame!$F:$F,0)-1,MATCH(I399,Rame!$F$1:$FF$1,0)-1)=TRUE),0,OFFSET(Rame!$F$1,MATCH(H399,Rame!$F:$F,0)-1,MATCH(I399,Rame!$F$1:$FF$1,0)-1))*IF(E399="Rame",1,0),4)</f>
        <v>0</v>
      </c>
      <c r="S399" s="446">
        <f ca="1">ROUND(IF(ISERROR(OFFSET(Bronzo!$A$1,MATCH(H399,Bronzo!$A:$A,0)-1,MATCH(I399,Bronzo!$A$1:$AA$1,0)-1)=TRUE),0,OFFSET(Bronzo!$A$1,MATCH(H399,Bronzo!$A:$A,0)-1,MATCH(I399,Bronzo!$A$1:$AA$1,0)-1)),4)</f>
        <v>0</v>
      </c>
      <c r="T399" s="446">
        <f t="shared" ca="1" si="175"/>
        <v>0</v>
      </c>
      <c r="U399" s="443"/>
      <c r="V399" s="446">
        <v>0</v>
      </c>
      <c r="W399" s="449">
        <f t="shared" ca="1" si="176"/>
        <v>1.3</v>
      </c>
      <c r="X399" s="452">
        <f t="shared" si="174"/>
        <v>96.6</v>
      </c>
      <c r="Y399" s="440">
        <v>4.7</v>
      </c>
      <c r="Z399" s="440">
        <f t="shared" ca="1" si="177"/>
        <v>0.42</v>
      </c>
      <c r="AA399" s="241">
        <v>46163</v>
      </c>
      <c r="AH399" s="242"/>
    </row>
    <row r="400" spans="2:34" ht="15.75" x14ac:dyDescent="0.25">
      <c r="B400" s="229" t="s">
        <v>645</v>
      </c>
      <c r="C400" s="235" t="s">
        <v>396</v>
      </c>
      <c r="D400" s="243">
        <v>500</v>
      </c>
      <c r="E400" s="232" t="s">
        <v>4</v>
      </c>
      <c r="F400" s="435">
        <v>3</v>
      </c>
      <c r="G400" s="234">
        <v>46146</v>
      </c>
      <c r="H400" s="235" t="s">
        <v>23</v>
      </c>
      <c r="I400" s="235"/>
      <c r="J400" s="440">
        <v>7.0000000000000007E-2</v>
      </c>
      <c r="K400" s="443">
        <f ca="1">ROUND(IF(ISERROR(OFFSET(Tabella!$A$1,MATCH(H400,Tabella!$A:$A,0)-1,MATCH(J400,Tabella!$A$1:$AC$1,0)-1)=TRUE),0,+OFFSET(Tabella!$A$1,MATCH(H400,Tabella!$A:$A,0)-1,MATCH(J400,Tabella!$A$1:$AC$1,0)-1)),4)</f>
        <v>1.25</v>
      </c>
      <c r="L400" s="446">
        <f ca="1">ROUND(IF(ISERROR(OFFSET(Ottone!$A$1,MATCH(H400,Ottone!$A:$A,0)-1,MATCH(J400,Ottone!$A$1:$Z$1,0)-1)=TRUE),0,OFFSET(Ottone!$A$1,MATCH(H400,Ottone!$A:$A,0)-1,MATCH(J400,Ottone!$A$1:$Z$1,0)-1))*IF(E400="Ottone",1,0),4)</f>
        <v>0</v>
      </c>
      <c r="M400" s="446">
        <f ca="1">ROUND(IF(ISERROR(OFFSET(Rame!$A$1,MATCH(H400,Rame!$A:$A,0)-1,MATCH(J400,Rame!$A$1:$AA$1,0)-1)=TRUE),0,OFFSET(Rame!$A$1,MATCH(H400,Rame!$A:$A,0)-1,MATCH(J400,Rame!$A$1:$AA$1,0)-1))*IF(E400="Rame",1,0),4)</f>
        <v>0</v>
      </c>
      <c r="N400" s="446">
        <v>0</v>
      </c>
      <c r="O400" s="446">
        <f t="shared" ca="1" si="178"/>
        <v>1.25</v>
      </c>
      <c r="P400" s="446">
        <f ca="1">ROUND(+IF(ISERROR(OFFSET(Tabella!$G$1,MATCH(H400,Tabella!$G:$G,0)-1,MATCH(I400,Tabella!$G$1:$FG$1,0)-1)=TRUE),0,OFFSET(Tabella!$G$1,MATCH(H400,Tabella!$G:$G,0)-1,MATCH(I400,Tabella!$G$1:$AB$1,0)-1)),4)</f>
        <v>0</v>
      </c>
      <c r="Q400" s="446">
        <f ca="1">ROUND(IF(ISERROR(OFFSET(Ottone!$F$1,MATCH(H400,Ottone!$A:$A,0)-1,MATCH(I400,Ottone!$F$1:$FF$1,0)-1)=TRUE),0,OFFSET(Ottone!$F$1,MATCH(H400,Ottone!$A:$A,0)-1,MATCH(I400,Ottone!$F$1:$FF$1,0)-1))*IF(E400="Ottone",1,0),4)</f>
        <v>0</v>
      </c>
      <c r="R400" s="446">
        <f ca="1">ROUND(IF(ISERROR(OFFSET(Rame!$F$1,MATCH(H400,Rame!$F:$F,0)-1,MATCH(I400,Rame!$F$1:$FF$1,0)-1)=TRUE),0,OFFSET(Rame!$F$1,MATCH(H400,Rame!$F:$F,0)-1,MATCH(I400,Rame!$F$1:$FF$1,0)-1))*IF(E400="Rame",1,0),4)</f>
        <v>0</v>
      </c>
      <c r="S400" s="446">
        <f ca="1">ROUND(IF(ISERROR(OFFSET(Bronzo!$A$1,MATCH(H400,Bronzo!$A:$A,0)-1,MATCH(I400,Bronzo!$A$1:$AA$1,0)-1)=TRUE),0,OFFSET(Bronzo!$A$1,MATCH(H400,Bronzo!$A:$A,0)-1,MATCH(I400,Bronzo!$A$1:$AA$1,0)-1)),4)</f>
        <v>0</v>
      </c>
      <c r="T400" s="446">
        <f t="shared" ca="1" si="175"/>
        <v>0</v>
      </c>
      <c r="U400" s="443"/>
      <c r="V400" s="446">
        <v>0</v>
      </c>
      <c r="W400" s="449">
        <f t="shared" ca="1" si="176"/>
        <v>1.25</v>
      </c>
      <c r="X400" s="452">
        <f t="shared" si="174"/>
        <v>35</v>
      </c>
      <c r="Y400" s="440">
        <v>4.95</v>
      </c>
      <c r="Z400" s="440">
        <f t="shared" ca="1" si="177"/>
        <v>0.7</v>
      </c>
      <c r="AA400" s="241">
        <v>46164</v>
      </c>
      <c r="AH400" s="242"/>
    </row>
    <row r="401" spans="2:34" ht="15.75" x14ac:dyDescent="0.25">
      <c r="B401" s="229" t="s">
        <v>644</v>
      </c>
      <c r="C401" s="235" t="s">
        <v>297</v>
      </c>
      <c r="D401" s="243">
        <v>150</v>
      </c>
      <c r="E401" s="232" t="s">
        <v>6</v>
      </c>
      <c r="F401" s="435">
        <v>11.03</v>
      </c>
      <c r="G401" s="234">
        <v>46147</v>
      </c>
      <c r="H401" s="235" t="s">
        <v>18</v>
      </c>
      <c r="I401" s="235"/>
      <c r="J401" s="440">
        <v>0.15</v>
      </c>
      <c r="K401" s="443">
        <f ca="1">ROUND(IF(ISERROR(OFFSET(Tabella!$A$1,MATCH(H401,Tabella!$A:$A,0)-1,MATCH(J401,Tabella!$A$1:$AC$1,0)-1)=TRUE),0,+OFFSET(Tabella!$A$1,MATCH(H401,Tabella!$A:$A,0)-1,MATCH(J401,Tabella!$A$1:$AC$1,0)-1)),4)</f>
        <v>0</v>
      </c>
      <c r="L401" s="446">
        <f ca="1">ROUND(IF(ISERROR(OFFSET(Ottone!$A$1,MATCH(H401,Ottone!$A:$A,0)-1,MATCH(J401,Ottone!$A$1:$Z$1,0)-1)=TRUE),0,OFFSET(Ottone!$A$1,MATCH(H401,Ottone!$A:$A,0)-1,MATCH(J401,Ottone!$A$1:$Z$1,0)-1))*IF(E401="Ottone",1,0),4)</f>
        <v>0</v>
      </c>
      <c r="M401" s="446">
        <f ca="1">ROUND(IF(ISERROR(OFFSET(Rame!$A$1,MATCH(H401,Rame!$A:$A,0)-1,MATCH(J401,Rame!$A$1:$AA$1,0)-1)=TRUE),0,OFFSET(Rame!$A$1,MATCH(H401,Rame!$A:$A,0)-1,MATCH(J401,Rame!$A$1:$AA$1,0)-1))*IF(E401="Rame",1,0),4)</f>
        <v>0.82</v>
      </c>
      <c r="N401" s="446">
        <v>0</v>
      </c>
      <c r="O401" s="446">
        <f t="shared" ca="1" si="178"/>
        <v>0.82</v>
      </c>
      <c r="P401" s="446">
        <f ca="1">ROUND(+IF(ISERROR(OFFSET(Tabella!$G$1,MATCH(H401,Tabella!$G:$G,0)-1,MATCH(I401,Tabella!$G$1:$FG$1,0)-1)=TRUE),0,OFFSET(Tabella!$G$1,MATCH(H401,Tabella!$G:$G,0)-1,MATCH(I401,Tabella!$G$1:$AB$1,0)-1)),4)</f>
        <v>0</v>
      </c>
      <c r="Q401" s="446">
        <f ca="1">ROUND(IF(ISERROR(OFFSET(Ottone!$F$1,MATCH(H401,Ottone!$A:$A,0)-1,MATCH(I401,Ottone!$F$1:$FF$1,0)-1)=TRUE),0,OFFSET(Ottone!$F$1,MATCH(H401,Ottone!$A:$A,0)-1,MATCH(I401,Ottone!$F$1:$FF$1,0)-1))*IF(E401="Ottone",1,0),4)</f>
        <v>0</v>
      </c>
      <c r="R401" s="446">
        <f ca="1">ROUND(IF(ISERROR(OFFSET(Rame!$F$1,MATCH(H401,Rame!$F:$F,0)-1,MATCH(I401,Rame!$F$1:$FF$1,0)-1)=TRUE),0,OFFSET(Rame!$F$1,MATCH(H401,Rame!$F:$F,0)-1,MATCH(I401,Rame!$F$1:$FF$1,0)-1))*IF(E401="Rame",1,0),4)</f>
        <v>0</v>
      </c>
      <c r="S401" s="446">
        <f ca="1">ROUND(IF(ISERROR(OFFSET(Bronzo!$A$1,MATCH(H401,Bronzo!$A:$A,0)-1,MATCH(I401,Bronzo!$A$1:$AA$1,0)-1)=TRUE),0,OFFSET(Bronzo!$A$1,MATCH(H401,Bronzo!$A:$A,0)-1,MATCH(I401,Bronzo!$A$1:$AA$1,0)-1)),4)</f>
        <v>0</v>
      </c>
      <c r="T401" s="446">
        <f t="shared" ca="1" si="175"/>
        <v>0</v>
      </c>
      <c r="U401" s="443"/>
      <c r="V401" s="446">
        <v>0</v>
      </c>
      <c r="W401" s="449">
        <f t="shared" ca="1" si="176"/>
        <v>0.82</v>
      </c>
      <c r="X401" s="452">
        <f t="shared" ref="X401:X464" si="179">ROUND(+J401*D401,4)</f>
        <v>22.5</v>
      </c>
      <c r="Y401" s="440">
        <v>14</v>
      </c>
      <c r="Z401" s="440">
        <f t="shared" ca="1" si="177"/>
        <v>2.15</v>
      </c>
      <c r="AA401" s="241">
        <v>46163</v>
      </c>
      <c r="AH401" s="242"/>
    </row>
    <row r="402" spans="2:34" ht="15.75" x14ac:dyDescent="0.25">
      <c r="B402" s="229"/>
      <c r="C402" s="235" t="s">
        <v>102</v>
      </c>
      <c r="D402" s="243">
        <v>1000</v>
      </c>
      <c r="E402" s="232" t="s">
        <v>4</v>
      </c>
      <c r="F402" s="435">
        <v>2.99</v>
      </c>
      <c r="G402" s="234">
        <v>46147</v>
      </c>
      <c r="H402" s="235" t="s">
        <v>30</v>
      </c>
      <c r="I402" s="235"/>
      <c r="J402" s="440">
        <v>7.0000000000000007E-2</v>
      </c>
      <c r="K402" s="443">
        <f ca="1">ROUND(IF(ISERROR(OFFSET(Tabella!$A$1,MATCH(H402,Tabella!$A:$A,0)-1,MATCH(J402,Tabella!$A$1:$AC$1,0)-1)=TRUE),0,+OFFSET(Tabella!$A$1,MATCH(H402,Tabella!$A:$A,0)-1,MATCH(J402,Tabella!$A$1:$AC$1,0)-1)),4)</f>
        <v>1.3</v>
      </c>
      <c r="L402" s="446">
        <f ca="1">ROUND(IF(ISERROR(OFFSET(Ottone!$A$1,MATCH(H402,Ottone!$A:$A,0)-1,MATCH(J402,Ottone!$A$1:$Z$1,0)-1)=TRUE),0,OFFSET(Ottone!$A$1,MATCH(H402,Ottone!$A:$A,0)-1,MATCH(J402,Ottone!$A$1:$Z$1,0)-1))*IF(E402="Ottone",1,0),4)</f>
        <v>0</v>
      </c>
      <c r="M402" s="446">
        <f ca="1">ROUND(IF(ISERROR(OFFSET(Rame!$A$1,MATCH(H402,Rame!$A:$A,0)-1,MATCH(J402,Rame!$A$1:$AA$1,0)-1)=TRUE),0,OFFSET(Rame!$A$1,MATCH(H402,Rame!$A:$A,0)-1,MATCH(J402,Rame!$A$1:$AA$1,0)-1))*IF(E402="Rame",1,0),4)</f>
        <v>0</v>
      </c>
      <c r="N402" s="446">
        <v>0</v>
      </c>
      <c r="O402" s="446">
        <f t="shared" ca="1" si="178"/>
        <v>1.3</v>
      </c>
      <c r="P402" s="446">
        <f ca="1">ROUND(+IF(ISERROR(OFFSET(Tabella!$G$1,MATCH(H402,Tabella!$G:$G,0)-1,MATCH(I402,Tabella!$G$1:$FG$1,0)-1)=TRUE),0,OFFSET(Tabella!$G$1,MATCH(H402,Tabella!$G:$G,0)-1,MATCH(I402,Tabella!$G$1:$AB$1,0)-1)),4)</f>
        <v>0</v>
      </c>
      <c r="Q402" s="446">
        <f ca="1">ROUND(IF(ISERROR(OFFSET(Ottone!$F$1,MATCH(H402,Ottone!$A:$A,0)-1,MATCH(I402,Ottone!$F$1:$FF$1,0)-1)=TRUE),0,OFFSET(Ottone!$F$1,MATCH(H402,Ottone!$A:$A,0)-1,MATCH(I402,Ottone!$F$1:$FF$1,0)-1))*IF(E402="Ottone",1,0),4)</f>
        <v>0</v>
      </c>
      <c r="R402" s="446">
        <f ca="1">ROUND(IF(ISERROR(OFFSET(Rame!$F$1,MATCH(H402,Rame!$F:$F,0)-1,MATCH(I402,Rame!$F$1:$FF$1,0)-1)=TRUE),0,OFFSET(Rame!$F$1,MATCH(H402,Rame!$F:$F,0)-1,MATCH(I402,Rame!$F$1:$FF$1,0)-1))*IF(E402="Rame",1,0),4)</f>
        <v>0</v>
      </c>
      <c r="S402" s="446">
        <f ca="1">ROUND(IF(ISERROR(OFFSET(Bronzo!$A$1,MATCH(H402,Bronzo!$A:$A,0)-1,MATCH(I402,Bronzo!$A$1:$AA$1,0)-1)=TRUE),0,OFFSET(Bronzo!$A$1,MATCH(H402,Bronzo!$A:$A,0)-1,MATCH(I402,Bronzo!$A$1:$AA$1,0)-1)),4)</f>
        <v>0</v>
      </c>
      <c r="T402" s="446">
        <f t="shared" ca="1" si="175"/>
        <v>0</v>
      </c>
      <c r="U402" s="443"/>
      <c r="V402" s="446">
        <v>0</v>
      </c>
      <c r="W402" s="449">
        <f t="shared" ca="1" si="176"/>
        <v>1.3</v>
      </c>
      <c r="X402" s="452">
        <f t="shared" si="179"/>
        <v>70</v>
      </c>
      <c r="Y402" s="440">
        <v>4.7</v>
      </c>
      <c r="Z402" s="440">
        <f t="shared" ca="1" si="177"/>
        <v>0.41</v>
      </c>
      <c r="AA402" s="241"/>
      <c r="AE402" s="223" t="s">
        <v>452</v>
      </c>
      <c r="AH402" s="242"/>
    </row>
    <row r="403" spans="2:34" ht="15.75" x14ac:dyDescent="0.25">
      <c r="B403" s="229"/>
      <c r="C403" s="235" t="s">
        <v>102</v>
      </c>
      <c r="D403" s="243">
        <v>1000</v>
      </c>
      <c r="E403" s="232" t="s">
        <v>4</v>
      </c>
      <c r="F403" s="435">
        <v>2.99</v>
      </c>
      <c r="G403" s="234">
        <v>46147</v>
      </c>
      <c r="H403" s="235" t="s">
        <v>30</v>
      </c>
      <c r="I403" s="235"/>
      <c r="J403" s="440">
        <v>7.0000000000000007E-2</v>
      </c>
      <c r="K403" s="443">
        <f ca="1">ROUND(IF(ISERROR(OFFSET(Tabella!$A$1,MATCH(H403,Tabella!$A:$A,0)-1,MATCH(J403,Tabella!$A$1:$AC$1,0)-1)=TRUE),0,+OFFSET(Tabella!$A$1,MATCH(H403,Tabella!$A:$A,0)-1,MATCH(J403,Tabella!$A$1:$AC$1,0)-1)),4)</f>
        <v>1.3</v>
      </c>
      <c r="L403" s="446">
        <f ca="1">ROUND(IF(ISERROR(OFFSET(Ottone!$A$1,MATCH(H403,Ottone!$A:$A,0)-1,MATCH(J403,Ottone!$A$1:$Z$1,0)-1)=TRUE),0,OFFSET(Ottone!$A$1,MATCH(H403,Ottone!$A:$A,0)-1,MATCH(J403,Ottone!$A$1:$Z$1,0)-1))*IF(E403="Ottone",1,0),4)</f>
        <v>0</v>
      </c>
      <c r="M403" s="446">
        <f ca="1">ROUND(IF(ISERROR(OFFSET(Rame!$A$1,MATCH(H403,Rame!$A:$A,0)-1,MATCH(J403,Rame!$A$1:$AA$1,0)-1)=TRUE),0,OFFSET(Rame!$A$1,MATCH(H403,Rame!$A:$A,0)-1,MATCH(J403,Rame!$A$1:$AA$1,0)-1))*IF(E403="Rame",1,0),4)</f>
        <v>0</v>
      </c>
      <c r="N403" s="446">
        <v>0</v>
      </c>
      <c r="O403" s="446">
        <f t="shared" ca="1" si="178"/>
        <v>1.3</v>
      </c>
      <c r="P403" s="446">
        <f ca="1">ROUND(+IF(ISERROR(OFFSET(Tabella!$G$1,MATCH(H403,Tabella!$G:$G,0)-1,MATCH(I403,Tabella!$G$1:$FG$1,0)-1)=TRUE),0,OFFSET(Tabella!$G$1,MATCH(H403,Tabella!$G:$G,0)-1,MATCH(I403,Tabella!$G$1:$AB$1,0)-1)),4)</f>
        <v>0</v>
      </c>
      <c r="Q403" s="446">
        <f ca="1">ROUND(IF(ISERROR(OFFSET(Ottone!$F$1,MATCH(H403,Ottone!$A:$A,0)-1,MATCH(I403,Ottone!$F$1:$FF$1,0)-1)=TRUE),0,OFFSET(Ottone!$F$1,MATCH(H403,Ottone!$A:$A,0)-1,MATCH(I403,Ottone!$F$1:$FF$1,0)-1))*IF(E403="Ottone",1,0),4)</f>
        <v>0</v>
      </c>
      <c r="R403" s="446">
        <f ca="1">ROUND(IF(ISERROR(OFFSET(Rame!$F$1,MATCH(H403,Rame!$F:$F,0)-1,MATCH(I403,Rame!$F$1:$FF$1,0)-1)=TRUE),0,OFFSET(Rame!$F$1,MATCH(H403,Rame!$F:$F,0)-1,MATCH(I403,Rame!$F$1:$FF$1,0)-1))*IF(E403="Rame",1,0),4)</f>
        <v>0</v>
      </c>
      <c r="S403" s="446">
        <f ca="1">ROUND(IF(ISERROR(OFFSET(Bronzo!$A$1,MATCH(H403,Bronzo!$A:$A,0)-1,MATCH(I403,Bronzo!$A$1:$AA$1,0)-1)=TRUE),0,OFFSET(Bronzo!$A$1,MATCH(H403,Bronzo!$A:$A,0)-1,MATCH(I403,Bronzo!$A$1:$AA$1,0)-1)),4)</f>
        <v>0</v>
      </c>
      <c r="T403" s="446">
        <f t="shared" ca="1" si="175"/>
        <v>0</v>
      </c>
      <c r="U403" s="443"/>
      <c r="V403" s="446">
        <v>0</v>
      </c>
      <c r="W403" s="449">
        <f t="shared" ca="1" si="176"/>
        <v>1.3</v>
      </c>
      <c r="X403" s="452">
        <f t="shared" si="179"/>
        <v>70</v>
      </c>
      <c r="Y403" s="440">
        <v>5.4</v>
      </c>
      <c r="Z403" s="440">
        <f t="shared" ca="1" si="177"/>
        <v>1.1100000000000001</v>
      </c>
      <c r="AA403" s="241"/>
      <c r="AE403" s="223" t="s">
        <v>452</v>
      </c>
      <c r="AH403" s="242"/>
    </row>
    <row r="404" spans="2:34" ht="15.75" x14ac:dyDescent="0.25">
      <c r="B404" s="229"/>
      <c r="C404" s="235" t="s">
        <v>102</v>
      </c>
      <c r="D404" s="243">
        <v>1000</v>
      </c>
      <c r="E404" s="232" t="s">
        <v>4</v>
      </c>
      <c r="F404" s="435">
        <v>2.99</v>
      </c>
      <c r="G404" s="234">
        <v>46147</v>
      </c>
      <c r="H404" s="235" t="s">
        <v>30</v>
      </c>
      <c r="I404" s="235"/>
      <c r="J404" s="440">
        <v>7.0000000000000007E-2</v>
      </c>
      <c r="K404" s="443">
        <f ca="1">ROUND(IF(ISERROR(OFFSET(Tabella!$A$1,MATCH(H404,Tabella!$A:$A,0)-1,MATCH(J404,Tabella!$A$1:$AC$1,0)-1)=TRUE),0,+OFFSET(Tabella!$A$1,MATCH(H404,Tabella!$A:$A,0)-1,MATCH(J404,Tabella!$A$1:$AC$1,0)-1)),4)</f>
        <v>1.3</v>
      </c>
      <c r="L404" s="446">
        <f ca="1">ROUND(IF(ISERROR(OFFSET(Ottone!$A$1,MATCH(H404,Ottone!$A:$A,0)-1,MATCH(J404,Ottone!$A$1:$Z$1,0)-1)=TRUE),0,OFFSET(Ottone!$A$1,MATCH(H404,Ottone!$A:$A,0)-1,MATCH(J404,Ottone!$A$1:$Z$1,0)-1))*IF(E404="Ottone",1,0),4)</f>
        <v>0</v>
      </c>
      <c r="M404" s="446">
        <f ca="1">ROUND(IF(ISERROR(OFFSET(Rame!$A$1,MATCH(H404,Rame!$A:$A,0)-1,MATCH(J404,Rame!$A$1:$AA$1,0)-1)=TRUE),0,OFFSET(Rame!$A$1,MATCH(H404,Rame!$A:$A,0)-1,MATCH(J404,Rame!$A$1:$AA$1,0)-1))*IF(E404="Rame",1,0),4)</f>
        <v>0</v>
      </c>
      <c r="N404" s="446">
        <v>0</v>
      </c>
      <c r="O404" s="446">
        <f t="shared" ca="1" si="178"/>
        <v>1.3</v>
      </c>
      <c r="P404" s="446">
        <f ca="1">ROUND(+IF(ISERROR(OFFSET(Tabella!$G$1,MATCH(H404,Tabella!$G:$G,0)-1,MATCH(I404,Tabella!$G$1:$FG$1,0)-1)=TRUE),0,OFFSET(Tabella!$G$1,MATCH(H404,Tabella!$G:$G,0)-1,MATCH(I404,Tabella!$G$1:$AB$1,0)-1)),4)</f>
        <v>0</v>
      </c>
      <c r="Q404" s="446">
        <f ca="1">ROUND(IF(ISERROR(OFFSET(Ottone!$F$1,MATCH(H404,Ottone!$A:$A,0)-1,MATCH(I404,Ottone!$F$1:$FF$1,0)-1)=TRUE),0,OFFSET(Ottone!$F$1,MATCH(H404,Ottone!$A:$A,0)-1,MATCH(I404,Ottone!$F$1:$FF$1,0)-1))*IF(E404="Ottone",1,0),4)</f>
        <v>0</v>
      </c>
      <c r="R404" s="446">
        <f ca="1">ROUND(IF(ISERROR(OFFSET(Rame!$F$1,MATCH(H404,Rame!$F:$F,0)-1,MATCH(I404,Rame!$F$1:$FF$1,0)-1)=TRUE),0,OFFSET(Rame!$F$1,MATCH(H404,Rame!$F:$F,0)-1,MATCH(I404,Rame!$F$1:$FF$1,0)-1))*IF(E404="Rame",1,0),4)</f>
        <v>0</v>
      </c>
      <c r="S404" s="446">
        <f ca="1">ROUND(IF(ISERROR(OFFSET(Bronzo!$A$1,MATCH(H404,Bronzo!$A:$A,0)-1,MATCH(I404,Bronzo!$A$1:$AA$1,0)-1)=TRUE),0,OFFSET(Bronzo!$A$1,MATCH(H404,Bronzo!$A:$A,0)-1,MATCH(I404,Bronzo!$A$1:$AA$1,0)-1)),4)</f>
        <v>0</v>
      </c>
      <c r="T404" s="446">
        <f t="shared" ca="1" si="175"/>
        <v>0</v>
      </c>
      <c r="U404" s="443"/>
      <c r="V404" s="446">
        <v>0</v>
      </c>
      <c r="W404" s="449">
        <f t="shared" ca="1" si="176"/>
        <v>1.3</v>
      </c>
      <c r="X404" s="452">
        <f t="shared" si="179"/>
        <v>70</v>
      </c>
      <c r="Y404" s="440">
        <v>5.4</v>
      </c>
      <c r="Z404" s="440">
        <f t="shared" ca="1" si="177"/>
        <v>1.1100000000000001</v>
      </c>
      <c r="AA404" s="241"/>
      <c r="AE404" s="223" t="s">
        <v>452</v>
      </c>
      <c r="AH404" s="242"/>
    </row>
    <row r="405" spans="2:34" ht="15.75" x14ac:dyDescent="0.25">
      <c r="B405" s="229" t="s">
        <v>648</v>
      </c>
      <c r="C405" s="235" t="s">
        <v>92</v>
      </c>
      <c r="D405" s="243">
        <v>500</v>
      </c>
      <c r="E405" s="232" t="s">
        <v>4</v>
      </c>
      <c r="F405" s="435">
        <v>3.02</v>
      </c>
      <c r="G405" s="234">
        <v>46147</v>
      </c>
      <c r="H405" s="235" t="s">
        <v>22</v>
      </c>
      <c r="I405" s="235"/>
      <c r="J405" s="440">
        <v>7.0000000000000007E-2</v>
      </c>
      <c r="K405" s="443">
        <f ca="1">ROUND(IF(ISERROR(OFFSET(Tabella!$A$1,MATCH(H405,Tabella!$A:$A,0)-1,MATCH(J405,Tabella!$A$1:$AC$1,0)-1)=TRUE),0,+OFFSET(Tabella!$A$1,MATCH(H405,Tabella!$A:$A,0)-1,MATCH(J405,Tabella!$A$1:$AC$1,0)-1)),4)</f>
        <v>1.25</v>
      </c>
      <c r="L405" s="446">
        <f ca="1">ROUND(IF(ISERROR(OFFSET(Ottone!$A$1,MATCH(H405,Ottone!$A:$A,0)-1,MATCH(J405,Ottone!$A$1:$Z$1,0)-1)=TRUE),0,OFFSET(Ottone!$A$1,MATCH(H405,Ottone!$A:$A,0)-1,MATCH(J405,Ottone!$A$1:$Z$1,0)-1))*IF(E405="Ottone",1,0),4)</f>
        <v>0</v>
      </c>
      <c r="M405" s="446">
        <f ca="1">ROUND(IF(ISERROR(OFFSET(Rame!$A$1,MATCH(H405,Rame!$A:$A,0)-1,MATCH(J405,Rame!$A$1:$AA$1,0)-1)=TRUE),0,OFFSET(Rame!$A$1,MATCH(H405,Rame!$A:$A,0)-1,MATCH(J405,Rame!$A$1:$AA$1,0)-1))*IF(E405="Rame",1,0),4)</f>
        <v>0</v>
      </c>
      <c r="N405" s="446">
        <v>0</v>
      </c>
      <c r="O405" s="446">
        <f t="shared" ca="1" si="178"/>
        <v>1.25</v>
      </c>
      <c r="P405" s="446">
        <f ca="1">ROUND(+IF(ISERROR(OFFSET(Tabella!$G$1,MATCH(H405,Tabella!$G:$G,0)-1,MATCH(I405,Tabella!$G$1:$FG$1,0)-1)=TRUE),0,OFFSET(Tabella!$G$1,MATCH(H405,Tabella!$G:$G,0)-1,MATCH(I405,Tabella!$G$1:$AB$1,0)-1)),4)</f>
        <v>0</v>
      </c>
      <c r="Q405" s="446">
        <f ca="1">ROUND(IF(ISERROR(OFFSET(Ottone!$F$1,MATCH(H405,Ottone!$A:$A,0)-1,MATCH(I405,Ottone!$F$1:$FF$1,0)-1)=TRUE),0,OFFSET(Ottone!$F$1,MATCH(H405,Ottone!$A:$A,0)-1,MATCH(I405,Ottone!$F$1:$FF$1,0)-1))*IF(E405="Ottone",1,0),4)</f>
        <v>0</v>
      </c>
      <c r="R405" s="446">
        <f ca="1">ROUND(IF(ISERROR(OFFSET(Rame!$F$1,MATCH(H405,Rame!$F:$F,0)-1,MATCH(I405,Rame!$F$1:$FF$1,0)-1)=TRUE),0,OFFSET(Rame!$F$1,MATCH(H405,Rame!$F:$F,0)-1,MATCH(I405,Rame!$F$1:$FF$1,0)-1))*IF(E405="Rame",1,0),4)</f>
        <v>0</v>
      </c>
      <c r="S405" s="446">
        <f ca="1">ROUND(IF(ISERROR(OFFSET(Bronzo!$A$1,MATCH(H405,Bronzo!$A:$A,0)-1,MATCH(I405,Bronzo!$A$1:$AA$1,0)-1)=TRUE),0,OFFSET(Bronzo!$A$1,MATCH(H405,Bronzo!$A:$A,0)-1,MATCH(I405,Bronzo!$A$1:$AA$1,0)-1)),4)</f>
        <v>0</v>
      </c>
      <c r="T405" s="446">
        <f t="shared" ca="1" si="175"/>
        <v>0</v>
      </c>
      <c r="U405" s="443"/>
      <c r="V405" s="446">
        <v>0</v>
      </c>
      <c r="W405" s="449">
        <f t="shared" ca="1" si="176"/>
        <v>1.25</v>
      </c>
      <c r="X405" s="452">
        <f t="shared" si="179"/>
        <v>35</v>
      </c>
      <c r="Y405" s="440">
        <v>4.75</v>
      </c>
      <c r="Z405" s="440">
        <f t="shared" ca="1" si="177"/>
        <v>0.48</v>
      </c>
      <c r="AA405" s="241">
        <v>46177</v>
      </c>
      <c r="AH405" s="242"/>
    </row>
    <row r="406" spans="2:34" ht="15.75" x14ac:dyDescent="0.25">
      <c r="B406" s="229" t="s">
        <v>648</v>
      </c>
      <c r="C406" s="235" t="s">
        <v>92</v>
      </c>
      <c r="D406" s="243">
        <v>300</v>
      </c>
      <c r="E406" s="232" t="s">
        <v>4</v>
      </c>
      <c r="F406" s="435">
        <v>3.02</v>
      </c>
      <c r="G406" s="234">
        <v>46147</v>
      </c>
      <c r="H406" s="235" t="s">
        <v>26</v>
      </c>
      <c r="I406" s="235"/>
      <c r="J406" s="440">
        <v>7.0000000000000007E-2</v>
      </c>
      <c r="K406" s="443">
        <f ca="1">ROUND(IF(ISERROR(OFFSET(Tabella!$A$1,MATCH(H406,Tabella!$A:$A,0)-1,MATCH(J406,Tabella!$A$1:$AC$1,0)-1)=TRUE),0,+OFFSET(Tabella!$A$1,MATCH(H406,Tabella!$A:$A,0)-1,MATCH(J406,Tabella!$A$1:$AC$1,0)-1)),4)</f>
        <v>1.25</v>
      </c>
      <c r="L406" s="446">
        <f ca="1">ROUND(IF(ISERROR(OFFSET(Ottone!$A$1,MATCH(H406,Ottone!$A:$A,0)-1,MATCH(J406,Ottone!$A$1:$Z$1,0)-1)=TRUE),0,OFFSET(Ottone!$A$1,MATCH(H406,Ottone!$A:$A,0)-1,MATCH(J406,Ottone!$A$1:$Z$1,0)-1))*IF(E406="Ottone",1,0),4)</f>
        <v>0</v>
      </c>
      <c r="M406" s="446">
        <f ca="1">ROUND(IF(ISERROR(OFFSET(Rame!$A$1,MATCH(H406,Rame!$A:$A,0)-1,MATCH(J406,Rame!$A$1:$AA$1,0)-1)=TRUE),0,OFFSET(Rame!$A$1,MATCH(H406,Rame!$A:$A,0)-1,MATCH(J406,Rame!$A$1:$AA$1,0)-1))*IF(E406="Rame",1,0),4)</f>
        <v>0</v>
      </c>
      <c r="N406" s="446">
        <v>0</v>
      </c>
      <c r="O406" s="446">
        <f t="shared" ca="1" si="178"/>
        <v>1.25</v>
      </c>
      <c r="P406" s="446">
        <f ca="1">ROUND(+IF(ISERROR(OFFSET(Tabella!$G$1,MATCH(H406,Tabella!$G:$G,0)-1,MATCH(I406,Tabella!$G$1:$FG$1,0)-1)=TRUE),0,OFFSET(Tabella!$G$1,MATCH(H406,Tabella!$G:$G,0)-1,MATCH(I406,Tabella!$G$1:$AB$1,0)-1)),4)</f>
        <v>0</v>
      </c>
      <c r="Q406" s="446">
        <f ca="1">ROUND(IF(ISERROR(OFFSET(Ottone!$F$1,MATCH(H406,Ottone!$A:$A,0)-1,MATCH(I406,Ottone!$F$1:$FF$1,0)-1)=TRUE),0,OFFSET(Ottone!$F$1,MATCH(H406,Ottone!$A:$A,0)-1,MATCH(I406,Ottone!$F$1:$FF$1,0)-1))*IF(E406="Ottone",1,0),4)</f>
        <v>0</v>
      </c>
      <c r="R406" s="446">
        <f ca="1">ROUND(IF(ISERROR(OFFSET(Rame!$F$1,MATCH(H406,Rame!$F:$F,0)-1,MATCH(I406,Rame!$F$1:$FF$1,0)-1)=TRUE),0,OFFSET(Rame!$F$1,MATCH(H406,Rame!$F:$F,0)-1,MATCH(I406,Rame!$F$1:$FF$1,0)-1))*IF(E406="Rame",1,0),4)</f>
        <v>0</v>
      </c>
      <c r="S406" s="446">
        <f ca="1">ROUND(IF(ISERROR(OFFSET(Bronzo!$A$1,MATCH(H406,Bronzo!$A:$A,0)-1,MATCH(I406,Bronzo!$A$1:$AA$1,0)-1)=TRUE),0,OFFSET(Bronzo!$A$1,MATCH(H406,Bronzo!$A:$A,0)-1,MATCH(I406,Bronzo!$A$1:$AA$1,0)-1)),4)</f>
        <v>0</v>
      </c>
      <c r="T406" s="446">
        <f t="shared" ca="1" si="175"/>
        <v>0</v>
      </c>
      <c r="U406" s="443"/>
      <c r="V406" s="446">
        <v>0</v>
      </c>
      <c r="W406" s="449">
        <f t="shared" ca="1" si="176"/>
        <v>1.25</v>
      </c>
      <c r="X406" s="452">
        <f t="shared" si="179"/>
        <v>21</v>
      </c>
      <c r="Y406" s="440">
        <v>4.75</v>
      </c>
      <c r="Z406" s="440">
        <f t="shared" ca="1" si="177"/>
        <v>0.48</v>
      </c>
      <c r="AA406" s="241">
        <v>46177</v>
      </c>
      <c r="AH406" s="242"/>
    </row>
    <row r="407" spans="2:34" ht="15.75" x14ac:dyDescent="0.25">
      <c r="B407" s="229" t="s">
        <v>649</v>
      </c>
      <c r="C407" s="235" t="s">
        <v>102</v>
      </c>
      <c r="D407" s="243">
        <v>1300</v>
      </c>
      <c r="E407" s="232" t="s">
        <v>4</v>
      </c>
      <c r="F407" s="435">
        <v>2.65</v>
      </c>
      <c r="G407" s="234">
        <v>46050</v>
      </c>
      <c r="H407" s="235" t="s">
        <v>28</v>
      </c>
      <c r="I407" s="235"/>
      <c r="J407" s="440">
        <v>7.0000000000000007E-2</v>
      </c>
      <c r="K407" s="443">
        <f ca="1">ROUND(IF(ISERROR(OFFSET(Tabella!$A$1,MATCH(H407,Tabella!$A:$A,0)-1,MATCH(J407,Tabella!$A$1:$AC$1,0)-1)=TRUE),0,+OFFSET(Tabella!$A$1,MATCH(H407,Tabella!$A:$A,0)-1,MATCH(J407,Tabella!$A$1:$AC$1,0)-1)),4)</f>
        <v>1.25</v>
      </c>
      <c r="L407" s="446">
        <f ca="1">ROUND(IF(ISERROR(OFFSET(Ottone!$A$1,MATCH(H407,Ottone!$A:$A,0)-1,MATCH(J407,Ottone!$A$1:$Z$1,0)-1)=TRUE),0,OFFSET(Ottone!$A$1,MATCH(H407,Ottone!$A:$A,0)-1,MATCH(J407,Ottone!$A$1:$Z$1,0)-1))*IF(E407="Ottone",1,0),4)</f>
        <v>0</v>
      </c>
      <c r="M407" s="446">
        <f ca="1">ROUND(IF(ISERROR(OFFSET(Rame!$A$1,MATCH(H407,Rame!$A:$A,0)-1,MATCH(J407,Rame!$A$1:$AA$1,0)-1)=TRUE),0,OFFSET(Rame!$A$1,MATCH(H407,Rame!$A:$A,0)-1,MATCH(J407,Rame!$A$1:$AA$1,0)-1))*IF(E407="Rame",1,0),4)</f>
        <v>0</v>
      </c>
      <c r="N407" s="446">
        <v>0</v>
      </c>
      <c r="O407" s="446">
        <f t="shared" ca="1" si="178"/>
        <v>1.25</v>
      </c>
      <c r="P407" s="446">
        <f ca="1">ROUND(+IF(ISERROR(OFFSET(Tabella!$G$1,MATCH(H407,Tabella!$G:$G,0)-1,MATCH(I407,Tabella!$G$1:$FG$1,0)-1)=TRUE),0,OFFSET(Tabella!$G$1,MATCH(H407,Tabella!$G:$G,0)-1,MATCH(I407,Tabella!$G$1:$AB$1,0)-1)),4)</f>
        <v>0</v>
      </c>
      <c r="Q407" s="446">
        <f ca="1">ROUND(IF(ISERROR(OFFSET(Ottone!$F$1,MATCH(H407,Ottone!$A:$A,0)-1,MATCH(I407,Ottone!$F$1:$FF$1,0)-1)=TRUE),0,OFFSET(Ottone!$F$1,MATCH(H407,Ottone!$A:$A,0)-1,MATCH(I407,Ottone!$F$1:$FF$1,0)-1))*IF(E407="Ottone",1,0),4)</f>
        <v>0</v>
      </c>
      <c r="R407" s="446">
        <f ca="1">ROUND(IF(ISERROR(OFFSET(Rame!$F$1,MATCH(H407,Rame!$F:$F,0)-1,MATCH(I407,Rame!$F$1:$FF$1,0)-1)=TRUE),0,OFFSET(Rame!$F$1,MATCH(H407,Rame!$F:$F,0)-1,MATCH(I407,Rame!$F$1:$FF$1,0)-1))*IF(E407="Rame",1,0),4)</f>
        <v>0</v>
      </c>
      <c r="S407" s="446">
        <f ca="1">ROUND(IF(ISERROR(OFFSET(Bronzo!$A$1,MATCH(H407,Bronzo!$A:$A,0)-1,MATCH(I407,Bronzo!$A$1:$AA$1,0)-1)=TRUE),0,OFFSET(Bronzo!$A$1,MATCH(H407,Bronzo!$A:$A,0)-1,MATCH(I407,Bronzo!$A$1:$AA$1,0)-1)),4)</f>
        <v>0</v>
      </c>
      <c r="T407" s="446">
        <f t="shared" ref="T407:T470" ca="1" si="180">ROUND(SUM(P407:S407),4)</f>
        <v>0</v>
      </c>
      <c r="U407" s="443"/>
      <c r="V407" s="446">
        <v>0</v>
      </c>
      <c r="W407" s="449">
        <f t="shared" ref="W407:W470" ca="1" si="181">ROUND(+O407+T407+U407+V407,4)</f>
        <v>1.25</v>
      </c>
      <c r="X407" s="452">
        <f t="shared" si="179"/>
        <v>91</v>
      </c>
      <c r="Y407" s="440">
        <v>4.1500000000000004</v>
      </c>
      <c r="Z407" s="440">
        <f t="shared" ref="Z407:Z470" ca="1" si="182">ROUND(+Y407-W407-F407,4)</f>
        <v>0.25</v>
      </c>
      <c r="AA407" s="241">
        <v>46168</v>
      </c>
      <c r="AH407" s="242"/>
    </row>
    <row r="408" spans="2:34" ht="15.75" x14ac:dyDescent="0.25">
      <c r="B408" s="229" t="s">
        <v>649</v>
      </c>
      <c r="C408" s="235" t="s">
        <v>102</v>
      </c>
      <c r="D408" s="243">
        <v>1000</v>
      </c>
      <c r="E408" s="232" t="s">
        <v>4</v>
      </c>
      <c r="F408" s="435">
        <v>2.65</v>
      </c>
      <c r="G408" s="234">
        <v>46050</v>
      </c>
      <c r="H408" s="235" t="s">
        <v>19</v>
      </c>
      <c r="I408" s="235"/>
      <c r="J408" s="440">
        <v>7.0000000000000007E-2</v>
      </c>
      <c r="K408" s="443">
        <f ca="1">ROUND(IF(ISERROR(OFFSET(Tabella!$A$1,MATCH(H408,Tabella!$A:$A,0)-1,MATCH(J408,Tabella!$A$1:$AC$1,0)-1)=TRUE),0,+OFFSET(Tabella!$A$1,MATCH(H408,Tabella!$A:$A,0)-1,MATCH(J408,Tabella!$A$1:$AC$1,0)-1)),4)</f>
        <v>1.35</v>
      </c>
      <c r="L408" s="446">
        <f ca="1">ROUND(IF(ISERROR(OFFSET(Ottone!$A$1,MATCH(H408,Ottone!$A:$A,0)-1,MATCH(J408,Ottone!$A$1:$Z$1,0)-1)=TRUE),0,OFFSET(Ottone!$A$1,MATCH(H408,Ottone!$A:$A,0)-1,MATCH(J408,Ottone!$A$1:$Z$1,0)-1))*IF(E408="Ottone",1,0),4)</f>
        <v>0</v>
      </c>
      <c r="M408" s="446">
        <f ca="1">ROUND(IF(ISERROR(OFFSET(Rame!$A$1,MATCH(H408,Rame!$A:$A,0)-1,MATCH(J408,Rame!$A$1:$AA$1,0)-1)=TRUE),0,OFFSET(Rame!$A$1,MATCH(H408,Rame!$A:$A,0)-1,MATCH(J408,Rame!$A$1:$AA$1,0)-1))*IF(E408="Rame",1,0),4)</f>
        <v>0</v>
      </c>
      <c r="N408" s="446">
        <v>0</v>
      </c>
      <c r="O408" s="446">
        <f t="shared" ca="1" si="178"/>
        <v>1.35</v>
      </c>
      <c r="P408" s="446">
        <f ca="1">ROUND(+IF(ISERROR(OFFSET(Tabella!$G$1,MATCH(H408,Tabella!$G:$G,0)-1,MATCH(I408,Tabella!$G$1:$FG$1,0)-1)=TRUE),0,OFFSET(Tabella!$G$1,MATCH(H408,Tabella!$G:$G,0)-1,MATCH(I408,Tabella!$G$1:$AB$1,0)-1)),4)</f>
        <v>0</v>
      </c>
      <c r="Q408" s="446">
        <f ca="1">ROUND(IF(ISERROR(OFFSET(Ottone!$F$1,MATCH(H408,Ottone!$A:$A,0)-1,MATCH(I408,Ottone!$F$1:$FF$1,0)-1)=TRUE),0,OFFSET(Ottone!$F$1,MATCH(H408,Ottone!$A:$A,0)-1,MATCH(I408,Ottone!$F$1:$FF$1,0)-1))*IF(E408="Ottone",1,0),4)</f>
        <v>0</v>
      </c>
      <c r="R408" s="446">
        <f ca="1">ROUND(IF(ISERROR(OFFSET(Rame!$F$1,MATCH(H408,Rame!$F:$F,0)-1,MATCH(I408,Rame!$F$1:$FF$1,0)-1)=TRUE),0,OFFSET(Rame!$F$1,MATCH(H408,Rame!$F:$F,0)-1,MATCH(I408,Rame!$F$1:$FF$1,0)-1))*IF(E408="Rame",1,0),4)</f>
        <v>0</v>
      </c>
      <c r="S408" s="446">
        <f ca="1">ROUND(IF(ISERROR(OFFSET(Bronzo!$A$1,MATCH(H408,Bronzo!$A:$A,0)-1,MATCH(I408,Bronzo!$A$1:$AA$1,0)-1)=TRUE),0,OFFSET(Bronzo!$A$1,MATCH(H408,Bronzo!$A:$A,0)-1,MATCH(I408,Bronzo!$A$1:$AA$1,0)-1)),4)</f>
        <v>0</v>
      </c>
      <c r="T408" s="446">
        <f t="shared" ca="1" si="180"/>
        <v>0</v>
      </c>
      <c r="U408" s="443"/>
      <c r="V408" s="446">
        <v>0</v>
      </c>
      <c r="W408" s="449">
        <f t="shared" ca="1" si="181"/>
        <v>1.35</v>
      </c>
      <c r="X408" s="452">
        <f t="shared" si="179"/>
        <v>70</v>
      </c>
      <c r="Y408" s="440">
        <v>4.2</v>
      </c>
      <c r="Z408" s="440">
        <f t="shared" ca="1" si="182"/>
        <v>0.2</v>
      </c>
      <c r="AA408" s="241">
        <v>46178</v>
      </c>
      <c r="AH408" s="242"/>
    </row>
    <row r="409" spans="2:34" ht="15.75" x14ac:dyDescent="0.25">
      <c r="B409" s="229" t="s">
        <v>649</v>
      </c>
      <c r="C409" s="235" t="s">
        <v>102</v>
      </c>
      <c r="D409" s="243">
        <v>1200</v>
      </c>
      <c r="E409" s="232" t="s">
        <v>4</v>
      </c>
      <c r="F409" s="435">
        <v>2.65</v>
      </c>
      <c r="G409" s="234">
        <v>46050</v>
      </c>
      <c r="H409" s="235" t="s">
        <v>22</v>
      </c>
      <c r="I409" s="235"/>
      <c r="J409" s="440">
        <v>7.0000000000000007E-2</v>
      </c>
      <c r="K409" s="443">
        <f ca="1">ROUND(IF(ISERROR(OFFSET(Tabella!$A$1,MATCH(H409,Tabella!$A:$A,0)-1,MATCH(J409,Tabella!$A$1:$AC$1,0)-1)=TRUE),0,+OFFSET(Tabella!$A$1,MATCH(H409,Tabella!$A:$A,0)-1,MATCH(J409,Tabella!$A$1:$AC$1,0)-1)),4)</f>
        <v>1.25</v>
      </c>
      <c r="L409" s="446">
        <f ca="1">ROUND(IF(ISERROR(OFFSET(Ottone!$A$1,MATCH(H409,Ottone!$A:$A,0)-1,MATCH(J409,Ottone!$A$1:$Z$1,0)-1)=TRUE),0,OFFSET(Ottone!$A$1,MATCH(H409,Ottone!$A:$A,0)-1,MATCH(J409,Ottone!$A$1:$Z$1,0)-1))*IF(E409="Ottone",1,0),4)</f>
        <v>0</v>
      </c>
      <c r="M409" s="446">
        <f ca="1">ROUND(IF(ISERROR(OFFSET(Rame!$A$1,MATCH(H409,Rame!$A:$A,0)-1,MATCH(J409,Rame!$A$1:$AA$1,0)-1)=TRUE),0,OFFSET(Rame!$A$1,MATCH(H409,Rame!$A:$A,0)-1,MATCH(J409,Rame!$A$1:$AA$1,0)-1))*IF(E409="Rame",1,0),4)</f>
        <v>0</v>
      </c>
      <c r="N409" s="446">
        <v>0</v>
      </c>
      <c r="O409" s="446">
        <f t="shared" ca="1" si="178"/>
        <v>1.25</v>
      </c>
      <c r="P409" s="446">
        <f ca="1">ROUND(+IF(ISERROR(OFFSET(Tabella!$G$1,MATCH(H409,Tabella!$G:$G,0)-1,MATCH(I409,Tabella!$G$1:$FG$1,0)-1)=TRUE),0,OFFSET(Tabella!$G$1,MATCH(H409,Tabella!$G:$G,0)-1,MATCH(I409,Tabella!$G$1:$AB$1,0)-1)),4)</f>
        <v>0</v>
      </c>
      <c r="Q409" s="446">
        <f ca="1">ROUND(IF(ISERROR(OFFSET(Ottone!$F$1,MATCH(H409,Ottone!$A:$A,0)-1,MATCH(I409,Ottone!$F$1:$FF$1,0)-1)=TRUE),0,OFFSET(Ottone!$F$1,MATCH(H409,Ottone!$A:$A,0)-1,MATCH(I409,Ottone!$F$1:$FF$1,0)-1))*IF(E409="Ottone",1,0),4)</f>
        <v>0</v>
      </c>
      <c r="R409" s="446">
        <f ca="1">ROUND(IF(ISERROR(OFFSET(Rame!$F$1,MATCH(H409,Rame!$F:$F,0)-1,MATCH(I409,Rame!$F$1:$FF$1,0)-1)=TRUE),0,OFFSET(Rame!$F$1,MATCH(H409,Rame!$F:$F,0)-1,MATCH(I409,Rame!$F$1:$FF$1,0)-1))*IF(E409="Rame",1,0),4)</f>
        <v>0</v>
      </c>
      <c r="S409" s="446">
        <f ca="1">ROUND(IF(ISERROR(OFFSET(Bronzo!$A$1,MATCH(H409,Bronzo!$A:$A,0)-1,MATCH(I409,Bronzo!$A$1:$AA$1,0)-1)=TRUE),0,OFFSET(Bronzo!$A$1,MATCH(H409,Bronzo!$A:$A,0)-1,MATCH(I409,Bronzo!$A$1:$AA$1,0)-1)),4)</f>
        <v>0</v>
      </c>
      <c r="T409" s="446">
        <f t="shared" ca="1" si="180"/>
        <v>0</v>
      </c>
      <c r="U409" s="443"/>
      <c r="V409" s="446">
        <v>0</v>
      </c>
      <c r="W409" s="449">
        <f t="shared" ca="1" si="181"/>
        <v>1.25</v>
      </c>
      <c r="X409" s="452">
        <f t="shared" si="179"/>
        <v>84</v>
      </c>
      <c r="Y409" s="440">
        <v>4.1500000000000004</v>
      </c>
      <c r="Z409" s="440">
        <f t="shared" ca="1" si="182"/>
        <v>0.25</v>
      </c>
      <c r="AA409" s="241">
        <v>46178</v>
      </c>
      <c r="AH409" s="242"/>
    </row>
    <row r="410" spans="2:34" ht="15.75" x14ac:dyDescent="0.25">
      <c r="B410" s="229" t="s">
        <v>649</v>
      </c>
      <c r="C410" s="235" t="s">
        <v>102</v>
      </c>
      <c r="D410" s="243">
        <v>1000</v>
      </c>
      <c r="E410" s="232" t="s">
        <v>4</v>
      </c>
      <c r="F410" s="435">
        <v>2.65</v>
      </c>
      <c r="G410" s="234">
        <v>46050</v>
      </c>
      <c r="H410" s="235" t="s">
        <v>9</v>
      </c>
      <c r="I410" s="235"/>
      <c r="J410" s="440">
        <v>7.0000000000000007E-2</v>
      </c>
      <c r="K410" s="443">
        <f ca="1">ROUND(IF(ISERROR(OFFSET(Tabella!$A$1,MATCH(H410,Tabella!$A:$A,0)-1,MATCH(J410,Tabella!$A$1:$AC$1,0)-1)=TRUE),0,+OFFSET(Tabella!$A$1,MATCH(H410,Tabella!$A:$A,0)-1,MATCH(J410,Tabella!$A$1:$AC$1,0)-1)),4)</f>
        <v>1.6</v>
      </c>
      <c r="L410" s="446">
        <f ca="1">ROUND(IF(ISERROR(OFFSET(Ottone!$A$1,MATCH(H410,Ottone!$A:$A,0)-1,MATCH(J410,Ottone!$A$1:$Z$1,0)-1)=TRUE),0,OFFSET(Ottone!$A$1,MATCH(H410,Ottone!$A:$A,0)-1,MATCH(J410,Ottone!$A$1:$Z$1,0)-1))*IF(E410="Ottone",1,0),4)</f>
        <v>0</v>
      </c>
      <c r="M410" s="446">
        <f ca="1">ROUND(IF(ISERROR(OFFSET(Rame!$A$1,MATCH(H410,Rame!$A:$A,0)-1,MATCH(J410,Rame!$A$1:$AA$1,0)-1)=TRUE),0,OFFSET(Rame!$A$1,MATCH(H410,Rame!$A:$A,0)-1,MATCH(J410,Rame!$A$1:$AA$1,0)-1))*IF(E410="Rame",1,0),4)</f>
        <v>0</v>
      </c>
      <c r="N410" s="446">
        <v>0</v>
      </c>
      <c r="O410" s="446">
        <f t="shared" ca="1" si="178"/>
        <v>1.6</v>
      </c>
      <c r="P410" s="446">
        <f ca="1">ROUND(+IF(ISERROR(OFFSET(Tabella!$G$1,MATCH(H410,Tabella!$G:$G,0)-1,MATCH(I410,Tabella!$G$1:$FG$1,0)-1)=TRUE),0,OFFSET(Tabella!$G$1,MATCH(H410,Tabella!$G:$G,0)-1,MATCH(I410,Tabella!$G$1:$AB$1,0)-1)),4)</f>
        <v>0</v>
      </c>
      <c r="Q410" s="446">
        <f ca="1">ROUND(IF(ISERROR(OFFSET(Ottone!$F$1,MATCH(H410,Ottone!$A:$A,0)-1,MATCH(I410,Ottone!$F$1:$FF$1,0)-1)=TRUE),0,OFFSET(Ottone!$F$1,MATCH(H410,Ottone!$A:$A,0)-1,MATCH(I410,Ottone!$F$1:$FF$1,0)-1))*IF(E410="Ottone",1,0),4)</f>
        <v>0</v>
      </c>
      <c r="R410" s="446">
        <f ca="1">ROUND(IF(ISERROR(OFFSET(Rame!$F$1,MATCH(H410,Rame!$F:$F,0)-1,MATCH(I410,Rame!$F$1:$FF$1,0)-1)=TRUE),0,OFFSET(Rame!$F$1,MATCH(H410,Rame!$F:$F,0)-1,MATCH(I410,Rame!$F$1:$FF$1,0)-1))*IF(E410="Rame",1,0),4)</f>
        <v>0</v>
      </c>
      <c r="S410" s="446">
        <f ca="1">ROUND(IF(ISERROR(OFFSET(Bronzo!$A$1,MATCH(H410,Bronzo!$A:$A,0)-1,MATCH(I410,Bronzo!$A$1:$AA$1,0)-1)=TRUE),0,OFFSET(Bronzo!$A$1,MATCH(H410,Bronzo!$A:$A,0)-1,MATCH(I410,Bronzo!$A$1:$AA$1,0)-1)),4)</f>
        <v>0</v>
      </c>
      <c r="T410" s="446">
        <f t="shared" ca="1" si="180"/>
        <v>0</v>
      </c>
      <c r="U410" s="443"/>
      <c r="V410" s="446">
        <v>0</v>
      </c>
      <c r="W410" s="449">
        <f t="shared" ca="1" si="181"/>
        <v>1.6</v>
      </c>
      <c r="X410" s="452">
        <f t="shared" si="179"/>
        <v>70</v>
      </c>
      <c r="Y410" s="440">
        <v>4.4000000000000004</v>
      </c>
      <c r="Z410" s="440">
        <f t="shared" ca="1" si="182"/>
        <v>0.15</v>
      </c>
      <c r="AA410" s="241">
        <v>46178</v>
      </c>
      <c r="AH410" s="242"/>
    </row>
    <row r="411" spans="2:34" ht="15.75" x14ac:dyDescent="0.25">
      <c r="B411" s="229" t="s">
        <v>650</v>
      </c>
      <c r="C411" s="235" t="s">
        <v>418</v>
      </c>
      <c r="D411" s="243">
        <v>1000</v>
      </c>
      <c r="E411" s="232" t="s">
        <v>4</v>
      </c>
      <c r="F411" s="435">
        <v>2.97</v>
      </c>
      <c r="G411" s="234">
        <v>46115</v>
      </c>
      <c r="H411" s="235" t="s">
        <v>21</v>
      </c>
      <c r="I411" s="235"/>
      <c r="J411" s="440">
        <v>7.0000000000000007E-2</v>
      </c>
      <c r="K411" s="443">
        <f ca="1">ROUND(IF(ISERROR(OFFSET(Tabella!$A$1,MATCH(H411,Tabella!$A:$A,0)-1,MATCH(J411,Tabella!$A$1:$AC$1,0)-1)=TRUE),0,+OFFSET(Tabella!$A$1,MATCH(H411,Tabella!$A:$A,0)-1,MATCH(J411,Tabella!$A$1:$AC$1,0)-1)),4)</f>
        <v>1.25</v>
      </c>
      <c r="L411" s="446">
        <f ca="1">ROUND(IF(ISERROR(OFFSET(Ottone!$A$1,MATCH(H411,Ottone!$A:$A,0)-1,MATCH(J411,Ottone!$A$1:$Z$1,0)-1)=TRUE),0,OFFSET(Ottone!$A$1,MATCH(H411,Ottone!$A:$A,0)-1,MATCH(J411,Ottone!$A$1:$Z$1,0)-1))*IF(E411="Ottone",1,0),4)</f>
        <v>0</v>
      </c>
      <c r="M411" s="446">
        <f ca="1">ROUND(IF(ISERROR(OFFSET(Rame!$A$1,MATCH(H411,Rame!$A:$A,0)-1,MATCH(J411,Rame!$A$1:$AA$1,0)-1)=TRUE),0,OFFSET(Rame!$A$1,MATCH(H411,Rame!$A:$A,0)-1,MATCH(J411,Rame!$A$1:$AA$1,0)-1))*IF(E411="Rame",1,0),4)</f>
        <v>0</v>
      </c>
      <c r="N411" s="446">
        <v>0</v>
      </c>
      <c r="O411" s="446">
        <f t="shared" ca="1" si="178"/>
        <v>1.25</v>
      </c>
      <c r="P411" s="446">
        <f ca="1">ROUND(+IF(ISERROR(OFFSET(Tabella!$G$1,MATCH(H411,Tabella!$G:$G,0)-1,MATCH(I411,Tabella!$G$1:$FG$1,0)-1)=TRUE),0,OFFSET(Tabella!$G$1,MATCH(H411,Tabella!$G:$G,0)-1,MATCH(I411,Tabella!$G$1:$AB$1,0)-1)),4)</f>
        <v>0</v>
      </c>
      <c r="Q411" s="446">
        <f ca="1">ROUND(IF(ISERROR(OFFSET(Ottone!$F$1,MATCH(H411,Ottone!$A:$A,0)-1,MATCH(I411,Ottone!$F$1:$FF$1,0)-1)=TRUE),0,OFFSET(Ottone!$F$1,MATCH(H411,Ottone!$A:$A,0)-1,MATCH(I411,Ottone!$F$1:$FF$1,0)-1))*IF(E411="Ottone",1,0),4)</f>
        <v>0</v>
      </c>
      <c r="R411" s="446">
        <f ca="1">ROUND(IF(ISERROR(OFFSET(Rame!$F$1,MATCH(H411,Rame!$F:$F,0)-1,MATCH(I411,Rame!$F$1:$FF$1,0)-1)=TRUE),0,OFFSET(Rame!$F$1,MATCH(H411,Rame!$F:$F,0)-1,MATCH(I411,Rame!$F$1:$FF$1,0)-1))*IF(E411="Rame",1,0),4)</f>
        <v>0</v>
      </c>
      <c r="S411" s="446">
        <f ca="1">ROUND(IF(ISERROR(OFFSET(Bronzo!$A$1,MATCH(H411,Bronzo!$A:$A,0)-1,MATCH(I411,Bronzo!$A$1:$AA$1,0)-1)=TRUE),0,OFFSET(Bronzo!$A$1,MATCH(H411,Bronzo!$A:$A,0)-1,MATCH(I411,Bronzo!$A$1:$AA$1,0)-1)),4)</f>
        <v>0</v>
      </c>
      <c r="T411" s="446">
        <f t="shared" ca="1" si="180"/>
        <v>0</v>
      </c>
      <c r="U411" s="443"/>
      <c r="V411" s="446">
        <v>0</v>
      </c>
      <c r="W411" s="449">
        <f t="shared" ca="1" si="181"/>
        <v>1.25</v>
      </c>
      <c r="X411" s="452">
        <f t="shared" si="179"/>
        <v>70</v>
      </c>
      <c r="Y411" s="440">
        <v>4.57</v>
      </c>
      <c r="Z411" s="440">
        <f t="shared" ca="1" si="182"/>
        <v>0.35</v>
      </c>
      <c r="AA411" s="241">
        <v>46168</v>
      </c>
      <c r="AH411" s="242"/>
    </row>
    <row r="412" spans="2:34" ht="15.75" x14ac:dyDescent="0.25">
      <c r="B412" s="229"/>
      <c r="C412" s="235" t="s">
        <v>396</v>
      </c>
      <c r="D412" s="243">
        <v>300</v>
      </c>
      <c r="E412" s="232" t="s">
        <v>4</v>
      </c>
      <c r="F412" s="435">
        <v>2.96</v>
      </c>
      <c r="G412" s="234">
        <v>46148</v>
      </c>
      <c r="H412" s="235" t="s">
        <v>11</v>
      </c>
      <c r="I412" s="235"/>
      <c r="J412" s="440">
        <v>7.0000000000000007E-2</v>
      </c>
      <c r="K412" s="443">
        <f ca="1">ROUND(IF(ISERROR(OFFSET(Tabella!$A$1,MATCH(H412,Tabella!$A:$A,0)-1,MATCH(J412,Tabella!$A$1:$AC$1,0)-1)=TRUE),0,+OFFSET(Tabella!$A$1,MATCH(H412,Tabella!$A:$A,0)-1,MATCH(J412,Tabella!$A$1:$AC$1,0)-1)),4)</f>
        <v>1.5</v>
      </c>
      <c r="L412" s="446">
        <f ca="1">ROUND(IF(ISERROR(OFFSET(Ottone!$A$1,MATCH(H412,Ottone!$A:$A,0)-1,MATCH(J412,Ottone!$A$1:$Z$1,0)-1)=TRUE),0,OFFSET(Ottone!$A$1,MATCH(H412,Ottone!$A:$A,0)-1,MATCH(J412,Ottone!$A$1:$Z$1,0)-1))*IF(E412="Ottone",1,0),4)</f>
        <v>0</v>
      </c>
      <c r="M412" s="446">
        <f ca="1">ROUND(IF(ISERROR(OFFSET(Rame!$A$1,MATCH(H412,Rame!$A:$A,0)-1,MATCH(J412,Rame!$A$1:$AA$1,0)-1)=TRUE),0,OFFSET(Rame!$A$1,MATCH(H412,Rame!$A:$A,0)-1,MATCH(J412,Rame!$A$1:$AA$1,0)-1))*IF(E412="Rame",1,0),4)</f>
        <v>0</v>
      </c>
      <c r="N412" s="446">
        <v>0</v>
      </c>
      <c r="O412" s="446">
        <f t="shared" ca="1" si="178"/>
        <v>1.5</v>
      </c>
      <c r="P412" s="446">
        <f ca="1">ROUND(+IF(ISERROR(OFFSET(Tabella!$G$1,MATCH(H412,Tabella!$G:$G,0)-1,MATCH(I412,Tabella!$G$1:$FG$1,0)-1)=TRUE),0,OFFSET(Tabella!$G$1,MATCH(H412,Tabella!$G:$G,0)-1,MATCH(I412,Tabella!$G$1:$AB$1,0)-1)),4)</f>
        <v>0</v>
      </c>
      <c r="Q412" s="446">
        <f ca="1">ROUND(IF(ISERROR(OFFSET(Ottone!$F$1,MATCH(H412,Ottone!$A:$A,0)-1,MATCH(I412,Ottone!$F$1:$FF$1,0)-1)=TRUE),0,OFFSET(Ottone!$F$1,MATCH(H412,Ottone!$A:$A,0)-1,MATCH(I412,Ottone!$F$1:$FF$1,0)-1))*IF(E412="Ottone",1,0),4)</f>
        <v>0</v>
      </c>
      <c r="R412" s="446">
        <f ca="1">ROUND(IF(ISERROR(OFFSET(Rame!$F$1,MATCH(H412,Rame!$F:$F,0)-1,MATCH(I412,Rame!$F$1:$FF$1,0)-1)=TRUE),0,OFFSET(Rame!$F$1,MATCH(H412,Rame!$F:$F,0)-1,MATCH(I412,Rame!$F$1:$FF$1,0)-1))*IF(E412="Rame",1,0),4)</f>
        <v>0</v>
      </c>
      <c r="S412" s="446">
        <f ca="1">ROUND(IF(ISERROR(OFFSET(Bronzo!$A$1,MATCH(H412,Bronzo!$A:$A,0)-1,MATCH(I412,Bronzo!$A$1:$AA$1,0)-1)=TRUE),0,OFFSET(Bronzo!$A$1,MATCH(H412,Bronzo!$A:$A,0)-1,MATCH(I412,Bronzo!$A$1:$AA$1,0)-1)),4)</f>
        <v>0</v>
      </c>
      <c r="T412" s="446">
        <f t="shared" ca="1" si="180"/>
        <v>0</v>
      </c>
      <c r="U412" s="443"/>
      <c r="V412" s="446">
        <v>0</v>
      </c>
      <c r="W412" s="449">
        <f t="shared" ca="1" si="181"/>
        <v>1.5</v>
      </c>
      <c r="X412" s="452">
        <f t="shared" si="179"/>
        <v>21</v>
      </c>
      <c r="Y412" s="440">
        <v>5.21</v>
      </c>
      <c r="Z412" s="440">
        <f t="shared" ca="1" si="182"/>
        <v>0.75</v>
      </c>
      <c r="AA412" s="241"/>
      <c r="AH412" s="242"/>
    </row>
    <row r="413" spans="2:34" ht="15.75" x14ac:dyDescent="0.25">
      <c r="B413" s="229"/>
      <c r="C413" s="235" t="s">
        <v>396</v>
      </c>
      <c r="D413" s="243">
        <v>500</v>
      </c>
      <c r="E413" s="232" t="s">
        <v>4</v>
      </c>
      <c r="F413" s="435">
        <v>2.96</v>
      </c>
      <c r="G413" s="234">
        <v>46148</v>
      </c>
      <c r="H413" s="235" t="s">
        <v>11</v>
      </c>
      <c r="I413" s="235"/>
      <c r="J413" s="440">
        <v>7.0000000000000007E-2</v>
      </c>
      <c r="K413" s="443">
        <f ca="1">ROUND(IF(ISERROR(OFFSET(Tabella!$A$1,MATCH(H413,Tabella!$A:$A,0)-1,MATCH(J413,Tabella!$A$1:$AC$1,0)-1)=TRUE),0,+OFFSET(Tabella!$A$1,MATCH(H413,Tabella!$A:$A,0)-1,MATCH(J413,Tabella!$A$1:$AC$1,0)-1)),4)</f>
        <v>1.5</v>
      </c>
      <c r="L413" s="446">
        <f ca="1">ROUND(IF(ISERROR(OFFSET(Ottone!$A$1,MATCH(H413,Ottone!$A:$A,0)-1,MATCH(J413,Ottone!$A$1:$Z$1,0)-1)=TRUE),0,OFFSET(Ottone!$A$1,MATCH(H413,Ottone!$A:$A,0)-1,MATCH(J413,Ottone!$A$1:$Z$1,0)-1))*IF(E413="Ottone",1,0),4)</f>
        <v>0</v>
      </c>
      <c r="M413" s="446">
        <f ca="1">ROUND(IF(ISERROR(OFFSET(Rame!$A$1,MATCH(H413,Rame!$A:$A,0)-1,MATCH(J413,Rame!$A$1:$AA$1,0)-1)=TRUE),0,OFFSET(Rame!$A$1,MATCH(H413,Rame!$A:$A,0)-1,MATCH(J413,Rame!$A$1:$AA$1,0)-1))*IF(E413="Rame",1,0),4)</f>
        <v>0</v>
      </c>
      <c r="N413" s="446">
        <v>0</v>
      </c>
      <c r="O413" s="446">
        <f t="shared" ca="1" si="178"/>
        <v>1.5</v>
      </c>
      <c r="P413" s="446">
        <f ca="1">ROUND(+IF(ISERROR(OFFSET(Tabella!$G$1,MATCH(H413,Tabella!$G:$G,0)-1,MATCH(I413,Tabella!$G$1:$FG$1,0)-1)=TRUE),0,OFFSET(Tabella!$G$1,MATCH(H413,Tabella!$G:$G,0)-1,MATCH(I413,Tabella!$G$1:$AB$1,0)-1)),4)</f>
        <v>0</v>
      </c>
      <c r="Q413" s="446">
        <f ca="1">ROUND(IF(ISERROR(OFFSET(Ottone!$F$1,MATCH(H413,Ottone!$A:$A,0)-1,MATCH(I413,Ottone!$F$1:$FF$1,0)-1)=TRUE),0,OFFSET(Ottone!$F$1,MATCH(H413,Ottone!$A:$A,0)-1,MATCH(I413,Ottone!$F$1:$FF$1,0)-1))*IF(E413="Ottone",1,0),4)</f>
        <v>0</v>
      </c>
      <c r="R413" s="446">
        <f ca="1">ROUND(IF(ISERROR(OFFSET(Rame!$F$1,MATCH(H413,Rame!$F:$F,0)-1,MATCH(I413,Rame!$F$1:$FF$1,0)-1)=TRUE),0,OFFSET(Rame!$F$1,MATCH(H413,Rame!$F:$F,0)-1,MATCH(I413,Rame!$F$1:$FF$1,0)-1))*IF(E413="Rame",1,0),4)</f>
        <v>0</v>
      </c>
      <c r="S413" s="446">
        <f ca="1">ROUND(IF(ISERROR(OFFSET(Bronzo!$A$1,MATCH(H413,Bronzo!$A:$A,0)-1,MATCH(I413,Bronzo!$A$1:$AA$1,0)-1)=TRUE),0,OFFSET(Bronzo!$A$1,MATCH(H413,Bronzo!$A:$A,0)-1,MATCH(I413,Bronzo!$A$1:$AA$1,0)-1)),4)</f>
        <v>0</v>
      </c>
      <c r="T413" s="446">
        <f t="shared" ca="1" si="180"/>
        <v>0</v>
      </c>
      <c r="U413" s="443"/>
      <c r="V413" s="446">
        <v>0</v>
      </c>
      <c r="W413" s="449">
        <f t="shared" ca="1" si="181"/>
        <v>1.5</v>
      </c>
      <c r="X413" s="452">
        <f t="shared" si="179"/>
        <v>35</v>
      </c>
      <c r="Y413" s="440">
        <v>5.21</v>
      </c>
      <c r="Z413" s="440">
        <f t="shared" ca="1" si="182"/>
        <v>0.75</v>
      </c>
      <c r="AA413" s="241"/>
      <c r="AH413" s="242"/>
    </row>
    <row r="414" spans="2:34" ht="15.75" x14ac:dyDescent="0.25">
      <c r="B414" s="229"/>
      <c r="C414" s="235" t="s">
        <v>108</v>
      </c>
      <c r="D414" s="243">
        <v>500</v>
      </c>
      <c r="E414" s="232" t="s">
        <v>4</v>
      </c>
      <c r="F414" s="435">
        <v>2.98</v>
      </c>
      <c r="G414" s="234">
        <v>46097</v>
      </c>
      <c r="H414" s="235" t="s">
        <v>9</v>
      </c>
      <c r="I414" s="235"/>
      <c r="J414" s="440">
        <v>7.0000000000000007E-2</v>
      </c>
      <c r="K414" s="443">
        <f ca="1">ROUND(IF(ISERROR(OFFSET(Tabella!$A$1,MATCH(H414,Tabella!$A:$A,0)-1,MATCH(J414,Tabella!$A$1:$AC$1,0)-1)=TRUE),0,+OFFSET(Tabella!$A$1,MATCH(H414,Tabella!$A:$A,0)-1,MATCH(J414,Tabella!$A$1:$AC$1,0)-1)),4)</f>
        <v>1.6</v>
      </c>
      <c r="L414" s="446">
        <f ca="1">ROUND(IF(ISERROR(OFFSET(Ottone!$A$1,MATCH(H414,Ottone!$A:$A,0)-1,MATCH(J414,Ottone!$A$1:$Z$1,0)-1)=TRUE),0,OFFSET(Ottone!$A$1,MATCH(H414,Ottone!$A:$A,0)-1,MATCH(J414,Ottone!$A$1:$Z$1,0)-1))*IF(E414="Ottone",1,0),4)</f>
        <v>0</v>
      </c>
      <c r="M414" s="446">
        <f ca="1">ROUND(IF(ISERROR(OFFSET(Rame!$A$1,MATCH(H414,Rame!$A:$A,0)-1,MATCH(J414,Rame!$A$1:$AA$1,0)-1)=TRUE),0,OFFSET(Rame!$A$1,MATCH(H414,Rame!$A:$A,0)-1,MATCH(J414,Rame!$A$1:$AA$1,0)-1))*IF(E414="Rame",1,0),4)</f>
        <v>0</v>
      </c>
      <c r="N414" s="446">
        <v>0</v>
      </c>
      <c r="O414" s="446">
        <f t="shared" ca="1" si="178"/>
        <v>1.6</v>
      </c>
      <c r="P414" s="446">
        <f ca="1">ROUND(+IF(ISERROR(OFFSET(Tabella!$G$1,MATCH(H414,Tabella!$G:$G,0)-1,MATCH(I414,Tabella!$G$1:$FG$1,0)-1)=TRUE),0,OFFSET(Tabella!$G$1,MATCH(H414,Tabella!$G:$G,0)-1,MATCH(I414,Tabella!$G$1:$AB$1,0)-1)),4)</f>
        <v>0</v>
      </c>
      <c r="Q414" s="446">
        <f ca="1">ROUND(IF(ISERROR(OFFSET(Ottone!$F$1,MATCH(H414,Ottone!$A:$A,0)-1,MATCH(I414,Ottone!$F$1:$FF$1,0)-1)=TRUE),0,OFFSET(Ottone!$F$1,MATCH(H414,Ottone!$A:$A,0)-1,MATCH(I414,Ottone!$F$1:$FF$1,0)-1))*IF(E414="Ottone",1,0),4)</f>
        <v>0</v>
      </c>
      <c r="R414" s="446">
        <f ca="1">ROUND(IF(ISERROR(OFFSET(Rame!$F$1,MATCH(H414,Rame!$F:$F,0)-1,MATCH(I414,Rame!$F$1:$FF$1,0)-1)=TRUE),0,OFFSET(Rame!$F$1,MATCH(H414,Rame!$F:$F,0)-1,MATCH(I414,Rame!$F$1:$FF$1,0)-1))*IF(E414="Rame",1,0),4)</f>
        <v>0</v>
      </c>
      <c r="S414" s="446">
        <f ca="1">ROUND(IF(ISERROR(OFFSET(Bronzo!$A$1,MATCH(H414,Bronzo!$A:$A,0)-1,MATCH(I414,Bronzo!$A$1:$AA$1,0)-1)=TRUE),0,OFFSET(Bronzo!$A$1,MATCH(H414,Bronzo!$A:$A,0)-1,MATCH(I414,Bronzo!$A$1:$AA$1,0)-1)),4)</f>
        <v>0</v>
      </c>
      <c r="T414" s="446">
        <f t="shared" ca="1" si="180"/>
        <v>0</v>
      </c>
      <c r="U414" s="443"/>
      <c r="V414" s="446">
        <v>0</v>
      </c>
      <c r="W414" s="449">
        <f t="shared" ca="1" si="181"/>
        <v>1.6</v>
      </c>
      <c r="X414" s="452">
        <f t="shared" si="179"/>
        <v>35</v>
      </c>
      <c r="Y414" s="440">
        <v>4.88</v>
      </c>
      <c r="Z414" s="440">
        <f t="shared" ca="1" si="182"/>
        <v>0.3</v>
      </c>
      <c r="AA414" s="241"/>
      <c r="AH414" s="242"/>
    </row>
    <row r="415" spans="2:34" ht="15.75" x14ac:dyDescent="0.25">
      <c r="B415" s="229"/>
      <c r="C415" s="235" t="s">
        <v>208</v>
      </c>
      <c r="D415" s="243">
        <v>3500</v>
      </c>
      <c r="E415" s="232" t="s">
        <v>4</v>
      </c>
      <c r="F415" s="435">
        <v>2.98</v>
      </c>
      <c r="G415" s="234">
        <v>46150</v>
      </c>
      <c r="H415" s="235" t="s">
        <v>24</v>
      </c>
      <c r="I415" s="235"/>
      <c r="J415" s="440">
        <v>0.05</v>
      </c>
      <c r="K415" s="443">
        <f ca="1">ROUND(IF(ISERROR(OFFSET(Tabella!$A$1,MATCH(H415,Tabella!$A:$A,0)-1,MATCH(J415,Tabella!$A$1:$AC$1,0)-1)=TRUE),0,+OFFSET(Tabella!$A$1,MATCH(H415,Tabella!$A:$A,0)-1,MATCH(J415,Tabella!$A$1:$AC$1,0)-1)),4)</f>
        <v>0</v>
      </c>
      <c r="L415" s="446">
        <f ca="1">ROUND(IF(ISERROR(OFFSET(Ottone!$A$1,MATCH(H415,Ottone!$A:$A,0)-1,MATCH(J415,Ottone!$A$1:$Z$1,0)-1)=TRUE),0,OFFSET(Ottone!$A$1,MATCH(H415,Ottone!$A:$A,0)-1,MATCH(J415,Ottone!$A$1:$Z$1,0)-1))*IF(E415="Ottone",1,0),4)</f>
        <v>0</v>
      </c>
      <c r="M415" s="446">
        <f ca="1">ROUND(IF(ISERROR(OFFSET(Rame!$A$1,MATCH(H415,Rame!$A:$A,0)-1,MATCH(J415,Rame!$A$1:$AA$1,0)-1)=TRUE),0,OFFSET(Rame!$A$1,MATCH(H415,Rame!$A:$A,0)-1,MATCH(J415,Rame!$A$1:$AA$1,0)-1))*IF(E415="Rame",1,0),4)</f>
        <v>0</v>
      </c>
      <c r="N415" s="446">
        <v>0</v>
      </c>
      <c r="O415" s="446">
        <v>1.73</v>
      </c>
      <c r="P415" s="446">
        <f ca="1">ROUND(+IF(ISERROR(OFFSET(Tabella!$G$1,MATCH(H415,Tabella!$G:$G,0)-1,MATCH(I415,Tabella!$G$1:$FG$1,0)-1)=TRUE),0,OFFSET(Tabella!$G$1,MATCH(H415,Tabella!$G:$G,0)-1,MATCH(I415,Tabella!$G$1:$AB$1,0)-1)),4)</f>
        <v>0</v>
      </c>
      <c r="Q415" s="446">
        <f ca="1">ROUND(IF(ISERROR(OFFSET(Ottone!$F$1,MATCH(H415,Ottone!$A:$A,0)-1,MATCH(I415,Ottone!$F$1:$FF$1,0)-1)=TRUE),0,OFFSET(Ottone!$F$1,MATCH(H415,Ottone!$A:$A,0)-1,MATCH(I415,Ottone!$F$1:$FF$1,0)-1))*IF(E415="Ottone",1,0),4)</f>
        <v>0</v>
      </c>
      <c r="R415" s="446">
        <f ca="1">ROUND(IF(ISERROR(OFFSET(Rame!$F$1,MATCH(H415,Rame!$F:$F,0)-1,MATCH(I415,Rame!$F$1:$FF$1,0)-1)=TRUE),0,OFFSET(Rame!$F$1,MATCH(H415,Rame!$F:$F,0)-1,MATCH(I415,Rame!$F$1:$FF$1,0)-1))*IF(E415="Rame",1,0),4)</f>
        <v>0</v>
      </c>
      <c r="S415" s="446">
        <f ca="1">ROUND(IF(ISERROR(OFFSET(Bronzo!$A$1,MATCH(H415,Bronzo!$A:$A,0)-1,MATCH(I415,Bronzo!$A$1:$AA$1,0)-1)=TRUE),0,OFFSET(Bronzo!$A$1,MATCH(H415,Bronzo!$A:$A,0)-1,MATCH(I415,Bronzo!$A$1:$AA$1,0)-1)),4)</f>
        <v>0</v>
      </c>
      <c r="T415" s="446">
        <f t="shared" ca="1" si="180"/>
        <v>0</v>
      </c>
      <c r="U415" s="443"/>
      <c r="V415" s="446">
        <v>0</v>
      </c>
      <c r="W415" s="449">
        <f t="shared" ca="1" si="181"/>
        <v>1.73</v>
      </c>
      <c r="X415" s="452">
        <f t="shared" si="179"/>
        <v>175</v>
      </c>
      <c r="Y415" s="440">
        <v>4.68</v>
      </c>
      <c r="Z415" s="440">
        <f t="shared" ca="1" si="182"/>
        <v>-0.03</v>
      </c>
      <c r="AA415" s="241"/>
      <c r="AH415" s="242"/>
    </row>
    <row r="416" spans="2:34" ht="15.75" x14ac:dyDescent="0.25">
      <c r="B416" s="229"/>
      <c r="C416" s="235" t="s">
        <v>208</v>
      </c>
      <c r="D416" s="243">
        <v>8500</v>
      </c>
      <c r="E416" s="232" t="s">
        <v>4</v>
      </c>
      <c r="F416" s="435">
        <v>2.98</v>
      </c>
      <c r="G416" s="234">
        <v>46150</v>
      </c>
      <c r="H416" s="235" t="s">
        <v>24</v>
      </c>
      <c r="I416" s="235"/>
      <c r="J416" s="440">
        <v>0.05</v>
      </c>
      <c r="K416" s="443">
        <f ca="1">ROUND(IF(ISERROR(OFFSET(Tabella!$A$1,MATCH(H416,Tabella!$A:$A,0)-1,MATCH(J416,Tabella!$A$1:$AC$1,0)-1)=TRUE),0,+OFFSET(Tabella!$A$1,MATCH(H416,Tabella!$A:$A,0)-1,MATCH(J416,Tabella!$A$1:$AC$1,0)-1)),4)</f>
        <v>0</v>
      </c>
      <c r="L416" s="446">
        <f ca="1">ROUND(IF(ISERROR(OFFSET(Ottone!$A$1,MATCH(H416,Ottone!$A:$A,0)-1,MATCH(J416,Ottone!$A$1:$Z$1,0)-1)=TRUE),0,OFFSET(Ottone!$A$1,MATCH(H416,Ottone!$A:$A,0)-1,MATCH(J416,Ottone!$A$1:$Z$1,0)-1))*IF(E416="Ottone",1,0),4)</f>
        <v>0</v>
      </c>
      <c r="M416" s="446">
        <f ca="1">ROUND(IF(ISERROR(OFFSET(Rame!$A$1,MATCH(H416,Rame!$A:$A,0)-1,MATCH(J416,Rame!$A$1:$AA$1,0)-1)=TRUE),0,OFFSET(Rame!$A$1,MATCH(H416,Rame!$A:$A,0)-1,MATCH(J416,Rame!$A$1:$AA$1,0)-1))*IF(E416="Rame",1,0),4)</f>
        <v>0</v>
      </c>
      <c r="N416" s="446">
        <v>0</v>
      </c>
      <c r="O416" s="446">
        <v>1.73</v>
      </c>
      <c r="P416" s="446">
        <f ca="1">ROUND(+IF(ISERROR(OFFSET(Tabella!$G$1,MATCH(H416,Tabella!$G:$G,0)-1,MATCH(I416,Tabella!$G$1:$FG$1,0)-1)=TRUE),0,OFFSET(Tabella!$G$1,MATCH(H416,Tabella!$G:$G,0)-1,MATCH(I416,Tabella!$G$1:$AB$1,0)-1)),4)</f>
        <v>0</v>
      </c>
      <c r="Q416" s="446">
        <f ca="1">ROUND(IF(ISERROR(OFFSET(Ottone!$F$1,MATCH(H416,Ottone!$A:$A,0)-1,MATCH(I416,Ottone!$F$1:$FF$1,0)-1)=TRUE),0,OFFSET(Ottone!$F$1,MATCH(H416,Ottone!$A:$A,0)-1,MATCH(I416,Ottone!$F$1:$FF$1,0)-1))*IF(E416="Ottone",1,0),4)</f>
        <v>0</v>
      </c>
      <c r="R416" s="446">
        <f ca="1">ROUND(IF(ISERROR(OFFSET(Rame!$F$1,MATCH(H416,Rame!$F:$F,0)-1,MATCH(I416,Rame!$F$1:$FF$1,0)-1)=TRUE),0,OFFSET(Rame!$F$1,MATCH(H416,Rame!$F:$F,0)-1,MATCH(I416,Rame!$F$1:$FF$1,0)-1))*IF(E416="Rame",1,0),4)</f>
        <v>0</v>
      </c>
      <c r="S416" s="446">
        <f ca="1">ROUND(IF(ISERROR(OFFSET(Bronzo!$A$1,MATCH(H416,Bronzo!$A:$A,0)-1,MATCH(I416,Bronzo!$A$1:$AA$1,0)-1)=TRUE),0,OFFSET(Bronzo!$A$1,MATCH(H416,Bronzo!$A:$A,0)-1,MATCH(I416,Bronzo!$A$1:$AA$1,0)-1)),4)</f>
        <v>0</v>
      </c>
      <c r="T416" s="446">
        <f t="shared" ca="1" si="180"/>
        <v>0</v>
      </c>
      <c r="U416" s="443"/>
      <c r="V416" s="446">
        <v>0</v>
      </c>
      <c r="W416" s="449">
        <f t="shared" ca="1" si="181"/>
        <v>1.73</v>
      </c>
      <c r="X416" s="452">
        <f t="shared" si="179"/>
        <v>425</v>
      </c>
      <c r="Y416" s="440">
        <v>4.68</v>
      </c>
      <c r="Z416" s="440">
        <f t="shared" ca="1" si="182"/>
        <v>-0.03</v>
      </c>
      <c r="AA416" s="241"/>
      <c r="AH416" s="242"/>
    </row>
    <row r="417" spans="2:34" ht="15.75" x14ac:dyDescent="0.25">
      <c r="B417" s="229"/>
      <c r="C417" s="235" t="s">
        <v>208</v>
      </c>
      <c r="D417" s="243">
        <v>8000</v>
      </c>
      <c r="E417" s="232" t="s">
        <v>4</v>
      </c>
      <c r="F417" s="435">
        <v>2.98</v>
      </c>
      <c r="G417" s="234">
        <v>46150</v>
      </c>
      <c r="H417" s="235" t="s">
        <v>24</v>
      </c>
      <c r="I417" s="235"/>
      <c r="J417" s="440">
        <v>0.05</v>
      </c>
      <c r="K417" s="443">
        <f ca="1">ROUND(IF(ISERROR(OFFSET(Tabella!$A$1,MATCH(H417,Tabella!$A:$A,0)-1,MATCH(J417,Tabella!$A$1:$AC$1,0)-1)=TRUE),0,+OFFSET(Tabella!$A$1,MATCH(H417,Tabella!$A:$A,0)-1,MATCH(J417,Tabella!$A$1:$AC$1,0)-1)),4)</f>
        <v>0</v>
      </c>
      <c r="L417" s="446">
        <f ca="1">ROUND(IF(ISERROR(OFFSET(Ottone!$A$1,MATCH(H417,Ottone!$A:$A,0)-1,MATCH(J417,Ottone!$A$1:$Z$1,0)-1)=TRUE),0,OFFSET(Ottone!$A$1,MATCH(H417,Ottone!$A:$A,0)-1,MATCH(J417,Ottone!$A$1:$Z$1,0)-1))*IF(E417="Ottone",1,0),4)</f>
        <v>0</v>
      </c>
      <c r="M417" s="446">
        <f ca="1">ROUND(IF(ISERROR(OFFSET(Rame!$A$1,MATCH(H417,Rame!$A:$A,0)-1,MATCH(J417,Rame!$A$1:$AA$1,0)-1)=TRUE),0,OFFSET(Rame!$A$1,MATCH(H417,Rame!$A:$A,0)-1,MATCH(J417,Rame!$A$1:$AA$1,0)-1))*IF(E417="Rame",1,0),4)</f>
        <v>0</v>
      </c>
      <c r="N417" s="446">
        <v>0</v>
      </c>
      <c r="O417" s="446">
        <v>1.73</v>
      </c>
      <c r="P417" s="446">
        <f ca="1">ROUND(+IF(ISERROR(OFFSET(Tabella!$G$1,MATCH(H417,Tabella!$G:$G,0)-1,MATCH(I417,Tabella!$G$1:$FG$1,0)-1)=TRUE),0,OFFSET(Tabella!$G$1,MATCH(H417,Tabella!$G:$G,0)-1,MATCH(I417,Tabella!$G$1:$AB$1,0)-1)),4)</f>
        <v>0</v>
      </c>
      <c r="Q417" s="446">
        <f ca="1">ROUND(IF(ISERROR(OFFSET(Ottone!$F$1,MATCH(H417,Ottone!$A:$A,0)-1,MATCH(I417,Ottone!$F$1:$FF$1,0)-1)=TRUE),0,OFFSET(Ottone!$F$1,MATCH(H417,Ottone!$A:$A,0)-1,MATCH(I417,Ottone!$F$1:$FF$1,0)-1))*IF(E417="Ottone",1,0),4)</f>
        <v>0</v>
      </c>
      <c r="R417" s="446">
        <f ca="1">ROUND(IF(ISERROR(OFFSET(Rame!$F$1,MATCH(H417,Rame!$F:$F,0)-1,MATCH(I417,Rame!$F$1:$FF$1,0)-1)=TRUE),0,OFFSET(Rame!$F$1,MATCH(H417,Rame!$F:$F,0)-1,MATCH(I417,Rame!$F$1:$FF$1,0)-1))*IF(E417="Rame",1,0),4)</f>
        <v>0</v>
      </c>
      <c r="S417" s="446">
        <f ca="1">ROUND(IF(ISERROR(OFFSET(Bronzo!$A$1,MATCH(H417,Bronzo!$A:$A,0)-1,MATCH(I417,Bronzo!$A$1:$AA$1,0)-1)=TRUE),0,OFFSET(Bronzo!$A$1,MATCH(H417,Bronzo!$A:$A,0)-1,MATCH(I417,Bronzo!$A$1:$AA$1,0)-1)),4)</f>
        <v>0</v>
      </c>
      <c r="T417" s="446">
        <f t="shared" ca="1" si="180"/>
        <v>0</v>
      </c>
      <c r="U417" s="443"/>
      <c r="V417" s="446">
        <v>0</v>
      </c>
      <c r="W417" s="449">
        <f t="shared" ca="1" si="181"/>
        <v>1.73</v>
      </c>
      <c r="X417" s="452">
        <f t="shared" si="179"/>
        <v>400</v>
      </c>
      <c r="Y417" s="440">
        <v>4.68</v>
      </c>
      <c r="Z417" s="440">
        <f t="shared" ca="1" si="182"/>
        <v>-0.03</v>
      </c>
      <c r="AA417" s="241"/>
      <c r="AH417" s="242"/>
    </row>
    <row r="418" spans="2:34" ht="15.75" x14ac:dyDescent="0.25">
      <c r="B418" s="229"/>
      <c r="C418" s="235" t="s">
        <v>297</v>
      </c>
      <c r="D418" s="243">
        <v>800</v>
      </c>
      <c r="E418" s="232" t="s">
        <v>4</v>
      </c>
      <c r="F418" s="435">
        <v>2.98</v>
      </c>
      <c r="G418" s="234">
        <v>46150</v>
      </c>
      <c r="H418" s="235" t="s">
        <v>27</v>
      </c>
      <c r="I418" s="235"/>
      <c r="J418" s="440">
        <v>7.0000000000000007E-2</v>
      </c>
      <c r="K418" s="443">
        <f ca="1">ROUND(IF(ISERROR(OFFSET(Tabella!$A$1,MATCH(H418,Tabella!$A:$A,0)-1,MATCH(J418,Tabella!$A$1:$AC$1,0)-1)=TRUE),0,+OFFSET(Tabella!$A$1,MATCH(H418,Tabella!$A:$A,0)-1,MATCH(J418,Tabella!$A$1:$AC$1,0)-1)),4)</f>
        <v>1.25</v>
      </c>
      <c r="L418" s="446">
        <f ca="1">ROUND(IF(ISERROR(OFFSET(Ottone!$A$1,MATCH(H418,Ottone!$A:$A,0)-1,MATCH(J418,Ottone!$A$1:$Z$1,0)-1)=TRUE),0,OFFSET(Ottone!$A$1,MATCH(H418,Ottone!$A:$A,0)-1,MATCH(J418,Ottone!$A$1:$Z$1,0)-1))*IF(E418="Ottone",1,0),4)</f>
        <v>0</v>
      </c>
      <c r="M418" s="446">
        <f ca="1">ROUND(IF(ISERROR(OFFSET(Rame!$A$1,MATCH(H418,Rame!$A:$A,0)-1,MATCH(J418,Rame!$A$1:$AA$1,0)-1)=TRUE),0,OFFSET(Rame!$A$1,MATCH(H418,Rame!$A:$A,0)-1,MATCH(J418,Rame!$A$1:$AA$1,0)-1))*IF(E418="Rame",1,0),4)</f>
        <v>0</v>
      </c>
      <c r="N418" s="446">
        <v>0</v>
      </c>
      <c r="O418" s="446">
        <v>1.73</v>
      </c>
      <c r="P418" s="446">
        <f ca="1">ROUND(+IF(ISERROR(OFFSET(Tabella!$G$1,MATCH(H418,Tabella!$G:$G,0)-1,MATCH(I418,Tabella!$G$1:$FG$1,0)-1)=TRUE),0,OFFSET(Tabella!$G$1,MATCH(H418,Tabella!$G:$G,0)-1,MATCH(I418,Tabella!$G$1:$AB$1,0)-1)),4)</f>
        <v>0</v>
      </c>
      <c r="Q418" s="446">
        <f ca="1">ROUND(IF(ISERROR(OFFSET(Ottone!$F$1,MATCH(H418,Ottone!$A:$A,0)-1,MATCH(I418,Ottone!$F$1:$FF$1,0)-1)=TRUE),0,OFFSET(Ottone!$F$1,MATCH(H418,Ottone!$A:$A,0)-1,MATCH(I418,Ottone!$F$1:$FF$1,0)-1))*IF(E418="Ottone",1,0),4)</f>
        <v>0</v>
      </c>
      <c r="R418" s="446">
        <f ca="1">ROUND(IF(ISERROR(OFFSET(Rame!$F$1,MATCH(H418,Rame!$F:$F,0)-1,MATCH(I418,Rame!$F$1:$FF$1,0)-1)=TRUE),0,OFFSET(Rame!$F$1,MATCH(H418,Rame!$F:$F,0)-1,MATCH(I418,Rame!$F$1:$FF$1,0)-1))*IF(E418="Rame",1,0),4)</f>
        <v>0</v>
      </c>
      <c r="S418" s="446">
        <f ca="1">ROUND(IF(ISERROR(OFFSET(Bronzo!$A$1,MATCH(H418,Bronzo!$A:$A,0)-1,MATCH(I418,Bronzo!$A$1:$AA$1,0)-1)=TRUE),0,OFFSET(Bronzo!$A$1,MATCH(H418,Bronzo!$A:$A,0)-1,MATCH(I418,Bronzo!$A$1:$AA$1,0)-1)),4)</f>
        <v>0</v>
      </c>
      <c r="T418" s="446">
        <f t="shared" ca="1" si="180"/>
        <v>0</v>
      </c>
      <c r="U418" s="443"/>
      <c r="V418" s="446">
        <v>0</v>
      </c>
      <c r="W418" s="449">
        <f t="shared" ca="1" si="181"/>
        <v>1.73</v>
      </c>
      <c r="X418" s="452">
        <f t="shared" si="179"/>
        <v>56</v>
      </c>
      <c r="Y418" s="440">
        <v>4.7300000000000004</v>
      </c>
      <c r="Z418" s="440">
        <f t="shared" ca="1" si="182"/>
        <v>0.02</v>
      </c>
      <c r="AA418" s="241"/>
      <c r="AH418" s="242"/>
    </row>
    <row r="419" spans="2:34" ht="15.75" x14ac:dyDescent="0.25">
      <c r="B419" s="229"/>
      <c r="C419" s="235" t="s">
        <v>297</v>
      </c>
      <c r="D419" s="243">
        <v>500</v>
      </c>
      <c r="E419" s="232" t="s">
        <v>4</v>
      </c>
      <c r="F419" s="435">
        <v>2.98</v>
      </c>
      <c r="G419" s="234">
        <v>46150</v>
      </c>
      <c r="H419" s="235" t="s">
        <v>17</v>
      </c>
      <c r="I419" s="235"/>
      <c r="J419" s="440">
        <v>7.0000000000000007E-2</v>
      </c>
      <c r="K419" s="443">
        <f ca="1">ROUND(IF(ISERROR(OFFSET(Tabella!$A$1,MATCH(H419,Tabella!$A:$A,0)-1,MATCH(J419,Tabella!$A$1:$AC$1,0)-1)=TRUE),0,+OFFSET(Tabella!$A$1,MATCH(H419,Tabella!$A:$A,0)-1,MATCH(J419,Tabella!$A$1:$AC$1,0)-1)),4)</f>
        <v>1.4</v>
      </c>
      <c r="L419" s="446">
        <f ca="1">ROUND(IF(ISERROR(OFFSET(Ottone!$A$1,MATCH(H419,Ottone!$A:$A,0)-1,MATCH(J419,Ottone!$A$1:$Z$1,0)-1)=TRUE),0,OFFSET(Ottone!$A$1,MATCH(H419,Ottone!$A:$A,0)-1,MATCH(J419,Ottone!$A$1:$Z$1,0)-1))*IF(E419="Ottone",1,0),4)</f>
        <v>0</v>
      </c>
      <c r="M419" s="446">
        <f ca="1">ROUND(IF(ISERROR(OFFSET(Rame!$A$1,MATCH(H419,Rame!$A:$A,0)-1,MATCH(J419,Rame!$A$1:$AA$1,0)-1)=TRUE),0,OFFSET(Rame!$A$1,MATCH(H419,Rame!$A:$A,0)-1,MATCH(J419,Rame!$A$1:$AA$1,0)-1))*IF(E419="Rame",1,0),4)</f>
        <v>0</v>
      </c>
      <c r="N419" s="446">
        <v>0</v>
      </c>
      <c r="O419" s="446">
        <v>1.83</v>
      </c>
      <c r="P419" s="446">
        <f ca="1">ROUND(+IF(ISERROR(OFFSET(Tabella!$G$1,MATCH(H419,Tabella!$G:$G,0)-1,MATCH(I419,Tabella!$G$1:$FG$1,0)-1)=TRUE),0,OFFSET(Tabella!$G$1,MATCH(H419,Tabella!$G:$G,0)-1,MATCH(I419,Tabella!$G$1:$AB$1,0)-1)),4)</f>
        <v>0</v>
      </c>
      <c r="Q419" s="446">
        <f ca="1">ROUND(IF(ISERROR(OFFSET(Ottone!$F$1,MATCH(H419,Ottone!$A:$A,0)-1,MATCH(I419,Ottone!$F$1:$FF$1,0)-1)=TRUE),0,OFFSET(Ottone!$F$1,MATCH(H419,Ottone!$A:$A,0)-1,MATCH(I419,Ottone!$F$1:$FF$1,0)-1))*IF(E419="Ottone",1,0),4)</f>
        <v>0</v>
      </c>
      <c r="R419" s="446">
        <f ca="1">ROUND(IF(ISERROR(OFFSET(Rame!$F$1,MATCH(H419,Rame!$F:$F,0)-1,MATCH(I419,Rame!$F$1:$FF$1,0)-1)=TRUE),0,OFFSET(Rame!$F$1,MATCH(H419,Rame!$F:$F,0)-1,MATCH(I419,Rame!$F$1:$FF$1,0)-1))*IF(E419="Rame",1,0),4)</f>
        <v>0</v>
      </c>
      <c r="S419" s="446">
        <f ca="1">ROUND(IF(ISERROR(OFFSET(Bronzo!$A$1,MATCH(H419,Bronzo!$A:$A,0)-1,MATCH(I419,Bronzo!$A$1:$AA$1,0)-1)=TRUE),0,OFFSET(Bronzo!$A$1,MATCH(H419,Bronzo!$A:$A,0)-1,MATCH(I419,Bronzo!$A$1:$AA$1,0)-1)),4)</f>
        <v>0</v>
      </c>
      <c r="T419" s="446">
        <f t="shared" ca="1" si="180"/>
        <v>0</v>
      </c>
      <c r="U419" s="443"/>
      <c r="V419" s="446">
        <v>0</v>
      </c>
      <c r="W419" s="449">
        <f t="shared" ca="1" si="181"/>
        <v>1.83</v>
      </c>
      <c r="X419" s="452">
        <f t="shared" si="179"/>
        <v>35</v>
      </c>
      <c r="Y419" s="440">
        <v>4.83</v>
      </c>
      <c r="Z419" s="440">
        <f t="shared" ca="1" si="182"/>
        <v>0.02</v>
      </c>
      <c r="AA419" s="241"/>
      <c r="AH419" s="242"/>
    </row>
    <row r="420" spans="2:34" ht="15.75" x14ac:dyDescent="0.25">
      <c r="B420" s="229"/>
      <c r="C420" s="235" t="s">
        <v>297</v>
      </c>
      <c r="D420" s="243">
        <v>1100</v>
      </c>
      <c r="E420" s="232" t="s">
        <v>4</v>
      </c>
      <c r="F420" s="435">
        <v>2.98</v>
      </c>
      <c r="G420" s="234">
        <v>46150</v>
      </c>
      <c r="H420" s="235" t="s">
        <v>17</v>
      </c>
      <c r="I420" s="235"/>
      <c r="J420" s="440">
        <v>7.0000000000000007E-2</v>
      </c>
      <c r="K420" s="443">
        <f ca="1">ROUND(IF(ISERROR(OFFSET(Tabella!$A$1,MATCH(H420,Tabella!$A:$A,0)-1,MATCH(J420,Tabella!$A$1:$AC$1,0)-1)=TRUE),0,+OFFSET(Tabella!$A$1,MATCH(H420,Tabella!$A:$A,0)-1,MATCH(J420,Tabella!$A$1:$AC$1,0)-1)),4)</f>
        <v>1.4</v>
      </c>
      <c r="L420" s="446">
        <f ca="1">ROUND(IF(ISERROR(OFFSET(Ottone!$A$1,MATCH(H420,Ottone!$A:$A,0)-1,MATCH(J420,Ottone!$A$1:$Z$1,0)-1)=TRUE),0,OFFSET(Ottone!$A$1,MATCH(H420,Ottone!$A:$A,0)-1,MATCH(J420,Ottone!$A$1:$Z$1,0)-1))*IF(E420="Ottone",1,0),4)</f>
        <v>0</v>
      </c>
      <c r="M420" s="446">
        <f ca="1">ROUND(IF(ISERROR(OFFSET(Rame!$A$1,MATCH(H420,Rame!$A:$A,0)-1,MATCH(J420,Rame!$A$1:$AA$1,0)-1)=TRUE),0,OFFSET(Rame!$A$1,MATCH(H420,Rame!$A:$A,0)-1,MATCH(J420,Rame!$A$1:$AA$1,0)-1))*IF(E420="Rame",1,0),4)</f>
        <v>0</v>
      </c>
      <c r="N420" s="446">
        <v>0</v>
      </c>
      <c r="O420" s="446">
        <v>1.73</v>
      </c>
      <c r="P420" s="446">
        <f ca="1">ROUND(+IF(ISERROR(OFFSET(Tabella!$G$1,MATCH(H420,Tabella!$G:$G,0)-1,MATCH(I420,Tabella!$G$1:$FG$1,0)-1)=TRUE),0,OFFSET(Tabella!$G$1,MATCH(H420,Tabella!$G:$G,0)-1,MATCH(I420,Tabella!$G$1:$AB$1,0)-1)),4)</f>
        <v>0</v>
      </c>
      <c r="Q420" s="446">
        <f ca="1">ROUND(IF(ISERROR(OFFSET(Ottone!$F$1,MATCH(H420,Ottone!$A:$A,0)-1,MATCH(I420,Ottone!$F$1:$FF$1,0)-1)=TRUE),0,OFFSET(Ottone!$F$1,MATCH(H420,Ottone!$A:$A,0)-1,MATCH(I420,Ottone!$F$1:$FF$1,0)-1))*IF(E420="Ottone",1,0),4)</f>
        <v>0</v>
      </c>
      <c r="R420" s="446">
        <f ca="1">ROUND(IF(ISERROR(OFFSET(Rame!$F$1,MATCH(H420,Rame!$F:$F,0)-1,MATCH(I420,Rame!$F$1:$FF$1,0)-1)=TRUE),0,OFFSET(Rame!$F$1,MATCH(H420,Rame!$F:$F,0)-1,MATCH(I420,Rame!$F$1:$FF$1,0)-1))*IF(E420="Rame",1,0),4)</f>
        <v>0</v>
      </c>
      <c r="S420" s="446">
        <f ca="1">ROUND(IF(ISERROR(OFFSET(Bronzo!$A$1,MATCH(H420,Bronzo!$A:$A,0)-1,MATCH(I420,Bronzo!$A$1:$AA$1,0)-1)=TRUE),0,OFFSET(Bronzo!$A$1,MATCH(H420,Bronzo!$A:$A,0)-1,MATCH(I420,Bronzo!$A$1:$AA$1,0)-1)),4)</f>
        <v>0</v>
      </c>
      <c r="T420" s="446">
        <f t="shared" ca="1" si="180"/>
        <v>0</v>
      </c>
      <c r="U420" s="443"/>
      <c r="V420" s="446">
        <v>0</v>
      </c>
      <c r="W420" s="449">
        <f t="shared" ca="1" si="181"/>
        <v>1.73</v>
      </c>
      <c r="X420" s="452">
        <f t="shared" si="179"/>
        <v>77</v>
      </c>
      <c r="Y420" s="440">
        <v>4.83</v>
      </c>
      <c r="Z420" s="440">
        <f t="shared" ca="1" si="182"/>
        <v>0.12</v>
      </c>
      <c r="AA420" s="241"/>
      <c r="AH420" s="242"/>
    </row>
    <row r="421" spans="2:34" ht="15.75" x14ac:dyDescent="0.25">
      <c r="B421" s="229"/>
      <c r="C421" s="235" t="s">
        <v>297</v>
      </c>
      <c r="D421" s="243">
        <v>500</v>
      </c>
      <c r="E421" s="232" t="s">
        <v>4</v>
      </c>
      <c r="F421" s="435">
        <v>2.98</v>
      </c>
      <c r="G421" s="234">
        <v>46150</v>
      </c>
      <c r="H421" s="235" t="s">
        <v>19</v>
      </c>
      <c r="I421" s="235"/>
      <c r="J421" s="440">
        <v>7.0000000000000007E-2</v>
      </c>
      <c r="K421" s="443">
        <f ca="1">ROUND(IF(ISERROR(OFFSET(Tabella!$A$1,MATCH(H421,Tabella!$A:$A,0)-1,MATCH(J421,Tabella!$A$1:$AC$1,0)-1)=TRUE),0,+OFFSET(Tabella!$A$1,MATCH(H421,Tabella!$A:$A,0)-1,MATCH(J421,Tabella!$A$1:$AC$1,0)-1)),4)</f>
        <v>1.35</v>
      </c>
      <c r="L421" s="446">
        <f ca="1">ROUND(IF(ISERROR(OFFSET(Ottone!$A$1,MATCH(H421,Ottone!$A:$A,0)-1,MATCH(J421,Ottone!$A$1:$Z$1,0)-1)=TRUE),0,OFFSET(Ottone!$A$1,MATCH(H421,Ottone!$A:$A,0)-1,MATCH(J421,Ottone!$A$1:$Z$1,0)-1))*IF(E421="Ottone",1,0),4)</f>
        <v>0</v>
      </c>
      <c r="M421" s="446">
        <f ca="1">ROUND(IF(ISERROR(OFFSET(Rame!$A$1,MATCH(H421,Rame!$A:$A,0)-1,MATCH(J421,Rame!$A$1:$AA$1,0)-1)=TRUE),0,OFFSET(Rame!$A$1,MATCH(H421,Rame!$A:$A,0)-1,MATCH(J421,Rame!$A$1:$AA$1,0)-1))*IF(E421="Rame",1,0),4)</f>
        <v>0</v>
      </c>
      <c r="N421" s="446">
        <v>0</v>
      </c>
      <c r="O421" s="446">
        <v>1.78</v>
      </c>
      <c r="P421" s="446">
        <f ca="1">ROUND(+IF(ISERROR(OFFSET(Tabella!$G$1,MATCH(H421,Tabella!$G:$G,0)-1,MATCH(I421,Tabella!$G$1:$FG$1,0)-1)=TRUE),0,OFFSET(Tabella!$G$1,MATCH(H421,Tabella!$G:$G,0)-1,MATCH(I421,Tabella!$G$1:$AB$1,0)-1)),4)</f>
        <v>0</v>
      </c>
      <c r="Q421" s="446">
        <f ca="1">ROUND(IF(ISERROR(OFFSET(Ottone!$F$1,MATCH(H421,Ottone!$A:$A,0)-1,MATCH(I421,Ottone!$F$1:$FF$1,0)-1)=TRUE),0,OFFSET(Ottone!$F$1,MATCH(H421,Ottone!$A:$A,0)-1,MATCH(I421,Ottone!$F$1:$FF$1,0)-1))*IF(E421="Ottone",1,0),4)</f>
        <v>0</v>
      </c>
      <c r="R421" s="446">
        <f ca="1">ROUND(IF(ISERROR(OFFSET(Rame!$F$1,MATCH(H421,Rame!$F:$F,0)-1,MATCH(I421,Rame!$F$1:$FF$1,0)-1)=TRUE),0,OFFSET(Rame!$F$1,MATCH(H421,Rame!$F:$F,0)-1,MATCH(I421,Rame!$F$1:$FF$1,0)-1))*IF(E421="Rame",1,0),4)</f>
        <v>0</v>
      </c>
      <c r="S421" s="446">
        <f ca="1">ROUND(IF(ISERROR(OFFSET(Bronzo!$A$1,MATCH(H421,Bronzo!$A:$A,0)-1,MATCH(I421,Bronzo!$A$1:$AA$1,0)-1)=TRUE),0,OFFSET(Bronzo!$A$1,MATCH(H421,Bronzo!$A:$A,0)-1,MATCH(I421,Bronzo!$A$1:$AA$1,0)-1)),4)</f>
        <v>0</v>
      </c>
      <c r="T421" s="446">
        <f t="shared" ca="1" si="180"/>
        <v>0</v>
      </c>
      <c r="U421" s="443"/>
      <c r="V421" s="446">
        <v>0</v>
      </c>
      <c r="W421" s="449">
        <f t="shared" ca="1" si="181"/>
        <v>1.78</v>
      </c>
      <c r="X421" s="452">
        <f t="shared" si="179"/>
        <v>35</v>
      </c>
      <c r="Y421" s="440">
        <v>4.78</v>
      </c>
      <c r="Z421" s="440">
        <f t="shared" ca="1" si="182"/>
        <v>0.02</v>
      </c>
      <c r="AA421" s="241"/>
      <c r="AH421" s="242"/>
    </row>
    <row r="422" spans="2:34" ht="15.75" x14ac:dyDescent="0.25">
      <c r="B422" s="229"/>
      <c r="C422" s="235" t="s">
        <v>297</v>
      </c>
      <c r="D422" s="243">
        <v>500</v>
      </c>
      <c r="E422" s="232" t="s">
        <v>4</v>
      </c>
      <c r="F422" s="435">
        <v>2.98</v>
      </c>
      <c r="G422" s="234">
        <v>46150</v>
      </c>
      <c r="H422" s="235" t="s">
        <v>17</v>
      </c>
      <c r="I422" s="235"/>
      <c r="J422" s="440">
        <v>7.0000000000000007E-2</v>
      </c>
      <c r="K422" s="443">
        <f ca="1">ROUND(IF(ISERROR(OFFSET(Tabella!$A$1,MATCH(H422,Tabella!$A:$A,0)-1,MATCH(J422,Tabella!$A$1:$AC$1,0)-1)=TRUE),0,+OFFSET(Tabella!$A$1,MATCH(H422,Tabella!$A:$A,0)-1,MATCH(J422,Tabella!$A$1:$AC$1,0)-1)),4)</f>
        <v>1.4</v>
      </c>
      <c r="L422" s="446">
        <f ca="1">ROUND(IF(ISERROR(OFFSET(Ottone!$A$1,MATCH(H422,Ottone!$A:$A,0)-1,MATCH(J422,Ottone!$A$1:$Z$1,0)-1)=TRUE),0,OFFSET(Ottone!$A$1,MATCH(H422,Ottone!$A:$A,0)-1,MATCH(J422,Ottone!$A$1:$Z$1,0)-1))*IF(E422="Ottone",1,0),4)</f>
        <v>0</v>
      </c>
      <c r="M422" s="446">
        <f ca="1">ROUND(IF(ISERROR(OFFSET(Rame!$A$1,MATCH(H422,Rame!$A:$A,0)-1,MATCH(J422,Rame!$A$1:$AA$1,0)-1)=TRUE),0,OFFSET(Rame!$A$1,MATCH(H422,Rame!$A:$A,0)-1,MATCH(J422,Rame!$A$1:$AA$1,0)-1))*IF(E422="Rame",1,0),4)</f>
        <v>0</v>
      </c>
      <c r="N422" s="446">
        <v>0</v>
      </c>
      <c r="O422" s="446">
        <v>1.83</v>
      </c>
      <c r="P422" s="446">
        <f ca="1">ROUND(+IF(ISERROR(OFFSET(Tabella!$G$1,MATCH(H422,Tabella!$G:$G,0)-1,MATCH(I422,Tabella!$G$1:$FG$1,0)-1)=TRUE),0,OFFSET(Tabella!$G$1,MATCH(H422,Tabella!$G:$G,0)-1,MATCH(I422,Tabella!$G$1:$AB$1,0)-1)),4)</f>
        <v>0</v>
      </c>
      <c r="Q422" s="446">
        <f ca="1">ROUND(IF(ISERROR(OFFSET(Ottone!$F$1,MATCH(H422,Ottone!$A:$A,0)-1,MATCH(I422,Ottone!$F$1:$FF$1,0)-1)=TRUE),0,OFFSET(Ottone!$F$1,MATCH(H422,Ottone!$A:$A,0)-1,MATCH(I422,Ottone!$F$1:$FF$1,0)-1))*IF(E422="Ottone",1,0),4)</f>
        <v>0</v>
      </c>
      <c r="R422" s="446">
        <f ca="1">ROUND(IF(ISERROR(OFFSET(Rame!$F$1,MATCH(H422,Rame!$F:$F,0)-1,MATCH(I422,Rame!$F$1:$FF$1,0)-1)=TRUE),0,OFFSET(Rame!$F$1,MATCH(H422,Rame!$F:$F,0)-1,MATCH(I422,Rame!$F$1:$FF$1,0)-1))*IF(E422="Rame",1,0),4)</f>
        <v>0</v>
      </c>
      <c r="S422" s="446">
        <f ca="1">ROUND(IF(ISERROR(OFFSET(Bronzo!$A$1,MATCH(H422,Bronzo!$A:$A,0)-1,MATCH(I422,Bronzo!$A$1:$AA$1,0)-1)=TRUE),0,OFFSET(Bronzo!$A$1,MATCH(H422,Bronzo!$A:$A,0)-1,MATCH(I422,Bronzo!$A$1:$AA$1,0)-1)),4)</f>
        <v>0</v>
      </c>
      <c r="T422" s="446">
        <f t="shared" ca="1" si="180"/>
        <v>0</v>
      </c>
      <c r="U422" s="443"/>
      <c r="V422" s="446">
        <v>0</v>
      </c>
      <c r="W422" s="449">
        <f t="shared" ca="1" si="181"/>
        <v>1.83</v>
      </c>
      <c r="X422" s="452">
        <f t="shared" si="179"/>
        <v>35</v>
      </c>
      <c r="Y422" s="440">
        <v>4.83</v>
      </c>
      <c r="Z422" s="440">
        <f t="shared" ca="1" si="182"/>
        <v>0.02</v>
      </c>
      <c r="AA422" s="241"/>
      <c r="AH422" s="242"/>
    </row>
    <row r="423" spans="2:34" ht="15.75" x14ac:dyDescent="0.25">
      <c r="B423" s="229"/>
      <c r="C423" s="235" t="s">
        <v>444</v>
      </c>
      <c r="D423" s="243">
        <v>1600</v>
      </c>
      <c r="E423" s="232" t="s">
        <v>4</v>
      </c>
      <c r="F423" s="435">
        <v>2.98</v>
      </c>
      <c r="G423" s="234">
        <v>46150</v>
      </c>
      <c r="H423" s="235" t="s">
        <v>25</v>
      </c>
      <c r="I423" s="235"/>
      <c r="J423" s="440">
        <v>7.0000000000000007E-2</v>
      </c>
      <c r="K423" s="443">
        <f ca="1">ROUND(IF(ISERROR(OFFSET(Tabella!$A$1,MATCH(H423,Tabella!$A:$A,0)-1,MATCH(J423,Tabella!$A$1:$AC$1,0)-1)=TRUE),0,+OFFSET(Tabella!$A$1,MATCH(H423,Tabella!$A:$A,0)-1,MATCH(J423,Tabella!$A$1:$AC$1,0)-1)),4)</f>
        <v>1.25</v>
      </c>
      <c r="L423" s="446">
        <f ca="1">ROUND(IF(ISERROR(OFFSET(Ottone!$A$1,MATCH(H423,Ottone!$A:$A,0)-1,MATCH(J423,Ottone!$A$1:$Z$1,0)-1)=TRUE),0,OFFSET(Ottone!$A$1,MATCH(H423,Ottone!$A:$A,0)-1,MATCH(J423,Ottone!$A$1:$Z$1,0)-1))*IF(E423="Ottone",1,0),4)</f>
        <v>0</v>
      </c>
      <c r="M423" s="446">
        <f ca="1">ROUND(IF(ISERROR(OFFSET(Rame!$A$1,MATCH(H423,Rame!$A:$A,0)-1,MATCH(J423,Rame!$A$1:$AA$1,0)-1)=TRUE),0,OFFSET(Rame!$A$1,MATCH(H423,Rame!$A:$A,0)-1,MATCH(J423,Rame!$A$1:$AA$1,0)-1))*IF(E423="Rame",1,0),4)</f>
        <v>0</v>
      </c>
      <c r="N423" s="446">
        <v>0</v>
      </c>
      <c r="O423" s="446">
        <v>1.73</v>
      </c>
      <c r="P423" s="446">
        <f ca="1">ROUND(+IF(ISERROR(OFFSET(Tabella!$G$1,MATCH(H423,Tabella!$G:$G,0)-1,MATCH(I423,Tabella!$G$1:$FG$1,0)-1)=TRUE),0,OFFSET(Tabella!$G$1,MATCH(H423,Tabella!$G:$G,0)-1,MATCH(I423,Tabella!$G$1:$AB$1,0)-1)),4)</f>
        <v>0</v>
      </c>
      <c r="Q423" s="446">
        <f ca="1">ROUND(IF(ISERROR(OFFSET(Ottone!$F$1,MATCH(H423,Ottone!$A:$A,0)-1,MATCH(I423,Ottone!$F$1:$FF$1,0)-1)=TRUE),0,OFFSET(Ottone!$F$1,MATCH(H423,Ottone!$A:$A,0)-1,MATCH(I423,Ottone!$F$1:$FF$1,0)-1))*IF(E423="Ottone",1,0),4)</f>
        <v>0</v>
      </c>
      <c r="R423" s="446">
        <f ca="1">ROUND(IF(ISERROR(OFFSET(Rame!$F$1,MATCH(H423,Rame!$F:$F,0)-1,MATCH(I423,Rame!$F$1:$FF$1,0)-1)=TRUE),0,OFFSET(Rame!$F$1,MATCH(H423,Rame!$F:$F,0)-1,MATCH(I423,Rame!$F$1:$FF$1,0)-1))*IF(E423="Rame",1,0),4)</f>
        <v>0</v>
      </c>
      <c r="S423" s="446">
        <f ca="1">ROUND(IF(ISERROR(OFFSET(Bronzo!$A$1,MATCH(H423,Bronzo!$A:$A,0)-1,MATCH(I423,Bronzo!$A$1:$AA$1,0)-1)=TRUE),0,OFFSET(Bronzo!$A$1,MATCH(H423,Bronzo!$A:$A,0)-1,MATCH(I423,Bronzo!$A$1:$AA$1,0)-1)),4)</f>
        <v>0</v>
      </c>
      <c r="T423" s="446">
        <f t="shared" ca="1" si="180"/>
        <v>0</v>
      </c>
      <c r="U423" s="443"/>
      <c r="V423" s="446">
        <v>0</v>
      </c>
      <c r="W423" s="449">
        <f t="shared" ca="1" si="181"/>
        <v>1.73</v>
      </c>
      <c r="X423" s="452">
        <f t="shared" si="179"/>
        <v>112</v>
      </c>
      <c r="Y423" s="440">
        <v>4.7300000000000004</v>
      </c>
      <c r="Z423" s="440">
        <f t="shared" ca="1" si="182"/>
        <v>0.02</v>
      </c>
      <c r="AA423" s="241"/>
      <c r="AH423" s="242"/>
    </row>
    <row r="424" spans="2:34" ht="15.75" x14ac:dyDescent="0.25">
      <c r="B424" s="229"/>
      <c r="C424" s="235" t="s">
        <v>210</v>
      </c>
      <c r="D424" s="243">
        <v>400</v>
      </c>
      <c r="E424" s="232" t="s">
        <v>6</v>
      </c>
      <c r="F424" s="435">
        <v>11.42</v>
      </c>
      <c r="G424" s="234">
        <v>46150</v>
      </c>
      <c r="H424" s="235" t="s">
        <v>12</v>
      </c>
      <c r="I424" s="235"/>
      <c r="J424" s="440">
        <v>0.15</v>
      </c>
      <c r="K424" s="443">
        <f ca="1">ROUND(IF(ISERROR(OFFSET(Tabella!$A$1,MATCH(H424,Tabella!$A:$A,0)-1,MATCH(J424,Tabella!$A$1:$AC$1,0)-1)=TRUE),0,+OFFSET(Tabella!$A$1,MATCH(H424,Tabella!$A:$A,0)-1,MATCH(J424,Tabella!$A$1:$AC$1,0)-1)),4)</f>
        <v>0</v>
      </c>
      <c r="L424" s="446">
        <f ca="1">ROUND(IF(ISERROR(OFFSET(Ottone!$A$1,MATCH(H424,Ottone!$A:$A,0)-1,MATCH(J424,Ottone!$A$1:$Z$1,0)-1)=TRUE),0,OFFSET(Ottone!$A$1,MATCH(H424,Ottone!$A:$A,0)-1,MATCH(J424,Ottone!$A$1:$Z$1,0)-1))*IF(E424="Ottone",1,0),4)</f>
        <v>0</v>
      </c>
      <c r="M424" s="446">
        <f ca="1">ROUND(IF(ISERROR(OFFSET(Rame!$A$1,MATCH(H424,Rame!$A:$A,0)-1,MATCH(J424,Rame!$A$1:$AA$1,0)-1)=TRUE),0,OFFSET(Rame!$A$1,MATCH(H424,Rame!$A:$A,0)-1,MATCH(J424,Rame!$A$1:$AA$1,0)-1))*IF(E424="Rame",1,0),4)</f>
        <v>1.25</v>
      </c>
      <c r="N424" s="446">
        <v>0</v>
      </c>
      <c r="O424" s="446">
        <f t="shared" ref="O424:O487" ca="1" si="183">ROUND(SUM(K424:N424),4)</f>
        <v>1.25</v>
      </c>
      <c r="P424" s="446">
        <f ca="1">ROUND(+IF(ISERROR(OFFSET(Tabella!$G$1,MATCH(H424,Tabella!$G:$G,0)-1,MATCH(I424,Tabella!$G$1:$FG$1,0)-1)=TRUE),0,OFFSET(Tabella!$G$1,MATCH(H424,Tabella!$G:$G,0)-1,MATCH(I424,Tabella!$G$1:$AB$1,0)-1)),4)</f>
        <v>0</v>
      </c>
      <c r="Q424" s="446">
        <f ca="1">ROUND(IF(ISERROR(OFFSET(Ottone!$F$1,MATCH(H424,Ottone!$A:$A,0)-1,MATCH(I424,Ottone!$F$1:$FF$1,0)-1)=TRUE),0,OFFSET(Ottone!$F$1,MATCH(H424,Ottone!$A:$A,0)-1,MATCH(I424,Ottone!$F$1:$FF$1,0)-1))*IF(E424="Ottone",1,0),4)</f>
        <v>0</v>
      </c>
      <c r="R424" s="446">
        <f ca="1">ROUND(IF(ISERROR(OFFSET(Rame!$F$1,MATCH(H424,Rame!$F:$F,0)-1,MATCH(I424,Rame!$F$1:$FF$1,0)-1)=TRUE),0,OFFSET(Rame!$F$1,MATCH(H424,Rame!$F:$F,0)-1,MATCH(I424,Rame!$F$1:$FF$1,0)-1))*IF(E424="Rame",1,0),4)</f>
        <v>0</v>
      </c>
      <c r="S424" s="446">
        <f ca="1">ROUND(IF(ISERROR(OFFSET(Bronzo!$A$1,MATCH(H424,Bronzo!$A:$A,0)-1,MATCH(I424,Bronzo!$A$1:$AA$1,0)-1)=TRUE),0,OFFSET(Bronzo!$A$1,MATCH(H424,Bronzo!$A:$A,0)-1,MATCH(I424,Bronzo!$A$1:$AA$1,0)-1)),4)</f>
        <v>0</v>
      </c>
      <c r="T424" s="446">
        <f t="shared" ca="1" si="180"/>
        <v>0</v>
      </c>
      <c r="U424" s="443"/>
      <c r="V424" s="446">
        <v>0</v>
      </c>
      <c r="W424" s="449">
        <f t="shared" ca="1" si="181"/>
        <v>1.25</v>
      </c>
      <c r="X424" s="452">
        <f t="shared" si="179"/>
        <v>60</v>
      </c>
      <c r="Y424" s="440">
        <v>15</v>
      </c>
      <c r="Z424" s="440">
        <f t="shared" ca="1" si="182"/>
        <v>2.33</v>
      </c>
      <c r="AA424" s="241"/>
      <c r="AH424" s="242"/>
    </row>
    <row r="425" spans="2:34" ht="15.75" x14ac:dyDescent="0.25">
      <c r="B425" s="229"/>
      <c r="C425" s="246" t="s">
        <v>102</v>
      </c>
      <c r="D425" s="247">
        <v>20000</v>
      </c>
      <c r="E425" s="232" t="s">
        <v>4</v>
      </c>
      <c r="F425" s="435">
        <v>2.97</v>
      </c>
      <c r="G425" s="234">
        <v>46150</v>
      </c>
      <c r="H425" s="235" t="s">
        <v>21</v>
      </c>
      <c r="I425" s="235"/>
      <c r="J425" s="440">
        <v>7.0000000000000007E-2</v>
      </c>
      <c r="K425" s="443">
        <f ca="1">ROUND(IF(ISERROR(OFFSET(Tabella!$A$1,MATCH(H425,Tabella!$A:$A,0)-1,MATCH(J425,Tabella!$A$1:$AC$1,0)-1)=TRUE),0,+OFFSET(Tabella!$A$1,MATCH(H425,Tabella!$A:$A,0)-1,MATCH(J425,Tabella!$A$1:$AC$1,0)-1)),4)</f>
        <v>1.25</v>
      </c>
      <c r="L425" s="446">
        <f ca="1">ROUND(IF(ISERROR(OFFSET(Ottone!$A$1,MATCH(H425,Ottone!$A:$A,0)-1,MATCH(J425,Ottone!$A$1:$Z$1,0)-1)=TRUE),0,OFFSET(Ottone!$A$1,MATCH(H425,Ottone!$A:$A,0)-1,MATCH(J425,Ottone!$A$1:$Z$1,0)-1))*IF(E425="Ottone",1,0),4)</f>
        <v>0</v>
      </c>
      <c r="M425" s="446">
        <f ca="1">ROUND(IF(ISERROR(OFFSET(Rame!$A$1,MATCH(H425,Rame!$A:$A,0)-1,MATCH(J425,Rame!$A$1:$AA$1,0)-1)=TRUE),0,OFFSET(Rame!$A$1,MATCH(H425,Rame!$A:$A,0)-1,MATCH(J425,Rame!$A$1:$AA$1,0)-1))*IF(E425="Rame",1,0),4)</f>
        <v>0</v>
      </c>
      <c r="N425" s="446">
        <v>0</v>
      </c>
      <c r="O425" s="446">
        <f t="shared" ca="1" si="183"/>
        <v>1.25</v>
      </c>
      <c r="P425" s="446">
        <f ca="1">ROUND(+IF(ISERROR(OFFSET(Tabella!$G$1,MATCH(H425,Tabella!$G:$G,0)-1,MATCH(I425,Tabella!$G$1:$FG$1,0)-1)=TRUE),0,OFFSET(Tabella!$G$1,MATCH(H425,Tabella!$G:$G,0)-1,MATCH(I425,Tabella!$G$1:$AB$1,0)-1)),4)</f>
        <v>0</v>
      </c>
      <c r="Q425" s="446">
        <f ca="1">ROUND(IF(ISERROR(OFFSET(Ottone!$F$1,MATCH(H425,Ottone!$A:$A,0)-1,MATCH(I425,Ottone!$F$1:$FF$1,0)-1)=TRUE),0,OFFSET(Ottone!$F$1,MATCH(H425,Ottone!$A:$A,0)-1,MATCH(I425,Ottone!$F$1:$FF$1,0)-1))*IF(E425="Ottone",1,0),4)</f>
        <v>0</v>
      </c>
      <c r="R425" s="446">
        <f ca="1">ROUND(IF(ISERROR(OFFSET(Rame!$F$1,MATCH(H425,Rame!$F:$F,0)-1,MATCH(I425,Rame!$F$1:$FF$1,0)-1)=TRUE),0,OFFSET(Rame!$F$1,MATCH(H425,Rame!$F:$F,0)-1,MATCH(I425,Rame!$F$1:$FF$1,0)-1))*IF(E425="Rame",1,0),4)</f>
        <v>0</v>
      </c>
      <c r="S425" s="446">
        <f ca="1">ROUND(IF(ISERROR(OFFSET(Bronzo!$A$1,MATCH(H425,Bronzo!$A:$A,0)-1,MATCH(I425,Bronzo!$A$1:$AA$1,0)-1)=TRUE),0,OFFSET(Bronzo!$A$1,MATCH(H425,Bronzo!$A:$A,0)-1,MATCH(I425,Bronzo!$A$1:$AA$1,0)-1)),4)</f>
        <v>0</v>
      </c>
      <c r="T425" s="446">
        <f t="shared" ca="1" si="180"/>
        <v>0</v>
      </c>
      <c r="U425" s="443"/>
      <c r="V425" s="446">
        <v>0</v>
      </c>
      <c r="W425" s="449">
        <f t="shared" ca="1" si="181"/>
        <v>1.25</v>
      </c>
      <c r="X425" s="455">
        <f t="shared" si="179"/>
        <v>1400</v>
      </c>
      <c r="Y425" s="440">
        <v>4.7</v>
      </c>
      <c r="Z425" s="440">
        <f t="shared" ca="1" si="182"/>
        <v>0.48</v>
      </c>
      <c r="AA425" s="241"/>
      <c r="AH425" s="242"/>
    </row>
    <row r="426" spans="2:34" ht="15.75" x14ac:dyDescent="0.25">
      <c r="B426" s="229"/>
      <c r="C426" s="235"/>
      <c r="D426" s="243"/>
      <c r="E426" s="232"/>
      <c r="F426" s="435"/>
      <c r="G426" s="234"/>
      <c r="H426" s="235"/>
      <c r="I426" s="235"/>
      <c r="J426" s="440"/>
      <c r="K426" s="443">
        <f ca="1">ROUND(IF(ISERROR(OFFSET(Tabella!$A$1,MATCH(H426,Tabella!$A:$A,0)-1,MATCH(J426,Tabella!$A$1:$AC$1,0)-1)=TRUE),0,+OFFSET(Tabella!$A$1,MATCH(H426,Tabella!$A:$A,0)-1,MATCH(J426,Tabella!$A$1:$AC$1,0)-1)),4)</f>
        <v>0</v>
      </c>
      <c r="L426" s="446">
        <f ca="1">ROUND(IF(ISERROR(OFFSET(Ottone!$A$1,MATCH(H426,Ottone!$A:$A,0)-1,MATCH(J426,Ottone!$A$1:$Z$1,0)-1)=TRUE),0,OFFSET(Ottone!$A$1,MATCH(H426,Ottone!$A:$A,0)-1,MATCH(J426,Ottone!$A$1:$Z$1,0)-1))*IF(E426="Ottone",1,0),4)</f>
        <v>0</v>
      </c>
      <c r="M426" s="446">
        <f ca="1">ROUND(IF(ISERROR(OFFSET(Rame!$A$1,MATCH(H426,Rame!$A:$A,0)-1,MATCH(J426,Rame!$A$1:$AA$1,0)-1)=TRUE),0,OFFSET(Rame!$A$1,MATCH(H426,Rame!$A:$A,0)-1,MATCH(J426,Rame!$A$1:$AA$1,0)-1))*IF(E426="Rame",1,0),4)</f>
        <v>0</v>
      </c>
      <c r="N426" s="446">
        <v>0</v>
      </c>
      <c r="O426" s="446">
        <f t="shared" ca="1" si="183"/>
        <v>0</v>
      </c>
      <c r="P426" s="446">
        <f ca="1">ROUND(+IF(ISERROR(OFFSET(Tabella!$G$1,MATCH(H426,Tabella!$G:$G,0)-1,MATCH(I426,Tabella!$G$1:$FG$1,0)-1)=TRUE),0,OFFSET(Tabella!$G$1,MATCH(H426,Tabella!$G:$G,0)-1,MATCH(I426,Tabella!$G$1:$AB$1,0)-1)),4)</f>
        <v>0</v>
      </c>
      <c r="Q426" s="446">
        <f ca="1">ROUND(IF(ISERROR(OFFSET(Ottone!$F$1,MATCH(H426,Ottone!$A:$A,0)-1,MATCH(I426,Ottone!$F$1:$FF$1,0)-1)=TRUE),0,OFFSET(Ottone!$F$1,MATCH(H426,Ottone!$A:$A,0)-1,MATCH(I426,Ottone!$F$1:$FF$1,0)-1))*IF(E426="Ottone",1,0),4)</f>
        <v>0</v>
      </c>
      <c r="R426" s="446">
        <f ca="1">ROUND(IF(ISERROR(OFFSET(Rame!$F$1,MATCH(H426,Rame!$F:$F,0)-1,MATCH(I426,Rame!$F$1:$FF$1,0)-1)=TRUE),0,OFFSET(Rame!$F$1,MATCH(H426,Rame!$F:$F,0)-1,MATCH(I426,Rame!$F$1:$FF$1,0)-1))*IF(E426="Rame",1,0),4)</f>
        <v>0</v>
      </c>
      <c r="S426" s="446">
        <f ca="1">ROUND(IF(ISERROR(OFFSET(Bronzo!$A$1,MATCH(H426,Bronzo!$A:$A,0)-1,MATCH(I426,Bronzo!$A$1:$AA$1,0)-1)=TRUE),0,OFFSET(Bronzo!$A$1,MATCH(H426,Bronzo!$A:$A,0)-1,MATCH(I426,Bronzo!$A$1:$AA$1,0)-1)),4)</f>
        <v>0</v>
      </c>
      <c r="T426" s="446">
        <f t="shared" ca="1" si="180"/>
        <v>0</v>
      </c>
      <c r="U426" s="443"/>
      <c r="V426" s="446">
        <v>0</v>
      </c>
      <c r="W426" s="449">
        <f t="shared" ca="1" si="181"/>
        <v>0</v>
      </c>
      <c r="X426" s="452">
        <f t="shared" si="179"/>
        <v>0</v>
      </c>
      <c r="Y426" s="440"/>
      <c r="Z426" s="440">
        <f t="shared" ca="1" si="182"/>
        <v>0</v>
      </c>
      <c r="AA426" s="241"/>
      <c r="AH426" s="242"/>
    </row>
    <row r="427" spans="2:34" ht="15.75" x14ac:dyDescent="0.25">
      <c r="B427" s="229"/>
      <c r="C427" s="235"/>
      <c r="D427" s="243"/>
      <c r="E427" s="232"/>
      <c r="F427" s="435"/>
      <c r="G427" s="234"/>
      <c r="H427" s="235"/>
      <c r="I427" s="235"/>
      <c r="J427" s="440"/>
      <c r="K427" s="443">
        <f ca="1">ROUND(IF(ISERROR(OFFSET(Tabella!$A$1,MATCH(H427,Tabella!$A:$A,0)-1,MATCH(J427,Tabella!$A$1:$AC$1,0)-1)=TRUE),0,+OFFSET(Tabella!$A$1,MATCH(H427,Tabella!$A:$A,0)-1,MATCH(J427,Tabella!$A$1:$AC$1,0)-1)),4)</f>
        <v>0</v>
      </c>
      <c r="L427" s="446">
        <f ca="1">ROUND(IF(ISERROR(OFFSET(Ottone!$A$1,MATCH(H427,Ottone!$A:$A,0)-1,MATCH(J427,Ottone!$A$1:$Z$1,0)-1)=TRUE),0,OFFSET(Ottone!$A$1,MATCH(H427,Ottone!$A:$A,0)-1,MATCH(J427,Ottone!$A$1:$Z$1,0)-1))*IF(E427="Ottone",1,0),4)</f>
        <v>0</v>
      </c>
      <c r="M427" s="446">
        <f ca="1">ROUND(IF(ISERROR(OFFSET(Rame!$A$1,MATCH(H427,Rame!$A:$A,0)-1,MATCH(J427,Rame!$A$1:$AA$1,0)-1)=TRUE),0,OFFSET(Rame!$A$1,MATCH(H427,Rame!$A:$A,0)-1,MATCH(J427,Rame!$A$1:$AA$1,0)-1))*IF(E427="Rame",1,0),4)</f>
        <v>0</v>
      </c>
      <c r="N427" s="446">
        <v>0</v>
      </c>
      <c r="O427" s="446">
        <f t="shared" ca="1" si="183"/>
        <v>0</v>
      </c>
      <c r="P427" s="446">
        <f ca="1">ROUND(+IF(ISERROR(OFFSET(Tabella!$G$1,MATCH(H427,Tabella!$G:$G,0)-1,MATCH(I427,Tabella!$G$1:$FG$1,0)-1)=TRUE),0,OFFSET(Tabella!$G$1,MATCH(H427,Tabella!$G:$G,0)-1,MATCH(I427,Tabella!$G$1:$AB$1,0)-1)),4)</f>
        <v>0</v>
      </c>
      <c r="Q427" s="446">
        <f ca="1">ROUND(IF(ISERROR(OFFSET(Ottone!$F$1,MATCH(H427,Ottone!$A:$A,0)-1,MATCH(I427,Ottone!$F$1:$FF$1,0)-1)=TRUE),0,OFFSET(Ottone!$F$1,MATCH(H427,Ottone!$A:$A,0)-1,MATCH(I427,Ottone!$F$1:$FF$1,0)-1))*IF(E427="Ottone",1,0),4)</f>
        <v>0</v>
      </c>
      <c r="R427" s="446">
        <f ca="1">ROUND(IF(ISERROR(OFFSET(Rame!$F$1,MATCH(H427,Rame!$F:$F,0)-1,MATCH(I427,Rame!$F$1:$FF$1,0)-1)=TRUE),0,OFFSET(Rame!$F$1,MATCH(H427,Rame!$F:$F,0)-1,MATCH(I427,Rame!$F$1:$FF$1,0)-1))*IF(E427="Rame",1,0),4)</f>
        <v>0</v>
      </c>
      <c r="S427" s="446">
        <f ca="1">ROUND(IF(ISERROR(OFFSET(Bronzo!$A$1,MATCH(H427,Bronzo!$A:$A,0)-1,MATCH(I427,Bronzo!$A$1:$AA$1,0)-1)=TRUE),0,OFFSET(Bronzo!$A$1,MATCH(H427,Bronzo!$A:$A,0)-1,MATCH(I427,Bronzo!$A$1:$AA$1,0)-1)),4)</f>
        <v>0</v>
      </c>
      <c r="T427" s="446">
        <f t="shared" ca="1" si="180"/>
        <v>0</v>
      </c>
      <c r="U427" s="443"/>
      <c r="V427" s="446">
        <v>0</v>
      </c>
      <c r="W427" s="449">
        <f t="shared" ca="1" si="181"/>
        <v>0</v>
      </c>
      <c r="X427" s="452">
        <f t="shared" si="179"/>
        <v>0</v>
      </c>
      <c r="Y427" s="440"/>
      <c r="Z427" s="440">
        <f t="shared" ca="1" si="182"/>
        <v>0</v>
      </c>
      <c r="AA427" s="241"/>
      <c r="AH427" s="242"/>
    </row>
    <row r="428" spans="2:34" ht="15.75" x14ac:dyDescent="0.25">
      <c r="B428" s="229"/>
      <c r="C428" s="235"/>
      <c r="D428" s="243"/>
      <c r="E428" s="232"/>
      <c r="F428" s="435"/>
      <c r="G428" s="234"/>
      <c r="H428" s="235"/>
      <c r="I428" s="235"/>
      <c r="J428" s="440"/>
      <c r="K428" s="443">
        <f ca="1">ROUND(IF(ISERROR(OFFSET(Tabella!$A$1,MATCH(H428,Tabella!$A:$A,0)-1,MATCH(J428,Tabella!$A$1:$AC$1,0)-1)=TRUE),0,+OFFSET(Tabella!$A$1,MATCH(H428,Tabella!$A:$A,0)-1,MATCH(J428,Tabella!$A$1:$AC$1,0)-1)),4)</f>
        <v>0</v>
      </c>
      <c r="L428" s="446">
        <f ca="1">ROUND(IF(ISERROR(OFFSET(Ottone!$A$1,MATCH(H428,Ottone!$A:$A,0)-1,MATCH(J428,Ottone!$A$1:$Z$1,0)-1)=TRUE),0,OFFSET(Ottone!$A$1,MATCH(H428,Ottone!$A:$A,0)-1,MATCH(J428,Ottone!$A$1:$Z$1,0)-1))*IF(E428="Ottone",1,0),4)</f>
        <v>0</v>
      </c>
      <c r="M428" s="446">
        <f ca="1">ROUND(IF(ISERROR(OFFSET(Rame!$A$1,MATCH(H428,Rame!$A:$A,0)-1,MATCH(J428,Rame!$A$1:$AA$1,0)-1)=TRUE),0,OFFSET(Rame!$A$1,MATCH(H428,Rame!$A:$A,0)-1,MATCH(J428,Rame!$A$1:$AA$1,0)-1))*IF(E428="Rame",1,0),4)</f>
        <v>0</v>
      </c>
      <c r="N428" s="446">
        <v>0</v>
      </c>
      <c r="O428" s="446">
        <f t="shared" ca="1" si="183"/>
        <v>0</v>
      </c>
      <c r="P428" s="446">
        <f ca="1">ROUND(+IF(ISERROR(OFFSET(Tabella!$G$1,MATCH(H428,Tabella!$G:$G,0)-1,MATCH(I428,Tabella!$G$1:$FG$1,0)-1)=TRUE),0,OFFSET(Tabella!$G$1,MATCH(H428,Tabella!$G:$G,0)-1,MATCH(I428,Tabella!$G$1:$AB$1,0)-1)),4)</f>
        <v>0</v>
      </c>
      <c r="Q428" s="446">
        <f ca="1">ROUND(IF(ISERROR(OFFSET(Ottone!$F$1,MATCH(H428,Ottone!$A:$A,0)-1,MATCH(I428,Ottone!$F$1:$FF$1,0)-1)=TRUE),0,OFFSET(Ottone!$F$1,MATCH(H428,Ottone!$A:$A,0)-1,MATCH(I428,Ottone!$F$1:$FF$1,0)-1))*IF(E428="Ottone",1,0),4)</f>
        <v>0</v>
      </c>
      <c r="R428" s="446">
        <f ca="1">ROUND(IF(ISERROR(OFFSET(Rame!$F$1,MATCH(H428,Rame!$F:$F,0)-1,MATCH(I428,Rame!$F$1:$FF$1,0)-1)=TRUE),0,OFFSET(Rame!$F$1,MATCH(H428,Rame!$F:$F,0)-1,MATCH(I428,Rame!$F$1:$FF$1,0)-1))*IF(E428="Rame",1,0),4)</f>
        <v>0</v>
      </c>
      <c r="S428" s="446">
        <f ca="1">ROUND(IF(ISERROR(OFFSET(Bronzo!$A$1,MATCH(H428,Bronzo!$A:$A,0)-1,MATCH(I428,Bronzo!$A$1:$AA$1,0)-1)=TRUE),0,OFFSET(Bronzo!$A$1,MATCH(H428,Bronzo!$A:$A,0)-1,MATCH(I428,Bronzo!$A$1:$AA$1,0)-1)),4)</f>
        <v>0</v>
      </c>
      <c r="T428" s="446">
        <f t="shared" ca="1" si="180"/>
        <v>0</v>
      </c>
      <c r="U428" s="443"/>
      <c r="V428" s="446">
        <v>0</v>
      </c>
      <c r="W428" s="449">
        <f t="shared" ca="1" si="181"/>
        <v>0</v>
      </c>
      <c r="X428" s="452">
        <f t="shared" si="179"/>
        <v>0</v>
      </c>
      <c r="Y428" s="440"/>
      <c r="Z428" s="440">
        <f t="shared" ca="1" si="182"/>
        <v>0</v>
      </c>
      <c r="AA428" s="241"/>
      <c r="AH428" s="242"/>
    </row>
    <row r="429" spans="2:34" ht="15.75" x14ac:dyDescent="0.25">
      <c r="B429" s="229"/>
      <c r="C429" s="235"/>
      <c r="D429" s="243"/>
      <c r="E429" s="232"/>
      <c r="F429" s="435"/>
      <c r="G429" s="234"/>
      <c r="H429" s="235"/>
      <c r="I429" s="235"/>
      <c r="J429" s="440"/>
      <c r="K429" s="443">
        <f ca="1">ROUND(IF(ISERROR(OFFSET(Tabella!$A$1,MATCH(H429,Tabella!$A:$A,0)-1,MATCH(J429,Tabella!$A$1:$AC$1,0)-1)=TRUE),0,+OFFSET(Tabella!$A$1,MATCH(H429,Tabella!$A:$A,0)-1,MATCH(J429,Tabella!$A$1:$AC$1,0)-1)),4)</f>
        <v>0</v>
      </c>
      <c r="L429" s="446">
        <f ca="1">ROUND(IF(ISERROR(OFFSET(Ottone!$A$1,MATCH(H429,Ottone!$A:$A,0)-1,MATCH(J429,Ottone!$A$1:$Z$1,0)-1)=TRUE),0,OFFSET(Ottone!$A$1,MATCH(H429,Ottone!$A:$A,0)-1,MATCH(J429,Ottone!$A$1:$Z$1,0)-1))*IF(E429="Ottone",1,0),4)</f>
        <v>0</v>
      </c>
      <c r="M429" s="446">
        <f ca="1">ROUND(IF(ISERROR(OFFSET(Rame!$A$1,MATCH(H429,Rame!$A:$A,0)-1,MATCH(J429,Rame!$A$1:$AA$1,0)-1)=TRUE),0,OFFSET(Rame!$A$1,MATCH(H429,Rame!$A:$A,0)-1,MATCH(J429,Rame!$A$1:$AA$1,0)-1))*IF(E429="Rame",1,0),4)</f>
        <v>0</v>
      </c>
      <c r="N429" s="446">
        <v>0</v>
      </c>
      <c r="O429" s="446">
        <f t="shared" ca="1" si="183"/>
        <v>0</v>
      </c>
      <c r="P429" s="446">
        <f ca="1">ROUND(+IF(ISERROR(OFFSET(Tabella!$G$1,MATCH(H429,Tabella!$G:$G,0)-1,MATCH(I429,Tabella!$G$1:$FG$1,0)-1)=TRUE),0,OFFSET(Tabella!$G$1,MATCH(H429,Tabella!$G:$G,0)-1,MATCH(I429,Tabella!$G$1:$AB$1,0)-1)),4)</f>
        <v>0</v>
      </c>
      <c r="Q429" s="446">
        <f ca="1">ROUND(IF(ISERROR(OFFSET(Ottone!$F$1,MATCH(H429,Ottone!$A:$A,0)-1,MATCH(I429,Ottone!$F$1:$FF$1,0)-1)=TRUE),0,OFFSET(Ottone!$F$1,MATCH(H429,Ottone!$A:$A,0)-1,MATCH(I429,Ottone!$F$1:$FF$1,0)-1))*IF(E429="Ottone",1,0),4)</f>
        <v>0</v>
      </c>
      <c r="R429" s="446">
        <f ca="1">ROUND(IF(ISERROR(OFFSET(Rame!$F$1,MATCH(H429,Rame!$F:$F,0)-1,MATCH(I429,Rame!$F$1:$FF$1,0)-1)=TRUE),0,OFFSET(Rame!$F$1,MATCH(H429,Rame!$F:$F,0)-1,MATCH(I429,Rame!$F$1:$FF$1,0)-1))*IF(E429="Rame",1,0),4)</f>
        <v>0</v>
      </c>
      <c r="S429" s="446">
        <f ca="1">ROUND(IF(ISERROR(OFFSET(Bronzo!$A$1,MATCH(H429,Bronzo!$A:$A,0)-1,MATCH(I429,Bronzo!$A$1:$AA$1,0)-1)=TRUE),0,OFFSET(Bronzo!$A$1,MATCH(H429,Bronzo!$A:$A,0)-1,MATCH(I429,Bronzo!$A$1:$AA$1,0)-1)),4)</f>
        <v>0</v>
      </c>
      <c r="T429" s="446">
        <f t="shared" ca="1" si="180"/>
        <v>0</v>
      </c>
      <c r="U429" s="443"/>
      <c r="V429" s="446">
        <v>0</v>
      </c>
      <c r="W429" s="449">
        <f t="shared" ca="1" si="181"/>
        <v>0</v>
      </c>
      <c r="X429" s="452">
        <f t="shared" si="179"/>
        <v>0</v>
      </c>
      <c r="Y429" s="440"/>
      <c r="Z429" s="440">
        <f t="shared" ca="1" si="182"/>
        <v>0</v>
      </c>
      <c r="AA429" s="241"/>
      <c r="AH429" s="242"/>
    </row>
    <row r="430" spans="2:34" ht="15.75" x14ac:dyDescent="0.25">
      <c r="B430" s="229"/>
      <c r="C430" s="235"/>
      <c r="D430" s="243"/>
      <c r="E430" s="232"/>
      <c r="F430" s="435"/>
      <c r="G430" s="234"/>
      <c r="H430" s="235"/>
      <c r="I430" s="235"/>
      <c r="J430" s="440"/>
      <c r="K430" s="443">
        <f ca="1">ROUND(IF(ISERROR(OFFSET(Tabella!$A$1,MATCH(H430,Tabella!$A:$A,0)-1,MATCH(J430,Tabella!$A$1:$AC$1,0)-1)=TRUE),0,+OFFSET(Tabella!$A$1,MATCH(H430,Tabella!$A:$A,0)-1,MATCH(J430,Tabella!$A$1:$AC$1,0)-1)),4)</f>
        <v>0</v>
      </c>
      <c r="L430" s="446">
        <f ca="1">ROUND(IF(ISERROR(OFFSET(Ottone!$A$1,MATCH(H430,Ottone!$A:$A,0)-1,MATCH(J430,Ottone!$A$1:$Z$1,0)-1)=TRUE),0,OFFSET(Ottone!$A$1,MATCH(H430,Ottone!$A:$A,0)-1,MATCH(J430,Ottone!$A$1:$Z$1,0)-1))*IF(E430="Ottone",1,0),4)</f>
        <v>0</v>
      </c>
      <c r="M430" s="446">
        <f ca="1">ROUND(IF(ISERROR(OFFSET(Rame!$A$1,MATCH(H430,Rame!$A:$A,0)-1,MATCH(J430,Rame!$A$1:$AA$1,0)-1)=TRUE),0,OFFSET(Rame!$A$1,MATCH(H430,Rame!$A:$A,0)-1,MATCH(J430,Rame!$A$1:$AA$1,0)-1))*IF(E430="Rame",1,0),4)</f>
        <v>0</v>
      </c>
      <c r="N430" s="446">
        <v>0</v>
      </c>
      <c r="O430" s="446">
        <f t="shared" ca="1" si="183"/>
        <v>0</v>
      </c>
      <c r="P430" s="446">
        <f ca="1">ROUND(+IF(ISERROR(OFFSET(Tabella!$G$1,MATCH(H430,Tabella!$G:$G,0)-1,MATCH(I430,Tabella!$G$1:$FG$1,0)-1)=TRUE),0,OFFSET(Tabella!$G$1,MATCH(H430,Tabella!$G:$G,0)-1,MATCH(I430,Tabella!$G$1:$AB$1,0)-1)),4)</f>
        <v>0</v>
      </c>
      <c r="Q430" s="446">
        <f ca="1">ROUND(IF(ISERROR(OFFSET(Ottone!$F$1,MATCH(H430,Ottone!$A:$A,0)-1,MATCH(I430,Ottone!$F$1:$FF$1,0)-1)=TRUE),0,OFFSET(Ottone!$F$1,MATCH(H430,Ottone!$A:$A,0)-1,MATCH(I430,Ottone!$F$1:$FF$1,0)-1))*IF(E430="Ottone",1,0),4)</f>
        <v>0</v>
      </c>
      <c r="R430" s="446">
        <f ca="1">ROUND(IF(ISERROR(OFFSET(Rame!$F$1,MATCH(H430,Rame!$F:$F,0)-1,MATCH(I430,Rame!$F$1:$FF$1,0)-1)=TRUE),0,OFFSET(Rame!$F$1,MATCH(H430,Rame!$F:$F,0)-1,MATCH(I430,Rame!$F$1:$FF$1,0)-1))*IF(E430="Rame",1,0),4)</f>
        <v>0</v>
      </c>
      <c r="S430" s="446">
        <f ca="1">ROUND(IF(ISERROR(OFFSET(Bronzo!$A$1,MATCH(H430,Bronzo!$A:$A,0)-1,MATCH(I430,Bronzo!$A$1:$AA$1,0)-1)=TRUE),0,OFFSET(Bronzo!$A$1,MATCH(H430,Bronzo!$A:$A,0)-1,MATCH(I430,Bronzo!$A$1:$AA$1,0)-1)),4)</f>
        <v>0</v>
      </c>
      <c r="T430" s="446">
        <f t="shared" ca="1" si="180"/>
        <v>0</v>
      </c>
      <c r="U430" s="443"/>
      <c r="V430" s="446">
        <v>0</v>
      </c>
      <c r="W430" s="449">
        <f t="shared" ca="1" si="181"/>
        <v>0</v>
      </c>
      <c r="X430" s="452">
        <f t="shared" si="179"/>
        <v>0</v>
      </c>
      <c r="Y430" s="440"/>
      <c r="Z430" s="440">
        <f t="shared" ca="1" si="182"/>
        <v>0</v>
      </c>
      <c r="AA430" s="241"/>
      <c r="AH430" s="242"/>
    </row>
    <row r="431" spans="2:34" ht="15.75" x14ac:dyDescent="0.25">
      <c r="B431" s="229"/>
      <c r="C431" s="235"/>
      <c r="D431" s="243"/>
      <c r="E431" s="232"/>
      <c r="F431" s="435"/>
      <c r="G431" s="234"/>
      <c r="H431" s="235"/>
      <c r="I431" s="235"/>
      <c r="J431" s="440"/>
      <c r="K431" s="443">
        <f ca="1">ROUND(IF(ISERROR(OFFSET(Tabella!$A$1,MATCH(H431,Tabella!$A:$A,0)-1,MATCH(J431,Tabella!$A$1:$AC$1,0)-1)=TRUE),0,+OFFSET(Tabella!$A$1,MATCH(H431,Tabella!$A:$A,0)-1,MATCH(J431,Tabella!$A$1:$AC$1,0)-1)),4)</f>
        <v>0</v>
      </c>
      <c r="L431" s="446">
        <f ca="1">ROUND(IF(ISERROR(OFFSET(Ottone!$A$1,MATCH(H431,Ottone!$A:$A,0)-1,MATCH(J431,Ottone!$A$1:$Z$1,0)-1)=TRUE),0,OFFSET(Ottone!$A$1,MATCH(H431,Ottone!$A:$A,0)-1,MATCH(J431,Ottone!$A$1:$Z$1,0)-1))*IF(E431="Ottone",1,0),4)</f>
        <v>0</v>
      </c>
      <c r="M431" s="446">
        <f ca="1">ROUND(IF(ISERROR(OFFSET(Rame!$A$1,MATCH(H431,Rame!$A:$A,0)-1,MATCH(J431,Rame!$A$1:$AA$1,0)-1)=TRUE),0,OFFSET(Rame!$A$1,MATCH(H431,Rame!$A:$A,0)-1,MATCH(J431,Rame!$A$1:$AA$1,0)-1))*IF(E431="Rame",1,0),4)</f>
        <v>0</v>
      </c>
      <c r="N431" s="446">
        <v>0</v>
      </c>
      <c r="O431" s="446">
        <f t="shared" ca="1" si="183"/>
        <v>0</v>
      </c>
      <c r="P431" s="446">
        <f ca="1">ROUND(+IF(ISERROR(OFFSET(Tabella!$G$1,MATCH(H431,Tabella!$G:$G,0)-1,MATCH(I431,Tabella!$G$1:$FG$1,0)-1)=TRUE),0,OFFSET(Tabella!$G$1,MATCH(H431,Tabella!$G:$G,0)-1,MATCH(I431,Tabella!$G$1:$AB$1,0)-1)),4)</f>
        <v>0</v>
      </c>
      <c r="Q431" s="446">
        <f ca="1">ROUND(IF(ISERROR(OFFSET(Ottone!$F$1,MATCH(H431,Ottone!$A:$A,0)-1,MATCH(I431,Ottone!$F$1:$FF$1,0)-1)=TRUE),0,OFFSET(Ottone!$F$1,MATCH(H431,Ottone!$A:$A,0)-1,MATCH(I431,Ottone!$F$1:$FF$1,0)-1))*IF(E431="Ottone",1,0),4)</f>
        <v>0</v>
      </c>
      <c r="R431" s="446">
        <f ca="1">ROUND(IF(ISERROR(OFFSET(Rame!$F$1,MATCH(H431,Rame!$F:$F,0)-1,MATCH(I431,Rame!$F$1:$FF$1,0)-1)=TRUE),0,OFFSET(Rame!$F$1,MATCH(H431,Rame!$F:$F,0)-1,MATCH(I431,Rame!$F$1:$FF$1,0)-1))*IF(E431="Rame",1,0),4)</f>
        <v>0</v>
      </c>
      <c r="S431" s="446">
        <f ca="1">ROUND(IF(ISERROR(OFFSET(Bronzo!$A$1,MATCH(H431,Bronzo!$A:$A,0)-1,MATCH(I431,Bronzo!$A$1:$AA$1,0)-1)=TRUE),0,OFFSET(Bronzo!$A$1,MATCH(H431,Bronzo!$A:$A,0)-1,MATCH(I431,Bronzo!$A$1:$AA$1,0)-1)),4)</f>
        <v>0</v>
      </c>
      <c r="T431" s="446">
        <f t="shared" ca="1" si="180"/>
        <v>0</v>
      </c>
      <c r="U431" s="443"/>
      <c r="V431" s="446">
        <v>0</v>
      </c>
      <c r="W431" s="449">
        <f t="shared" ca="1" si="181"/>
        <v>0</v>
      </c>
      <c r="X431" s="452">
        <f t="shared" si="179"/>
        <v>0</v>
      </c>
      <c r="Y431" s="440"/>
      <c r="Z431" s="440">
        <f t="shared" ca="1" si="182"/>
        <v>0</v>
      </c>
      <c r="AA431" s="241"/>
      <c r="AH431" s="242"/>
    </row>
    <row r="432" spans="2:34" ht="15.75" x14ac:dyDescent="0.25">
      <c r="B432" s="229"/>
      <c r="C432" s="235"/>
      <c r="D432" s="243"/>
      <c r="E432" s="232"/>
      <c r="F432" s="435"/>
      <c r="G432" s="234"/>
      <c r="H432" s="235"/>
      <c r="I432" s="235"/>
      <c r="J432" s="440"/>
      <c r="K432" s="443">
        <f ca="1">ROUND(IF(ISERROR(OFFSET(Tabella!$A$1,MATCH(H432,Tabella!$A:$A,0)-1,MATCH(J432,Tabella!$A$1:$AC$1,0)-1)=TRUE),0,+OFFSET(Tabella!$A$1,MATCH(H432,Tabella!$A:$A,0)-1,MATCH(J432,Tabella!$A$1:$AC$1,0)-1)),4)</f>
        <v>0</v>
      </c>
      <c r="L432" s="446">
        <f ca="1">ROUND(IF(ISERROR(OFFSET(Ottone!$A$1,MATCH(H432,Ottone!$A:$A,0)-1,MATCH(J432,Ottone!$A$1:$Z$1,0)-1)=TRUE),0,OFFSET(Ottone!$A$1,MATCH(H432,Ottone!$A:$A,0)-1,MATCH(J432,Ottone!$A$1:$Z$1,0)-1))*IF(E432="Ottone",1,0),4)</f>
        <v>0</v>
      </c>
      <c r="M432" s="446">
        <f ca="1">ROUND(IF(ISERROR(OFFSET(Rame!$A$1,MATCH(H432,Rame!$A:$A,0)-1,MATCH(J432,Rame!$A$1:$AA$1,0)-1)=TRUE),0,OFFSET(Rame!$A$1,MATCH(H432,Rame!$A:$A,0)-1,MATCH(J432,Rame!$A$1:$AA$1,0)-1))*IF(E432="Rame",1,0),4)</f>
        <v>0</v>
      </c>
      <c r="N432" s="446">
        <v>0</v>
      </c>
      <c r="O432" s="446">
        <f t="shared" ca="1" si="183"/>
        <v>0</v>
      </c>
      <c r="P432" s="446">
        <f ca="1">ROUND(+IF(ISERROR(OFFSET(Tabella!$G$1,MATCH(H432,Tabella!$G:$G,0)-1,MATCH(I432,Tabella!$G$1:$FG$1,0)-1)=TRUE),0,OFFSET(Tabella!$G$1,MATCH(H432,Tabella!$G:$G,0)-1,MATCH(I432,Tabella!$G$1:$AB$1,0)-1)),4)</f>
        <v>0</v>
      </c>
      <c r="Q432" s="446">
        <f ca="1">ROUND(IF(ISERROR(OFFSET(Ottone!$F$1,MATCH(H432,Ottone!$A:$A,0)-1,MATCH(I432,Ottone!$F$1:$FF$1,0)-1)=TRUE),0,OFFSET(Ottone!$F$1,MATCH(H432,Ottone!$A:$A,0)-1,MATCH(I432,Ottone!$F$1:$FF$1,0)-1))*IF(E432="Ottone",1,0),4)</f>
        <v>0</v>
      </c>
      <c r="R432" s="446">
        <f ca="1">ROUND(IF(ISERROR(OFFSET(Rame!$F$1,MATCH(H432,Rame!$F:$F,0)-1,MATCH(I432,Rame!$F$1:$FF$1,0)-1)=TRUE),0,OFFSET(Rame!$F$1,MATCH(H432,Rame!$F:$F,0)-1,MATCH(I432,Rame!$F$1:$FF$1,0)-1))*IF(E432="Rame",1,0),4)</f>
        <v>0</v>
      </c>
      <c r="S432" s="446">
        <f ca="1">ROUND(IF(ISERROR(OFFSET(Bronzo!$A$1,MATCH(H432,Bronzo!$A:$A,0)-1,MATCH(I432,Bronzo!$A$1:$AA$1,0)-1)=TRUE),0,OFFSET(Bronzo!$A$1,MATCH(H432,Bronzo!$A:$A,0)-1,MATCH(I432,Bronzo!$A$1:$AA$1,0)-1)),4)</f>
        <v>0</v>
      </c>
      <c r="T432" s="446">
        <f t="shared" ca="1" si="180"/>
        <v>0</v>
      </c>
      <c r="U432" s="443"/>
      <c r="V432" s="446">
        <v>0</v>
      </c>
      <c r="W432" s="449">
        <f t="shared" ca="1" si="181"/>
        <v>0</v>
      </c>
      <c r="X432" s="452">
        <f t="shared" si="179"/>
        <v>0</v>
      </c>
      <c r="Y432" s="440"/>
      <c r="Z432" s="440">
        <f t="shared" ca="1" si="182"/>
        <v>0</v>
      </c>
      <c r="AA432" s="241"/>
      <c r="AH432" s="242"/>
    </row>
    <row r="433" spans="2:34" ht="15.75" x14ac:dyDescent="0.25">
      <c r="B433" s="229"/>
      <c r="C433" s="235"/>
      <c r="D433" s="243"/>
      <c r="E433" s="232"/>
      <c r="F433" s="435"/>
      <c r="G433" s="234"/>
      <c r="H433" s="235"/>
      <c r="I433" s="235"/>
      <c r="J433" s="440"/>
      <c r="K433" s="443">
        <f ca="1">ROUND(IF(ISERROR(OFFSET(Tabella!$A$1,MATCH(H433,Tabella!$A:$A,0)-1,MATCH(J433,Tabella!$A$1:$AC$1,0)-1)=TRUE),0,+OFFSET(Tabella!$A$1,MATCH(H433,Tabella!$A:$A,0)-1,MATCH(J433,Tabella!$A$1:$AC$1,0)-1)),4)</f>
        <v>0</v>
      </c>
      <c r="L433" s="446">
        <f ca="1">ROUND(IF(ISERROR(OFFSET(Ottone!$A$1,MATCH(H433,Ottone!$A:$A,0)-1,MATCH(J433,Ottone!$A$1:$Z$1,0)-1)=TRUE),0,OFFSET(Ottone!$A$1,MATCH(H433,Ottone!$A:$A,0)-1,MATCH(J433,Ottone!$A$1:$Z$1,0)-1))*IF(E433="Ottone",1,0),4)</f>
        <v>0</v>
      </c>
      <c r="M433" s="446">
        <f ca="1">ROUND(IF(ISERROR(OFFSET(Rame!$A$1,MATCH(H433,Rame!$A:$A,0)-1,MATCH(J433,Rame!$A$1:$AA$1,0)-1)=TRUE),0,OFFSET(Rame!$A$1,MATCH(H433,Rame!$A:$A,0)-1,MATCH(J433,Rame!$A$1:$AA$1,0)-1))*IF(E433="Rame",1,0),4)</f>
        <v>0</v>
      </c>
      <c r="N433" s="446">
        <v>0</v>
      </c>
      <c r="O433" s="446">
        <f t="shared" ca="1" si="183"/>
        <v>0</v>
      </c>
      <c r="P433" s="446">
        <f ca="1">ROUND(+IF(ISERROR(OFFSET(Tabella!$G$1,MATCH(H433,Tabella!$G:$G,0)-1,MATCH(I433,Tabella!$G$1:$FG$1,0)-1)=TRUE),0,OFFSET(Tabella!$G$1,MATCH(H433,Tabella!$G:$G,0)-1,MATCH(I433,Tabella!$G$1:$AB$1,0)-1)),4)</f>
        <v>0</v>
      </c>
      <c r="Q433" s="446">
        <f ca="1">ROUND(IF(ISERROR(OFFSET(Ottone!$F$1,MATCH(H433,Ottone!$A:$A,0)-1,MATCH(I433,Ottone!$F$1:$FF$1,0)-1)=TRUE),0,OFFSET(Ottone!$F$1,MATCH(H433,Ottone!$A:$A,0)-1,MATCH(I433,Ottone!$F$1:$FF$1,0)-1))*IF(E433="Ottone",1,0),4)</f>
        <v>0</v>
      </c>
      <c r="R433" s="446">
        <f ca="1">ROUND(IF(ISERROR(OFFSET(Rame!$F$1,MATCH(H433,Rame!$F:$F,0)-1,MATCH(I433,Rame!$F$1:$FF$1,0)-1)=TRUE),0,OFFSET(Rame!$F$1,MATCH(H433,Rame!$F:$F,0)-1,MATCH(I433,Rame!$F$1:$FF$1,0)-1))*IF(E433="Rame",1,0),4)</f>
        <v>0</v>
      </c>
      <c r="S433" s="446">
        <f ca="1">ROUND(IF(ISERROR(OFFSET(Bronzo!$A$1,MATCH(H433,Bronzo!$A:$A,0)-1,MATCH(I433,Bronzo!$A$1:$AA$1,0)-1)=TRUE),0,OFFSET(Bronzo!$A$1,MATCH(H433,Bronzo!$A:$A,0)-1,MATCH(I433,Bronzo!$A$1:$AA$1,0)-1)),4)</f>
        <v>0</v>
      </c>
      <c r="T433" s="446">
        <f t="shared" ca="1" si="180"/>
        <v>0</v>
      </c>
      <c r="U433" s="443"/>
      <c r="V433" s="446">
        <v>0</v>
      </c>
      <c r="W433" s="449">
        <f t="shared" ca="1" si="181"/>
        <v>0</v>
      </c>
      <c r="X433" s="452">
        <f t="shared" si="179"/>
        <v>0</v>
      </c>
      <c r="Y433" s="440"/>
      <c r="Z433" s="440">
        <f t="shared" ca="1" si="182"/>
        <v>0</v>
      </c>
      <c r="AA433" s="241"/>
      <c r="AH433" s="242"/>
    </row>
    <row r="434" spans="2:34" ht="15.75" x14ac:dyDescent="0.25">
      <c r="B434" s="229"/>
      <c r="C434" s="235"/>
      <c r="D434" s="243"/>
      <c r="E434" s="232"/>
      <c r="F434" s="435"/>
      <c r="G434" s="234"/>
      <c r="H434" s="235"/>
      <c r="I434" s="235"/>
      <c r="J434" s="440"/>
      <c r="K434" s="443">
        <f ca="1">ROUND(IF(ISERROR(OFFSET(Tabella!$A$1,MATCH(H434,Tabella!$A:$A,0)-1,MATCH(J434,Tabella!$A$1:$AC$1,0)-1)=TRUE),0,+OFFSET(Tabella!$A$1,MATCH(H434,Tabella!$A:$A,0)-1,MATCH(J434,Tabella!$A$1:$AC$1,0)-1)),4)</f>
        <v>0</v>
      </c>
      <c r="L434" s="446">
        <f ca="1">ROUND(IF(ISERROR(OFFSET(Ottone!$A$1,MATCH(H434,Ottone!$A:$A,0)-1,MATCH(J434,Ottone!$A$1:$Z$1,0)-1)=TRUE),0,OFFSET(Ottone!$A$1,MATCH(H434,Ottone!$A:$A,0)-1,MATCH(J434,Ottone!$A$1:$Z$1,0)-1))*IF(E434="Ottone",1,0),4)</f>
        <v>0</v>
      </c>
      <c r="M434" s="446">
        <f ca="1">ROUND(IF(ISERROR(OFFSET(Rame!$A$1,MATCH(H434,Rame!$A:$A,0)-1,MATCH(J434,Rame!$A$1:$AA$1,0)-1)=TRUE),0,OFFSET(Rame!$A$1,MATCH(H434,Rame!$A:$A,0)-1,MATCH(J434,Rame!$A$1:$AA$1,0)-1))*IF(E434="Rame",1,0),4)</f>
        <v>0</v>
      </c>
      <c r="N434" s="446">
        <v>0</v>
      </c>
      <c r="O434" s="446">
        <f t="shared" ca="1" si="183"/>
        <v>0</v>
      </c>
      <c r="P434" s="446">
        <f ca="1">ROUND(+IF(ISERROR(OFFSET(Tabella!$G$1,MATCH(H434,Tabella!$G:$G,0)-1,MATCH(I434,Tabella!$G$1:$FG$1,0)-1)=TRUE),0,OFFSET(Tabella!$G$1,MATCH(H434,Tabella!$G:$G,0)-1,MATCH(I434,Tabella!$G$1:$AB$1,0)-1)),4)</f>
        <v>0</v>
      </c>
      <c r="Q434" s="446">
        <f ca="1">ROUND(IF(ISERROR(OFFSET(Ottone!$F$1,MATCH(H434,Ottone!$A:$A,0)-1,MATCH(I434,Ottone!$F$1:$FF$1,0)-1)=TRUE),0,OFFSET(Ottone!$F$1,MATCH(H434,Ottone!$A:$A,0)-1,MATCH(I434,Ottone!$F$1:$FF$1,0)-1))*IF(E434="Ottone",1,0),4)</f>
        <v>0</v>
      </c>
      <c r="R434" s="446">
        <f ca="1">ROUND(IF(ISERROR(OFFSET(Rame!$F$1,MATCH(H434,Rame!$F:$F,0)-1,MATCH(I434,Rame!$F$1:$FF$1,0)-1)=TRUE),0,OFFSET(Rame!$F$1,MATCH(H434,Rame!$F:$F,0)-1,MATCH(I434,Rame!$F$1:$FF$1,0)-1))*IF(E434="Rame",1,0),4)</f>
        <v>0</v>
      </c>
      <c r="S434" s="446">
        <f ca="1">ROUND(IF(ISERROR(OFFSET(Bronzo!$A$1,MATCH(H434,Bronzo!$A:$A,0)-1,MATCH(I434,Bronzo!$A$1:$AA$1,0)-1)=TRUE),0,OFFSET(Bronzo!$A$1,MATCH(H434,Bronzo!$A:$A,0)-1,MATCH(I434,Bronzo!$A$1:$AA$1,0)-1)),4)</f>
        <v>0</v>
      </c>
      <c r="T434" s="446">
        <f t="shared" ca="1" si="180"/>
        <v>0</v>
      </c>
      <c r="U434" s="443"/>
      <c r="V434" s="446">
        <v>0</v>
      </c>
      <c r="W434" s="449">
        <f t="shared" ca="1" si="181"/>
        <v>0</v>
      </c>
      <c r="X434" s="452">
        <f t="shared" si="179"/>
        <v>0</v>
      </c>
      <c r="Y434" s="440"/>
      <c r="Z434" s="440">
        <f t="shared" ca="1" si="182"/>
        <v>0</v>
      </c>
      <c r="AA434" s="241"/>
      <c r="AH434" s="242"/>
    </row>
    <row r="435" spans="2:34" ht="15.75" x14ac:dyDescent="0.25">
      <c r="B435" s="229"/>
      <c r="C435" s="235"/>
      <c r="D435" s="243"/>
      <c r="E435" s="232"/>
      <c r="F435" s="435"/>
      <c r="G435" s="234"/>
      <c r="H435" s="235"/>
      <c r="I435" s="235"/>
      <c r="J435" s="440"/>
      <c r="K435" s="443">
        <f ca="1">ROUND(IF(ISERROR(OFFSET(Tabella!$A$1,MATCH(H435,Tabella!$A:$A,0)-1,MATCH(J435,Tabella!$A$1:$AC$1,0)-1)=TRUE),0,+OFFSET(Tabella!$A$1,MATCH(H435,Tabella!$A:$A,0)-1,MATCH(J435,Tabella!$A$1:$AC$1,0)-1)),4)</f>
        <v>0</v>
      </c>
      <c r="L435" s="446">
        <f ca="1">ROUND(IF(ISERROR(OFFSET(Ottone!$A$1,MATCH(H435,Ottone!$A:$A,0)-1,MATCH(J435,Ottone!$A$1:$Z$1,0)-1)=TRUE),0,OFFSET(Ottone!$A$1,MATCH(H435,Ottone!$A:$A,0)-1,MATCH(J435,Ottone!$A$1:$Z$1,0)-1))*IF(E435="Ottone",1,0),4)</f>
        <v>0</v>
      </c>
      <c r="M435" s="446">
        <f ca="1">ROUND(IF(ISERROR(OFFSET(Rame!$A$1,MATCH(H435,Rame!$A:$A,0)-1,MATCH(J435,Rame!$A$1:$AA$1,0)-1)=TRUE),0,OFFSET(Rame!$A$1,MATCH(H435,Rame!$A:$A,0)-1,MATCH(J435,Rame!$A$1:$AA$1,0)-1))*IF(E435="Rame",1,0),4)</f>
        <v>0</v>
      </c>
      <c r="N435" s="446">
        <v>0</v>
      </c>
      <c r="O435" s="446">
        <f t="shared" ca="1" si="183"/>
        <v>0</v>
      </c>
      <c r="P435" s="446">
        <f ca="1">ROUND(+IF(ISERROR(OFFSET(Tabella!$G$1,MATCH(H435,Tabella!$G:$G,0)-1,MATCH(I435,Tabella!$G$1:$FG$1,0)-1)=TRUE),0,OFFSET(Tabella!$G$1,MATCH(H435,Tabella!$G:$G,0)-1,MATCH(I435,Tabella!$G$1:$AB$1,0)-1)),4)</f>
        <v>0</v>
      </c>
      <c r="Q435" s="446">
        <f ca="1">ROUND(IF(ISERROR(OFFSET(Ottone!$F$1,MATCH(H435,Ottone!$A:$A,0)-1,MATCH(I435,Ottone!$F$1:$FF$1,0)-1)=TRUE),0,OFFSET(Ottone!$F$1,MATCH(H435,Ottone!$A:$A,0)-1,MATCH(I435,Ottone!$F$1:$FF$1,0)-1))*IF(E435="Ottone",1,0),4)</f>
        <v>0</v>
      </c>
      <c r="R435" s="446">
        <f ca="1">ROUND(IF(ISERROR(OFFSET(Rame!$F$1,MATCH(H435,Rame!$F:$F,0)-1,MATCH(I435,Rame!$F$1:$FF$1,0)-1)=TRUE),0,OFFSET(Rame!$F$1,MATCH(H435,Rame!$F:$F,0)-1,MATCH(I435,Rame!$F$1:$FF$1,0)-1))*IF(E435="Rame",1,0),4)</f>
        <v>0</v>
      </c>
      <c r="S435" s="446">
        <f ca="1">ROUND(IF(ISERROR(OFFSET(Bronzo!$A$1,MATCH(H435,Bronzo!$A:$A,0)-1,MATCH(I435,Bronzo!$A$1:$AA$1,0)-1)=TRUE),0,OFFSET(Bronzo!$A$1,MATCH(H435,Bronzo!$A:$A,0)-1,MATCH(I435,Bronzo!$A$1:$AA$1,0)-1)),4)</f>
        <v>0</v>
      </c>
      <c r="T435" s="446">
        <f t="shared" ca="1" si="180"/>
        <v>0</v>
      </c>
      <c r="U435" s="443"/>
      <c r="V435" s="446">
        <v>0</v>
      </c>
      <c r="W435" s="449">
        <f t="shared" ca="1" si="181"/>
        <v>0</v>
      </c>
      <c r="X435" s="452">
        <f t="shared" si="179"/>
        <v>0</v>
      </c>
      <c r="Y435" s="440"/>
      <c r="Z435" s="440">
        <f t="shared" ca="1" si="182"/>
        <v>0</v>
      </c>
      <c r="AA435" s="241"/>
      <c r="AH435" s="242"/>
    </row>
    <row r="436" spans="2:34" ht="15.75" x14ac:dyDescent="0.25">
      <c r="B436" s="229"/>
      <c r="C436" s="235"/>
      <c r="D436" s="243"/>
      <c r="E436" s="232"/>
      <c r="F436" s="435"/>
      <c r="G436" s="234"/>
      <c r="H436" s="235"/>
      <c r="I436" s="235"/>
      <c r="J436" s="440"/>
      <c r="K436" s="443">
        <f ca="1">ROUND(IF(ISERROR(OFFSET(Tabella!$A$1,MATCH(H436,Tabella!$A:$A,0)-1,MATCH(J436,Tabella!$A$1:$AC$1,0)-1)=TRUE),0,+OFFSET(Tabella!$A$1,MATCH(H436,Tabella!$A:$A,0)-1,MATCH(J436,Tabella!$A$1:$AC$1,0)-1)),4)</f>
        <v>0</v>
      </c>
      <c r="L436" s="446">
        <f ca="1">ROUND(IF(ISERROR(OFFSET(Ottone!$A$1,MATCH(H436,Ottone!$A:$A,0)-1,MATCH(J436,Ottone!$A$1:$Z$1,0)-1)=TRUE),0,OFFSET(Ottone!$A$1,MATCH(H436,Ottone!$A:$A,0)-1,MATCH(J436,Ottone!$A$1:$Z$1,0)-1))*IF(E436="Ottone",1,0),4)</f>
        <v>0</v>
      </c>
      <c r="M436" s="446">
        <f ca="1">ROUND(IF(ISERROR(OFFSET(Rame!$A$1,MATCH(H436,Rame!$A:$A,0)-1,MATCH(J436,Rame!$A$1:$AA$1,0)-1)=TRUE),0,OFFSET(Rame!$A$1,MATCH(H436,Rame!$A:$A,0)-1,MATCH(J436,Rame!$A$1:$AA$1,0)-1))*IF(E436="Rame",1,0),4)</f>
        <v>0</v>
      </c>
      <c r="N436" s="446">
        <v>0</v>
      </c>
      <c r="O436" s="446">
        <f t="shared" ca="1" si="183"/>
        <v>0</v>
      </c>
      <c r="P436" s="446">
        <f ca="1">ROUND(+IF(ISERROR(OFFSET(Tabella!$G$1,MATCH(H436,Tabella!$G:$G,0)-1,MATCH(I436,Tabella!$G$1:$FG$1,0)-1)=TRUE),0,OFFSET(Tabella!$G$1,MATCH(H436,Tabella!$G:$G,0)-1,MATCH(I436,Tabella!$G$1:$AB$1,0)-1)),4)</f>
        <v>0</v>
      </c>
      <c r="Q436" s="446">
        <f ca="1">ROUND(IF(ISERROR(OFFSET(Ottone!$F$1,MATCH(H436,Ottone!$A:$A,0)-1,MATCH(I436,Ottone!$F$1:$FF$1,0)-1)=TRUE),0,OFFSET(Ottone!$F$1,MATCH(H436,Ottone!$A:$A,0)-1,MATCH(I436,Ottone!$F$1:$FF$1,0)-1))*IF(E436="Ottone",1,0),4)</f>
        <v>0</v>
      </c>
      <c r="R436" s="446">
        <f ca="1">ROUND(IF(ISERROR(OFFSET(Rame!$F$1,MATCH(H436,Rame!$F:$F,0)-1,MATCH(I436,Rame!$F$1:$FF$1,0)-1)=TRUE),0,OFFSET(Rame!$F$1,MATCH(H436,Rame!$F:$F,0)-1,MATCH(I436,Rame!$F$1:$FF$1,0)-1))*IF(E436="Rame",1,0),4)</f>
        <v>0</v>
      </c>
      <c r="S436" s="446">
        <f ca="1">ROUND(IF(ISERROR(OFFSET(Bronzo!$A$1,MATCH(H436,Bronzo!$A:$A,0)-1,MATCH(I436,Bronzo!$A$1:$AA$1,0)-1)=TRUE),0,OFFSET(Bronzo!$A$1,MATCH(H436,Bronzo!$A:$A,0)-1,MATCH(I436,Bronzo!$A$1:$AA$1,0)-1)),4)</f>
        <v>0</v>
      </c>
      <c r="T436" s="446">
        <f t="shared" ca="1" si="180"/>
        <v>0</v>
      </c>
      <c r="U436" s="443"/>
      <c r="V436" s="446">
        <v>0</v>
      </c>
      <c r="W436" s="449">
        <f t="shared" ca="1" si="181"/>
        <v>0</v>
      </c>
      <c r="X436" s="452">
        <f t="shared" si="179"/>
        <v>0</v>
      </c>
      <c r="Y436" s="440"/>
      <c r="Z436" s="440">
        <f t="shared" ca="1" si="182"/>
        <v>0</v>
      </c>
      <c r="AA436" s="241"/>
      <c r="AH436" s="242"/>
    </row>
    <row r="437" spans="2:34" ht="15.75" x14ac:dyDescent="0.25">
      <c r="B437" s="229"/>
      <c r="C437" s="235"/>
      <c r="D437" s="243"/>
      <c r="E437" s="232"/>
      <c r="F437" s="435"/>
      <c r="G437" s="234"/>
      <c r="H437" s="235"/>
      <c r="I437" s="235"/>
      <c r="J437" s="440"/>
      <c r="K437" s="443">
        <f ca="1">ROUND(IF(ISERROR(OFFSET(Tabella!$A$1,MATCH(H437,Tabella!$A:$A,0)-1,MATCH(J437,Tabella!$A$1:$AC$1,0)-1)=TRUE),0,+OFFSET(Tabella!$A$1,MATCH(H437,Tabella!$A:$A,0)-1,MATCH(J437,Tabella!$A$1:$AC$1,0)-1)),4)</f>
        <v>0</v>
      </c>
      <c r="L437" s="446">
        <f ca="1">ROUND(IF(ISERROR(OFFSET(Ottone!$A$1,MATCH(H437,Ottone!$A:$A,0)-1,MATCH(J437,Ottone!$A$1:$Z$1,0)-1)=TRUE),0,OFFSET(Ottone!$A$1,MATCH(H437,Ottone!$A:$A,0)-1,MATCH(J437,Ottone!$A$1:$Z$1,0)-1))*IF(E437="Ottone",1,0),4)</f>
        <v>0</v>
      </c>
      <c r="M437" s="446">
        <f ca="1">ROUND(IF(ISERROR(OFFSET(Rame!$A$1,MATCH(H437,Rame!$A:$A,0)-1,MATCH(J437,Rame!$A$1:$AA$1,0)-1)=TRUE),0,OFFSET(Rame!$A$1,MATCH(H437,Rame!$A:$A,0)-1,MATCH(J437,Rame!$A$1:$AA$1,0)-1))*IF(E437="Rame",1,0),4)</f>
        <v>0</v>
      </c>
      <c r="N437" s="446">
        <v>0</v>
      </c>
      <c r="O437" s="446">
        <f t="shared" ca="1" si="183"/>
        <v>0</v>
      </c>
      <c r="P437" s="446">
        <f ca="1">ROUND(+IF(ISERROR(OFFSET(Tabella!$G$1,MATCH(H437,Tabella!$G:$G,0)-1,MATCH(I437,Tabella!$G$1:$FG$1,0)-1)=TRUE),0,OFFSET(Tabella!$G$1,MATCH(H437,Tabella!$G:$G,0)-1,MATCH(I437,Tabella!$G$1:$AB$1,0)-1)),4)</f>
        <v>0</v>
      </c>
      <c r="Q437" s="446">
        <f ca="1">ROUND(IF(ISERROR(OFFSET(Ottone!$F$1,MATCH(H437,Ottone!$A:$A,0)-1,MATCH(I437,Ottone!$F$1:$FF$1,0)-1)=TRUE),0,OFFSET(Ottone!$F$1,MATCH(H437,Ottone!$A:$A,0)-1,MATCH(I437,Ottone!$F$1:$FF$1,0)-1))*IF(E437="Ottone",1,0),4)</f>
        <v>0</v>
      </c>
      <c r="R437" s="446">
        <f ca="1">ROUND(IF(ISERROR(OFFSET(Rame!$F$1,MATCH(H437,Rame!$F:$F,0)-1,MATCH(I437,Rame!$F$1:$FF$1,0)-1)=TRUE),0,OFFSET(Rame!$F$1,MATCH(H437,Rame!$F:$F,0)-1,MATCH(I437,Rame!$F$1:$FF$1,0)-1))*IF(E437="Rame",1,0),4)</f>
        <v>0</v>
      </c>
      <c r="S437" s="446">
        <f ca="1">ROUND(IF(ISERROR(OFFSET(Bronzo!$A$1,MATCH(H437,Bronzo!$A:$A,0)-1,MATCH(I437,Bronzo!$A$1:$AA$1,0)-1)=TRUE),0,OFFSET(Bronzo!$A$1,MATCH(H437,Bronzo!$A:$A,0)-1,MATCH(I437,Bronzo!$A$1:$AA$1,0)-1)),4)</f>
        <v>0</v>
      </c>
      <c r="T437" s="446">
        <f t="shared" ca="1" si="180"/>
        <v>0</v>
      </c>
      <c r="U437" s="443"/>
      <c r="V437" s="446">
        <v>0</v>
      </c>
      <c r="W437" s="449">
        <f t="shared" ca="1" si="181"/>
        <v>0</v>
      </c>
      <c r="X437" s="452">
        <f t="shared" si="179"/>
        <v>0</v>
      </c>
      <c r="Y437" s="440"/>
      <c r="Z437" s="440">
        <f t="shared" ca="1" si="182"/>
        <v>0</v>
      </c>
      <c r="AA437" s="241"/>
      <c r="AH437" s="242"/>
    </row>
    <row r="438" spans="2:34" ht="15.75" x14ac:dyDescent="0.25">
      <c r="B438" s="229"/>
      <c r="C438" s="235"/>
      <c r="D438" s="243"/>
      <c r="E438" s="232"/>
      <c r="F438" s="435"/>
      <c r="G438" s="234"/>
      <c r="H438" s="235"/>
      <c r="I438" s="235"/>
      <c r="J438" s="440"/>
      <c r="K438" s="443">
        <f ca="1">ROUND(IF(ISERROR(OFFSET(Tabella!$A$1,MATCH(H438,Tabella!$A:$A,0)-1,MATCH(J438,Tabella!$A$1:$AC$1,0)-1)=TRUE),0,+OFFSET(Tabella!$A$1,MATCH(H438,Tabella!$A:$A,0)-1,MATCH(J438,Tabella!$A$1:$AC$1,0)-1)),4)</f>
        <v>0</v>
      </c>
      <c r="L438" s="446">
        <f ca="1">ROUND(IF(ISERROR(OFFSET(Ottone!$A$1,MATCH(H438,Ottone!$A:$A,0)-1,MATCH(J438,Ottone!$A$1:$Z$1,0)-1)=TRUE),0,OFFSET(Ottone!$A$1,MATCH(H438,Ottone!$A:$A,0)-1,MATCH(J438,Ottone!$A$1:$Z$1,0)-1))*IF(E438="Ottone",1,0),4)</f>
        <v>0</v>
      </c>
      <c r="M438" s="446">
        <f ca="1">ROUND(IF(ISERROR(OFFSET(Rame!$A$1,MATCH(H438,Rame!$A:$A,0)-1,MATCH(J438,Rame!$A$1:$AA$1,0)-1)=TRUE),0,OFFSET(Rame!$A$1,MATCH(H438,Rame!$A:$A,0)-1,MATCH(J438,Rame!$A$1:$AA$1,0)-1))*IF(E438="Rame",1,0),4)</f>
        <v>0</v>
      </c>
      <c r="N438" s="446">
        <v>0</v>
      </c>
      <c r="O438" s="446">
        <f t="shared" ca="1" si="183"/>
        <v>0</v>
      </c>
      <c r="P438" s="446">
        <f ca="1">ROUND(+IF(ISERROR(OFFSET(Tabella!$G$1,MATCH(H438,Tabella!$G:$G,0)-1,MATCH(I438,Tabella!$G$1:$FG$1,0)-1)=TRUE),0,OFFSET(Tabella!$G$1,MATCH(H438,Tabella!$G:$G,0)-1,MATCH(I438,Tabella!$G$1:$AB$1,0)-1)),4)</f>
        <v>0</v>
      </c>
      <c r="Q438" s="446">
        <f ca="1">ROUND(IF(ISERROR(OFFSET(Ottone!$F$1,MATCH(H438,Ottone!$A:$A,0)-1,MATCH(I438,Ottone!$F$1:$FF$1,0)-1)=TRUE),0,OFFSET(Ottone!$F$1,MATCH(H438,Ottone!$A:$A,0)-1,MATCH(I438,Ottone!$F$1:$FF$1,0)-1))*IF(E438="Ottone",1,0),4)</f>
        <v>0</v>
      </c>
      <c r="R438" s="446">
        <f ca="1">ROUND(IF(ISERROR(OFFSET(Rame!$F$1,MATCH(H438,Rame!$F:$F,0)-1,MATCH(I438,Rame!$F$1:$FF$1,0)-1)=TRUE),0,OFFSET(Rame!$F$1,MATCH(H438,Rame!$F:$F,0)-1,MATCH(I438,Rame!$F$1:$FF$1,0)-1))*IF(E438="Rame",1,0),4)</f>
        <v>0</v>
      </c>
      <c r="S438" s="446">
        <f ca="1">ROUND(IF(ISERROR(OFFSET(Bronzo!$A$1,MATCH(H438,Bronzo!$A:$A,0)-1,MATCH(I438,Bronzo!$A$1:$AA$1,0)-1)=TRUE),0,OFFSET(Bronzo!$A$1,MATCH(H438,Bronzo!$A:$A,0)-1,MATCH(I438,Bronzo!$A$1:$AA$1,0)-1)),4)</f>
        <v>0</v>
      </c>
      <c r="T438" s="446">
        <f t="shared" ca="1" si="180"/>
        <v>0</v>
      </c>
      <c r="U438" s="443"/>
      <c r="V438" s="446">
        <v>0</v>
      </c>
      <c r="W438" s="449">
        <f t="shared" ca="1" si="181"/>
        <v>0</v>
      </c>
      <c r="X438" s="452">
        <f t="shared" si="179"/>
        <v>0</v>
      </c>
      <c r="Y438" s="440"/>
      <c r="Z438" s="440">
        <f t="shared" ca="1" si="182"/>
        <v>0</v>
      </c>
      <c r="AA438" s="241"/>
      <c r="AH438" s="242"/>
    </row>
    <row r="439" spans="2:34" ht="15.75" x14ac:dyDescent="0.25">
      <c r="B439" s="229"/>
      <c r="C439" s="235"/>
      <c r="D439" s="243"/>
      <c r="E439" s="232"/>
      <c r="F439" s="435"/>
      <c r="G439" s="234"/>
      <c r="H439" s="235"/>
      <c r="I439" s="235"/>
      <c r="J439" s="440"/>
      <c r="K439" s="443">
        <f ca="1">ROUND(IF(ISERROR(OFFSET(Tabella!$A$1,MATCH(H439,Tabella!$A:$A,0)-1,MATCH(J439,Tabella!$A$1:$AC$1,0)-1)=TRUE),0,+OFFSET(Tabella!$A$1,MATCH(H439,Tabella!$A:$A,0)-1,MATCH(J439,Tabella!$A$1:$AC$1,0)-1)),4)</f>
        <v>0</v>
      </c>
      <c r="L439" s="446">
        <f ca="1">ROUND(IF(ISERROR(OFFSET(Ottone!$A$1,MATCH(H439,Ottone!$A:$A,0)-1,MATCH(J439,Ottone!$A$1:$Z$1,0)-1)=TRUE),0,OFFSET(Ottone!$A$1,MATCH(H439,Ottone!$A:$A,0)-1,MATCH(J439,Ottone!$A$1:$Z$1,0)-1))*IF(E439="Ottone",1,0),4)</f>
        <v>0</v>
      </c>
      <c r="M439" s="446">
        <f ca="1">ROUND(IF(ISERROR(OFFSET(Rame!$A$1,MATCH(H439,Rame!$A:$A,0)-1,MATCH(J439,Rame!$A$1:$AA$1,0)-1)=TRUE),0,OFFSET(Rame!$A$1,MATCH(H439,Rame!$A:$A,0)-1,MATCH(J439,Rame!$A$1:$AA$1,0)-1))*IF(E439="Rame",1,0),4)</f>
        <v>0</v>
      </c>
      <c r="N439" s="446">
        <v>0</v>
      </c>
      <c r="O439" s="446">
        <f t="shared" ca="1" si="183"/>
        <v>0</v>
      </c>
      <c r="P439" s="446">
        <f ca="1">ROUND(+IF(ISERROR(OFFSET(Tabella!$G$1,MATCH(H439,Tabella!$G:$G,0)-1,MATCH(I439,Tabella!$G$1:$FG$1,0)-1)=TRUE),0,OFFSET(Tabella!$G$1,MATCH(H439,Tabella!$G:$G,0)-1,MATCH(I439,Tabella!$G$1:$AB$1,0)-1)),4)</f>
        <v>0</v>
      </c>
      <c r="Q439" s="446">
        <f ca="1">ROUND(IF(ISERROR(OFFSET(Ottone!$F$1,MATCH(H439,Ottone!$A:$A,0)-1,MATCH(I439,Ottone!$F$1:$FF$1,0)-1)=TRUE),0,OFFSET(Ottone!$F$1,MATCH(H439,Ottone!$A:$A,0)-1,MATCH(I439,Ottone!$F$1:$FF$1,0)-1))*IF(E439="Ottone",1,0),4)</f>
        <v>0</v>
      </c>
      <c r="R439" s="446">
        <f ca="1">ROUND(IF(ISERROR(OFFSET(Rame!$F$1,MATCH(H439,Rame!$F:$F,0)-1,MATCH(I439,Rame!$F$1:$FF$1,0)-1)=TRUE),0,OFFSET(Rame!$F$1,MATCH(H439,Rame!$F:$F,0)-1,MATCH(I439,Rame!$F$1:$FF$1,0)-1))*IF(E439="Rame",1,0),4)</f>
        <v>0</v>
      </c>
      <c r="S439" s="446">
        <f ca="1">ROUND(IF(ISERROR(OFFSET(Bronzo!$A$1,MATCH(H439,Bronzo!$A:$A,0)-1,MATCH(I439,Bronzo!$A$1:$AA$1,0)-1)=TRUE),0,OFFSET(Bronzo!$A$1,MATCH(H439,Bronzo!$A:$A,0)-1,MATCH(I439,Bronzo!$A$1:$AA$1,0)-1)),4)</f>
        <v>0</v>
      </c>
      <c r="T439" s="446">
        <f t="shared" ca="1" si="180"/>
        <v>0</v>
      </c>
      <c r="U439" s="443"/>
      <c r="V439" s="446">
        <v>0</v>
      </c>
      <c r="W439" s="449">
        <f t="shared" ca="1" si="181"/>
        <v>0</v>
      </c>
      <c r="X439" s="452">
        <f t="shared" si="179"/>
        <v>0</v>
      </c>
      <c r="Y439" s="440"/>
      <c r="Z439" s="440">
        <f t="shared" ca="1" si="182"/>
        <v>0</v>
      </c>
      <c r="AA439" s="241"/>
      <c r="AH439" s="242"/>
    </row>
    <row r="440" spans="2:34" ht="15.75" x14ac:dyDescent="0.25">
      <c r="B440" s="229"/>
      <c r="C440" s="235"/>
      <c r="D440" s="243"/>
      <c r="E440" s="232"/>
      <c r="F440" s="435"/>
      <c r="G440" s="234"/>
      <c r="H440" s="235"/>
      <c r="I440" s="235"/>
      <c r="J440" s="440"/>
      <c r="K440" s="443">
        <f ca="1">ROUND(IF(ISERROR(OFFSET(Tabella!$A$1,MATCH(H440,Tabella!$A:$A,0)-1,MATCH(J440,Tabella!$A$1:$AC$1,0)-1)=TRUE),0,+OFFSET(Tabella!$A$1,MATCH(H440,Tabella!$A:$A,0)-1,MATCH(J440,Tabella!$A$1:$AC$1,0)-1)),4)</f>
        <v>0</v>
      </c>
      <c r="L440" s="446">
        <f ca="1">ROUND(IF(ISERROR(OFFSET(Ottone!$A$1,MATCH(H440,Ottone!$A:$A,0)-1,MATCH(J440,Ottone!$A$1:$Z$1,0)-1)=TRUE),0,OFFSET(Ottone!$A$1,MATCH(H440,Ottone!$A:$A,0)-1,MATCH(J440,Ottone!$A$1:$Z$1,0)-1))*IF(E440="Ottone",1,0),4)</f>
        <v>0</v>
      </c>
      <c r="M440" s="446">
        <f ca="1">ROUND(IF(ISERROR(OFFSET(Rame!$A$1,MATCH(H440,Rame!$A:$A,0)-1,MATCH(J440,Rame!$A$1:$AA$1,0)-1)=TRUE),0,OFFSET(Rame!$A$1,MATCH(H440,Rame!$A:$A,0)-1,MATCH(J440,Rame!$A$1:$AA$1,0)-1))*IF(E440="Rame",1,0),4)</f>
        <v>0</v>
      </c>
      <c r="N440" s="446">
        <v>0</v>
      </c>
      <c r="O440" s="446">
        <f t="shared" ca="1" si="183"/>
        <v>0</v>
      </c>
      <c r="P440" s="446">
        <f ca="1">ROUND(+IF(ISERROR(OFFSET(Tabella!$G$1,MATCH(H440,Tabella!$G:$G,0)-1,MATCH(I440,Tabella!$G$1:$FG$1,0)-1)=TRUE),0,OFFSET(Tabella!$G$1,MATCH(H440,Tabella!$G:$G,0)-1,MATCH(I440,Tabella!$G$1:$AB$1,0)-1)),4)</f>
        <v>0</v>
      </c>
      <c r="Q440" s="446">
        <f ca="1">ROUND(IF(ISERROR(OFFSET(Ottone!$F$1,MATCH(H440,Ottone!$A:$A,0)-1,MATCH(I440,Ottone!$F$1:$FF$1,0)-1)=TRUE),0,OFFSET(Ottone!$F$1,MATCH(H440,Ottone!$A:$A,0)-1,MATCH(I440,Ottone!$F$1:$FF$1,0)-1))*IF(E440="Ottone",1,0),4)</f>
        <v>0</v>
      </c>
      <c r="R440" s="446">
        <f ca="1">ROUND(IF(ISERROR(OFFSET(Rame!$F$1,MATCH(H440,Rame!$F:$F,0)-1,MATCH(I440,Rame!$F$1:$FF$1,0)-1)=TRUE),0,OFFSET(Rame!$F$1,MATCH(H440,Rame!$F:$F,0)-1,MATCH(I440,Rame!$F$1:$FF$1,0)-1))*IF(E440="Rame",1,0),4)</f>
        <v>0</v>
      </c>
      <c r="S440" s="446">
        <f ca="1">ROUND(IF(ISERROR(OFFSET(Bronzo!$A$1,MATCH(H440,Bronzo!$A:$A,0)-1,MATCH(I440,Bronzo!$A$1:$AA$1,0)-1)=TRUE),0,OFFSET(Bronzo!$A$1,MATCH(H440,Bronzo!$A:$A,0)-1,MATCH(I440,Bronzo!$A$1:$AA$1,0)-1)),4)</f>
        <v>0</v>
      </c>
      <c r="T440" s="446">
        <f t="shared" ca="1" si="180"/>
        <v>0</v>
      </c>
      <c r="U440" s="443"/>
      <c r="V440" s="446">
        <v>0</v>
      </c>
      <c r="W440" s="449">
        <f t="shared" ca="1" si="181"/>
        <v>0</v>
      </c>
      <c r="X440" s="452">
        <f t="shared" si="179"/>
        <v>0</v>
      </c>
      <c r="Y440" s="440"/>
      <c r="Z440" s="440">
        <f t="shared" ca="1" si="182"/>
        <v>0</v>
      </c>
      <c r="AA440" s="241"/>
      <c r="AH440" s="242"/>
    </row>
    <row r="441" spans="2:34" ht="15.75" x14ac:dyDescent="0.25">
      <c r="B441" s="229"/>
      <c r="C441" s="235"/>
      <c r="D441" s="243"/>
      <c r="E441" s="232"/>
      <c r="F441" s="435"/>
      <c r="G441" s="234"/>
      <c r="H441" s="235"/>
      <c r="I441" s="235"/>
      <c r="J441" s="440"/>
      <c r="K441" s="443">
        <f ca="1">ROUND(IF(ISERROR(OFFSET(Tabella!$A$1,MATCH(H441,Tabella!$A:$A,0)-1,MATCH(J441,Tabella!$A$1:$AC$1,0)-1)=TRUE),0,+OFFSET(Tabella!$A$1,MATCH(H441,Tabella!$A:$A,0)-1,MATCH(J441,Tabella!$A$1:$AC$1,0)-1)),4)</f>
        <v>0</v>
      </c>
      <c r="L441" s="446">
        <f ca="1">ROUND(IF(ISERROR(OFFSET(Ottone!$A$1,MATCH(H441,Ottone!$A:$A,0)-1,MATCH(J441,Ottone!$A$1:$Z$1,0)-1)=TRUE),0,OFFSET(Ottone!$A$1,MATCH(H441,Ottone!$A:$A,0)-1,MATCH(J441,Ottone!$A$1:$Z$1,0)-1))*IF(E441="Ottone",1,0),4)</f>
        <v>0</v>
      </c>
      <c r="M441" s="446">
        <f ca="1">ROUND(IF(ISERROR(OFFSET(Rame!$A$1,MATCH(H441,Rame!$A:$A,0)-1,MATCH(J441,Rame!$A$1:$AA$1,0)-1)=TRUE),0,OFFSET(Rame!$A$1,MATCH(H441,Rame!$A:$A,0)-1,MATCH(J441,Rame!$A$1:$AA$1,0)-1))*IF(E441="Rame",1,0),4)</f>
        <v>0</v>
      </c>
      <c r="N441" s="446">
        <v>0</v>
      </c>
      <c r="O441" s="446">
        <f t="shared" ca="1" si="183"/>
        <v>0</v>
      </c>
      <c r="P441" s="446">
        <f ca="1">ROUND(+IF(ISERROR(OFFSET(Tabella!$G$1,MATCH(H441,Tabella!$G:$G,0)-1,MATCH(I441,Tabella!$G$1:$FG$1,0)-1)=TRUE),0,OFFSET(Tabella!$G$1,MATCH(H441,Tabella!$G:$G,0)-1,MATCH(I441,Tabella!$G$1:$AB$1,0)-1)),4)</f>
        <v>0</v>
      </c>
      <c r="Q441" s="446">
        <f ca="1">ROUND(IF(ISERROR(OFFSET(Ottone!$F$1,MATCH(H441,Ottone!$A:$A,0)-1,MATCH(I441,Ottone!$F$1:$FF$1,0)-1)=TRUE),0,OFFSET(Ottone!$F$1,MATCH(H441,Ottone!$A:$A,0)-1,MATCH(I441,Ottone!$F$1:$FF$1,0)-1))*IF(E441="Ottone",1,0),4)</f>
        <v>0</v>
      </c>
      <c r="R441" s="446">
        <f ca="1">ROUND(IF(ISERROR(OFFSET(Rame!$F$1,MATCH(H441,Rame!$F:$F,0)-1,MATCH(I441,Rame!$F$1:$FF$1,0)-1)=TRUE),0,OFFSET(Rame!$F$1,MATCH(H441,Rame!$F:$F,0)-1,MATCH(I441,Rame!$F$1:$FF$1,0)-1))*IF(E441="Rame",1,0),4)</f>
        <v>0</v>
      </c>
      <c r="S441" s="446">
        <f ca="1">ROUND(IF(ISERROR(OFFSET(Bronzo!$A$1,MATCH(H441,Bronzo!$A:$A,0)-1,MATCH(I441,Bronzo!$A$1:$AA$1,0)-1)=TRUE),0,OFFSET(Bronzo!$A$1,MATCH(H441,Bronzo!$A:$A,0)-1,MATCH(I441,Bronzo!$A$1:$AA$1,0)-1)),4)</f>
        <v>0</v>
      </c>
      <c r="T441" s="446">
        <f t="shared" ca="1" si="180"/>
        <v>0</v>
      </c>
      <c r="U441" s="443"/>
      <c r="V441" s="446">
        <v>0</v>
      </c>
      <c r="W441" s="449">
        <f t="shared" ca="1" si="181"/>
        <v>0</v>
      </c>
      <c r="X441" s="452">
        <f t="shared" si="179"/>
        <v>0</v>
      </c>
      <c r="Y441" s="440"/>
      <c r="Z441" s="440">
        <f t="shared" ca="1" si="182"/>
        <v>0</v>
      </c>
      <c r="AA441" s="241"/>
      <c r="AH441" s="242"/>
    </row>
    <row r="442" spans="2:34" ht="15.75" x14ac:dyDescent="0.25">
      <c r="B442" s="229"/>
      <c r="C442" s="235"/>
      <c r="D442" s="243"/>
      <c r="E442" s="232"/>
      <c r="F442" s="435"/>
      <c r="G442" s="234"/>
      <c r="H442" s="235"/>
      <c r="I442" s="235"/>
      <c r="J442" s="440"/>
      <c r="K442" s="443">
        <f ca="1">ROUND(IF(ISERROR(OFFSET(Tabella!$A$1,MATCH(H442,Tabella!$A:$A,0)-1,MATCH(J442,Tabella!$A$1:$AC$1,0)-1)=TRUE),0,+OFFSET(Tabella!$A$1,MATCH(H442,Tabella!$A:$A,0)-1,MATCH(J442,Tabella!$A$1:$AC$1,0)-1)),4)</f>
        <v>0</v>
      </c>
      <c r="L442" s="446">
        <f ca="1">ROUND(IF(ISERROR(OFFSET(Ottone!$A$1,MATCH(H442,Ottone!$A:$A,0)-1,MATCH(J442,Ottone!$A$1:$Z$1,0)-1)=TRUE),0,OFFSET(Ottone!$A$1,MATCH(H442,Ottone!$A:$A,0)-1,MATCH(J442,Ottone!$A$1:$Z$1,0)-1))*IF(E442="Ottone",1,0),4)</f>
        <v>0</v>
      </c>
      <c r="M442" s="446">
        <f ca="1">ROUND(IF(ISERROR(OFFSET(Rame!$A$1,MATCH(H442,Rame!$A:$A,0)-1,MATCH(J442,Rame!$A$1:$AA$1,0)-1)=TRUE),0,OFFSET(Rame!$A$1,MATCH(H442,Rame!$A:$A,0)-1,MATCH(J442,Rame!$A$1:$AA$1,0)-1))*IF(E442="Rame",1,0),4)</f>
        <v>0</v>
      </c>
      <c r="N442" s="446">
        <v>0</v>
      </c>
      <c r="O442" s="446">
        <f t="shared" ca="1" si="183"/>
        <v>0</v>
      </c>
      <c r="P442" s="446">
        <f ca="1">ROUND(+IF(ISERROR(OFFSET(Tabella!$G$1,MATCH(H442,Tabella!$G:$G,0)-1,MATCH(I442,Tabella!$G$1:$FG$1,0)-1)=TRUE),0,OFFSET(Tabella!$G$1,MATCH(H442,Tabella!$G:$G,0)-1,MATCH(I442,Tabella!$G$1:$AB$1,0)-1)),4)</f>
        <v>0</v>
      </c>
      <c r="Q442" s="446">
        <f ca="1">ROUND(IF(ISERROR(OFFSET(Ottone!$F$1,MATCH(H442,Ottone!$A:$A,0)-1,MATCH(I442,Ottone!$F$1:$FF$1,0)-1)=TRUE),0,OFFSET(Ottone!$F$1,MATCH(H442,Ottone!$A:$A,0)-1,MATCH(I442,Ottone!$F$1:$FF$1,0)-1))*IF(E442="Ottone",1,0),4)</f>
        <v>0</v>
      </c>
      <c r="R442" s="446">
        <f ca="1">ROUND(IF(ISERROR(OFFSET(Rame!$F$1,MATCH(H442,Rame!$F:$F,0)-1,MATCH(I442,Rame!$F$1:$FF$1,0)-1)=TRUE),0,OFFSET(Rame!$F$1,MATCH(H442,Rame!$F:$F,0)-1,MATCH(I442,Rame!$F$1:$FF$1,0)-1))*IF(E442="Rame",1,0),4)</f>
        <v>0</v>
      </c>
      <c r="S442" s="446">
        <f ca="1">ROUND(IF(ISERROR(OFFSET(Bronzo!$A$1,MATCH(H442,Bronzo!$A:$A,0)-1,MATCH(I442,Bronzo!$A$1:$AA$1,0)-1)=TRUE),0,OFFSET(Bronzo!$A$1,MATCH(H442,Bronzo!$A:$A,0)-1,MATCH(I442,Bronzo!$A$1:$AA$1,0)-1)),4)</f>
        <v>0</v>
      </c>
      <c r="T442" s="446">
        <f t="shared" ca="1" si="180"/>
        <v>0</v>
      </c>
      <c r="U442" s="443"/>
      <c r="V442" s="446">
        <v>0</v>
      </c>
      <c r="W442" s="449">
        <f t="shared" ca="1" si="181"/>
        <v>0</v>
      </c>
      <c r="X442" s="452">
        <f t="shared" si="179"/>
        <v>0</v>
      </c>
      <c r="Y442" s="440"/>
      <c r="Z442" s="440">
        <f t="shared" ca="1" si="182"/>
        <v>0</v>
      </c>
      <c r="AA442" s="241"/>
      <c r="AH442" s="242"/>
    </row>
    <row r="443" spans="2:34" ht="15.75" x14ac:dyDescent="0.25">
      <c r="B443" s="229"/>
      <c r="C443" s="235"/>
      <c r="D443" s="243"/>
      <c r="E443" s="232"/>
      <c r="F443" s="435"/>
      <c r="G443" s="234"/>
      <c r="H443" s="235"/>
      <c r="I443" s="235"/>
      <c r="J443" s="440"/>
      <c r="K443" s="443">
        <f ca="1">ROUND(IF(ISERROR(OFFSET(Tabella!$A$1,MATCH(H443,Tabella!$A:$A,0)-1,MATCH(J443,Tabella!$A$1:$AC$1,0)-1)=TRUE),0,+OFFSET(Tabella!$A$1,MATCH(H443,Tabella!$A:$A,0)-1,MATCH(J443,Tabella!$A$1:$AC$1,0)-1)),4)</f>
        <v>0</v>
      </c>
      <c r="L443" s="446">
        <f ca="1">ROUND(IF(ISERROR(OFFSET(Ottone!$A$1,MATCH(H443,Ottone!$A:$A,0)-1,MATCH(J443,Ottone!$A$1:$Z$1,0)-1)=TRUE),0,OFFSET(Ottone!$A$1,MATCH(H443,Ottone!$A:$A,0)-1,MATCH(J443,Ottone!$A$1:$Z$1,0)-1))*IF(E443="Ottone",1,0),4)</f>
        <v>0</v>
      </c>
      <c r="M443" s="446">
        <f ca="1">ROUND(IF(ISERROR(OFFSET(Rame!$A$1,MATCH(H443,Rame!$A:$A,0)-1,MATCH(J443,Rame!$A$1:$AA$1,0)-1)=TRUE),0,OFFSET(Rame!$A$1,MATCH(H443,Rame!$A:$A,0)-1,MATCH(J443,Rame!$A$1:$AA$1,0)-1))*IF(E443="Rame",1,0),4)</f>
        <v>0</v>
      </c>
      <c r="N443" s="446">
        <v>0</v>
      </c>
      <c r="O443" s="446">
        <f t="shared" ca="1" si="183"/>
        <v>0</v>
      </c>
      <c r="P443" s="446">
        <f ca="1">ROUND(+IF(ISERROR(OFFSET(Tabella!$G$1,MATCH(H443,Tabella!$G:$G,0)-1,MATCH(I443,Tabella!$G$1:$FG$1,0)-1)=TRUE),0,OFFSET(Tabella!$G$1,MATCH(H443,Tabella!$G:$G,0)-1,MATCH(I443,Tabella!$G$1:$AB$1,0)-1)),4)</f>
        <v>0</v>
      </c>
      <c r="Q443" s="446">
        <f ca="1">ROUND(IF(ISERROR(OFFSET(Ottone!$F$1,MATCH(H443,Ottone!$A:$A,0)-1,MATCH(I443,Ottone!$F$1:$FF$1,0)-1)=TRUE),0,OFFSET(Ottone!$F$1,MATCH(H443,Ottone!$A:$A,0)-1,MATCH(I443,Ottone!$F$1:$FF$1,0)-1))*IF(E443="Ottone",1,0),4)</f>
        <v>0</v>
      </c>
      <c r="R443" s="446">
        <f ca="1">ROUND(IF(ISERROR(OFFSET(Rame!$F$1,MATCH(H443,Rame!$F:$F,0)-1,MATCH(I443,Rame!$F$1:$FF$1,0)-1)=TRUE),0,OFFSET(Rame!$F$1,MATCH(H443,Rame!$F:$F,0)-1,MATCH(I443,Rame!$F$1:$FF$1,0)-1))*IF(E443="Rame",1,0),4)</f>
        <v>0</v>
      </c>
      <c r="S443" s="446">
        <f ca="1">ROUND(IF(ISERROR(OFFSET(Bronzo!$A$1,MATCH(H443,Bronzo!$A:$A,0)-1,MATCH(I443,Bronzo!$A$1:$AA$1,0)-1)=TRUE),0,OFFSET(Bronzo!$A$1,MATCH(H443,Bronzo!$A:$A,0)-1,MATCH(I443,Bronzo!$A$1:$AA$1,0)-1)),4)</f>
        <v>0</v>
      </c>
      <c r="T443" s="446">
        <f t="shared" ca="1" si="180"/>
        <v>0</v>
      </c>
      <c r="U443" s="443"/>
      <c r="V443" s="446">
        <v>0</v>
      </c>
      <c r="W443" s="449">
        <f t="shared" ca="1" si="181"/>
        <v>0</v>
      </c>
      <c r="X443" s="452">
        <f t="shared" si="179"/>
        <v>0</v>
      </c>
      <c r="Y443" s="440"/>
      <c r="Z443" s="440">
        <f t="shared" ca="1" si="182"/>
        <v>0</v>
      </c>
      <c r="AA443" s="241"/>
      <c r="AH443" s="242"/>
    </row>
    <row r="444" spans="2:34" ht="15.75" x14ac:dyDescent="0.25">
      <c r="B444" s="229"/>
      <c r="C444" s="235"/>
      <c r="D444" s="243"/>
      <c r="E444" s="232"/>
      <c r="F444" s="435"/>
      <c r="G444" s="234"/>
      <c r="H444" s="235"/>
      <c r="I444" s="235"/>
      <c r="J444" s="440"/>
      <c r="K444" s="443">
        <f ca="1">ROUND(IF(ISERROR(OFFSET(Tabella!$A$1,MATCH(H444,Tabella!$A:$A,0)-1,MATCH(J444,Tabella!$A$1:$AC$1,0)-1)=TRUE),0,+OFFSET(Tabella!$A$1,MATCH(H444,Tabella!$A:$A,0)-1,MATCH(J444,Tabella!$A$1:$AC$1,0)-1)),4)</f>
        <v>0</v>
      </c>
      <c r="L444" s="446">
        <f ca="1">ROUND(IF(ISERROR(OFFSET(Ottone!$A$1,MATCH(H444,Ottone!$A:$A,0)-1,MATCH(J444,Ottone!$A$1:$Z$1,0)-1)=TRUE),0,OFFSET(Ottone!$A$1,MATCH(H444,Ottone!$A:$A,0)-1,MATCH(J444,Ottone!$A$1:$Z$1,0)-1))*IF(E444="Ottone",1,0),4)</f>
        <v>0</v>
      </c>
      <c r="M444" s="446">
        <f ca="1">ROUND(IF(ISERROR(OFFSET(Rame!$A$1,MATCH(H444,Rame!$A:$A,0)-1,MATCH(J444,Rame!$A$1:$AA$1,0)-1)=TRUE),0,OFFSET(Rame!$A$1,MATCH(H444,Rame!$A:$A,0)-1,MATCH(J444,Rame!$A$1:$AA$1,0)-1))*IF(E444="Rame",1,0),4)</f>
        <v>0</v>
      </c>
      <c r="N444" s="446">
        <v>0</v>
      </c>
      <c r="O444" s="446">
        <f t="shared" ca="1" si="183"/>
        <v>0</v>
      </c>
      <c r="P444" s="446">
        <f ca="1">ROUND(+IF(ISERROR(OFFSET(Tabella!$G$1,MATCH(H444,Tabella!$G:$G,0)-1,MATCH(I444,Tabella!$G$1:$FG$1,0)-1)=TRUE),0,OFFSET(Tabella!$G$1,MATCH(H444,Tabella!$G:$G,0)-1,MATCH(I444,Tabella!$G$1:$AB$1,0)-1)),4)</f>
        <v>0</v>
      </c>
      <c r="Q444" s="446">
        <f ca="1">ROUND(IF(ISERROR(OFFSET(Ottone!$F$1,MATCH(H444,Ottone!$A:$A,0)-1,MATCH(I444,Ottone!$F$1:$FF$1,0)-1)=TRUE),0,OFFSET(Ottone!$F$1,MATCH(H444,Ottone!$A:$A,0)-1,MATCH(I444,Ottone!$F$1:$FF$1,0)-1))*IF(E444="Ottone",1,0),4)</f>
        <v>0</v>
      </c>
      <c r="R444" s="446">
        <f ca="1">ROUND(IF(ISERROR(OFFSET(Rame!$F$1,MATCH(H444,Rame!$F:$F,0)-1,MATCH(I444,Rame!$F$1:$FF$1,0)-1)=TRUE),0,OFFSET(Rame!$F$1,MATCH(H444,Rame!$F:$F,0)-1,MATCH(I444,Rame!$F$1:$FF$1,0)-1))*IF(E444="Rame",1,0),4)</f>
        <v>0</v>
      </c>
      <c r="S444" s="446">
        <f ca="1">ROUND(IF(ISERROR(OFFSET(Bronzo!$A$1,MATCH(H444,Bronzo!$A:$A,0)-1,MATCH(I444,Bronzo!$A$1:$AA$1,0)-1)=TRUE),0,OFFSET(Bronzo!$A$1,MATCH(H444,Bronzo!$A:$A,0)-1,MATCH(I444,Bronzo!$A$1:$AA$1,0)-1)),4)</f>
        <v>0</v>
      </c>
      <c r="T444" s="446">
        <f t="shared" ca="1" si="180"/>
        <v>0</v>
      </c>
      <c r="U444" s="443"/>
      <c r="V444" s="446">
        <v>0</v>
      </c>
      <c r="W444" s="449">
        <f t="shared" ca="1" si="181"/>
        <v>0</v>
      </c>
      <c r="X444" s="452">
        <f t="shared" si="179"/>
        <v>0</v>
      </c>
      <c r="Y444" s="440"/>
      <c r="Z444" s="440">
        <f t="shared" ca="1" si="182"/>
        <v>0</v>
      </c>
      <c r="AA444" s="241"/>
      <c r="AH444" s="242"/>
    </row>
    <row r="445" spans="2:34" ht="15.75" x14ac:dyDescent="0.25">
      <c r="B445" s="229"/>
      <c r="C445" s="235"/>
      <c r="D445" s="243"/>
      <c r="E445" s="232"/>
      <c r="F445" s="435"/>
      <c r="G445" s="234"/>
      <c r="H445" s="235"/>
      <c r="I445" s="235"/>
      <c r="J445" s="440"/>
      <c r="K445" s="443">
        <f ca="1">ROUND(IF(ISERROR(OFFSET(Tabella!$A$1,MATCH(H445,Tabella!$A:$A,0)-1,MATCH(J445,Tabella!$A$1:$AC$1,0)-1)=TRUE),0,+OFFSET(Tabella!$A$1,MATCH(H445,Tabella!$A:$A,0)-1,MATCH(J445,Tabella!$A$1:$AC$1,0)-1)),4)</f>
        <v>0</v>
      </c>
      <c r="L445" s="446">
        <f ca="1">ROUND(IF(ISERROR(OFFSET(Ottone!$A$1,MATCH(H445,Ottone!$A:$A,0)-1,MATCH(J445,Ottone!$A$1:$Z$1,0)-1)=TRUE),0,OFFSET(Ottone!$A$1,MATCH(H445,Ottone!$A:$A,0)-1,MATCH(J445,Ottone!$A$1:$Z$1,0)-1))*IF(E445="Ottone",1,0),4)</f>
        <v>0</v>
      </c>
      <c r="M445" s="446">
        <f ca="1">ROUND(IF(ISERROR(OFFSET(Rame!$A$1,MATCH(H445,Rame!$A:$A,0)-1,MATCH(J445,Rame!$A$1:$AA$1,0)-1)=TRUE),0,OFFSET(Rame!$A$1,MATCH(H445,Rame!$A:$A,0)-1,MATCH(J445,Rame!$A$1:$AA$1,0)-1))*IF(E445="Rame",1,0),4)</f>
        <v>0</v>
      </c>
      <c r="N445" s="446">
        <v>0</v>
      </c>
      <c r="O445" s="446">
        <f t="shared" ca="1" si="183"/>
        <v>0</v>
      </c>
      <c r="P445" s="446">
        <f ca="1">ROUND(+IF(ISERROR(OFFSET(Tabella!$G$1,MATCH(H445,Tabella!$G:$G,0)-1,MATCH(I445,Tabella!$G$1:$FG$1,0)-1)=TRUE),0,OFFSET(Tabella!$G$1,MATCH(H445,Tabella!$G:$G,0)-1,MATCH(I445,Tabella!$G$1:$AB$1,0)-1)),4)</f>
        <v>0</v>
      </c>
      <c r="Q445" s="446">
        <f ca="1">ROUND(IF(ISERROR(OFFSET(Ottone!$F$1,MATCH(H445,Ottone!$A:$A,0)-1,MATCH(I445,Ottone!$F$1:$FF$1,0)-1)=TRUE),0,OFFSET(Ottone!$F$1,MATCH(H445,Ottone!$A:$A,0)-1,MATCH(I445,Ottone!$F$1:$FF$1,0)-1))*IF(E445="Ottone",1,0),4)</f>
        <v>0</v>
      </c>
      <c r="R445" s="446">
        <f ca="1">ROUND(IF(ISERROR(OFFSET(Rame!$F$1,MATCH(H445,Rame!$F:$F,0)-1,MATCH(I445,Rame!$F$1:$FF$1,0)-1)=TRUE),0,OFFSET(Rame!$F$1,MATCH(H445,Rame!$F:$F,0)-1,MATCH(I445,Rame!$F$1:$FF$1,0)-1))*IF(E445="Rame",1,0),4)</f>
        <v>0</v>
      </c>
      <c r="S445" s="446">
        <f ca="1">ROUND(IF(ISERROR(OFFSET(Bronzo!$A$1,MATCH(H445,Bronzo!$A:$A,0)-1,MATCH(I445,Bronzo!$A$1:$AA$1,0)-1)=TRUE),0,OFFSET(Bronzo!$A$1,MATCH(H445,Bronzo!$A:$A,0)-1,MATCH(I445,Bronzo!$A$1:$AA$1,0)-1)),4)</f>
        <v>0</v>
      </c>
      <c r="T445" s="446">
        <f t="shared" ca="1" si="180"/>
        <v>0</v>
      </c>
      <c r="U445" s="443"/>
      <c r="V445" s="446">
        <v>0</v>
      </c>
      <c r="W445" s="449">
        <f t="shared" ca="1" si="181"/>
        <v>0</v>
      </c>
      <c r="X445" s="452">
        <f t="shared" si="179"/>
        <v>0</v>
      </c>
      <c r="Y445" s="440"/>
      <c r="Z445" s="440">
        <f t="shared" ca="1" si="182"/>
        <v>0</v>
      </c>
      <c r="AA445" s="241"/>
      <c r="AH445" s="242"/>
    </row>
    <row r="446" spans="2:34" ht="15.75" x14ac:dyDescent="0.25">
      <c r="B446" s="229"/>
      <c r="C446" s="235"/>
      <c r="D446" s="243"/>
      <c r="E446" s="232"/>
      <c r="F446" s="435"/>
      <c r="G446" s="234"/>
      <c r="H446" s="235"/>
      <c r="I446" s="235"/>
      <c r="J446" s="440"/>
      <c r="K446" s="443">
        <f ca="1">ROUND(IF(ISERROR(OFFSET(Tabella!$A$1,MATCH(H446,Tabella!$A:$A,0)-1,MATCH(J446,Tabella!$A$1:$AC$1,0)-1)=TRUE),0,+OFFSET(Tabella!$A$1,MATCH(H446,Tabella!$A:$A,0)-1,MATCH(J446,Tabella!$A$1:$AC$1,0)-1)),4)</f>
        <v>0</v>
      </c>
      <c r="L446" s="446">
        <f ca="1">ROUND(IF(ISERROR(OFFSET(Ottone!$A$1,MATCH(H446,Ottone!$A:$A,0)-1,MATCH(J446,Ottone!$A$1:$Z$1,0)-1)=TRUE),0,OFFSET(Ottone!$A$1,MATCH(H446,Ottone!$A:$A,0)-1,MATCH(J446,Ottone!$A$1:$Z$1,0)-1))*IF(E446="Ottone",1,0),4)</f>
        <v>0</v>
      </c>
      <c r="M446" s="446">
        <f ca="1">ROUND(IF(ISERROR(OFFSET(Rame!$A$1,MATCH(H446,Rame!$A:$A,0)-1,MATCH(J446,Rame!$A$1:$AA$1,0)-1)=TRUE),0,OFFSET(Rame!$A$1,MATCH(H446,Rame!$A:$A,0)-1,MATCH(J446,Rame!$A$1:$AA$1,0)-1))*IF(E446="Rame",1,0),4)</f>
        <v>0</v>
      </c>
      <c r="N446" s="446">
        <v>0</v>
      </c>
      <c r="O446" s="446">
        <f t="shared" ca="1" si="183"/>
        <v>0</v>
      </c>
      <c r="P446" s="446">
        <f ca="1">ROUND(+IF(ISERROR(OFFSET(Tabella!$G$1,MATCH(H446,Tabella!$G:$G,0)-1,MATCH(I446,Tabella!$G$1:$FG$1,0)-1)=TRUE),0,OFFSET(Tabella!$G$1,MATCH(H446,Tabella!$G:$G,0)-1,MATCH(I446,Tabella!$G$1:$AB$1,0)-1)),4)</f>
        <v>0</v>
      </c>
      <c r="Q446" s="446">
        <f ca="1">ROUND(IF(ISERROR(OFFSET(Ottone!$F$1,MATCH(H446,Ottone!$A:$A,0)-1,MATCH(I446,Ottone!$F$1:$FF$1,0)-1)=TRUE),0,OFFSET(Ottone!$F$1,MATCH(H446,Ottone!$A:$A,0)-1,MATCH(I446,Ottone!$F$1:$FF$1,0)-1))*IF(E446="Ottone",1,0),4)</f>
        <v>0</v>
      </c>
      <c r="R446" s="446">
        <f ca="1">ROUND(IF(ISERROR(OFFSET(Rame!$F$1,MATCH(H446,Rame!$F:$F,0)-1,MATCH(I446,Rame!$F$1:$FF$1,0)-1)=TRUE),0,OFFSET(Rame!$F$1,MATCH(H446,Rame!$F:$F,0)-1,MATCH(I446,Rame!$F$1:$FF$1,0)-1))*IF(E446="Rame",1,0),4)</f>
        <v>0</v>
      </c>
      <c r="S446" s="446">
        <f ca="1">ROUND(IF(ISERROR(OFFSET(Bronzo!$A$1,MATCH(H446,Bronzo!$A:$A,0)-1,MATCH(I446,Bronzo!$A$1:$AA$1,0)-1)=TRUE),0,OFFSET(Bronzo!$A$1,MATCH(H446,Bronzo!$A:$A,0)-1,MATCH(I446,Bronzo!$A$1:$AA$1,0)-1)),4)</f>
        <v>0</v>
      </c>
      <c r="T446" s="446">
        <f t="shared" ca="1" si="180"/>
        <v>0</v>
      </c>
      <c r="U446" s="443"/>
      <c r="V446" s="446">
        <v>0</v>
      </c>
      <c r="W446" s="449">
        <f t="shared" ca="1" si="181"/>
        <v>0</v>
      </c>
      <c r="X446" s="452">
        <f t="shared" si="179"/>
        <v>0</v>
      </c>
      <c r="Y446" s="440"/>
      <c r="Z446" s="440">
        <f t="shared" ca="1" si="182"/>
        <v>0</v>
      </c>
      <c r="AA446" s="241"/>
      <c r="AH446" s="242"/>
    </row>
    <row r="447" spans="2:34" ht="15.75" x14ac:dyDescent="0.25">
      <c r="B447" s="229"/>
      <c r="C447" s="235"/>
      <c r="D447" s="243"/>
      <c r="E447" s="232"/>
      <c r="F447" s="435"/>
      <c r="G447" s="234"/>
      <c r="H447" s="235"/>
      <c r="I447" s="235"/>
      <c r="J447" s="440"/>
      <c r="K447" s="443">
        <f ca="1">ROUND(IF(ISERROR(OFFSET(Tabella!$A$1,MATCH(H447,Tabella!$A:$A,0)-1,MATCH(J447,Tabella!$A$1:$AC$1,0)-1)=TRUE),0,+OFFSET(Tabella!$A$1,MATCH(H447,Tabella!$A:$A,0)-1,MATCH(J447,Tabella!$A$1:$AC$1,0)-1)),4)</f>
        <v>0</v>
      </c>
      <c r="L447" s="446">
        <f ca="1">ROUND(IF(ISERROR(OFFSET(Ottone!$A$1,MATCH(H447,Ottone!$A:$A,0)-1,MATCH(J447,Ottone!$A$1:$Z$1,0)-1)=TRUE),0,OFFSET(Ottone!$A$1,MATCH(H447,Ottone!$A:$A,0)-1,MATCH(J447,Ottone!$A$1:$Z$1,0)-1))*IF(E447="Ottone",1,0),4)</f>
        <v>0</v>
      </c>
      <c r="M447" s="446">
        <f ca="1">ROUND(IF(ISERROR(OFFSET(Rame!$A$1,MATCH(H447,Rame!$A:$A,0)-1,MATCH(J447,Rame!$A$1:$AA$1,0)-1)=TRUE),0,OFFSET(Rame!$A$1,MATCH(H447,Rame!$A:$A,0)-1,MATCH(J447,Rame!$A$1:$AA$1,0)-1))*IF(E447="Rame",1,0),4)</f>
        <v>0</v>
      </c>
      <c r="N447" s="446">
        <v>0</v>
      </c>
      <c r="O447" s="446">
        <f t="shared" ca="1" si="183"/>
        <v>0</v>
      </c>
      <c r="P447" s="446">
        <f ca="1">ROUND(+IF(ISERROR(OFFSET(Tabella!$G$1,MATCH(H447,Tabella!$G:$G,0)-1,MATCH(I447,Tabella!$G$1:$FG$1,0)-1)=TRUE),0,OFFSET(Tabella!$G$1,MATCH(H447,Tabella!$G:$G,0)-1,MATCH(I447,Tabella!$G$1:$AB$1,0)-1)),4)</f>
        <v>0</v>
      </c>
      <c r="Q447" s="446">
        <f ca="1">ROUND(IF(ISERROR(OFFSET(Ottone!$F$1,MATCH(H447,Ottone!$A:$A,0)-1,MATCH(I447,Ottone!$F$1:$FF$1,0)-1)=TRUE),0,OFFSET(Ottone!$F$1,MATCH(H447,Ottone!$A:$A,0)-1,MATCH(I447,Ottone!$F$1:$FF$1,0)-1))*IF(E447="Ottone",1,0),4)</f>
        <v>0</v>
      </c>
      <c r="R447" s="446">
        <f ca="1">ROUND(IF(ISERROR(OFFSET(Rame!$F$1,MATCH(H447,Rame!$F:$F,0)-1,MATCH(I447,Rame!$F$1:$FF$1,0)-1)=TRUE),0,OFFSET(Rame!$F$1,MATCH(H447,Rame!$F:$F,0)-1,MATCH(I447,Rame!$F$1:$FF$1,0)-1))*IF(E447="Rame",1,0),4)</f>
        <v>0</v>
      </c>
      <c r="S447" s="446">
        <f ca="1">ROUND(IF(ISERROR(OFFSET(Bronzo!$A$1,MATCH(H447,Bronzo!$A:$A,0)-1,MATCH(I447,Bronzo!$A$1:$AA$1,0)-1)=TRUE),0,OFFSET(Bronzo!$A$1,MATCH(H447,Bronzo!$A:$A,0)-1,MATCH(I447,Bronzo!$A$1:$AA$1,0)-1)),4)</f>
        <v>0</v>
      </c>
      <c r="T447" s="446">
        <f t="shared" ca="1" si="180"/>
        <v>0</v>
      </c>
      <c r="U447" s="443"/>
      <c r="V447" s="446">
        <v>0</v>
      </c>
      <c r="W447" s="449">
        <f t="shared" ca="1" si="181"/>
        <v>0</v>
      </c>
      <c r="X447" s="452">
        <f t="shared" si="179"/>
        <v>0</v>
      </c>
      <c r="Y447" s="440"/>
      <c r="Z447" s="440">
        <f t="shared" ca="1" si="182"/>
        <v>0</v>
      </c>
      <c r="AA447" s="241"/>
      <c r="AH447" s="242"/>
    </row>
    <row r="448" spans="2:34" ht="15.75" x14ac:dyDescent="0.25">
      <c r="B448" s="229"/>
      <c r="C448" s="235"/>
      <c r="D448" s="243"/>
      <c r="E448" s="232"/>
      <c r="F448" s="435"/>
      <c r="G448" s="234"/>
      <c r="H448" s="235"/>
      <c r="I448" s="235"/>
      <c r="J448" s="440"/>
      <c r="K448" s="443">
        <f ca="1">ROUND(IF(ISERROR(OFFSET(Tabella!$A$1,MATCH(H448,Tabella!$A:$A,0)-1,MATCH(J448,Tabella!$A$1:$AC$1,0)-1)=TRUE),0,+OFFSET(Tabella!$A$1,MATCH(H448,Tabella!$A:$A,0)-1,MATCH(J448,Tabella!$A$1:$AC$1,0)-1)),4)</f>
        <v>0</v>
      </c>
      <c r="L448" s="446">
        <f ca="1">ROUND(IF(ISERROR(OFFSET(Ottone!$A$1,MATCH(H448,Ottone!$A:$A,0)-1,MATCH(J448,Ottone!$A$1:$Z$1,0)-1)=TRUE),0,OFFSET(Ottone!$A$1,MATCH(H448,Ottone!$A:$A,0)-1,MATCH(J448,Ottone!$A$1:$Z$1,0)-1))*IF(E448="Ottone",1,0),4)</f>
        <v>0</v>
      </c>
      <c r="M448" s="446">
        <f ca="1">ROUND(IF(ISERROR(OFFSET(Rame!$A$1,MATCH(H448,Rame!$A:$A,0)-1,MATCH(J448,Rame!$A$1:$AA$1,0)-1)=TRUE),0,OFFSET(Rame!$A$1,MATCH(H448,Rame!$A:$A,0)-1,MATCH(J448,Rame!$A$1:$AA$1,0)-1))*IF(E448="Rame",1,0),4)</f>
        <v>0</v>
      </c>
      <c r="N448" s="446">
        <v>0</v>
      </c>
      <c r="O448" s="446">
        <f t="shared" ca="1" si="183"/>
        <v>0</v>
      </c>
      <c r="P448" s="446">
        <f ca="1">ROUND(+IF(ISERROR(OFFSET(Tabella!$G$1,MATCH(H448,Tabella!$G:$G,0)-1,MATCH(I448,Tabella!$G$1:$FG$1,0)-1)=TRUE),0,OFFSET(Tabella!$G$1,MATCH(H448,Tabella!$G:$G,0)-1,MATCH(I448,Tabella!$G$1:$AB$1,0)-1)),4)</f>
        <v>0</v>
      </c>
      <c r="Q448" s="446">
        <f ca="1">ROUND(IF(ISERROR(OFFSET(Ottone!$F$1,MATCH(H448,Ottone!$A:$A,0)-1,MATCH(I448,Ottone!$F$1:$FF$1,0)-1)=TRUE),0,OFFSET(Ottone!$F$1,MATCH(H448,Ottone!$A:$A,0)-1,MATCH(I448,Ottone!$F$1:$FF$1,0)-1))*IF(E448="Ottone",1,0),4)</f>
        <v>0</v>
      </c>
      <c r="R448" s="446">
        <f ca="1">ROUND(IF(ISERROR(OFFSET(Rame!$F$1,MATCH(H448,Rame!$F:$F,0)-1,MATCH(I448,Rame!$F$1:$FF$1,0)-1)=TRUE),0,OFFSET(Rame!$F$1,MATCH(H448,Rame!$F:$F,0)-1,MATCH(I448,Rame!$F$1:$FF$1,0)-1))*IF(E448="Rame",1,0),4)</f>
        <v>0</v>
      </c>
      <c r="S448" s="446">
        <f ca="1">ROUND(IF(ISERROR(OFFSET(Bronzo!$A$1,MATCH(H448,Bronzo!$A:$A,0)-1,MATCH(I448,Bronzo!$A$1:$AA$1,0)-1)=TRUE),0,OFFSET(Bronzo!$A$1,MATCH(H448,Bronzo!$A:$A,0)-1,MATCH(I448,Bronzo!$A$1:$AA$1,0)-1)),4)</f>
        <v>0</v>
      </c>
      <c r="T448" s="446">
        <f t="shared" ca="1" si="180"/>
        <v>0</v>
      </c>
      <c r="U448" s="443"/>
      <c r="V448" s="446">
        <v>0</v>
      </c>
      <c r="W448" s="449">
        <f t="shared" ca="1" si="181"/>
        <v>0</v>
      </c>
      <c r="X448" s="452">
        <f t="shared" si="179"/>
        <v>0</v>
      </c>
      <c r="Y448" s="440"/>
      <c r="Z448" s="440">
        <f t="shared" ca="1" si="182"/>
        <v>0</v>
      </c>
      <c r="AA448" s="241"/>
      <c r="AH448" s="242"/>
    </row>
    <row r="449" spans="2:34" ht="15.75" x14ac:dyDescent="0.25">
      <c r="B449" s="229"/>
      <c r="C449" s="235"/>
      <c r="D449" s="243"/>
      <c r="E449" s="232"/>
      <c r="F449" s="435"/>
      <c r="G449" s="234"/>
      <c r="H449" s="235"/>
      <c r="I449" s="235"/>
      <c r="J449" s="440"/>
      <c r="K449" s="443">
        <f ca="1">ROUND(IF(ISERROR(OFFSET(Tabella!$A$1,MATCH(H449,Tabella!$A:$A,0)-1,MATCH(J449,Tabella!$A$1:$AC$1,0)-1)=TRUE),0,+OFFSET(Tabella!$A$1,MATCH(H449,Tabella!$A:$A,0)-1,MATCH(J449,Tabella!$A$1:$AC$1,0)-1)),4)</f>
        <v>0</v>
      </c>
      <c r="L449" s="446">
        <f ca="1">ROUND(IF(ISERROR(OFFSET(Ottone!$A$1,MATCH(H449,Ottone!$A:$A,0)-1,MATCH(J449,Ottone!$A$1:$Z$1,0)-1)=TRUE),0,OFFSET(Ottone!$A$1,MATCH(H449,Ottone!$A:$A,0)-1,MATCH(J449,Ottone!$A$1:$Z$1,0)-1))*IF(E449="Ottone",1,0),4)</f>
        <v>0</v>
      </c>
      <c r="M449" s="446">
        <f ca="1">ROUND(IF(ISERROR(OFFSET(Rame!$A$1,MATCH(H449,Rame!$A:$A,0)-1,MATCH(J449,Rame!$A$1:$AA$1,0)-1)=TRUE),0,OFFSET(Rame!$A$1,MATCH(H449,Rame!$A:$A,0)-1,MATCH(J449,Rame!$A$1:$AA$1,0)-1))*IF(E449="Rame",1,0),4)</f>
        <v>0</v>
      </c>
      <c r="N449" s="446">
        <v>0</v>
      </c>
      <c r="O449" s="446">
        <f t="shared" ca="1" si="183"/>
        <v>0</v>
      </c>
      <c r="P449" s="446">
        <f ca="1">ROUND(+IF(ISERROR(OFFSET(Tabella!$G$1,MATCH(H449,Tabella!$G:$G,0)-1,MATCH(I449,Tabella!$G$1:$FG$1,0)-1)=TRUE),0,OFFSET(Tabella!$G$1,MATCH(H449,Tabella!$G:$G,0)-1,MATCH(I449,Tabella!$G$1:$AB$1,0)-1)),4)</f>
        <v>0</v>
      </c>
      <c r="Q449" s="446">
        <f ca="1">ROUND(IF(ISERROR(OFFSET(Ottone!$F$1,MATCH(H449,Ottone!$A:$A,0)-1,MATCH(I449,Ottone!$F$1:$FF$1,0)-1)=TRUE),0,OFFSET(Ottone!$F$1,MATCH(H449,Ottone!$A:$A,0)-1,MATCH(I449,Ottone!$F$1:$FF$1,0)-1))*IF(E449="Ottone",1,0),4)</f>
        <v>0</v>
      </c>
      <c r="R449" s="446">
        <f ca="1">ROUND(IF(ISERROR(OFFSET(Rame!$F$1,MATCH(H449,Rame!$F:$F,0)-1,MATCH(I449,Rame!$F$1:$FF$1,0)-1)=TRUE),0,OFFSET(Rame!$F$1,MATCH(H449,Rame!$F:$F,0)-1,MATCH(I449,Rame!$F$1:$FF$1,0)-1))*IF(E449="Rame",1,0),4)</f>
        <v>0</v>
      </c>
      <c r="S449" s="446">
        <f ca="1">ROUND(IF(ISERROR(OFFSET(Bronzo!$A$1,MATCH(H449,Bronzo!$A:$A,0)-1,MATCH(I449,Bronzo!$A$1:$AA$1,0)-1)=TRUE),0,OFFSET(Bronzo!$A$1,MATCH(H449,Bronzo!$A:$A,0)-1,MATCH(I449,Bronzo!$A$1:$AA$1,0)-1)),4)</f>
        <v>0</v>
      </c>
      <c r="T449" s="446">
        <f t="shared" ca="1" si="180"/>
        <v>0</v>
      </c>
      <c r="U449" s="443"/>
      <c r="V449" s="446">
        <v>0</v>
      </c>
      <c r="W449" s="449">
        <f t="shared" ca="1" si="181"/>
        <v>0</v>
      </c>
      <c r="X449" s="452">
        <f t="shared" si="179"/>
        <v>0</v>
      </c>
      <c r="Y449" s="440"/>
      <c r="Z449" s="440">
        <f t="shared" ca="1" si="182"/>
        <v>0</v>
      </c>
      <c r="AA449" s="241"/>
      <c r="AH449" s="242"/>
    </row>
    <row r="450" spans="2:34" ht="15.75" x14ac:dyDescent="0.25">
      <c r="B450" s="229"/>
      <c r="C450" s="235"/>
      <c r="D450" s="243"/>
      <c r="E450" s="232"/>
      <c r="F450" s="435"/>
      <c r="G450" s="234"/>
      <c r="H450" s="235"/>
      <c r="I450" s="235"/>
      <c r="J450" s="440"/>
      <c r="K450" s="443">
        <f ca="1">ROUND(IF(ISERROR(OFFSET(Tabella!$A$1,MATCH(H450,Tabella!$A:$A,0)-1,MATCH(J450,Tabella!$A$1:$AC$1,0)-1)=TRUE),0,+OFFSET(Tabella!$A$1,MATCH(H450,Tabella!$A:$A,0)-1,MATCH(J450,Tabella!$A$1:$AC$1,0)-1)),4)</f>
        <v>0</v>
      </c>
      <c r="L450" s="446">
        <f ca="1">ROUND(IF(ISERROR(OFFSET(Ottone!$A$1,MATCH(H450,Ottone!$A:$A,0)-1,MATCH(J450,Ottone!$A$1:$Z$1,0)-1)=TRUE),0,OFFSET(Ottone!$A$1,MATCH(H450,Ottone!$A:$A,0)-1,MATCH(J450,Ottone!$A$1:$Z$1,0)-1))*IF(E450="Ottone",1,0),4)</f>
        <v>0</v>
      </c>
      <c r="M450" s="446">
        <f ca="1">ROUND(IF(ISERROR(OFFSET(Rame!$A$1,MATCH(H450,Rame!$A:$A,0)-1,MATCH(J450,Rame!$A$1:$AA$1,0)-1)=TRUE),0,OFFSET(Rame!$A$1,MATCH(H450,Rame!$A:$A,0)-1,MATCH(J450,Rame!$A$1:$AA$1,0)-1))*IF(E450="Rame",1,0),4)</f>
        <v>0</v>
      </c>
      <c r="N450" s="446">
        <v>0</v>
      </c>
      <c r="O450" s="446">
        <f t="shared" ca="1" si="183"/>
        <v>0</v>
      </c>
      <c r="P450" s="446">
        <f ca="1">ROUND(+IF(ISERROR(OFFSET(Tabella!$G$1,MATCH(H450,Tabella!$G:$G,0)-1,MATCH(I450,Tabella!$G$1:$FG$1,0)-1)=TRUE),0,OFFSET(Tabella!$G$1,MATCH(H450,Tabella!$G:$G,0)-1,MATCH(I450,Tabella!$G$1:$AB$1,0)-1)),4)</f>
        <v>0</v>
      </c>
      <c r="Q450" s="446">
        <f ca="1">ROUND(IF(ISERROR(OFFSET(Ottone!$F$1,MATCH(H450,Ottone!$A:$A,0)-1,MATCH(I450,Ottone!$F$1:$FF$1,0)-1)=TRUE),0,OFFSET(Ottone!$F$1,MATCH(H450,Ottone!$A:$A,0)-1,MATCH(I450,Ottone!$F$1:$FF$1,0)-1))*IF(E450="Ottone",1,0),4)</f>
        <v>0</v>
      </c>
      <c r="R450" s="446">
        <f ca="1">ROUND(IF(ISERROR(OFFSET(Rame!$F$1,MATCH(H450,Rame!$F:$F,0)-1,MATCH(I450,Rame!$F$1:$FF$1,0)-1)=TRUE),0,OFFSET(Rame!$F$1,MATCH(H450,Rame!$F:$F,0)-1,MATCH(I450,Rame!$F$1:$FF$1,0)-1))*IF(E450="Rame",1,0),4)</f>
        <v>0</v>
      </c>
      <c r="S450" s="446">
        <f ca="1">ROUND(IF(ISERROR(OFFSET(Bronzo!$A$1,MATCH(H450,Bronzo!$A:$A,0)-1,MATCH(I450,Bronzo!$A$1:$AA$1,0)-1)=TRUE),0,OFFSET(Bronzo!$A$1,MATCH(H450,Bronzo!$A:$A,0)-1,MATCH(I450,Bronzo!$A$1:$AA$1,0)-1)),4)</f>
        <v>0</v>
      </c>
      <c r="T450" s="446">
        <f t="shared" ca="1" si="180"/>
        <v>0</v>
      </c>
      <c r="U450" s="443"/>
      <c r="V450" s="446">
        <v>0</v>
      </c>
      <c r="W450" s="449">
        <f t="shared" ca="1" si="181"/>
        <v>0</v>
      </c>
      <c r="X450" s="452">
        <f t="shared" si="179"/>
        <v>0</v>
      </c>
      <c r="Y450" s="440"/>
      <c r="Z450" s="440">
        <f t="shared" ca="1" si="182"/>
        <v>0</v>
      </c>
      <c r="AA450" s="241"/>
      <c r="AH450" s="242"/>
    </row>
    <row r="451" spans="2:34" ht="15.75" x14ac:dyDescent="0.25">
      <c r="B451" s="229"/>
      <c r="C451" s="235"/>
      <c r="D451" s="243"/>
      <c r="E451" s="232"/>
      <c r="F451" s="435"/>
      <c r="G451" s="234"/>
      <c r="H451" s="235"/>
      <c r="I451" s="235"/>
      <c r="J451" s="440"/>
      <c r="K451" s="443">
        <f ca="1">ROUND(IF(ISERROR(OFFSET(Tabella!$A$1,MATCH(H451,Tabella!$A:$A,0)-1,MATCH(J451,Tabella!$A$1:$AC$1,0)-1)=TRUE),0,+OFFSET(Tabella!$A$1,MATCH(H451,Tabella!$A:$A,0)-1,MATCH(J451,Tabella!$A$1:$AC$1,0)-1)),4)</f>
        <v>0</v>
      </c>
      <c r="L451" s="446">
        <f ca="1">ROUND(IF(ISERROR(OFFSET(Ottone!$A$1,MATCH(H451,Ottone!$A:$A,0)-1,MATCH(J451,Ottone!$A$1:$Z$1,0)-1)=TRUE),0,OFFSET(Ottone!$A$1,MATCH(H451,Ottone!$A:$A,0)-1,MATCH(J451,Ottone!$A$1:$Z$1,0)-1))*IF(E451="Ottone",1,0),4)</f>
        <v>0</v>
      </c>
      <c r="M451" s="446">
        <f ca="1">ROUND(IF(ISERROR(OFFSET(Rame!$A$1,MATCH(H451,Rame!$A:$A,0)-1,MATCH(J451,Rame!$A$1:$AA$1,0)-1)=TRUE),0,OFFSET(Rame!$A$1,MATCH(H451,Rame!$A:$A,0)-1,MATCH(J451,Rame!$A$1:$AA$1,0)-1))*IF(E451="Rame",1,0),4)</f>
        <v>0</v>
      </c>
      <c r="N451" s="446">
        <v>0</v>
      </c>
      <c r="O451" s="446">
        <f t="shared" ca="1" si="183"/>
        <v>0</v>
      </c>
      <c r="P451" s="446">
        <f ca="1">ROUND(+IF(ISERROR(OFFSET(Tabella!$G$1,MATCH(H451,Tabella!$G:$G,0)-1,MATCH(I451,Tabella!$G$1:$FG$1,0)-1)=TRUE),0,OFFSET(Tabella!$G$1,MATCH(H451,Tabella!$G:$G,0)-1,MATCH(I451,Tabella!$G$1:$AB$1,0)-1)),4)</f>
        <v>0</v>
      </c>
      <c r="Q451" s="446">
        <f ca="1">ROUND(IF(ISERROR(OFFSET(Ottone!$F$1,MATCH(H451,Ottone!$A:$A,0)-1,MATCH(I451,Ottone!$F$1:$FF$1,0)-1)=TRUE),0,OFFSET(Ottone!$F$1,MATCH(H451,Ottone!$A:$A,0)-1,MATCH(I451,Ottone!$F$1:$FF$1,0)-1))*IF(E451="Ottone",1,0),4)</f>
        <v>0</v>
      </c>
      <c r="R451" s="446">
        <f ca="1">ROUND(IF(ISERROR(OFFSET(Rame!$F$1,MATCH(H451,Rame!$F:$F,0)-1,MATCH(I451,Rame!$F$1:$FF$1,0)-1)=TRUE),0,OFFSET(Rame!$F$1,MATCH(H451,Rame!$F:$F,0)-1,MATCH(I451,Rame!$F$1:$FF$1,0)-1))*IF(E451="Rame",1,0),4)</f>
        <v>0</v>
      </c>
      <c r="S451" s="446">
        <f ca="1">ROUND(IF(ISERROR(OFFSET(Bronzo!$A$1,MATCH(H451,Bronzo!$A:$A,0)-1,MATCH(I451,Bronzo!$A$1:$AA$1,0)-1)=TRUE),0,OFFSET(Bronzo!$A$1,MATCH(H451,Bronzo!$A:$A,0)-1,MATCH(I451,Bronzo!$A$1:$AA$1,0)-1)),4)</f>
        <v>0</v>
      </c>
      <c r="T451" s="446">
        <f t="shared" ca="1" si="180"/>
        <v>0</v>
      </c>
      <c r="U451" s="443"/>
      <c r="V451" s="446">
        <v>0</v>
      </c>
      <c r="W451" s="449">
        <f t="shared" ca="1" si="181"/>
        <v>0</v>
      </c>
      <c r="X451" s="452">
        <f t="shared" si="179"/>
        <v>0</v>
      </c>
      <c r="Y451" s="440"/>
      <c r="Z451" s="440">
        <f t="shared" ca="1" si="182"/>
        <v>0</v>
      </c>
      <c r="AA451" s="241"/>
      <c r="AH451" s="242"/>
    </row>
    <row r="452" spans="2:34" ht="15.75" x14ac:dyDescent="0.25">
      <c r="B452" s="229"/>
      <c r="C452" s="235"/>
      <c r="D452" s="243"/>
      <c r="E452" s="232"/>
      <c r="F452" s="435"/>
      <c r="G452" s="234"/>
      <c r="H452" s="235"/>
      <c r="I452" s="235"/>
      <c r="J452" s="440"/>
      <c r="K452" s="443">
        <f ca="1">ROUND(IF(ISERROR(OFFSET(Tabella!$A$1,MATCH(H452,Tabella!$A:$A,0)-1,MATCH(J452,Tabella!$A$1:$AC$1,0)-1)=TRUE),0,+OFFSET(Tabella!$A$1,MATCH(H452,Tabella!$A:$A,0)-1,MATCH(J452,Tabella!$A$1:$AC$1,0)-1)),4)</f>
        <v>0</v>
      </c>
      <c r="L452" s="446">
        <f ca="1">ROUND(IF(ISERROR(OFFSET(Ottone!$A$1,MATCH(H452,Ottone!$A:$A,0)-1,MATCH(J452,Ottone!$A$1:$Z$1,0)-1)=TRUE),0,OFFSET(Ottone!$A$1,MATCH(H452,Ottone!$A:$A,0)-1,MATCH(J452,Ottone!$A$1:$Z$1,0)-1))*IF(E452="Ottone",1,0),4)</f>
        <v>0</v>
      </c>
      <c r="M452" s="446">
        <f ca="1">ROUND(IF(ISERROR(OFFSET(Rame!$A$1,MATCH(H452,Rame!$A:$A,0)-1,MATCH(J452,Rame!$A$1:$AA$1,0)-1)=TRUE),0,OFFSET(Rame!$A$1,MATCH(H452,Rame!$A:$A,0)-1,MATCH(J452,Rame!$A$1:$AA$1,0)-1))*IF(E452="Rame",1,0),4)</f>
        <v>0</v>
      </c>
      <c r="N452" s="446">
        <v>0</v>
      </c>
      <c r="O452" s="446">
        <f t="shared" ca="1" si="183"/>
        <v>0</v>
      </c>
      <c r="P452" s="446">
        <f ca="1">ROUND(+IF(ISERROR(OFFSET(Tabella!$G$1,MATCH(H452,Tabella!$G:$G,0)-1,MATCH(I452,Tabella!$G$1:$FG$1,0)-1)=TRUE),0,OFFSET(Tabella!$G$1,MATCH(H452,Tabella!$G:$G,0)-1,MATCH(I452,Tabella!$G$1:$AB$1,0)-1)),4)</f>
        <v>0</v>
      </c>
      <c r="Q452" s="446">
        <f ca="1">ROUND(IF(ISERROR(OFFSET(Ottone!$F$1,MATCH(H452,Ottone!$A:$A,0)-1,MATCH(I452,Ottone!$F$1:$FF$1,0)-1)=TRUE),0,OFFSET(Ottone!$F$1,MATCH(H452,Ottone!$A:$A,0)-1,MATCH(I452,Ottone!$F$1:$FF$1,0)-1))*IF(E452="Ottone",1,0),4)</f>
        <v>0</v>
      </c>
      <c r="R452" s="446">
        <f ca="1">ROUND(IF(ISERROR(OFFSET(Rame!$F$1,MATCH(H452,Rame!$F:$F,0)-1,MATCH(I452,Rame!$F$1:$FF$1,0)-1)=TRUE),0,OFFSET(Rame!$F$1,MATCH(H452,Rame!$F:$F,0)-1,MATCH(I452,Rame!$F$1:$FF$1,0)-1))*IF(E452="Rame",1,0),4)</f>
        <v>0</v>
      </c>
      <c r="S452" s="446">
        <f ca="1">ROUND(IF(ISERROR(OFFSET(Bronzo!$A$1,MATCH(H452,Bronzo!$A:$A,0)-1,MATCH(I452,Bronzo!$A$1:$AA$1,0)-1)=TRUE),0,OFFSET(Bronzo!$A$1,MATCH(H452,Bronzo!$A:$A,0)-1,MATCH(I452,Bronzo!$A$1:$AA$1,0)-1)),4)</f>
        <v>0</v>
      </c>
      <c r="T452" s="446">
        <f t="shared" ca="1" si="180"/>
        <v>0</v>
      </c>
      <c r="U452" s="443"/>
      <c r="V452" s="446">
        <v>0</v>
      </c>
      <c r="W452" s="449">
        <f t="shared" ca="1" si="181"/>
        <v>0</v>
      </c>
      <c r="X452" s="452">
        <f t="shared" si="179"/>
        <v>0</v>
      </c>
      <c r="Y452" s="440"/>
      <c r="Z452" s="440">
        <f t="shared" ca="1" si="182"/>
        <v>0</v>
      </c>
      <c r="AA452" s="241"/>
      <c r="AH452" s="242"/>
    </row>
    <row r="453" spans="2:34" ht="15.75" x14ac:dyDescent="0.25">
      <c r="B453" s="229"/>
      <c r="C453" s="235"/>
      <c r="D453" s="243"/>
      <c r="E453" s="232"/>
      <c r="F453" s="435"/>
      <c r="G453" s="234"/>
      <c r="H453" s="235"/>
      <c r="I453" s="235"/>
      <c r="J453" s="440"/>
      <c r="K453" s="443">
        <f ca="1">ROUND(IF(ISERROR(OFFSET(Tabella!$A$1,MATCH(H453,Tabella!$A:$A,0)-1,MATCH(J453,Tabella!$A$1:$AC$1,0)-1)=TRUE),0,+OFFSET(Tabella!$A$1,MATCH(H453,Tabella!$A:$A,0)-1,MATCH(J453,Tabella!$A$1:$AC$1,0)-1)),4)</f>
        <v>0</v>
      </c>
      <c r="L453" s="446">
        <f ca="1">ROUND(IF(ISERROR(OFFSET(Ottone!$A$1,MATCH(H453,Ottone!$A:$A,0)-1,MATCH(J453,Ottone!$A$1:$Z$1,0)-1)=TRUE),0,OFFSET(Ottone!$A$1,MATCH(H453,Ottone!$A:$A,0)-1,MATCH(J453,Ottone!$A$1:$Z$1,0)-1))*IF(E453="Ottone",1,0),4)</f>
        <v>0</v>
      </c>
      <c r="M453" s="446">
        <f ca="1">ROUND(IF(ISERROR(OFFSET(Rame!$A$1,MATCH(H453,Rame!$A:$A,0)-1,MATCH(J453,Rame!$A$1:$AA$1,0)-1)=TRUE),0,OFFSET(Rame!$A$1,MATCH(H453,Rame!$A:$A,0)-1,MATCH(J453,Rame!$A$1:$AA$1,0)-1))*IF(E453="Rame",1,0),4)</f>
        <v>0</v>
      </c>
      <c r="N453" s="446">
        <v>0</v>
      </c>
      <c r="O453" s="446">
        <f t="shared" ca="1" si="183"/>
        <v>0</v>
      </c>
      <c r="P453" s="446">
        <f ca="1">ROUND(+IF(ISERROR(OFFSET(Tabella!$G$1,MATCH(H453,Tabella!$G:$G,0)-1,MATCH(I453,Tabella!$G$1:$FG$1,0)-1)=TRUE),0,OFFSET(Tabella!$G$1,MATCH(H453,Tabella!$G:$G,0)-1,MATCH(I453,Tabella!$G$1:$AB$1,0)-1)),4)</f>
        <v>0</v>
      </c>
      <c r="Q453" s="446">
        <f ca="1">ROUND(IF(ISERROR(OFFSET(Ottone!$F$1,MATCH(H453,Ottone!$A:$A,0)-1,MATCH(I453,Ottone!$F$1:$FF$1,0)-1)=TRUE),0,OFFSET(Ottone!$F$1,MATCH(H453,Ottone!$A:$A,0)-1,MATCH(I453,Ottone!$F$1:$FF$1,0)-1))*IF(E453="Ottone",1,0),4)</f>
        <v>0</v>
      </c>
      <c r="R453" s="446">
        <f ca="1">ROUND(IF(ISERROR(OFFSET(Rame!$F$1,MATCH(H453,Rame!$F:$F,0)-1,MATCH(I453,Rame!$F$1:$FF$1,0)-1)=TRUE),0,OFFSET(Rame!$F$1,MATCH(H453,Rame!$F:$F,0)-1,MATCH(I453,Rame!$F$1:$FF$1,0)-1))*IF(E453="Rame",1,0),4)</f>
        <v>0</v>
      </c>
      <c r="S453" s="446">
        <f ca="1">ROUND(IF(ISERROR(OFFSET(Bronzo!$A$1,MATCH(H453,Bronzo!$A:$A,0)-1,MATCH(I453,Bronzo!$A$1:$AA$1,0)-1)=TRUE),0,OFFSET(Bronzo!$A$1,MATCH(H453,Bronzo!$A:$A,0)-1,MATCH(I453,Bronzo!$A$1:$AA$1,0)-1)),4)</f>
        <v>0</v>
      </c>
      <c r="T453" s="446">
        <f t="shared" ca="1" si="180"/>
        <v>0</v>
      </c>
      <c r="U453" s="443"/>
      <c r="V453" s="446">
        <v>0</v>
      </c>
      <c r="W453" s="449">
        <f t="shared" ca="1" si="181"/>
        <v>0</v>
      </c>
      <c r="X453" s="452">
        <f t="shared" si="179"/>
        <v>0</v>
      </c>
      <c r="Y453" s="440"/>
      <c r="Z453" s="440">
        <f t="shared" ca="1" si="182"/>
        <v>0</v>
      </c>
      <c r="AA453" s="241"/>
      <c r="AH453" s="242"/>
    </row>
    <row r="454" spans="2:34" ht="15.75" x14ac:dyDescent="0.25">
      <c r="B454" s="229"/>
      <c r="C454" s="235"/>
      <c r="D454" s="243"/>
      <c r="E454" s="232"/>
      <c r="F454" s="435"/>
      <c r="G454" s="234"/>
      <c r="H454" s="235"/>
      <c r="I454" s="235"/>
      <c r="J454" s="440"/>
      <c r="K454" s="443">
        <f ca="1">ROUND(IF(ISERROR(OFFSET(Tabella!$A$1,MATCH(H454,Tabella!$A:$A,0)-1,MATCH(J454,Tabella!$A$1:$AC$1,0)-1)=TRUE),0,+OFFSET(Tabella!$A$1,MATCH(H454,Tabella!$A:$A,0)-1,MATCH(J454,Tabella!$A$1:$AC$1,0)-1)),4)</f>
        <v>0</v>
      </c>
      <c r="L454" s="446">
        <f ca="1">ROUND(IF(ISERROR(OFFSET(Ottone!$A$1,MATCH(H454,Ottone!$A:$A,0)-1,MATCH(J454,Ottone!$A$1:$Z$1,0)-1)=TRUE),0,OFFSET(Ottone!$A$1,MATCH(H454,Ottone!$A:$A,0)-1,MATCH(J454,Ottone!$A$1:$Z$1,0)-1))*IF(E454="Ottone",1,0),4)</f>
        <v>0</v>
      </c>
      <c r="M454" s="446">
        <f ca="1">ROUND(IF(ISERROR(OFFSET(Rame!$A$1,MATCH(H454,Rame!$A:$A,0)-1,MATCH(J454,Rame!$A$1:$AA$1,0)-1)=TRUE),0,OFFSET(Rame!$A$1,MATCH(H454,Rame!$A:$A,0)-1,MATCH(J454,Rame!$A$1:$AA$1,0)-1))*IF(E454="Rame",1,0),4)</f>
        <v>0</v>
      </c>
      <c r="N454" s="446">
        <v>0</v>
      </c>
      <c r="O454" s="446">
        <f t="shared" ca="1" si="183"/>
        <v>0</v>
      </c>
      <c r="P454" s="446">
        <f ca="1">ROUND(+IF(ISERROR(OFFSET(Tabella!$G$1,MATCH(H454,Tabella!$G:$G,0)-1,MATCH(I454,Tabella!$G$1:$FG$1,0)-1)=TRUE),0,OFFSET(Tabella!$G$1,MATCH(H454,Tabella!$G:$G,0)-1,MATCH(I454,Tabella!$G$1:$AB$1,0)-1)),4)</f>
        <v>0</v>
      </c>
      <c r="Q454" s="446">
        <f ca="1">ROUND(IF(ISERROR(OFFSET(Ottone!$F$1,MATCH(H454,Ottone!$A:$A,0)-1,MATCH(I454,Ottone!$F$1:$FF$1,0)-1)=TRUE),0,OFFSET(Ottone!$F$1,MATCH(H454,Ottone!$A:$A,0)-1,MATCH(I454,Ottone!$F$1:$FF$1,0)-1))*IF(E454="Ottone",1,0),4)</f>
        <v>0</v>
      </c>
      <c r="R454" s="446">
        <f ca="1">ROUND(IF(ISERROR(OFFSET(Rame!$F$1,MATCH(H454,Rame!$F:$F,0)-1,MATCH(I454,Rame!$F$1:$FF$1,0)-1)=TRUE),0,OFFSET(Rame!$F$1,MATCH(H454,Rame!$F:$F,0)-1,MATCH(I454,Rame!$F$1:$FF$1,0)-1))*IF(E454="Rame",1,0),4)</f>
        <v>0</v>
      </c>
      <c r="S454" s="446">
        <f ca="1">ROUND(IF(ISERROR(OFFSET(Bronzo!$A$1,MATCH(H454,Bronzo!$A:$A,0)-1,MATCH(I454,Bronzo!$A$1:$AA$1,0)-1)=TRUE),0,OFFSET(Bronzo!$A$1,MATCH(H454,Bronzo!$A:$A,0)-1,MATCH(I454,Bronzo!$A$1:$AA$1,0)-1)),4)</f>
        <v>0</v>
      </c>
      <c r="T454" s="446">
        <f t="shared" ca="1" si="180"/>
        <v>0</v>
      </c>
      <c r="U454" s="443"/>
      <c r="V454" s="446">
        <v>0</v>
      </c>
      <c r="W454" s="449">
        <f t="shared" ca="1" si="181"/>
        <v>0</v>
      </c>
      <c r="X454" s="452">
        <f t="shared" si="179"/>
        <v>0</v>
      </c>
      <c r="Y454" s="440"/>
      <c r="Z454" s="440">
        <f t="shared" ca="1" si="182"/>
        <v>0</v>
      </c>
      <c r="AA454" s="241"/>
      <c r="AH454" s="242"/>
    </row>
    <row r="455" spans="2:34" ht="15.75" x14ac:dyDescent="0.25">
      <c r="B455" s="229"/>
      <c r="C455" s="235"/>
      <c r="D455" s="243"/>
      <c r="E455" s="232"/>
      <c r="F455" s="435"/>
      <c r="G455" s="234"/>
      <c r="H455" s="235"/>
      <c r="I455" s="235"/>
      <c r="J455" s="440"/>
      <c r="K455" s="443">
        <f ca="1">ROUND(IF(ISERROR(OFFSET(Tabella!$A$1,MATCH(H455,Tabella!$A:$A,0)-1,MATCH(J455,Tabella!$A$1:$AC$1,0)-1)=TRUE),0,+OFFSET(Tabella!$A$1,MATCH(H455,Tabella!$A:$A,0)-1,MATCH(J455,Tabella!$A$1:$AC$1,0)-1)),4)</f>
        <v>0</v>
      </c>
      <c r="L455" s="446">
        <f ca="1">ROUND(IF(ISERROR(OFFSET(Ottone!$A$1,MATCH(H455,Ottone!$A:$A,0)-1,MATCH(J455,Ottone!$A$1:$Z$1,0)-1)=TRUE),0,OFFSET(Ottone!$A$1,MATCH(H455,Ottone!$A:$A,0)-1,MATCH(J455,Ottone!$A$1:$Z$1,0)-1))*IF(E455="Ottone",1,0),4)</f>
        <v>0</v>
      </c>
      <c r="M455" s="446">
        <f ca="1">ROUND(IF(ISERROR(OFFSET(Rame!$A$1,MATCH(H455,Rame!$A:$A,0)-1,MATCH(J455,Rame!$A$1:$AA$1,0)-1)=TRUE),0,OFFSET(Rame!$A$1,MATCH(H455,Rame!$A:$A,0)-1,MATCH(J455,Rame!$A$1:$AA$1,0)-1))*IF(E455="Rame",1,0),4)</f>
        <v>0</v>
      </c>
      <c r="N455" s="446">
        <v>0</v>
      </c>
      <c r="O455" s="446">
        <f t="shared" ca="1" si="183"/>
        <v>0</v>
      </c>
      <c r="P455" s="446">
        <f ca="1">ROUND(+IF(ISERROR(OFFSET(Tabella!$G$1,MATCH(H455,Tabella!$G:$G,0)-1,MATCH(I455,Tabella!$G$1:$FG$1,0)-1)=TRUE),0,OFFSET(Tabella!$G$1,MATCH(H455,Tabella!$G:$G,0)-1,MATCH(I455,Tabella!$G$1:$AB$1,0)-1)),4)</f>
        <v>0</v>
      </c>
      <c r="Q455" s="446">
        <f ca="1">ROUND(IF(ISERROR(OFFSET(Ottone!$F$1,MATCH(H455,Ottone!$A:$A,0)-1,MATCH(I455,Ottone!$F$1:$FF$1,0)-1)=TRUE),0,OFFSET(Ottone!$F$1,MATCH(H455,Ottone!$A:$A,0)-1,MATCH(I455,Ottone!$F$1:$FF$1,0)-1))*IF(E455="Ottone",1,0),4)</f>
        <v>0</v>
      </c>
      <c r="R455" s="446">
        <f ca="1">ROUND(IF(ISERROR(OFFSET(Rame!$F$1,MATCH(H455,Rame!$F:$F,0)-1,MATCH(I455,Rame!$F$1:$FF$1,0)-1)=TRUE),0,OFFSET(Rame!$F$1,MATCH(H455,Rame!$F:$F,0)-1,MATCH(I455,Rame!$F$1:$FF$1,0)-1))*IF(E455="Rame",1,0),4)</f>
        <v>0</v>
      </c>
      <c r="S455" s="446">
        <f ca="1">ROUND(IF(ISERROR(OFFSET(Bronzo!$A$1,MATCH(H455,Bronzo!$A:$A,0)-1,MATCH(I455,Bronzo!$A$1:$AA$1,0)-1)=TRUE),0,OFFSET(Bronzo!$A$1,MATCH(H455,Bronzo!$A:$A,0)-1,MATCH(I455,Bronzo!$A$1:$AA$1,0)-1)),4)</f>
        <v>0</v>
      </c>
      <c r="T455" s="446">
        <f t="shared" ca="1" si="180"/>
        <v>0</v>
      </c>
      <c r="U455" s="443"/>
      <c r="V455" s="446">
        <v>0</v>
      </c>
      <c r="W455" s="449">
        <f t="shared" ca="1" si="181"/>
        <v>0</v>
      </c>
      <c r="X455" s="452">
        <f t="shared" si="179"/>
        <v>0</v>
      </c>
      <c r="Y455" s="440"/>
      <c r="Z455" s="440">
        <f t="shared" ca="1" si="182"/>
        <v>0</v>
      </c>
      <c r="AA455" s="241"/>
      <c r="AH455" s="242"/>
    </row>
    <row r="456" spans="2:34" ht="15.75" x14ac:dyDescent="0.25">
      <c r="B456" s="229"/>
      <c r="C456" s="235"/>
      <c r="D456" s="243"/>
      <c r="E456" s="232"/>
      <c r="F456" s="435"/>
      <c r="G456" s="234"/>
      <c r="H456" s="235"/>
      <c r="I456" s="235"/>
      <c r="J456" s="440"/>
      <c r="K456" s="443">
        <f ca="1">ROUND(IF(ISERROR(OFFSET(Tabella!$A$1,MATCH(H456,Tabella!$A:$A,0)-1,MATCH(J456,Tabella!$A$1:$AC$1,0)-1)=TRUE),0,+OFFSET(Tabella!$A$1,MATCH(H456,Tabella!$A:$A,0)-1,MATCH(J456,Tabella!$A$1:$AC$1,0)-1)),4)</f>
        <v>0</v>
      </c>
      <c r="L456" s="446">
        <f ca="1">ROUND(IF(ISERROR(OFFSET(Ottone!$A$1,MATCH(H456,Ottone!$A:$A,0)-1,MATCH(J456,Ottone!$A$1:$Z$1,0)-1)=TRUE),0,OFFSET(Ottone!$A$1,MATCH(H456,Ottone!$A:$A,0)-1,MATCH(J456,Ottone!$A$1:$Z$1,0)-1))*IF(E456="Ottone",1,0),4)</f>
        <v>0</v>
      </c>
      <c r="M456" s="446">
        <f ca="1">ROUND(IF(ISERROR(OFFSET(Rame!$A$1,MATCH(H456,Rame!$A:$A,0)-1,MATCH(J456,Rame!$A$1:$AA$1,0)-1)=TRUE),0,OFFSET(Rame!$A$1,MATCH(H456,Rame!$A:$A,0)-1,MATCH(J456,Rame!$A$1:$AA$1,0)-1))*IF(E456="Rame",1,0),4)</f>
        <v>0</v>
      </c>
      <c r="N456" s="446">
        <v>0</v>
      </c>
      <c r="O456" s="446">
        <f t="shared" ca="1" si="183"/>
        <v>0</v>
      </c>
      <c r="P456" s="446">
        <f ca="1">ROUND(+IF(ISERROR(OFFSET(Tabella!$G$1,MATCH(H456,Tabella!$G:$G,0)-1,MATCH(I456,Tabella!$G$1:$FG$1,0)-1)=TRUE),0,OFFSET(Tabella!$G$1,MATCH(H456,Tabella!$G:$G,0)-1,MATCH(I456,Tabella!$G$1:$AB$1,0)-1)),4)</f>
        <v>0</v>
      </c>
      <c r="Q456" s="446">
        <f ca="1">ROUND(IF(ISERROR(OFFSET(Ottone!$F$1,MATCH(H456,Ottone!$A:$A,0)-1,MATCH(I456,Ottone!$F$1:$FF$1,0)-1)=TRUE),0,OFFSET(Ottone!$F$1,MATCH(H456,Ottone!$A:$A,0)-1,MATCH(I456,Ottone!$F$1:$FF$1,0)-1))*IF(E456="Ottone",1,0),4)</f>
        <v>0</v>
      </c>
      <c r="R456" s="446">
        <f ca="1">ROUND(IF(ISERROR(OFFSET(Rame!$F$1,MATCH(H456,Rame!$F:$F,0)-1,MATCH(I456,Rame!$F$1:$FF$1,0)-1)=TRUE),0,OFFSET(Rame!$F$1,MATCH(H456,Rame!$F:$F,0)-1,MATCH(I456,Rame!$F$1:$FF$1,0)-1))*IF(E456="Rame",1,0),4)</f>
        <v>0</v>
      </c>
      <c r="S456" s="446">
        <f ca="1">ROUND(IF(ISERROR(OFFSET(Bronzo!$A$1,MATCH(H456,Bronzo!$A:$A,0)-1,MATCH(I456,Bronzo!$A$1:$AA$1,0)-1)=TRUE),0,OFFSET(Bronzo!$A$1,MATCH(H456,Bronzo!$A:$A,0)-1,MATCH(I456,Bronzo!$A$1:$AA$1,0)-1)),4)</f>
        <v>0</v>
      </c>
      <c r="T456" s="446">
        <f t="shared" ca="1" si="180"/>
        <v>0</v>
      </c>
      <c r="U456" s="443"/>
      <c r="V456" s="446">
        <v>0</v>
      </c>
      <c r="W456" s="449">
        <f t="shared" ca="1" si="181"/>
        <v>0</v>
      </c>
      <c r="X456" s="452">
        <f t="shared" si="179"/>
        <v>0</v>
      </c>
      <c r="Y456" s="440"/>
      <c r="Z456" s="440">
        <f t="shared" ca="1" si="182"/>
        <v>0</v>
      </c>
      <c r="AA456" s="241"/>
      <c r="AH456" s="242"/>
    </row>
    <row r="457" spans="2:34" ht="15.75" x14ac:dyDescent="0.25">
      <c r="B457" s="229"/>
      <c r="C457" s="235"/>
      <c r="D457" s="243"/>
      <c r="E457" s="232"/>
      <c r="F457" s="435"/>
      <c r="G457" s="234"/>
      <c r="H457" s="235"/>
      <c r="I457" s="235"/>
      <c r="J457" s="440"/>
      <c r="K457" s="443">
        <f ca="1">ROUND(IF(ISERROR(OFFSET(Tabella!$A$1,MATCH(H457,Tabella!$A:$A,0)-1,MATCH(J457,Tabella!$A$1:$AC$1,0)-1)=TRUE),0,+OFFSET(Tabella!$A$1,MATCH(H457,Tabella!$A:$A,0)-1,MATCH(J457,Tabella!$A$1:$AC$1,0)-1)),4)</f>
        <v>0</v>
      </c>
      <c r="L457" s="446">
        <f ca="1">ROUND(IF(ISERROR(OFFSET(Ottone!$A$1,MATCH(H457,Ottone!$A:$A,0)-1,MATCH(J457,Ottone!$A$1:$Z$1,0)-1)=TRUE),0,OFFSET(Ottone!$A$1,MATCH(H457,Ottone!$A:$A,0)-1,MATCH(J457,Ottone!$A$1:$Z$1,0)-1))*IF(E457="Ottone",1,0),4)</f>
        <v>0</v>
      </c>
      <c r="M457" s="446">
        <f ca="1">ROUND(IF(ISERROR(OFFSET(Rame!$A$1,MATCH(H457,Rame!$A:$A,0)-1,MATCH(J457,Rame!$A$1:$AA$1,0)-1)=TRUE),0,OFFSET(Rame!$A$1,MATCH(H457,Rame!$A:$A,0)-1,MATCH(J457,Rame!$A$1:$AA$1,0)-1))*IF(E457="Rame",1,0),4)</f>
        <v>0</v>
      </c>
      <c r="N457" s="446">
        <v>0</v>
      </c>
      <c r="O457" s="446">
        <f t="shared" ca="1" si="183"/>
        <v>0</v>
      </c>
      <c r="P457" s="446">
        <f ca="1">ROUND(+IF(ISERROR(OFFSET(Tabella!$G$1,MATCH(H457,Tabella!$G:$G,0)-1,MATCH(I457,Tabella!$G$1:$FG$1,0)-1)=TRUE),0,OFFSET(Tabella!$G$1,MATCH(H457,Tabella!$G:$G,0)-1,MATCH(I457,Tabella!$G$1:$AB$1,0)-1)),4)</f>
        <v>0</v>
      </c>
      <c r="Q457" s="446">
        <f ca="1">ROUND(IF(ISERROR(OFFSET(Ottone!$F$1,MATCH(H457,Ottone!$A:$A,0)-1,MATCH(I457,Ottone!$F$1:$FF$1,0)-1)=TRUE),0,OFFSET(Ottone!$F$1,MATCH(H457,Ottone!$A:$A,0)-1,MATCH(I457,Ottone!$F$1:$FF$1,0)-1))*IF(E457="Ottone",1,0),4)</f>
        <v>0</v>
      </c>
      <c r="R457" s="446">
        <f ca="1">ROUND(IF(ISERROR(OFFSET(Rame!$F$1,MATCH(H457,Rame!$F:$F,0)-1,MATCH(I457,Rame!$F$1:$FF$1,0)-1)=TRUE),0,OFFSET(Rame!$F$1,MATCH(H457,Rame!$F:$F,0)-1,MATCH(I457,Rame!$F$1:$FF$1,0)-1))*IF(E457="Rame",1,0),4)</f>
        <v>0</v>
      </c>
      <c r="S457" s="446">
        <f ca="1">ROUND(IF(ISERROR(OFFSET(Bronzo!$A$1,MATCH(H457,Bronzo!$A:$A,0)-1,MATCH(I457,Bronzo!$A$1:$AA$1,0)-1)=TRUE),0,OFFSET(Bronzo!$A$1,MATCH(H457,Bronzo!$A:$A,0)-1,MATCH(I457,Bronzo!$A$1:$AA$1,0)-1)),4)</f>
        <v>0</v>
      </c>
      <c r="T457" s="446">
        <f t="shared" ca="1" si="180"/>
        <v>0</v>
      </c>
      <c r="U457" s="443"/>
      <c r="V457" s="446">
        <v>0</v>
      </c>
      <c r="W457" s="449">
        <f t="shared" ca="1" si="181"/>
        <v>0</v>
      </c>
      <c r="X457" s="452">
        <f t="shared" si="179"/>
        <v>0</v>
      </c>
      <c r="Y457" s="440"/>
      <c r="Z457" s="440">
        <f t="shared" ca="1" si="182"/>
        <v>0</v>
      </c>
      <c r="AA457" s="241"/>
      <c r="AH457" s="242"/>
    </row>
    <row r="458" spans="2:34" ht="15.75" x14ac:dyDescent="0.25">
      <c r="B458" s="229"/>
      <c r="C458" s="235"/>
      <c r="D458" s="243"/>
      <c r="E458" s="232"/>
      <c r="F458" s="435"/>
      <c r="G458" s="234"/>
      <c r="H458" s="235"/>
      <c r="I458" s="235"/>
      <c r="J458" s="440"/>
      <c r="K458" s="443">
        <f ca="1">ROUND(IF(ISERROR(OFFSET(Tabella!$A$1,MATCH(H458,Tabella!$A:$A,0)-1,MATCH(J458,Tabella!$A$1:$AC$1,0)-1)=TRUE),0,+OFFSET(Tabella!$A$1,MATCH(H458,Tabella!$A:$A,0)-1,MATCH(J458,Tabella!$A$1:$AC$1,0)-1)),4)</f>
        <v>0</v>
      </c>
      <c r="L458" s="446">
        <f ca="1">ROUND(IF(ISERROR(OFFSET(Ottone!$A$1,MATCH(H458,Ottone!$A:$A,0)-1,MATCH(J458,Ottone!$A$1:$Z$1,0)-1)=TRUE),0,OFFSET(Ottone!$A$1,MATCH(H458,Ottone!$A:$A,0)-1,MATCH(J458,Ottone!$A$1:$Z$1,0)-1))*IF(E458="Ottone",1,0),4)</f>
        <v>0</v>
      </c>
      <c r="M458" s="446">
        <f ca="1">ROUND(IF(ISERROR(OFFSET(Rame!$A$1,MATCH(H458,Rame!$A:$A,0)-1,MATCH(J458,Rame!$A$1:$AA$1,0)-1)=TRUE),0,OFFSET(Rame!$A$1,MATCH(H458,Rame!$A:$A,0)-1,MATCH(J458,Rame!$A$1:$AA$1,0)-1))*IF(E458="Rame",1,0),4)</f>
        <v>0</v>
      </c>
      <c r="N458" s="446">
        <v>0</v>
      </c>
      <c r="O458" s="446">
        <f t="shared" ca="1" si="183"/>
        <v>0</v>
      </c>
      <c r="P458" s="446">
        <f ca="1">ROUND(+IF(ISERROR(OFFSET(Tabella!$G$1,MATCH(H458,Tabella!$G:$G,0)-1,MATCH(I458,Tabella!$G$1:$FG$1,0)-1)=TRUE),0,OFFSET(Tabella!$G$1,MATCH(H458,Tabella!$G:$G,0)-1,MATCH(I458,Tabella!$G$1:$AB$1,0)-1)),4)</f>
        <v>0</v>
      </c>
      <c r="Q458" s="446">
        <f ca="1">ROUND(IF(ISERROR(OFFSET(Ottone!$F$1,MATCH(H458,Ottone!$A:$A,0)-1,MATCH(I458,Ottone!$F$1:$FF$1,0)-1)=TRUE),0,OFFSET(Ottone!$F$1,MATCH(H458,Ottone!$A:$A,0)-1,MATCH(I458,Ottone!$F$1:$FF$1,0)-1))*IF(E458="Ottone",1,0),4)</f>
        <v>0</v>
      </c>
      <c r="R458" s="446">
        <f ca="1">ROUND(IF(ISERROR(OFFSET(Rame!$F$1,MATCH(H458,Rame!$F:$F,0)-1,MATCH(I458,Rame!$F$1:$FF$1,0)-1)=TRUE),0,OFFSET(Rame!$F$1,MATCH(H458,Rame!$F:$F,0)-1,MATCH(I458,Rame!$F$1:$FF$1,0)-1))*IF(E458="Rame",1,0),4)</f>
        <v>0</v>
      </c>
      <c r="S458" s="446">
        <f ca="1">ROUND(IF(ISERROR(OFFSET(Bronzo!$A$1,MATCH(H458,Bronzo!$A:$A,0)-1,MATCH(I458,Bronzo!$A$1:$AA$1,0)-1)=TRUE),0,OFFSET(Bronzo!$A$1,MATCH(H458,Bronzo!$A:$A,0)-1,MATCH(I458,Bronzo!$A$1:$AA$1,0)-1)),4)</f>
        <v>0</v>
      </c>
      <c r="T458" s="446">
        <f t="shared" ca="1" si="180"/>
        <v>0</v>
      </c>
      <c r="U458" s="443"/>
      <c r="V458" s="446">
        <v>0</v>
      </c>
      <c r="W458" s="449">
        <f t="shared" ca="1" si="181"/>
        <v>0</v>
      </c>
      <c r="X458" s="452">
        <f t="shared" si="179"/>
        <v>0</v>
      </c>
      <c r="Y458" s="440"/>
      <c r="Z458" s="440">
        <f t="shared" ca="1" si="182"/>
        <v>0</v>
      </c>
      <c r="AA458" s="241"/>
      <c r="AH458" s="242"/>
    </row>
    <row r="459" spans="2:34" ht="15.75" x14ac:dyDescent="0.25">
      <c r="B459" s="229"/>
      <c r="C459" s="235"/>
      <c r="D459" s="243"/>
      <c r="E459" s="232"/>
      <c r="F459" s="435"/>
      <c r="G459" s="234"/>
      <c r="H459" s="235"/>
      <c r="I459" s="235"/>
      <c r="J459" s="440"/>
      <c r="K459" s="443">
        <f ca="1">ROUND(IF(ISERROR(OFFSET(Tabella!$A$1,MATCH(H459,Tabella!$A:$A,0)-1,MATCH(J459,Tabella!$A$1:$AC$1,0)-1)=TRUE),0,+OFFSET(Tabella!$A$1,MATCH(H459,Tabella!$A:$A,0)-1,MATCH(J459,Tabella!$A$1:$AC$1,0)-1)),4)</f>
        <v>0</v>
      </c>
      <c r="L459" s="446">
        <f ca="1">ROUND(IF(ISERROR(OFFSET(Ottone!$A$1,MATCH(H459,Ottone!$A:$A,0)-1,MATCH(J459,Ottone!$A$1:$Z$1,0)-1)=TRUE),0,OFFSET(Ottone!$A$1,MATCH(H459,Ottone!$A:$A,0)-1,MATCH(J459,Ottone!$A$1:$Z$1,0)-1))*IF(E459="Ottone",1,0),4)</f>
        <v>0</v>
      </c>
      <c r="M459" s="446">
        <f ca="1">ROUND(IF(ISERROR(OFFSET(Rame!$A$1,MATCH(H459,Rame!$A:$A,0)-1,MATCH(J459,Rame!$A$1:$AA$1,0)-1)=TRUE),0,OFFSET(Rame!$A$1,MATCH(H459,Rame!$A:$A,0)-1,MATCH(J459,Rame!$A$1:$AA$1,0)-1))*IF(E459="Rame",1,0),4)</f>
        <v>0</v>
      </c>
      <c r="N459" s="446">
        <v>0</v>
      </c>
      <c r="O459" s="446">
        <f t="shared" ca="1" si="183"/>
        <v>0</v>
      </c>
      <c r="P459" s="446">
        <f ca="1">ROUND(+IF(ISERROR(OFFSET(Tabella!$G$1,MATCH(H459,Tabella!$G:$G,0)-1,MATCH(I459,Tabella!$G$1:$FG$1,0)-1)=TRUE),0,OFFSET(Tabella!$G$1,MATCH(H459,Tabella!$G:$G,0)-1,MATCH(I459,Tabella!$G$1:$AB$1,0)-1)),4)</f>
        <v>0</v>
      </c>
      <c r="Q459" s="446">
        <f ca="1">ROUND(IF(ISERROR(OFFSET(Ottone!$F$1,MATCH(H459,Ottone!$A:$A,0)-1,MATCH(I459,Ottone!$F$1:$FF$1,0)-1)=TRUE),0,OFFSET(Ottone!$F$1,MATCH(H459,Ottone!$A:$A,0)-1,MATCH(I459,Ottone!$F$1:$FF$1,0)-1))*IF(E459="Ottone",1,0),4)</f>
        <v>0</v>
      </c>
      <c r="R459" s="446">
        <f ca="1">ROUND(IF(ISERROR(OFFSET(Rame!$F$1,MATCH(H459,Rame!$F:$F,0)-1,MATCH(I459,Rame!$F$1:$FF$1,0)-1)=TRUE),0,OFFSET(Rame!$F$1,MATCH(H459,Rame!$F:$F,0)-1,MATCH(I459,Rame!$F$1:$FF$1,0)-1))*IF(E459="Rame",1,0),4)</f>
        <v>0</v>
      </c>
      <c r="S459" s="446">
        <f ca="1">ROUND(IF(ISERROR(OFFSET(Bronzo!$A$1,MATCH(H459,Bronzo!$A:$A,0)-1,MATCH(I459,Bronzo!$A$1:$AA$1,0)-1)=TRUE),0,OFFSET(Bronzo!$A$1,MATCH(H459,Bronzo!$A:$A,0)-1,MATCH(I459,Bronzo!$A$1:$AA$1,0)-1)),4)</f>
        <v>0</v>
      </c>
      <c r="T459" s="446">
        <f t="shared" ca="1" si="180"/>
        <v>0</v>
      </c>
      <c r="U459" s="443"/>
      <c r="V459" s="446">
        <v>0</v>
      </c>
      <c r="W459" s="449">
        <f t="shared" ca="1" si="181"/>
        <v>0</v>
      </c>
      <c r="X459" s="452">
        <f t="shared" si="179"/>
        <v>0</v>
      </c>
      <c r="Y459" s="440"/>
      <c r="Z459" s="440">
        <f t="shared" ca="1" si="182"/>
        <v>0</v>
      </c>
      <c r="AA459" s="241"/>
      <c r="AH459" s="242"/>
    </row>
    <row r="460" spans="2:34" ht="15.75" x14ac:dyDescent="0.25">
      <c r="B460" s="229"/>
      <c r="C460" s="235"/>
      <c r="D460" s="243"/>
      <c r="E460" s="232"/>
      <c r="F460" s="435"/>
      <c r="G460" s="234"/>
      <c r="H460" s="235"/>
      <c r="I460" s="235"/>
      <c r="J460" s="440"/>
      <c r="K460" s="443">
        <f ca="1">ROUND(IF(ISERROR(OFFSET(Tabella!$A$1,MATCH(H460,Tabella!$A:$A,0)-1,MATCH(J460,Tabella!$A$1:$AC$1,0)-1)=TRUE),0,+OFFSET(Tabella!$A$1,MATCH(H460,Tabella!$A:$A,0)-1,MATCH(J460,Tabella!$A$1:$AC$1,0)-1)),4)</f>
        <v>0</v>
      </c>
      <c r="L460" s="446">
        <f ca="1">ROUND(IF(ISERROR(OFFSET(Ottone!$A$1,MATCH(H460,Ottone!$A:$A,0)-1,MATCH(J460,Ottone!$A$1:$Z$1,0)-1)=TRUE),0,OFFSET(Ottone!$A$1,MATCH(H460,Ottone!$A:$A,0)-1,MATCH(J460,Ottone!$A$1:$Z$1,0)-1))*IF(E460="Ottone",1,0),4)</f>
        <v>0</v>
      </c>
      <c r="M460" s="446">
        <f ca="1">ROUND(IF(ISERROR(OFFSET(Rame!$A$1,MATCH(H460,Rame!$A:$A,0)-1,MATCH(J460,Rame!$A$1:$AA$1,0)-1)=TRUE),0,OFFSET(Rame!$A$1,MATCH(H460,Rame!$A:$A,0)-1,MATCH(J460,Rame!$A$1:$AA$1,0)-1))*IF(E460="Rame",1,0),4)</f>
        <v>0</v>
      </c>
      <c r="N460" s="446">
        <v>0</v>
      </c>
      <c r="O460" s="446">
        <f t="shared" ca="1" si="183"/>
        <v>0</v>
      </c>
      <c r="P460" s="446">
        <f ca="1">ROUND(+IF(ISERROR(OFFSET(Tabella!$G$1,MATCH(H460,Tabella!$G:$G,0)-1,MATCH(I460,Tabella!$G$1:$FG$1,0)-1)=TRUE),0,OFFSET(Tabella!$G$1,MATCH(H460,Tabella!$G:$G,0)-1,MATCH(I460,Tabella!$G$1:$AB$1,0)-1)),4)</f>
        <v>0</v>
      </c>
      <c r="Q460" s="446">
        <f ca="1">ROUND(IF(ISERROR(OFFSET(Ottone!$F$1,MATCH(H460,Ottone!$A:$A,0)-1,MATCH(I460,Ottone!$F$1:$FF$1,0)-1)=TRUE),0,OFFSET(Ottone!$F$1,MATCH(H460,Ottone!$A:$A,0)-1,MATCH(I460,Ottone!$F$1:$FF$1,0)-1))*IF(E460="Ottone",1,0),4)</f>
        <v>0</v>
      </c>
      <c r="R460" s="446">
        <f ca="1">ROUND(IF(ISERROR(OFFSET(Rame!$F$1,MATCH(H460,Rame!$F:$F,0)-1,MATCH(I460,Rame!$F$1:$FF$1,0)-1)=TRUE),0,OFFSET(Rame!$F$1,MATCH(H460,Rame!$F:$F,0)-1,MATCH(I460,Rame!$F$1:$FF$1,0)-1))*IF(E460="Rame",1,0),4)</f>
        <v>0</v>
      </c>
      <c r="S460" s="446">
        <f ca="1">ROUND(IF(ISERROR(OFFSET(Bronzo!$A$1,MATCH(H460,Bronzo!$A:$A,0)-1,MATCH(I460,Bronzo!$A$1:$AA$1,0)-1)=TRUE),0,OFFSET(Bronzo!$A$1,MATCH(H460,Bronzo!$A:$A,0)-1,MATCH(I460,Bronzo!$A$1:$AA$1,0)-1)),4)</f>
        <v>0</v>
      </c>
      <c r="T460" s="446">
        <f t="shared" ca="1" si="180"/>
        <v>0</v>
      </c>
      <c r="U460" s="443"/>
      <c r="V460" s="446">
        <v>0</v>
      </c>
      <c r="W460" s="449">
        <f t="shared" ca="1" si="181"/>
        <v>0</v>
      </c>
      <c r="X460" s="452">
        <f t="shared" si="179"/>
        <v>0</v>
      </c>
      <c r="Y460" s="440"/>
      <c r="Z460" s="440">
        <f t="shared" ca="1" si="182"/>
        <v>0</v>
      </c>
      <c r="AA460" s="241"/>
      <c r="AH460" s="242"/>
    </row>
    <row r="461" spans="2:34" ht="15.75" x14ac:dyDescent="0.25">
      <c r="B461" s="229"/>
      <c r="C461" s="235"/>
      <c r="D461" s="243"/>
      <c r="E461" s="232"/>
      <c r="F461" s="435"/>
      <c r="G461" s="234"/>
      <c r="H461" s="235"/>
      <c r="I461" s="235"/>
      <c r="J461" s="440"/>
      <c r="K461" s="443">
        <f ca="1">ROUND(IF(ISERROR(OFFSET(Tabella!$A$1,MATCH(H461,Tabella!$A:$A,0)-1,MATCH(J461,Tabella!$A$1:$AC$1,0)-1)=TRUE),0,+OFFSET(Tabella!$A$1,MATCH(H461,Tabella!$A:$A,0)-1,MATCH(J461,Tabella!$A$1:$AC$1,0)-1)),4)</f>
        <v>0</v>
      </c>
      <c r="L461" s="446">
        <f ca="1">ROUND(IF(ISERROR(OFFSET(Ottone!$A$1,MATCH(H461,Ottone!$A:$A,0)-1,MATCH(J461,Ottone!$A$1:$Z$1,0)-1)=TRUE),0,OFFSET(Ottone!$A$1,MATCH(H461,Ottone!$A:$A,0)-1,MATCH(J461,Ottone!$A$1:$Z$1,0)-1))*IF(E461="Ottone",1,0),4)</f>
        <v>0</v>
      </c>
      <c r="M461" s="446">
        <f ca="1">ROUND(IF(ISERROR(OFFSET(Rame!$A$1,MATCH(H461,Rame!$A:$A,0)-1,MATCH(J461,Rame!$A$1:$AA$1,0)-1)=TRUE),0,OFFSET(Rame!$A$1,MATCH(H461,Rame!$A:$A,0)-1,MATCH(J461,Rame!$A$1:$AA$1,0)-1))*IF(E461="Rame",1,0),4)</f>
        <v>0</v>
      </c>
      <c r="N461" s="446">
        <v>0</v>
      </c>
      <c r="O461" s="446">
        <f t="shared" ca="1" si="183"/>
        <v>0</v>
      </c>
      <c r="P461" s="446">
        <f ca="1">ROUND(+IF(ISERROR(OFFSET(Tabella!$G$1,MATCH(H461,Tabella!$G:$G,0)-1,MATCH(I461,Tabella!$G$1:$FG$1,0)-1)=TRUE),0,OFFSET(Tabella!$G$1,MATCH(H461,Tabella!$G:$G,0)-1,MATCH(I461,Tabella!$G$1:$AB$1,0)-1)),4)</f>
        <v>0</v>
      </c>
      <c r="Q461" s="446">
        <f ca="1">ROUND(IF(ISERROR(OFFSET(Ottone!$F$1,MATCH(H461,Ottone!$A:$A,0)-1,MATCH(I461,Ottone!$F$1:$FF$1,0)-1)=TRUE),0,OFFSET(Ottone!$F$1,MATCH(H461,Ottone!$A:$A,0)-1,MATCH(I461,Ottone!$F$1:$FF$1,0)-1))*IF(E461="Ottone",1,0),4)</f>
        <v>0</v>
      </c>
      <c r="R461" s="446">
        <f ca="1">ROUND(IF(ISERROR(OFFSET(Rame!$F$1,MATCH(H461,Rame!$F:$F,0)-1,MATCH(I461,Rame!$F$1:$FF$1,0)-1)=TRUE),0,OFFSET(Rame!$F$1,MATCH(H461,Rame!$F:$F,0)-1,MATCH(I461,Rame!$F$1:$FF$1,0)-1))*IF(E461="Rame",1,0),4)</f>
        <v>0</v>
      </c>
      <c r="S461" s="446">
        <f ca="1">ROUND(IF(ISERROR(OFFSET(Bronzo!$A$1,MATCH(H461,Bronzo!$A:$A,0)-1,MATCH(I461,Bronzo!$A$1:$AA$1,0)-1)=TRUE),0,OFFSET(Bronzo!$A$1,MATCH(H461,Bronzo!$A:$A,0)-1,MATCH(I461,Bronzo!$A$1:$AA$1,0)-1)),4)</f>
        <v>0</v>
      </c>
      <c r="T461" s="446">
        <f t="shared" ca="1" si="180"/>
        <v>0</v>
      </c>
      <c r="U461" s="443"/>
      <c r="V461" s="446">
        <v>0</v>
      </c>
      <c r="W461" s="449">
        <f t="shared" ca="1" si="181"/>
        <v>0</v>
      </c>
      <c r="X461" s="452">
        <f t="shared" si="179"/>
        <v>0</v>
      </c>
      <c r="Y461" s="440"/>
      <c r="Z461" s="440">
        <f t="shared" ca="1" si="182"/>
        <v>0</v>
      </c>
      <c r="AA461" s="241"/>
      <c r="AH461" s="242"/>
    </row>
    <row r="462" spans="2:34" ht="15.75" x14ac:dyDescent="0.25">
      <c r="B462" s="229"/>
      <c r="C462" s="235"/>
      <c r="D462" s="243"/>
      <c r="E462" s="232"/>
      <c r="F462" s="435"/>
      <c r="G462" s="234"/>
      <c r="H462" s="235"/>
      <c r="I462" s="235"/>
      <c r="J462" s="440"/>
      <c r="K462" s="443">
        <f ca="1">ROUND(IF(ISERROR(OFFSET(Tabella!$A$1,MATCH(H462,Tabella!$A:$A,0)-1,MATCH(J462,Tabella!$A$1:$AC$1,0)-1)=TRUE),0,+OFFSET(Tabella!$A$1,MATCH(H462,Tabella!$A:$A,0)-1,MATCH(J462,Tabella!$A$1:$AC$1,0)-1)),4)</f>
        <v>0</v>
      </c>
      <c r="L462" s="446">
        <f ca="1">ROUND(IF(ISERROR(OFFSET(Ottone!$A$1,MATCH(H462,Ottone!$A:$A,0)-1,MATCH(J462,Ottone!$A$1:$Z$1,0)-1)=TRUE),0,OFFSET(Ottone!$A$1,MATCH(H462,Ottone!$A:$A,0)-1,MATCH(J462,Ottone!$A$1:$Z$1,0)-1))*IF(E462="Ottone",1,0),4)</f>
        <v>0</v>
      </c>
      <c r="M462" s="446">
        <f ca="1">ROUND(IF(ISERROR(OFFSET(Rame!$A$1,MATCH(H462,Rame!$A:$A,0)-1,MATCH(J462,Rame!$A$1:$AA$1,0)-1)=TRUE),0,OFFSET(Rame!$A$1,MATCH(H462,Rame!$A:$A,0)-1,MATCH(J462,Rame!$A$1:$AA$1,0)-1))*IF(E462="Rame",1,0),4)</f>
        <v>0</v>
      </c>
      <c r="N462" s="446">
        <v>0</v>
      </c>
      <c r="O462" s="446">
        <f t="shared" ca="1" si="183"/>
        <v>0</v>
      </c>
      <c r="P462" s="446">
        <f ca="1">ROUND(+IF(ISERROR(OFFSET(Tabella!$G$1,MATCH(H462,Tabella!$G:$G,0)-1,MATCH(I462,Tabella!$G$1:$FG$1,0)-1)=TRUE),0,OFFSET(Tabella!$G$1,MATCH(H462,Tabella!$G:$G,0)-1,MATCH(I462,Tabella!$G$1:$AB$1,0)-1)),4)</f>
        <v>0</v>
      </c>
      <c r="Q462" s="446">
        <f ca="1">ROUND(IF(ISERROR(OFFSET(Ottone!$F$1,MATCH(H462,Ottone!$A:$A,0)-1,MATCH(I462,Ottone!$F$1:$FF$1,0)-1)=TRUE),0,OFFSET(Ottone!$F$1,MATCH(H462,Ottone!$A:$A,0)-1,MATCH(I462,Ottone!$F$1:$FF$1,0)-1))*IF(E462="Ottone",1,0),4)</f>
        <v>0</v>
      </c>
      <c r="R462" s="446">
        <f ca="1">ROUND(IF(ISERROR(OFFSET(Rame!$F$1,MATCH(H462,Rame!$F:$F,0)-1,MATCH(I462,Rame!$F$1:$FF$1,0)-1)=TRUE),0,OFFSET(Rame!$F$1,MATCH(H462,Rame!$F:$F,0)-1,MATCH(I462,Rame!$F$1:$FF$1,0)-1))*IF(E462="Rame",1,0),4)</f>
        <v>0</v>
      </c>
      <c r="S462" s="446">
        <f ca="1">ROUND(IF(ISERROR(OFFSET(Bronzo!$A$1,MATCH(H462,Bronzo!$A:$A,0)-1,MATCH(I462,Bronzo!$A$1:$AA$1,0)-1)=TRUE),0,OFFSET(Bronzo!$A$1,MATCH(H462,Bronzo!$A:$A,0)-1,MATCH(I462,Bronzo!$A$1:$AA$1,0)-1)),4)</f>
        <v>0</v>
      </c>
      <c r="T462" s="446">
        <f t="shared" ca="1" si="180"/>
        <v>0</v>
      </c>
      <c r="U462" s="443"/>
      <c r="V462" s="446">
        <v>0</v>
      </c>
      <c r="W462" s="449">
        <f t="shared" ca="1" si="181"/>
        <v>0</v>
      </c>
      <c r="X462" s="452">
        <f t="shared" si="179"/>
        <v>0</v>
      </c>
      <c r="Y462" s="440"/>
      <c r="Z462" s="440">
        <f t="shared" ca="1" si="182"/>
        <v>0</v>
      </c>
      <c r="AA462" s="241"/>
      <c r="AH462" s="242"/>
    </row>
    <row r="463" spans="2:34" ht="15.75" x14ac:dyDescent="0.25">
      <c r="B463" s="229"/>
      <c r="C463" s="235"/>
      <c r="D463" s="243"/>
      <c r="E463" s="232"/>
      <c r="F463" s="435"/>
      <c r="G463" s="234"/>
      <c r="H463" s="235"/>
      <c r="I463" s="235"/>
      <c r="J463" s="440"/>
      <c r="K463" s="443">
        <f ca="1">ROUND(IF(ISERROR(OFFSET(Tabella!$A$1,MATCH(H463,Tabella!$A:$A,0)-1,MATCH(J463,Tabella!$A$1:$AC$1,0)-1)=TRUE),0,+OFFSET(Tabella!$A$1,MATCH(H463,Tabella!$A:$A,0)-1,MATCH(J463,Tabella!$A$1:$AC$1,0)-1)),4)</f>
        <v>0</v>
      </c>
      <c r="L463" s="446">
        <f ca="1">ROUND(IF(ISERROR(OFFSET(Ottone!$A$1,MATCH(H463,Ottone!$A:$A,0)-1,MATCH(J463,Ottone!$A$1:$Z$1,0)-1)=TRUE),0,OFFSET(Ottone!$A$1,MATCH(H463,Ottone!$A:$A,0)-1,MATCH(J463,Ottone!$A$1:$Z$1,0)-1))*IF(E463="Ottone",1,0),4)</f>
        <v>0</v>
      </c>
      <c r="M463" s="446">
        <f ca="1">ROUND(IF(ISERROR(OFFSET(Rame!$A$1,MATCH(H463,Rame!$A:$A,0)-1,MATCH(J463,Rame!$A$1:$AA$1,0)-1)=TRUE),0,OFFSET(Rame!$A$1,MATCH(H463,Rame!$A:$A,0)-1,MATCH(J463,Rame!$A$1:$AA$1,0)-1))*IF(E463="Rame",1,0),4)</f>
        <v>0</v>
      </c>
      <c r="N463" s="446">
        <v>0</v>
      </c>
      <c r="O463" s="446">
        <f t="shared" ca="1" si="183"/>
        <v>0</v>
      </c>
      <c r="P463" s="446">
        <f ca="1">ROUND(+IF(ISERROR(OFFSET(Tabella!$G$1,MATCH(H463,Tabella!$G:$G,0)-1,MATCH(I463,Tabella!$G$1:$FG$1,0)-1)=TRUE),0,OFFSET(Tabella!$G$1,MATCH(H463,Tabella!$G:$G,0)-1,MATCH(I463,Tabella!$G$1:$AB$1,0)-1)),4)</f>
        <v>0</v>
      </c>
      <c r="Q463" s="446">
        <f ca="1">ROUND(IF(ISERROR(OFFSET(Ottone!$F$1,MATCH(H463,Ottone!$A:$A,0)-1,MATCH(I463,Ottone!$F$1:$FF$1,0)-1)=TRUE),0,OFFSET(Ottone!$F$1,MATCH(H463,Ottone!$A:$A,0)-1,MATCH(I463,Ottone!$F$1:$FF$1,0)-1))*IF(E463="Ottone",1,0),4)</f>
        <v>0</v>
      </c>
      <c r="R463" s="446">
        <f ca="1">ROUND(IF(ISERROR(OFFSET(Rame!$F$1,MATCH(H463,Rame!$F:$F,0)-1,MATCH(I463,Rame!$F$1:$FF$1,0)-1)=TRUE),0,OFFSET(Rame!$F$1,MATCH(H463,Rame!$F:$F,0)-1,MATCH(I463,Rame!$F$1:$FF$1,0)-1))*IF(E463="Rame",1,0),4)</f>
        <v>0</v>
      </c>
      <c r="S463" s="446">
        <f ca="1">ROUND(IF(ISERROR(OFFSET(Bronzo!$A$1,MATCH(H463,Bronzo!$A:$A,0)-1,MATCH(I463,Bronzo!$A$1:$AA$1,0)-1)=TRUE),0,OFFSET(Bronzo!$A$1,MATCH(H463,Bronzo!$A:$A,0)-1,MATCH(I463,Bronzo!$A$1:$AA$1,0)-1)),4)</f>
        <v>0</v>
      </c>
      <c r="T463" s="446">
        <f t="shared" ca="1" si="180"/>
        <v>0</v>
      </c>
      <c r="U463" s="443"/>
      <c r="V463" s="446">
        <v>0</v>
      </c>
      <c r="W463" s="449">
        <f t="shared" ca="1" si="181"/>
        <v>0</v>
      </c>
      <c r="X463" s="452">
        <f t="shared" si="179"/>
        <v>0</v>
      </c>
      <c r="Y463" s="440"/>
      <c r="Z463" s="440">
        <f t="shared" ca="1" si="182"/>
        <v>0</v>
      </c>
      <c r="AA463" s="241"/>
      <c r="AH463" s="242"/>
    </row>
    <row r="464" spans="2:34" ht="15.75" x14ac:dyDescent="0.25">
      <c r="B464" s="229"/>
      <c r="C464" s="235"/>
      <c r="D464" s="243"/>
      <c r="E464" s="232"/>
      <c r="F464" s="435"/>
      <c r="G464" s="234"/>
      <c r="H464" s="235"/>
      <c r="I464" s="235"/>
      <c r="J464" s="440"/>
      <c r="K464" s="443">
        <f ca="1">ROUND(IF(ISERROR(OFFSET(Tabella!$A$1,MATCH(H464,Tabella!$A:$A,0)-1,MATCH(J464,Tabella!$A$1:$AC$1,0)-1)=TRUE),0,+OFFSET(Tabella!$A$1,MATCH(H464,Tabella!$A:$A,0)-1,MATCH(J464,Tabella!$A$1:$AC$1,0)-1)),4)</f>
        <v>0</v>
      </c>
      <c r="L464" s="446">
        <f ca="1">ROUND(IF(ISERROR(OFFSET(Ottone!$A$1,MATCH(H464,Ottone!$A:$A,0)-1,MATCH(J464,Ottone!$A$1:$Z$1,0)-1)=TRUE),0,OFFSET(Ottone!$A$1,MATCH(H464,Ottone!$A:$A,0)-1,MATCH(J464,Ottone!$A$1:$Z$1,0)-1))*IF(E464="Ottone",1,0),4)</f>
        <v>0</v>
      </c>
      <c r="M464" s="446">
        <f ca="1">ROUND(IF(ISERROR(OFFSET(Rame!$A$1,MATCH(H464,Rame!$A:$A,0)-1,MATCH(J464,Rame!$A$1:$AA$1,0)-1)=TRUE),0,OFFSET(Rame!$A$1,MATCH(H464,Rame!$A:$A,0)-1,MATCH(J464,Rame!$A$1:$AA$1,0)-1))*IF(E464="Rame",1,0),4)</f>
        <v>0</v>
      </c>
      <c r="N464" s="446">
        <v>0</v>
      </c>
      <c r="O464" s="446">
        <f t="shared" ca="1" si="183"/>
        <v>0</v>
      </c>
      <c r="P464" s="446">
        <f ca="1">ROUND(+IF(ISERROR(OFFSET(Tabella!$G$1,MATCH(H464,Tabella!$G:$G,0)-1,MATCH(I464,Tabella!$G$1:$FG$1,0)-1)=TRUE),0,OFFSET(Tabella!$G$1,MATCH(H464,Tabella!$G:$G,0)-1,MATCH(I464,Tabella!$G$1:$AB$1,0)-1)),4)</f>
        <v>0</v>
      </c>
      <c r="Q464" s="446">
        <f ca="1">ROUND(IF(ISERROR(OFFSET(Ottone!$F$1,MATCH(H464,Ottone!$A:$A,0)-1,MATCH(I464,Ottone!$F$1:$FF$1,0)-1)=TRUE),0,OFFSET(Ottone!$F$1,MATCH(H464,Ottone!$A:$A,0)-1,MATCH(I464,Ottone!$F$1:$FF$1,0)-1))*IF(E464="Ottone",1,0),4)</f>
        <v>0</v>
      </c>
      <c r="R464" s="446">
        <f ca="1">ROUND(IF(ISERROR(OFFSET(Rame!$F$1,MATCH(H464,Rame!$F:$F,0)-1,MATCH(I464,Rame!$F$1:$FF$1,0)-1)=TRUE),0,OFFSET(Rame!$F$1,MATCH(H464,Rame!$F:$F,0)-1,MATCH(I464,Rame!$F$1:$FF$1,0)-1))*IF(E464="Rame",1,0),4)</f>
        <v>0</v>
      </c>
      <c r="S464" s="446">
        <f ca="1">ROUND(IF(ISERROR(OFFSET(Bronzo!$A$1,MATCH(H464,Bronzo!$A:$A,0)-1,MATCH(I464,Bronzo!$A$1:$AA$1,0)-1)=TRUE),0,OFFSET(Bronzo!$A$1,MATCH(H464,Bronzo!$A:$A,0)-1,MATCH(I464,Bronzo!$A$1:$AA$1,0)-1)),4)</f>
        <v>0</v>
      </c>
      <c r="T464" s="446">
        <f t="shared" ca="1" si="180"/>
        <v>0</v>
      </c>
      <c r="U464" s="443"/>
      <c r="V464" s="446">
        <v>0</v>
      </c>
      <c r="W464" s="449">
        <f t="shared" ca="1" si="181"/>
        <v>0</v>
      </c>
      <c r="X464" s="452">
        <f t="shared" si="179"/>
        <v>0</v>
      </c>
      <c r="Y464" s="440"/>
      <c r="Z464" s="440">
        <f t="shared" ca="1" si="182"/>
        <v>0</v>
      </c>
      <c r="AA464" s="241"/>
      <c r="AH464" s="242"/>
    </row>
    <row r="465" spans="2:34" ht="15.75" x14ac:dyDescent="0.25">
      <c r="B465" s="229"/>
      <c r="C465" s="235"/>
      <c r="D465" s="243"/>
      <c r="E465" s="232"/>
      <c r="F465" s="435"/>
      <c r="G465" s="234"/>
      <c r="H465" s="235"/>
      <c r="I465" s="235"/>
      <c r="J465" s="440"/>
      <c r="K465" s="443">
        <f ca="1">ROUND(IF(ISERROR(OFFSET(Tabella!$A$1,MATCH(H465,Tabella!$A:$A,0)-1,MATCH(J465,Tabella!$A$1:$AC$1,0)-1)=TRUE),0,+OFFSET(Tabella!$A$1,MATCH(H465,Tabella!$A:$A,0)-1,MATCH(J465,Tabella!$A$1:$AC$1,0)-1)),4)</f>
        <v>0</v>
      </c>
      <c r="L465" s="446">
        <f ca="1">ROUND(IF(ISERROR(OFFSET(Ottone!$A$1,MATCH(H465,Ottone!$A:$A,0)-1,MATCH(J465,Ottone!$A$1:$Z$1,0)-1)=TRUE),0,OFFSET(Ottone!$A$1,MATCH(H465,Ottone!$A:$A,0)-1,MATCH(J465,Ottone!$A$1:$Z$1,0)-1))*IF(E465="Ottone",1,0),4)</f>
        <v>0</v>
      </c>
      <c r="M465" s="446">
        <f ca="1">ROUND(IF(ISERROR(OFFSET(Rame!$A$1,MATCH(H465,Rame!$A:$A,0)-1,MATCH(J465,Rame!$A$1:$AA$1,0)-1)=TRUE),0,OFFSET(Rame!$A$1,MATCH(H465,Rame!$A:$A,0)-1,MATCH(J465,Rame!$A$1:$AA$1,0)-1))*IF(E465="Rame",1,0),4)</f>
        <v>0</v>
      </c>
      <c r="N465" s="446">
        <v>0</v>
      </c>
      <c r="O465" s="446">
        <f t="shared" ca="1" si="183"/>
        <v>0</v>
      </c>
      <c r="P465" s="446">
        <f ca="1">ROUND(+IF(ISERROR(OFFSET(Tabella!$G$1,MATCH(H465,Tabella!$G:$G,0)-1,MATCH(I465,Tabella!$G$1:$FG$1,0)-1)=TRUE),0,OFFSET(Tabella!$G$1,MATCH(H465,Tabella!$G:$G,0)-1,MATCH(I465,Tabella!$G$1:$AB$1,0)-1)),4)</f>
        <v>0</v>
      </c>
      <c r="Q465" s="446">
        <f ca="1">ROUND(IF(ISERROR(OFFSET(Ottone!$F$1,MATCH(H465,Ottone!$A:$A,0)-1,MATCH(I465,Ottone!$F$1:$FF$1,0)-1)=TRUE),0,OFFSET(Ottone!$F$1,MATCH(H465,Ottone!$A:$A,0)-1,MATCH(I465,Ottone!$F$1:$FF$1,0)-1))*IF(E465="Ottone",1,0),4)</f>
        <v>0</v>
      </c>
      <c r="R465" s="446">
        <f ca="1">ROUND(IF(ISERROR(OFFSET(Rame!$F$1,MATCH(H465,Rame!$F:$F,0)-1,MATCH(I465,Rame!$F$1:$FF$1,0)-1)=TRUE),0,OFFSET(Rame!$F$1,MATCH(H465,Rame!$F:$F,0)-1,MATCH(I465,Rame!$F$1:$FF$1,0)-1))*IF(E465="Rame",1,0),4)</f>
        <v>0</v>
      </c>
      <c r="S465" s="446">
        <f ca="1">ROUND(IF(ISERROR(OFFSET(Bronzo!$A$1,MATCH(H465,Bronzo!$A:$A,0)-1,MATCH(I465,Bronzo!$A$1:$AA$1,0)-1)=TRUE),0,OFFSET(Bronzo!$A$1,MATCH(H465,Bronzo!$A:$A,0)-1,MATCH(I465,Bronzo!$A$1:$AA$1,0)-1)),4)</f>
        <v>0</v>
      </c>
      <c r="T465" s="446">
        <f t="shared" ca="1" si="180"/>
        <v>0</v>
      </c>
      <c r="U465" s="443"/>
      <c r="V465" s="446">
        <v>0</v>
      </c>
      <c r="W465" s="449">
        <f t="shared" ca="1" si="181"/>
        <v>0</v>
      </c>
      <c r="X465" s="452">
        <f t="shared" ref="X465:X528" si="184">ROUND(+J465*D465,4)</f>
        <v>0</v>
      </c>
      <c r="Y465" s="440"/>
      <c r="Z465" s="440">
        <f t="shared" ca="1" si="182"/>
        <v>0</v>
      </c>
      <c r="AA465" s="241"/>
      <c r="AH465" s="242"/>
    </row>
    <row r="466" spans="2:34" ht="15.75" x14ac:dyDescent="0.25">
      <c r="B466" s="229"/>
      <c r="C466" s="235"/>
      <c r="D466" s="243"/>
      <c r="E466" s="232"/>
      <c r="F466" s="435"/>
      <c r="G466" s="234"/>
      <c r="H466" s="235"/>
      <c r="I466" s="235"/>
      <c r="J466" s="440"/>
      <c r="K466" s="443">
        <f ca="1">ROUND(IF(ISERROR(OFFSET(Tabella!$A$1,MATCH(H466,Tabella!$A:$A,0)-1,MATCH(J466,Tabella!$A$1:$AC$1,0)-1)=TRUE),0,+OFFSET(Tabella!$A$1,MATCH(H466,Tabella!$A:$A,0)-1,MATCH(J466,Tabella!$A$1:$AC$1,0)-1)),4)</f>
        <v>0</v>
      </c>
      <c r="L466" s="446">
        <f ca="1">ROUND(IF(ISERROR(OFFSET(Ottone!$A$1,MATCH(H466,Ottone!$A:$A,0)-1,MATCH(J466,Ottone!$A$1:$Z$1,0)-1)=TRUE),0,OFFSET(Ottone!$A$1,MATCH(H466,Ottone!$A:$A,0)-1,MATCH(J466,Ottone!$A$1:$Z$1,0)-1))*IF(E466="Ottone",1,0),4)</f>
        <v>0</v>
      </c>
      <c r="M466" s="446">
        <f ca="1">ROUND(IF(ISERROR(OFFSET(Rame!$A$1,MATCH(H466,Rame!$A:$A,0)-1,MATCH(J466,Rame!$A$1:$AA$1,0)-1)=TRUE),0,OFFSET(Rame!$A$1,MATCH(H466,Rame!$A:$A,0)-1,MATCH(J466,Rame!$A$1:$AA$1,0)-1))*IF(E466="Rame",1,0),4)</f>
        <v>0</v>
      </c>
      <c r="N466" s="446">
        <v>0</v>
      </c>
      <c r="O466" s="446">
        <f t="shared" ca="1" si="183"/>
        <v>0</v>
      </c>
      <c r="P466" s="446">
        <f ca="1">ROUND(+IF(ISERROR(OFFSET(Tabella!$G$1,MATCH(H466,Tabella!$G:$G,0)-1,MATCH(I466,Tabella!$G$1:$FG$1,0)-1)=TRUE),0,OFFSET(Tabella!$G$1,MATCH(H466,Tabella!$G:$G,0)-1,MATCH(I466,Tabella!$G$1:$AB$1,0)-1)),4)</f>
        <v>0</v>
      </c>
      <c r="Q466" s="446">
        <f ca="1">ROUND(IF(ISERROR(OFFSET(Ottone!$F$1,MATCH(H466,Ottone!$A:$A,0)-1,MATCH(I466,Ottone!$F$1:$FF$1,0)-1)=TRUE),0,OFFSET(Ottone!$F$1,MATCH(H466,Ottone!$A:$A,0)-1,MATCH(I466,Ottone!$F$1:$FF$1,0)-1))*IF(E466="Ottone",1,0),4)</f>
        <v>0</v>
      </c>
      <c r="R466" s="446">
        <f ca="1">ROUND(IF(ISERROR(OFFSET(Rame!$F$1,MATCH(H466,Rame!$F:$F,0)-1,MATCH(I466,Rame!$F$1:$FF$1,0)-1)=TRUE),0,OFFSET(Rame!$F$1,MATCH(H466,Rame!$F:$F,0)-1,MATCH(I466,Rame!$F$1:$FF$1,0)-1))*IF(E466="Rame",1,0),4)</f>
        <v>0</v>
      </c>
      <c r="S466" s="446">
        <f ca="1">ROUND(IF(ISERROR(OFFSET(Bronzo!$A$1,MATCH(H466,Bronzo!$A:$A,0)-1,MATCH(I466,Bronzo!$A$1:$AA$1,0)-1)=TRUE),0,OFFSET(Bronzo!$A$1,MATCH(H466,Bronzo!$A:$A,0)-1,MATCH(I466,Bronzo!$A$1:$AA$1,0)-1)),4)</f>
        <v>0</v>
      </c>
      <c r="T466" s="446">
        <f t="shared" ca="1" si="180"/>
        <v>0</v>
      </c>
      <c r="U466" s="443"/>
      <c r="V466" s="446">
        <v>0</v>
      </c>
      <c r="W466" s="449">
        <f t="shared" ca="1" si="181"/>
        <v>0</v>
      </c>
      <c r="X466" s="452">
        <f t="shared" si="184"/>
        <v>0</v>
      </c>
      <c r="Y466" s="440"/>
      <c r="Z466" s="440">
        <f t="shared" ca="1" si="182"/>
        <v>0</v>
      </c>
      <c r="AA466" s="241"/>
      <c r="AH466" s="242"/>
    </row>
    <row r="467" spans="2:34" ht="15.75" x14ac:dyDescent="0.25">
      <c r="B467" s="229"/>
      <c r="C467" s="235"/>
      <c r="D467" s="243"/>
      <c r="E467" s="232"/>
      <c r="F467" s="435"/>
      <c r="G467" s="234"/>
      <c r="H467" s="235"/>
      <c r="I467" s="235"/>
      <c r="J467" s="440"/>
      <c r="K467" s="443">
        <f ca="1">ROUND(IF(ISERROR(OFFSET(Tabella!$A$1,MATCH(H467,Tabella!$A:$A,0)-1,MATCH(J467,Tabella!$A$1:$AC$1,0)-1)=TRUE),0,+OFFSET(Tabella!$A$1,MATCH(H467,Tabella!$A:$A,0)-1,MATCH(J467,Tabella!$A$1:$AC$1,0)-1)),4)</f>
        <v>0</v>
      </c>
      <c r="L467" s="446">
        <f ca="1">ROUND(IF(ISERROR(OFFSET(Ottone!$A$1,MATCH(H467,Ottone!$A:$A,0)-1,MATCH(J467,Ottone!$A$1:$Z$1,0)-1)=TRUE),0,OFFSET(Ottone!$A$1,MATCH(H467,Ottone!$A:$A,0)-1,MATCH(J467,Ottone!$A$1:$Z$1,0)-1))*IF(E467="Ottone",1,0),4)</f>
        <v>0</v>
      </c>
      <c r="M467" s="446">
        <f ca="1">ROUND(IF(ISERROR(OFFSET(Rame!$A$1,MATCH(H467,Rame!$A:$A,0)-1,MATCH(J467,Rame!$A$1:$AA$1,0)-1)=TRUE),0,OFFSET(Rame!$A$1,MATCH(H467,Rame!$A:$A,0)-1,MATCH(J467,Rame!$A$1:$AA$1,0)-1))*IF(E467="Rame",1,0),4)</f>
        <v>0</v>
      </c>
      <c r="N467" s="446">
        <v>0</v>
      </c>
      <c r="O467" s="446">
        <f t="shared" ca="1" si="183"/>
        <v>0</v>
      </c>
      <c r="P467" s="446">
        <f ca="1">ROUND(+IF(ISERROR(OFFSET(Tabella!$G$1,MATCH(H467,Tabella!$G:$G,0)-1,MATCH(I467,Tabella!$G$1:$FG$1,0)-1)=TRUE),0,OFFSET(Tabella!$G$1,MATCH(H467,Tabella!$G:$G,0)-1,MATCH(I467,Tabella!$G$1:$AB$1,0)-1)),4)</f>
        <v>0</v>
      </c>
      <c r="Q467" s="446">
        <f ca="1">ROUND(IF(ISERROR(OFFSET(Ottone!$F$1,MATCH(H467,Ottone!$A:$A,0)-1,MATCH(I467,Ottone!$F$1:$FF$1,0)-1)=TRUE),0,OFFSET(Ottone!$F$1,MATCH(H467,Ottone!$A:$A,0)-1,MATCH(I467,Ottone!$F$1:$FF$1,0)-1))*IF(E467="Ottone",1,0),4)</f>
        <v>0</v>
      </c>
      <c r="R467" s="446">
        <f ca="1">ROUND(IF(ISERROR(OFFSET(Rame!$F$1,MATCH(H467,Rame!$F:$F,0)-1,MATCH(I467,Rame!$F$1:$FF$1,0)-1)=TRUE),0,OFFSET(Rame!$F$1,MATCH(H467,Rame!$F:$F,0)-1,MATCH(I467,Rame!$F$1:$FF$1,0)-1))*IF(E467="Rame",1,0),4)</f>
        <v>0</v>
      </c>
      <c r="S467" s="446">
        <f ca="1">ROUND(IF(ISERROR(OFFSET(Bronzo!$A$1,MATCH(H467,Bronzo!$A:$A,0)-1,MATCH(I467,Bronzo!$A$1:$AA$1,0)-1)=TRUE),0,OFFSET(Bronzo!$A$1,MATCH(H467,Bronzo!$A:$A,0)-1,MATCH(I467,Bronzo!$A$1:$AA$1,0)-1)),4)</f>
        <v>0</v>
      </c>
      <c r="T467" s="446">
        <f t="shared" ca="1" si="180"/>
        <v>0</v>
      </c>
      <c r="U467" s="443"/>
      <c r="V467" s="446">
        <v>0</v>
      </c>
      <c r="W467" s="449">
        <f t="shared" ca="1" si="181"/>
        <v>0</v>
      </c>
      <c r="X467" s="452">
        <f t="shared" si="184"/>
        <v>0</v>
      </c>
      <c r="Y467" s="440"/>
      <c r="Z467" s="440">
        <f t="shared" ca="1" si="182"/>
        <v>0</v>
      </c>
      <c r="AA467" s="241"/>
      <c r="AH467" s="242"/>
    </row>
    <row r="468" spans="2:34" ht="15.75" x14ac:dyDescent="0.25">
      <c r="B468" s="229"/>
      <c r="C468" s="235"/>
      <c r="D468" s="243"/>
      <c r="E468" s="232"/>
      <c r="F468" s="435"/>
      <c r="G468" s="234"/>
      <c r="H468" s="235"/>
      <c r="I468" s="235"/>
      <c r="J468" s="440"/>
      <c r="K468" s="443">
        <f ca="1">ROUND(IF(ISERROR(OFFSET(Tabella!$A$1,MATCH(H468,Tabella!$A:$A,0)-1,MATCH(J468,Tabella!$A$1:$AC$1,0)-1)=TRUE),0,+OFFSET(Tabella!$A$1,MATCH(H468,Tabella!$A:$A,0)-1,MATCH(J468,Tabella!$A$1:$AC$1,0)-1)),4)</f>
        <v>0</v>
      </c>
      <c r="L468" s="446">
        <f ca="1">ROUND(IF(ISERROR(OFFSET(Ottone!$A$1,MATCH(H468,Ottone!$A:$A,0)-1,MATCH(J468,Ottone!$A$1:$Z$1,0)-1)=TRUE),0,OFFSET(Ottone!$A$1,MATCH(H468,Ottone!$A:$A,0)-1,MATCH(J468,Ottone!$A$1:$Z$1,0)-1))*IF(E468="Ottone",1,0),4)</f>
        <v>0</v>
      </c>
      <c r="M468" s="446">
        <f ca="1">ROUND(IF(ISERROR(OFFSET(Rame!$A$1,MATCH(H468,Rame!$A:$A,0)-1,MATCH(J468,Rame!$A$1:$AA$1,0)-1)=TRUE),0,OFFSET(Rame!$A$1,MATCH(H468,Rame!$A:$A,0)-1,MATCH(J468,Rame!$A$1:$AA$1,0)-1))*IF(E468="Rame",1,0),4)</f>
        <v>0</v>
      </c>
      <c r="N468" s="446">
        <v>0</v>
      </c>
      <c r="O468" s="446">
        <f t="shared" ca="1" si="183"/>
        <v>0</v>
      </c>
      <c r="P468" s="446">
        <f ca="1">ROUND(+IF(ISERROR(OFFSET(Tabella!$G$1,MATCH(H468,Tabella!$G:$G,0)-1,MATCH(I468,Tabella!$G$1:$FG$1,0)-1)=TRUE),0,OFFSET(Tabella!$G$1,MATCH(H468,Tabella!$G:$G,0)-1,MATCH(I468,Tabella!$G$1:$AB$1,0)-1)),4)</f>
        <v>0</v>
      </c>
      <c r="Q468" s="446">
        <f ca="1">ROUND(IF(ISERROR(OFFSET(Ottone!$F$1,MATCH(H468,Ottone!$A:$A,0)-1,MATCH(I468,Ottone!$F$1:$FF$1,0)-1)=TRUE),0,OFFSET(Ottone!$F$1,MATCH(H468,Ottone!$A:$A,0)-1,MATCH(I468,Ottone!$F$1:$FF$1,0)-1))*IF(E468="Ottone",1,0),4)</f>
        <v>0</v>
      </c>
      <c r="R468" s="446">
        <f ca="1">ROUND(IF(ISERROR(OFFSET(Rame!$F$1,MATCH(H468,Rame!$F:$F,0)-1,MATCH(I468,Rame!$F$1:$FF$1,0)-1)=TRUE),0,OFFSET(Rame!$F$1,MATCH(H468,Rame!$F:$F,0)-1,MATCH(I468,Rame!$F$1:$FF$1,0)-1))*IF(E468="Rame",1,0),4)</f>
        <v>0</v>
      </c>
      <c r="S468" s="446">
        <f ca="1">ROUND(IF(ISERROR(OFFSET(Bronzo!$A$1,MATCH(H468,Bronzo!$A:$A,0)-1,MATCH(I468,Bronzo!$A$1:$AA$1,0)-1)=TRUE),0,OFFSET(Bronzo!$A$1,MATCH(H468,Bronzo!$A:$A,0)-1,MATCH(I468,Bronzo!$A$1:$AA$1,0)-1)),4)</f>
        <v>0</v>
      </c>
      <c r="T468" s="446">
        <f t="shared" ca="1" si="180"/>
        <v>0</v>
      </c>
      <c r="U468" s="443"/>
      <c r="V468" s="446">
        <v>0</v>
      </c>
      <c r="W468" s="449">
        <f t="shared" ca="1" si="181"/>
        <v>0</v>
      </c>
      <c r="X468" s="452">
        <f t="shared" si="184"/>
        <v>0</v>
      </c>
      <c r="Y468" s="440"/>
      <c r="Z468" s="440">
        <f t="shared" ca="1" si="182"/>
        <v>0</v>
      </c>
      <c r="AA468" s="241"/>
      <c r="AH468" s="242"/>
    </row>
    <row r="469" spans="2:34" ht="15.75" x14ac:dyDescent="0.25">
      <c r="B469" s="229"/>
      <c r="C469" s="235"/>
      <c r="D469" s="243"/>
      <c r="E469" s="232"/>
      <c r="F469" s="435"/>
      <c r="G469" s="234"/>
      <c r="H469" s="235"/>
      <c r="I469" s="235"/>
      <c r="J469" s="440"/>
      <c r="K469" s="443">
        <f ca="1">ROUND(IF(ISERROR(OFFSET(Tabella!$A$1,MATCH(H469,Tabella!$A:$A,0)-1,MATCH(J469,Tabella!$A$1:$AC$1,0)-1)=TRUE),0,+OFFSET(Tabella!$A$1,MATCH(H469,Tabella!$A:$A,0)-1,MATCH(J469,Tabella!$A$1:$AC$1,0)-1)),4)</f>
        <v>0</v>
      </c>
      <c r="L469" s="446">
        <f ca="1">ROUND(IF(ISERROR(OFFSET(Ottone!$A$1,MATCH(H469,Ottone!$A:$A,0)-1,MATCH(J469,Ottone!$A$1:$Z$1,0)-1)=TRUE),0,OFFSET(Ottone!$A$1,MATCH(H469,Ottone!$A:$A,0)-1,MATCH(J469,Ottone!$A$1:$Z$1,0)-1))*IF(E469="Ottone",1,0),4)</f>
        <v>0</v>
      </c>
      <c r="M469" s="446">
        <f ca="1">ROUND(IF(ISERROR(OFFSET(Rame!$A$1,MATCH(H469,Rame!$A:$A,0)-1,MATCH(J469,Rame!$A$1:$AA$1,0)-1)=TRUE),0,OFFSET(Rame!$A$1,MATCH(H469,Rame!$A:$A,0)-1,MATCH(J469,Rame!$A$1:$AA$1,0)-1))*IF(E469="Rame",1,0),4)</f>
        <v>0</v>
      </c>
      <c r="N469" s="446">
        <v>0</v>
      </c>
      <c r="O469" s="446">
        <f t="shared" ca="1" si="183"/>
        <v>0</v>
      </c>
      <c r="P469" s="446">
        <f ca="1">ROUND(+IF(ISERROR(OFFSET(Tabella!$G$1,MATCH(H469,Tabella!$G:$G,0)-1,MATCH(I469,Tabella!$G$1:$FG$1,0)-1)=TRUE),0,OFFSET(Tabella!$G$1,MATCH(H469,Tabella!$G:$G,0)-1,MATCH(I469,Tabella!$G$1:$AB$1,0)-1)),4)</f>
        <v>0</v>
      </c>
      <c r="Q469" s="446">
        <f ca="1">ROUND(IF(ISERROR(OFFSET(Ottone!$F$1,MATCH(H469,Ottone!$A:$A,0)-1,MATCH(I469,Ottone!$F$1:$FF$1,0)-1)=TRUE),0,OFFSET(Ottone!$F$1,MATCH(H469,Ottone!$A:$A,0)-1,MATCH(I469,Ottone!$F$1:$FF$1,0)-1))*IF(E469="Ottone",1,0),4)</f>
        <v>0</v>
      </c>
      <c r="R469" s="446">
        <f ca="1">ROUND(IF(ISERROR(OFFSET(Rame!$F$1,MATCH(H469,Rame!$F:$F,0)-1,MATCH(I469,Rame!$F$1:$FF$1,0)-1)=TRUE),0,OFFSET(Rame!$F$1,MATCH(H469,Rame!$F:$F,0)-1,MATCH(I469,Rame!$F$1:$FF$1,0)-1))*IF(E469="Rame",1,0),4)</f>
        <v>0</v>
      </c>
      <c r="S469" s="446">
        <f ca="1">ROUND(IF(ISERROR(OFFSET(Bronzo!$A$1,MATCH(H469,Bronzo!$A:$A,0)-1,MATCH(I469,Bronzo!$A$1:$AA$1,0)-1)=TRUE),0,OFFSET(Bronzo!$A$1,MATCH(H469,Bronzo!$A:$A,0)-1,MATCH(I469,Bronzo!$A$1:$AA$1,0)-1)),4)</f>
        <v>0</v>
      </c>
      <c r="T469" s="446">
        <f t="shared" ca="1" si="180"/>
        <v>0</v>
      </c>
      <c r="U469" s="443"/>
      <c r="V469" s="446">
        <v>0</v>
      </c>
      <c r="W469" s="449">
        <f t="shared" ca="1" si="181"/>
        <v>0</v>
      </c>
      <c r="X469" s="452">
        <f t="shared" si="184"/>
        <v>0</v>
      </c>
      <c r="Y469" s="440"/>
      <c r="Z469" s="440">
        <f t="shared" ca="1" si="182"/>
        <v>0</v>
      </c>
      <c r="AA469" s="241"/>
      <c r="AH469" s="242"/>
    </row>
    <row r="470" spans="2:34" ht="15.75" x14ac:dyDescent="0.25">
      <c r="B470" s="229"/>
      <c r="C470" s="235"/>
      <c r="D470" s="243"/>
      <c r="E470" s="232"/>
      <c r="F470" s="435"/>
      <c r="G470" s="234"/>
      <c r="H470" s="235"/>
      <c r="I470" s="235"/>
      <c r="J470" s="440"/>
      <c r="K470" s="443">
        <f ca="1">ROUND(IF(ISERROR(OFFSET(Tabella!$A$1,MATCH(H470,Tabella!$A:$A,0)-1,MATCH(J470,Tabella!$A$1:$AC$1,0)-1)=TRUE),0,+OFFSET(Tabella!$A$1,MATCH(H470,Tabella!$A:$A,0)-1,MATCH(J470,Tabella!$A$1:$AC$1,0)-1)),4)</f>
        <v>0</v>
      </c>
      <c r="L470" s="446">
        <f ca="1">ROUND(IF(ISERROR(OFFSET(Ottone!$A$1,MATCH(H470,Ottone!$A:$A,0)-1,MATCH(J470,Ottone!$A$1:$Z$1,0)-1)=TRUE),0,OFFSET(Ottone!$A$1,MATCH(H470,Ottone!$A:$A,0)-1,MATCH(J470,Ottone!$A$1:$Z$1,0)-1))*IF(E470="Ottone",1,0),4)</f>
        <v>0</v>
      </c>
      <c r="M470" s="446">
        <f ca="1">ROUND(IF(ISERROR(OFFSET(Rame!$A$1,MATCH(H470,Rame!$A:$A,0)-1,MATCH(J470,Rame!$A$1:$AA$1,0)-1)=TRUE),0,OFFSET(Rame!$A$1,MATCH(H470,Rame!$A:$A,0)-1,MATCH(J470,Rame!$A$1:$AA$1,0)-1))*IF(E470="Rame",1,0),4)</f>
        <v>0</v>
      </c>
      <c r="N470" s="446">
        <v>0</v>
      </c>
      <c r="O470" s="446">
        <f t="shared" ca="1" si="183"/>
        <v>0</v>
      </c>
      <c r="P470" s="446">
        <f ca="1">ROUND(+IF(ISERROR(OFFSET(Tabella!$G$1,MATCH(H470,Tabella!$G:$G,0)-1,MATCH(I470,Tabella!$G$1:$FG$1,0)-1)=TRUE),0,OFFSET(Tabella!$G$1,MATCH(H470,Tabella!$G:$G,0)-1,MATCH(I470,Tabella!$G$1:$AB$1,0)-1)),4)</f>
        <v>0</v>
      </c>
      <c r="Q470" s="446">
        <f ca="1">ROUND(IF(ISERROR(OFFSET(Ottone!$F$1,MATCH(H470,Ottone!$A:$A,0)-1,MATCH(I470,Ottone!$F$1:$FF$1,0)-1)=TRUE),0,OFFSET(Ottone!$F$1,MATCH(H470,Ottone!$A:$A,0)-1,MATCH(I470,Ottone!$F$1:$FF$1,0)-1))*IF(E470="Ottone",1,0),4)</f>
        <v>0</v>
      </c>
      <c r="R470" s="446">
        <f ca="1">ROUND(IF(ISERROR(OFFSET(Rame!$F$1,MATCH(H470,Rame!$F:$F,0)-1,MATCH(I470,Rame!$F$1:$FF$1,0)-1)=TRUE),0,OFFSET(Rame!$F$1,MATCH(H470,Rame!$F:$F,0)-1,MATCH(I470,Rame!$F$1:$FF$1,0)-1))*IF(E470="Rame",1,0),4)</f>
        <v>0</v>
      </c>
      <c r="S470" s="446">
        <f ca="1">ROUND(IF(ISERROR(OFFSET(Bronzo!$A$1,MATCH(H470,Bronzo!$A:$A,0)-1,MATCH(I470,Bronzo!$A$1:$AA$1,0)-1)=TRUE),0,OFFSET(Bronzo!$A$1,MATCH(H470,Bronzo!$A:$A,0)-1,MATCH(I470,Bronzo!$A$1:$AA$1,0)-1)),4)</f>
        <v>0</v>
      </c>
      <c r="T470" s="446">
        <f t="shared" ca="1" si="180"/>
        <v>0</v>
      </c>
      <c r="U470" s="443"/>
      <c r="V470" s="446">
        <v>0</v>
      </c>
      <c r="W470" s="449">
        <f t="shared" ca="1" si="181"/>
        <v>0</v>
      </c>
      <c r="X470" s="452">
        <f t="shared" si="184"/>
        <v>0</v>
      </c>
      <c r="Y470" s="440"/>
      <c r="Z470" s="440">
        <f t="shared" ca="1" si="182"/>
        <v>0</v>
      </c>
      <c r="AA470" s="241"/>
      <c r="AH470" s="242"/>
    </row>
    <row r="471" spans="2:34" ht="15.75" x14ac:dyDescent="0.25">
      <c r="B471" s="229"/>
      <c r="C471" s="235"/>
      <c r="D471" s="243"/>
      <c r="E471" s="232"/>
      <c r="F471" s="435"/>
      <c r="G471" s="234"/>
      <c r="H471" s="235"/>
      <c r="I471" s="235"/>
      <c r="J471" s="440"/>
      <c r="K471" s="443">
        <f ca="1">ROUND(IF(ISERROR(OFFSET(Tabella!$A$1,MATCH(H471,Tabella!$A:$A,0)-1,MATCH(J471,Tabella!$A$1:$AC$1,0)-1)=TRUE),0,+OFFSET(Tabella!$A$1,MATCH(H471,Tabella!$A:$A,0)-1,MATCH(J471,Tabella!$A$1:$AC$1,0)-1)),4)</f>
        <v>0</v>
      </c>
      <c r="L471" s="446">
        <f ca="1">ROUND(IF(ISERROR(OFFSET(Ottone!$A$1,MATCH(H471,Ottone!$A:$A,0)-1,MATCH(J471,Ottone!$A$1:$Z$1,0)-1)=TRUE),0,OFFSET(Ottone!$A$1,MATCH(H471,Ottone!$A:$A,0)-1,MATCH(J471,Ottone!$A$1:$Z$1,0)-1))*IF(E471="Ottone",1,0),4)</f>
        <v>0</v>
      </c>
      <c r="M471" s="446">
        <f ca="1">ROUND(IF(ISERROR(OFFSET(Rame!$A$1,MATCH(H471,Rame!$A:$A,0)-1,MATCH(J471,Rame!$A$1:$AA$1,0)-1)=TRUE),0,OFFSET(Rame!$A$1,MATCH(H471,Rame!$A:$A,0)-1,MATCH(J471,Rame!$A$1:$AA$1,0)-1))*IF(E471="Rame",1,0),4)</f>
        <v>0</v>
      </c>
      <c r="N471" s="446">
        <v>0</v>
      </c>
      <c r="O471" s="446">
        <f t="shared" ca="1" si="183"/>
        <v>0</v>
      </c>
      <c r="P471" s="446">
        <f ca="1">ROUND(+IF(ISERROR(OFFSET(Tabella!$G$1,MATCH(H471,Tabella!$G:$G,0)-1,MATCH(I471,Tabella!$G$1:$FG$1,0)-1)=TRUE),0,OFFSET(Tabella!$G$1,MATCH(H471,Tabella!$G:$G,0)-1,MATCH(I471,Tabella!$G$1:$AB$1,0)-1)),4)</f>
        <v>0</v>
      </c>
      <c r="Q471" s="446">
        <f ca="1">ROUND(IF(ISERROR(OFFSET(Ottone!$F$1,MATCH(H471,Ottone!$A:$A,0)-1,MATCH(I471,Ottone!$F$1:$FF$1,0)-1)=TRUE),0,OFFSET(Ottone!$F$1,MATCH(H471,Ottone!$A:$A,0)-1,MATCH(I471,Ottone!$F$1:$FF$1,0)-1))*IF(E471="Ottone",1,0),4)</f>
        <v>0</v>
      </c>
      <c r="R471" s="446">
        <f ca="1">ROUND(IF(ISERROR(OFFSET(Rame!$F$1,MATCH(H471,Rame!$F:$F,0)-1,MATCH(I471,Rame!$F$1:$FF$1,0)-1)=TRUE),0,OFFSET(Rame!$F$1,MATCH(H471,Rame!$F:$F,0)-1,MATCH(I471,Rame!$F$1:$FF$1,0)-1))*IF(E471="Rame",1,0),4)</f>
        <v>0</v>
      </c>
      <c r="S471" s="446">
        <f ca="1">ROUND(IF(ISERROR(OFFSET(Bronzo!$A$1,MATCH(H471,Bronzo!$A:$A,0)-1,MATCH(I471,Bronzo!$A$1:$AA$1,0)-1)=TRUE),0,OFFSET(Bronzo!$A$1,MATCH(H471,Bronzo!$A:$A,0)-1,MATCH(I471,Bronzo!$A$1:$AA$1,0)-1)),4)</f>
        <v>0</v>
      </c>
      <c r="T471" s="446">
        <f t="shared" ref="T471:T534" ca="1" si="185">ROUND(SUM(P471:S471),4)</f>
        <v>0</v>
      </c>
      <c r="U471" s="443"/>
      <c r="V471" s="446">
        <v>0</v>
      </c>
      <c r="W471" s="449">
        <f t="shared" ref="W471:W534" ca="1" si="186">ROUND(+O471+T471+U471+V471,4)</f>
        <v>0</v>
      </c>
      <c r="X471" s="452">
        <f t="shared" si="184"/>
        <v>0</v>
      </c>
      <c r="Y471" s="440"/>
      <c r="Z471" s="440">
        <f t="shared" ref="Z471:Z534" ca="1" si="187">ROUND(+Y471-W471-F471,4)</f>
        <v>0</v>
      </c>
      <c r="AA471" s="241"/>
      <c r="AH471" s="242"/>
    </row>
    <row r="472" spans="2:34" ht="15.75" x14ac:dyDescent="0.25">
      <c r="B472" s="229"/>
      <c r="C472" s="235"/>
      <c r="D472" s="243"/>
      <c r="E472" s="232"/>
      <c r="F472" s="435"/>
      <c r="G472" s="234"/>
      <c r="H472" s="235"/>
      <c r="I472" s="235"/>
      <c r="J472" s="440"/>
      <c r="K472" s="443">
        <f ca="1">ROUND(IF(ISERROR(OFFSET(Tabella!$A$1,MATCH(H472,Tabella!$A:$A,0)-1,MATCH(J472,Tabella!$A$1:$AC$1,0)-1)=TRUE),0,+OFFSET(Tabella!$A$1,MATCH(H472,Tabella!$A:$A,0)-1,MATCH(J472,Tabella!$A$1:$AC$1,0)-1)),4)</f>
        <v>0</v>
      </c>
      <c r="L472" s="446">
        <f ca="1">ROUND(IF(ISERROR(OFFSET(Ottone!$A$1,MATCH(H472,Ottone!$A:$A,0)-1,MATCH(J472,Ottone!$A$1:$Z$1,0)-1)=TRUE),0,OFFSET(Ottone!$A$1,MATCH(H472,Ottone!$A:$A,0)-1,MATCH(J472,Ottone!$A$1:$Z$1,0)-1))*IF(E472="Ottone",1,0),4)</f>
        <v>0</v>
      </c>
      <c r="M472" s="446">
        <f ca="1">ROUND(IF(ISERROR(OFFSET(Rame!$A$1,MATCH(H472,Rame!$A:$A,0)-1,MATCH(J472,Rame!$A$1:$AA$1,0)-1)=TRUE),0,OFFSET(Rame!$A$1,MATCH(H472,Rame!$A:$A,0)-1,MATCH(J472,Rame!$A$1:$AA$1,0)-1))*IF(E472="Rame",1,0),4)</f>
        <v>0</v>
      </c>
      <c r="N472" s="446">
        <v>0</v>
      </c>
      <c r="O472" s="446">
        <f t="shared" ca="1" si="183"/>
        <v>0</v>
      </c>
      <c r="P472" s="446">
        <f ca="1">ROUND(+IF(ISERROR(OFFSET(Tabella!$G$1,MATCH(H472,Tabella!$G:$G,0)-1,MATCH(I472,Tabella!$G$1:$FG$1,0)-1)=TRUE),0,OFFSET(Tabella!$G$1,MATCH(H472,Tabella!$G:$G,0)-1,MATCH(I472,Tabella!$G$1:$AB$1,0)-1)),4)</f>
        <v>0</v>
      </c>
      <c r="Q472" s="446">
        <f ca="1">ROUND(IF(ISERROR(OFFSET(Ottone!$F$1,MATCH(H472,Ottone!$A:$A,0)-1,MATCH(I472,Ottone!$F$1:$FF$1,0)-1)=TRUE),0,OFFSET(Ottone!$F$1,MATCH(H472,Ottone!$A:$A,0)-1,MATCH(I472,Ottone!$F$1:$FF$1,0)-1))*IF(E472="Ottone",1,0),4)</f>
        <v>0</v>
      </c>
      <c r="R472" s="446">
        <f ca="1">ROUND(IF(ISERROR(OFFSET(Rame!$F$1,MATCH(H472,Rame!$F:$F,0)-1,MATCH(I472,Rame!$F$1:$FF$1,0)-1)=TRUE),0,OFFSET(Rame!$F$1,MATCH(H472,Rame!$F:$F,0)-1,MATCH(I472,Rame!$F$1:$FF$1,0)-1))*IF(E472="Rame",1,0),4)</f>
        <v>0</v>
      </c>
      <c r="S472" s="446">
        <f ca="1">ROUND(IF(ISERROR(OFFSET(Bronzo!$A$1,MATCH(H472,Bronzo!$A:$A,0)-1,MATCH(I472,Bronzo!$A$1:$AA$1,0)-1)=TRUE),0,OFFSET(Bronzo!$A$1,MATCH(H472,Bronzo!$A:$A,0)-1,MATCH(I472,Bronzo!$A$1:$AA$1,0)-1)),4)</f>
        <v>0</v>
      </c>
      <c r="T472" s="446">
        <f t="shared" ca="1" si="185"/>
        <v>0</v>
      </c>
      <c r="U472" s="443"/>
      <c r="V472" s="446">
        <v>0</v>
      </c>
      <c r="W472" s="449">
        <f t="shared" ca="1" si="186"/>
        <v>0</v>
      </c>
      <c r="X472" s="452">
        <f t="shared" si="184"/>
        <v>0</v>
      </c>
      <c r="Y472" s="440"/>
      <c r="Z472" s="440">
        <f t="shared" ca="1" si="187"/>
        <v>0</v>
      </c>
      <c r="AA472" s="241"/>
      <c r="AH472" s="242"/>
    </row>
    <row r="473" spans="2:34" ht="15.75" x14ac:dyDescent="0.25">
      <c r="B473" s="229"/>
      <c r="C473" s="235"/>
      <c r="D473" s="243"/>
      <c r="E473" s="232"/>
      <c r="F473" s="435"/>
      <c r="G473" s="234"/>
      <c r="H473" s="235"/>
      <c r="I473" s="235"/>
      <c r="J473" s="440"/>
      <c r="K473" s="443">
        <f ca="1">ROUND(IF(ISERROR(OFFSET(Tabella!$A$1,MATCH(H473,Tabella!$A:$A,0)-1,MATCH(J473,Tabella!$A$1:$AC$1,0)-1)=TRUE),0,+OFFSET(Tabella!$A$1,MATCH(H473,Tabella!$A:$A,0)-1,MATCH(J473,Tabella!$A$1:$AC$1,0)-1)),4)</f>
        <v>0</v>
      </c>
      <c r="L473" s="446">
        <f ca="1">ROUND(IF(ISERROR(OFFSET(Ottone!$A$1,MATCH(H473,Ottone!$A:$A,0)-1,MATCH(J473,Ottone!$A$1:$Z$1,0)-1)=TRUE),0,OFFSET(Ottone!$A$1,MATCH(H473,Ottone!$A:$A,0)-1,MATCH(J473,Ottone!$A$1:$Z$1,0)-1))*IF(E473="Ottone",1,0),4)</f>
        <v>0</v>
      </c>
      <c r="M473" s="446">
        <f ca="1">ROUND(IF(ISERROR(OFFSET(Rame!$A$1,MATCH(H473,Rame!$A:$A,0)-1,MATCH(J473,Rame!$A$1:$AA$1,0)-1)=TRUE),0,OFFSET(Rame!$A$1,MATCH(H473,Rame!$A:$A,0)-1,MATCH(J473,Rame!$A$1:$AA$1,0)-1))*IF(E473="Rame",1,0),4)</f>
        <v>0</v>
      </c>
      <c r="N473" s="446">
        <v>0</v>
      </c>
      <c r="O473" s="446">
        <f t="shared" ca="1" si="183"/>
        <v>0</v>
      </c>
      <c r="P473" s="446">
        <f ca="1">ROUND(+IF(ISERROR(OFFSET(Tabella!$G$1,MATCH(H473,Tabella!$G:$G,0)-1,MATCH(I473,Tabella!$G$1:$FG$1,0)-1)=TRUE),0,OFFSET(Tabella!$G$1,MATCH(H473,Tabella!$G:$G,0)-1,MATCH(I473,Tabella!$G$1:$AB$1,0)-1)),4)</f>
        <v>0</v>
      </c>
      <c r="Q473" s="446">
        <f ca="1">ROUND(IF(ISERROR(OFFSET(Ottone!$F$1,MATCH(H473,Ottone!$A:$A,0)-1,MATCH(I473,Ottone!$F$1:$FF$1,0)-1)=TRUE),0,OFFSET(Ottone!$F$1,MATCH(H473,Ottone!$A:$A,0)-1,MATCH(I473,Ottone!$F$1:$FF$1,0)-1))*IF(E473="Ottone",1,0),4)</f>
        <v>0</v>
      </c>
      <c r="R473" s="446">
        <f ca="1">ROUND(IF(ISERROR(OFFSET(Rame!$F$1,MATCH(H473,Rame!$F:$F,0)-1,MATCH(I473,Rame!$F$1:$FF$1,0)-1)=TRUE),0,OFFSET(Rame!$F$1,MATCH(H473,Rame!$F:$F,0)-1,MATCH(I473,Rame!$F$1:$FF$1,0)-1))*IF(E473="Rame",1,0),4)</f>
        <v>0</v>
      </c>
      <c r="S473" s="446">
        <f ca="1">ROUND(IF(ISERROR(OFFSET(Bronzo!$A$1,MATCH(H473,Bronzo!$A:$A,0)-1,MATCH(I473,Bronzo!$A$1:$AA$1,0)-1)=TRUE),0,OFFSET(Bronzo!$A$1,MATCH(H473,Bronzo!$A:$A,0)-1,MATCH(I473,Bronzo!$A$1:$AA$1,0)-1)),4)</f>
        <v>0</v>
      </c>
      <c r="T473" s="446">
        <f t="shared" ca="1" si="185"/>
        <v>0</v>
      </c>
      <c r="U473" s="443"/>
      <c r="V473" s="446">
        <v>0</v>
      </c>
      <c r="W473" s="449">
        <f t="shared" ca="1" si="186"/>
        <v>0</v>
      </c>
      <c r="X473" s="452">
        <f t="shared" si="184"/>
        <v>0</v>
      </c>
      <c r="Y473" s="440"/>
      <c r="Z473" s="440">
        <f t="shared" ca="1" si="187"/>
        <v>0</v>
      </c>
      <c r="AA473" s="241"/>
      <c r="AH473" s="242"/>
    </row>
    <row r="474" spans="2:34" ht="15.75" x14ac:dyDescent="0.25">
      <c r="B474" s="229"/>
      <c r="C474" s="235"/>
      <c r="D474" s="243"/>
      <c r="E474" s="232"/>
      <c r="F474" s="435"/>
      <c r="G474" s="234"/>
      <c r="H474" s="235"/>
      <c r="I474" s="235"/>
      <c r="J474" s="440"/>
      <c r="K474" s="443">
        <f ca="1">ROUND(IF(ISERROR(OFFSET(Tabella!$A$1,MATCH(H474,Tabella!$A:$A,0)-1,MATCH(J474,Tabella!$A$1:$AC$1,0)-1)=TRUE),0,+OFFSET(Tabella!$A$1,MATCH(H474,Tabella!$A:$A,0)-1,MATCH(J474,Tabella!$A$1:$AC$1,0)-1)),4)</f>
        <v>0</v>
      </c>
      <c r="L474" s="446">
        <f ca="1">ROUND(IF(ISERROR(OFFSET(Ottone!$A$1,MATCH(H474,Ottone!$A:$A,0)-1,MATCH(J474,Ottone!$A$1:$Z$1,0)-1)=TRUE),0,OFFSET(Ottone!$A$1,MATCH(H474,Ottone!$A:$A,0)-1,MATCH(J474,Ottone!$A$1:$Z$1,0)-1))*IF(E474="Ottone",1,0),4)</f>
        <v>0</v>
      </c>
      <c r="M474" s="446">
        <f ca="1">ROUND(IF(ISERROR(OFFSET(Rame!$A$1,MATCH(H474,Rame!$A:$A,0)-1,MATCH(J474,Rame!$A$1:$AA$1,0)-1)=TRUE),0,OFFSET(Rame!$A$1,MATCH(H474,Rame!$A:$A,0)-1,MATCH(J474,Rame!$A$1:$AA$1,0)-1))*IF(E474="Rame",1,0),4)</f>
        <v>0</v>
      </c>
      <c r="N474" s="446">
        <v>0</v>
      </c>
      <c r="O474" s="446">
        <f t="shared" ca="1" si="183"/>
        <v>0</v>
      </c>
      <c r="P474" s="446">
        <f ca="1">ROUND(+IF(ISERROR(OFFSET(Tabella!$G$1,MATCH(H474,Tabella!$G:$G,0)-1,MATCH(I474,Tabella!$G$1:$FG$1,0)-1)=TRUE),0,OFFSET(Tabella!$G$1,MATCH(H474,Tabella!$G:$G,0)-1,MATCH(I474,Tabella!$G$1:$AB$1,0)-1)),4)</f>
        <v>0</v>
      </c>
      <c r="Q474" s="446">
        <f ca="1">ROUND(IF(ISERROR(OFFSET(Ottone!$F$1,MATCH(H474,Ottone!$A:$A,0)-1,MATCH(I474,Ottone!$F$1:$FF$1,0)-1)=TRUE),0,OFFSET(Ottone!$F$1,MATCH(H474,Ottone!$A:$A,0)-1,MATCH(I474,Ottone!$F$1:$FF$1,0)-1))*IF(E474="Ottone",1,0),4)</f>
        <v>0</v>
      </c>
      <c r="R474" s="446">
        <f ca="1">ROUND(IF(ISERROR(OFFSET(Rame!$F$1,MATCH(H474,Rame!$F:$F,0)-1,MATCH(I474,Rame!$F$1:$FF$1,0)-1)=TRUE),0,OFFSET(Rame!$F$1,MATCH(H474,Rame!$F:$F,0)-1,MATCH(I474,Rame!$F$1:$FF$1,0)-1))*IF(E474="Rame",1,0),4)</f>
        <v>0</v>
      </c>
      <c r="S474" s="446">
        <f ca="1">ROUND(IF(ISERROR(OFFSET(Bronzo!$A$1,MATCH(H474,Bronzo!$A:$A,0)-1,MATCH(I474,Bronzo!$A$1:$AA$1,0)-1)=TRUE),0,OFFSET(Bronzo!$A$1,MATCH(H474,Bronzo!$A:$A,0)-1,MATCH(I474,Bronzo!$A$1:$AA$1,0)-1)),4)</f>
        <v>0</v>
      </c>
      <c r="T474" s="446">
        <f t="shared" ca="1" si="185"/>
        <v>0</v>
      </c>
      <c r="U474" s="443"/>
      <c r="V474" s="446">
        <v>0</v>
      </c>
      <c r="W474" s="449">
        <f t="shared" ca="1" si="186"/>
        <v>0</v>
      </c>
      <c r="X474" s="452">
        <f t="shared" si="184"/>
        <v>0</v>
      </c>
      <c r="Y474" s="440"/>
      <c r="Z474" s="440">
        <f t="shared" ca="1" si="187"/>
        <v>0</v>
      </c>
      <c r="AA474" s="241"/>
      <c r="AH474" s="242"/>
    </row>
    <row r="475" spans="2:34" ht="15.75" x14ac:dyDescent="0.25">
      <c r="B475" s="229"/>
      <c r="C475" s="235"/>
      <c r="D475" s="243"/>
      <c r="E475" s="232"/>
      <c r="F475" s="435"/>
      <c r="G475" s="234"/>
      <c r="H475" s="235"/>
      <c r="I475" s="235"/>
      <c r="J475" s="440"/>
      <c r="K475" s="443">
        <f ca="1">ROUND(IF(ISERROR(OFFSET(Tabella!$A$1,MATCH(H475,Tabella!$A:$A,0)-1,MATCH(J475,Tabella!$A$1:$AC$1,0)-1)=TRUE),0,+OFFSET(Tabella!$A$1,MATCH(H475,Tabella!$A:$A,0)-1,MATCH(J475,Tabella!$A$1:$AC$1,0)-1)),4)</f>
        <v>0</v>
      </c>
      <c r="L475" s="446">
        <f ca="1">ROUND(IF(ISERROR(OFFSET(Ottone!$A$1,MATCH(H475,Ottone!$A:$A,0)-1,MATCH(J475,Ottone!$A$1:$Z$1,0)-1)=TRUE),0,OFFSET(Ottone!$A$1,MATCH(H475,Ottone!$A:$A,0)-1,MATCH(J475,Ottone!$A$1:$Z$1,0)-1))*IF(E475="Ottone",1,0),4)</f>
        <v>0</v>
      </c>
      <c r="M475" s="446">
        <f ca="1">ROUND(IF(ISERROR(OFFSET(Rame!$A$1,MATCH(H475,Rame!$A:$A,0)-1,MATCH(J475,Rame!$A$1:$AA$1,0)-1)=TRUE),0,OFFSET(Rame!$A$1,MATCH(H475,Rame!$A:$A,0)-1,MATCH(J475,Rame!$A$1:$AA$1,0)-1))*IF(E475="Rame",1,0),4)</f>
        <v>0</v>
      </c>
      <c r="N475" s="446">
        <v>0</v>
      </c>
      <c r="O475" s="446">
        <f t="shared" ca="1" si="183"/>
        <v>0</v>
      </c>
      <c r="P475" s="446">
        <f ca="1">ROUND(+IF(ISERROR(OFFSET(Tabella!$G$1,MATCH(H475,Tabella!$G:$G,0)-1,MATCH(I475,Tabella!$G$1:$FG$1,0)-1)=TRUE),0,OFFSET(Tabella!$G$1,MATCH(H475,Tabella!$G:$G,0)-1,MATCH(I475,Tabella!$G$1:$AB$1,0)-1)),4)</f>
        <v>0</v>
      </c>
      <c r="Q475" s="446">
        <f ca="1">ROUND(IF(ISERROR(OFFSET(Ottone!$F$1,MATCH(H475,Ottone!$A:$A,0)-1,MATCH(I475,Ottone!$F$1:$FF$1,0)-1)=TRUE),0,OFFSET(Ottone!$F$1,MATCH(H475,Ottone!$A:$A,0)-1,MATCH(I475,Ottone!$F$1:$FF$1,0)-1))*IF(E475="Ottone",1,0),4)</f>
        <v>0</v>
      </c>
      <c r="R475" s="446">
        <f ca="1">ROUND(IF(ISERROR(OFFSET(Rame!$F$1,MATCH(H475,Rame!$F:$F,0)-1,MATCH(I475,Rame!$F$1:$FF$1,0)-1)=TRUE),0,OFFSET(Rame!$F$1,MATCH(H475,Rame!$F:$F,0)-1,MATCH(I475,Rame!$F$1:$FF$1,0)-1))*IF(E475="Rame",1,0),4)</f>
        <v>0</v>
      </c>
      <c r="S475" s="446">
        <f ca="1">ROUND(IF(ISERROR(OFFSET(Bronzo!$A$1,MATCH(H475,Bronzo!$A:$A,0)-1,MATCH(I475,Bronzo!$A$1:$AA$1,0)-1)=TRUE),0,OFFSET(Bronzo!$A$1,MATCH(H475,Bronzo!$A:$A,0)-1,MATCH(I475,Bronzo!$A$1:$AA$1,0)-1)),4)</f>
        <v>0</v>
      </c>
      <c r="T475" s="446">
        <f t="shared" ca="1" si="185"/>
        <v>0</v>
      </c>
      <c r="U475" s="443"/>
      <c r="V475" s="446">
        <v>0</v>
      </c>
      <c r="W475" s="449">
        <f t="shared" ca="1" si="186"/>
        <v>0</v>
      </c>
      <c r="X475" s="452">
        <f t="shared" si="184"/>
        <v>0</v>
      </c>
      <c r="Y475" s="440"/>
      <c r="Z475" s="440">
        <f t="shared" ca="1" si="187"/>
        <v>0</v>
      </c>
      <c r="AA475" s="241"/>
      <c r="AH475" s="242"/>
    </row>
    <row r="476" spans="2:34" ht="15.75" x14ac:dyDescent="0.25">
      <c r="B476" s="229"/>
      <c r="C476" s="235"/>
      <c r="D476" s="243"/>
      <c r="E476" s="232"/>
      <c r="F476" s="435"/>
      <c r="G476" s="234"/>
      <c r="H476" s="235"/>
      <c r="I476" s="235"/>
      <c r="J476" s="440"/>
      <c r="K476" s="443">
        <f ca="1">ROUND(IF(ISERROR(OFFSET(Tabella!$A$1,MATCH(H476,Tabella!$A:$A,0)-1,MATCH(J476,Tabella!$A$1:$AC$1,0)-1)=TRUE),0,+OFFSET(Tabella!$A$1,MATCH(H476,Tabella!$A:$A,0)-1,MATCH(J476,Tabella!$A$1:$AC$1,0)-1)),4)</f>
        <v>0</v>
      </c>
      <c r="L476" s="446">
        <f ca="1">ROUND(IF(ISERROR(OFFSET(Ottone!$A$1,MATCH(H476,Ottone!$A:$A,0)-1,MATCH(J476,Ottone!$A$1:$Z$1,0)-1)=TRUE),0,OFFSET(Ottone!$A$1,MATCH(H476,Ottone!$A:$A,0)-1,MATCH(J476,Ottone!$A$1:$Z$1,0)-1))*IF(E476="Ottone",1,0),4)</f>
        <v>0</v>
      </c>
      <c r="M476" s="446">
        <f ca="1">ROUND(IF(ISERROR(OFFSET(Rame!$A$1,MATCH(H476,Rame!$A:$A,0)-1,MATCH(J476,Rame!$A$1:$AA$1,0)-1)=TRUE),0,OFFSET(Rame!$A$1,MATCH(H476,Rame!$A:$A,0)-1,MATCH(J476,Rame!$A$1:$AA$1,0)-1))*IF(E476="Rame",1,0),4)</f>
        <v>0</v>
      </c>
      <c r="N476" s="446">
        <v>0</v>
      </c>
      <c r="O476" s="446">
        <f t="shared" ca="1" si="183"/>
        <v>0</v>
      </c>
      <c r="P476" s="446">
        <f ca="1">ROUND(+IF(ISERROR(OFFSET(Tabella!$G$1,MATCH(H476,Tabella!$G:$G,0)-1,MATCH(I476,Tabella!$G$1:$FG$1,0)-1)=TRUE),0,OFFSET(Tabella!$G$1,MATCH(H476,Tabella!$G:$G,0)-1,MATCH(I476,Tabella!$G$1:$AB$1,0)-1)),4)</f>
        <v>0</v>
      </c>
      <c r="Q476" s="446">
        <f ca="1">ROUND(IF(ISERROR(OFFSET(Ottone!$F$1,MATCH(H476,Ottone!$A:$A,0)-1,MATCH(I476,Ottone!$F$1:$FF$1,0)-1)=TRUE),0,OFFSET(Ottone!$F$1,MATCH(H476,Ottone!$A:$A,0)-1,MATCH(I476,Ottone!$F$1:$FF$1,0)-1))*IF(E476="Ottone",1,0),4)</f>
        <v>0</v>
      </c>
      <c r="R476" s="446">
        <f ca="1">ROUND(IF(ISERROR(OFFSET(Rame!$F$1,MATCH(H476,Rame!$F:$F,0)-1,MATCH(I476,Rame!$F$1:$FF$1,0)-1)=TRUE),0,OFFSET(Rame!$F$1,MATCH(H476,Rame!$F:$F,0)-1,MATCH(I476,Rame!$F$1:$FF$1,0)-1))*IF(E476="Rame",1,0),4)</f>
        <v>0</v>
      </c>
      <c r="S476" s="446">
        <f ca="1">ROUND(IF(ISERROR(OFFSET(Bronzo!$A$1,MATCH(H476,Bronzo!$A:$A,0)-1,MATCH(I476,Bronzo!$A$1:$AA$1,0)-1)=TRUE),0,OFFSET(Bronzo!$A$1,MATCH(H476,Bronzo!$A:$A,0)-1,MATCH(I476,Bronzo!$A$1:$AA$1,0)-1)),4)</f>
        <v>0</v>
      </c>
      <c r="T476" s="446">
        <f t="shared" ca="1" si="185"/>
        <v>0</v>
      </c>
      <c r="U476" s="443"/>
      <c r="V476" s="446">
        <v>0</v>
      </c>
      <c r="W476" s="449">
        <f t="shared" ca="1" si="186"/>
        <v>0</v>
      </c>
      <c r="X476" s="452">
        <f t="shared" si="184"/>
        <v>0</v>
      </c>
      <c r="Y476" s="440"/>
      <c r="Z476" s="440">
        <f t="shared" ca="1" si="187"/>
        <v>0</v>
      </c>
      <c r="AA476" s="241"/>
      <c r="AH476" s="242"/>
    </row>
    <row r="477" spans="2:34" ht="15.75" x14ac:dyDescent="0.25">
      <c r="B477" s="229"/>
      <c r="C477" s="235"/>
      <c r="D477" s="243"/>
      <c r="E477" s="232"/>
      <c r="F477" s="435"/>
      <c r="G477" s="234"/>
      <c r="H477" s="235"/>
      <c r="I477" s="235"/>
      <c r="J477" s="440"/>
      <c r="K477" s="443">
        <f ca="1">ROUND(IF(ISERROR(OFFSET(Tabella!$A$1,MATCH(H477,Tabella!$A:$A,0)-1,MATCH(J477,Tabella!$A$1:$AC$1,0)-1)=TRUE),0,+OFFSET(Tabella!$A$1,MATCH(H477,Tabella!$A:$A,0)-1,MATCH(J477,Tabella!$A$1:$AC$1,0)-1)),4)</f>
        <v>0</v>
      </c>
      <c r="L477" s="446">
        <f ca="1">ROUND(IF(ISERROR(OFFSET(Ottone!$A$1,MATCH(H477,Ottone!$A:$A,0)-1,MATCH(J477,Ottone!$A$1:$Z$1,0)-1)=TRUE),0,OFFSET(Ottone!$A$1,MATCH(H477,Ottone!$A:$A,0)-1,MATCH(J477,Ottone!$A$1:$Z$1,0)-1))*IF(E477="Ottone",1,0),4)</f>
        <v>0</v>
      </c>
      <c r="M477" s="446">
        <f ca="1">ROUND(IF(ISERROR(OFFSET(Rame!$A$1,MATCH(H477,Rame!$A:$A,0)-1,MATCH(J477,Rame!$A$1:$AA$1,0)-1)=TRUE),0,OFFSET(Rame!$A$1,MATCH(H477,Rame!$A:$A,0)-1,MATCH(J477,Rame!$A$1:$AA$1,0)-1))*IF(E477="Rame",1,0),4)</f>
        <v>0</v>
      </c>
      <c r="N477" s="446">
        <v>0</v>
      </c>
      <c r="O477" s="446">
        <f t="shared" ca="1" si="183"/>
        <v>0</v>
      </c>
      <c r="P477" s="446">
        <f ca="1">ROUND(+IF(ISERROR(OFFSET(Tabella!$G$1,MATCH(H477,Tabella!$G:$G,0)-1,MATCH(I477,Tabella!$G$1:$FG$1,0)-1)=TRUE),0,OFFSET(Tabella!$G$1,MATCH(H477,Tabella!$G:$G,0)-1,MATCH(I477,Tabella!$G$1:$AB$1,0)-1)),4)</f>
        <v>0</v>
      </c>
      <c r="Q477" s="446">
        <f ca="1">ROUND(IF(ISERROR(OFFSET(Ottone!$F$1,MATCH(H477,Ottone!$A:$A,0)-1,MATCH(I477,Ottone!$F$1:$FF$1,0)-1)=TRUE),0,OFFSET(Ottone!$F$1,MATCH(H477,Ottone!$A:$A,0)-1,MATCH(I477,Ottone!$F$1:$FF$1,0)-1))*IF(E477="Ottone",1,0),4)</f>
        <v>0</v>
      </c>
      <c r="R477" s="446">
        <f ca="1">ROUND(IF(ISERROR(OFFSET(Rame!$F$1,MATCH(H477,Rame!$F:$F,0)-1,MATCH(I477,Rame!$F$1:$FF$1,0)-1)=TRUE),0,OFFSET(Rame!$F$1,MATCH(H477,Rame!$F:$F,0)-1,MATCH(I477,Rame!$F$1:$FF$1,0)-1))*IF(E477="Rame",1,0),4)</f>
        <v>0</v>
      </c>
      <c r="S477" s="446">
        <f ca="1">ROUND(IF(ISERROR(OFFSET(Bronzo!$A$1,MATCH(H477,Bronzo!$A:$A,0)-1,MATCH(I477,Bronzo!$A$1:$AA$1,0)-1)=TRUE),0,OFFSET(Bronzo!$A$1,MATCH(H477,Bronzo!$A:$A,0)-1,MATCH(I477,Bronzo!$A$1:$AA$1,0)-1)),4)</f>
        <v>0</v>
      </c>
      <c r="T477" s="446">
        <f t="shared" ca="1" si="185"/>
        <v>0</v>
      </c>
      <c r="U477" s="443"/>
      <c r="V477" s="446">
        <v>0</v>
      </c>
      <c r="W477" s="449">
        <f t="shared" ca="1" si="186"/>
        <v>0</v>
      </c>
      <c r="X477" s="452">
        <f t="shared" si="184"/>
        <v>0</v>
      </c>
      <c r="Y477" s="440"/>
      <c r="Z477" s="440">
        <f t="shared" ca="1" si="187"/>
        <v>0</v>
      </c>
      <c r="AA477" s="241"/>
      <c r="AH477" s="242"/>
    </row>
    <row r="478" spans="2:34" ht="15.75" x14ac:dyDescent="0.25">
      <c r="B478" s="229"/>
      <c r="C478" s="235"/>
      <c r="D478" s="243"/>
      <c r="E478" s="232"/>
      <c r="F478" s="435"/>
      <c r="G478" s="234"/>
      <c r="H478" s="235"/>
      <c r="I478" s="235"/>
      <c r="J478" s="440"/>
      <c r="K478" s="443">
        <f ca="1">ROUND(IF(ISERROR(OFFSET(Tabella!$A$1,MATCH(H478,Tabella!$A:$A,0)-1,MATCH(J478,Tabella!$A$1:$AC$1,0)-1)=TRUE),0,+OFFSET(Tabella!$A$1,MATCH(H478,Tabella!$A:$A,0)-1,MATCH(J478,Tabella!$A$1:$AC$1,0)-1)),4)</f>
        <v>0</v>
      </c>
      <c r="L478" s="446">
        <f ca="1">ROUND(IF(ISERROR(OFFSET(Ottone!$A$1,MATCH(H478,Ottone!$A:$A,0)-1,MATCH(J478,Ottone!$A$1:$Z$1,0)-1)=TRUE),0,OFFSET(Ottone!$A$1,MATCH(H478,Ottone!$A:$A,0)-1,MATCH(J478,Ottone!$A$1:$Z$1,0)-1))*IF(E478="Ottone",1,0),4)</f>
        <v>0</v>
      </c>
      <c r="M478" s="446">
        <f ca="1">ROUND(IF(ISERROR(OFFSET(Rame!$A$1,MATCH(H478,Rame!$A:$A,0)-1,MATCH(J478,Rame!$A$1:$AA$1,0)-1)=TRUE),0,OFFSET(Rame!$A$1,MATCH(H478,Rame!$A:$A,0)-1,MATCH(J478,Rame!$A$1:$AA$1,0)-1))*IF(E478="Rame",1,0),4)</f>
        <v>0</v>
      </c>
      <c r="N478" s="446">
        <v>0</v>
      </c>
      <c r="O478" s="446">
        <f t="shared" ca="1" si="183"/>
        <v>0</v>
      </c>
      <c r="P478" s="446">
        <f ca="1">ROUND(+IF(ISERROR(OFFSET(Tabella!$G$1,MATCH(H478,Tabella!$G:$G,0)-1,MATCH(I478,Tabella!$G$1:$FG$1,0)-1)=TRUE),0,OFFSET(Tabella!$G$1,MATCH(H478,Tabella!$G:$G,0)-1,MATCH(I478,Tabella!$G$1:$AB$1,0)-1)),4)</f>
        <v>0</v>
      </c>
      <c r="Q478" s="446">
        <f ca="1">ROUND(IF(ISERROR(OFFSET(Ottone!$F$1,MATCH(H478,Ottone!$A:$A,0)-1,MATCH(I478,Ottone!$F$1:$FF$1,0)-1)=TRUE),0,OFFSET(Ottone!$F$1,MATCH(H478,Ottone!$A:$A,0)-1,MATCH(I478,Ottone!$F$1:$FF$1,0)-1))*IF(E478="Ottone",1,0),4)</f>
        <v>0</v>
      </c>
      <c r="R478" s="446">
        <f ca="1">ROUND(IF(ISERROR(OFFSET(Rame!$F$1,MATCH(H478,Rame!$F:$F,0)-1,MATCH(I478,Rame!$F$1:$FF$1,0)-1)=TRUE),0,OFFSET(Rame!$F$1,MATCH(H478,Rame!$F:$F,0)-1,MATCH(I478,Rame!$F$1:$FF$1,0)-1))*IF(E478="Rame",1,0),4)</f>
        <v>0</v>
      </c>
      <c r="S478" s="446">
        <f ca="1">ROUND(IF(ISERROR(OFFSET(Bronzo!$A$1,MATCH(H478,Bronzo!$A:$A,0)-1,MATCH(I478,Bronzo!$A$1:$AA$1,0)-1)=TRUE),0,OFFSET(Bronzo!$A$1,MATCH(H478,Bronzo!$A:$A,0)-1,MATCH(I478,Bronzo!$A$1:$AA$1,0)-1)),4)</f>
        <v>0</v>
      </c>
      <c r="T478" s="446">
        <f t="shared" ca="1" si="185"/>
        <v>0</v>
      </c>
      <c r="U478" s="443"/>
      <c r="V478" s="446">
        <v>0</v>
      </c>
      <c r="W478" s="449">
        <f t="shared" ca="1" si="186"/>
        <v>0</v>
      </c>
      <c r="X478" s="452">
        <f t="shared" si="184"/>
        <v>0</v>
      </c>
      <c r="Y478" s="440"/>
      <c r="Z478" s="440">
        <f t="shared" ca="1" si="187"/>
        <v>0</v>
      </c>
      <c r="AA478" s="241"/>
      <c r="AH478" s="242"/>
    </row>
    <row r="479" spans="2:34" ht="15.75" x14ac:dyDescent="0.25">
      <c r="B479" s="229"/>
      <c r="C479" s="235"/>
      <c r="D479" s="243"/>
      <c r="E479" s="232"/>
      <c r="F479" s="435"/>
      <c r="G479" s="234"/>
      <c r="H479" s="235"/>
      <c r="I479" s="235"/>
      <c r="J479" s="440"/>
      <c r="K479" s="443">
        <f ca="1">ROUND(IF(ISERROR(OFFSET(Tabella!$A$1,MATCH(H479,Tabella!$A:$A,0)-1,MATCH(J479,Tabella!$A$1:$AC$1,0)-1)=TRUE),0,+OFFSET(Tabella!$A$1,MATCH(H479,Tabella!$A:$A,0)-1,MATCH(J479,Tabella!$A$1:$AC$1,0)-1)),4)</f>
        <v>0</v>
      </c>
      <c r="L479" s="446">
        <f ca="1">ROUND(IF(ISERROR(OFFSET(Ottone!$A$1,MATCH(H479,Ottone!$A:$A,0)-1,MATCH(J479,Ottone!$A$1:$Z$1,0)-1)=TRUE),0,OFFSET(Ottone!$A$1,MATCH(H479,Ottone!$A:$A,0)-1,MATCH(J479,Ottone!$A$1:$Z$1,0)-1))*IF(E479="Ottone",1,0),4)</f>
        <v>0</v>
      </c>
      <c r="M479" s="446">
        <f ca="1">ROUND(IF(ISERROR(OFFSET(Rame!$A$1,MATCH(H479,Rame!$A:$A,0)-1,MATCH(J479,Rame!$A$1:$AA$1,0)-1)=TRUE),0,OFFSET(Rame!$A$1,MATCH(H479,Rame!$A:$A,0)-1,MATCH(J479,Rame!$A$1:$AA$1,0)-1))*IF(E479="Rame",1,0),4)</f>
        <v>0</v>
      </c>
      <c r="N479" s="446">
        <v>0</v>
      </c>
      <c r="O479" s="446">
        <f t="shared" ca="1" si="183"/>
        <v>0</v>
      </c>
      <c r="P479" s="446">
        <f ca="1">ROUND(+IF(ISERROR(OFFSET(Tabella!$G$1,MATCH(H479,Tabella!$G:$G,0)-1,MATCH(I479,Tabella!$G$1:$FG$1,0)-1)=TRUE),0,OFFSET(Tabella!$G$1,MATCH(H479,Tabella!$G:$G,0)-1,MATCH(I479,Tabella!$G$1:$AB$1,0)-1)),4)</f>
        <v>0</v>
      </c>
      <c r="Q479" s="446">
        <f ca="1">ROUND(IF(ISERROR(OFFSET(Ottone!$F$1,MATCH(H479,Ottone!$A:$A,0)-1,MATCH(I479,Ottone!$F$1:$FF$1,0)-1)=TRUE),0,OFFSET(Ottone!$F$1,MATCH(H479,Ottone!$A:$A,0)-1,MATCH(I479,Ottone!$F$1:$FF$1,0)-1))*IF(E479="Ottone",1,0),4)</f>
        <v>0</v>
      </c>
      <c r="R479" s="446">
        <f ca="1">ROUND(IF(ISERROR(OFFSET(Rame!$F$1,MATCH(H479,Rame!$F:$F,0)-1,MATCH(I479,Rame!$F$1:$FF$1,0)-1)=TRUE),0,OFFSET(Rame!$F$1,MATCH(H479,Rame!$F:$F,0)-1,MATCH(I479,Rame!$F$1:$FF$1,0)-1))*IF(E479="Rame",1,0),4)</f>
        <v>0</v>
      </c>
      <c r="S479" s="446">
        <f ca="1">ROUND(IF(ISERROR(OFFSET(Bronzo!$A$1,MATCH(H479,Bronzo!$A:$A,0)-1,MATCH(I479,Bronzo!$A$1:$AA$1,0)-1)=TRUE),0,OFFSET(Bronzo!$A$1,MATCH(H479,Bronzo!$A:$A,0)-1,MATCH(I479,Bronzo!$A$1:$AA$1,0)-1)),4)</f>
        <v>0</v>
      </c>
      <c r="T479" s="446">
        <f t="shared" ca="1" si="185"/>
        <v>0</v>
      </c>
      <c r="U479" s="443"/>
      <c r="V479" s="446">
        <v>0</v>
      </c>
      <c r="W479" s="449">
        <f t="shared" ca="1" si="186"/>
        <v>0</v>
      </c>
      <c r="X479" s="452">
        <f t="shared" si="184"/>
        <v>0</v>
      </c>
      <c r="Y479" s="440"/>
      <c r="Z479" s="440">
        <f t="shared" ca="1" si="187"/>
        <v>0</v>
      </c>
      <c r="AA479" s="241"/>
      <c r="AH479" s="242"/>
    </row>
    <row r="480" spans="2:34" ht="15.75" x14ac:dyDescent="0.25">
      <c r="B480" s="229"/>
      <c r="C480" s="235"/>
      <c r="D480" s="243"/>
      <c r="E480" s="232"/>
      <c r="F480" s="435"/>
      <c r="G480" s="234"/>
      <c r="H480" s="235"/>
      <c r="I480" s="235"/>
      <c r="J480" s="440"/>
      <c r="K480" s="443">
        <f ca="1">ROUND(IF(ISERROR(OFFSET(Tabella!$A$1,MATCH(H480,Tabella!$A:$A,0)-1,MATCH(J480,Tabella!$A$1:$AC$1,0)-1)=TRUE),0,+OFFSET(Tabella!$A$1,MATCH(H480,Tabella!$A:$A,0)-1,MATCH(J480,Tabella!$A$1:$AC$1,0)-1)),4)</f>
        <v>0</v>
      </c>
      <c r="L480" s="446">
        <f ca="1">ROUND(IF(ISERROR(OFFSET(Ottone!$A$1,MATCH(H480,Ottone!$A:$A,0)-1,MATCH(J480,Ottone!$A$1:$Z$1,0)-1)=TRUE),0,OFFSET(Ottone!$A$1,MATCH(H480,Ottone!$A:$A,0)-1,MATCH(J480,Ottone!$A$1:$Z$1,0)-1))*IF(E480="Ottone",1,0),4)</f>
        <v>0</v>
      </c>
      <c r="M480" s="446">
        <f ca="1">ROUND(IF(ISERROR(OFFSET(Rame!$A$1,MATCH(H480,Rame!$A:$A,0)-1,MATCH(J480,Rame!$A$1:$AA$1,0)-1)=TRUE),0,OFFSET(Rame!$A$1,MATCH(H480,Rame!$A:$A,0)-1,MATCH(J480,Rame!$A$1:$AA$1,0)-1))*IF(E480="Rame",1,0),4)</f>
        <v>0</v>
      </c>
      <c r="N480" s="446">
        <v>0</v>
      </c>
      <c r="O480" s="446">
        <f t="shared" ca="1" si="183"/>
        <v>0</v>
      </c>
      <c r="P480" s="446">
        <f ca="1">ROUND(+IF(ISERROR(OFFSET(Tabella!$G$1,MATCH(H480,Tabella!$G:$G,0)-1,MATCH(I480,Tabella!$G$1:$FG$1,0)-1)=TRUE),0,OFFSET(Tabella!$G$1,MATCH(H480,Tabella!$G:$G,0)-1,MATCH(I480,Tabella!$G$1:$AB$1,0)-1)),4)</f>
        <v>0</v>
      </c>
      <c r="Q480" s="446">
        <f ca="1">ROUND(IF(ISERROR(OFFSET(Ottone!$F$1,MATCH(H480,Ottone!$A:$A,0)-1,MATCH(I480,Ottone!$F$1:$FF$1,0)-1)=TRUE),0,OFFSET(Ottone!$F$1,MATCH(H480,Ottone!$A:$A,0)-1,MATCH(I480,Ottone!$F$1:$FF$1,0)-1))*IF(E480="Ottone",1,0),4)</f>
        <v>0</v>
      </c>
      <c r="R480" s="446">
        <f ca="1">ROUND(IF(ISERROR(OFFSET(Rame!$F$1,MATCH(H480,Rame!$F:$F,0)-1,MATCH(I480,Rame!$F$1:$FF$1,0)-1)=TRUE),0,OFFSET(Rame!$F$1,MATCH(H480,Rame!$F:$F,0)-1,MATCH(I480,Rame!$F$1:$FF$1,0)-1))*IF(E480="Rame",1,0),4)</f>
        <v>0</v>
      </c>
      <c r="S480" s="446">
        <f ca="1">ROUND(IF(ISERROR(OFFSET(Bronzo!$A$1,MATCH(H480,Bronzo!$A:$A,0)-1,MATCH(I480,Bronzo!$A$1:$AA$1,0)-1)=TRUE),0,OFFSET(Bronzo!$A$1,MATCH(H480,Bronzo!$A:$A,0)-1,MATCH(I480,Bronzo!$A$1:$AA$1,0)-1)),4)</f>
        <v>0</v>
      </c>
      <c r="T480" s="446">
        <f t="shared" ca="1" si="185"/>
        <v>0</v>
      </c>
      <c r="U480" s="443"/>
      <c r="V480" s="446">
        <v>0</v>
      </c>
      <c r="W480" s="449">
        <f t="shared" ca="1" si="186"/>
        <v>0</v>
      </c>
      <c r="X480" s="452">
        <f t="shared" si="184"/>
        <v>0</v>
      </c>
      <c r="Y480" s="440"/>
      <c r="Z480" s="440">
        <f t="shared" ca="1" si="187"/>
        <v>0</v>
      </c>
      <c r="AA480" s="241"/>
      <c r="AH480" s="242"/>
    </row>
    <row r="481" spans="2:34" ht="15.75" x14ac:dyDescent="0.25">
      <c r="B481" s="229"/>
      <c r="C481" s="235"/>
      <c r="D481" s="243"/>
      <c r="E481" s="232"/>
      <c r="F481" s="435"/>
      <c r="G481" s="234"/>
      <c r="H481" s="235"/>
      <c r="I481" s="235"/>
      <c r="J481" s="440"/>
      <c r="K481" s="443">
        <f ca="1">ROUND(IF(ISERROR(OFFSET(Tabella!$A$1,MATCH(H481,Tabella!$A:$A,0)-1,MATCH(J481,Tabella!$A$1:$AC$1,0)-1)=TRUE),0,+OFFSET(Tabella!$A$1,MATCH(H481,Tabella!$A:$A,0)-1,MATCH(J481,Tabella!$A$1:$AC$1,0)-1)),4)</f>
        <v>0</v>
      </c>
      <c r="L481" s="446">
        <f ca="1">ROUND(IF(ISERROR(OFFSET(Ottone!$A$1,MATCH(H481,Ottone!$A:$A,0)-1,MATCH(J481,Ottone!$A$1:$Z$1,0)-1)=TRUE),0,OFFSET(Ottone!$A$1,MATCH(H481,Ottone!$A:$A,0)-1,MATCH(J481,Ottone!$A$1:$Z$1,0)-1))*IF(E481="Ottone",1,0),4)</f>
        <v>0</v>
      </c>
      <c r="M481" s="446">
        <f ca="1">ROUND(IF(ISERROR(OFFSET(Rame!$A$1,MATCH(H481,Rame!$A:$A,0)-1,MATCH(J481,Rame!$A$1:$AA$1,0)-1)=TRUE),0,OFFSET(Rame!$A$1,MATCH(H481,Rame!$A:$A,0)-1,MATCH(J481,Rame!$A$1:$AA$1,0)-1))*IF(E481="Rame",1,0),4)</f>
        <v>0</v>
      </c>
      <c r="N481" s="446">
        <v>0</v>
      </c>
      <c r="O481" s="446">
        <f t="shared" ca="1" si="183"/>
        <v>0</v>
      </c>
      <c r="P481" s="446">
        <f ca="1">ROUND(+IF(ISERROR(OFFSET(Tabella!$G$1,MATCH(H481,Tabella!$G:$G,0)-1,MATCH(I481,Tabella!$G$1:$FG$1,0)-1)=TRUE),0,OFFSET(Tabella!$G$1,MATCH(H481,Tabella!$G:$G,0)-1,MATCH(I481,Tabella!$G$1:$AB$1,0)-1)),4)</f>
        <v>0</v>
      </c>
      <c r="Q481" s="446">
        <f ca="1">ROUND(IF(ISERROR(OFFSET(Ottone!$F$1,MATCH(H481,Ottone!$A:$A,0)-1,MATCH(I481,Ottone!$F$1:$FF$1,0)-1)=TRUE),0,OFFSET(Ottone!$F$1,MATCH(H481,Ottone!$A:$A,0)-1,MATCH(I481,Ottone!$F$1:$FF$1,0)-1))*IF(E481="Ottone",1,0),4)</f>
        <v>0</v>
      </c>
      <c r="R481" s="446">
        <f ca="1">ROUND(IF(ISERROR(OFFSET(Rame!$F$1,MATCH(H481,Rame!$F:$F,0)-1,MATCH(I481,Rame!$F$1:$FF$1,0)-1)=TRUE),0,OFFSET(Rame!$F$1,MATCH(H481,Rame!$F:$F,0)-1,MATCH(I481,Rame!$F$1:$FF$1,0)-1))*IF(E481="Rame",1,0),4)</f>
        <v>0</v>
      </c>
      <c r="S481" s="446">
        <f ca="1">ROUND(IF(ISERROR(OFFSET(Bronzo!$A$1,MATCH(H481,Bronzo!$A:$A,0)-1,MATCH(I481,Bronzo!$A$1:$AA$1,0)-1)=TRUE),0,OFFSET(Bronzo!$A$1,MATCH(H481,Bronzo!$A:$A,0)-1,MATCH(I481,Bronzo!$A$1:$AA$1,0)-1)),4)</f>
        <v>0</v>
      </c>
      <c r="T481" s="446">
        <f t="shared" ca="1" si="185"/>
        <v>0</v>
      </c>
      <c r="U481" s="443"/>
      <c r="V481" s="446">
        <v>0</v>
      </c>
      <c r="W481" s="449">
        <f t="shared" ca="1" si="186"/>
        <v>0</v>
      </c>
      <c r="X481" s="452">
        <f t="shared" si="184"/>
        <v>0</v>
      </c>
      <c r="Y481" s="440"/>
      <c r="Z481" s="440">
        <f t="shared" ca="1" si="187"/>
        <v>0</v>
      </c>
      <c r="AA481" s="241"/>
      <c r="AH481" s="242"/>
    </row>
    <row r="482" spans="2:34" ht="15.75" x14ac:dyDescent="0.25">
      <c r="B482" s="229"/>
      <c r="C482" s="235"/>
      <c r="D482" s="243"/>
      <c r="E482" s="232"/>
      <c r="F482" s="435"/>
      <c r="G482" s="234"/>
      <c r="H482" s="235"/>
      <c r="I482" s="235"/>
      <c r="J482" s="440"/>
      <c r="K482" s="443">
        <f ca="1">ROUND(IF(ISERROR(OFFSET(Tabella!$A$1,MATCH(H482,Tabella!$A:$A,0)-1,MATCH(J482,Tabella!$A$1:$AC$1,0)-1)=TRUE),0,+OFFSET(Tabella!$A$1,MATCH(H482,Tabella!$A:$A,0)-1,MATCH(J482,Tabella!$A$1:$AC$1,0)-1)),4)</f>
        <v>0</v>
      </c>
      <c r="L482" s="446">
        <f ca="1">ROUND(IF(ISERROR(OFFSET(Ottone!$A$1,MATCH(H482,Ottone!$A:$A,0)-1,MATCH(J482,Ottone!$A$1:$Z$1,0)-1)=TRUE),0,OFFSET(Ottone!$A$1,MATCH(H482,Ottone!$A:$A,0)-1,MATCH(J482,Ottone!$A$1:$Z$1,0)-1))*IF(E482="Ottone",1,0),4)</f>
        <v>0</v>
      </c>
      <c r="M482" s="446">
        <f ca="1">ROUND(IF(ISERROR(OFFSET(Rame!$A$1,MATCH(H482,Rame!$A:$A,0)-1,MATCH(J482,Rame!$A$1:$AA$1,0)-1)=TRUE),0,OFFSET(Rame!$A$1,MATCH(H482,Rame!$A:$A,0)-1,MATCH(J482,Rame!$A$1:$AA$1,0)-1))*IF(E482="Rame",1,0),4)</f>
        <v>0</v>
      </c>
      <c r="N482" s="446">
        <v>0</v>
      </c>
      <c r="O482" s="446">
        <f t="shared" ca="1" si="183"/>
        <v>0</v>
      </c>
      <c r="P482" s="446">
        <f ca="1">ROUND(+IF(ISERROR(OFFSET(Tabella!$G$1,MATCH(H482,Tabella!$G:$G,0)-1,MATCH(I482,Tabella!$G$1:$FG$1,0)-1)=TRUE),0,OFFSET(Tabella!$G$1,MATCH(H482,Tabella!$G:$G,0)-1,MATCH(I482,Tabella!$G$1:$AB$1,0)-1)),4)</f>
        <v>0</v>
      </c>
      <c r="Q482" s="446">
        <f ca="1">ROUND(IF(ISERROR(OFFSET(Ottone!$F$1,MATCH(H482,Ottone!$A:$A,0)-1,MATCH(I482,Ottone!$F$1:$FF$1,0)-1)=TRUE),0,OFFSET(Ottone!$F$1,MATCH(H482,Ottone!$A:$A,0)-1,MATCH(I482,Ottone!$F$1:$FF$1,0)-1))*IF(E482="Ottone",1,0),4)</f>
        <v>0</v>
      </c>
      <c r="R482" s="446">
        <f ca="1">ROUND(IF(ISERROR(OFFSET(Rame!$F$1,MATCH(H482,Rame!$F:$F,0)-1,MATCH(I482,Rame!$F$1:$FF$1,0)-1)=TRUE),0,OFFSET(Rame!$F$1,MATCH(H482,Rame!$F:$F,0)-1,MATCH(I482,Rame!$F$1:$FF$1,0)-1))*IF(E482="Rame",1,0),4)</f>
        <v>0</v>
      </c>
      <c r="S482" s="446">
        <f ca="1">ROUND(IF(ISERROR(OFFSET(Bronzo!$A$1,MATCH(H482,Bronzo!$A:$A,0)-1,MATCH(I482,Bronzo!$A$1:$AA$1,0)-1)=TRUE),0,OFFSET(Bronzo!$A$1,MATCH(H482,Bronzo!$A:$A,0)-1,MATCH(I482,Bronzo!$A$1:$AA$1,0)-1)),4)</f>
        <v>0</v>
      </c>
      <c r="T482" s="446">
        <f t="shared" ca="1" si="185"/>
        <v>0</v>
      </c>
      <c r="U482" s="443"/>
      <c r="V482" s="446">
        <v>0</v>
      </c>
      <c r="W482" s="449">
        <f t="shared" ca="1" si="186"/>
        <v>0</v>
      </c>
      <c r="X482" s="452">
        <f t="shared" si="184"/>
        <v>0</v>
      </c>
      <c r="Y482" s="440"/>
      <c r="Z482" s="440">
        <f t="shared" ca="1" si="187"/>
        <v>0</v>
      </c>
      <c r="AA482" s="241"/>
      <c r="AH482" s="242"/>
    </row>
    <row r="483" spans="2:34" ht="15.75" x14ac:dyDescent="0.25">
      <c r="B483" s="229"/>
      <c r="C483" s="235"/>
      <c r="D483" s="243"/>
      <c r="E483" s="232"/>
      <c r="F483" s="435"/>
      <c r="G483" s="234"/>
      <c r="H483" s="235"/>
      <c r="I483" s="235"/>
      <c r="J483" s="440"/>
      <c r="K483" s="443">
        <f ca="1">ROUND(IF(ISERROR(OFFSET(Tabella!$A$1,MATCH(H483,Tabella!$A:$A,0)-1,MATCH(J483,Tabella!$A$1:$AC$1,0)-1)=TRUE),0,+OFFSET(Tabella!$A$1,MATCH(H483,Tabella!$A:$A,0)-1,MATCH(J483,Tabella!$A$1:$AC$1,0)-1)),4)</f>
        <v>0</v>
      </c>
      <c r="L483" s="446">
        <f ca="1">ROUND(IF(ISERROR(OFFSET(Ottone!$A$1,MATCH(H483,Ottone!$A:$A,0)-1,MATCH(J483,Ottone!$A$1:$Z$1,0)-1)=TRUE),0,OFFSET(Ottone!$A$1,MATCH(H483,Ottone!$A:$A,0)-1,MATCH(J483,Ottone!$A$1:$Z$1,0)-1))*IF(E483="Ottone",1,0),4)</f>
        <v>0</v>
      </c>
      <c r="M483" s="446">
        <f ca="1">ROUND(IF(ISERROR(OFFSET(Rame!$A$1,MATCH(H483,Rame!$A:$A,0)-1,MATCH(J483,Rame!$A$1:$AA$1,0)-1)=TRUE),0,OFFSET(Rame!$A$1,MATCH(H483,Rame!$A:$A,0)-1,MATCH(J483,Rame!$A$1:$AA$1,0)-1))*IF(E483="Rame",1,0),4)</f>
        <v>0</v>
      </c>
      <c r="N483" s="446">
        <v>0</v>
      </c>
      <c r="O483" s="446">
        <f t="shared" ca="1" si="183"/>
        <v>0</v>
      </c>
      <c r="P483" s="446">
        <f ca="1">ROUND(+IF(ISERROR(OFFSET(Tabella!$G$1,MATCH(H483,Tabella!$G:$G,0)-1,MATCH(I483,Tabella!$G$1:$FG$1,0)-1)=TRUE),0,OFFSET(Tabella!$G$1,MATCH(H483,Tabella!$G:$G,0)-1,MATCH(I483,Tabella!$G$1:$AB$1,0)-1)),4)</f>
        <v>0</v>
      </c>
      <c r="Q483" s="446">
        <f ca="1">ROUND(IF(ISERROR(OFFSET(Ottone!$F$1,MATCH(H483,Ottone!$A:$A,0)-1,MATCH(I483,Ottone!$F$1:$FF$1,0)-1)=TRUE),0,OFFSET(Ottone!$F$1,MATCH(H483,Ottone!$A:$A,0)-1,MATCH(I483,Ottone!$F$1:$FF$1,0)-1))*IF(E483="Ottone",1,0),4)</f>
        <v>0</v>
      </c>
      <c r="R483" s="446">
        <f ca="1">ROUND(IF(ISERROR(OFFSET(Rame!$F$1,MATCH(H483,Rame!$F:$F,0)-1,MATCH(I483,Rame!$F$1:$FF$1,0)-1)=TRUE),0,OFFSET(Rame!$F$1,MATCH(H483,Rame!$F:$F,0)-1,MATCH(I483,Rame!$F$1:$FF$1,0)-1))*IF(E483="Rame",1,0),4)</f>
        <v>0</v>
      </c>
      <c r="S483" s="446">
        <f ca="1">ROUND(IF(ISERROR(OFFSET(Bronzo!$A$1,MATCH(H483,Bronzo!$A:$A,0)-1,MATCH(I483,Bronzo!$A$1:$AA$1,0)-1)=TRUE),0,OFFSET(Bronzo!$A$1,MATCH(H483,Bronzo!$A:$A,0)-1,MATCH(I483,Bronzo!$A$1:$AA$1,0)-1)),4)</f>
        <v>0</v>
      </c>
      <c r="T483" s="446">
        <f t="shared" ca="1" si="185"/>
        <v>0</v>
      </c>
      <c r="U483" s="443"/>
      <c r="V483" s="446">
        <v>0</v>
      </c>
      <c r="W483" s="449">
        <f t="shared" ca="1" si="186"/>
        <v>0</v>
      </c>
      <c r="X483" s="452">
        <f t="shared" si="184"/>
        <v>0</v>
      </c>
      <c r="Y483" s="440"/>
      <c r="Z483" s="440">
        <f t="shared" ca="1" si="187"/>
        <v>0</v>
      </c>
      <c r="AA483" s="241"/>
      <c r="AH483" s="242"/>
    </row>
    <row r="484" spans="2:34" ht="15.75" x14ac:dyDescent="0.25">
      <c r="B484" s="229"/>
      <c r="C484" s="235"/>
      <c r="D484" s="243"/>
      <c r="E484" s="232"/>
      <c r="F484" s="435"/>
      <c r="G484" s="234"/>
      <c r="H484" s="235"/>
      <c r="I484" s="235"/>
      <c r="J484" s="440"/>
      <c r="K484" s="443">
        <f ca="1">ROUND(IF(ISERROR(OFFSET(Tabella!$A$1,MATCH(H484,Tabella!$A:$A,0)-1,MATCH(J484,Tabella!$A$1:$AC$1,0)-1)=TRUE),0,+OFFSET(Tabella!$A$1,MATCH(H484,Tabella!$A:$A,0)-1,MATCH(J484,Tabella!$A$1:$AC$1,0)-1)),4)</f>
        <v>0</v>
      </c>
      <c r="L484" s="446">
        <f ca="1">ROUND(IF(ISERROR(OFFSET(Ottone!$A$1,MATCH(H484,Ottone!$A:$A,0)-1,MATCH(J484,Ottone!$A$1:$Z$1,0)-1)=TRUE),0,OFFSET(Ottone!$A$1,MATCH(H484,Ottone!$A:$A,0)-1,MATCH(J484,Ottone!$A$1:$Z$1,0)-1))*IF(E484="Ottone",1,0),4)</f>
        <v>0</v>
      </c>
      <c r="M484" s="446">
        <f ca="1">ROUND(IF(ISERROR(OFFSET(Rame!$A$1,MATCH(H484,Rame!$A:$A,0)-1,MATCH(J484,Rame!$A$1:$AA$1,0)-1)=TRUE),0,OFFSET(Rame!$A$1,MATCH(H484,Rame!$A:$A,0)-1,MATCH(J484,Rame!$A$1:$AA$1,0)-1))*IF(E484="Rame",1,0),4)</f>
        <v>0</v>
      </c>
      <c r="N484" s="446">
        <v>0</v>
      </c>
      <c r="O484" s="446">
        <f t="shared" ca="1" si="183"/>
        <v>0</v>
      </c>
      <c r="P484" s="446">
        <f ca="1">ROUND(+IF(ISERROR(OFFSET(Tabella!$G$1,MATCH(H484,Tabella!$G:$G,0)-1,MATCH(I484,Tabella!$G$1:$FG$1,0)-1)=TRUE),0,OFFSET(Tabella!$G$1,MATCH(H484,Tabella!$G:$G,0)-1,MATCH(I484,Tabella!$G$1:$AB$1,0)-1)),4)</f>
        <v>0</v>
      </c>
      <c r="Q484" s="446">
        <f ca="1">ROUND(IF(ISERROR(OFFSET(Ottone!$F$1,MATCH(H484,Ottone!$A:$A,0)-1,MATCH(I484,Ottone!$F$1:$FF$1,0)-1)=TRUE),0,OFFSET(Ottone!$F$1,MATCH(H484,Ottone!$A:$A,0)-1,MATCH(I484,Ottone!$F$1:$FF$1,0)-1))*IF(E484="Ottone",1,0),4)</f>
        <v>0</v>
      </c>
      <c r="R484" s="446">
        <f ca="1">ROUND(IF(ISERROR(OFFSET(Rame!$F$1,MATCH(H484,Rame!$F:$F,0)-1,MATCH(I484,Rame!$F$1:$FF$1,0)-1)=TRUE),0,OFFSET(Rame!$F$1,MATCH(H484,Rame!$F:$F,0)-1,MATCH(I484,Rame!$F$1:$FF$1,0)-1))*IF(E484="Rame",1,0),4)</f>
        <v>0</v>
      </c>
      <c r="S484" s="446">
        <f ca="1">ROUND(IF(ISERROR(OFFSET(Bronzo!$A$1,MATCH(H484,Bronzo!$A:$A,0)-1,MATCH(I484,Bronzo!$A$1:$AA$1,0)-1)=TRUE),0,OFFSET(Bronzo!$A$1,MATCH(H484,Bronzo!$A:$A,0)-1,MATCH(I484,Bronzo!$A$1:$AA$1,0)-1)),4)</f>
        <v>0</v>
      </c>
      <c r="T484" s="446">
        <f t="shared" ca="1" si="185"/>
        <v>0</v>
      </c>
      <c r="U484" s="443"/>
      <c r="V484" s="446">
        <v>0</v>
      </c>
      <c r="W484" s="449">
        <f t="shared" ca="1" si="186"/>
        <v>0</v>
      </c>
      <c r="X484" s="452">
        <f t="shared" si="184"/>
        <v>0</v>
      </c>
      <c r="Y484" s="440"/>
      <c r="Z484" s="440">
        <f t="shared" ca="1" si="187"/>
        <v>0</v>
      </c>
      <c r="AA484" s="241"/>
      <c r="AH484" s="242"/>
    </row>
    <row r="485" spans="2:34" ht="15.75" x14ac:dyDescent="0.25">
      <c r="B485" s="229"/>
      <c r="C485" s="235"/>
      <c r="D485" s="243"/>
      <c r="E485" s="232"/>
      <c r="F485" s="435"/>
      <c r="G485" s="234"/>
      <c r="H485" s="235"/>
      <c r="I485" s="235"/>
      <c r="J485" s="440"/>
      <c r="K485" s="443">
        <f ca="1">ROUND(IF(ISERROR(OFFSET(Tabella!$A$1,MATCH(H485,Tabella!$A:$A,0)-1,MATCH(J485,Tabella!$A$1:$AC$1,0)-1)=TRUE),0,+OFFSET(Tabella!$A$1,MATCH(H485,Tabella!$A:$A,0)-1,MATCH(J485,Tabella!$A$1:$AC$1,0)-1)),4)</f>
        <v>0</v>
      </c>
      <c r="L485" s="446">
        <f ca="1">ROUND(IF(ISERROR(OFFSET(Ottone!$A$1,MATCH(H485,Ottone!$A:$A,0)-1,MATCH(J485,Ottone!$A$1:$Z$1,0)-1)=TRUE),0,OFFSET(Ottone!$A$1,MATCH(H485,Ottone!$A:$A,0)-1,MATCH(J485,Ottone!$A$1:$Z$1,0)-1))*IF(E485="Ottone",1,0),4)</f>
        <v>0</v>
      </c>
      <c r="M485" s="446">
        <f ca="1">ROUND(IF(ISERROR(OFFSET(Rame!$A$1,MATCH(H485,Rame!$A:$A,0)-1,MATCH(J485,Rame!$A$1:$AA$1,0)-1)=TRUE),0,OFFSET(Rame!$A$1,MATCH(H485,Rame!$A:$A,0)-1,MATCH(J485,Rame!$A$1:$AA$1,0)-1))*IF(E485="Rame",1,0),4)</f>
        <v>0</v>
      </c>
      <c r="N485" s="446">
        <v>0</v>
      </c>
      <c r="O485" s="446">
        <f t="shared" ca="1" si="183"/>
        <v>0</v>
      </c>
      <c r="P485" s="446">
        <f ca="1">ROUND(+IF(ISERROR(OFFSET(Tabella!$G$1,MATCH(H485,Tabella!$G:$G,0)-1,MATCH(I485,Tabella!$G$1:$FG$1,0)-1)=TRUE),0,OFFSET(Tabella!$G$1,MATCH(H485,Tabella!$G:$G,0)-1,MATCH(I485,Tabella!$G$1:$AB$1,0)-1)),4)</f>
        <v>0</v>
      </c>
      <c r="Q485" s="446">
        <f ca="1">ROUND(IF(ISERROR(OFFSET(Ottone!$F$1,MATCH(H485,Ottone!$A:$A,0)-1,MATCH(I485,Ottone!$F$1:$FF$1,0)-1)=TRUE),0,OFFSET(Ottone!$F$1,MATCH(H485,Ottone!$A:$A,0)-1,MATCH(I485,Ottone!$F$1:$FF$1,0)-1))*IF(E485="Ottone",1,0),4)</f>
        <v>0</v>
      </c>
      <c r="R485" s="446">
        <f ca="1">ROUND(IF(ISERROR(OFFSET(Rame!$F$1,MATCH(H485,Rame!$F:$F,0)-1,MATCH(I485,Rame!$F$1:$FF$1,0)-1)=TRUE),0,OFFSET(Rame!$F$1,MATCH(H485,Rame!$F:$F,0)-1,MATCH(I485,Rame!$F$1:$FF$1,0)-1))*IF(E485="Rame",1,0),4)</f>
        <v>0</v>
      </c>
      <c r="S485" s="446">
        <f ca="1">ROUND(IF(ISERROR(OFFSET(Bronzo!$A$1,MATCH(H485,Bronzo!$A:$A,0)-1,MATCH(I485,Bronzo!$A$1:$AA$1,0)-1)=TRUE),0,OFFSET(Bronzo!$A$1,MATCH(H485,Bronzo!$A:$A,0)-1,MATCH(I485,Bronzo!$A$1:$AA$1,0)-1)),4)</f>
        <v>0</v>
      </c>
      <c r="T485" s="446">
        <f t="shared" ca="1" si="185"/>
        <v>0</v>
      </c>
      <c r="U485" s="443"/>
      <c r="V485" s="446">
        <v>0</v>
      </c>
      <c r="W485" s="449">
        <f t="shared" ca="1" si="186"/>
        <v>0</v>
      </c>
      <c r="X485" s="452">
        <f t="shared" si="184"/>
        <v>0</v>
      </c>
      <c r="Y485" s="440"/>
      <c r="Z485" s="440">
        <f t="shared" ca="1" si="187"/>
        <v>0</v>
      </c>
      <c r="AA485" s="241"/>
      <c r="AH485" s="242"/>
    </row>
    <row r="486" spans="2:34" ht="15.75" x14ac:dyDescent="0.25">
      <c r="B486" s="229"/>
      <c r="C486" s="235"/>
      <c r="D486" s="243"/>
      <c r="E486" s="232"/>
      <c r="F486" s="435"/>
      <c r="G486" s="234"/>
      <c r="H486" s="235"/>
      <c r="I486" s="235"/>
      <c r="J486" s="440"/>
      <c r="K486" s="443">
        <f ca="1">ROUND(IF(ISERROR(OFFSET(Tabella!$A$1,MATCH(H486,Tabella!$A:$A,0)-1,MATCH(J486,Tabella!$A$1:$AC$1,0)-1)=TRUE),0,+OFFSET(Tabella!$A$1,MATCH(H486,Tabella!$A:$A,0)-1,MATCH(J486,Tabella!$A$1:$AC$1,0)-1)),4)</f>
        <v>0</v>
      </c>
      <c r="L486" s="446">
        <f ca="1">ROUND(IF(ISERROR(OFFSET(Ottone!$A$1,MATCH(H486,Ottone!$A:$A,0)-1,MATCH(J486,Ottone!$A$1:$Z$1,0)-1)=TRUE),0,OFFSET(Ottone!$A$1,MATCH(H486,Ottone!$A:$A,0)-1,MATCH(J486,Ottone!$A$1:$Z$1,0)-1))*IF(E486="Ottone",1,0),4)</f>
        <v>0</v>
      </c>
      <c r="M486" s="446">
        <f ca="1">ROUND(IF(ISERROR(OFFSET(Rame!$A$1,MATCH(H486,Rame!$A:$A,0)-1,MATCH(J486,Rame!$A$1:$AA$1,0)-1)=TRUE),0,OFFSET(Rame!$A$1,MATCH(H486,Rame!$A:$A,0)-1,MATCH(J486,Rame!$A$1:$AA$1,0)-1))*IF(E486="Rame",1,0),4)</f>
        <v>0</v>
      </c>
      <c r="N486" s="446">
        <v>0</v>
      </c>
      <c r="O486" s="446">
        <f t="shared" ca="1" si="183"/>
        <v>0</v>
      </c>
      <c r="P486" s="446">
        <f ca="1">ROUND(+IF(ISERROR(OFFSET(Tabella!$G$1,MATCH(H486,Tabella!$G:$G,0)-1,MATCH(I486,Tabella!$G$1:$FG$1,0)-1)=TRUE),0,OFFSET(Tabella!$G$1,MATCH(H486,Tabella!$G:$G,0)-1,MATCH(I486,Tabella!$G$1:$AB$1,0)-1)),4)</f>
        <v>0</v>
      </c>
      <c r="Q486" s="446">
        <f ca="1">ROUND(IF(ISERROR(OFFSET(Ottone!$F$1,MATCH(H486,Ottone!$A:$A,0)-1,MATCH(I486,Ottone!$F$1:$FF$1,0)-1)=TRUE),0,OFFSET(Ottone!$F$1,MATCH(H486,Ottone!$A:$A,0)-1,MATCH(I486,Ottone!$F$1:$FF$1,0)-1))*IF(E486="Ottone",1,0),4)</f>
        <v>0</v>
      </c>
      <c r="R486" s="446">
        <f ca="1">ROUND(IF(ISERROR(OFFSET(Rame!$F$1,MATCH(H486,Rame!$F:$F,0)-1,MATCH(I486,Rame!$F$1:$FF$1,0)-1)=TRUE),0,OFFSET(Rame!$F$1,MATCH(H486,Rame!$F:$F,0)-1,MATCH(I486,Rame!$F$1:$FF$1,0)-1))*IF(E486="Rame",1,0),4)</f>
        <v>0</v>
      </c>
      <c r="S486" s="446">
        <f ca="1">ROUND(IF(ISERROR(OFFSET(Bronzo!$A$1,MATCH(H486,Bronzo!$A:$A,0)-1,MATCH(I486,Bronzo!$A$1:$AA$1,0)-1)=TRUE),0,OFFSET(Bronzo!$A$1,MATCH(H486,Bronzo!$A:$A,0)-1,MATCH(I486,Bronzo!$A$1:$AA$1,0)-1)),4)</f>
        <v>0</v>
      </c>
      <c r="T486" s="446">
        <f t="shared" ca="1" si="185"/>
        <v>0</v>
      </c>
      <c r="U486" s="443"/>
      <c r="V486" s="446">
        <v>0</v>
      </c>
      <c r="W486" s="449">
        <f t="shared" ca="1" si="186"/>
        <v>0</v>
      </c>
      <c r="X486" s="452">
        <f t="shared" si="184"/>
        <v>0</v>
      </c>
      <c r="Y486" s="440"/>
      <c r="Z486" s="440">
        <f t="shared" ca="1" si="187"/>
        <v>0</v>
      </c>
      <c r="AA486" s="241"/>
      <c r="AH486" s="242"/>
    </row>
    <row r="487" spans="2:34" ht="15.75" x14ac:dyDescent="0.25">
      <c r="B487" s="229"/>
      <c r="C487" s="235"/>
      <c r="D487" s="243"/>
      <c r="E487" s="232"/>
      <c r="F487" s="435"/>
      <c r="G487" s="234"/>
      <c r="H487" s="235"/>
      <c r="I487" s="235"/>
      <c r="J487" s="440"/>
      <c r="K487" s="443">
        <f ca="1">ROUND(IF(ISERROR(OFFSET(Tabella!$A$1,MATCH(H487,Tabella!$A:$A,0)-1,MATCH(J487,Tabella!$A$1:$AC$1,0)-1)=TRUE),0,+OFFSET(Tabella!$A$1,MATCH(H487,Tabella!$A:$A,0)-1,MATCH(J487,Tabella!$A$1:$AC$1,0)-1)),4)</f>
        <v>0</v>
      </c>
      <c r="L487" s="446">
        <f ca="1">ROUND(IF(ISERROR(OFFSET(Ottone!$A$1,MATCH(H487,Ottone!$A:$A,0)-1,MATCH(J487,Ottone!$A$1:$Z$1,0)-1)=TRUE),0,OFFSET(Ottone!$A$1,MATCH(H487,Ottone!$A:$A,0)-1,MATCH(J487,Ottone!$A$1:$Z$1,0)-1))*IF(E487="Ottone",1,0),4)</f>
        <v>0</v>
      </c>
      <c r="M487" s="446">
        <f ca="1">ROUND(IF(ISERROR(OFFSET(Rame!$A$1,MATCH(H487,Rame!$A:$A,0)-1,MATCH(J487,Rame!$A$1:$AA$1,0)-1)=TRUE),0,OFFSET(Rame!$A$1,MATCH(H487,Rame!$A:$A,0)-1,MATCH(J487,Rame!$A$1:$AA$1,0)-1))*IF(E487="Rame",1,0),4)</f>
        <v>0</v>
      </c>
      <c r="N487" s="446">
        <v>0</v>
      </c>
      <c r="O487" s="446">
        <f t="shared" ca="1" si="183"/>
        <v>0</v>
      </c>
      <c r="P487" s="446">
        <f ca="1">ROUND(+IF(ISERROR(OFFSET(Tabella!$G$1,MATCH(H487,Tabella!$G:$G,0)-1,MATCH(I487,Tabella!$G$1:$FG$1,0)-1)=TRUE),0,OFFSET(Tabella!$G$1,MATCH(H487,Tabella!$G:$G,0)-1,MATCH(I487,Tabella!$G$1:$AB$1,0)-1)),4)</f>
        <v>0</v>
      </c>
      <c r="Q487" s="446">
        <f ca="1">ROUND(IF(ISERROR(OFFSET(Ottone!$F$1,MATCH(H487,Ottone!$A:$A,0)-1,MATCH(I487,Ottone!$F$1:$FF$1,0)-1)=TRUE),0,OFFSET(Ottone!$F$1,MATCH(H487,Ottone!$A:$A,0)-1,MATCH(I487,Ottone!$F$1:$FF$1,0)-1))*IF(E487="Ottone",1,0),4)</f>
        <v>0</v>
      </c>
      <c r="R487" s="446">
        <f ca="1">ROUND(IF(ISERROR(OFFSET(Rame!$F$1,MATCH(H487,Rame!$F:$F,0)-1,MATCH(I487,Rame!$F$1:$FF$1,0)-1)=TRUE),0,OFFSET(Rame!$F$1,MATCH(H487,Rame!$F:$F,0)-1,MATCH(I487,Rame!$F$1:$FF$1,0)-1))*IF(E487="Rame",1,0),4)</f>
        <v>0</v>
      </c>
      <c r="S487" s="446">
        <f ca="1">ROUND(IF(ISERROR(OFFSET(Bronzo!$A$1,MATCH(H487,Bronzo!$A:$A,0)-1,MATCH(I487,Bronzo!$A$1:$AA$1,0)-1)=TRUE),0,OFFSET(Bronzo!$A$1,MATCH(H487,Bronzo!$A:$A,0)-1,MATCH(I487,Bronzo!$A$1:$AA$1,0)-1)),4)</f>
        <v>0</v>
      </c>
      <c r="T487" s="446">
        <f t="shared" ca="1" si="185"/>
        <v>0</v>
      </c>
      <c r="U487" s="443"/>
      <c r="V487" s="446">
        <v>0</v>
      </c>
      <c r="W487" s="449">
        <f t="shared" ca="1" si="186"/>
        <v>0</v>
      </c>
      <c r="X487" s="452">
        <f t="shared" si="184"/>
        <v>0</v>
      </c>
      <c r="Y487" s="440"/>
      <c r="Z487" s="440">
        <f t="shared" ca="1" si="187"/>
        <v>0</v>
      </c>
      <c r="AA487" s="241"/>
      <c r="AH487" s="242"/>
    </row>
    <row r="488" spans="2:34" ht="15.75" x14ac:dyDescent="0.25">
      <c r="B488" s="229"/>
      <c r="C488" s="235"/>
      <c r="D488" s="243"/>
      <c r="E488" s="232"/>
      <c r="F488" s="435"/>
      <c r="G488" s="234"/>
      <c r="H488" s="235"/>
      <c r="I488" s="235"/>
      <c r="J488" s="440"/>
      <c r="K488" s="443">
        <f ca="1">ROUND(IF(ISERROR(OFFSET(Tabella!$A$1,MATCH(H488,Tabella!$A:$A,0)-1,MATCH(J488,Tabella!$A$1:$AC$1,0)-1)=TRUE),0,+OFFSET(Tabella!$A$1,MATCH(H488,Tabella!$A:$A,0)-1,MATCH(J488,Tabella!$A$1:$AC$1,0)-1)),4)</f>
        <v>0</v>
      </c>
      <c r="L488" s="446">
        <f ca="1">ROUND(IF(ISERROR(OFFSET(Ottone!$A$1,MATCH(H488,Ottone!$A:$A,0)-1,MATCH(J488,Ottone!$A$1:$Z$1,0)-1)=TRUE),0,OFFSET(Ottone!$A$1,MATCH(H488,Ottone!$A:$A,0)-1,MATCH(J488,Ottone!$A$1:$Z$1,0)-1))*IF(E488="Ottone",1,0),4)</f>
        <v>0</v>
      </c>
      <c r="M488" s="446">
        <f ca="1">ROUND(IF(ISERROR(OFFSET(Rame!$A$1,MATCH(H488,Rame!$A:$A,0)-1,MATCH(J488,Rame!$A$1:$AA$1,0)-1)=TRUE),0,OFFSET(Rame!$A$1,MATCH(H488,Rame!$A:$A,0)-1,MATCH(J488,Rame!$A$1:$AA$1,0)-1))*IF(E488="Rame",1,0),4)</f>
        <v>0</v>
      </c>
      <c r="N488" s="446">
        <v>0</v>
      </c>
      <c r="O488" s="446">
        <f t="shared" ref="O488:O551" ca="1" si="188">ROUND(SUM(K488:N488),4)</f>
        <v>0</v>
      </c>
      <c r="P488" s="446">
        <f ca="1">ROUND(+IF(ISERROR(OFFSET(Tabella!$G$1,MATCH(H488,Tabella!$G:$G,0)-1,MATCH(I488,Tabella!$G$1:$FG$1,0)-1)=TRUE),0,OFFSET(Tabella!$G$1,MATCH(H488,Tabella!$G:$G,0)-1,MATCH(I488,Tabella!$G$1:$AB$1,0)-1)),4)</f>
        <v>0</v>
      </c>
      <c r="Q488" s="446">
        <f ca="1">ROUND(IF(ISERROR(OFFSET(Ottone!$F$1,MATCH(H488,Ottone!$A:$A,0)-1,MATCH(I488,Ottone!$F$1:$FF$1,0)-1)=TRUE),0,OFFSET(Ottone!$F$1,MATCH(H488,Ottone!$A:$A,0)-1,MATCH(I488,Ottone!$F$1:$FF$1,0)-1))*IF(E488="Ottone",1,0),4)</f>
        <v>0</v>
      </c>
      <c r="R488" s="446">
        <f ca="1">ROUND(IF(ISERROR(OFFSET(Rame!$F$1,MATCH(H488,Rame!$F:$F,0)-1,MATCH(I488,Rame!$F$1:$FF$1,0)-1)=TRUE),0,OFFSET(Rame!$F$1,MATCH(H488,Rame!$F:$F,0)-1,MATCH(I488,Rame!$F$1:$FF$1,0)-1))*IF(E488="Rame",1,0),4)</f>
        <v>0</v>
      </c>
      <c r="S488" s="446">
        <f ca="1">ROUND(IF(ISERROR(OFFSET(Bronzo!$A$1,MATCH(H488,Bronzo!$A:$A,0)-1,MATCH(I488,Bronzo!$A$1:$AA$1,0)-1)=TRUE),0,OFFSET(Bronzo!$A$1,MATCH(H488,Bronzo!$A:$A,0)-1,MATCH(I488,Bronzo!$A$1:$AA$1,0)-1)),4)</f>
        <v>0</v>
      </c>
      <c r="T488" s="446">
        <f t="shared" ca="1" si="185"/>
        <v>0</v>
      </c>
      <c r="U488" s="443"/>
      <c r="V488" s="446">
        <v>0</v>
      </c>
      <c r="W488" s="449">
        <f t="shared" ca="1" si="186"/>
        <v>0</v>
      </c>
      <c r="X488" s="452">
        <f t="shared" si="184"/>
        <v>0</v>
      </c>
      <c r="Y488" s="440"/>
      <c r="Z488" s="440">
        <f t="shared" ca="1" si="187"/>
        <v>0</v>
      </c>
      <c r="AA488" s="241"/>
      <c r="AH488" s="242"/>
    </row>
    <row r="489" spans="2:34" ht="15.75" x14ac:dyDescent="0.25">
      <c r="B489" s="229"/>
      <c r="C489" s="235"/>
      <c r="D489" s="243"/>
      <c r="E489" s="232"/>
      <c r="F489" s="435"/>
      <c r="G489" s="234"/>
      <c r="H489" s="235"/>
      <c r="I489" s="235"/>
      <c r="J489" s="440"/>
      <c r="K489" s="443">
        <f ca="1">ROUND(IF(ISERROR(OFFSET(Tabella!$A$1,MATCH(H489,Tabella!$A:$A,0)-1,MATCH(J489,Tabella!$A$1:$AC$1,0)-1)=TRUE),0,+OFFSET(Tabella!$A$1,MATCH(H489,Tabella!$A:$A,0)-1,MATCH(J489,Tabella!$A$1:$AC$1,0)-1)),4)</f>
        <v>0</v>
      </c>
      <c r="L489" s="446">
        <f ca="1">ROUND(IF(ISERROR(OFFSET(Ottone!$A$1,MATCH(H489,Ottone!$A:$A,0)-1,MATCH(J489,Ottone!$A$1:$Z$1,0)-1)=TRUE),0,OFFSET(Ottone!$A$1,MATCH(H489,Ottone!$A:$A,0)-1,MATCH(J489,Ottone!$A$1:$Z$1,0)-1))*IF(E489="Ottone",1,0),4)</f>
        <v>0</v>
      </c>
      <c r="M489" s="446">
        <f ca="1">ROUND(IF(ISERROR(OFFSET(Rame!$A$1,MATCH(H489,Rame!$A:$A,0)-1,MATCH(J489,Rame!$A$1:$AA$1,0)-1)=TRUE),0,OFFSET(Rame!$A$1,MATCH(H489,Rame!$A:$A,0)-1,MATCH(J489,Rame!$A$1:$AA$1,0)-1))*IF(E489="Rame",1,0),4)</f>
        <v>0</v>
      </c>
      <c r="N489" s="446">
        <v>0</v>
      </c>
      <c r="O489" s="446">
        <f t="shared" ca="1" si="188"/>
        <v>0</v>
      </c>
      <c r="P489" s="446">
        <f ca="1">ROUND(+IF(ISERROR(OFFSET(Tabella!$G$1,MATCH(H489,Tabella!$G:$G,0)-1,MATCH(I489,Tabella!$G$1:$FG$1,0)-1)=TRUE),0,OFFSET(Tabella!$G$1,MATCH(H489,Tabella!$G:$G,0)-1,MATCH(I489,Tabella!$G$1:$AB$1,0)-1)),4)</f>
        <v>0</v>
      </c>
      <c r="Q489" s="446">
        <f ca="1">ROUND(IF(ISERROR(OFFSET(Ottone!$F$1,MATCH(H489,Ottone!$A:$A,0)-1,MATCH(I489,Ottone!$F$1:$FF$1,0)-1)=TRUE),0,OFFSET(Ottone!$F$1,MATCH(H489,Ottone!$A:$A,0)-1,MATCH(I489,Ottone!$F$1:$FF$1,0)-1))*IF(E489="Ottone",1,0),4)</f>
        <v>0</v>
      </c>
      <c r="R489" s="446">
        <f ca="1">ROUND(IF(ISERROR(OFFSET(Rame!$F$1,MATCH(H489,Rame!$F:$F,0)-1,MATCH(I489,Rame!$F$1:$FF$1,0)-1)=TRUE),0,OFFSET(Rame!$F$1,MATCH(H489,Rame!$F:$F,0)-1,MATCH(I489,Rame!$F$1:$FF$1,0)-1))*IF(E489="Rame",1,0),4)</f>
        <v>0</v>
      </c>
      <c r="S489" s="446">
        <f ca="1">ROUND(IF(ISERROR(OFFSET(Bronzo!$A$1,MATCH(H489,Bronzo!$A:$A,0)-1,MATCH(I489,Bronzo!$A$1:$AA$1,0)-1)=TRUE),0,OFFSET(Bronzo!$A$1,MATCH(H489,Bronzo!$A:$A,0)-1,MATCH(I489,Bronzo!$A$1:$AA$1,0)-1)),4)</f>
        <v>0</v>
      </c>
      <c r="T489" s="446">
        <f t="shared" ca="1" si="185"/>
        <v>0</v>
      </c>
      <c r="U489" s="443"/>
      <c r="V489" s="446">
        <v>0</v>
      </c>
      <c r="W489" s="449">
        <f t="shared" ca="1" si="186"/>
        <v>0</v>
      </c>
      <c r="X489" s="452">
        <f t="shared" si="184"/>
        <v>0</v>
      </c>
      <c r="Y489" s="440"/>
      <c r="Z489" s="440">
        <f t="shared" ca="1" si="187"/>
        <v>0</v>
      </c>
      <c r="AA489" s="241"/>
      <c r="AH489" s="242"/>
    </row>
    <row r="490" spans="2:34" ht="15.75" x14ac:dyDescent="0.25">
      <c r="B490" s="229"/>
      <c r="C490" s="235"/>
      <c r="D490" s="243"/>
      <c r="E490" s="232"/>
      <c r="F490" s="435"/>
      <c r="G490" s="234"/>
      <c r="H490" s="235"/>
      <c r="I490" s="235"/>
      <c r="J490" s="440"/>
      <c r="K490" s="443">
        <f ca="1">ROUND(IF(ISERROR(OFFSET(Tabella!$A$1,MATCH(H490,Tabella!$A:$A,0)-1,MATCH(J490,Tabella!$A$1:$AC$1,0)-1)=TRUE),0,+OFFSET(Tabella!$A$1,MATCH(H490,Tabella!$A:$A,0)-1,MATCH(J490,Tabella!$A$1:$AC$1,0)-1)),4)</f>
        <v>0</v>
      </c>
      <c r="L490" s="446">
        <f ca="1">ROUND(IF(ISERROR(OFFSET(Ottone!$A$1,MATCH(H490,Ottone!$A:$A,0)-1,MATCH(J490,Ottone!$A$1:$Z$1,0)-1)=TRUE),0,OFFSET(Ottone!$A$1,MATCH(H490,Ottone!$A:$A,0)-1,MATCH(J490,Ottone!$A$1:$Z$1,0)-1))*IF(E490="Ottone",1,0),4)</f>
        <v>0</v>
      </c>
      <c r="M490" s="446">
        <f ca="1">ROUND(IF(ISERROR(OFFSET(Rame!$A$1,MATCH(H490,Rame!$A:$A,0)-1,MATCH(J490,Rame!$A$1:$AA$1,0)-1)=TRUE),0,OFFSET(Rame!$A$1,MATCH(H490,Rame!$A:$A,0)-1,MATCH(J490,Rame!$A$1:$AA$1,0)-1))*IF(E490="Rame",1,0),4)</f>
        <v>0</v>
      </c>
      <c r="N490" s="446">
        <v>0</v>
      </c>
      <c r="O490" s="446">
        <f t="shared" ca="1" si="188"/>
        <v>0</v>
      </c>
      <c r="P490" s="446">
        <f ca="1">ROUND(+IF(ISERROR(OFFSET(Tabella!$G$1,MATCH(H490,Tabella!$G:$G,0)-1,MATCH(I490,Tabella!$G$1:$FG$1,0)-1)=TRUE),0,OFFSET(Tabella!$G$1,MATCH(H490,Tabella!$G:$G,0)-1,MATCH(I490,Tabella!$G$1:$AB$1,0)-1)),4)</f>
        <v>0</v>
      </c>
      <c r="Q490" s="446">
        <f ca="1">ROUND(IF(ISERROR(OFFSET(Ottone!$F$1,MATCH(H490,Ottone!$A:$A,0)-1,MATCH(I490,Ottone!$F$1:$FF$1,0)-1)=TRUE),0,OFFSET(Ottone!$F$1,MATCH(H490,Ottone!$A:$A,0)-1,MATCH(I490,Ottone!$F$1:$FF$1,0)-1))*IF(E490="Ottone",1,0),4)</f>
        <v>0</v>
      </c>
      <c r="R490" s="446">
        <f ca="1">ROUND(IF(ISERROR(OFFSET(Rame!$F$1,MATCH(H490,Rame!$F:$F,0)-1,MATCH(I490,Rame!$F$1:$FF$1,0)-1)=TRUE),0,OFFSET(Rame!$F$1,MATCH(H490,Rame!$F:$F,0)-1,MATCH(I490,Rame!$F$1:$FF$1,0)-1))*IF(E490="Rame",1,0),4)</f>
        <v>0</v>
      </c>
      <c r="S490" s="446">
        <f ca="1">ROUND(IF(ISERROR(OFFSET(Bronzo!$A$1,MATCH(H490,Bronzo!$A:$A,0)-1,MATCH(I490,Bronzo!$A$1:$AA$1,0)-1)=TRUE),0,OFFSET(Bronzo!$A$1,MATCH(H490,Bronzo!$A:$A,0)-1,MATCH(I490,Bronzo!$A$1:$AA$1,0)-1)),4)</f>
        <v>0</v>
      </c>
      <c r="T490" s="446">
        <f t="shared" ca="1" si="185"/>
        <v>0</v>
      </c>
      <c r="U490" s="443"/>
      <c r="V490" s="446">
        <v>0</v>
      </c>
      <c r="W490" s="449">
        <f t="shared" ca="1" si="186"/>
        <v>0</v>
      </c>
      <c r="X490" s="452">
        <f t="shared" si="184"/>
        <v>0</v>
      </c>
      <c r="Y490" s="440"/>
      <c r="Z490" s="440">
        <f t="shared" ca="1" si="187"/>
        <v>0</v>
      </c>
      <c r="AA490" s="241"/>
      <c r="AH490" s="242"/>
    </row>
    <row r="491" spans="2:34" ht="15.75" x14ac:dyDescent="0.25">
      <c r="B491" s="229"/>
      <c r="C491" s="235"/>
      <c r="D491" s="243"/>
      <c r="E491" s="232"/>
      <c r="F491" s="435"/>
      <c r="G491" s="234"/>
      <c r="H491" s="235"/>
      <c r="I491" s="235"/>
      <c r="J491" s="440"/>
      <c r="K491" s="443">
        <f ca="1">ROUND(IF(ISERROR(OFFSET(Tabella!$A$1,MATCH(H491,Tabella!$A:$A,0)-1,MATCH(J491,Tabella!$A$1:$AC$1,0)-1)=TRUE),0,+OFFSET(Tabella!$A$1,MATCH(H491,Tabella!$A:$A,0)-1,MATCH(J491,Tabella!$A$1:$AC$1,0)-1)),4)</f>
        <v>0</v>
      </c>
      <c r="L491" s="446">
        <f ca="1">ROUND(IF(ISERROR(OFFSET(Ottone!$A$1,MATCH(H491,Ottone!$A:$A,0)-1,MATCH(J491,Ottone!$A$1:$Z$1,0)-1)=TRUE),0,OFFSET(Ottone!$A$1,MATCH(H491,Ottone!$A:$A,0)-1,MATCH(J491,Ottone!$A$1:$Z$1,0)-1))*IF(E491="Ottone",1,0),4)</f>
        <v>0</v>
      </c>
      <c r="M491" s="446">
        <f ca="1">ROUND(IF(ISERROR(OFFSET(Rame!$A$1,MATCH(H491,Rame!$A:$A,0)-1,MATCH(J491,Rame!$A$1:$AA$1,0)-1)=TRUE),0,OFFSET(Rame!$A$1,MATCH(H491,Rame!$A:$A,0)-1,MATCH(J491,Rame!$A$1:$AA$1,0)-1))*IF(E491="Rame",1,0),4)</f>
        <v>0</v>
      </c>
      <c r="N491" s="446">
        <v>0</v>
      </c>
      <c r="O491" s="446">
        <f t="shared" ca="1" si="188"/>
        <v>0</v>
      </c>
      <c r="P491" s="446">
        <f ca="1">ROUND(+IF(ISERROR(OFFSET(Tabella!$G$1,MATCH(H491,Tabella!$G:$G,0)-1,MATCH(I491,Tabella!$G$1:$FG$1,0)-1)=TRUE),0,OFFSET(Tabella!$G$1,MATCH(H491,Tabella!$G:$G,0)-1,MATCH(I491,Tabella!$G$1:$AB$1,0)-1)),4)</f>
        <v>0</v>
      </c>
      <c r="Q491" s="446">
        <f ca="1">ROUND(IF(ISERROR(OFFSET(Ottone!$F$1,MATCH(H491,Ottone!$A:$A,0)-1,MATCH(I491,Ottone!$F$1:$FF$1,0)-1)=TRUE),0,OFFSET(Ottone!$F$1,MATCH(H491,Ottone!$A:$A,0)-1,MATCH(I491,Ottone!$F$1:$FF$1,0)-1))*IF(E491="Ottone",1,0),4)</f>
        <v>0</v>
      </c>
      <c r="R491" s="446">
        <f ca="1">ROUND(IF(ISERROR(OFFSET(Rame!$F$1,MATCH(H491,Rame!$F:$F,0)-1,MATCH(I491,Rame!$F$1:$FF$1,0)-1)=TRUE),0,OFFSET(Rame!$F$1,MATCH(H491,Rame!$F:$F,0)-1,MATCH(I491,Rame!$F$1:$FF$1,0)-1))*IF(E491="Rame",1,0),4)</f>
        <v>0</v>
      </c>
      <c r="S491" s="446">
        <f ca="1">ROUND(IF(ISERROR(OFFSET(Bronzo!$A$1,MATCH(H491,Bronzo!$A:$A,0)-1,MATCH(I491,Bronzo!$A$1:$AA$1,0)-1)=TRUE),0,OFFSET(Bronzo!$A$1,MATCH(H491,Bronzo!$A:$A,0)-1,MATCH(I491,Bronzo!$A$1:$AA$1,0)-1)),4)</f>
        <v>0</v>
      </c>
      <c r="T491" s="446">
        <f t="shared" ca="1" si="185"/>
        <v>0</v>
      </c>
      <c r="U491" s="443"/>
      <c r="V491" s="446">
        <v>0</v>
      </c>
      <c r="W491" s="449">
        <f t="shared" ca="1" si="186"/>
        <v>0</v>
      </c>
      <c r="X491" s="452">
        <f t="shared" si="184"/>
        <v>0</v>
      </c>
      <c r="Y491" s="440"/>
      <c r="Z491" s="440">
        <f t="shared" ca="1" si="187"/>
        <v>0</v>
      </c>
      <c r="AA491" s="241"/>
      <c r="AH491" s="242"/>
    </row>
    <row r="492" spans="2:34" ht="15.75" x14ac:dyDescent="0.25">
      <c r="B492" s="229"/>
      <c r="C492" s="235"/>
      <c r="D492" s="243"/>
      <c r="E492" s="232"/>
      <c r="F492" s="435"/>
      <c r="G492" s="234"/>
      <c r="H492" s="235"/>
      <c r="I492" s="235"/>
      <c r="J492" s="440"/>
      <c r="K492" s="443">
        <f ca="1">ROUND(IF(ISERROR(OFFSET(Tabella!$A$1,MATCH(H492,Tabella!$A:$A,0)-1,MATCH(J492,Tabella!$A$1:$AC$1,0)-1)=TRUE),0,+OFFSET(Tabella!$A$1,MATCH(H492,Tabella!$A:$A,0)-1,MATCH(J492,Tabella!$A$1:$AC$1,0)-1)),4)</f>
        <v>0</v>
      </c>
      <c r="L492" s="446">
        <f ca="1">ROUND(IF(ISERROR(OFFSET(Ottone!$A$1,MATCH(H492,Ottone!$A:$A,0)-1,MATCH(J492,Ottone!$A$1:$Z$1,0)-1)=TRUE),0,OFFSET(Ottone!$A$1,MATCH(H492,Ottone!$A:$A,0)-1,MATCH(J492,Ottone!$A$1:$Z$1,0)-1))*IF(E492="Ottone",1,0),4)</f>
        <v>0</v>
      </c>
      <c r="M492" s="446">
        <f ca="1">ROUND(IF(ISERROR(OFFSET(Rame!$A$1,MATCH(H492,Rame!$A:$A,0)-1,MATCH(J492,Rame!$A$1:$AA$1,0)-1)=TRUE),0,OFFSET(Rame!$A$1,MATCH(H492,Rame!$A:$A,0)-1,MATCH(J492,Rame!$A$1:$AA$1,0)-1))*IF(E492="Rame",1,0),4)</f>
        <v>0</v>
      </c>
      <c r="N492" s="446">
        <v>0</v>
      </c>
      <c r="O492" s="446">
        <f t="shared" ca="1" si="188"/>
        <v>0</v>
      </c>
      <c r="P492" s="446">
        <f ca="1">ROUND(+IF(ISERROR(OFFSET(Tabella!$G$1,MATCH(H492,Tabella!$G:$G,0)-1,MATCH(I492,Tabella!$G$1:$FG$1,0)-1)=TRUE),0,OFFSET(Tabella!$G$1,MATCH(H492,Tabella!$G:$G,0)-1,MATCH(I492,Tabella!$G$1:$AB$1,0)-1)),4)</f>
        <v>0</v>
      </c>
      <c r="Q492" s="446">
        <f ca="1">ROUND(IF(ISERROR(OFFSET(Ottone!$F$1,MATCH(H492,Ottone!$A:$A,0)-1,MATCH(I492,Ottone!$F$1:$FF$1,0)-1)=TRUE),0,OFFSET(Ottone!$F$1,MATCH(H492,Ottone!$A:$A,0)-1,MATCH(I492,Ottone!$F$1:$FF$1,0)-1))*IF(E492="Ottone",1,0),4)</f>
        <v>0</v>
      </c>
      <c r="R492" s="446">
        <f ca="1">ROUND(IF(ISERROR(OFFSET(Rame!$F$1,MATCH(H492,Rame!$F:$F,0)-1,MATCH(I492,Rame!$F$1:$FF$1,0)-1)=TRUE),0,OFFSET(Rame!$F$1,MATCH(H492,Rame!$F:$F,0)-1,MATCH(I492,Rame!$F$1:$FF$1,0)-1))*IF(E492="Rame",1,0),4)</f>
        <v>0</v>
      </c>
      <c r="S492" s="446">
        <f ca="1">ROUND(IF(ISERROR(OFFSET(Bronzo!$A$1,MATCH(H492,Bronzo!$A:$A,0)-1,MATCH(I492,Bronzo!$A$1:$AA$1,0)-1)=TRUE),0,OFFSET(Bronzo!$A$1,MATCH(H492,Bronzo!$A:$A,0)-1,MATCH(I492,Bronzo!$A$1:$AA$1,0)-1)),4)</f>
        <v>0</v>
      </c>
      <c r="T492" s="446">
        <f t="shared" ca="1" si="185"/>
        <v>0</v>
      </c>
      <c r="U492" s="443"/>
      <c r="V492" s="446">
        <v>0</v>
      </c>
      <c r="W492" s="449">
        <f t="shared" ca="1" si="186"/>
        <v>0</v>
      </c>
      <c r="X492" s="452">
        <f t="shared" si="184"/>
        <v>0</v>
      </c>
      <c r="Y492" s="440"/>
      <c r="Z492" s="440">
        <f t="shared" ca="1" si="187"/>
        <v>0</v>
      </c>
      <c r="AA492" s="241"/>
      <c r="AH492" s="242"/>
    </row>
    <row r="493" spans="2:34" ht="15.75" x14ac:dyDescent="0.25">
      <c r="B493" s="229"/>
      <c r="C493" s="235"/>
      <c r="D493" s="243"/>
      <c r="E493" s="232"/>
      <c r="F493" s="435"/>
      <c r="G493" s="234"/>
      <c r="H493" s="235"/>
      <c r="I493" s="235"/>
      <c r="J493" s="440"/>
      <c r="K493" s="443">
        <f ca="1">ROUND(IF(ISERROR(OFFSET(Tabella!$A$1,MATCH(H493,Tabella!$A:$A,0)-1,MATCH(J493,Tabella!$A$1:$AC$1,0)-1)=TRUE),0,+OFFSET(Tabella!$A$1,MATCH(H493,Tabella!$A:$A,0)-1,MATCH(J493,Tabella!$A$1:$AC$1,0)-1)),4)</f>
        <v>0</v>
      </c>
      <c r="L493" s="446">
        <f ca="1">ROUND(IF(ISERROR(OFFSET(Ottone!$A$1,MATCH(H493,Ottone!$A:$A,0)-1,MATCH(J493,Ottone!$A$1:$Z$1,0)-1)=TRUE),0,OFFSET(Ottone!$A$1,MATCH(H493,Ottone!$A:$A,0)-1,MATCH(J493,Ottone!$A$1:$Z$1,0)-1))*IF(E493="Ottone",1,0),4)</f>
        <v>0</v>
      </c>
      <c r="M493" s="446">
        <f ca="1">ROUND(IF(ISERROR(OFFSET(Rame!$A$1,MATCH(H493,Rame!$A:$A,0)-1,MATCH(J493,Rame!$A$1:$AA$1,0)-1)=TRUE),0,OFFSET(Rame!$A$1,MATCH(H493,Rame!$A:$A,0)-1,MATCH(J493,Rame!$A$1:$AA$1,0)-1))*IF(E493="Rame",1,0),4)</f>
        <v>0</v>
      </c>
      <c r="N493" s="446">
        <v>0</v>
      </c>
      <c r="O493" s="446">
        <f t="shared" ca="1" si="188"/>
        <v>0</v>
      </c>
      <c r="P493" s="446">
        <f ca="1">ROUND(+IF(ISERROR(OFFSET(Tabella!$G$1,MATCH(H493,Tabella!$G:$G,0)-1,MATCH(I493,Tabella!$G$1:$FG$1,0)-1)=TRUE),0,OFFSET(Tabella!$G$1,MATCH(H493,Tabella!$G:$G,0)-1,MATCH(I493,Tabella!$G$1:$AB$1,0)-1)),4)</f>
        <v>0</v>
      </c>
      <c r="Q493" s="446">
        <f ca="1">ROUND(IF(ISERROR(OFFSET(Ottone!$F$1,MATCH(H493,Ottone!$A:$A,0)-1,MATCH(I493,Ottone!$F$1:$FF$1,0)-1)=TRUE),0,OFFSET(Ottone!$F$1,MATCH(H493,Ottone!$A:$A,0)-1,MATCH(I493,Ottone!$F$1:$FF$1,0)-1))*IF(E493="Ottone",1,0),4)</f>
        <v>0</v>
      </c>
      <c r="R493" s="446">
        <f ca="1">ROUND(IF(ISERROR(OFFSET(Rame!$F$1,MATCH(H493,Rame!$F:$F,0)-1,MATCH(I493,Rame!$F$1:$FF$1,0)-1)=TRUE),0,OFFSET(Rame!$F$1,MATCH(H493,Rame!$F:$F,0)-1,MATCH(I493,Rame!$F$1:$FF$1,0)-1))*IF(E493="Rame",1,0),4)</f>
        <v>0</v>
      </c>
      <c r="S493" s="446">
        <f ca="1">ROUND(IF(ISERROR(OFFSET(Bronzo!$A$1,MATCH(H493,Bronzo!$A:$A,0)-1,MATCH(I493,Bronzo!$A$1:$AA$1,0)-1)=TRUE),0,OFFSET(Bronzo!$A$1,MATCH(H493,Bronzo!$A:$A,0)-1,MATCH(I493,Bronzo!$A$1:$AA$1,0)-1)),4)</f>
        <v>0</v>
      </c>
      <c r="T493" s="446">
        <f t="shared" ca="1" si="185"/>
        <v>0</v>
      </c>
      <c r="U493" s="443"/>
      <c r="V493" s="446">
        <v>0</v>
      </c>
      <c r="W493" s="449">
        <f t="shared" ca="1" si="186"/>
        <v>0</v>
      </c>
      <c r="X493" s="452">
        <f t="shared" si="184"/>
        <v>0</v>
      </c>
      <c r="Y493" s="440"/>
      <c r="Z493" s="440">
        <f t="shared" ca="1" si="187"/>
        <v>0</v>
      </c>
      <c r="AA493" s="241"/>
      <c r="AH493" s="242"/>
    </row>
    <row r="494" spans="2:34" ht="15.75" x14ac:dyDescent="0.25">
      <c r="B494" s="229"/>
      <c r="C494" s="235"/>
      <c r="D494" s="243"/>
      <c r="E494" s="232"/>
      <c r="F494" s="435"/>
      <c r="G494" s="234"/>
      <c r="H494" s="235"/>
      <c r="I494" s="235"/>
      <c r="J494" s="440"/>
      <c r="K494" s="443">
        <f ca="1">ROUND(IF(ISERROR(OFFSET(Tabella!$A$1,MATCH(H494,Tabella!$A:$A,0)-1,MATCH(J494,Tabella!$A$1:$AC$1,0)-1)=TRUE),0,+OFFSET(Tabella!$A$1,MATCH(H494,Tabella!$A:$A,0)-1,MATCH(J494,Tabella!$A$1:$AC$1,0)-1)),4)</f>
        <v>0</v>
      </c>
      <c r="L494" s="446">
        <f ca="1">ROUND(IF(ISERROR(OFFSET(Ottone!$A$1,MATCH(H494,Ottone!$A:$A,0)-1,MATCH(J494,Ottone!$A$1:$Z$1,0)-1)=TRUE),0,OFFSET(Ottone!$A$1,MATCH(H494,Ottone!$A:$A,0)-1,MATCH(J494,Ottone!$A$1:$Z$1,0)-1))*IF(E494="Ottone",1,0),4)</f>
        <v>0</v>
      </c>
      <c r="M494" s="446">
        <f ca="1">ROUND(IF(ISERROR(OFFSET(Rame!$A$1,MATCH(H494,Rame!$A:$A,0)-1,MATCH(J494,Rame!$A$1:$AA$1,0)-1)=TRUE),0,OFFSET(Rame!$A$1,MATCH(H494,Rame!$A:$A,0)-1,MATCH(J494,Rame!$A$1:$AA$1,0)-1))*IF(E494="Rame",1,0),4)</f>
        <v>0</v>
      </c>
      <c r="N494" s="446">
        <v>0</v>
      </c>
      <c r="O494" s="446">
        <f t="shared" ca="1" si="188"/>
        <v>0</v>
      </c>
      <c r="P494" s="446">
        <f ca="1">ROUND(+IF(ISERROR(OFFSET(Tabella!$G$1,MATCH(H494,Tabella!$G:$G,0)-1,MATCH(I494,Tabella!$G$1:$FG$1,0)-1)=TRUE),0,OFFSET(Tabella!$G$1,MATCH(H494,Tabella!$G:$G,0)-1,MATCH(I494,Tabella!$G$1:$AB$1,0)-1)),4)</f>
        <v>0</v>
      </c>
      <c r="Q494" s="446">
        <f ca="1">ROUND(IF(ISERROR(OFFSET(Ottone!$F$1,MATCH(H494,Ottone!$A:$A,0)-1,MATCH(I494,Ottone!$F$1:$FF$1,0)-1)=TRUE),0,OFFSET(Ottone!$F$1,MATCH(H494,Ottone!$A:$A,0)-1,MATCH(I494,Ottone!$F$1:$FF$1,0)-1))*IF(E494="Ottone",1,0),4)</f>
        <v>0</v>
      </c>
      <c r="R494" s="446">
        <f ca="1">ROUND(IF(ISERROR(OFFSET(Rame!$F$1,MATCH(H494,Rame!$F:$F,0)-1,MATCH(I494,Rame!$F$1:$FF$1,0)-1)=TRUE),0,OFFSET(Rame!$F$1,MATCH(H494,Rame!$F:$F,0)-1,MATCH(I494,Rame!$F$1:$FF$1,0)-1))*IF(E494="Rame",1,0),4)</f>
        <v>0</v>
      </c>
      <c r="S494" s="446">
        <f ca="1">ROUND(IF(ISERROR(OFFSET(Bronzo!$A$1,MATCH(H494,Bronzo!$A:$A,0)-1,MATCH(I494,Bronzo!$A$1:$AA$1,0)-1)=TRUE),0,OFFSET(Bronzo!$A$1,MATCH(H494,Bronzo!$A:$A,0)-1,MATCH(I494,Bronzo!$A$1:$AA$1,0)-1)),4)</f>
        <v>0</v>
      </c>
      <c r="T494" s="446">
        <f t="shared" ca="1" si="185"/>
        <v>0</v>
      </c>
      <c r="U494" s="443"/>
      <c r="V494" s="446">
        <v>0</v>
      </c>
      <c r="W494" s="449">
        <f t="shared" ca="1" si="186"/>
        <v>0</v>
      </c>
      <c r="X494" s="452">
        <f t="shared" si="184"/>
        <v>0</v>
      </c>
      <c r="Y494" s="440"/>
      <c r="Z494" s="440">
        <f t="shared" ca="1" si="187"/>
        <v>0</v>
      </c>
      <c r="AA494" s="241"/>
      <c r="AH494" s="242"/>
    </row>
    <row r="495" spans="2:34" ht="15.75" x14ac:dyDescent="0.25">
      <c r="B495" s="229"/>
      <c r="C495" s="235"/>
      <c r="D495" s="243"/>
      <c r="E495" s="232"/>
      <c r="F495" s="435"/>
      <c r="G495" s="234"/>
      <c r="H495" s="235"/>
      <c r="I495" s="235"/>
      <c r="J495" s="440"/>
      <c r="K495" s="443">
        <f ca="1">ROUND(IF(ISERROR(OFFSET(Tabella!$A$1,MATCH(H495,Tabella!$A:$A,0)-1,MATCH(J495,Tabella!$A$1:$AC$1,0)-1)=TRUE),0,+OFFSET(Tabella!$A$1,MATCH(H495,Tabella!$A:$A,0)-1,MATCH(J495,Tabella!$A$1:$AC$1,0)-1)),4)</f>
        <v>0</v>
      </c>
      <c r="L495" s="446">
        <f ca="1">ROUND(IF(ISERROR(OFFSET(Ottone!$A$1,MATCH(H495,Ottone!$A:$A,0)-1,MATCH(J495,Ottone!$A$1:$Z$1,0)-1)=TRUE),0,OFFSET(Ottone!$A$1,MATCH(H495,Ottone!$A:$A,0)-1,MATCH(J495,Ottone!$A$1:$Z$1,0)-1))*IF(E495="Ottone",1,0),4)</f>
        <v>0</v>
      </c>
      <c r="M495" s="446">
        <f ca="1">ROUND(IF(ISERROR(OFFSET(Rame!$A$1,MATCH(H495,Rame!$A:$A,0)-1,MATCH(J495,Rame!$A$1:$AA$1,0)-1)=TRUE),0,OFFSET(Rame!$A$1,MATCH(H495,Rame!$A:$A,0)-1,MATCH(J495,Rame!$A$1:$AA$1,0)-1))*IF(E495="Rame",1,0),4)</f>
        <v>0</v>
      </c>
      <c r="N495" s="446">
        <v>0</v>
      </c>
      <c r="O495" s="446">
        <f t="shared" ca="1" si="188"/>
        <v>0</v>
      </c>
      <c r="P495" s="446">
        <f ca="1">ROUND(+IF(ISERROR(OFFSET(Tabella!$G$1,MATCH(H495,Tabella!$G:$G,0)-1,MATCH(I495,Tabella!$G$1:$FG$1,0)-1)=TRUE),0,OFFSET(Tabella!$G$1,MATCH(H495,Tabella!$G:$G,0)-1,MATCH(I495,Tabella!$G$1:$AB$1,0)-1)),4)</f>
        <v>0</v>
      </c>
      <c r="Q495" s="446">
        <f ca="1">ROUND(IF(ISERROR(OFFSET(Ottone!$F$1,MATCH(H495,Ottone!$A:$A,0)-1,MATCH(I495,Ottone!$F$1:$FF$1,0)-1)=TRUE),0,OFFSET(Ottone!$F$1,MATCH(H495,Ottone!$A:$A,0)-1,MATCH(I495,Ottone!$F$1:$FF$1,0)-1))*IF(E495="Ottone",1,0),4)</f>
        <v>0</v>
      </c>
      <c r="R495" s="446">
        <f ca="1">ROUND(IF(ISERROR(OFFSET(Rame!$F$1,MATCH(H495,Rame!$F:$F,0)-1,MATCH(I495,Rame!$F$1:$FF$1,0)-1)=TRUE),0,OFFSET(Rame!$F$1,MATCH(H495,Rame!$F:$F,0)-1,MATCH(I495,Rame!$F$1:$FF$1,0)-1))*IF(E495="Rame",1,0),4)</f>
        <v>0</v>
      </c>
      <c r="S495" s="446">
        <f ca="1">ROUND(IF(ISERROR(OFFSET(Bronzo!$A$1,MATCH(H495,Bronzo!$A:$A,0)-1,MATCH(I495,Bronzo!$A$1:$AA$1,0)-1)=TRUE),0,OFFSET(Bronzo!$A$1,MATCH(H495,Bronzo!$A:$A,0)-1,MATCH(I495,Bronzo!$A$1:$AA$1,0)-1)),4)</f>
        <v>0</v>
      </c>
      <c r="T495" s="446">
        <f t="shared" ca="1" si="185"/>
        <v>0</v>
      </c>
      <c r="U495" s="443"/>
      <c r="V495" s="446">
        <v>0</v>
      </c>
      <c r="W495" s="449">
        <f t="shared" ca="1" si="186"/>
        <v>0</v>
      </c>
      <c r="X495" s="452">
        <f t="shared" si="184"/>
        <v>0</v>
      </c>
      <c r="Y495" s="440"/>
      <c r="Z495" s="440">
        <f t="shared" ca="1" si="187"/>
        <v>0</v>
      </c>
      <c r="AA495" s="241"/>
      <c r="AH495" s="242"/>
    </row>
    <row r="496" spans="2:34" ht="15.75" x14ac:dyDescent="0.25">
      <c r="B496" s="229"/>
      <c r="C496" s="235"/>
      <c r="D496" s="243"/>
      <c r="E496" s="232"/>
      <c r="F496" s="435"/>
      <c r="G496" s="234"/>
      <c r="H496" s="235"/>
      <c r="I496" s="235"/>
      <c r="J496" s="440"/>
      <c r="K496" s="443">
        <f ca="1">ROUND(IF(ISERROR(OFFSET(Tabella!$A$1,MATCH(H496,Tabella!$A:$A,0)-1,MATCH(J496,Tabella!$A$1:$AC$1,0)-1)=TRUE),0,+OFFSET(Tabella!$A$1,MATCH(H496,Tabella!$A:$A,0)-1,MATCH(J496,Tabella!$A$1:$AC$1,0)-1)),4)</f>
        <v>0</v>
      </c>
      <c r="L496" s="446">
        <f ca="1">ROUND(IF(ISERROR(OFFSET(Ottone!$A$1,MATCH(H496,Ottone!$A:$A,0)-1,MATCH(J496,Ottone!$A$1:$Z$1,0)-1)=TRUE),0,OFFSET(Ottone!$A$1,MATCH(H496,Ottone!$A:$A,0)-1,MATCH(J496,Ottone!$A$1:$Z$1,0)-1))*IF(E496="Ottone",1,0),4)</f>
        <v>0</v>
      </c>
      <c r="M496" s="446">
        <f ca="1">ROUND(IF(ISERROR(OFFSET(Rame!$A$1,MATCH(H496,Rame!$A:$A,0)-1,MATCH(J496,Rame!$A$1:$AA$1,0)-1)=TRUE),0,OFFSET(Rame!$A$1,MATCH(H496,Rame!$A:$A,0)-1,MATCH(J496,Rame!$A$1:$AA$1,0)-1))*IF(E496="Rame",1,0),4)</f>
        <v>0</v>
      </c>
      <c r="N496" s="446">
        <v>0</v>
      </c>
      <c r="O496" s="446">
        <f t="shared" ca="1" si="188"/>
        <v>0</v>
      </c>
      <c r="P496" s="446">
        <f ca="1">ROUND(+IF(ISERROR(OFFSET(Tabella!$G$1,MATCH(H496,Tabella!$G:$G,0)-1,MATCH(I496,Tabella!$G$1:$FG$1,0)-1)=TRUE),0,OFFSET(Tabella!$G$1,MATCH(H496,Tabella!$G:$G,0)-1,MATCH(I496,Tabella!$G$1:$AB$1,0)-1)),4)</f>
        <v>0</v>
      </c>
      <c r="Q496" s="446">
        <f ca="1">ROUND(IF(ISERROR(OFFSET(Ottone!$F$1,MATCH(H496,Ottone!$A:$A,0)-1,MATCH(I496,Ottone!$F$1:$FF$1,0)-1)=TRUE),0,OFFSET(Ottone!$F$1,MATCH(H496,Ottone!$A:$A,0)-1,MATCH(I496,Ottone!$F$1:$FF$1,0)-1))*IF(E496="Ottone",1,0),4)</f>
        <v>0</v>
      </c>
      <c r="R496" s="446">
        <f ca="1">ROUND(IF(ISERROR(OFFSET(Rame!$F$1,MATCH(H496,Rame!$F:$F,0)-1,MATCH(I496,Rame!$F$1:$FF$1,0)-1)=TRUE),0,OFFSET(Rame!$F$1,MATCH(H496,Rame!$F:$F,0)-1,MATCH(I496,Rame!$F$1:$FF$1,0)-1))*IF(E496="Rame",1,0),4)</f>
        <v>0</v>
      </c>
      <c r="S496" s="446">
        <f ca="1">ROUND(IF(ISERROR(OFFSET(Bronzo!$A$1,MATCH(H496,Bronzo!$A:$A,0)-1,MATCH(I496,Bronzo!$A$1:$AA$1,0)-1)=TRUE),0,OFFSET(Bronzo!$A$1,MATCH(H496,Bronzo!$A:$A,0)-1,MATCH(I496,Bronzo!$A$1:$AA$1,0)-1)),4)</f>
        <v>0</v>
      </c>
      <c r="T496" s="446">
        <f t="shared" ca="1" si="185"/>
        <v>0</v>
      </c>
      <c r="U496" s="443"/>
      <c r="V496" s="446">
        <v>0</v>
      </c>
      <c r="W496" s="449">
        <f t="shared" ca="1" si="186"/>
        <v>0</v>
      </c>
      <c r="X496" s="452">
        <f t="shared" si="184"/>
        <v>0</v>
      </c>
      <c r="Y496" s="440"/>
      <c r="Z496" s="440">
        <f t="shared" ca="1" si="187"/>
        <v>0</v>
      </c>
      <c r="AA496" s="241"/>
      <c r="AH496" s="242"/>
    </row>
    <row r="497" spans="2:34" ht="15.75" x14ac:dyDescent="0.25">
      <c r="B497" s="229"/>
      <c r="C497" s="235"/>
      <c r="D497" s="243"/>
      <c r="E497" s="232"/>
      <c r="F497" s="435"/>
      <c r="G497" s="234"/>
      <c r="H497" s="235"/>
      <c r="I497" s="235"/>
      <c r="J497" s="440"/>
      <c r="K497" s="443">
        <f ca="1">ROUND(IF(ISERROR(OFFSET(Tabella!$A$1,MATCH(H497,Tabella!$A:$A,0)-1,MATCH(J497,Tabella!$A$1:$AC$1,0)-1)=TRUE),0,+OFFSET(Tabella!$A$1,MATCH(H497,Tabella!$A:$A,0)-1,MATCH(J497,Tabella!$A$1:$AC$1,0)-1)),4)</f>
        <v>0</v>
      </c>
      <c r="L497" s="446">
        <f ca="1">ROUND(IF(ISERROR(OFFSET(Ottone!$A$1,MATCH(H497,Ottone!$A:$A,0)-1,MATCH(J497,Ottone!$A$1:$Z$1,0)-1)=TRUE),0,OFFSET(Ottone!$A$1,MATCH(H497,Ottone!$A:$A,0)-1,MATCH(J497,Ottone!$A$1:$Z$1,0)-1))*IF(E497="Ottone",1,0),4)</f>
        <v>0</v>
      </c>
      <c r="M497" s="446">
        <f ca="1">ROUND(IF(ISERROR(OFFSET(Rame!$A$1,MATCH(H497,Rame!$A:$A,0)-1,MATCH(J497,Rame!$A$1:$AA$1,0)-1)=TRUE),0,OFFSET(Rame!$A$1,MATCH(H497,Rame!$A:$A,0)-1,MATCH(J497,Rame!$A$1:$AA$1,0)-1))*IF(E497="Rame",1,0),4)</f>
        <v>0</v>
      </c>
      <c r="N497" s="446">
        <v>0</v>
      </c>
      <c r="O497" s="446">
        <f t="shared" ca="1" si="188"/>
        <v>0</v>
      </c>
      <c r="P497" s="446">
        <f ca="1">ROUND(+IF(ISERROR(OFFSET(Tabella!$G$1,MATCH(H497,Tabella!$G:$G,0)-1,MATCH(I497,Tabella!$G$1:$FG$1,0)-1)=TRUE),0,OFFSET(Tabella!$G$1,MATCH(H497,Tabella!$G:$G,0)-1,MATCH(I497,Tabella!$G$1:$AB$1,0)-1)),4)</f>
        <v>0</v>
      </c>
      <c r="Q497" s="446">
        <f ca="1">ROUND(IF(ISERROR(OFFSET(Ottone!$F$1,MATCH(H497,Ottone!$A:$A,0)-1,MATCH(I497,Ottone!$F$1:$FF$1,0)-1)=TRUE),0,OFFSET(Ottone!$F$1,MATCH(H497,Ottone!$A:$A,0)-1,MATCH(I497,Ottone!$F$1:$FF$1,0)-1))*IF(E497="Ottone",1,0),4)</f>
        <v>0</v>
      </c>
      <c r="R497" s="446">
        <f ca="1">ROUND(IF(ISERROR(OFFSET(Rame!$F$1,MATCH(H497,Rame!$F:$F,0)-1,MATCH(I497,Rame!$F$1:$FF$1,0)-1)=TRUE),0,OFFSET(Rame!$F$1,MATCH(H497,Rame!$F:$F,0)-1,MATCH(I497,Rame!$F$1:$FF$1,0)-1))*IF(E497="Rame",1,0),4)</f>
        <v>0</v>
      </c>
      <c r="S497" s="446">
        <f ca="1">ROUND(IF(ISERROR(OFFSET(Bronzo!$A$1,MATCH(H497,Bronzo!$A:$A,0)-1,MATCH(I497,Bronzo!$A$1:$AA$1,0)-1)=TRUE),0,OFFSET(Bronzo!$A$1,MATCH(H497,Bronzo!$A:$A,0)-1,MATCH(I497,Bronzo!$A$1:$AA$1,0)-1)),4)</f>
        <v>0</v>
      </c>
      <c r="T497" s="446">
        <f t="shared" ca="1" si="185"/>
        <v>0</v>
      </c>
      <c r="U497" s="443"/>
      <c r="V497" s="446">
        <v>0</v>
      </c>
      <c r="W497" s="449">
        <f t="shared" ca="1" si="186"/>
        <v>0</v>
      </c>
      <c r="X497" s="452">
        <f t="shared" si="184"/>
        <v>0</v>
      </c>
      <c r="Y497" s="440"/>
      <c r="Z497" s="440">
        <f t="shared" ca="1" si="187"/>
        <v>0</v>
      </c>
      <c r="AA497" s="241"/>
      <c r="AH497" s="242"/>
    </row>
    <row r="498" spans="2:34" ht="15.75" x14ac:dyDescent="0.25">
      <c r="B498" s="229"/>
      <c r="C498" s="235"/>
      <c r="D498" s="243"/>
      <c r="E498" s="232"/>
      <c r="F498" s="435"/>
      <c r="G498" s="234"/>
      <c r="H498" s="235"/>
      <c r="I498" s="235"/>
      <c r="J498" s="440"/>
      <c r="K498" s="443">
        <f ca="1">ROUND(IF(ISERROR(OFFSET(Tabella!$A$1,MATCH(H498,Tabella!$A:$A,0)-1,MATCH(J498,Tabella!$A$1:$AC$1,0)-1)=TRUE),0,+OFFSET(Tabella!$A$1,MATCH(H498,Tabella!$A:$A,0)-1,MATCH(J498,Tabella!$A$1:$AC$1,0)-1)),4)</f>
        <v>0</v>
      </c>
      <c r="L498" s="446">
        <f ca="1">ROUND(IF(ISERROR(OFFSET(Ottone!$A$1,MATCH(H498,Ottone!$A:$A,0)-1,MATCH(J498,Ottone!$A$1:$Z$1,0)-1)=TRUE),0,OFFSET(Ottone!$A$1,MATCH(H498,Ottone!$A:$A,0)-1,MATCH(J498,Ottone!$A$1:$Z$1,0)-1))*IF(E498="Ottone",1,0),4)</f>
        <v>0</v>
      </c>
      <c r="M498" s="446">
        <f ca="1">ROUND(IF(ISERROR(OFFSET(Rame!$A$1,MATCH(H498,Rame!$A:$A,0)-1,MATCH(J498,Rame!$A$1:$AA$1,0)-1)=TRUE),0,OFFSET(Rame!$A$1,MATCH(H498,Rame!$A:$A,0)-1,MATCH(J498,Rame!$A$1:$AA$1,0)-1))*IF(E498="Rame",1,0),4)</f>
        <v>0</v>
      </c>
      <c r="N498" s="446">
        <v>0</v>
      </c>
      <c r="O498" s="446">
        <f t="shared" ca="1" si="188"/>
        <v>0</v>
      </c>
      <c r="P498" s="446">
        <f ca="1">ROUND(+IF(ISERROR(OFFSET(Tabella!$G$1,MATCH(H498,Tabella!$G:$G,0)-1,MATCH(I498,Tabella!$G$1:$FG$1,0)-1)=TRUE),0,OFFSET(Tabella!$G$1,MATCH(H498,Tabella!$G:$G,0)-1,MATCH(I498,Tabella!$G$1:$AB$1,0)-1)),4)</f>
        <v>0</v>
      </c>
      <c r="Q498" s="446">
        <f ca="1">ROUND(IF(ISERROR(OFFSET(Ottone!$F$1,MATCH(H498,Ottone!$A:$A,0)-1,MATCH(I498,Ottone!$F$1:$FF$1,0)-1)=TRUE),0,OFFSET(Ottone!$F$1,MATCH(H498,Ottone!$A:$A,0)-1,MATCH(I498,Ottone!$F$1:$FF$1,0)-1))*IF(E498="Ottone",1,0),4)</f>
        <v>0</v>
      </c>
      <c r="R498" s="446">
        <f ca="1">ROUND(IF(ISERROR(OFFSET(Rame!$F$1,MATCH(H498,Rame!$F:$F,0)-1,MATCH(I498,Rame!$F$1:$FF$1,0)-1)=TRUE),0,OFFSET(Rame!$F$1,MATCH(H498,Rame!$F:$F,0)-1,MATCH(I498,Rame!$F$1:$FF$1,0)-1))*IF(E498="Rame",1,0),4)</f>
        <v>0</v>
      </c>
      <c r="S498" s="446">
        <f ca="1">ROUND(IF(ISERROR(OFFSET(Bronzo!$A$1,MATCH(H498,Bronzo!$A:$A,0)-1,MATCH(I498,Bronzo!$A$1:$AA$1,0)-1)=TRUE),0,OFFSET(Bronzo!$A$1,MATCH(H498,Bronzo!$A:$A,0)-1,MATCH(I498,Bronzo!$A$1:$AA$1,0)-1)),4)</f>
        <v>0</v>
      </c>
      <c r="T498" s="446">
        <f t="shared" ca="1" si="185"/>
        <v>0</v>
      </c>
      <c r="U498" s="443"/>
      <c r="V498" s="446">
        <v>0</v>
      </c>
      <c r="W498" s="449">
        <f t="shared" ca="1" si="186"/>
        <v>0</v>
      </c>
      <c r="X498" s="452">
        <f t="shared" si="184"/>
        <v>0</v>
      </c>
      <c r="Y498" s="440"/>
      <c r="Z498" s="440">
        <f t="shared" ca="1" si="187"/>
        <v>0</v>
      </c>
      <c r="AA498" s="241"/>
      <c r="AH498" s="242"/>
    </row>
    <row r="499" spans="2:34" ht="15.75" x14ac:dyDescent="0.25">
      <c r="B499" s="229"/>
      <c r="C499" s="235"/>
      <c r="D499" s="243"/>
      <c r="E499" s="232"/>
      <c r="F499" s="435"/>
      <c r="G499" s="234"/>
      <c r="H499" s="235"/>
      <c r="I499" s="235"/>
      <c r="J499" s="440"/>
      <c r="K499" s="443">
        <f ca="1">ROUND(IF(ISERROR(OFFSET(Tabella!$A$1,MATCH(H499,Tabella!$A:$A,0)-1,MATCH(J499,Tabella!$A$1:$AC$1,0)-1)=TRUE),0,+OFFSET(Tabella!$A$1,MATCH(H499,Tabella!$A:$A,0)-1,MATCH(J499,Tabella!$A$1:$AC$1,0)-1)),4)</f>
        <v>0</v>
      </c>
      <c r="L499" s="446">
        <f ca="1">ROUND(IF(ISERROR(OFFSET(Ottone!$A$1,MATCH(H499,Ottone!$A:$A,0)-1,MATCH(J499,Ottone!$A$1:$Z$1,0)-1)=TRUE),0,OFFSET(Ottone!$A$1,MATCH(H499,Ottone!$A:$A,0)-1,MATCH(J499,Ottone!$A$1:$Z$1,0)-1))*IF(E499="Ottone",1,0),4)</f>
        <v>0</v>
      </c>
      <c r="M499" s="446">
        <f ca="1">ROUND(IF(ISERROR(OFFSET(Rame!$A$1,MATCH(H499,Rame!$A:$A,0)-1,MATCH(J499,Rame!$A$1:$AA$1,0)-1)=TRUE),0,OFFSET(Rame!$A$1,MATCH(H499,Rame!$A:$A,0)-1,MATCH(J499,Rame!$A$1:$AA$1,0)-1))*IF(E499="Rame",1,0),4)</f>
        <v>0</v>
      </c>
      <c r="N499" s="446">
        <v>0</v>
      </c>
      <c r="O499" s="446">
        <f t="shared" ca="1" si="188"/>
        <v>0</v>
      </c>
      <c r="P499" s="446">
        <f ca="1">ROUND(+IF(ISERROR(OFFSET(Tabella!$G$1,MATCH(H499,Tabella!$G:$G,0)-1,MATCH(I499,Tabella!$G$1:$FG$1,0)-1)=TRUE),0,OFFSET(Tabella!$G$1,MATCH(H499,Tabella!$G:$G,0)-1,MATCH(I499,Tabella!$G$1:$AB$1,0)-1)),4)</f>
        <v>0</v>
      </c>
      <c r="Q499" s="446">
        <f ca="1">ROUND(IF(ISERROR(OFFSET(Ottone!$F$1,MATCH(H499,Ottone!$A:$A,0)-1,MATCH(I499,Ottone!$F$1:$FF$1,0)-1)=TRUE),0,OFFSET(Ottone!$F$1,MATCH(H499,Ottone!$A:$A,0)-1,MATCH(I499,Ottone!$F$1:$FF$1,0)-1))*IF(E499="Ottone",1,0),4)</f>
        <v>0</v>
      </c>
      <c r="R499" s="446">
        <f ca="1">ROUND(IF(ISERROR(OFFSET(Rame!$F$1,MATCH(H499,Rame!$F:$F,0)-1,MATCH(I499,Rame!$F$1:$FF$1,0)-1)=TRUE),0,OFFSET(Rame!$F$1,MATCH(H499,Rame!$F:$F,0)-1,MATCH(I499,Rame!$F$1:$FF$1,0)-1))*IF(E499="Rame",1,0),4)</f>
        <v>0</v>
      </c>
      <c r="S499" s="446">
        <f ca="1">ROUND(IF(ISERROR(OFFSET(Bronzo!$A$1,MATCH(H499,Bronzo!$A:$A,0)-1,MATCH(I499,Bronzo!$A$1:$AA$1,0)-1)=TRUE),0,OFFSET(Bronzo!$A$1,MATCH(H499,Bronzo!$A:$A,0)-1,MATCH(I499,Bronzo!$A$1:$AA$1,0)-1)),4)</f>
        <v>0</v>
      </c>
      <c r="T499" s="446">
        <f t="shared" ca="1" si="185"/>
        <v>0</v>
      </c>
      <c r="U499" s="443"/>
      <c r="V499" s="446">
        <v>0</v>
      </c>
      <c r="W499" s="449">
        <f t="shared" ca="1" si="186"/>
        <v>0</v>
      </c>
      <c r="X499" s="452">
        <f t="shared" si="184"/>
        <v>0</v>
      </c>
      <c r="Y499" s="440"/>
      <c r="Z499" s="440">
        <f t="shared" ca="1" si="187"/>
        <v>0</v>
      </c>
      <c r="AA499" s="241"/>
      <c r="AH499" s="242"/>
    </row>
    <row r="500" spans="2:34" ht="15.75" x14ac:dyDescent="0.25">
      <c r="B500" s="229"/>
      <c r="C500" s="235"/>
      <c r="D500" s="243"/>
      <c r="E500" s="232"/>
      <c r="F500" s="435"/>
      <c r="G500" s="234"/>
      <c r="H500" s="235"/>
      <c r="I500" s="235"/>
      <c r="J500" s="440"/>
      <c r="K500" s="443">
        <f ca="1">ROUND(IF(ISERROR(OFFSET(Tabella!$A$1,MATCH(H500,Tabella!$A:$A,0)-1,MATCH(J500,Tabella!$A$1:$AC$1,0)-1)=TRUE),0,+OFFSET(Tabella!$A$1,MATCH(H500,Tabella!$A:$A,0)-1,MATCH(J500,Tabella!$A$1:$AC$1,0)-1)),4)</f>
        <v>0</v>
      </c>
      <c r="L500" s="446">
        <f ca="1">ROUND(IF(ISERROR(OFFSET(Ottone!$A$1,MATCH(H500,Ottone!$A:$A,0)-1,MATCH(J500,Ottone!$A$1:$Z$1,0)-1)=TRUE),0,OFFSET(Ottone!$A$1,MATCH(H500,Ottone!$A:$A,0)-1,MATCH(J500,Ottone!$A$1:$Z$1,0)-1))*IF(E500="Ottone",1,0),4)</f>
        <v>0</v>
      </c>
      <c r="M500" s="446">
        <f ca="1">ROUND(IF(ISERROR(OFFSET(Rame!$A$1,MATCH(H500,Rame!$A:$A,0)-1,MATCH(J500,Rame!$A$1:$AA$1,0)-1)=TRUE),0,OFFSET(Rame!$A$1,MATCH(H500,Rame!$A:$A,0)-1,MATCH(J500,Rame!$A$1:$AA$1,0)-1))*IF(E500="Rame",1,0),4)</f>
        <v>0</v>
      </c>
      <c r="N500" s="446">
        <v>0</v>
      </c>
      <c r="O500" s="446">
        <f t="shared" ca="1" si="188"/>
        <v>0</v>
      </c>
      <c r="P500" s="446">
        <f ca="1">ROUND(+IF(ISERROR(OFFSET(Tabella!$G$1,MATCH(H500,Tabella!$G:$G,0)-1,MATCH(I500,Tabella!$G$1:$FG$1,0)-1)=TRUE),0,OFFSET(Tabella!$G$1,MATCH(H500,Tabella!$G:$G,0)-1,MATCH(I500,Tabella!$G$1:$AB$1,0)-1)),4)</f>
        <v>0</v>
      </c>
      <c r="Q500" s="446">
        <f ca="1">ROUND(IF(ISERROR(OFFSET(Ottone!$F$1,MATCH(H500,Ottone!$A:$A,0)-1,MATCH(I500,Ottone!$F$1:$FF$1,0)-1)=TRUE),0,OFFSET(Ottone!$F$1,MATCH(H500,Ottone!$A:$A,0)-1,MATCH(I500,Ottone!$F$1:$FF$1,0)-1))*IF(E500="Ottone",1,0),4)</f>
        <v>0</v>
      </c>
      <c r="R500" s="446">
        <f ca="1">ROUND(IF(ISERROR(OFFSET(Rame!$F$1,MATCH(H500,Rame!$F:$F,0)-1,MATCH(I500,Rame!$F$1:$FF$1,0)-1)=TRUE),0,OFFSET(Rame!$F$1,MATCH(H500,Rame!$F:$F,0)-1,MATCH(I500,Rame!$F$1:$FF$1,0)-1))*IF(E500="Rame",1,0),4)</f>
        <v>0</v>
      </c>
      <c r="S500" s="446">
        <f ca="1">ROUND(IF(ISERROR(OFFSET(Bronzo!$A$1,MATCH(H500,Bronzo!$A:$A,0)-1,MATCH(I500,Bronzo!$A$1:$AA$1,0)-1)=TRUE),0,OFFSET(Bronzo!$A$1,MATCH(H500,Bronzo!$A:$A,0)-1,MATCH(I500,Bronzo!$A$1:$AA$1,0)-1)),4)</f>
        <v>0</v>
      </c>
      <c r="T500" s="446">
        <f t="shared" ca="1" si="185"/>
        <v>0</v>
      </c>
      <c r="U500" s="443"/>
      <c r="V500" s="446">
        <v>0</v>
      </c>
      <c r="W500" s="449">
        <f t="shared" ca="1" si="186"/>
        <v>0</v>
      </c>
      <c r="X500" s="452">
        <f t="shared" si="184"/>
        <v>0</v>
      </c>
      <c r="Y500" s="440"/>
      <c r="Z500" s="440">
        <f t="shared" ca="1" si="187"/>
        <v>0</v>
      </c>
      <c r="AA500" s="241"/>
      <c r="AH500" s="242"/>
    </row>
    <row r="501" spans="2:34" ht="15.75" x14ac:dyDescent="0.25">
      <c r="B501" s="229"/>
      <c r="C501" s="235"/>
      <c r="D501" s="243"/>
      <c r="E501" s="232"/>
      <c r="F501" s="435"/>
      <c r="G501" s="234"/>
      <c r="H501" s="235"/>
      <c r="I501" s="235"/>
      <c r="J501" s="440"/>
      <c r="K501" s="443">
        <f ca="1">ROUND(IF(ISERROR(OFFSET(Tabella!$A$1,MATCH(H501,Tabella!$A:$A,0)-1,MATCH(J501,Tabella!$A$1:$AC$1,0)-1)=TRUE),0,+OFFSET(Tabella!$A$1,MATCH(H501,Tabella!$A:$A,0)-1,MATCH(J501,Tabella!$A$1:$AC$1,0)-1)),4)</f>
        <v>0</v>
      </c>
      <c r="L501" s="446">
        <f ca="1">ROUND(IF(ISERROR(OFFSET(Ottone!$A$1,MATCH(H501,Ottone!$A:$A,0)-1,MATCH(J501,Ottone!$A$1:$Z$1,0)-1)=TRUE),0,OFFSET(Ottone!$A$1,MATCH(H501,Ottone!$A:$A,0)-1,MATCH(J501,Ottone!$A$1:$Z$1,0)-1))*IF(E501="Ottone",1,0),4)</f>
        <v>0</v>
      </c>
      <c r="M501" s="446">
        <f ca="1">ROUND(IF(ISERROR(OFFSET(Rame!$A$1,MATCH(H501,Rame!$A:$A,0)-1,MATCH(J501,Rame!$A$1:$AA$1,0)-1)=TRUE),0,OFFSET(Rame!$A$1,MATCH(H501,Rame!$A:$A,0)-1,MATCH(J501,Rame!$A$1:$AA$1,0)-1))*IF(E501="Rame",1,0),4)</f>
        <v>0</v>
      </c>
      <c r="N501" s="446">
        <v>0</v>
      </c>
      <c r="O501" s="446">
        <f t="shared" ca="1" si="188"/>
        <v>0</v>
      </c>
      <c r="P501" s="446">
        <f ca="1">ROUND(+IF(ISERROR(OFFSET(Tabella!$G$1,MATCH(H501,Tabella!$G:$G,0)-1,MATCH(I501,Tabella!$G$1:$FG$1,0)-1)=TRUE),0,OFFSET(Tabella!$G$1,MATCH(H501,Tabella!$G:$G,0)-1,MATCH(I501,Tabella!$G$1:$AB$1,0)-1)),4)</f>
        <v>0</v>
      </c>
      <c r="Q501" s="446">
        <f ca="1">ROUND(IF(ISERROR(OFFSET(Ottone!$F$1,MATCH(H501,Ottone!$A:$A,0)-1,MATCH(I501,Ottone!$F$1:$FF$1,0)-1)=TRUE),0,OFFSET(Ottone!$F$1,MATCH(H501,Ottone!$A:$A,0)-1,MATCH(I501,Ottone!$F$1:$FF$1,0)-1))*IF(E501="Ottone",1,0),4)</f>
        <v>0</v>
      </c>
      <c r="R501" s="446">
        <f ca="1">ROUND(IF(ISERROR(OFFSET(Rame!$F$1,MATCH(H501,Rame!$F:$F,0)-1,MATCH(I501,Rame!$F$1:$FF$1,0)-1)=TRUE),0,OFFSET(Rame!$F$1,MATCH(H501,Rame!$F:$F,0)-1,MATCH(I501,Rame!$F$1:$FF$1,0)-1))*IF(E501="Rame",1,0),4)</f>
        <v>0</v>
      </c>
      <c r="S501" s="446">
        <f ca="1">ROUND(IF(ISERROR(OFFSET(Bronzo!$A$1,MATCH(H501,Bronzo!$A:$A,0)-1,MATCH(I501,Bronzo!$A$1:$AA$1,0)-1)=TRUE),0,OFFSET(Bronzo!$A$1,MATCH(H501,Bronzo!$A:$A,0)-1,MATCH(I501,Bronzo!$A$1:$AA$1,0)-1)),4)</f>
        <v>0</v>
      </c>
      <c r="T501" s="446">
        <f t="shared" ca="1" si="185"/>
        <v>0</v>
      </c>
      <c r="U501" s="443"/>
      <c r="V501" s="446">
        <v>0</v>
      </c>
      <c r="W501" s="449">
        <f t="shared" ca="1" si="186"/>
        <v>0</v>
      </c>
      <c r="X501" s="452">
        <f t="shared" si="184"/>
        <v>0</v>
      </c>
      <c r="Y501" s="440"/>
      <c r="Z501" s="440">
        <f t="shared" ca="1" si="187"/>
        <v>0</v>
      </c>
      <c r="AA501" s="241"/>
      <c r="AH501" s="242"/>
    </row>
    <row r="502" spans="2:34" ht="15.75" x14ac:dyDescent="0.25">
      <c r="B502" s="229"/>
      <c r="C502" s="235"/>
      <c r="D502" s="243"/>
      <c r="E502" s="232"/>
      <c r="F502" s="435"/>
      <c r="G502" s="234"/>
      <c r="H502" s="235"/>
      <c r="I502" s="235"/>
      <c r="J502" s="440"/>
      <c r="K502" s="443">
        <f ca="1">ROUND(IF(ISERROR(OFFSET(Tabella!$A$1,MATCH(H502,Tabella!$A:$A,0)-1,MATCH(J502,Tabella!$A$1:$AC$1,0)-1)=TRUE),0,+OFFSET(Tabella!$A$1,MATCH(H502,Tabella!$A:$A,0)-1,MATCH(J502,Tabella!$A$1:$AC$1,0)-1)),4)</f>
        <v>0</v>
      </c>
      <c r="L502" s="446">
        <f ca="1">ROUND(IF(ISERROR(OFFSET(Ottone!$A$1,MATCH(H502,Ottone!$A:$A,0)-1,MATCH(J502,Ottone!$A$1:$Z$1,0)-1)=TRUE),0,OFFSET(Ottone!$A$1,MATCH(H502,Ottone!$A:$A,0)-1,MATCH(J502,Ottone!$A$1:$Z$1,0)-1))*IF(E502="Ottone",1,0),4)</f>
        <v>0</v>
      </c>
      <c r="M502" s="446">
        <f ca="1">ROUND(IF(ISERROR(OFFSET(Rame!$A$1,MATCH(H502,Rame!$A:$A,0)-1,MATCH(J502,Rame!$A$1:$AA$1,0)-1)=TRUE),0,OFFSET(Rame!$A$1,MATCH(H502,Rame!$A:$A,0)-1,MATCH(J502,Rame!$A$1:$AA$1,0)-1))*IF(E502="Rame",1,0),4)</f>
        <v>0</v>
      </c>
      <c r="N502" s="446">
        <v>0</v>
      </c>
      <c r="O502" s="446">
        <f t="shared" ca="1" si="188"/>
        <v>0</v>
      </c>
      <c r="P502" s="446">
        <f ca="1">ROUND(+IF(ISERROR(OFFSET(Tabella!$G$1,MATCH(H502,Tabella!$G:$G,0)-1,MATCH(I502,Tabella!$G$1:$FG$1,0)-1)=TRUE),0,OFFSET(Tabella!$G$1,MATCH(H502,Tabella!$G:$G,0)-1,MATCH(I502,Tabella!$G$1:$AB$1,0)-1)),4)</f>
        <v>0</v>
      </c>
      <c r="Q502" s="446">
        <f ca="1">ROUND(IF(ISERROR(OFFSET(Ottone!$F$1,MATCH(H502,Ottone!$A:$A,0)-1,MATCH(I502,Ottone!$F$1:$FF$1,0)-1)=TRUE),0,OFFSET(Ottone!$F$1,MATCH(H502,Ottone!$A:$A,0)-1,MATCH(I502,Ottone!$F$1:$FF$1,0)-1))*IF(E502="Ottone",1,0),4)</f>
        <v>0</v>
      </c>
      <c r="R502" s="446">
        <f ca="1">ROUND(IF(ISERROR(OFFSET(Rame!$F$1,MATCH(H502,Rame!$F:$F,0)-1,MATCH(I502,Rame!$F$1:$FF$1,0)-1)=TRUE),0,OFFSET(Rame!$F$1,MATCH(H502,Rame!$F:$F,0)-1,MATCH(I502,Rame!$F$1:$FF$1,0)-1))*IF(E502="Rame",1,0),4)</f>
        <v>0</v>
      </c>
      <c r="S502" s="446">
        <f ca="1">ROUND(IF(ISERROR(OFFSET(Bronzo!$A$1,MATCH(H502,Bronzo!$A:$A,0)-1,MATCH(I502,Bronzo!$A$1:$AA$1,0)-1)=TRUE),0,OFFSET(Bronzo!$A$1,MATCH(H502,Bronzo!$A:$A,0)-1,MATCH(I502,Bronzo!$A$1:$AA$1,0)-1)),4)</f>
        <v>0</v>
      </c>
      <c r="T502" s="446">
        <f t="shared" ca="1" si="185"/>
        <v>0</v>
      </c>
      <c r="U502" s="443"/>
      <c r="V502" s="446">
        <v>0</v>
      </c>
      <c r="W502" s="449">
        <f t="shared" ca="1" si="186"/>
        <v>0</v>
      </c>
      <c r="X502" s="452">
        <f t="shared" si="184"/>
        <v>0</v>
      </c>
      <c r="Y502" s="440"/>
      <c r="Z502" s="440">
        <f t="shared" ca="1" si="187"/>
        <v>0</v>
      </c>
      <c r="AA502" s="241"/>
      <c r="AH502" s="242"/>
    </row>
    <row r="503" spans="2:34" ht="15.75" x14ac:dyDescent="0.25">
      <c r="B503" s="229"/>
      <c r="C503" s="235"/>
      <c r="D503" s="243"/>
      <c r="E503" s="232"/>
      <c r="F503" s="435"/>
      <c r="G503" s="234"/>
      <c r="H503" s="235"/>
      <c r="I503" s="235"/>
      <c r="J503" s="440"/>
      <c r="K503" s="443">
        <f ca="1">ROUND(IF(ISERROR(OFFSET(Tabella!$A$1,MATCH(H503,Tabella!$A:$A,0)-1,MATCH(J503,Tabella!$A$1:$AC$1,0)-1)=TRUE),0,+OFFSET(Tabella!$A$1,MATCH(H503,Tabella!$A:$A,0)-1,MATCH(J503,Tabella!$A$1:$AC$1,0)-1)),4)</f>
        <v>0</v>
      </c>
      <c r="L503" s="446">
        <f ca="1">ROUND(IF(ISERROR(OFFSET(Ottone!$A$1,MATCH(H503,Ottone!$A:$A,0)-1,MATCH(J503,Ottone!$A$1:$Z$1,0)-1)=TRUE),0,OFFSET(Ottone!$A$1,MATCH(H503,Ottone!$A:$A,0)-1,MATCH(J503,Ottone!$A$1:$Z$1,0)-1))*IF(E503="Ottone",1,0),4)</f>
        <v>0</v>
      </c>
      <c r="M503" s="446">
        <f ca="1">ROUND(IF(ISERROR(OFFSET(Rame!$A$1,MATCH(H503,Rame!$A:$A,0)-1,MATCH(J503,Rame!$A$1:$AA$1,0)-1)=TRUE),0,OFFSET(Rame!$A$1,MATCH(H503,Rame!$A:$A,0)-1,MATCH(J503,Rame!$A$1:$AA$1,0)-1))*IF(E503="Rame",1,0),4)</f>
        <v>0</v>
      </c>
      <c r="N503" s="446">
        <v>0</v>
      </c>
      <c r="O503" s="446">
        <f t="shared" ca="1" si="188"/>
        <v>0</v>
      </c>
      <c r="P503" s="446">
        <f ca="1">ROUND(+IF(ISERROR(OFFSET(Tabella!$G$1,MATCH(H503,Tabella!$G:$G,0)-1,MATCH(I503,Tabella!$G$1:$FG$1,0)-1)=TRUE),0,OFFSET(Tabella!$G$1,MATCH(H503,Tabella!$G:$G,0)-1,MATCH(I503,Tabella!$G$1:$AB$1,0)-1)),4)</f>
        <v>0</v>
      </c>
      <c r="Q503" s="446">
        <f ca="1">ROUND(IF(ISERROR(OFFSET(Ottone!$F$1,MATCH(H503,Ottone!$A:$A,0)-1,MATCH(I503,Ottone!$F$1:$FF$1,0)-1)=TRUE),0,OFFSET(Ottone!$F$1,MATCH(H503,Ottone!$A:$A,0)-1,MATCH(I503,Ottone!$F$1:$FF$1,0)-1))*IF(E503="Ottone",1,0),4)</f>
        <v>0</v>
      </c>
      <c r="R503" s="446">
        <f ca="1">ROUND(IF(ISERROR(OFFSET(Rame!$F$1,MATCH(H503,Rame!$F:$F,0)-1,MATCH(I503,Rame!$F$1:$FF$1,0)-1)=TRUE),0,OFFSET(Rame!$F$1,MATCH(H503,Rame!$F:$F,0)-1,MATCH(I503,Rame!$F$1:$FF$1,0)-1))*IF(E503="Rame",1,0),4)</f>
        <v>0</v>
      </c>
      <c r="S503" s="446">
        <f ca="1">ROUND(IF(ISERROR(OFFSET(Bronzo!$A$1,MATCH(H503,Bronzo!$A:$A,0)-1,MATCH(I503,Bronzo!$A$1:$AA$1,0)-1)=TRUE),0,OFFSET(Bronzo!$A$1,MATCH(H503,Bronzo!$A:$A,0)-1,MATCH(I503,Bronzo!$A$1:$AA$1,0)-1)),4)</f>
        <v>0</v>
      </c>
      <c r="T503" s="446">
        <f t="shared" ca="1" si="185"/>
        <v>0</v>
      </c>
      <c r="U503" s="443"/>
      <c r="V503" s="446">
        <v>0</v>
      </c>
      <c r="W503" s="449">
        <f t="shared" ca="1" si="186"/>
        <v>0</v>
      </c>
      <c r="X503" s="452">
        <f t="shared" si="184"/>
        <v>0</v>
      </c>
      <c r="Y503" s="440"/>
      <c r="Z503" s="440">
        <f t="shared" ca="1" si="187"/>
        <v>0</v>
      </c>
      <c r="AA503" s="241"/>
      <c r="AH503" s="242"/>
    </row>
    <row r="504" spans="2:34" ht="15.75" x14ac:dyDescent="0.25">
      <c r="B504" s="229"/>
      <c r="C504" s="235"/>
      <c r="D504" s="243"/>
      <c r="E504" s="232"/>
      <c r="F504" s="435"/>
      <c r="G504" s="234"/>
      <c r="H504" s="235"/>
      <c r="I504" s="235"/>
      <c r="J504" s="440"/>
      <c r="K504" s="443">
        <f ca="1">ROUND(IF(ISERROR(OFFSET(Tabella!$A$1,MATCH(H504,Tabella!$A:$A,0)-1,MATCH(J504,Tabella!$A$1:$AC$1,0)-1)=TRUE),0,+OFFSET(Tabella!$A$1,MATCH(H504,Tabella!$A:$A,0)-1,MATCH(J504,Tabella!$A$1:$AC$1,0)-1)),4)</f>
        <v>0</v>
      </c>
      <c r="L504" s="446">
        <f ca="1">ROUND(IF(ISERROR(OFFSET(Ottone!$A$1,MATCH(H504,Ottone!$A:$A,0)-1,MATCH(J504,Ottone!$A$1:$Z$1,0)-1)=TRUE),0,OFFSET(Ottone!$A$1,MATCH(H504,Ottone!$A:$A,0)-1,MATCH(J504,Ottone!$A$1:$Z$1,0)-1))*IF(E504="Ottone",1,0),4)</f>
        <v>0</v>
      </c>
      <c r="M504" s="446">
        <f ca="1">ROUND(IF(ISERROR(OFFSET(Rame!$A$1,MATCH(H504,Rame!$A:$A,0)-1,MATCH(J504,Rame!$A$1:$AA$1,0)-1)=TRUE),0,OFFSET(Rame!$A$1,MATCH(H504,Rame!$A:$A,0)-1,MATCH(J504,Rame!$A$1:$AA$1,0)-1))*IF(E504="Rame",1,0),4)</f>
        <v>0</v>
      </c>
      <c r="N504" s="446">
        <v>0</v>
      </c>
      <c r="O504" s="446">
        <f t="shared" ca="1" si="188"/>
        <v>0</v>
      </c>
      <c r="P504" s="446">
        <f ca="1">ROUND(+IF(ISERROR(OFFSET(Tabella!$G$1,MATCH(H504,Tabella!$G:$G,0)-1,MATCH(I504,Tabella!$G$1:$FG$1,0)-1)=TRUE),0,OFFSET(Tabella!$G$1,MATCH(H504,Tabella!$G:$G,0)-1,MATCH(I504,Tabella!$G$1:$AB$1,0)-1)),4)</f>
        <v>0</v>
      </c>
      <c r="Q504" s="446">
        <f ca="1">ROUND(IF(ISERROR(OFFSET(Ottone!$F$1,MATCH(H504,Ottone!$A:$A,0)-1,MATCH(I504,Ottone!$F$1:$FF$1,0)-1)=TRUE),0,OFFSET(Ottone!$F$1,MATCH(H504,Ottone!$A:$A,0)-1,MATCH(I504,Ottone!$F$1:$FF$1,0)-1))*IF(E504="Ottone",1,0),4)</f>
        <v>0</v>
      </c>
      <c r="R504" s="446">
        <f ca="1">ROUND(IF(ISERROR(OFFSET(Rame!$F$1,MATCH(H504,Rame!$F:$F,0)-1,MATCH(I504,Rame!$F$1:$FF$1,0)-1)=TRUE),0,OFFSET(Rame!$F$1,MATCH(H504,Rame!$F:$F,0)-1,MATCH(I504,Rame!$F$1:$FF$1,0)-1))*IF(E504="Rame",1,0),4)</f>
        <v>0</v>
      </c>
      <c r="S504" s="446">
        <f ca="1">ROUND(IF(ISERROR(OFFSET(Bronzo!$A$1,MATCH(H504,Bronzo!$A:$A,0)-1,MATCH(I504,Bronzo!$A$1:$AA$1,0)-1)=TRUE),0,OFFSET(Bronzo!$A$1,MATCH(H504,Bronzo!$A:$A,0)-1,MATCH(I504,Bronzo!$A$1:$AA$1,0)-1)),4)</f>
        <v>0</v>
      </c>
      <c r="T504" s="446">
        <f t="shared" ca="1" si="185"/>
        <v>0</v>
      </c>
      <c r="U504" s="443"/>
      <c r="V504" s="446">
        <v>0</v>
      </c>
      <c r="W504" s="449">
        <f t="shared" ca="1" si="186"/>
        <v>0</v>
      </c>
      <c r="X504" s="452">
        <f t="shared" si="184"/>
        <v>0</v>
      </c>
      <c r="Y504" s="440"/>
      <c r="Z504" s="440">
        <f t="shared" ca="1" si="187"/>
        <v>0</v>
      </c>
      <c r="AA504" s="241"/>
      <c r="AH504" s="242"/>
    </row>
    <row r="505" spans="2:34" ht="15.75" x14ac:dyDescent="0.25">
      <c r="B505" s="229"/>
      <c r="C505" s="235"/>
      <c r="D505" s="243"/>
      <c r="E505" s="232"/>
      <c r="F505" s="435"/>
      <c r="G505" s="234"/>
      <c r="H505" s="235"/>
      <c r="I505" s="235"/>
      <c r="J505" s="440"/>
      <c r="K505" s="443">
        <f ca="1">ROUND(IF(ISERROR(OFFSET(Tabella!$A$1,MATCH(H505,Tabella!$A:$A,0)-1,MATCH(J505,Tabella!$A$1:$AC$1,0)-1)=TRUE),0,+OFFSET(Tabella!$A$1,MATCH(H505,Tabella!$A:$A,0)-1,MATCH(J505,Tabella!$A$1:$AC$1,0)-1)),4)</f>
        <v>0</v>
      </c>
      <c r="L505" s="446">
        <f ca="1">ROUND(IF(ISERROR(OFFSET(Ottone!$A$1,MATCH(H505,Ottone!$A:$A,0)-1,MATCH(J505,Ottone!$A$1:$Z$1,0)-1)=TRUE),0,OFFSET(Ottone!$A$1,MATCH(H505,Ottone!$A:$A,0)-1,MATCH(J505,Ottone!$A$1:$Z$1,0)-1))*IF(E505="Ottone",1,0),4)</f>
        <v>0</v>
      </c>
      <c r="M505" s="446">
        <f ca="1">ROUND(IF(ISERROR(OFFSET(Rame!$A$1,MATCH(H505,Rame!$A:$A,0)-1,MATCH(J505,Rame!$A$1:$AA$1,0)-1)=TRUE),0,OFFSET(Rame!$A$1,MATCH(H505,Rame!$A:$A,0)-1,MATCH(J505,Rame!$A$1:$AA$1,0)-1))*IF(E505="Rame",1,0),4)</f>
        <v>0</v>
      </c>
      <c r="N505" s="446">
        <v>0</v>
      </c>
      <c r="O505" s="446">
        <f t="shared" ca="1" si="188"/>
        <v>0</v>
      </c>
      <c r="P505" s="446">
        <f ca="1">ROUND(+IF(ISERROR(OFFSET(Tabella!$G$1,MATCH(H505,Tabella!$G:$G,0)-1,MATCH(I505,Tabella!$G$1:$FG$1,0)-1)=TRUE),0,OFFSET(Tabella!$G$1,MATCH(H505,Tabella!$G:$G,0)-1,MATCH(I505,Tabella!$G$1:$AB$1,0)-1)),4)</f>
        <v>0</v>
      </c>
      <c r="Q505" s="446">
        <f ca="1">ROUND(IF(ISERROR(OFFSET(Ottone!$F$1,MATCH(H505,Ottone!$A:$A,0)-1,MATCH(I505,Ottone!$F$1:$FF$1,0)-1)=TRUE),0,OFFSET(Ottone!$F$1,MATCH(H505,Ottone!$A:$A,0)-1,MATCH(I505,Ottone!$F$1:$FF$1,0)-1))*IF(E505="Ottone",1,0),4)</f>
        <v>0</v>
      </c>
      <c r="R505" s="446">
        <f ca="1">ROUND(IF(ISERROR(OFFSET(Rame!$F$1,MATCH(H505,Rame!$F:$F,0)-1,MATCH(I505,Rame!$F$1:$FF$1,0)-1)=TRUE),0,OFFSET(Rame!$F$1,MATCH(H505,Rame!$F:$F,0)-1,MATCH(I505,Rame!$F$1:$FF$1,0)-1))*IF(E505="Rame",1,0),4)</f>
        <v>0</v>
      </c>
      <c r="S505" s="446">
        <f ca="1">ROUND(IF(ISERROR(OFFSET(Bronzo!$A$1,MATCH(H505,Bronzo!$A:$A,0)-1,MATCH(I505,Bronzo!$A$1:$AA$1,0)-1)=TRUE),0,OFFSET(Bronzo!$A$1,MATCH(H505,Bronzo!$A:$A,0)-1,MATCH(I505,Bronzo!$A$1:$AA$1,0)-1)),4)</f>
        <v>0</v>
      </c>
      <c r="T505" s="446">
        <f t="shared" ca="1" si="185"/>
        <v>0</v>
      </c>
      <c r="U505" s="443"/>
      <c r="V505" s="446">
        <v>0</v>
      </c>
      <c r="W505" s="449">
        <f t="shared" ca="1" si="186"/>
        <v>0</v>
      </c>
      <c r="X505" s="452">
        <f t="shared" si="184"/>
        <v>0</v>
      </c>
      <c r="Y505" s="440"/>
      <c r="Z505" s="440">
        <f t="shared" ca="1" si="187"/>
        <v>0</v>
      </c>
      <c r="AA505" s="241"/>
      <c r="AH505" s="242"/>
    </row>
    <row r="506" spans="2:34" ht="15.75" x14ac:dyDescent="0.25">
      <c r="B506" s="229"/>
      <c r="C506" s="235"/>
      <c r="D506" s="243"/>
      <c r="E506" s="232"/>
      <c r="F506" s="435"/>
      <c r="G506" s="234"/>
      <c r="H506" s="235"/>
      <c r="I506" s="235"/>
      <c r="J506" s="440"/>
      <c r="K506" s="443">
        <f ca="1">ROUND(IF(ISERROR(OFFSET(Tabella!$A$1,MATCH(H506,Tabella!$A:$A,0)-1,MATCH(J506,Tabella!$A$1:$AC$1,0)-1)=TRUE),0,+OFFSET(Tabella!$A$1,MATCH(H506,Tabella!$A:$A,0)-1,MATCH(J506,Tabella!$A$1:$AC$1,0)-1)),4)</f>
        <v>0</v>
      </c>
      <c r="L506" s="446">
        <f ca="1">ROUND(IF(ISERROR(OFFSET(Ottone!$A$1,MATCH(H506,Ottone!$A:$A,0)-1,MATCH(J506,Ottone!$A$1:$Z$1,0)-1)=TRUE),0,OFFSET(Ottone!$A$1,MATCH(H506,Ottone!$A:$A,0)-1,MATCH(J506,Ottone!$A$1:$Z$1,0)-1))*IF(E506="Ottone",1,0),4)</f>
        <v>0</v>
      </c>
      <c r="M506" s="446">
        <f ca="1">ROUND(IF(ISERROR(OFFSET(Rame!$A$1,MATCH(H506,Rame!$A:$A,0)-1,MATCH(J506,Rame!$A$1:$AA$1,0)-1)=TRUE),0,OFFSET(Rame!$A$1,MATCH(H506,Rame!$A:$A,0)-1,MATCH(J506,Rame!$A$1:$AA$1,0)-1))*IF(E506="Rame",1,0),4)</f>
        <v>0</v>
      </c>
      <c r="N506" s="446">
        <v>0</v>
      </c>
      <c r="O506" s="446">
        <f t="shared" ca="1" si="188"/>
        <v>0</v>
      </c>
      <c r="P506" s="446">
        <f ca="1">ROUND(+IF(ISERROR(OFFSET(Tabella!$G$1,MATCH(H506,Tabella!$G:$G,0)-1,MATCH(I506,Tabella!$G$1:$FG$1,0)-1)=TRUE),0,OFFSET(Tabella!$G$1,MATCH(H506,Tabella!$G:$G,0)-1,MATCH(I506,Tabella!$G$1:$AB$1,0)-1)),4)</f>
        <v>0</v>
      </c>
      <c r="Q506" s="446">
        <f ca="1">ROUND(IF(ISERROR(OFFSET(Ottone!$F$1,MATCH(H506,Ottone!$A:$A,0)-1,MATCH(I506,Ottone!$F$1:$FF$1,0)-1)=TRUE),0,OFFSET(Ottone!$F$1,MATCH(H506,Ottone!$A:$A,0)-1,MATCH(I506,Ottone!$F$1:$FF$1,0)-1))*IF(E506="Ottone",1,0),4)</f>
        <v>0</v>
      </c>
      <c r="R506" s="446">
        <f ca="1">ROUND(IF(ISERROR(OFFSET(Rame!$F$1,MATCH(H506,Rame!$F:$F,0)-1,MATCH(I506,Rame!$F$1:$FF$1,0)-1)=TRUE),0,OFFSET(Rame!$F$1,MATCH(H506,Rame!$F:$F,0)-1,MATCH(I506,Rame!$F$1:$FF$1,0)-1))*IF(E506="Rame",1,0),4)</f>
        <v>0</v>
      </c>
      <c r="S506" s="446">
        <f ca="1">ROUND(IF(ISERROR(OFFSET(Bronzo!$A$1,MATCH(H506,Bronzo!$A:$A,0)-1,MATCH(I506,Bronzo!$A$1:$AA$1,0)-1)=TRUE),0,OFFSET(Bronzo!$A$1,MATCH(H506,Bronzo!$A:$A,0)-1,MATCH(I506,Bronzo!$A$1:$AA$1,0)-1)),4)</f>
        <v>0</v>
      </c>
      <c r="T506" s="446">
        <f t="shared" ca="1" si="185"/>
        <v>0</v>
      </c>
      <c r="U506" s="443"/>
      <c r="V506" s="446">
        <v>0</v>
      </c>
      <c r="W506" s="449">
        <f t="shared" ca="1" si="186"/>
        <v>0</v>
      </c>
      <c r="X506" s="452">
        <f t="shared" si="184"/>
        <v>0</v>
      </c>
      <c r="Y506" s="440"/>
      <c r="Z506" s="440">
        <f t="shared" ca="1" si="187"/>
        <v>0</v>
      </c>
      <c r="AA506" s="241"/>
      <c r="AH506" s="242"/>
    </row>
    <row r="507" spans="2:34" ht="15.75" x14ac:dyDescent="0.25">
      <c r="B507" s="229"/>
      <c r="C507" s="235"/>
      <c r="D507" s="243"/>
      <c r="E507" s="232"/>
      <c r="F507" s="435"/>
      <c r="G507" s="234"/>
      <c r="H507" s="235"/>
      <c r="I507" s="235"/>
      <c r="J507" s="440"/>
      <c r="K507" s="443">
        <f ca="1">ROUND(IF(ISERROR(OFFSET(Tabella!$A$1,MATCH(H507,Tabella!$A:$A,0)-1,MATCH(J507,Tabella!$A$1:$AC$1,0)-1)=TRUE),0,+OFFSET(Tabella!$A$1,MATCH(H507,Tabella!$A:$A,0)-1,MATCH(J507,Tabella!$A$1:$AC$1,0)-1)),4)</f>
        <v>0</v>
      </c>
      <c r="L507" s="446">
        <f ca="1">ROUND(IF(ISERROR(OFFSET(Ottone!$A$1,MATCH(H507,Ottone!$A:$A,0)-1,MATCH(J507,Ottone!$A$1:$Z$1,0)-1)=TRUE),0,OFFSET(Ottone!$A$1,MATCH(H507,Ottone!$A:$A,0)-1,MATCH(J507,Ottone!$A$1:$Z$1,0)-1))*IF(E507="Ottone",1,0),4)</f>
        <v>0</v>
      </c>
      <c r="M507" s="446">
        <f ca="1">ROUND(IF(ISERROR(OFFSET(Rame!$A$1,MATCH(H507,Rame!$A:$A,0)-1,MATCH(J507,Rame!$A$1:$AA$1,0)-1)=TRUE),0,OFFSET(Rame!$A$1,MATCH(H507,Rame!$A:$A,0)-1,MATCH(J507,Rame!$A$1:$AA$1,0)-1))*IF(E507="Rame",1,0),4)</f>
        <v>0</v>
      </c>
      <c r="N507" s="446">
        <v>0</v>
      </c>
      <c r="O507" s="446">
        <f t="shared" ca="1" si="188"/>
        <v>0</v>
      </c>
      <c r="P507" s="446">
        <f ca="1">ROUND(+IF(ISERROR(OFFSET(Tabella!$G$1,MATCH(H507,Tabella!$G:$G,0)-1,MATCH(I507,Tabella!$G$1:$FG$1,0)-1)=TRUE),0,OFFSET(Tabella!$G$1,MATCH(H507,Tabella!$G:$G,0)-1,MATCH(I507,Tabella!$G$1:$AB$1,0)-1)),4)</f>
        <v>0</v>
      </c>
      <c r="Q507" s="446">
        <f ca="1">ROUND(IF(ISERROR(OFFSET(Ottone!$F$1,MATCH(H507,Ottone!$A:$A,0)-1,MATCH(I507,Ottone!$F$1:$FF$1,0)-1)=TRUE),0,OFFSET(Ottone!$F$1,MATCH(H507,Ottone!$A:$A,0)-1,MATCH(I507,Ottone!$F$1:$FF$1,0)-1))*IF(E507="Ottone",1,0),4)</f>
        <v>0</v>
      </c>
      <c r="R507" s="446">
        <f ca="1">ROUND(IF(ISERROR(OFFSET(Rame!$F$1,MATCH(H507,Rame!$F:$F,0)-1,MATCH(I507,Rame!$F$1:$FF$1,0)-1)=TRUE),0,OFFSET(Rame!$F$1,MATCH(H507,Rame!$F:$F,0)-1,MATCH(I507,Rame!$F$1:$FF$1,0)-1))*IF(E507="Rame",1,0),4)</f>
        <v>0</v>
      </c>
      <c r="S507" s="446">
        <f ca="1">ROUND(IF(ISERROR(OFFSET(Bronzo!$A$1,MATCH(H507,Bronzo!$A:$A,0)-1,MATCH(I507,Bronzo!$A$1:$AA$1,0)-1)=TRUE),0,OFFSET(Bronzo!$A$1,MATCH(H507,Bronzo!$A:$A,0)-1,MATCH(I507,Bronzo!$A$1:$AA$1,0)-1)),4)</f>
        <v>0</v>
      </c>
      <c r="T507" s="446">
        <f t="shared" ca="1" si="185"/>
        <v>0</v>
      </c>
      <c r="U507" s="443"/>
      <c r="V507" s="446">
        <v>0</v>
      </c>
      <c r="W507" s="449">
        <f t="shared" ca="1" si="186"/>
        <v>0</v>
      </c>
      <c r="X507" s="452">
        <f t="shared" si="184"/>
        <v>0</v>
      </c>
      <c r="Y507" s="440"/>
      <c r="Z507" s="440">
        <f t="shared" ca="1" si="187"/>
        <v>0</v>
      </c>
      <c r="AA507" s="241"/>
      <c r="AH507" s="242"/>
    </row>
    <row r="508" spans="2:34" ht="15.75" x14ac:dyDescent="0.25">
      <c r="B508" s="229"/>
      <c r="C508" s="235"/>
      <c r="D508" s="243"/>
      <c r="E508" s="232"/>
      <c r="F508" s="435"/>
      <c r="G508" s="234"/>
      <c r="H508" s="235"/>
      <c r="I508" s="235"/>
      <c r="J508" s="440"/>
      <c r="K508" s="443">
        <f ca="1">ROUND(IF(ISERROR(OFFSET(Tabella!$A$1,MATCH(H508,Tabella!$A:$A,0)-1,MATCH(J508,Tabella!$A$1:$AC$1,0)-1)=TRUE),0,+OFFSET(Tabella!$A$1,MATCH(H508,Tabella!$A:$A,0)-1,MATCH(J508,Tabella!$A$1:$AC$1,0)-1)),4)</f>
        <v>0</v>
      </c>
      <c r="L508" s="446">
        <f ca="1">ROUND(IF(ISERROR(OFFSET(Ottone!$A$1,MATCH(H508,Ottone!$A:$A,0)-1,MATCH(J508,Ottone!$A$1:$Z$1,0)-1)=TRUE),0,OFFSET(Ottone!$A$1,MATCH(H508,Ottone!$A:$A,0)-1,MATCH(J508,Ottone!$A$1:$Z$1,0)-1))*IF(E508="Ottone",1,0),4)</f>
        <v>0</v>
      </c>
      <c r="M508" s="446">
        <f ca="1">ROUND(IF(ISERROR(OFFSET(Rame!$A$1,MATCH(H508,Rame!$A:$A,0)-1,MATCH(J508,Rame!$A$1:$AA$1,0)-1)=TRUE),0,OFFSET(Rame!$A$1,MATCH(H508,Rame!$A:$A,0)-1,MATCH(J508,Rame!$A$1:$AA$1,0)-1))*IF(E508="Rame",1,0),4)</f>
        <v>0</v>
      </c>
      <c r="N508" s="446">
        <v>0</v>
      </c>
      <c r="O508" s="446">
        <f t="shared" ca="1" si="188"/>
        <v>0</v>
      </c>
      <c r="P508" s="446">
        <f ca="1">ROUND(+IF(ISERROR(OFFSET(Tabella!$G$1,MATCH(H508,Tabella!$G:$G,0)-1,MATCH(I508,Tabella!$G$1:$FG$1,0)-1)=TRUE),0,OFFSET(Tabella!$G$1,MATCH(H508,Tabella!$G:$G,0)-1,MATCH(I508,Tabella!$G$1:$AB$1,0)-1)),4)</f>
        <v>0</v>
      </c>
      <c r="Q508" s="446">
        <f ca="1">ROUND(IF(ISERROR(OFFSET(Ottone!$F$1,MATCH(H508,Ottone!$A:$A,0)-1,MATCH(I508,Ottone!$F$1:$FF$1,0)-1)=TRUE),0,OFFSET(Ottone!$F$1,MATCH(H508,Ottone!$A:$A,0)-1,MATCH(I508,Ottone!$F$1:$FF$1,0)-1))*IF(E508="Ottone",1,0),4)</f>
        <v>0</v>
      </c>
      <c r="R508" s="446">
        <f ca="1">ROUND(IF(ISERROR(OFFSET(Rame!$F$1,MATCH(H508,Rame!$F:$F,0)-1,MATCH(I508,Rame!$F$1:$FF$1,0)-1)=TRUE),0,OFFSET(Rame!$F$1,MATCH(H508,Rame!$F:$F,0)-1,MATCH(I508,Rame!$F$1:$FF$1,0)-1))*IF(E508="Rame",1,0),4)</f>
        <v>0</v>
      </c>
      <c r="S508" s="446">
        <f ca="1">ROUND(IF(ISERROR(OFFSET(Bronzo!$A$1,MATCH(H508,Bronzo!$A:$A,0)-1,MATCH(I508,Bronzo!$A$1:$AA$1,0)-1)=TRUE),0,OFFSET(Bronzo!$A$1,MATCH(H508,Bronzo!$A:$A,0)-1,MATCH(I508,Bronzo!$A$1:$AA$1,0)-1)),4)</f>
        <v>0</v>
      </c>
      <c r="T508" s="446">
        <f t="shared" ca="1" si="185"/>
        <v>0</v>
      </c>
      <c r="U508" s="443"/>
      <c r="V508" s="446">
        <v>0</v>
      </c>
      <c r="W508" s="449">
        <f t="shared" ca="1" si="186"/>
        <v>0</v>
      </c>
      <c r="X508" s="452">
        <f t="shared" si="184"/>
        <v>0</v>
      </c>
      <c r="Y508" s="440"/>
      <c r="Z508" s="440">
        <f t="shared" ca="1" si="187"/>
        <v>0</v>
      </c>
      <c r="AA508" s="241"/>
      <c r="AH508" s="242"/>
    </row>
    <row r="509" spans="2:34" ht="15.75" x14ac:dyDescent="0.25">
      <c r="B509" s="229"/>
      <c r="C509" s="235"/>
      <c r="D509" s="243"/>
      <c r="E509" s="232"/>
      <c r="F509" s="435"/>
      <c r="G509" s="234"/>
      <c r="H509" s="235"/>
      <c r="I509" s="235"/>
      <c r="J509" s="440"/>
      <c r="K509" s="443">
        <f ca="1">ROUND(IF(ISERROR(OFFSET(Tabella!$A$1,MATCH(H509,Tabella!$A:$A,0)-1,MATCH(J509,Tabella!$A$1:$AC$1,0)-1)=TRUE),0,+OFFSET(Tabella!$A$1,MATCH(H509,Tabella!$A:$A,0)-1,MATCH(J509,Tabella!$A$1:$AC$1,0)-1)),4)</f>
        <v>0</v>
      </c>
      <c r="L509" s="446">
        <f ca="1">ROUND(IF(ISERROR(OFFSET(Ottone!$A$1,MATCH(H509,Ottone!$A:$A,0)-1,MATCH(J509,Ottone!$A$1:$Z$1,0)-1)=TRUE),0,OFFSET(Ottone!$A$1,MATCH(H509,Ottone!$A:$A,0)-1,MATCH(J509,Ottone!$A$1:$Z$1,0)-1))*IF(E509="Ottone",1,0),4)</f>
        <v>0</v>
      </c>
      <c r="M509" s="446">
        <f ca="1">ROUND(IF(ISERROR(OFFSET(Rame!$A$1,MATCH(H509,Rame!$A:$A,0)-1,MATCH(J509,Rame!$A$1:$AA$1,0)-1)=TRUE),0,OFFSET(Rame!$A$1,MATCH(H509,Rame!$A:$A,0)-1,MATCH(J509,Rame!$A$1:$AA$1,0)-1))*IF(E509="Rame",1,0),4)</f>
        <v>0</v>
      </c>
      <c r="N509" s="446">
        <v>0</v>
      </c>
      <c r="O509" s="446">
        <f t="shared" ca="1" si="188"/>
        <v>0</v>
      </c>
      <c r="P509" s="446">
        <f ca="1">ROUND(+IF(ISERROR(OFFSET(Tabella!$G$1,MATCH(H509,Tabella!$G:$G,0)-1,MATCH(I509,Tabella!$G$1:$FG$1,0)-1)=TRUE),0,OFFSET(Tabella!$G$1,MATCH(H509,Tabella!$G:$G,0)-1,MATCH(I509,Tabella!$G$1:$AB$1,0)-1)),4)</f>
        <v>0</v>
      </c>
      <c r="Q509" s="446">
        <f ca="1">ROUND(IF(ISERROR(OFFSET(Ottone!$F$1,MATCH(H509,Ottone!$A:$A,0)-1,MATCH(I509,Ottone!$F$1:$FF$1,0)-1)=TRUE),0,OFFSET(Ottone!$F$1,MATCH(H509,Ottone!$A:$A,0)-1,MATCH(I509,Ottone!$F$1:$FF$1,0)-1))*IF(E509="Ottone",1,0),4)</f>
        <v>0</v>
      </c>
      <c r="R509" s="446">
        <f ca="1">ROUND(IF(ISERROR(OFFSET(Rame!$F$1,MATCH(H509,Rame!$F:$F,0)-1,MATCH(I509,Rame!$F$1:$FF$1,0)-1)=TRUE),0,OFFSET(Rame!$F$1,MATCH(H509,Rame!$F:$F,0)-1,MATCH(I509,Rame!$F$1:$FF$1,0)-1))*IF(E509="Rame",1,0),4)</f>
        <v>0</v>
      </c>
      <c r="S509" s="446">
        <f ca="1">ROUND(IF(ISERROR(OFFSET(Bronzo!$A$1,MATCH(H509,Bronzo!$A:$A,0)-1,MATCH(I509,Bronzo!$A$1:$AA$1,0)-1)=TRUE),0,OFFSET(Bronzo!$A$1,MATCH(H509,Bronzo!$A:$A,0)-1,MATCH(I509,Bronzo!$A$1:$AA$1,0)-1)),4)</f>
        <v>0</v>
      </c>
      <c r="T509" s="446">
        <f t="shared" ca="1" si="185"/>
        <v>0</v>
      </c>
      <c r="U509" s="443"/>
      <c r="V509" s="446">
        <v>0</v>
      </c>
      <c r="W509" s="449">
        <f t="shared" ca="1" si="186"/>
        <v>0</v>
      </c>
      <c r="X509" s="452">
        <f t="shared" si="184"/>
        <v>0</v>
      </c>
      <c r="Y509" s="440"/>
      <c r="Z509" s="440">
        <f t="shared" ca="1" si="187"/>
        <v>0</v>
      </c>
      <c r="AA509" s="241"/>
      <c r="AH509" s="242"/>
    </row>
    <row r="510" spans="2:34" ht="15.75" x14ac:dyDescent="0.25">
      <c r="B510" s="229"/>
      <c r="C510" s="235"/>
      <c r="D510" s="243"/>
      <c r="E510" s="232"/>
      <c r="F510" s="435"/>
      <c r="G510" s="234"/>
      <c r="H510" s="235"/>
      <c r="I510" s="235"/>
      <c r="J510" s="440"/>
      <c r="K510" s="443">
        <f ca="1">ROUND(IF(ISERROR(OFFSET(Tabella!$A$1,MATCH(H510,Tabella!$A:$A,0)-1,MATCH(J510,Tabella!$A$1:$AC$1,0)-1)=TRUE),0,+OFFSET(Tabella!$A$1,MATCH(H510,Tabella!$A:$A,0)-1,MATCH(J510,Tabella!$A$1:$AC$1,0)-1)),4)</f>
        <v>0</v>
      </c>
      <c r="L510" s="446">
        <f ca="1">ROUND(IF(ISERROR(OFFSET(Ottone!$A$1,MATCH(H510,Ottone!$A:$A,0)-1,MATCH(J510,Ottone!$A$1:$Z$1,0)-1)=TRUE),0,OFFSET(Ottone!$A$1,MATCH(H510,Ottone!$A:$A,0)-1,MATCH(J510,Ottone!$A$1:$Z$1,0)-1))*IF(E510="Ottone",1,0),4)</f>
        <v>0</v>
      </c>
      <c r="M510" s="446">
        <f ca="1">ROUND(IF(ISERROR(OFFSET(Rame!$A$1,MATCH(H510,Rame!$A:$A,0)-1,MATCH(J510,Rame!$A$1:$AA$1,0)-1)=TRUE),0,OFFSET(Rame!$A$1,MATCH(H510,Rame!$A:$A,0)-1,MATCH(J510,Rame!$A$1:$AA$1,0)-1))*IF(E510="Rame",1,0),4)</f>
        <v>0</v>
      </c>
      <c r="N510" s="446">
        <v>0</v>
      </c>
      <c r="O510" s="446">
        <f t="shared" ca="1" si="188"/>
        <v>0</v>
      </c>
      <c r="P510" s="446">
        <f ca="1">ROUND(+IF(ISERROR(OFFSET(Tabella!$G$1,MATCH(H510,Tabella!$G:$G,0)-1,MATCH(I510,Tabella!$G$1:$FG$1,0)-1)=TRUE),0,OFFSET(Tabella!$G$1,MATCH(H510,Tabella!$G:$G,0)-1,MATCH(I510,Tabella!$G$1:$AB$1,0)-1)),4)</f>
        <v>0</v>
      </c>
      <c r="Q510" s="446">
        <f ca="1">ROUND(IF(ISERROR(OFFSET(Ottone!$F$1,MATCH(H510,Ottone!$A:$A,0)-1,MATCH(I510,Ottone!$F$1:$FF$1,0)-1)=TRUE),0,OFFSET(Ottone!$F$1,MATCH(H510,Ottone!$A:$A,0)-1,MATCH(I510,Ottone!$F$1:$FF$1,0)-1))*IF(E510="Ottone",1,0),4)</f>
        <v>0</v>
      </c>
      <c r="R510" s="446">
        <f ca="1">ROUND(IF(ISERROR(OFFSET(Rame!$F$1,MATCH(H510,Rame!$F:$F,0)-1,MATCH(I510,Rame!$F$1:$FF$1,0)-1)=TRUE),0,OFFSET(Rame!$F$1,MATCH(H510,Rame!$F:$F,0)-1,MATCH(I510,Rame!$F$1:$FF$1,0)-1))*IF(E510="Rame",1,0),4)</f>
        <v>0</v>
      </c>
      <c r="S510" s="446">
        <f ca="1">ROUND(IF(ISERROR(OFFSET(Bronzo!$A$1,MATCH(H510,Bronzo!$A:$A,0)-1,MATCH(I510,Bronzo!$A$1:$AA$1,0)-1)=TRUE),0,OFFSET(Bronzo!$A$1,MATCH(H510,Bronzo!$A:$A,0)-1,MATCH(I510,Bronzo!$A$1:$AA$1,0)-1)),4)</f>
        <v>0</v>
      </c>
      <c r="T510" s="446">
        <f t="shared" ca="1" si="185"/>
        <v>0</v>
      </c>
      <c r="U510" s="443"/>
      <c r="V510" s="446">
        <v>0</v>
      </c>
      <c r="W510" s="449">
        <f t="shared" ca="1" si="186"/>
        <v>0</v>
      </c>
      <c r="X510" s="452">
        <f t="shared" si="184"/>
        <v>0</v>
      </c>
      <c r="Y510" s="440"/>
      <c r="Z510" s="440">
        <f t="shared" ca="1" si="187"/>
        <v>0</v>
      </c>
      <c r="AA510" s="241"/>
      <c r="AH510" s="242"/>
    </row>
    <row r="511" spans="2:34" ht="15.75" x14ac:dyDescent="0.25">
      <c r="B511" s="229"/>
      <c r="C511" s="235"/>
      <c r="D511" s="243"/>
      <c r="E511" s="232"/>
      <c r="F511" s="435"/>
      <c r="G511" s="234"/>
      <c r="H511" s="235"/>
      <c r="I511" s="235"/>
      <c r="J511" s="440"/>
      <c r="K511" s="443">
        <f ca="1">ROUND(IF(ISERROR(OFFSET(Tabella!$A$1,MATCH(H511,Tabella!$A:$A,0)-1,MATCH(J511,Tabella!$A$1:$AC$1,0)-1)=TRUE),0,+OFFSET(Tabella!$A$1,MATCH(H511,Tabella!$A:$A,0)-1,MATCH(J511,Tabella!$A$1:$AC$1,0)-1)),4)</f>
        <v>0</v>
      </c>
      <c r="L511" s="446">
        <f ca="1">ROUND(IF(ISERROR(OFFSET(Ottone!$A$1,MATCH(H511,Ottone!$A:$A,0)-1,MATCH(J511,Ottone!$A$1:$Z$1,0)-1)=TRUE),0,OFFSET(Ottone!$A$1,MATCH(H511,Ottone!$A:$A,0)-1,MATCH(J511,Ottone!$A$1:$Z$1,0)-1))*IF(E511="Ottone",1,0),4)</f>
        <v>0</v>
      </c>
      <c r="M511" s="446">
        <f ca="1">ROUND(IF(ISERROR(OFFSET(Rame!$A$1,MATCH(H511,Rame!$A:$A,0)-1,MATCH(J511,Rame!$A$1:$AA$1,0)-1)=TRUE),0,OFFSET(Rame!$A$1,MATCH(H511,Rame!$A:$A,0)-1,MATCH(J511,Rame!$A$1:$AA$1,0)-1))*IF(E511="Rame",1,0),4)</f>
        <v>0</v>
      </c>
      <c r="N511" s="446">
        <v>0</v>
      </c>
      <c r="O511" s="446">
        <f t="shared" ca="1" si="188"/>
        <v>0</v>
      </c>
      <c r="P511" s="446">
        <f ca="1">ROUND(+IF(ISERROR(OFFSET(Tabella!$G$1,MATCH(H511,Tabella!$G:$G,0)-1,MATCH(I511,Tabella!$G$1:$FG$1,0)-1)=TRUE),0,OFFSET(Tabella!$G$1,MATCH(H511,Tabella!$G:$G,0)-1,MATCH(I511,Tabella!$G$1:$AB$1,0)-1)),4)</f>
        <v>0</v>
      </c>
      <c r="Q511" s="446">
        <f ca="1">ROUND(IF(ISERROR(OFFSET(Ottone!$F$1,MATCH(H511,Ottone!$A:$A,0)-1,MATCH(I511,Ottone!$F$1:$FF$1,0)-1)=TRUE),0,OFFSET(Ottone!$F$1,MATCH(H511,Ottone!$A:$A,0)-1,MATCH(I511,Ottone!$F$1:$FF$1,0)-1))*IF(E511="Ottone",1,0),4)</f>
        <v>0</v>
      </c>
      <c r="R511" s="446">
        <f ca="1">ROUND(IF(ISERROR(OFFSET(Rame!$F$1,MATCH(H511,Rame!$F:$F,0)-1,MATCH(I511,Rame!$F$1:$FF$1,0)-1)=TRUE),0,OFFSET(Rame!$F$1,MATCH(H511,Rame!$F:$F,0)-1,MATCH(I511,Rame!$F$1:$FF$1,0)-1))*IF(E511="Rame",1,0),4)</f>
        <v>0</v>
      </c>
      <c r="S511" s="446">
        <f ca="1">ROUND(IF(ISERROR(OFFSET(Bronzo!$A$1,MATCH(H511,Bronzo!$A:$A,0)-1,MATCH(I511,Bronzo!$A$1:$AA$1,0)-1)=TRUE),0,OFFSET(Bronzo!$A$1,MATCH(H511,Bronzo!$A:$A,0)-1,MATCH(I511,Bronzo!$A$1:$AA$1,0)-1)),4)</f>
        <v>0</v>
      </c>
      <c r="T511" s="446">
        <f t="shared" ca="1" si="185"/>
        <v>0</v>
      </c>
      <c r="U511" s="443"/>
      <c r="V511" s="446">
        <v>0</v>
      </c>
      <c r="W511" s="449">
        <f t="shared" ca="1" si="186"/>
        <v>0</v>
      </c>
      <c r="X511" s="452">
        <f t="shared" si="184"/>
        <v>0</v>
      </c>
      <c r="Y511" s="440"/>
      <c r="Z511" s="440">
        <f t="shared" ca="1" si="187"/>
        <v>0</v>
      </c>
      <c r="AA511" s="241"/>
      <c r="AH511" s="242"/>
    </row>
    <row r="512" spans="2:34" ht="15.75" x14ac:dyDescent="0.25">
      <c r="B512" s="229"/>
      <c r="C512" s="235"/>
      <c r="D512" s="243"/>
      <c r="E512" s="232"/>
      <c r="F512" s="435"/>
      <c r="G512" s="234"/>
      <c r="H512" s="235"/>
      <c r="I512" s="235"/>
      <c r="J512" s="440"/>
      <c r="K512" s="443">
        <f ca="1">ROUND(IF(ISERROR(OFFSET(Tabella!$A$1,MATCH(H512,Tabella!$A:$A,0)-1,MATCH(J512,Tabella!$A$1:$AC$1,0)-1)=TRUE),0,+OFFSET(Tabella!$A$1,MATCH(H512,Tabella!$A:$A,0)-1,MATCH(J512,Tabella!$A$1:$AC$1,0)-1)),4)</f>
        <v>0</v>
      </c>
      <c r="L512" s="446">
        <f ca="1">ROUND(IF(ISERROR(OFFSET(Ottone!$A$1,MATCH(H512,Ottone!$A:$A,0)-1,MATCH(J512,Ottone!$A$1:$Z$1,0)-1)=TRUE),0,OFFSET(Ottone!$A$1,MATCH(H512,Ottone!$A:$A,0)-1,MATCH(J512,Ottone!$A$1:$Z$1,0)-1))*IF(E512="Ottone",1,0),4)</f>
        <v>0</v>
      </c>
      <c r="M512" s="446">
        <f ca="1">ROUND(IF(ISERROR(OFFSET(Rame!$A$1,MATCH(H512,Rame!$A:$A,0)-1,MATCH(J512,Rame!$A$1:$AA$1,0)-1)=TRUE),0,OFFSET(Rame!$A$1,MATCH(H512,Rame!$A:$A,0)-1,MATCH(J512,Rame!$A$1:$AA$1,0)-1))*IF(E512="Rame",1,0),4)</f>
        <v>0</v>
      </c>
      <c r="N512" s="446">
        <v>0</v>
      </c>
      <c r="O512" s="446">
        <f t="shared" ca="1" si="188"/>
        <v>0</v>
      </c>
      <c r="P512" s="446">
        <f ca="1">ROUND(+IF(ISERROR(OFFSET(Tabella!$G$1,MATCH(H512,Tabella!$G:$G,0)-1,MATCH(I512,Tabella!$G$1:$FG$1,0)-1)=TRUE),0,OFFSET(Tabella!$G$1,MATCH(H512,Tabella!$G:$G,0)-1,MATCH(I512,Tabella!$G$1:$AB$1,0)-1)),4)</f>
        <v>0</v>
      </c>
      <c r="Q512" s="446">
        <f ca="1">ROUND(IF(ISERROR(OFFSET(Ottone!$F$1,MATCH(H512,Ottone!$A:$A,0)-1,MATCH(I512,Ottone!$F$1:$FF$1,0)-1)=TRUE),0,OFFSET(Ottone!$F$1,MATCH(H512,Ottone!$A:$A,0)-1,MATCH(I512,Ottone!$F$1:$FF$1,0)-1))*IF(E512="Ottone",1,0),4)</f>
        <v>0</v>
      </c>
      <c r="R512" s="446">
        <f ca="1">ROUND(IF(ISERROR(OFFSET(Rame!$F$1,MATCH(H512,Rame!$F:$F,0)-1,MATCH(I512,Rame!$F$1:$FF$1,0)-1)=TRUE),0,OFFSET(Rame!$F$1,MATCH(H512,Rame!$F:$F,0)-1,MATCH(I512,Rame!$F$1:$FF$1,0)-1))*IF(E512="Rame",1,0),4)</f>
        <v>0</v>
      </c>
      <c r="S512" s="446">
        <f ca="1">ROUND(IF(ISERROR(OFFSET(Bronzo!$A$1,MATCH(H512,Bronzo!$A:$A,0)-1,MATCH(I512,Bronzo!$A$1:$AA$1,0)-1)=TRUE),0,OFFSET(Bronzo!$A$1,MATCH(H512,Bronzo!$A:$A,0)-1,MATCH(I512,Bronzo!$A$1:$AA$1,0)-1)),4)</f>
        <v>0</v>
      </c>
      <c r="T512" s="446">
        <f t="shared" ca="1" si="185"/>
        <v>0</v>
      </c>
      <c r="U512" s="443"/>
      <c r="V512" s="446">
        <v>0</v>
      </c>
      <c r="W512" s="449">
        <f t="shared" ca="1" si="186"/>
        <v>0</v>
      </c>
      <c r="X512" s="452">
        <f t="shared" si="184"/>
        <v>0</v>
      </c>
      <c r="Y512" s="440"/>
      <c r="Z512" s="440">
        <f t="shared" ca="1" si="187"/>
        <v>0</v>
      </c>
      <c r="AA512" s="241"/>
      <c r="AH512" s="242"/>
    </row>
    <row r="513" spans="2:34" ht="15.75" x14ac:dyDescent="0.25">
      <c r="B513" s="229"/>
      <c r="C513" s="235"/>
      <c r="D513" s="243"/>
      <c r="E513" s="232"/>
      <c r="F513" s="435"/>
      <c r="G513" s="234"/>
      <c r="H513" s="235"/>
      <c r="I513" s="235"/>
      <c r="J513" s="440"/>
      <c r="K513" s="443">
        <f ca="1">ROUND(IF(ISERROR(OFFSET(Tabella!$A$1,MATCH(H513,Tabella!$A:$A,0)-1,MATCH(J513,Tabella!$A$1:$AC$1,0)-1)=TRUE),0,+OFFSET(Tabella!$A$1,MATCH(H513,Tabella!$A:$A,0)-1,MATCH(J513,Tabella!$A$1:$AC$1,0)-1)),4)</f>
        <v>0</v>
      </c>
      <c r="L513" s="446">
        <f ca="1">ROUND(IF(ISERROR(OFFSET(Ottone!$A$1,MATCH(H513,Ottone!$A:$A,0)-1,MATCH(J513,Ottone!$A$1:$Z$1,0)-1)=TRUE),0,OFFSET(Ottone!$A$1,MATCH(H513,Ottone!$A:$A,0)-1,MATCH(J513,Ottone!$A$1:$Z$1,0)-1))*IF(E513="Ottone",1,0),4)</f>
        <v>0</v>
      </c>
      <c r="M513" s="446">
        <f ca="1">ROUND(IF(ISERROR(OFFSET(Rame!$A$1,MATCH(H513,Rame!$A:$A,0)-1,MATCH(J513,Rame!$A$1:$AA$1,0)-1)=TRUE),0,OFFSET(Rame!$A$1,MATCH(H513,Rame!$A:$A,0)-1,MATCH(J513,Rame!$A$1:$AA$1,0)-1))*IF(E513="Rame",1,0),4)</f>
        <v>0</v>
      </c>
      <c r="N513" s="446">
        <v>0</v>
      </c>
      <c r="O513" s="446">
        <f t="shared" ca="1" si="188"/>
        <v>0</v>
      </c>
      <c r="P513" s="446">
        <f ca="1">ROUND(+IF(ISERROR(OFFSET(Tabella!$G$1,MATCH(H513,Tabella!$G:$G,0)-1,MATCH(I513,Tabella!$G$1:$FG$1,0)-1)=TRUE),0,OFFSET(Tabella!$G$1,MATCH(H513,Tabella!$G:$G,0)-1,MATCH(I513,Tabella!$G$1:$AB$1,0)-1)),4)</f>
        <v>0</v>
      </c>
      <c r="Q513" s="446">
        <f ca="1">ROUND(IF(ISERROR(OFFSET(Ottone!$F$1,MATCH(H513,Ottone!$A:$A,0)-1,MATCH(I513,Ottone!$F$1:$FF$1,0)-1)=TRUE),0,OFFSET(Ottone!$F$1,MATCH(H513,Ottone!$A:$A,0)-1,MATCH(I513,Ottone!$F$1:$FF$1,0)-1))*IF(E513="Ottone",1,0),4)</f>
        <v>0</v>
      </c>
      <c r="R513" s="446">
        <f ca="1">ROUND(IF(ISERROR(OFFSET(Rame!$F$1,MATCH(H513,Rame!$F:$F,0)-1,MATCH(I513,Rame!$F$1:$FF$1,0)-1)=TRUE),0,OFFSET(Rame!$F$1,MATCH(H513,Rame!$F:$F,0)-1,MATCH(I513,Rame!$F$1:$FF$1,0)-1))*IF(E513="Rame",1,0),4)</f>
        <v>0</v>
      </c>
      <c r="S513" s="446">
        <f ca="1">ROUND(IF(ISERROR(OFFSET(Bronzo!$A$1,MATCH(H513,Bronzo!$A:$A,0)-1,MATCH(I513,Bronzo!$A$1:$AA$1,0)-1)=TRUE),0,OFFSET(Bronzo!$A$1,MATCH(H513,Bronzo!$A:$A,0)-1,MATCH(I513,Bronzo!$A$1:$AA$1,0)-1)),4)</f>
        <v>0</v>
      </c>
      <c r="T513" s="446">
        <f t="shared" ca="1" si="185"/>
        <v>0</v>
      </c>
      <c r="U513" s="443"/>
      <c r="V513" s="446">
        <v>0</v>
      </c>
      <c r="W513" s="449">
        <f t="shared" ca="1" si="186"/>
        <v>0</v>
      </c>
      <c r="X513" s="452">
        <f t="shared" si="184"/>
        <v>0</v>
      </c>
      <c r="Y513" s="440"/>
      <c r="Z513" s="440">
        <f t="shared" ca="1" si="187"/>
        <v>0</v>
      </c>
      <c r="AA513" s="241"/>
      <c r="AH513" s="242"/>
    </row>
    <row r="514" spans="2:34" ht="15.75" x14ac:dyDescent="0.25">
      <c r="B514" s="229"/>
      <c r="C514" s="235"/>
      <c r="D514" s="243"/>
      <c r="E514" s="232"/>
      <c r="F514" s="435"/>
      <c r="G514" s="234"/>
      <c r="H514" s="235"/>
      <c r="I514" s="235"/>
      <c r="J514" s="440"/>
      <c r="K514" s="443">
        <f ca="1">ROUND(IF(ISERROR(OFFSET(Tabella!$A$1,MATCH(H514,Tabella!$A:$A,0)-1,MATCH(J514,Tabella!$A$1:$AC$1,0)-1)=TRUE),0,+OFFSET(Tabella!$A$1,MATCH(H514,Tabella!$A:$A,0)-1,MATCH(J514,Tabella!$A$1:$AC$1,0)-1)),4)</f>
        <v>0</v>
      </c>
      <c r="L514" s="446">
        <f ca="1">ROUND(IF(ISERROR(OFFSET(Ottone!$A$1,MATCH(H514,Ottone!$A:$A,0)-1,MATCH(J514,Ottone!$A$1:$Z$1,0)-1)=TRUE),0,OFFSET(Ottone!$A$1,MATCH(H514,Ottone!$A:$A,0)-1,MATCH(J514,Ottone!$A$1:$Z$1,0)-1))*IF(E514="Ottone",1,0),4)</f>
        <v>0</v>
      </c>
      <c r="M514" s="446">
        <f ca="1">ROUND(IF(ISERROR(OFFSET(Rame!$A$1,MATCH(H514,Rame!$A:$A,0)-1,MATCH(J514,Rame!$A$1:$AA$1,0)-1)=TRUE),0,OFFSET(Rame!$A$1,MATCH(H514,Rame!$A:$A,0)-1,MATCH(J514,Rame!$A$1:$AA$1,0)-1))*IF(E514="Rame",1,0),4)</f>
        <v>0</v>
      </c>
      <c r="N514" s="446">
        <v>0</v>
      </c>
      <c r="O514" s="446">
        <f t="shared" ca="1" si="188"/>
        <v>0</v>
      </c>
      <c r="P514" s="446">
        <f ca="1">ROUND(+IF(ISERROR(OFFSET(Tabella!$G$1,MATCH(H514,Tabella!$G:$G,0)-1,MATCH(I514,Tabella!$G$1:$FG$1,0)-1)=TRUE),0,OFFSET(Tabella!$G$1,MATCH(H514,Tabella!$G:$G,0)-1,MATCH(I514,Tabella!$G$1:$AB$1,0)-1)),4)</f>
        <v>0</v>
      </c>
      <c r="Q514" s="446">
        <f ca="1">ROUND(IF(ISERROR(OFFSET(Ottone!$F$1,MATCH(H514,Ottone!$A:$A,0)-1,MATCH(I514,Ottone!$F$1:$FF$1,0)-1)=TRUE),0,OFFSET(Ottone!$F$1,MATCH(H514,Ottone!$A:$A,0)-1,MATCH(I514,Ottone!$F$1:$FF$1,0)-1))*IF(E514="Ottone",1,0),4)</f>
        <v>0</v>
      </c>
      <c r="R514" s="446">
        <f ca="1">ROUND(IF(ISERROR(OFFSET(Rame!$F$1,MATCH(H514,Rame!$F:$F,0)-1,MATCH(I514,Rame!$F$1:$FF$1,0)-1)=TRUE),0,OFFSET(Rame!$F$1,MATCH(H514,Rame!$F:$F,0)-1,MATCH(I514,Rame!$F$1:$FF$1,0)-1))*IF(E514="Rame",1,0),4)</f>
        <v>0</v>
      </c>
      <c r="S514" s="446">
        <f ca="1">ROUND(IF(ISERROR(OFFSET(Bronzo!$A$1,MATCH(H514,Bronzo!$A:$A,0)-1,MATCH(I514,Bronzo!$A$1:$AA$1,0)-1)=TRUE),0,OFFSET(Bronzo!$A$1,MATCH(H514,Bronzo!$A:$A,0)-1,MATCH(I514,Bronzo!$A$1:$AA$1,0)-1)),4)</f>
        <v>0</v>
      </c>
      <c r="T514" s="446">
        <f t="shared" ca="1" si="185"/>
        <v>0</v>
      </c>
      <c r="U514" s="443"/>
      <c r="V514" s="446">
        <v>0</v>
      </c>
      <c r="W514" s="449">
        <f t="shared" ca="1" si="186"/>
        <v>0</v>
      </c>
      <c r="X514" s="452">
        <f t="shared" si="184"/>
        <v>0</v>
      </c>
      <c r="Y514" s="440"/>
      <c r="Z514" s="440">
        <f t="shared" ca="1" si="187"/>
        <v>0</v>
      </c>
      <c r="AA514" s="241"/>
      <c r="AH514" s="242"/>
    </row>
    <row r="515" spans="2:34" ht="15.75" x14ac:dyDescent="0.25">
      <c r="B515" s="229"/>
      <c r="C515" s="235"/>
      <c r="D515" s="243"/>
      <c r="E515" s="232"/>
      <c r="F515" s="435"/>
      <c r="G515" s="234"/>
      <c r="H515" s="235"/>
      <c r="I515" s="235"/>
      <c r="J515" s="440"/>
      <c r="K515" s="443">
        <f ca="1">ROUND(IF(ISERROR(OFFSET(Tabella!$A$1,MATCH(H515,Tabella!$A:$A,0)-1,MATCH(J515,Tabella!$A$1:$AC$1,0)-1)=TRUE),0,+OFFSET(Tabella!$A$1,MATCH(H515,Tabella!$A:$A,0)-1,MATCH(J515,Tabella!$A$1:$AC$1,0)-1)),4)</f>
        <v>0</v>
      </c>
      <c r="L515" s="446">
        <f ca="1">ROUND(IF(ISERROR(OFFSET(Ottone!$A$1,MATCH(H515,Ottone!$A:$A,0)-1,MATCH(J515,Ottone!$A$1:$Z$1,0)-1)=TRUE),0,OFFSET(Ottone!$A$1,MATCH(H515,Ottone!$A:$A,0)-1,MATCH(J515,Ottone!$A$1:$Z$1,0)-1))*IF(E515="Ottone",1,0),4)</f>
        <v>0</v>
      </c>
      <c r="M515" s="446">
        <f ca="1">ROUND(IF(ISERROR(OFFSET(Rame!$A$1,MATCH(H515,Rame!$A:$A,0)-1,MATCH(J515,Rame!$A$1:$AA$1,0)-1)=TRUE),0,OFFSET(Rame!$A$1,MATCH(H515,Rame!$A:$A,0)-1,MATCH(J515,Rame!$A$1:$AA$1,0)-1))*IF(E515="Rame",1,0),4)</f>
        <v>0</v>
      </c>
      <c r="N515" s="446">
        <v>0</v>
      </c>
      <c r="O515" s="446">
        <f t="shared" ca="1" si="188"/>
        <v>0</v>
      </c>
      <c r="P515" s="446">
        <f ca="1">ROUND(+IF(ISERROR(OFFSET(Tabella!$G$1,MATCH(H515,Tabella!$G:$G,0)-1,MATCH(I515,Tabella!$G$1:$FG$1,0)-1)=TRUE),0,OFFSET(Tabella!$G$1,MATCH(H515,Tabella!$G:$G,0)-1,MATCH(I515,Tabella!$G$1:$AB$1,0)-1)),4)</f>
        <v>0</v>
      </c>
      <c r="Q515" s="446">
        <f ca="1">ROUND(IF(ISERROR(OFFSET(Ottone!$F$1,MATCH(H515,Ottone!$A:$A,0)-1,MATCH(I515,Ottone!$F$1:$FF$1,0)-1)=TRUE),0,OFFSET(Ottone!$F$1,MATCH(H515,Ottone!$A:$A,0)-1,MATCH(I515,Ottone!$F$1:$FF$1,0)-1))*IF(E515="Ottone",1,0),4)</f>
        <v>0</v>
      </c>
      <c r="R515" s="446">
        <f ca="1">ROUND(IF(ISERROR(OFFSET(Rame!$F$1,MATCH(H515,Rame!$F:$F,0)-1,MATCH(I515,Rame!$F$1:$FF$1,0)-1)=TRUE),0,OFFSET(Rame!$F$1,MATCH(H515,Rame!$F:$F,0)-1,MATCH(I515,Rame!$F$1:$FF$1,0)-1))*IF(E515="Rame",1,0),4)</f>
        <v>0</v>
      </c>
      <c r="S515" s="446">
        <f ca="1">ROUND(IF(ISERROR(OFFSET(Bronzo!$A$1,MATCH(H515,Bronzo!$A:$A,0)-1,MATCH(I515,Bronzo!$A$1:$AA$1,0)-1)=TRUE),0,OFFSET(Bronzo!$A$1,MATCH(H515,Bronzo!$A:$A,0)-1,MATCH(I515,Bronzo!$A$1:$AA$1,0)-1)),4)</f>
        <v>0</v>
      </c>
      <c r="T515" s="446">
        <f t="shared" ca="1" si="185"/>
        <v>0</v>
      </c>
      <c r="U515" s="443"/>
      <c r="V515" s="446">
        <v>0</v>
      </c>
      <c r="W515" s="449">
        <f t="shared" ca="1" si="186"/>
        <v>0</v>
      </c>
      <c r="X515" s="452">
        <f t="shared" si="184"/>
        <v>0</v>
      </c>
      <c r="Y515" s="440"/>
      <c r="Z515" s="440">
        <f t="shared" ca="1" si="187"/>
        <v>0</v>
      </c>
      <c r="AA515" s="241"/>
      <c r="AH515" s="242"/>
    </row>
    <row r="516" spans="2:34" ht="15.75" x14ac:dyDescent="0.25">
      <c r="B516" s="229"/>
      <c r="C516" s="235"/>
      <c r="D516" s="243"/>
      <c r="E516" s="232"/>
      <c r="F516" s="435"/>
      <c r="G516" s="234"/>
      <c r="H516" s="235"/>
      <c r="I516" s="235"/>
      <c r="J516" s="440"/>
      <c r="K516" s="443">
        <f ca="1">ROUND(IF(ISERROR(OFFSET(Tabella!$A$1,MATCH(H516,Tabella!$A:$A,0)-1,MATCH(J516,Tabella!$A$1:$AC$1,0)-1)=TRUE),0,+OFFSET(Tabella!$A$1,MATCH(H516,Tabella!$A:$A,0)-1,MATCH(J516,Tabella!$A$1:$AC$1,0)-1)),4)</f>
        <v>0</v>
      </c>
      <c r="L516" s="446">
        <f ca="1">ROUND(IF(ISERROR(OFFSET(Ottone!$A$1,MATCH(H516,Ottone!$A:$A,0)-1,MATCH(J516,Ottone!$A$1:$Z$1,0)-1)=TRUE),0,OFFSET(Ottone!$A$1,MATCH(H516,Ottone!$A:$A,0)-1,MATCH(J516,Ottone!$A$1:$Z$1,0)-1))*IF(E516="Ottone",1,0),4)</f>
        <v>0</v>
      </c>
      <c r="M516" s="446">
        <f ca="1">ROUND(IF(ISERROR(OFFSET(Rame!$A$1,MATCH(H516,Rame!$A:$A,0)-1,MATCH(J516,Rame!$A$1:$AA$1,0)-1)=TRUE),0,OFFSET(Rame!$A$1,MATCH(H516,Rame!$A:$A,0)-1,MATCH(J516,Rame!$A$1:$AA$1,0)-1))*IF(E516="Rame",1,0),4)</f>
        <v>0</v>
      </c>
      <c r="N516" s="446">
        <v>0</v>
      </c>
      <c r="O516" s="446">
        <f t="shared" ca="1" si="188"/>
        <v>0</v>
      </c>
      <c r="P516" s="446">
        <f ca="1">ROUND(+IF(ISERROR(OFFSET(Tabella!$G$1,MATCH(H516,Tabella!$G:$G,0)-1,MATCH(I516,Tabella!$G$1:$FG$1,0)-1)=TRUE),0,OFFSET(Tabella!$G$1,MATCH(H516,Tabella!$G:$G,0)-1,MATCH(I516,Tabella!$G$1:$AB$1,0)-1)),4)</f>
        <v>0</v>
      </c>
      <c r="Q516" s="446">
        <f ca="1">ROUND(IF(ISERROR(OFFSET(Ottone!$F$1,MATCH(H516,Ottone!$A:$A,0)-1,MATCH(I516,Ottone!$F$1:$FF$1,0)-1)=TRUE),0,OFFSET(Ottone!$F$1,MATCH(H516,Ottone!$A:$A,0)-1,MATCH(I516,Ottone!$F$1:$FF$1,0)-1))*IF(E516="Ottone",1,0),4)</f>
        <v>0</v>
      </c>
      <c r="R516" s="446">
        <f ca="1">ROUND(IF(ISERROR(OFFSET(Rame!$F$1,MATCH(H516,Rame!$F:$F,0)-1,MATCH(I516,Rame!$F$1:$FF$1,0)-1)=TRUE),0,OFFSET(Rame!$F$1,MATCH(H516,Rame!$F:$F,0)-1,MATCH(I516,Rame!$F$1:$FF$1,0)-1))*IF(E516="Rame",1,0),4)</f>
        <v>0</v>
      </c>
      <c r="S516" s="446">
        <f ca="1">ROUND(IF(ISERROR(OFFSET(Bronzo!$A$1,MATCH(H516,Bronzo!$A:$A,0)-1,MATCH(I516,Bronzo!$A$1:$AA$1,0)-1)=TRUE),0,OFFSET(Bronzo!$A$1,MATCH(H516,Bronzo!$A:$A,0)-1,MATCH(I516,Bronzo!$A$1:$AA$1,0)-1)),4)</f>
        <v>0</v>
      </c>
      <c r="T516" s="446">
        <f t="shared" ca="1" si="185"/>
        <v>0</v>
      </c>
      <c r="U516" s="443"/>
      <c r="V516" s="446">
        <v>0</v>
      </c>
      <c r="W516" s="449">
        <f t="shared" ca="1" si="186"/>
        <v>0</v>
      </c>
      <c r="X516" s="452">
        <f t="shared" si="184"/>
        <v>0</v>
      </c>
      <c r="Y516" s="440"/>
      <c r="Z516" s="440">
        <f t="shared" ca="1" si="187"/>
        <v>0</v>
      </c>
      <c r="AA516" s="241"/>
      <c r="AH516" s="242"/>
    </row>
    <row r="517" spans="2:34" ht="15.75" x14ac:dyDescent="0.25">
      <c r="B517" s="229"/>
      <c r="C517" s="235"/>
      <c r="D517" s="243"/>
      <c r="E517" s="232"/>
      <c r="F517" s="435"/>
      <c r="G517" s="234"/>
      <c r="H517" s="235"/>
      <c r="I517" s="235"/>
      <c r="J517" s="440"/>
      <c r="K517" s="443">
        <f ca="1">ROUND(IF(ISERROR(OFFSET(Tabella!$A$1,MATCH(H517,Tabella!$A:$A,0)-1,MATCH(J517,Tabella!$A$1:$AC$1,0)-1)=TRUE),0,+OFFSET(Tabella!$A$1,MATCH(H517,Tabella!$A:$A,0)-1,MATCH(J517,Tabella!$A$1:$AC$1,0)-1)),4)</f>
        <v>0</v>
      </c>
      <c r="L517" s="446">
        <f ca="1">ROUND(IF(ISERROR(OFFSET(Ottone!$A$1,MATCH(H517,Ottone!$A:$A,0)-1,MATCH(J517,Ottone!$A$1:$Z$1,0)-1)=TRUE),0,OFFSET(Ottone!$A$1,MATCH(H517,Ottone!$A:$A,0)-1,MATCH(J517,Ottone!$A$1:$Z$1,0)-1))*IF(E517="Ottone",1,0),4)</f>
        <v>0</v>
      </c>
      <c r="M517" s="446">
        <f ca="1">ROUND(IF(ISERROR(OFFSET(Rame!$A$1,MATCH(H517,Rame!$A:$A,0)-1,MATCH(J517,Rame!$A$1:$AA$1,0)-1)=TRUE),0,OFFSET(Rame!$A$1,MATCH(H517,Rame!$A:$A,0)-1,MATCH(J517,Rame!$A$1:$AA$1,0)-1))*IF(E517="Rame",1,0),4)</f>
        <v>0</v>
      </c>
      <c r="N517" s="446">
        <v>0</v>
      </c>
      <c r="O517" s="446">
        <f t="shared" ca="1" si="188"/>
        <v>0</v>
      </c>
      <c r="P517" s="446">
        <f ca="1">ROUND(+IF(ISERROR(OFFSET(Tabella!$G$1,MATCH(H517,Tabella!$G:$G,0)-1,MATCH(I517,Tabella!$G$1:$FG$1,0)-1)=TRUE),0,OFFSET(Tabella!$G$1,MATCH(H517,Tabella!$G:$G,0)-1,MATCH(I517,Tabella!$G$1:$AB$1,0)-1)),4)</f>
        <v>0</v>
      </c>
      <c r="Q517" s="446">
        <f ca="1">ROUND(IF(ISERROR(OFFSET(Ottone!$F$1,MATCH(H517,Ottone!$A:$A,0)-1,MATCH(I517,Ottone!$F$1:$FF$1,0)-1)=TRUE),0,OFFSET(Ottone!$F$1,MATCH(H517,Ottone!$A:$A,0)-1,MATCH(I517,Ottone!$F$1:$FF$1,0)-1))*IF(E517="Ottone",1,0),4)</f>
        <v>0</v>
      </c>
      <c r="R517" s="446">
        <f ca="1">ROUND(IF(ISERROR(OFFSET(Rame!$F$1,MATCH(H517,Rame!$F:$F,0)-1,MATCH(I517,Rame!$F$1:$FF$1,0)-1)=TRUE),0,OFFSET(Rame!$F$1,MATCH(H517,Rame!$F:$F,0)-1,MATCH(I517,Rame!$F$1:$FF$1,0)-1))*IF(E517="Rame",1,0),4)</f>
        <v>0</v>
      </c>
      <c r="S517" s="446">
        <f ca="1">ROUND(IF(ISERROR(OFFSET(Bronzo!$A$1,MATCH(H517,Bronzo!$A:$A,0)-1,MATCH(I517,Bronzo!$A$1:$AA$1,0)-1)=TRUE),0,OFFSET(Bronzo!$A$1,MATCH(H517,Bronzo!$A:$A,0)-1,MATCH(I517,Bronzo!$A$1:$AA$1,0)-1)),4)</f>
        <v>0</v>
      </c>
      <c r="T517" s="446">
        <f t="shared" ca="1" si="185"/>
        <v>0</v>
      </c>
      <c r="U517" s="443"/>
      <c r="V517" s="446">
        <v>0</v>
      </c>
      <c r="W517" s="449">
        <f t="shared" ca="1" si="186"/>
        <v>0</v>
      </c>
      <c r="X517" s="452">
        <f t="shared" si="184"/>
        <v>0</v>
      </c>
      <c r="Y517" s="440"/>
      <c r="Z517" s="440">
        <f t="shared" ca="1" si="187"/>
        <v>0</v>
      </c>
      <c r="AA517" s="241"/>
      <c r="AH517" s="242"/>
    </row>
    <row r="518" spans="2:34" ht="15.75" x14ac:dyDescent="0.25">
      <c r="B518" s="229"/>
      <c r="C518" s="235"/>
      <c r="D518" s="243"/>
      <c r="E518" s="232"/>
      <c r="F518" s="435"/>
      <c r="G518" s="234"/>
      <c r="H518" s="235"/>
      <c r="I518" s="235"/>
      <c r="J518" s="440"/>
      <c r="K518" s="443">
        <f ca="1">ROUND(IF(ISERROR(OFFSET(Tabella!$A$1,MATCH(H518,Tabella!$A:$A,0)-1,MATCH(J518,Tabella!$A$1:$AC$1,0)-1)=TRUE),0,+OFFSET(Tabella!$A$1,MATCH(H518,Tabella!$A:$A,0)-1,MATCH(J518,Tabella!$A$1:$AC$1,0)-1)),4)</f>
        <v>0</v>
      </c>
      <c r="L518" s="446">
        <f ca="1">ROUND(IF(ISERROR(OFFSET(Ottone!$A$1,MATCH(H518,Ottone!$A:$A,0)-1,MATCH(J518,Ottone!$A$1:$Z$1,0)-1)=TRUE),0,OFFSET(Ottone!$A$1,MATCH(H518,Ottone!$A:$A,0)-1,MATCH(J518,Ottone!$A$1:$Z$1,0)-1))*IF(E518="Ottone",1,0),4)</f>
        <v>0</v>
      </c>
      <c r="M518" s="446">
        <f ca="1">ROUND(IF(ISERROR(OFFSET(Rame!$A$1,MATCH(H518,Rame!$A:$A,0)-1,MATCH(J518,Rame!$A$1:$AA$1,0)-1)=TRUE),0,OFFSET(Rame!$A$1,MATCH(H518,Rame!$A:$A,0)-1,MATCH(J518,Rame!$A$1:$AA$1,0)-1))*IF(E518="Rame",1,0),4)</f>
        <v>0</v>
      </c>
      <c r="N518" s="446">
        <v>0</v>
      </c>
      <c r="O518" s="446">
        <f t="shared" ca="1" si="188"/>
        <v>0</v>
      </c>
      <c r="P518" s="446">
        <f ca="1">ROUND(+IF(ISERROR(OFFSET(Tabella!$G$1,MATCH(H518,Tabella!$G:$G,0)-1,MATCH(I518,Tabella!$G$1:$FG$1,0)-1)=TRUE),0,OFFSET(Tabella!$G$1,MATCH(H518,Tabella!$G:$G,0)-1,MATCH(I518,Tabella!$G$1:$AB$1,0)-1)),4)</f>
        <v>0</v>
      </c>
      <c r="Q518" s="446">
        <f ca="1">ROUND(IF(ISERROR(OFFSET(Ottone!$F$1,MATCH(H518,Ottone!$A:$A,0)-1,MATCH(I518,Ottone!$F$1:$FF$1,0)-1)=TRUE),0,OFFSET(Ottone!$F$1,MATCH(H518,Ottone!$A:$A,0)-1,MATCH(I518,Ottone!$F$1:$FF$1,0)-1))*IF(E518="Ottone",1,0),4)</f>
        <v>0</v>
      </c>
      <c r="R518" s="446">
        <f ca="1">ROUND(IF(ISERROR(OFFSET(Rame!$F$1,MATCH(H518,Rame!$F:$F,0)-1,MATCH(I518,Rame!$F$1:$FF$1,0)-1)=TRUE),0,OFFSET(Rame!$F$1,MATCH(H518,Rame!$F:$F,0)-1,MATCH(I518,Rame!$F$1:$FF$1,0)-1))*IF(E518="Rame",1,0),4)</f>
        <v>0</v>
      </c>
      <c r="S518" s="446">
        <f ca="1">ROUND(IF(ISERROR(OFFSET(Bronzo!$A$1,MATCH(H518,Bronzo!$A:$A,0)-1,MATCH(I518,Bronzo!$A$1:$AA$1,0)-1)=TRUE),0,OFFSET(Bronzo!$A$1,MATCH(H518,Bronzo!$A:$A,0)-1,MATCH(I518,Bronzo!$A$1:$AA$1,0)-1)),4)</f>
        <v>0</v>
      </c>
      <c r="T518" s="446">
        <f t="shared" ca="1" si="185"/>
        <v>0</v>
      </c>
      <c r="U518" s="443"/>
      <c r="V518" s="446">
        <v>0</v>
      </c>
      <c r="W518" s="449">
        <f t="shared" ca="1" si="186"/>
        <v>0</v>
      </c>
      <c r="X518" s="452">
        <f t="shared" si="184"/>
        <v>0</v>
      </c>
      <c r="Y518" s="440"/>
      <c r="Z518" s="440">
        <f t="shared" ca="1" si="187"/>
        <v>0</v>
      </c>
      <c r="AA518" s="241"/>
      <c r="AH518" s="242"/>
    </row>
    <row r="519" spans="2:34" ht="15.75" x14ac:dyDescent="0.25">
      <c r="B519" s="229"/>
      <c r="C519" s="235"/>
      <c r="D519" s="243"/>
      <c r="E519" s="232"/>
      <c r="F519" s="435"/>
      <c r="G519" s="234"/>
      <c r="H519" s="235"/>
      <c r="I519" s="235"/>
      <c r="J519" s="440"/>
      <c r="K519" s="443">
        <f ca="1">ROUND(IF(ISERROR(OFFSET(Tabella!$A$1,MATCH(H519,Tabella!$A:$A,0)-1,MATCH(J519,Tabella!$A$1:$AC$1,0)-1)=TRUE),0,+OFFSET(Tabella!$A$1,MATCH(H519,Tabella!$A:$A,0)-1,MATCH(J519,Tabella!$A$1:$AC$1,0)-1)),4)</f>
        <v>0</v>
      </c>
      <c r="L519" s="446">
        <f ca="1">ROUND(IF(ISERROR(OFFSET(Ottone!$A$1,MATCH(H519,Ottone!$A:$A,0)-1,MATCH(J519,Ottone!$A$1:$Z$1,0)-1)=TRUE),0,OFFSET(Ottone!$A$1,MATCH(H519,Ottone!$A:$A,0)-1,MATCH(J519,Ottone!$A$1:$Z$1,0)-1))*IF(E519="Ottone",1,0),4)</f>
        <v>0</v>
      </c>
      <c r="M519" s="446">
        <f ca="1">ROUND(IF(ISERROR(OFFSET(Rame!$A$1,MATCH(H519,Rame!$A:$A,0)-1,MATCH(J519,Rame!$A$1:$AA$1,0)-1)=TRUE),0,OFFSET(Rame!$A$1,MATCH(H519,Rame!$A:$A,0)-1,MATCH(J519,Rame!$A$1:$AA$1,0)-1))*IF(E519="Rame",1,0),4)</f>
        <v>0</v>
      </c>
      <c r="N519" s="446">
        <v>0</v>
      </c>
      <c r="O519" s="446">
        <f t="shared" ca="1" si="188"/>
        <v>0</v>
      </c>
      <c r="P519" s="446">
        <f ca="1">ROUND(+IF(ISERROR(OFFSET(Tabella!$G$1,MATCH(H519,Tabella!$G:$G,0)-1,MATCH(I519,Tabella!$G$1:$FG$1,0)-1)=TRUE),0,OFFSET(Tabella!$G$1,MATCH(H519,Tabella!$G:$G,0)-1,MATCH(I519,Tabella!$G$1:$AB$1,0)-1)),4)</f>
        <v>0</v>
      </c>
      <c r="Q519" s="446">
        <f ca="1">ROUND(IF(ISERROR(OFFSET(Ottone!$F$1,MATCH(H519,Ottone!$A:$A,0)-1,MATCH(I519,Ottone!$F$1:$FF$1,0)-1)=TRUE),0,OFFSET(Ottone!$F$1,MATCH(H519,Ottone!$A:$A,0)-1,MATCH(I519,Ottone!$F$1:$FF$1,0)-1))*IF(E519="Ottone",1,0),4)</f>
        <v>0</v>
      </c>
      <c r="R519" s="446">
        <f ca="1">ROUND(IF(ISERROR(OFFSET(Rame!$F$1,MATCH(H519,Rame!$F:$F,0)-1,MATCH(I519,Rame!$F$1:$FF$1,0)-1)=TRUE),0,OFFSET(Rame!$F$1,MATCH(H519,Rame!$F:$F,0)-1,MATCH(I519,Rame!$F$1:$FF$1,0)-1))*IF(E519="Rame",1,0),4)</f>
        <v>0</v>
      </c>
      <c r="S519" s="446">
        <f ca="1">ROUND(IF(ISERROR(OFFSET(Bronzo!$A$1,MATCH(H519,Bronzo!$A:$A,0)-1,MATCH(I519,Bronzo!$A$1:$AA$1,0)-1)=TRUE),0,OFFSET(Bronzo!$A$1,MATCH(H519,Bronzo!$A:$A,0)-1,MATCH(I519,Bronzo!$A$1:$AA$1,0)-1)),4)</f>
        <v>0</v>
      </c>
      <c r="T519" s="446">
        <f t="shared" ca="1" si="185"/>
        <v>0</v>
      </c>
      <c r="U519" s="443"/>
      <c r="V519" s="446">
        <v>0</v>
      </c>
      <c r="W519" s="449">
        <f t="shared" ca="1" si="186"/>
        <v>0</v>
      </c>
      <c r="X519" s="452">
        <f t="shared" si="184"/>
        <v>0</v>
      </c>
      <c r="Y519" s="440"/>
      <c r="Z519" s="440">
        <f t="shared" ca="1" si="187"/>
        <v>0</v>
      </c>
      <c r="AA519" s="241"/>
      <c r="AH519" s="242"/>
    </row>
    <row r="520" spans="2:34" ht="15.75" x14ac:dyDescent="0.25">
      <c r="B520" s="229"/>
      <c r="C520" s="235"/>
      <c r="D520" s="243"/>
      <c r="E520" s="232"/>
      <c r="F520" s="435"/>
      <c r="G520" s="234"/>
      <c r="H520" s="235"/>
      <c r="I520" s="235"/>
      <c r="J520" s="440"/>
      <c r="K520" s="443">
        <f ca="1">ROUND(IF(ISERROR(OFFSET(Tabella!$A$1,MATCH(H520,Tabella!$A:$A,0)-1,MATCH(J520,Tabella!$A$1:$AC$1,0)-1)=TRUE),0,+OFFSET(Tabella!$A$1,MATCH(H520,Tabella!$A:$A,0)-1,MATCH(J520,Tabella!$A$1:$AC$1,0)-1)),4)</f>
        <v>0</v>
      </c>
      <c r="L520" s="446">
        <f ca="1">ROUND(IF(ISERROR(OFFSET(Ottone!$A$1,MATCH(H520,Ottone!$A:$A,0)-1,MATCH(J520,Ottone!$A$1:$Z$1,0)-1)=TRUE),0,OFFSET(Ottone!$A$1,MATCH(H520,Ottone!$A:$A,0)-1,MATCH(J520,Ottone!$A$1:$Z$1,0)-1))*IF(E520="Ottone",1,0),4)</f>
        <v>0</v>
      </c>
      <c r="M520" s="446">
        <f ca="1">ROUND(IF(ISERROR(OFFSET(Rame!$A$1,MATCH(H520,Rame!$A:$A,0)-1,MATCH(J520,Rame!$A$1:$AA$1,0)-1)=TRUE),0,OFFSET(Rame!$A$1,MATCH(H520,Rame!$A:$A,0)-1,MATCH(J520,Rame!$A$1:$AA$1,0)-1))*IF(E520="Rame",1,0),4)</f>
        <v>0</v>
      </c>
      <c r="N520" s="446">
        <v>0</v>
      </c>
      <c r="O520" s="446">
        <f t="shared" ca="1" si="188"/>
        <v>0</v>
      </c>
      <c r="P520" s="446">
        <f ca="1">ROUND(+IF(ISERROR(OFFSET(Tabella!$G$1,MATCH(H520,Tabella!$G:$G,0)-1,MATCH(I520,Tabella!$G$1:$FG$1,0)-1)=TRUE),0,OFFSET(Tabella!$G$1,MATCH(H520,Tabella!$G:$G,0)-1,MATCH(I520,Tabella!$G$1:$AB$1,0)-1)),4)</f>
        <v>0</v>
      </c>
      <c r="Q520" s="446">
        <f ca="1">ROUND(IF(ISERROR(OFFSET(Ottone!$F$1,MATCH(H520,Ottone!$A:$A,0)-1,MATCH(I520,Ottone!$F$1:$FF$1,0)-1)=TRUE),0,OFFSET(Ottone!$F$1,MATCH(H520,Ottone!$A:$A,0)-1,MATCH(I520,Ottone!$F$1:$FF$1,0)-1))*IF(E520="Ottone",1,0),4)</f>
        <v>0</v>
      </c>
      <c r="R520" s="446">
        <f ca="1">ROUND(IF(ISERROR(OFFSET(Rame!$F$1,MATCH(H520,Rame!$F:$F,0)-1,MATCH(I520,Rame!$F$1:$FF$1,0)-1)=TRUE),0,OFFSET(Rame!$F$1,MATCH(H520,Rame!$F:$F,0)-1,MATCH(I520,Rame!$F$1:$FF$1,0)-1))*IF(E520="Rame",1,0),4)</f>
        <v>0</v>
      </c>
      <c r="S520" s="446">
        <f ca="1">ROUND(IF(ISERROR(OFFSET(Bronzo!$A$1,MATCH(H520,Bronzo!$A:$A,0)-1,MATCH(I520,Bronzo!$A$1:$AA$1,0)-1)=TRUE),0,OFFSET(Bronzo!$A$1,MATCH(H520,Bronzo!$A:$A,0)-1,MATCH(I520,Bronzo!$A$1:$AA$1,0)-1)),4)</f>
        <v>0</v>
      </c>
      <c r="T520" s="446">
        <f t="shared" ca="1" si="185"/>
        <v>0</v>
      </c>
      <c r="U520" s="443"/>
      <c r="V520" s="446">
        <v>0</v>
      </c>
      <c r="W520" s="449">
        <f t="shared" ca="1" si="186"/>
        <v>0</v>
      </c>
      <c r="X520" s="452">
        <f t="shared" si="184"/>
        <v>0</v>
      </c>
      <c r="Y520" s="440"/>
      <c r="Z520" s="440">
        <f t="shared" ca="1" si="187"/>
        <v>0</v>
      </c>
      <c r="AA520" s="241"/>
      <c r="AH520" s="242"/>
    </row>
    <row r="521" spans="2:34" ht="15.75" x14ac:dyDescent="0.25">
      <c r="B521" s="229"/>
      <c r="C521" s="235"/>
      <c r="D521" s="243"/>
      <c r="E521" s="232"/>
      <c r="F521" s="435"/>
      <c r="G521" s="234"/>
      <c r="H521" s="235"/>
      <c r="I521" s="235"/>
      <c r="J521" s="440"/>
      <c r="K521" s="443">
        <f ca="1">ROUND(IF(ISERROR(OFFSET(Tabella!$A$1,MATCH(H521,Tabella!$A:$A,0)-1,MATCH(J521,Tabella!$A$1:$AC$1,0)-1)=TRUE),0,+OFFSET(Tabella!$A$1,MATCH(H521,Tabella!$A:$A,0)-1,MATCH(J521,Tabella!$A$1:$AC$1,0)-1)),4)</f>
        <v>0</v>
      </c>
      <c r="L521" s="446">
        <f ca="1">ROUND(IF(ISERROR(OFFSET(Ottone!$A$1,MATCH(H521,Ottone!$A:$A,0)-1,MATCH(J521,Ottone!$A$1:$Z$1,0)-1)=TRUE),0,OFFSET(Ottone!$A$1,MATCH(H521,Ottone!$A:$A,0)-1,MATCH(J521,Ottone!$A$1:$Z$1,0)-1))*IF(E521="Ottone",1,0),4)</f>
        <v>0</v>
      </c>
      <c r="M521" s="446">
        <f ca="1">ROUND(IF(ISERROR(OFFSET(Rame!$A$1,MATCH(H521,Rame!$A:$A,0)-1,MATCH(J521,Rame!$A$1:$AA$1,0)-1)=TRUE),0,OFFSET(Rame!$A$1,MATCH(H521,Rame!$A:$A,0)-1,MATCH(J521,Rame!$A$1:$AA$1,0)-1))*IF(E521="Rame",1,0),4)</f>
        <v>0</v>
      </c>
      <c r="N521" s="446">
        <v>0</v>
      </c>
      <c r="O521" s="446">
        <f t="shared" ca="1" si="188"/>
        <v>0</v>
      </c>
      <c r="P521" s="446">
        <f ca="1">ROUND(+IF(ISERROR(OFFSET(Tabella!$G$1,MATCH(H521,Tabella!$G:$G,0)-1,MATCH(I521,Tabella!$G$1:$FG$1,0)-1)=TRUE),0,OFFSET(Tabella!$G$1,MATCH(H521,Tabella!$G:$G,0)-1,MATCH(I521,Tabella!$G$1:$AB$1,0)-1)),4)</f>
        <v>0</v>
      </c>
      <c r="Q521" s="446">
        <f ca="1">ROUND(IF(ISERROR(OFFSET(Ottone!$F$1,MATCH(H521,Ottone!$A:$A,0)-1,MATCH(I521,Ottone!$F$1:$FF$1,0)-1)=TRUE),0,OFFSET(Ottone!$F$1,MATCH(H521,Ottone!$A:$A,0)-1,MATCH(I521,Ottone!$F$1:$FF$1,0)-1))*IF(E521="Ottone",1,0),4)</f>
        <v>0</v>
      </c>
      <c r="R521" s="446">
        <f ca="1">ROUND(IF(ISERROR(OFFSET(Rame!$F$1,MATCH(H521,Rame!$F:$F,0)-1,MATCH(I521,Rame!$F$1:$FF$1,0)-1)=TRUE),0,OFFSET(Rame!$F$1,MATCH(H521,Rame!$F:$F,0)-1,MATCH(I521,Rame!$F$1:$FF$1,0)-1))*IF(E521="Rame",1,0),4)</f>
        <v>0</v>
      </c>
      <c r="S521" s="446">
        <f ca="1">ROUND(IF(ISERROR(OFFSET(Bronzo!$A$1,MATCH(H521,Bronzo!$A:$A,0)-1,MATCH(I521,Bronzo!$A$1:$AA$1,0)-1)=TRUE),0,OFFSET(Bronzo!$A$1,MATCH(H521,Bronzo!$A:$A,0)-1,MATCH(I521,Bronzo!$A$1:$AA$1,0)-1)),4)</f>
        <v>0</v>
      </c>
      <c r="T521" s="446">
        <f t="shared" ca="1" si="185"/>
        <v>0</v>
      </c>
      <c r="U521" s="443"/>
      <c r="V521" s="446">
        <v>0</v>
      </c>
      <c r="W521" s="449">
        <f t="shared" ca="1" si="186"/>
        <v>0</v>
      </c>
      <c r="X521" s="452">
        <f t="shared" si="184"/>
        <v>0</v>
      </c>
      <c r="Y521" s="440"/>
      <c r="Z521" s="440">
        <f t="shared" ca="1" si="187"/>
        <v>0</v>
      </c>
      <c r="AA521" s="241"/>
      <c r="AH521" s="242"/>
    </row>
    <row r="522" spans="2:34" ht="15.75" x14ac:dyDescent="0.25">
      <c r="B522" s="229"/>
      <c r="C522" s="235"/>
      <c r="D522" s="243"/>
      <c r="E522" s="232"/>
      <c r="F522" s="435"/>
      <c r="G522" s="234"/>
      <c r="H522" s="235"/>
      <c r="I522" s="235"/>
      <c r="J522" s="440"/>
      <c r="K522" s="443">
        <f ca="1">ROUND(IF(ISERROR(OFFSET(Tabella!$A$1,MATCH(H522,Tabella!$A:$A,0)-1,MATCH(J522,Tabella!$A$1:$AC$1,0)-1)=TRUE),0,+OFFSET(Tabella!$A$1,MATCH(H522,Tabella!$A:$A,0)-1,MATCH(J522,Tabella!$A$1:$AC$1,0)-1)),4)</f>
        <v>0</v>
      </c>
      <c r="L522" s="446">
        <f ca="1">ROUND(IF(ISERROR(OFFSET(Ottone!$A$1,MATCH(H522,Ottone!$A:$A,0)-1,MATCH(J522,Ottone!$A$1:$Z$1,0)-1)=TRUE),0,OFFSET(Ottone!$A$1,MATCH(H522,Ottone!$A:$A,0)-1,MATCH(J522,Ottone!$A$1:$Z$1,0)-1))*IF(E522="Ottone",1,0),4)</f>
        <v>0</v>
      </c>
      <c r="M522" s="446">
        <f ca="1">ROUND(IF(ISERROR(OFFSET(Rame!$A$1,MATCH(H522,Rame!$A:$A,0)-1,MATCH(J522,Rame!$A$1:$AA$1,0)-1)=TRUE),0,OFFSET(Rame!$A$1,MATCH(H522,Rame!$A:$A,0)-1,MATCH(J522,Rame!$A$1:$AA$1,0)-1))*IF(E522="Rame",1,0),4)</f>
        <v>0</v>
      </c>
      <c r="N522" s="446">
        <v>0</v>
      </c>
      <c r="O522" s="446">
        <f t="shared" ca="1" si="188"/>
        <v>0</v>
      </c>
      <c r="P522" s="446">
        <f ca="1">ROUND(+IF(ISERROR(OFFSET(Tabella!$G$1,MATCH(H522,Tabella!$G:$G,0)-1,MATCH(I522,Tabella!$G$1:$FG$1,0)-1)=TRUE),0,OFFSET(Tabella!$G$1,MATCH(H522,Tabella!$G:$G,0)-1,MATCH(I522,Tabella!$G$1:$AB$1,0)-1)),4)</f>
        <v>0</v>
      </c>
      <c r="Q522" s="446">
        <f ca="1">ROUND(IF(ISERROR(OFFSET(Ottone!$F$1,MATCH(H522,Ottone!$A:$A,0)-1,MATCH(I522,Ottone!$F$1:$FF$1,0)-1)=TRUE),0,OFFSET(Ottone!$F$1,MATCH(H522,Ottone!$A:$A,0)-1,MATCH(I522,Ottone!$F$1:$FF$1,0)-1))*IF(E522="Ottone",1,0),4)</f>
        <v>0</v>
      </c>
      <c r="R522" s="446">
        <f ca="1">ROUND(IF(ISERROR(OFFSET(Rame!$F$1,MATCH(H522,Rame!$F:$F,0)-1,MATCH(I522,Rame!$F$1:$FF$1,0)-1)=TRUE),0,OFFSET(Rame!$F$1,MATCH(H522,Rame!$F:$F,0)-1,MATCH(I522,Rame!$F$1:$FF$1,0)-1))*IF(E522="Rame",1,0),4)</f>
        <v>0</v>
      </c>
      <c r="S522" s="446">
        <f ca="1">ROUND(IF(ISERROR(OFFSET(Bronzo!$A$1,MATCH(H522,Bronzo!$A:$A,0)-1,MATCH(I522,Bronzo!$A$1:$AA$1,0)-1)=TRUE),0,OFFSET(Bronzo!$A$1,MATCH(H522,Bronzo!$A:$A,0)-1,MATCH(I522,Bronzo!$A$1:$AA$1,0)-1)),4)</f>
        <v>0</v>
      </c>
      <c r="T522" s="446">
        <f t="shared" ca="1" si="185"/>
        <v>0</v>
      </c>
      <c r="U522" s="443"/>
      <c r="V522" s="446">
        <v>0</v>
      </c>
      <c r="W522" s="449">
        <f t="shared" ca="1" si="186"/>
        <v>0</v>
      </c>
      <c r="X522" s="452">
        <f t="shared" si="184"/>
        <v>0</v>
      </c>
      <c r="Y522" s="440"/>
      <c r="Z522" s="440">
        <f t="shared" ca="1" si="187"/>
        <v>0</v>
      </c>
      <c r="AA522" s="241"/>
      <c r="AH522" s="242"/>
    </row>
    <row r="523" spans="2:34" ht="15.75" x14ac:dyDescent="0.25">
      <c r="B523" s="229"/>
      <c r="C523" s="235"/>
      <c r="D523" s="243"/>
      <c r="E523" s="232"/>
      <c r="F523" s="435"/>
      <c r="G523" s="234"/>
      <c r="H523" s="235"/>
      <c r="I523" s="235"/>
      <c r="J523" s="440"/>
      <c r="K523" s="443">
        <f ca="1">ROUND(IF(ISERROR(OFFSET(Tabella!$A$1,MATCH(H523,Tabella!$A:$A,0)-1,MATCH(J523,Tabella!$A$1:$AC$1,0)-1)=TRUE),0,+OFFSET(Tabella!$A$1,MATCH(H523,Tabella!$A:$A,0)-1,MATCH(J523,Tabella!$A$1:$AC$1,0)-1)),4)</f>
        <v>0</v>
      </c>
      <c r="L523" s="446">
        <f ca="1">ROUND(IF(ISERROR(OFFSET(Ottone!$A$1,MATCH(H523,Ottone!$A:$A,0)-1,MATCH(J523,Ottone!$A$1:$Z$1,0)-1)=TRUE),0,OFFSET(Ottone!$A$1,MATCH(H523,Ottone!$A:$A,0)-1,MATCH(J523,Ottone!$A$1:$Z$1,0)-1))*IF(E523="Ottone",1,0),4)</f>
        <v>0</v>
      </c>
      <c r="M523" s="446">
        <f ca="1">ROUND(IF(ISERROR(OFFSET(Rame!$A$1,MATCH(H523,Rame!$A:$A,0)-1,MATCH(J523,Rame!$A$1:$AA$1,0)-1)=TRUE),0,OFFSET(Rame!$A$1,MATCH(H523,Rame!$A:$A,0)-1,MATCH(J523,Rame!$A$1:$AA$1,0)-1))*IF(E523="Rame",1,0),4)</f>
        <v>0</v>
      </c>
      <c r="N523" s="446">
        <v>0</v>
      </c>
      <c r="O523" s="446">
        <f t="shared" ca="1" si="188"/>
        <v>0</v>
      </c>
      <c r="P523" s="446">
        <f ca="1">ROUND(+IF(ISERROR(OFFSET(Tabella!$G$1,MATCH(H523,Tabella!$G:$G,0)-1,MATCH(I523,Tabella!$G$1:$FG$1,0)-1)=TRUE),0,OFFSET(Tabella!$G$1,MATCH(H523,Tabella!$G:$G,0)-1,MATCH(I523,Tabella!$G$1:$AB$1,0)-1)),4)</f>
        <v>0</v>
      </c>
      <c r="Q523" s="446">
        <f ca="1">ROUND(IF(ISERROR(OFFSET(Ottone!$F$1,MATCH(H523,Ottone!$A:$A,0)-1,MATCH(I523,Ottone!$F$1:$FF$1,0)-1)=TRUE),0,OFFSET(Ottone!$F$1,MATCH(H523,Ottone!$A:$A,0)-1,MATCH(I523,Ottone!$F$1:$FF$1,0)-1))*IF(E523="Ottone",1,0),4)</f>
        <v>0</v>
      </c>
      <c r="R523" s="446">
        <f ca="1">ROUND(IF(ISERROR(OFFSET(Rame!$F$1,MATCH(H523,Rame!$F:$F,0)-1,MATCH(I523,Rame!$F$1:$FF$1,0)-1)=TRUE),0,OFFSET(Rame!$F$1,MATCH(H523,Rame!$F:$F,0)-1,MATCH(I523,Rame!$F$1:$FF$1,0)-1))*IF(E523="Rame",1,0),4)</f>
        <v>0</v>
      </c>
      <c r="S523" s="446">
        <f ca="1">ROUND(IF(ISERROR(OFFSET(Bronzo!$A$1,MATCH(H523,Bronzo!$A:$A,0)-1,MATCH(I523,Bronzo!$A$1:$AA$1,0)-1)=TRUE),0,OFFSET(Bronzo!$A$1,MATCH(H523,Bronzo!$A:$A,0)-1,MATCH(I523,Bronzo!$A$1:$AA$1,0)-1)),4)</f>
        <v>0</v>
      </c>
      <c r="T523" s="446">
        <f t="shared" ca="1" si="185"/>
        <v>0</v>
      </c>
      <c r="U523" s="443"/>
      <c r="V523" s="446">
        <v>0</v>
      </c>
      <c r="W523" s="449">
        <f t="shared" ca="1" si="186"/>
        <v>0</v>
      </c>
      <c r="X523" s="452">
        <f t="shared" si="184"/>
        <v>0</v>
      </c>
      <c r="Y523" s="440"/>
      <c r="Z523" s="440">
        <f t="shared" ca="1" si="187"/>
        <v>0</v>
      </c>
      <c r="AA523" s="241"/>
      <c r="AH523" s="242"/>
    </row>
    <row r="524" spans="2:34" ht="15.75" x14ac:dyDescent="0.25">
      <c r="B524" s="229"/>
      <c r="C524" s="235"/>
      <c r="D524" s="243"/>
      <c r="E524" s="232"/>
      <c r="F524" s="435"/>
      <c r="G524" s="234"/>
      <c r="H524" s="235"/>
      <c r="I524" s="235"/>
      <c r="J524" s="440"/>
      <c r="K524" s="443">
        <f ca="1">ROUND(IF(ISERROR(OFFSET(Tabella!$A$1,MATCH(H524,Tabella!$A:$A,0)-1,MATCH(J524,Tabella!$A$1:$AC$1,0)-1)=TRUE),0,+OFFSET(Tabella!$A$1,MATCH(H524,Tabella!$A:$A,0)-1,MATCH(J524,Tabella!$A$1:$AC$1,0)-1)),4)</f>
        <v>0</v>
      </c>
      <c r="L524" s="446">
        <f ca="1">ROUND(IF(ISERROR(OFFSET(Ottone!$A$1,MATCH(H524,Ottone!$A:$A,0)-1,MATCH(J524,Ottone!$A$1:$Z$1,0)-1)=TRUE),0,OFFSET(Ottone!$A$1,MATCH(H524,Ottone!$A:$A,0)-1,MATCH(J524,Ottone!$A$1:$Z$1,0)-1))*IF(E524="Ottone",1,0),4)</f>
        <v>0</v>
      </c>
      <c r="M524" s="446">
        <f ca="1">ROUND(IF(ISERROR(OFFSET(Rame!$A$1,MATCH(H524,Rame!$A:$A,0)-1,MATCH(J524,Rame!$A$1:$AA$1,0)-1)=TRUE),0,OFFSET(Rame!$A$1,MATCH(H524,Rame!$A:$A,0)-1,MATCH(J524,Rame!$A$1:$AA$1,0)-1))*IF(E524="Rame",1,0),4)</f>
        <v>0</v>
      </c>
      <c r="N524" s="446">
        <v>0</v>
      </c>
      <c r="O524" s="446">
        <f t="shared" ca="1" si="188"/>
        <v>0</v>
      </c>
      <c r="P524" s="446">
        <f ca="1">ROUND(+IF(ISERROR(OFFSET(Tabella!$G$1,MATCH(H524,Tabella!$G:$G,0)-1,MATCH(I524,Tabella!$G$1:$FG$1,0)-1)=TRUE),0,OFFSET(Tabella!$G$1,MATCH(H524,Tabella!$G:$G,0)-1,MATCH(I524,Tabella!$G$1:$AB$1,0)-1)),4)</f>
        <v>0</v>
      </c>
      <c r="Q524" s="446">
        <f ca="1">ROUND(IF(ISERROR(OFFSET(Ottone!$F$1,MATCH(H524,Ottone!$A:$A,0)-1,MATCH(I524,Ottone!$F$1:$FF$1,0)-1)=TRUE),0,OFFSET(Ottone!$F$1,MATCH(H524,Ottone!$A:$A,0)-1,MATCH(I524,Ottone!$F$1:$FF$1,0)-1))*IF(E524="Ottone",1,0),4)</f>
        <v>0</v>
      </c>
      <c r="R524" s="446">
        <f ca="1">ROUND(IF(ISERROR(OFFSET(Rame!$F$1,MATCH(H524,Rame!$F:$F,0)-1,MATCH(I524,Rame!$F$1:$FF$1,0)-1)=TRUE),0,OFFSET(Rame!$F$1,MATCH(H524,Rame!$F:$F,0)-1,MATCH(I524,Rame!$F$1:$FF$1,0)-1))*IF(E524="Rame",1,0),4)</f>
        <v>0</v>
      </c>
      <c r="S524" s="446">
        <f ca="1">ROUND(IF(ISERROR(OFFSET(Bronzo!$A$1,MATCH(H524,Bronzo!$A:$A,0)-1,MATCH(I524,Bronzo!$A$1:$AA$1,0)-1)=TRUE),0,OFFSET(Bronzo!$A$1,MATCH(H524,Bronzo!$A:$A,0)-1,MATCH(I524,Bronzo!$A$1:$AA$1,0)-1)),4)</f>
        <v>0</v>
      </c>
      <c r="T524" s="446">
        <f t="shared" ca="1" si="185"/>
        <v>0</v>
      </c>
      <c r="U524" s="443"/>
      <c r="V524" s="446">
        <v>0</v>
      </c>
      <c r="W524" s="449">
        <f t="shared" ca="1" si="186"/>
        <v>0</v>
      </c>
      <c r="X524" s="452">
        <f t="shared" si="184"/>
        <v>0</v>
      </c>
      <c r="Y524" s="440"/>
      <c r="Z524" s="440">
        <f t="shared" ca="1" si="187"/>
        <v>0</v>
      </c>
      <c r="AA524" s="241"/>
      <c r="AH524" s="242"/>
    </row>
    <row r="525" spans="2:34" ht="15.75" x14ac:dyDescent="0.25">
      <c r="B525" s="229"/>
      <c r="C525" s="235"/>
      <c r="D525" s="243"/>
      <c r="E525" s="232"/>
      <c r="F525" s="435"/>
      <c r="G525" s="234"/>
      <c r="H525" s="235"/>
      <c r="I525" s="235"/>
      <c r="J525" s="440"/>
      <c r="K525" s="443">
        <f ca="1">ROUND(IF(ISERROR(OFFSET(Tabella!$A$1,MATCH(H525,Tabella!$A:$A,0)-1,MATCH(J525,Tabella!$A$1:$AC$1,0)-1)=TRUE),0,+OFFSET(Tabella!$A$1,MATCH(H525,Tabella!$A:$A,0)-1,MATCH(J525,Tabella!$A$1:$AC$1,0)-1)),4)</f>
        <v>0</v>
      </c>
      <c r="L525" s="446">
        <f ca="1">ROUND(IF(ISERROR(OFFSET(Ottone!$A$1,MATCH(H525,Ottone!$A:$A,0)-1,MATCH(J525,Ottone!$A$1:$Z$1,0)-1)=TRUE),0,OFFSET(Ottone!$A$1,MATCH(H525,Ottone!$A:$A,0)-1,MATCH(J525,Ottone!$A$1:$Z$1,0)-1))*IF(E525="Ottone",1,0),4)</f>
        <v>0</v>
      </c>
      <c r="M525" s="446">
        <f ca="1">ROUND(IF(ISERROR(OFFSET(Rame!$A$1,MATCH(H525,Rame!$A:$A,0)-1,MATCH(J525,Rame!$A$1:$AA$1,0)-1)=TRUE),0,OFFSET(Rame!$A$1,MATCH(H525,Rame!$A:$A,0)-1,MATCH(J525,Rame!$A$1:$AA$1,0)-1))*IF(E525="Rame",1,0),4)</f>
        <v>0</v>
      </c>
      <c r="N525" s="446">
        <v>0</v>
      </c>
      <c r="O525" s="446">
        <f t="shared" ca="1" si="188"/>
        <v>0</v>
      </c>
      <c r="P525" s="446">
        <f ca="1">ROUND(+IF(ISERROR(OFFSET(Tabella!$G$1,MATCH(H525,Tabella!$G:$G,0)-1,MATCH(I525,Tabella!$G$1:$FG$1,0)-1)=TRUE),0,OFFSET(Tabella!$G$1,MATCH(H525,Tabella!$G:$G,0)-1,MATCH(I525,Tabella!$G$1:$AB$1,0)-1)),4)</f>
        <v>0</v>
      </c>
      <c r="Q525" s="446">
        <f ca="1">ROUND(IF(ISERROR(OFFSET(Ottone!$F$1,MATCH(H525,Ottone!$A:$A,0)-1,MATCH(I525,Ottone!$F$1:$FF$1,0)-1)=TRUE),0,OFFSET(Ottone!$F$1,MATCH(H525,Ottone!$A:$A,0)-1,MATCH(I525,Ottone!$F$1:$FF$1,0)-1))*IF(E525="Ottone",1,0),4)</f>
        <v>0</v>
      </c>
      <c r="R525" s="446">
        <f ca="1">ROUND(IF(ISERROR(OFFSET(Rame!$F$1,MATCH(H525,Rame!$F:$F,0)-1,MATCH(I525,Rame!$F$1:$FF$1,0)-1)=TRUE),0,OFFSET(Rame!$F$1,MATCH(H525,Rame!$F:$F,0)-1,MATCH(I525,Rame!$F$1:$FF$1,0)-1))*IF(E525="Rame",1,0),4)</f>
        <v>0</v>
      </c>
      <c r="S525" s="446">
        <f ca="1">ROUND(IF(ISERROR(OFFSET(Bronzo!$A$1,MATCH(H525,Bronzo!$A:$A,0)-1,MATCH(I525,Bronzo!$A$1:$AA$1,0)-1)=TRUE),0,OFFSET(Bronzo!$A$1,MATCH(H525,Bronzo!$A:$A,0)-1,MATCH(I525,Bronzo!$A$1:$AA$1,0)-1)),4)</f>
        <v>0</v>
      </c>
      <c r="T525" s="446">
        <f t="shared" ca="1" si="185"/>
        <v>0</v>
      </c>
      <c r="U525" s="443"/>
      <c r="V525" s="446">
        <v>0</v>
      </c>
      <c r="W525" s="449">
        <f t="shared" ca="1" si="186"/>
        <v>0</v>
      </c>
      <c r="X525" s="452">
        <f t="shared" si="184"/>
        <v>0</v>
      </c>
      <c r="Y525" s="440"/>
      <c r="Z525" s="440">
        <f t="shared" ca="1" si="187"/>
        <v>0</v>
      </c>
      <c r="AA525" s="241"/>
      <c r="AH525" s="242"/>
    </row>
    <row r="526" spans="2:34" ht="15.75" x14ac:dyDescent="0.25">
      <c r="B526" s="229"/>
      <c r="C526" s="235"/>
      <c r="D526" s="243"/>
      <c r="E526" s="232"/>
      <c r="F526" s="435"/>
      <c r="G526" s="234"/>
      <c r="H526" s="235"/>
      <c r="I526" s="235"/>
      <c r="J526" s="440"/>
      <c r="K526" s="443">
        <f ca="1">ROUND(IF(ISERROR(OFFSET(Tabella!$A$1,MATCH(H526,Tabella!$A:$A,0)-1,MATCH(J526,Tabella!$A$1:$AC$1,0)-1)=TRUE),0,+OFFSET(Tabella!$A$1,MATCH(H526,Tabella!$A:$A,0)-1,MATCH(J526,Tabella!$A$1:$AC$1,0)-1)),4)</f>
        <v>0</v>
      </c>
      <c r="L526" s="446">
        <f ca="1">ROUND(IF(ISERROR(OFFSET(Ottone!$A$1,MATCH(H526,Ottone!$A:$A,0)-1,MATCH(J526,Ottone!$A$1:$Z$1,0)-1)=TRUE),0,OFFSET(Ottone!$A$1,MATCH(H526,Ottone!$A:$A,0)-1,MATCH(J526,Ottone!$A$1:$Z$1,0)-1))*IF(E526="Ottone",1,0),4)</f>
        <v>0</v>
      </c>
      <c r="M526" s="446">
        <f ca="1">ROUND(IF(ISERROR(OFFSET(Rame!$A$1,MATCH(H526,Rame!$A:$A,0)-1,MATCH(J526,Rame!$A$1:$AA$1,0)-1)=TRUE),0,OFFSET(Rame!$A$1,MATCH(H526,Rame!$A:$A,0)-1,MATCH(J526,Rame!$A$1:$AA$1,0)-1))*IF(E526="Rame",1,0),4)</f>
        <v>0</v>
      </c>
      <c r="N526" s="446">
        <v>0</v>
      </c>
      <c r="O526" s="446">
        <f t="shared" ca="1" si="188"/>
        <v>0</v>
      </c>
      <c r="P526" s="446">
        <f ca="1">ROUND(+IF(ISERROR(OFFSET(Tabella!$G$1,MATCH(H526,Tabella!$G:$G,0)-1,MATCH(I526,Tabella!$G$1:$FG$1,0)-1)=TRUE),0,OFFSET(Tabella!$G$1,MATCH(H526,Tabella!$G:$G,0)-1,MATCH(I526,Tabella!$G$1:$AB$1,0)-1)),4)</f>
        <v>0</v>
      </c>
      <c r="Q526" s="446">
        <f ca="1">ROUND(IF(ISERROR(OFFSET(Ottone!$F$1,MATCH(H526,Ottone!$A:$A,0)-1,MATCH(I526,Ottone!$F$1:$FF$1,0)-1)=TRUE),0,OFFSET(Ottone!$F$1,MATCH(H526,Ottone!$A:$A,0)-1,MATCH(I526,Ottone!$F$1:$FF$1,0)-1))*IF(E526="Ottone",1,0),4)</f>
        <v>0</v>
      </c>
      <c r="R526" s="446">
        <f ca="1">ROUND(IF(ISERROR(OFFSET(Rame!$F$1,MATCH(H526,Rame!$F:$F,0)-1,MATCH(I526,Rame!$F$1:$FF$1,0)-1)=TRUE),0,OFFSET(Rame!$F$1,MATCH(H526,Rame!$F:$F,0)-1,MATCH(I526,Rame!$F$1:$FF$1,0)-1))*IF(E526="Rame",1,0),4)</f>
        <v>0</v>
      </c>
      <c r="S526" s="446">
        <f ca="1">ROUND(IF(ISERROR(OFFSET(Bronzo!$A$1,MATCH(H526,Bronzo!$A:$A,0)-1,MATCH(I526,Bronzo!$A$1:$AA$1,0)-1)=TRUE),0,OFFSET(Bronzo!$A$1,MATCH(H526,Bronzo!$A:$A,0)-1,MATCH(I526,Bronzo!$A$1:$AA$1,0)-1)),4)</f>
        <v>0</v>
      </c>
      <c r="T526" s="446">
        <f t="shared" ca="1" si="185"/>
        <v>0</v>
      </c>
      <c r="U526" s="443"/>
      <c r="V526" s="446">
        <v>0</v>
      </c>
      <c r="W526" s="449">
        <f t="shared" ca="1" si="186"/>
        <v>0</v>
      </c>
      <c r="X526" s="452">
        <f t="shared" si="184"/>
        <v>0</v>
      </c>
      <c r="Y526" s="440"/>
      <c r="Z526" s="440">
        <f t="shared" ca="1" si="187"/>
        <v>0</v>
      </c>
      <c r="AA526" s="241"/>
      <c r="AH526" s="242"/>
    </row>
    <row r="527" spans="2:34" ht="15.75" x14ac:dyDescent="0.25">
      <c r="B527" s="229"/>
      <c r="C527" s="235"/>
      <c r="D527" s="243"/>
      <c r="E527" s="232"/>
      <c r="F527" s="435"/>
      <c r="G527" s="234"/>
      <c r="H527" s="235"/>
      <c r="I527" s="235"/>
      <c r="J527" s="440"/>
      <c r="K527" s="443">
        <f ca="1">ROUND(IF(ISERROR(OFFSET(Tabella!$A$1,MATCH(H527,Tabella!$A:$A,0)-1,MATCH(J527,Tabella!$A$1:$AC$1,0)-1)=TRUE),0,+OFFSET(Tabella!$A$1,MATCH(H527,Tabella!$A:$A,0)-1,MATCH(J527,Tabella!$A$1:$AC$1,0)-1)),4)</f>
        <v>0</v>
      </c>
      <c r="L527" s="446">
        <f ca="1">ROUND(IF(ISERROR(OFFSET(Ottone!$A$1,MATCH(H527,Ottone!$A:$A,0)-1,MATCH(J527,Ottone!$A$1:$Z$1,0)-1)=TRUE),0,OFFSET(Ottone!$A$1,MATCH(H527,Ottone!$A:$A,0)-1,MATCH(J527,Ottone!$A$1:$Z$1,0)-1))*IF(E527="Ottone",1,0),4)</f>
        <v>0</v>
      </c>
      <c r="M527" s="446">
        <f ca="1">ROUND(IF(ISERROR(OFFSET(Rame!$A$1,MATCH(H527,Rame!$A:$A,0)-1,MATCH(J527,Rame!$A$1:$AA$1,0)-1)=TRUE),0,OFFSET(Rame!$A$1,MATCH(H527,Rame!$A:$A,0)-1,MATCH(J527,Rame!$A$1:$AA$1,0)-1))*IF(E527="Rame",1,0),4)</f>
        <v>0</v>
      </c>
      <c r="N527" s="446">
        <v>0</v>
      </c>
      <c r="O527" s="446">
        <f t="shared" ca="1" si="188"/>
        <v>0</v>
      </c>
      <c r="P527" s="446">
        <f ca="1">ROUND(+IF(ISERROR(OFFSET(Tabella!$G$1,MATCH(H527,Tabella!$G:$G,0)-1,MATCH(I527,Tabella!$G$1:$FG$1,0)-1)=TRUE),0,OFFSET(Tabella!$G$1,MATCH(H527,Tabella!$G:$G,0)-1,MATCH(I527,Tabella!$G$1:$AB$1,0)-1)),4)</f>
        <v>0</v>
      </c>
      <c r="Q527" s="446">
        <f ca="1">ROUND(IF(ISERROR(OFFSET(Ottone!$F$1,MATCH(H527,Ottone!$A:$A,0)-1,MATCH(I527,Ottone!$F$1:$FF$1,0)-1)=TRUE),0,OFFSET(Ottone!$F$1,MATCH(H527,Ottone!$A:$A,0)-1,MATCH(I527,Ottone!$F$1:$FF$1,0)-1))*IF(E527="Ottone",1,0),4)</f>
        <v>0</v>
      </c>
      <c r="R527" s="446">
        <f ca="1">ROUND(IF(ISERROR(OFFSET(Rame!$F$1,MATCH(H527,Rame!$F:$F,0)-1,MATCH(I527,Rame!$F$1:$FF$1,0)-1)=TRUE),0,OFFSET(Rame!$F$1,MATCH(H527,Rame!$F:$F,0)-1,MATCH(I527,Rame!$F$1:$FF$1,0)-1))*IF(E527="Rame",1,0),4)</f>
        <v>0</v>
      </c>
      <c r="S527" s="446">
        <f ca="1">ROUND(IF(ISERROR(OFFSET(Bronzo!$A$1,MATCH(H527,Bronzo!$A:$A,0)-1,MATCH(I527,Bronzo!$A$1:$AA$1,0)-1)=TRUE),0,OFFSET(Bronzo!$A$1,MATCH(H527,Bronzo!$A:$A,0)-1,MATCH(I527,Bronzo!$A$1:$AA$1,0)-1)),4)</f>
        <v>0</v>
      </c>
      <c r="T527" s="446">
        <f t="shared" ca="1" si="185"/>
        <v>0</v>
      </c>
      <c r="U527" s="443"/>
      <c r="V527" s="446">
        <v>0</v>
      </c>
      <c r="W527" s="449">
        <f t="shared" ca="1" si="186"/>
        <v>0</v>
      </c>
      <c r="X527" s="452">
        <f t="shared" si="184"/>
        <v>0</v>
      </c>
      <c r="Y527" s="440"/>
      <c r="Z527" s="440">
        <f t="shared" ca="1" si="187"/>
        <v>0</v>
      </c>
      <c r="AA527" s="241"/>
      <c r="AH527" s="242"/>
    </row>
    <row r="528" spans="2:34" ht="15.75" x14ac:dyDescent="0.25">
      <c r="B528" s="229"/>
      <c r="C528" s="235"/>
      <c r="D528" s="243"/>
      <c r="E528" s="232"/>
      <c r="F528" s="435"/>
      <c r="G528" s="234"/>
      <c r="H528" s="235"/>
      <c r="I528" s="235"/>
      <c r="J528" s="440"/>
      <c r="K528" s="443">
        <f ca="1">ROUND(IF(ISERROR(OFFSET(Tabella!$A$1,MATCH(H528,Tabella!$A:$A,0)-1,MATCH(J528,Tabella!$A$1:$AC$1,0)-1)=TRUE),0,+OFFSET(Tabella!$A$1,MATCH(H528,Tabella!$A:$A,0)-1,MATCH(J528,Tabella!$A$1:$AC$1,0)-1)),4)</f>
        <v>0</v>
      </c>
      <c r="L528" s="446">
        <f ca="1">ROUND(IF(ISERROR(OFFSET(Ottone!$A$1,MATCH(H528,Ottone!$A:$A,0)-1,MATCH(J528,Ottone!$A$1:$Z$1,0)-1)=TRUE),0,OFFSET(Ottone!$A$1,MATCH(H528,Ottone!$A:$A,0)-1,MATCH(J528,Ottone!$A$1:$Z$1,0)-1))*IF(E528="Ottone",1,0),4)</f>
        <v>0</v>
      </c>
      <c r="M528" s="446">
        <f ca="1">ROUND(IF(ISERROR(OFFSET(Rame!$A$1,MATCH(H528,Rame!$A:$A,0)-1,MATCH(J528,Rame!$A$1:$AA$1,0)-1)=TRUE),0,OFFSET(Rame!$A$1,MATCH(H528,Rame!$A:$A,0)-1,MATCH(J528,Rame!$A$1:$AA$1,0)-1))*IF(E528="Rame",1,0),4)</f>
        <v>0</v>
      </c>
      <c r="N528" s="446">
        <v>0</v>
      </c>
      <c r="O528" s="446">
        <f t="shared" ca="1" si="188"/>
        <v>0</v>
      </c>
      <c r="P528" s="446">
        <f ca="1">ROUND(+IF(ISERROR(OFFSET(Tabella!$G$1,MATCH(H528,Tabella!$G:$G,0)-1,MATCH(I528,Tabella!$G$1:$FG$1,0)-1)=TRUE),0,OFFSET(Tabella!$G$1,MATCH(H528,Tabella!$G:$G,0)-1,MATCH(I528,Tabella!$G$1:$AB$1,0)-1)),4)</f>
        <v>0</v>
      </c>
      <c r="Q528" s="446">
        <f ca="1">ROUND(IF(ISERROR(OFFSET(Ottone!$F$1,MATCH(H528,Ottone!$A:$A,0)-1,MATCH(I528,Ottone!$F$1:$FF$1,0)-1)=TRUE),0,OFFSET(Ottone!$F$1,MATCH(H528,Ottone!$A:$A,0)-1,MATCH(I528,Ottone!$F$1:$FF$1,0)-1))*IF(E528="Ottone",1,0),4)</f>
        <v>0</v>
      </c>
      <c r="R528" s="446">
        <f ca="1">ROUND(IF(ISERROR(OFFSET(Rame!$F$1,MATCH(H528,Rame!$F:$F,0)-1,MATCH(I528,Rame!$F$1:$FF$1,0)-1)=TRUE),0,OFFSET(Rame!$F$1,MATCH(H528,Rame!$F:$F,0)-1,MATCH(I528,Rame!$F$1:$FF$1,0)-1))*IF(E528="Rame",1,0),4)</f>
        <v>0</v>
      </c>
      <c r="S528" s="446">
        <f ca="1">ROUND(IF(ISERROR(OFFSET(Bronzo!$A$1,MATCH(H528,Bronzo!$A:$A,0)-1,MATCH(I528,Bronzo!$A$1:$AA$1,0)-1)=TRUE),0,OFFSET(Bronzo!$A$1,MATCH(H528,Bronzo!$A:$A,0)-1,MATCH(I528,Bronzo!$A$1:$AA$1,0)-1)),4)</f>
        <v>0</v>
      </c>
      <c r="T528" s="446">
        <f t="shared" ca="1" si="185"/>
        <v>0</v>
      </c>
      <c r="U528" s="443"/>
      <c r="V528" s="446">
        <v>0</v>
      </c>
      <c r="W528" s="449">
        <f t="shared" ca="1" si="186"/>
        <v>0</v>
      </c>
      <c r="X528" s="452">
        <f t="shared" si="184"/>
        <v>0</v>
      </c>
      <c r="Y528" s="440"/>
      <c r="Z528" s="440">
        <f t="shared" ca="1" si="187"/>
        <v>0</v>
      </c>
      <c r="AA528" s="241"/>
      <c r="AH528" s="242"/>
    </row>
    <row r="529" spans="2:34" ht="15.75" x14ac:dyDescent="0.25">
      <c r="B529" s="229"/>
      <c r="C529" s="235"/>
      <c r="D529" s="243"/>
      <c r="E529" s="232"/>
      <c r="F529" s="435"/>
      <c r="G529" s="234"/>
      <c r="H529" s="235"/>
      <c r="I529" s="235"/>
      <c r="J529" s="440"/>
      <c r="K529" s="443">
        <f ca="1">ROUND(IF(ISERROR(OFFSET(Tabella!$A$1,MATCH(H529,Tabella!$A:$A,0)-1,MATCH(J529,Tabella!$A$1:$AC$1,0)-1)=TRUE),0,+OFFSET(Tabella!$A$1,MATCH(H529,Tabella!$A:$A,0)-1,MATCH(J529,Tabella!$A$1:$AC$1,0)-1)),4)</f>
        <v>0</v>
      </c>
      <c r="L529" s="446">
        <f ca="1">ROUND(IF(ISERROR(OFFSET(Ottone!$A$1,MATCH(H529,Ottone!$A:$A,0)-1,MATCH(J529,Ottone!$A$1:$Z$1,0)-1)=TRUE),0,OFFSET(Ottone!$A$1,MATCH(H529,Ottone!$A:$A,0)-1,MATCH(J529,Ottone!$A$1:$Z$1,0)-1))*IF(E529="Ottone",1,0),4)</f>
        <v>0</v>
      </c>
      <c r="M529" s="446">
        <f ca="1">ROUND(IF(ISERROR(OFFSET(Rame!$A$1,MATCH(H529,Rame!$A:$A,0)-1,MATCH(J529,Rame!$A$1:$AA$1,0)-1)=TRUE),0,OFFSET(Rame!$A$1,MATCH(H529,Rame!$A:$A,0)-1,MATCH(J529,Rame!$A$1:$AA$1,0)-1))*IF(E529="Rame",1,0),4)</f>
        <v>0</v>
      </c>
      <c r="N529" s="446">
        <v>0</v>
      </c>
      <c r="O529" s="446">
        <f t="shared" ca="1" si="188"/>
        <v>0</v>
      </c>
      <c r="P529" s="446">
        <f ca="1">ROUND(+IF(ISERROR(OFFSET(Tabella!$G$1,MATCH(H529,Tabella!$G:$G,0)-1,MATCH(I529,Tabella!$G$1:$FG$1,0)-1)=TRUE),0,OFFSET(Tabella!$G$1,MATCH(H529,Tabella!$G:$G,0)-1,MATCH(I529,Tabella!$G$1:$AB$1,0)-1)),4)</f>
        <v>0</v>
      </c>
      <c r="Q529" s="446">
        <f ca="1">ROUND(IF(ISERROR(OFFSET(Ottone!$F$1,MATCH(H529,Ottone!$A:$A,0)-1,MATCH(I529,Ottone!$F$1:$FF$1,0)-1)=TRUE),0,OFFSET(Ottone!$F$1,MATCH(H529,Ottone!$A:$A,0)-1,MATCH(I529,Ottone!$F$1:$FF$1,0)-1))*IF(E529="Ottone",1,0),4)</f>
        <v>0</v>
      </c>
      <c r="R529" s="446">
        <f ca="1">ROUND(IF(ISERROR(OFFSET(Rame!$F$1,MATCH(H529,Rame!$F:$F,0)-1,MATCH(I529,Rame!$F$1:$FF$1,0)-1)=TRUE),0,OFFSET(Rame!$F$1,MATCH(H529,Rame!$F:$F,0)-1,MATCH(I529,Rame!$F$1:$FF$1,0)-1))*IF(E529="Rame",1,0),4)</f>
        <v>0</v>
      </c>
      <c r="S529" s="446">
        <f ca="1">ROUND(IF(ISERROR(OFFSET(Bronzo!$A$1,MATCH(H529,Bronzo!$A:$A,0)-1,MATCH(I529,Bronzo!$A$1:$AA$1,0)-1)=TRUE),0,OFFSET(Bronzo!$A$1,MATCH(H529,Bronzo!$A:$A,0)-1,MATCH(I529,Bronzo!$A$1:$AA$1,0)-1)),4)</f>
        <v>0</v>
      </c>
      <c r="T529" s="446">
        <f t="shared" ca="1" si="185"/>
        <v>0</v>
      </c>
      <c r="U529" s="443"/>
      <c r="V529" s="446">
        <v>0</v>
      </c>
      <c r="W529" s="449">
        <f t="shared" ca="1" si="186"/>
        <v>0</v>
      </c>
      <c r="X529" s="452">
        <f t="shared" ref="X529:X592" si="189">ROUND(+J529*D529,4)</f>
        <v>0</v>
      </c>
      <c r="Y529" s="440"/>
      <c r="Z529" s="440">
        <f t="shared" ca="1" si="187"/>
        <v>0</v>
      </c>
      <c r="AA529" s="241"/>
      <c r="AH529" s="242"/>
    </row>
    <row r="530" spans="2:34" ht="15.75" x14ac:dyDescent="0.25">
      <c r="B530" s="229"/>
      <c r="C530" s="235"/>
      <c r="D530" s="243"/>
      <c r="E530" s="232"/>
      <c r="F530" s="435"/>
      <c r="G530" s="234"/>
      <c r="H530" s="235"/>
      <c r="I530" s="235"/>
      <c r="J530" s="440"/>
      <c r="K530" s="443">
        <f ca="1">ROUND(IF(ISERROR(OFFSET(Tabella!$A$1,MATCH(H530,Tabella!$A:$A,0)-1,MATCH(J530,Tabella!$A$1:$AC$1,0)-1)=TRUE),0,+OFFSET(Tabella!$A$1,MATCH(H530,Tabella!$A:$A,0)-1,MATCH(J530,Tabella!$A$1:$AC$1,0)-1)),4)</f>
        <v>0</v>
      </c>
      <c r="L530" s="446">
        <f ca="1">ROUND(IF(ISERROR(OFFSET(Ottone!$A$1,MATCH(H530,Ottone!$A:$A,0)-1,MATCH(J530,Ottone!$A$1:$Z$1,0)-1)=TRUE),0,OFFSET(Ottone!$A$1,MATCH(H530,Ottone!$A:$A,0)-1,MATCH(J530,Ottone!$A$1:$Z$1,0)-1))*IF(E530="Ottone",1,0),4)</f>
        <v>0</v>
      </c>
      <c r="M530" s="446">
        <f ca="1">ROUND(IF(ISERROR(OFFSET(Rame!$A$1,MATCH(H530,Rame!$A:$A,0)-1,MATCH(J530,Rame!$A$1:$AA$1,0)-1)=TRUE),0,OFFSET(Rame!$A$1,MATCH(H530,Rame!$A:$A,0)-1,MATCH(J530,Rame!$A$1:$AA$1,0)-1))*IF(E530="Rame",1,0),4)</f>
        <v>0</v>
      </c>
      <c r="N530" s="446">
        <v>0</v>
      </c>
      <c r="O530" s="446">
        <f t="shared" ca="1" si="188"/>
        <v>0</v>
      </c>
      <c r="P530" s="446">
        <f ca="1">ROUND(+IF(ISERROR(OFFSET(Tabella!$G$1,MATCH(H530,Tabella!$G:$G,0)-1,MATCH(I530,Tabella!$G$1:$FG$1,0)-1)=TRUE),0,OFFSET(Tabella!$G$1,MATCH(H530,Tabella!$G:$G,0)-1,MATCH(I530,Tabella!$G$1:$AB$1,0)-1)),4)</f>
        <v>0</v>
      </c>
      <c r="Q530" s="446">
        <f ca="1">ROUND(IF(ISERROR(OFFSET(Ottone!$F$1,MATCH(H530,Ottone!$A:$A,0)-1,MATCH(I530,Ottone!$F$1:$FF$1,0)-1)=TRUE),0,OFFSET(Ottone!$F$1,MATCH(H530,Ottone!$A:$A,0)-1,MATCH(I530,Ottone!$F$1:$FF$1,0)-1))*IF(E530="Ottone",1,0),4)</f>
        <v>0</v>
      </c>
      <c r="R530" s="446">
        <f ca="1">ROUND(IF(ISERROR(OFFSET(Rame!$F$1,MATCH(H530,Rame!$F:$F,0)-1,MATCH(I530,Rame!$F$1:$FF$1,0)-1)=TRUE),0,OFFSET(Rame!$F$1,MATCH(H530,Rame!$F:$F,0)-1,MATCH(I530,Rame!$F$1:$FF$1,0)-1))*IF(E530="Rame",1,0),4)</f>
        <v>0</v>
      </c>
      <c r="S530" s="446">
        <f ca="1">ROUND(IF(ISERROR(OFFSET(Bronzo!$A$1,MATCH(H530,Bronzo!$A:$A,0)-1,MATCH(I530,Bronzo!$A$1:$AA$1,0)-1)=TRUE),0,OFFSET(Bronzo!$A$1,MATCH(H530,Bronzo!$A:$A,0)-1,MATCH(I530,Bronzo!$A$1:$AA$1,0)-1)),4)</f>
        <v>0</v>
      </c>
      <c r="T530" s="446">
        <f t="shared" ca="1" si="185"/>
        <v>0</v>
      </c>
      <c r="U530" s="443"/>
      <c r="V530" s="446">
        <v>0</v>
      </c>
      <c r="W530" s="449">
        <f t="shared" ca="1" si="186"/>
        <v>0</v>
      </c>
      <c r="X530" s="452">
        <f t="shared" si="189"/>
        <v>0</v>
      </c>
      <c r="Y530" s="440"/>
      <c r="Z530" s="440">
        <f t="shared" ca="1" si="187"/>
        <v>0</v>
      </c>
      <c r="AA530" s="241"/>
      <c r="AH530" s="242"/>
    </row>
    <row r="531" spans="2:34" ht="15.75" x14ac:dyDescent="0.25">
      <c r="B531" s="229"/>
      <c r="C531" s="235"/>
      <c r="D531" s="243"/>
      <c r="E531" s="232"/>
      <c r="F531" s="435"/>
      <c r="G531" s="234"/>
      <c r="H531" s="235"/>
      <c r="I531" s="235"/>
      <c r="J531" s="440"/>
      <c r="K531" s="443">
        <f ca="1">ROUND(IF(ISERROR(OFFSET(Tabella!$A$1,MATCH(H531,Tabella!$A:$A,0)-1,MATCH(J531,Tabella!$A$1:$AC$1,0)-1)=TRUE),0,+OFFSET(Tabella!$A$1,MATCH(H531,Tabella!$A:$A,0)-1,MATCH(J531,Tabella!$A$1:$AC$1,0)-1)),4)</f>
        <v>0</v>
      </c>
      <c r="L531" s="446">
        <f ca="1">ROUND(IF(ISERROR(OFFSET(Ottone!$A$1,MATCH(H531,Ottone!$A:$A,0)-1,MATCH(J531,Ottone!$A$1:$Z$1,0)-1)=TRUE),0,OFFSET(Ottone!$A$1,MATCH(H531,Ottone!$A:$A,0)-1,MATCH(J531,Ottone!$A$1:$Z$1,0)-1))*IF(E531="Ottone",1,0),4)</f>
        <v>0</v>
      </c>
      <c r="M531" s="446">
        <f ca="1">ROUND(IF(ISERROR(OFFSET(Rame!$A$1,MATCH(H531,Rame!$A:$A,0)-1,MATCH(J531,Rame!$A$1:$AA$1,0)-1)=TRUE),0,OFFSET(Rame!$A$1,MATCH(H531,Rame!$A:$A,0)-1,MATCH(J531,Rame!$A$1:$AA$1,0)-1))*IF(E531="Rame",1,0),4)</f>
        <v>0</v>
      </c>
      <c r="N531" s="446">
        <v>0</v>
      </c>
      <c r="O531" s="446">
        <f t="shared" ca="1" si="188"/>
        <v>0</v>
      </c>
      <c r="P531" s="446">
        <f ca="1">ROUND(+IF(ISERROR(OFFSET(Tabella!$G$1,MATCH(H531,Tabella!$G:$G,0)-1,MATCH(I531,Tabella!$G$1:$FG$1,0)-1)=TRUE),0,OFFSET(Tabella!$G$1,MATCH(H531,Tabella!$G:$G,0)-1,MATCH(I531,Tabella!$G$1:$AB$1,0)-1)),4)</f>
        <v>0</v>
      </c>
      <c r="Q531" s="446">
        <f ca="1">ROUND(IF(ISERROR(OFFSET(Ottone!$F$1,MATCH(H531,Ottone!$A:$A,0)-1,MATCH(I531,Ottone!$F$1:$FF$1,0)-1)=TRUE),0,OFFSET(Ottone!$F$1,MATCH(H531,Ottone!$A:$A,0)-1,MATCH(I531,Ottone!$F$1:$FF$1,0)-1))*IF(E531="Ottone",1,0),4)</f>
        <v>0</v>
      </c>
      <c r="R531" s="446">
        <f ca="1">ROUND(IF(ISERROR(OFFSET(Rame!$F$1,MATCH(H531,Rame!$F:$F,0)-1,MATCH(I531,Rame!$F$1:$FF$1,0)-1)=TRUE),0,OFFSET(Rame!$F$1,MATCH(H531,Rame!$F:$F,0)-1,MATCH(I531,Rame!$F$1:$FF$1,0)-1))*IF(E531="Rame",1,0),4)</f>
        <v>0</v>
      </c>
      <c r="S531" s="446">
        <f ca="1">ROUND(IF(ISERROR(OFFSET(Bronzo!$A$1,MATCH(H531,Bronzo!$A:$A,0)-1,MATCH(I531,Bronzo!$A$1:$AA$1,0)-1)=TRUE),0,OFFSET(Bronzo!$A$1,MATCH(H531,Bronzo!$A:$A,0)-1,MATCH(I531,Bronzo!$A$1:$AA$1,0)-1)),4)</f>
        <v>0</v>
      </c>
      <c r="T531" s="446">
        <f t="shared" ca="1" si="185"/>
        <v>0</v>
      </c>
      <c r="U531" s="443"/>
      <c r="V531" s="446">
        <v>0</v>
      </c>
      <c r="W531" s="449">
        <f t="shared" ca="1" si="186"/>
        <v>0</v>
      </c>
      <c r="X531" s="452">
        <f t="shared" si="189"/>
        <v>0</v>
      </c>
      <c r="Y531" s="440"/>
      <c r="Z531" s="440">
        <f t="shared" ca="1" si="187"/>
        <v>0</v>
      </c>
      <c r="AA531" s="241"/>
      <c r="AH531" s="242"/>
    </row>
    <row r="532" spans="2:34" ht="15.75" x14ac:dyDescent="0.25">
      <c r="B532" s="229"/>
      <c r="C532" s="235"/>
      <c r="D532" s="243"/>
      <c r="E532" s="232"/>
      <c r="F532" s="435"/>
      <c r="G532" s="234"/>
      <c r="H532" s="235"/>
      <c r="I532" s="235"/>
      <c r="J532" s="440"/>
      <c r="K532" s="443">
        <f ca="1">ROUND(IF(ISERROR(OFFSET(Tabella!$A$1,MATCH(H532,Tabella!$A:$A,0)-1,MATCH(J532,Tabella!$A$1:$AC$1,0)-1)=TRUE),0,+OFFSET(Tabella!$A$1,MATCH(H532,Tabella!$A:$A,0)-1,MATCH(J532,Tabella!$A$1:$AC$1,0)-1)),4)</f>
        <v>0</v>
      </c>
      <c r="L532" s="446">
        <f ca="1">ROUND(IF(ISERROR(OFFSET(Ottone!$A$1,MATCH(H532,Ottone!$A:$A,0)-1,MATCH(J532,Ottone!$A$1:$Z$1,0)-1)=TRUE),0,OFFSET(Ottone!$A$1,MATCH(H532,Ottone!$A:$A,0)-1,MATCH(J532,Ottone!$A$1:$Z$1,0)-1))*IF(E532="Ottone",1,0),4)</f>
        <v>0</v>
      </c>
      <c r="M532" s="446">
        <f ca="1">ROUND(IF(ISERROR(OFFSET(Rame!$A$1,MATCH(H532,Rame!$A:$A,0)-1,MATCH(J532,Rame!$A$1:$AA$1,0)-1)=TRUE),0,OFFSET(Rame!$A$1,MATCH(H532,Rame!$A:$A,0)-1,MATCH(J532,Rame!$A$1:$AA$1,0)-1))*IF(E532="Rame",1,0),4)</f>
        <v>0</v>
      </c>
      <c r="N532" s="446">
        <v>0</v>
      </c>
      <c r="O532" s="446">
        <f t="shared" ca="1" si="188"/>
        <v>0</v>
      </c>
      <c r="P532" s="446">
        <f ca="1">ROUND(+IF(ISERROR(OFFSET(Tabella!$G$1,MATCH(H532,Tabella!$G:$G,0)-1,MATCH(I532,Tabella!$G$1:$FG$1,0)-1)=TRUE),0,OFFSET(Tabella!$G$1,MATCH(H532,Tabella!$G:$G,0)-1,MATCH(I532,Tabella!$G$1:$AB$1,0)-1)),4)</f>
        <v>0</v>
      </c>
      <c r="Q532" s="446">
        <f ca="1">ROUND(IF(ISERROR(OFFSET(Ottone!$F$1,MATCH(H532,Ottone!$A:$A,0)-1,MATCH(I532,Ottone!$F$1:$FF$1,0)-1)=TRUE),0,OFFSET(Ottone!$F$1,MATCH(H532,Ottone!$A:$A,0)-1,MATCH(I532,Ottone!$F$1:$FF$1,0)-1))*IF(E532="Ottone",1,0),4)</f>
        <v>0</v>
      </c>
      <c r="R532" s="446">
        <f ca="1">ROUND(IF(ISERROR(OFFSET(Rame!$F$1,MATCH(H532,Rame!$F:$F,0)-1,MATCH(I532,Rame!$F$1:$FF$1,0)-1)=TRUE),0,OFFSET(Rame!$F$1,MATCH(H532,Rame!$F:$F,0)-1,MATCH(I532,Rame!$F$1:$FF$1,0)-1))*IF(E532="Rame",1,0),4)</f>
        <v>0</v>
      </c>
      <c r="S532" s="446">
        <f ca="1">ROUND(IF(ISERROR(OFFSET(Bronzo!$A$1,MATCH(H532,Bronzo!$A:$A,0)-1,MATCH(I532,Bronzo!$A$1:$AA$1,0)-1)=TRUE),0,OFFSET(Bronzo!$A$1,MATCH(H532,Bronzo!$A:$A,0)-1,MATCH(I532,Bronzo!$A$1:$AA$1,0)-1)),4)</f>
        <v>0</v>
      </c>
      <c r="T532" s="446">
        <f t="shared" ca="1" si="185"/>
        <v>0</v>
      </c>
      <c r="U532" s="443"/>
      <c r="V532" s="446">
        <v>0</v>
      </c>
      <c r="W532" s="449">
        <f t="shared" ca="1" si="186"/>
        <v>0</v>
      </c>
      <c r="X532" s="452">
        <f t="shared" si="189"/>
        <v>0</v>
      </c>
      <c r="Y532" s="440"/>
      <c r="Z532" s="440">
        <f t="shared" ca="1" si="187"/>
        <v>0</v>
      </c>
      <c r="AA532" s="241"/>
      <c r="AH532" s="242"/>
    </row>
    <row r="533" spans="2:34" ht="15.75" x14ac:dyDescent="0.25">
      <c r="B533" s="229"/>
      <c r="C533" s="235"/>
      <c r="D533" s="243"/>
      <c r="E533" s="232"/>
      <c r="F533" s="435"/>
      <c r="G533" s="234"/>
      <c r="H533" s="235"/>
      <c r="I533" s="235"/>
      <c r="J533" s="440"/>
      <c r="K533" s="443">
        <f ca="1">ROUND(IF(ISERROR(OFFSET(Tabella!$A$1,MATCH(H533,Tabella!$A:$A,0)-1,MATCH(J533,Tabella!$A$1:$AC$1,0)-1)=TRUE),0,+OFFSET(Tabella!$A$1,MATCH(H533,Tabella!$A:$A,0)-1,MATCH(J533,Tabella!$A$1:$AC$1,0)-1)),4)</f>
        <v>0</v>
      </c>
      <c r="L533" s="446">
        <f ca="1">ROUND(IF(ISERROR(OFFSET(Ottone!$A$1,MATCH(H533,Ottone!$A:$A,0)-1,MATCH(J533,Ottone!$A$1:$Z$1,0)-1)=TRUE),0,OFFSET(Ottone!$A$1,MATCH(H533,Ottone!$A:$A,0)-1,MATCH(J533,Ottone!$A$1:$Z$1,0)-1))*IF(E533="Ottone",1,0),4)</f>
        <v>0</v>
      </c>
      <c r="M533" s="446">
        <f ca="1">ROUND(IF(ISERROR(OFFSET(Rame!$A$1,MATCH(H533,Rame!$A:$A,0)-1,MATCH(J533,Rame!$A$1:$AA$1,0)-1)=TRUE),0,OFFSET(Rame!$A$1,MATCH(H533,Rame!$A:$A,0)-1,MATCH(J533,Rame!$A$1:$AA$1,0)-1))*IF(E533="Rame",1,0),4)</f>
        <v>0</v>
      </c>
      <c r="N533" s="446">
        <v>0</v>
      </c>
      <c r="O533" s="446">
        <f t="shared" ca="1" si="188"/>
        <v>0</v>
      </c>
      <c r="P533" s="446">
        <f ca="1">ROUND(+IF(ISERROR(OFFSET(Tabella!$G$1,MATCH(H533,Tabella!$G:$G,0)-1,MATCH(I533,Tabella!$G$1:$FG$1,0)-1)=TRUE),0,OFFSET(Tabella!$G$1,MATCH(H533,Tabella!$G:$G,0)-1,MATCH(I533,Tabella!$G$1:$AB$1,0)-1)),4)</f>
        <v>0</v>
      </c>
      <c r="Q533" s="446">
        <f ca="1">ROUND(IF(ISERROR(OFFSET(Ottone!$F$1,MATCH(H533,Ottone!$A:$A,0)-1,MATCH(I533,Ottone!$F$1:$FF$1,0)-1)=TRUE),0,OFFSET(Ottone!$F$1,MATCH(H533,Ottone!$A:$A,0)-1,MATCH(I533,Ottone!$F$1:$FF$1,0)-1))*IF(E533="Ottone",1,0),4)</f>
        <v>0</v>
      </c>
      <c r="R533" s="446">
        <f ca="1">ROUND(IF(ISERROR(OFFSET(Rame!$F$1,MATCH(H533,Rame!$F:$F,0)-1,MATCH(I533,Rame!$F$1:$FF$1,0)-1)=TRUE),0,OFFSET(Rame!$F$1,MATCH(H533,Rame!$F:$F,0)-1,MATCH(I533,Rame!$F$1:$FF$1,0)-1))*IF(E533="Rame",1,0),4)</f>
        <v>0</v>
      </c>
      <c r="S533" s="446">
        <f ca="1">ROUND(IF(ISERROR(OFFSET(Bronzo!$A$1,MATCH(H533,Bronzo!$A:$A,0)-1,MATCH(I533,Bronzo!$A$1:$AA$1,0)-1)=TRUE),0,OFFSET(Bronzo!$A$1,MATCH(H533,Bronzo!$A:$A,0)-1,MATCH(I533,Bronzo!$A$1:$AA$1,0)-1)),4)</f>
        <v>0</v>
      </c>
      <c r="T533" s="446">
        <f t="shared" ca="1" si="185"/>
        <v>0</v>
      </c>
      <c r="U533" s="443"/>
      <c r="V533" s="446">
        <v>0</v>
      </c>
      <c r="W533" s="449">
        <f t="shared" ca="1" si="186"/>
        <v>0</v>
      </c>
      <c r="X533" s="452">
        <f t="shared" si="189"/>
        <v>0</v>
      </c>
      <c r="Y533" s="440"/>
      <c r="Z533" s="440">
        <f t="shared" ca="1" si="187"/>
        <v>0</v>
      </c>
      <c r="AA533" s="241"/>
      <c r="AH533" s="242"/>
    </row>
    <row r="534" spans="2:34" ht="15.75" x14ac:dyDescent="0.25">
      <c r="B534" s="229"/>
      <c r="C534" s="235"/>
      <c r="D534" s="243"/>
      <c r="E534" s="232"/>
      <c r="F534" s="435"/>
      <c r="G534" s="234"/>
      <c r="H534" s="235"/>
      <c r="I534" s="235"/>
      <c r="J534" s="440"/>
      <c r="K534" s="443">
        <f ca="1">ROUND(IF(ISERROR(OFFSET(Tabella!$A$1,MATCH(H534,Tabella!$A:$A,0)-1,MATCH(J534,Tabella!$A$1:$AC$1,0)-1)=TRUE),0,+OFFSET(Tabella!$A$1,MATCH(H534,Tabella!$A:$A,0)-1,MATCH(J534,Tabella!$A$1:$AC$1,0)-1)),4)</f>
        <v>0</v>
      </c>
      <c r="L534" s="446">
        <f ca="1">ROUND(IF(ISERROR(OFFSET(Ottone!$A$1,MATCH(H534,Ottone!$A:$A,0)-1,MATCH(J534,Ottone!$A$1:$Z$1,0)-1)=TRUE),0,OFFSET(Ottone!$A$1,MATCH(H534,Ottone!$A:$A,0)-1,MATCH(J534,Ottone!$A$1:$Z$1,0)-1))*IF(E534="Ottone",1,0),4)</f>
        <v>0</v>
      </c>
      <c r="M534" s="446">
        <f ca="1">ROUND(IF(ISERROR(OFFSET(Rame!$A$1,MATCH(H534,Rame!$A:$A,0)-1,MATCH(J534,Rame!$A$1:$AA$1,0)-1)=TRUE),0,OFFSET(Rame!$A$1,MATCH(H534,Rame!$A:$A,0)-1,MATCH(J534,Rame!$A$1:$AA$1,0)-1))*IF(E534="Rame",1,0),4)</f>
        <v>0</v>
      </c>
      <c r="N534" s="446">
        <v>0</v>
      </c>
      <c r="O534" s="446">
        <f t="shared" ca="1" si="188"/>
        <v>0</v>
      </c>
      <c r="P534" s="446">
        <f ca="1">ROUND(+IF(ISERROR(OFFSET(Tabella!$G$1,MATCH(H534,Tabella!$G:$G,0)-1,MATCH(I534,Tabella!$G$1:$FG$1,0)-1)=TRUE),0,OFFSET(Tabella!$G$1,MATCH(H534,Tabella!$G:$G,0)-1,MATCH(I534,Tabella!$G$1:$AB$1,0)-1)),4)</f>
        <v>0</v>
      </c>
      <c r="Q534" s="446">
        <f ca="1">ROUND(IF(ISERROR(OFFSET(Ottone!$F$1,MATCH(H534,Ottone!$A:$A,0)-1,MATCH(I534,Ottone!$F$1:$FF$1,0)-1)=TRUE),0,OFFSET(Ottone!$F$1,MATCH(H534,Ottone!$A:$A,0)-1,MATCH(I534,Ottone!$F$1:$FF$1,0)-1))*IF(E534="Ottone",1,0),4)</f>
        <v>0</v>
      </c>
      <c r="R534" s="446">
        <f ca="1">ROUND(IF(ISERROR(OFFSET(Rame!$F$1,MATCH(H534,Rame!$F:$F,0)-1,MATCH(I534,Rame!$F$1:$FF$1,0)-1)=TRUE),0,OFFSET(Rame!$F$1,MATCH(H534,Rame!$F:$F,0)-1,MATCH(I534,Rame!$F$1:$FF$1,0)-1))*IF(E534="Rame",1,0),4)</f>
        <v>0</v>
      </c>
      <c r="S534" s="446">
        <f ca="1">ROUND(IF(ISERROR(OFFSET(Bronzo!$A$1,MATCH(H534,Bronzo!$A:$A,0)-1,MATCH(I534,Bronzo!$A$1:$AA$1,0)-1)=TRUE),0,OFFSET(Bronzo!$A$1,MATCH(H534,Bronzo!$A:$A,0)-1,MATCH(I534,Bronzo!$A$1:$AA$1,0)-1)),4)</f>
        <v>0</v>
      </c>
      <c r="T534" s="446">
        <f t="shared" ca="1" si="185"/>
        <v>0</v>
      </c>
      <c r="U534" s="443"/>
      <c r="V534" s="446">
        <v>0</v>
      </c>
      <c r="W534" s="449">
        <f t="shared" ca="1" si="186"/>
        <v>0</v>
      </c>
      <c r="X534" s="452">
        <f t="shared" si="189"/>
        <v>0</v>
      </c>
      <c r="Y534" s="440"/>
      <c r="Z534" s="440">
        <f t="shared" ca="1" si="187"/>
        <v>0</v>
      </c>
      <c r="AA534" s="241"/>
      <c r="AH534" s="242"/>
    </row>
    <row r="535" spans="2:34" ht="15.75" x14ac:dyDescent="0.25">
      <c r="B535" s="229"/>
      <c r="C535" s="235"/>
      <c r="D535" s="243"/>
      <c r="E535" s="232"/>
      <c r="F535" s="435"/>
      <c r="G535" s="234"/>
      <c r="H535" s="235"/>
      <c r="I535" s="235"/>
      <c r="J535" s="440"/>
      <c r="K535" s="443">
        <f ca="1">ROUND(IF(ISERROR(OFFSET(Tabella!$A$1,MATCH(H535,Tabella!$A:$A,0)-1,MATCH(J535,Tabella!$A$1:$AC$1,0)-1)=TRUE),0,+OFFSET(Tabella!$A$1,MATCH(H535,Tabella!$A:$A,0)-1,MATCH(J535,Tabella!$A$1:$AC$1,0)-1)),4)</f>
        <v>0</v>
      </c>
      <c r="L535" s="446">
        <f ca="1">ROUND(IF(ISERROR(OFFSET(Ottone!$A$1,MATCH(H535,Ottone!$A:$A,0)-1,MATCH(J535,Ottone!$A$1:$Z$1,0)-1)=TRUE),0,OFFSET(Ottone!$A$1,MATCH(H535,Ottone!$A:$A,0)-1,MATCH(J535,Ottone!$A$1:$Z$1,0)-1))*IF(E535="Ottone",1,0),4)</f>
        <v>0</v>
      </c>
      <c r="M535" s="446">
        <f ca="1">ROUND(IF(ISERROR(OFFSET(Rame!$A$1,MATCH(H535,Rame!$A:$A,0)-1,MATCH(J535,Rame!$A$1:$AA$1,0)-1)=TRUE),0,OFFSET(Rame!$A$1,MATCH(H535,Rame!$A:$A,0)-1,MATCH(J535,Rame!$A$1:$AA$1,0)-1))*IF(E535="Rame",1,0),4)</f>
        <v>0</v>
      </c>
      <c r="N535" s="446">
        <v>0</v>
      </c>
      <c r="O535" s="446">
        <f t="shared" ca="1" si="188"/>
        <v>0</v>
      </c>
      <c r="P535" s="446">
        <f ca="1">ROUND(+IF(ISERROR(OFFSET(Tabella!$G$1,MATCH(H535,Tabella!$G:$G,0)-1,MATCH(I535,Tabella!$G$1:$FG$1,0)-1)=TRUE),0,OFFSET(Tabella!$G$1,MATCH(H535,Tabella!$G:$G,0)-1,MATCH(I535,Tabella!$G$1:$AB$1,0)-1)),4)</f>
        <v>0</v>
      </c>
      <c r="Q535" s="446">
        <f ca="1">ROUND(IF(ISERROR(OFFSET(Ottone!$F$1,MATCH(H535,Ottone!$A:$A,0)-1,MATCH(I535,Ottone!$F$1:$FF$1,0)-1)=TRUE),0,OFFSET(Ottone!$F$1,MATCH(H535,Ottone!$A:$A,0)-1,MATCH(I535,Ottone!$F$1:$FF$1,0)-1))*IF(E535="Ottone",1,0),4)</f>
        <v>0</v>
      </c>
      <c r="R535" s="446">
        <f ca="1">ROUND(IF(ISERROR(OFFSET(Rame!$F$1,MATCH(H535,Rame!$F:$F,0)-1,MATCH(I535,Rame!$F$1:$FF$1,0)-1)=TRUE),0,OFFSET(Rame!$F$1,MATCH(H535,Rame!$F:$F,0)-1,MATCH(I535,Rame!$F$1:$FF$1,0)-1))*IF(E535="Rame",1,0),4)</f>
        <v>0</v>
      </c>
      <c r="S535" s="446">
        <f ca="1">ROUND(IF(ISERROR(OFFSET(Bronzo!$A$1,MATCH(H535,Bronzo!$A:$A,0)-1,MATCH(I535,Bronzo!$A$1:$AA$1,0)-1)=TRUE),0,OFFSET(Bronzo!$A$1,MATCH(H535,Bronzo!$A:$A,0)-1,MATCH(I535,Bronzo!$A$1:$AA$1,0)-1)),4)</f>
        <v>0</v>
      </c>
      <c r="T535" s="446">
        <f t="shared" ref="T535:T598" ca="1" si="190">ROUND(SUM(P535:S535),4)</f>
        <v>0</v>
      </c>
      <c r="U535" s="443"/>
      <c r="V535" s="446">
        <v>0</v>
      </c>
      <c r="W535" s="449">
        <f t="shared" ref="W535:W598" ca="1" si="191">ROUND(+O535+T535+U535+V535,4)</f>
        <v>0</v>
      </c>
      <c r="X535" s="452">
        <f t="shared" si="189"/>
        <v>0</v>
      </c>
      <c r="Y535" s="440"/>
      <c r="Z535" s="440">
        <f t="shared" ref="Z535:Z598" ca="1" si="192">ROUND(+Y535-W535-F535,4)</f>
        <v>0</v>
      </c>
      <c r="AA535" s="241"/>
      <c r="AH535" s="242"/>
    </row>
    <row r="536" spans="2:34" ht="15.75" x14ac:dyDescent="0.25">
      <c r="B536" s="229"/>
      <c r="C536" s="235"/>
      <c r="D536" s="243"/>
      <c r="E536" s="232"/>
      <c r="F536" s="435"/>
      <c r="G536" s="234"/>
      <c r="H536" s="235"/>
      <c r="I536" s="235"/>
      <c r="J536" s="440"/>
      <c r="K536" s="443">
        <f ca="1">ROUND(IF(ISERROR(OFFSET(Tabella!$A$1,MATCH(H536,Tabella!$A:$A,0)-1,MATCH(J536,Tabella!$A$1:$AC$1,0)-1)=TRUE),0,+OFFSET(Tabella!$A$1,MATCH(H536,Tabella!$A:$A,0)-1,MATCH(J536,Tabella!$A$1:$AC$1,0)-1)),4)</f>
        <v>0</v>
      </c>
      <c r="L536" s="446">
        <f ca="1">ROUND(IF(ISERROR(OFFSET(Ottone!$A$1,MATCH(H536,Ottone!$A:$A,0)-1,MATCH(J536,Ottone!$A$1:$Z$1,0)-1)=TRUE),0,OFFSET(Ottone!$A$1,MATCH(H536,Ottone!$A:$A,0)-1,MATCH(J536,Ottone!$A$1:$Z$1,0)-1))*IF(E536="Ottone",1,0),4)</f>
        <v>0</v>
      </c>
      <c r="M536" s="446">
        <f ca="1">ROUND(IF(ISERROR(OFFSET(Rame!$A$1,MATCH(H536,Rame!$A:$A,0)-1,MATCH(J536,Rame!$A$1:$AA$1,0)-1)=TRUE),0,OFFSET(Rame!$A$1,MATCH(H536,Rame!$A:$A,0)-1,MATCH(J536,Rame!$A$1:$AA$1,0)-1))*IF(E536="Rame",1,0),4)</f>
        <v>0</v>
      </c>
      <c r="N536" s="446">
        <v>0</v>
      </c>
      <c r="O536" s="446">
        <f t="shared" ca="1" si="188"/>
        <v>0</v>
      </c>
      <c r="P536" s="446">
        <f ca="1">ROUND(+IF(ISERROR(OFFSET(Tabella!$G$1,MATCH(H536,Tabella!$G:$G,0)-1,MATCH(I536,Tabella!$G$1:$FG$1,0)-1)=TRUE),0,OFFSET(Tabella!$G$1,MATCH(H536,Tabella!$G:$G,0)-1,MATCH(I536,Tabella!$G$1:$AB$1,0)-1)),4)</f>
        <v>0</v>
      </c>
      <c r="Q536" s="446">
        <f ca="1">ROUND(IF(ISERROR(OFFSET(Ottone!$F$1,MATCH(H536,Ottone!$A:$A,0)-1,MATCH(I536,Ottone!$F$1:$FF$1,0)-1)=TRUE),0,OFFSET(Ottone!$F$1,MATCH(H536,Ottone!$A:$A,0)-1,MATCH(I536,Ottone!$F$1:$FF$1,0)-1))*IF(E536="Ottone",1,0),4)</f>
        <v>0</v>
      </c>
      <c r="R536" s="446">
        <f ca="1">ROUND(IF(ISERROR(OFFSET(Rame!$F$1,MATCH(H536,Rame!$F:$F,0)-1,MATCH(I536,Rame!$F$1:$FF$1,0)-1)=TRUE),0,OFFSET(Rame!$F$1,MATCH(H536,Rame!$F:$F,0)-1,MATCH(I536,Rame!$F$1:$FF$1,0)-1))*IF(E536="Rame",1,0),4)</f>
        <v>0</v>
      </c>
      <c r="S536" s="446">
        <f ca="1">ROUND(IF(ISERROR(OFFSET(Bronzo!$A$1,MATCH(H536,Bronzo!$A:$A,0)-1,MATCH(I536,Bronzo!$A$1:$AA$1,0)-1)=TRUE),0,OFFSET(Bronzo!$A$1,MATCH(H536,Bronzo!$A:$A,0)-1,MATCH(I536,Bronzo!$A$1:$AA$1,0)-1)),4)</f>
        <v>0</v>
      </c>
      <c r="T536" s="446">
        <f t="shared" ca="1" si="190"/>
        <v>0</v>
      </c>
      <c r="U536" s="443"/>
      <c r="V536" s="446">
        <v>0</v>
      </c>
      <c r="W536" s="449">
        <f t="shared" ca="1" si="191"/>
        <v>0</v>
      </c>
      <c r="X536" s="452">
        <f t="shared" si="189"/>
        <v>0</v>
      </c>
      <c r="Y536" s="440"/>
      <c r="Z536" s="440">
        <f t="shared" ca="1" si="192"/>
        <v>0</v>
      </c>
      <c r="AA536" s="241"/>
      <c r="AH536" s="242"/>
    </row>
    <row r="537" spans="2:34" ht="15.75" x14ac:dyDescent="0.25">
      <c r="B537" s="229"/>
      <c r="C537" s="235"/>
      <c r="D537" s="243"/>
      <c r="E537" s="232"/>
      <c r="F537" s="435"/>
      <c r="G537" s="234"/>
      <c r="H537" s="235"/>
      <c r="I537" s="235"/>
      <c r="J537" s="440"/>
      <c r="K537" s="443">
        <f ca="1">ROUND(IF(ISERROR(OFFSET(Tabella!$A$1,MATCH(H537,Tabella!$A:$A,0)-1,MATCH(J537,Tabella!$A$1:$AC$1,0)-1)=TRUE),0,+OFFSET(Tabella!$A$1,MATCH(H537,Tabella!$A:$A,0)-1,MATCH(J537,Tabella!$A$1:$AC$1,0)-1)),4)</f>
        <v>0</v>
      </c>
      <c r="L537" s="446">
        <f ca="1">ROUND(IF(ISERROR(OFFSET(Ottone!$A$1,MATCH(H537,Ottone!$A:$A,0)-1,MATCH(J537,Ottone!$A$1:$Z$1,0)-1)=TRUE),0,OFFSET(Ottone!$A$1,MATCH(H537,Ottone!$A:$A,0)-1,MATCH(J537,Ottone!$A$1:$Z$1,0)-1))*IF(E537="Ottone",1,0),4)</f>
        <v>0</v>
      </c>
      <c r="M537" s="446">
        <f ca="1">ROUND(IF(ISERROR(OFFSET(Rame!$A$1,MATCH(H537,Rame!$A:$A,0)-1,MATCH(J537,Rame!$A$1:$AA$1,0)-1)=TRUE),0,OFFSET(Rame!$A$1,MATCH(H537,Rame!$A:$A,0)-1,MATCH(J537,Rame!$A$1:$AA$1,0)-1))*IF(E537="Rame",1,0),4)</f>
        <v>0</v>
      </c>
      <c r="N537" s="446">
        <v>0</v>
      </c>
      <c r="O537" s="446">
        <f t="shared" ca="1" si="188"/>
        <v>0</v>
      </c>
      <c r="P537" s="446">
        <f ca="1">ROUND(+IF(ISERROR(OFFSET(Tabella!$G$1,MATCH(H537,Tabella!$G:$G,0)-1,MATCH(I537,Tabella!$G$1:$FG$1,0)-1)=TRUE),0,OFFSET(Tabella!$G$1,MATCH(H537,Tabella!$G:$G,0)-1,MATCH(I537,Tabella!$G$1:$AB$1,0)-1)),4)</f>
        <v>0</v>
      </c>
      <c r="Q537" s="446">
        <f ca="1">ROUND(IF(ISERROR(OFFSET(Ottone!$F$1,MATCH(H537,Ottone!$A:$A,0)-1,MATCH(I537,Ottone!$F$1:$FF$1,0)-1)=TRUE),0,OFFSET(Ottone!$F$1,MATCH(H537,Ottone!$A:$A,0)-1,MATCH(I537,Ottone!$F$1:$FF$1,0)-1))*IF(E537="Ottone",1,0),4)</f>
        <v>0</v>
      </c>
      <c r="R537" s="446">
        <f ca="1">ROUND(IF(ISERROR(OFFSET(Rame!$F$1,MATCH(H537,Rame!$F:$F,0)-1,MATCH(I537,Rame!$F$1:$FF$1,0)-1)=TRUE),0,OFFSET(Rame!$F$1,MATCH(H537,Rame!$F:$F,0)-1,MATCH(I537,Rame!$F$1:$FF$1,0)-1))*IF(E537="Rame",1,0),4)</f>
        <v>0</v>
      </c>
      <c r="S537" s="446">
        <f ca="1">ROUND(IF(ISERROR(OFFSET(Bronzo!$A$1,MATCH(H537,Bronzo!$A:$A,0)-1,MATCH(I537,Bronzo!$A$1:$AA$1,0)-1)=TRUE),0,OFFSET(Bronzo!$A$1,MATCH(H537,Bronzo!$A:$A,0)-1,MATCH(I537,Bronzo!$A$1:$AA$1,0)-1)),4)</f>
        <v>0</v>
      </c>
      <c r="T537" s="446">
        <f t="shared" ca="1" si="190"/>
        <v>0</v>
      </c>
      <c r="U537" s="443"/>
      <c r="V537" s="446">
        <v>0</v>
      </c>
      <c r="W537" s="449">
        <f t="shared" ca="1" si="191"/>
        <v>0</v>
      </c>
      <c r="X537" s="452">
        <f t="shared" si="189"/>
        <v>0</v>
      </c>
      <c r="Y537" s="440"/>
      <c r="Z537" s="440">
        <f t="shared" ca="1" si="192"/>
        <v>0</v>
      </c>
      <c r="AA537" s="241"/>
      <c r="AH537" s="242"/>
    </row>
    <row r="538" spans="2:34" ht="15.75" x14ac:dyDescent="0.25">
      <c r="B538" s="229"/>
      <c r="C538" s="235"/>
      <c r="D538" s="243"/>
      <c r="E538" s="232"/>
      <c r="F538" s="435"/>
      <c r="G538" s="234"/>
      <c r="H538" s="235"/>
      <c r="I538" s="235"/>
      <c r="J538" s="440"/>
      <c r="K538" s="443">
        <f ca="1">ROUND(IF(ISERROR(OFFSET(Tabella!$A$1,MATCH(H538,Tabella!$A:$A,0)-1,MATCH(J538,Tabella!$A$1:$AC$1,0)-1)=TRUE),0,+OFFSET(Tabella!$A$1,MATCH(H538,Tabella!$A:$A,0)-1,MATCH(J538,Tabella!$A$1:$AC$1,0)-1)),4)</f>
        <v>0</v>
      </c>
      <c r="L538" s="446">
        <f ca="1">ROUND(IF(ISERROR(OFFSET(Ottone!$A$1,MATCH(H538,Ottone!$A:$A,0)-1,MATCH(J538,Ottone!$A$1:$Z$1,0)-1)=TRUE),0,OFFSET(Ottone!$A$1,MATCH(H538,Ottone!$A:$A,0)-1,MATCH(J538,Ottone!$A$1:$Z$1,0)-1))*IF(E538="Ottone",1,0),4)</f>
        <v>0</v>
      </c>
      <c r="M538" s="446">
        <f ca="1">ROUND(IF(ISERROR(OFFSET(Rame!$A$1,MATCH(H538,Rame!$A:$A,0)-1,MATCH(J538,Rame!$A$1:$AA$1,0)-1)=TRUE),0,OFFSET(Rame!$A$1,MATCH(H538,Rame!$A:$A,0)-1,MATCH(J538,Rame!$A$1:$AA$1,0)-1))*IF(E538="Rame",1,0),4)</f>
        <v>0</v>
      </c>
      <c r="N538" s="446">
        <v>0</v>
      </c>
      <c r="O538" s="446">
        <f t="shared" ca="1" si="188"/>
        <v>0</v>
      </c>
      <c r="P538" s="446">
        <f ca="1">ROUND(+IF(ISERROR(OFFSET(Tabella!$G$1,MATCH(H538,Tabella!$G:$G,0)-1,MATCH(I538,Tabella!$G$1:$FG$1,0)-1)=TRUE),0,OFFSET(Tabella!$G$1,MATCH(H538,Tabella!$G:$G,0)-1,MATCH(I538,Tabella!$G$1:$AB$1,0)-1)),4)</f>
        <v>0</v>
      </c>
      <c r="Q538" s="446">
        <f ca="1">ROUND(IF(ISERROR(OFFSET(Ottone!$F$1,MATCH(H538,Ottone!$A:$A,0)-1,MATCH(I538,Ottone!$F$1:$FF$1,0)-1)=TRUE),0,OFFSET(Ottone!$F$1,MATCH(H538,Ottone!$A:$A,0)-1,MATCH(I538,Ottone!$F$1:$FF$1,0)-1))*IF(E538="Ottone",1,0),4)</f>
        <v>0</v>
      </c>
      <c r="R538" s="446">
        <f ca="1">ROUND(IF(ISERROR(OFFSET(Rame!$F$1,MATCH(H538,Rame!$F:$F,0)-1,MATCH(I538,Rame!$F$1:$FF$1,0)-1)=TRUE),0,OFFSET(Rame!$F$1,MATCH(H538,Rame!$F:$F,0)-1,MATCH(I538,Rame!$F$1:$FF$1,0)-1))*IF(E538="Rame",1,0),4)</f>
        <v>0</v>
      </c>
      <c r="S538" s="446">
        <f ca="1">ROUND(IF(ISERROR(OFFSET(Bronzo!$A$1,MATCH(H538,Bronzo!$A:$A,0)-1,MATCH(I538,Bronzo!$A$1:$AA$1,0)-1)=TRUE),0,OFFSET(Bronzo!$A$1,MATCH(H538,Bronzo!$A:$A,0)-1,MATCH(I538,Bronzo!$A$1:$AA$1,0)-1)),4)</f>
        <v>0</v>
      </c>
      <c r="T538" s="446">
        <f t="shared" ca="1" si="190"/>
        <v>0</v>
      </c>
      <c r="U538" s="443"/>
      <c r="V538" s="446">
        <v>0</v>
      </c>
      <c r="W538" s="449">
        <f t="shared" ca="1" si="191"/>
        <v>0</v>
      </c>
      <c r="X538" s="452">
        <f t="shared" si="189"/>
        <v>0</v>
      </c>
      <c r="Y538" s="440"/>
      <c r="Z538" s="440">
        <f t="shared" ca="1" si="192"/>
        <v>0</v>
      </c>
      <c r="AA538" s="241"/>
      <c r="AH538" s="242"/>
    </row>
    <row r="539" spans="2:34" ht="15.75" x14ac:dyDescent="0.25">
      <c r="B539" s="229"/>
      <c r="C539" s="235"/>
      <c r="D539" s="243"/>
      <c r="E539" s="232"/>
      <c r="F539" s="435"/>
      <c r="G539" s="234"/>
      <c r="H539" s="235"/>
      <c r="I539" s="235"/>
      <c r="J539" s="440"/>
      <c r="K539" s="443">
        <f ca="1">ROUND(IF(ISERROR(OFFSET(Tabella!$A$1,MATCH(H539,Tabella!$A:$A,0)-1,MATCH(J539,Tabella!$A$1:$AC$1,0)-1)=TRUE),0,+OFFSET(Tabella!$A$1,MATCH(H539,Tabella!$A:$A,0)-1,MATCH(J539,Tabella!$A$1:$AC$1,0)-1)),4)</f>
        <v>0</v>
      </c>
      <c r="L539" s="446">
        <f ca="1">ROUND(IF(ISERROR(OFFSET(Ottone!$A$1,MATCH(H539,Ottone!$A:$A,0)-1,MATCH(J539,Ottone!$A$1:$Z$1,0)-1)=TRUE),0,OFFSET(Ottone!$A$1,MATCH(H539,Ottone!$A:$A,0)-1,MATCH(J539,Ottone!$A$1:$Z$1,0)-1))*IF(E539="Ottone",1,0),4)</f>
        <v>0</v>
      </c>
      <c r="M539" s="446">
        <f ca="1">ROUND(IF(ISERROR(OFFSET(Rame!$A$1,MATCH(H539,Rame!$A:$A,0)-1,MATCH(J539,Rame!$A$1:$AA$1,0)-1)=TRUE),0,OFFSET(Rame!$A$1,MATCH(H539,Rame!$A:$A,0)-1,MATCH(J539,Rame!$A$1:$AA$1,0)-1))*IF(E539="Rame",1,0),4)</f>
        <v>0</v>
      </c>
      <c r="N539" s="446">
        <v>0</v>
      </c>
      <c r="O539" s="446">
        <f t="shared" ca="1" si="188"/>
        <v>0</v>
      </c>
      <c r="P539" s="446">
        <f ca="1">ROUND(+IF(ISERROR(OFFSET(Tabella!$G$1,MATCH(H539,Tabella!$G:$G,0)-1,MATCH(I539,Tabella!$G$1:$FG$1,0)-1)=TRUE),0,OFFSET(Tabella!$G$1,MATCH(H539,Tabella!$G:$G,0)-1,MATCH(I539,Tabella!$G$1:$AB$1,0)-1)),4)</f>
        <v>0</v>
      </c>
      <c r="Q539" s="446">
        <f ca="1">ROUND(IF(ISERROR(OFFSET(Ottone!$F$1,MATCH(H539,Ottone!$A:$A,0)-1,MATCH(I539,Ottone!$F$1:$FF$1,0)-1)=TRUE),0,OFFSET(Ottone!$F$1,MATCH(H539,Ottone!$A:$A,0)-1,MATCH(I539,Ottone!$F$1:$FF$1,0)-1))*IF(E539="Ottone",1,0),4)</f>
        <v>0</v>
      </c>
      <c r="R539" s="446">
        <f ca="1">ROUND(IF(ISERROR(OFFSET(Rame!$F$1,MATCH(H539,Rame!$F:$F,0)-1,MATCH(I539,Rame!$F$1:$FF$1,0)-1)=TRUE),0,OFFSET(Rame!$F$1,MATCH(H539,Rame!$F:$F,0)-1,MATCH(I539,Rame!$F$1:$FF$1,0)-1))*IF(E539="Rame",1,0),4)</f>
        <v>0</v>
      </c>
      <c r="S539" s="446">
        <f ca="1">ROUND(IF(ISERROR(OFFSET(Bronzo!$A$1,MATCH(H539,Bronzo!$A:$A,0)-1,MATCH(I539,Bronzo!$A$1:$AA$1,0)-1)=TRUE),0,OFFSET(Bronzo!$A$1,MATCH(H539,Bronzo!$A:$A,0)-1,MATCH(I539,Bronzo!$A$1:$AA$1,0)-1)),4)</f>
        <v>0</v>
      </c>
      <c r="T539" s="446">
        <f t="shared" ca="1" si="190"/>
        <v>0</v>
      </c>
      <c r="U539" s="443"/>
      <c r="V539" s="446">
        <v>0</v>
      </c>
      <c r="W539" s="449">
        <f t="shared" ca="1" si="191"/>
        <v>0</v>
      </c>
      <c r="X539" s="452">
        <f t="shared" si="189"/>
        <v>0</v>
      </c>
      <c r="Y539" s="440"/>
      <c r="Z539" s="440">
        <f t="shared" ca="1" si="192"/>
        <v>0</v>
      </c>
      <c r="AA539" s="241"/>
      <c r="AH539" s="242"/>
    </row>
    <row r="540" spans="2:34" ht="15.75" x14ac:dyDescent="0.25">
      <c r="B540" s="229"/>
      <c r="C540" s="235"/>
      <c r="D540" s="243"/>
      <c r="E540" s="232"/>
      <c r="F540" s="435"/>
      <c r="G540" s="234"/>
      <c r="H540" s="235"/>
      <c r="I540" s="235"/>
      <c r="J540" s="440"/>
      <c r="K540" s="443">
        <f ca="1">ROUND(IF(ISERROR(OFFSET(Tabella!$A$1,MATCH(H540,Tabella!$A:$A,0)-1,MATCH(J540,Tabella!$A$1:$AC$1,0)-1)=TRUE),0,+OFFSET(Tabella!$A$1,MATCH(H540,Tabella!$A:$A,0)-1,MATCH(J540,Tabella!$A$1:$AC$1,0)-1)),4)</f>
        <v>0</v>
      </c>
      <c r="L540" s="446">
        <f ca="1">ROUND(IF(ISERROR(OFFSET(Ottone!$A$1,MATCH(H540,Ottone!$A:$A,0)-1,MATCH(J540,Ottone!$A$1:$Z$1,0)-1)=TRUE),0,OFFSET(Ottone!$A$1,MATCH(H540,Ottone!$A:$A,0)-1,MATCH(J540,Ottone!$A$1:$Z$1,0)-1))*IF(E540="Ottone",1,0),4)</f>
        <v>0</v>
      </c>
      <c r="M540" s="446">
        <f ca="1">ROUND(IF(ISERROR(OFFSET(Rame!$A$1,MATCH(H540,Rame!$A:$A,0)-1,MATCH(J540,Rame!$A$1:$AA$1,0)-1)=TRUE),0,OFFSET(Rame!$A$1,MATCH(H540,Rame!$A:$A,0)-1,MATCH(J540,Rame!$A$1:$AA$1,0)-1))*IF(E540="Rame",1,0),4)</f>
        <v>0</v>
      </c>
      <c r="N540" s="446">
        <v>0</v>
      </c>
      <c r="O540" s="446">
        <f t="shared" ca="1" si="188"/>
        <v>0</v>
      </c>
      <c r="P540" s="446">
        <f ca="1">ROUND(+IF(ISERROR(OFFSET(Tabella!$G$1,MATCH(H540,Tabella!$G:$G,0)-1,MATCH(I540,Tabella!$G$1:$FG$1,0)-1)=TRUE),0,OFFSET(Tabella!$G$1,MATCH(H540,Tabella!$G:$G,0)-1,MATCH(I540,Tabella!$G$1:$AB$1,0)-1)),4)</f>
        <v>0</v>
      </c>
      <c r="Q540" s="446">
        <f ca="1">ROUND(IF(ISERROR(OFFSET(Ottone!$F$1,MATCH(H540,Ottone!$A:$A,0)-1,MATCH(I540,Ottone!$F$1:$FF$1,0)-1)=TRUE),0,OFFSET(Ottone!$F$1,MATCH(H540,Ottone!$A:$A,0)-1,MATCH(I540,Ottone!$F$1:$FF$1,0)-1))*IF(E540="Ottone",1,0),4)</f>
        <v>0</v>
      </c>
      <c r="R540" s="446">
        <f ca="1">ROUND(IF(ISERROR(OFFSET(Rame!$F$1,MATCH(H540,Rame!$F:$F,0)-1,MATCH(I540,Rame!$F$1:$FF$1,0)-1)=TRUE),0,OFFSET(Rame!$F$1,MATCH(H540,Rame!$F:$F,0)-1,MATCH(I540,Rame!$F$1:$FF$1,0)-1))*IF(E540="Rame",1,0),4)</f>
        <v>0</v>
      </c>
      <c r="S540" s="446">
        <f ca="1">ROUND(IF(ISERROR(OFFSET(Bronzo!$A$1,MATCH(H540,Bronzo!$A:$A,0)-1,MATCH(I540,Bronzo!$A$1:$AA$1,0)-1)=TRUE),0,OFFSET(Bronzo!$A$1,MATCH(H540,Bronzo!$A:$A,0)-1,MATCH(I540,Bronzo!$A$1:$AA$1,0)-1)),4)</f>
        <v>0</v>
      </c>
      <c r="T540" s="446">
        <f t="shared" ca="1" si="190"/>
        <v>0</v>
      </c>
      <c r="U540" s="443"/>
      <c r="V540" s="446">
        <v>0</v>
      </c>
      <c r="W540" s="449">
        <f t="shared" ca="1" si="191"/>
        <v>0</v>
      </c>
      <c r="X540" s="452">
        <f t="shared" si="189"/>
        <v>0</v>
      </c>
      <c r="Y540" s="440"/>
      <c r="Z540" s="440">
        <f t="shared" ca="1" si="192"/>
        <v>0</v>
      </c>
      <c r="AA540" s="241"/>
      <c r="AH540" s="242"/>
    </row>
    <row r="541" spans="2:34" ht="15.75" x14ac:dyDescent="0.25">
      <c r="B541" s="229"/>
      <c r="C541" s="235"/>
      <c r="D541" s="243"/>
      <c r="E541" s="232"/>
      <c r="F541" s="435"/>
      <c r="G541" s="234"/>
      <c r="H541" s="235"/>
      <c r="I541" s="235"/>
      <c r="J541" s="440"/>
      <c r="K541" s="443">
        <f ca="1">ROUND(IF(ISERROR(OFFSET(Tabella!$A$1,MATCH(H541,Tabella!$A:$A,0)-1,MATCH(J541,Tabella!$A$1:$AC$1,0)-1)=TRUE),0,+OFFSET(Tabella!$A$1,MATCH(H541,Tabella!$A:$A,0)-1,MATCH(J541,Tabella!$A$1:$AC$1,0)-1)),4)</f>
        <v>0</v>
      </c>
      <c r="L541" s="446">
        <f ca="1">ROUND(IF(ISERROR(OFFSET(Ottone!$A$1,MATCH(H541,Ottone!$A:$A,0)-1,MATCH(J541,Ottone!$A$1:$Z$1,0)-1)=TRUE),0,OFFSET(Ottone!$A$1,MATCH(H541,Ottone!$A:$A,0)-1,MATCH(J541,Ottone!$A$1:$Z$1,0)-1))*IF(E541="Ottone",1,0),4)</f>
        <v>0</v>
      </c>
      <c r="M541" s="446">
        <f ca="1">ROUND(IF(ISERROR(OFFSET(Rame!$A$1,MATCH(H541,Rame!$A:$A,0)-1,MATCH(J541,Rame!$A$1:$AA$1,0)-1)=TRUE),0,OFFSET(Rame!$A$1,MATCH(H541,Rame!$A:$A,0)-1,MATCH(J541,Rame!$A$1:$AA$1,0)-1))*IF(E541="Rame",1,0),4)</f>
        <v>0</v>
      </c>
      <c r="N541" s="446">
        <v>0</v>
      </c>
      <c r="O541" s="446">
        <f t="shared" ca="1" si="188"/>
        <v>0</v>
      </c>
      <c r="P541" s="446">
        <f ca="1">ROUND(+IF(ISERROR(OFFSET(Tabella!$G$1,MATCH(H541,Tabella!$G:$G,0)-1,MATCH(I541,Tabella!$G$1:$FG$1,0)-1)=TRUE),0,OFFSET(Tabella!$G$1,MATCH(H541,Tabella!$G:$G,0)-1,MATCH(I541,Tabella!$G$1:$AB$1,0)-1)),4)</f>
        <v>0</v>
      </c>
      <c r="Q541" s="446">
        <f ca="1">ROUND(IF(ISERROR(OFFSET(Ottone!$F$1,MATCH(H541,Ottone!$A:$A,0)-1,MATCH(I541,Ottone!$F$1:$FF$1,0)-1)=TRUE),0,OFFSET(Ottone!$F$1,MATCH(H541,Ottone!$A:$A,0)-1,MATCH(I541,Ottone!$F$1:$FF$1,0)-1))*IF(E541="Ottone",1,0),4)</f>
        <v>0</v>
      </c>
      <c r="R541" s="446">
        <f ca="1">ROUND(IF(ISERROR(OFFSET(Rame!$F$1,MATCH(H541,Rame!$F:$F,0)-1,MATCH(I541,Rame!$F$1:$FF$1,0)-1)=TRUE),0,OFFSET(Rame!$F$1,MATCH(H541,Rame!$F:$F,0)-1,MATCH(I541,Rame!$F$1:$FF$1,0)-1))*IF(E541="Rame",1,0),4)</f>
        <v>0</v>
      </c>
      <c r="S541" s="446">
        <f ca="1">ROUND(IF(ISERROR(OFFSET(Bronzo!$A$1,MATCH(H541,Bronzo!$A:$A,0)-1,MATCH(I541,Bronzo!$A$1:$AA$1,0)-1)=TRUE),0,OFFSET(Bronzo!$A$1,MATCH(H541,Bronzo!$A:$A,0)-1,MATCH(I541,Bronzo!$A$1:$AA$1,0)-1)),4)</f>
        <v>0</v>
      </c>
      <c r="T541" s="446">
        <f t="shared" ca="1" si="190"/>
        <v>0</v>
      </c>
      <c r="U541" s="443"/>
      <c r="V541" s="446">
        <v>0</v>
      </c>
      <c r="W541" s="449">
        <f t="shared" ca="1" si="191"/>
        <v>0</v>
      </c>
      <c r="X541" s="452">
        <f t="shared" si="189"/>
        <v>0</v>
      </c>
      <c r="Y541" s="440"/>
      <c r="Z541" s="440">
        <f t="shared" ca="1" si="192"/>
        <v>0</v>
      </c>
      <c r="AA541" s="241"/>
      <c r="AH541" s="242"/>
    </row>
    <row r="542" spans="2:34" ht="15.75" x14ac:dyDescent="0.25">
      <c r="B542" s="229"/>
      <c r="C542" s="235"/>
      <c r="D542" s="243"/>
      <c r="E542" s="232"/>
      <c r="F542" s="435"/>
      <c r="G542" s="234"/>
      <c r="H542" s="235"/>
      <c r="I542" s="235"/>
      <c r="J542" s="440"/>
      <c r="K542" s="443">
        <f ca="1">ROUND(IF(ISERROR(OFFSET(Tabella!$A$1,MATCH(H542,Tabella!$A:$A,0)-1,MATCH(J542,Tabella!$A$1:$AC$1,0)-1)=TRUE),0,+OFFSET(Tabella!$A$1,MATCH(H542,Tabella!$A:$A,0)-1,MATCH(J542,Tabella!$A$1:$AC$1,0)-1)),4)</f>
        <v>0</v>
      </c>
      <c r="L542" s="446">
        <f ca="1">ROUND(IF(ISERROR(OFFSET(Ottone!$A$1,MATCH(H542,Ottone!$A:$A,0)-1,MATCH(J542,Ottone!$A$1:$Z$1,0)-1)=TRUE),0,OFFSET(Ottone!$A$1,MATCH(H542,Ottone!$A:$A,0)-1,MATCH(J542,Ottone!$A$1:$Z$1,0)-1))*IF(E542="Ottone",1,0),4)</f>
        <v>0</v>
      </c>
      <c r="M542" s="446">
        <f ca="1">ROUND(IF(ISERROR(OFFSET(Rame!$A$1,MATCH(H542,Rame!$A:$A,0)-1,MATCH(J542,Rame!$A$1:$AA$1,0)-1)=TRUE),0,OFFSET(Rame!$A$1,MATCH(H542,Rame!$A:$A,0)-1,MATCH(J542,Rame!$A$1:$AA$1,0)-1))*IF(E542="Rame",1,0),4)</f>
        <v>0</v>
      </c>
      <c r="N542" s="446">
        <v>0</v>
      </c>
      <c r="O542" s="446">
        <f t="shared" ca="1" si="188"/>
        <v>0</v>
      </c>
      <c r="P542" s="446">
        <f ca="1">ROUND(+IF(ISERROR(OFFSET(Tabella!$G$1,MATCH(H542,Tabella!$G:$G,0)-1,MATCH(I542,Tabella!$G$1:$FG$1,0)-1)=TRUE),0,OFFSET(Tabella!$G$1,MATCH(H542,Tabella!$G:$G,0)-1,MATCH(I542,Tabella!$G$1:$AB$1,0)-1)),4)</f>
        <v>0</v>
      </c>
      <c r="Q542" s="446">
        <f ca="1">ROUND(IF(ISERROR(OFFSET(Ottone!$F$1,MATCH(H542,Ottone!$A:$A,0)-1,MATCH(I542,Ottone!$F$1:$FF$1,0)-1)=TRUE),0,OFFSET(Ottone!$F$1,MATCH(H542,Ottone!$A:$A,0)-1,MATCH(I542,Ottone!$F$1:$FF$1,0)-1))*IF(E542="Ottone",1,0),4)</f>
        <v>0</v>
      </c>
      <c r="R542" s="446">
        <f ca="1">ROUND(IF(ISERROR(OFFSET(Rame!$F$1,MATCH(H542,Rame!$F:$F,0)-1,MATCH(I542,Rame!$F$1:$FF$1,0)-1)=TRUE),0,OFFSET(Rame!$F$1,MATCH(H542,Rame!$F:$F,0)-1,MATCH(I542,Rame!$F$1:$FF$1,0)-1))*IF(E542="Rame",1,0),4)</f>
        <v>0</v>
      </c>
      <c r="S542" s="446">
        <f ca="1">ROUND(IF(ISERROR(OFFSET(Bronzo!$A$1,MATCH(H542,Bronzo!$A:$A,0)-1,MATCH(I542,Bronzo!$A$1:$AA$1,0)-1)=TRUE),0,OFFSET(Bronzo!$A$1,MATCH(H542,Bronzo!$A:$A,0)-1,MATCH(I542,Bronzo!$A$1:$AA$1,0)-1)),4)</f>
        <v>0</v>
      </c>
      <c r="T542" s="446">
        <f t="shared" ca="1" si="190"/>
        <v>0</v>
      </c>
      <c r="U542" s="443"/>
      <c r="V542" s="446">
        <v>0</v>
      </c>
      <c r="W542" s="449">
        <f t="shared" ca="1" si="191"/>
        <v>0</v>
      </c>
      <c r="X542" s="452">
        <f t="shared" si="189"/>
        <v>0</v>
      </c>
      <c r="Y542" s="440"/>
      <c r="Z542" s="440">
        <f t="shared" ca="1" si="192"/>
        <v>0</v>
      </c>
      <c r="AA542" s="241"/>
      <c r="AH542" s="242"/>
    </row>
    <row r="543" spans="2:34" ht="15.75" x14ac:dyDescent="0.25">
      <c r="B543" s="229"/>
      <c r="C543" s="235"/>
      <c r="D543" s="243"/>
      <c r="E543" s="232"/>
      <c r="F543" s="435"/>
      <c r="G543" s="234"/>
      <c r="H543" s="235"/>
      <c r="I543" s="235"/>
      <c r="J543" s="440"/>
      <c r="K543" s="443">
        <f ca="1">ROUND(IF(ISERROR(OFFSET(Tabella!$A$1,MATCH(H543,Tabella!$A:$A,0)-1,MATCH(J543,Tabella!$A$1:$AC$1,0)-1)=TRUE),0,+OFFSET(Tabella!$A$1,MATCH(H543,Tabella!$A:$A,0)-1,MATCH(J543,Tabella!$A$1:$AC$1,0)-1)),4)</f>
        <v>0</v>
      </c>
      <c r="L543" s="446">
        <f ca="1">ROUND(IF(ISERROR(OFFSET(Ottone!$A$1,MATCH(H543,Ottone!$A:$A,0)-1,MATCH(J543,Ottone!$A$1:$Z$1,0)-1)=TRUE),0,OFFSET(Ottone!$A$1,MATCH(H543,Ottone!$A:$A,0)-1,MATCH(J543,Ottone!$A$1:$Z$1,0)-1))*IF(E543="Ottone",1,0),4)</f>
        <v>0</v>
      </c>
      <c r="M543" s="446">
        <f ca="1">ROUND(IF(ISERROR(OFFSET(Rame!$A$1,MATCH(H543,Rame!$A:$A,0)-1,MATCH(J543,Rame!$A$1:$AA$1,0)-1)=TRUE),0,OFFSET(Rame!$A$1,MATCH(H543,Rame!$A:$A,0)-1,MATCH(J543,Rame!$A$1:$AA$1,0)-1))*IF(E543="Rame",1,0),4)</f>
        <v>0</v>
      </c>
      <c r="N543" s="446">
        <v>0</v>
      </c>
      <c r="O543" s="446">
        <f t="shared" ca="1" si="188"/>
        <v>0</v>
      </c>
      <c r="P543" s="446">
        <f ca="1">ROUND(+IF(ISERROR(OFFSET(Tabella!$G$1,MATCH(H543,Tabella!$G:$G,0)-1,MATCH(I543,Tabella!$G$1:$FG$1,0)-1)=TRUE),0,OFFSET(Tabella!$G$1,MATCH(H543,Tabella!$G:$G,0)-1,MATCH(I543,Tabella!$G$1:$AB$1,0)-1)),4)</f>
        <v>0</v>
      </c>
      <c r="Q543" s="446">
        <f ca="1">ROUND(IF(ISERROR(OFFSET(Ottone!$F$1,MATCH(H543,Ottone!$A:$A,0)-1,MATCH(I543,Ottone!$F$1:$FF$1,0)-1)=TRUE),0,OFFSET(Ottone!$F$1,MATCH(H543,Ottone!$A:$A,0)-1,MATCH(I543,Ottone!$F$1:$FF$1,0)-1))*IF(E543="Ottone",1,0),4)</f>
        <v>0</v>
      </c>
      <c r="R543" s="446">
        <f ca="1">ROUND(IF(ISERROR(OFFSET(Rame!$F$1,MATCH(H543,Rame!$F:$F,0)-1,MATCH(I543,Rame!$F$1:$FF$1,0)-1)=TRUE),0,OFFSET(Rame!$F$1,MATCH(H543,Rame!$F:$F,0)-1,MATCH(I543,Rame!$F$1:$FF$1,0)-1))*IF(E543="Rame",1,0),4)</f>
        <v>0</v>
      </c>
      <c r="S543" s="446">
        <f ca="1">ROUND(IF(ISERROR(OFFSET(Bronzo!$A$1,MATCH(H543,Bronzo!$A:$A,0)-1,MATCH(I543,Bronzo!$A$1:$AA$1,0)-1)=TRUE),0,OFFSET(Bronzo!$A$1,MATCH(H543,Bronzo!$A:$A,0)-1,MATCH(I543,Bronzo!$A$1:$AA$1,0)-1)),4)</f>
        <v>0</v>
      </c>
      <c r="T543" s="446">
        <f t="shared" ca="1" si="190"/>
        <v>0</v>
      </c>
      <c r="U543" s="443"/>
      <c r="V543" s="446">
        <v>0</v>
      </c>
      <c r="W543" s="449">
        <f t="shared" ca="1" si="191"/>
        <v>0</v>
      </c>
      <c r="X543" s="452">
        <f t="shared" si="189"/>
        <v>0</v>
      </c>
      <c r="Y543" s="440"/>
      <c r="Z543" s="440">
        <f t="shared" ca="1" si="192"/>
        <v>0</v>
      </c>
      <c r="AA543" s="241"/>
      <c r="AH543" s="242"/>
    </row>
    <row r="544" spans="2:34" ht="15.75" x14ac:dyDescent="0.25">
      <c r="B544" s="229"/>
      <c r="C544" s="235"/>
      <c r="D544" s="243"/>
      <c r="E544" s="232"/>
      <c r="F544" s="435"/>
      <c r="G544" s="234"/>
      <c r="H544" s="235"/>
      <c r="I544" s="235"/>
      <c r="J544" s="440"/>
      <c r="K544" s="443">
        <f ca="1">ROUND(IF(ISERROR(OFFSET(Tabella!$A$1,MATCH(H544,Tabella!$A:$A,0)-1,MATCH(J544,Tabella!$A$1:$AC$1,0)-1)=TRUE),0,+OFFSET(Tabella!$A$1,MATCH(H544,Tabella!$A:$A,0)-1,MATCH(J544,Tabella!$A$1:$AC$1,0)-1)),4)</f>
        <v>0</v>
      </c>
      <c r="L544" s="446">
        <f ca="1">ROUND(IF(ISERROR(OFFSET(Ottone!$A$1,MATCH(H544,Ottone!$A:$A,0)-1,MATCH(J544,Ottone!$A$1:$Z$1,0)-1)=TRUE),0,OFFSET(Ottone!$A$1,MATCH(H544,Ottone!$A:$A,0)-1,MATCH(J544,Ottone!$A$1:$Z$1,0)-1))*IF(E544="Ottone",1,0),4)</f>
        <v>0</v>
      </c>
      <c r="M544" s="446">
        <f ca="1">ROUND(IF(ISERROR(OFFSET(Rame!$A$1,MATCH(H544,Rame!$A:$A,0)-1,MATCH(J544,Rame!$A$1:$AA$1,0)-1)=TRUE),0,OFFSET(Rame!$A$1,MATCH(H544,Rame!$A:$A,0)-1,MATCH(J544,Rame!$A$1:$AA$1,0)-1))*IF(E544="Rame",1,0),4)</f>
        <v>0</v>
      </c>
      <c r="N544" s="446">
        <v>0</v>
      </c>
      <c r="O544" s="446">
        <f t="shared" ca="1" si="188"/>
        <v>0</v>
      </c>
      <c r="P544" s="446">
        <f ca="1">ROUND(+IF(ISERROR(OFFSET(Tabella!$G$1,MATCH(H544,Tabella!$G:$G,0)-1,MATCH(I544,Tabella!$G$1:$FG$1,0)-1)=TRUE),0,OFFSET(Tabella!$G$1,MATCH(H544,Tabella!$G:$G,0)-1,MATCH(I544,Tabella!$G$1:$AB$1,0)-1)),4)</f>
        <v>0</v>
      </c>
      <c r="Q544" s="446">
        <f ca="1">ROUND(IF(ISERROR(OFFSET(Ottone!$F$1,MATCH(H544,Ottone!$A:$A,0)-1,MATCH(I544,Ottone!$F$1:$FF$1,0)-1)=TRUE),0,OFFSET(Ottone!$F$1,MATCH(H544,Ottone!$A:$A,0)-1,MATCH(I544,Ottone!$F$1:$FF$1,0)-1))*IF(E544="Ottone",1,0),4)</f>
        <v>0</v>
      </c>
      <c r="R544" s="446">
        <f ca="1">ROUND(IF(ISERROR(OFFSET(Rame!$F$1,MATCH(H544,Rame!$F:$F,0)-1,MATCH(I544,Rame!$F$1:$FF$1,0)-1)=TRUE),0,OFFSET(Rame!$F$1,MATCH(H544,Rame!$F:$F,0)-1,MATCH(I544,Rame!$F$1:$FF$1,0)-1))*IF(E544="Rame",1,0),4)</f>
        <v>0</v>
      </c>
      <c r="S544" s="446">
        <f ca="1">ROUND(IF(ISERROR(OFFSET(Bronzo!$A$1,MATCH(H544,Bronzo!$A:$A,0)-1,MATCH(I544,Bronzo!$A$1:$AA$1,0)-1)=TRUE),0,OFFSET(Bronzo!$A$1,MATCH(H544,Bronzo!$A:$A,0)-1,MATCH(I544,Bronzo!$A$1:$AA$1,0)-1)),4)</f>
        <v>0</v>
      </c>
      <c r="T544" s="446">
        <f t="shared" ca="1" si="190"/>
        <v>0</v>
      </c>
      <c r="U544" s="443"/>
      <c r="V544" s="446">
        <v>0</v>
      </c>
      <c r="W544" s="449">
        <f t="shared" ca="1" si="191"/>
        <v>0</v>
      </c>
      <c r="X544" s="452">
        <f t="shared" si="189"/>
        <v>0</v>
      </c>
      <c r="Y544" s="440"/>
      <c r="Z544" s="440">
        <f t="shared" ca="1" si="192"/>
        <v>0</v>
      </c>
      <c r="AA544" s="241"/>
      <c r="AH544" s="242"/>
    </row>
    <row r="545" spans="2:34" ht="15.75" x14ac:dyDescent="0.25">
      <c r="B545" s="229"/>
      <c r="C545" s="235"/>
      <c r="D545" s="243"/>
      <c r="E545" s="232"/>
      <c r="F545" s="435"/>
      <c r="G545" s="234"/>
      <c r="H545" s="235"/>
      <c r="I545" s="235"/>
      <c r="J545" s="440"/>
      <c r="K545" s="443">
        <f ca="1">ROUND(IF(ISERROR(OFFSET(Tabella!$A$1,MATCH(H545,Tabella!$A:$A,0)-1,MATCH(J545,Tabella!$A$1:$AC$1,0)-1)=TRUE),0,+OFFSET(Tabella!$A$1,MATCH(H545,Tabella!$A:$A,0)-1,MATCH(J545,Tabella!$A$1:$AC$1,0)-1)),4)</f>
        <v>0</v>
      </c>
      <c r="L545" s="446">
        <f ca="1">ROUND(IF(ISERROR(OFFSET(Ottone!$A$1,MATCH(H545,Ottone!$A:$A,0)-1,MATCH(J545,Ottone!$A$1:$Z$1,0)-1)=TRUE),0,OFFSET(Ottone!$A$1,MATCH(H545,Ottone!$A:$A,0)-1,MATCH(J545,Ottone!$A$1:$Z$1,0)-1))*IF(E545="Ottone",1,0),4)</f>
        <v>0</v>
      </c>
      <c r="M545" s="446">
        <f ca="1">ROUND(IF(ISERROR(OFFSET(Rame!$A$1,MATCH(H545,Rame!$A:$A,0)-1,MATCH(J545,Rame!$A$1:$AA$1,0)-1)=TRUE),0,OFFSET(Rame!$A$1,MATCH(H545,Rame!$A:$A,0)-1,MATCH(J545,Rame!$A$1:$AA$1,0)-1))*IF(E545="Rame",1,0),4)</f>
        <v>0</v>
      </c>
      <c r="N545" s="446">
        <v>0</v>
      </c>
      <c r="O545" s="446">
        <f t="shared" ca="1" si="188"/>
        <v>0</v>
      </c>
      <c r="P545" s="446">
        <f ca="1">ROUND(+IF(ISERROR(OFFSET(Tabella!$G$1,MATCH(H545,Tabella!$G:$G,0)-1,MATCH(I545,Tabella!$G$1:$FG$1,0)-1)=TRUE),0,OFFSET(Tabella!$G$1,MATCH(H545,Tabella!$G:$G,0)-1,MATCH(I545,Tabella!$G$1:$AB$1,0)-1)),4)</f>
        <v>0</v>
      </c>
      <c r="Q545" s="446">
        <f ca="1">ROUND(IF(ISERROR(OFFSET(Ottone!$F$1,MATCH(H545,Ottone!$A:$A,0)-1,MATCH(I545,Ottone!$F$1:$FF$1,0)-1)=TRUE),0,OFFSET(Ottone!$F$1,MATCH(H545,Ottone!$A:$A,0)-1,MATCH(I545,Ottone!$F$1:$FF$1,0)-1))*IF(E545="Ottone",1,0),4)</f>
        <v>0</v>
      </c>
      <c r="R545" s="446">
        <f ca="1">ROUND(IF(ISERROR(OFFSET(Rame!$F$1,MATCH(H545,Rame!$F:$F,0)-1,MATCH(I545,Rame!$F$1:$FF$1,0)-1)=TRUE),0,OFFSET(Rame!$F$1,MATCH(H545,Rame!$F:$F,0)-1,MATCH(I545,Rame!$F$1:$FF$1,0)-1))*IF(E545="Rame",1,0),4)</f>
        <v>0</v>
      </c>
      <c r="S545" s="446">
        <f ca="1">ROUND(IF(ISERROR(OFFSET(Bronzo!$A$1,MATCH(H545,Bronzo!$A:$A,0)-1,MATCH(I545,Bronzo!$A$1:$AA$1,0)-1)=TRUE),0,OFFSET(Bronzo!$A$1,MATCH(H545,Bronzo!$A:$A,0)-1,MATCH(I545,Bronzo!$A$1:$AA$1,0)-1)),4)</f>
        <v>0</v>
      </c>
      <c r="T545" s="446">
        <f t="shared" ca="1" si="190"/>
        <v>0</v>
      </c>
      <c r="U545" s="443"/>
      <c r="V545" s="446">
        <v>0</v>
      </c>
      <c r="W545" s="449">
        <f t="shared" ca="1" si="191"/>
        <v>0</v>
      </c>
      <c r="X545" s="452">
        <f t="shared" si="189"/>
        <v>0</v>
      </c>
      <c r="Y545" s="440"/>
      <c r="Z545" s="440">
        <f t="shared" ca="1" si="192"/>
        <v>0</v>
      </c>
      <c r="AA545" s="241"/>
      <c r="AH545" s="242"/>
    </row>
    <row r="546" spans="2:34" ht="15.75" x14ac:dyDescent="0.25">
      <c r="B546" s="229"/>
      <c r="C546" s="235"/>
      <c r="D546" s="243"/>
      <c r="E546" s="232"/>
      <c r="F546" s="435"/>
      <c r="G546" s="234"/>
      <c r="H546" s="235"/>
      <c r="I546" s="235"/>
      <c r="J546" s="440"/>
      <c r="K546" s="443">
        <f ca="1">ROUND(IF(ISERROR(OFFSET(Tabella!$A$1,MATCH(H546,Tabella!$A:$A,0)-1,MATCH(J546,Tabella!$A$1:$AC$1,0)-1)=TRUE),0,+OFFSET(Tabella!$A$1,MATCH(H546,Tabella!$A:$A,0)-1,MATCH(J546,Tabella!$A$1:$AC$1,0)-1)),4)</f>
        <v>0</v>
      </c>
      <c r="L546" s="446">
        <f ca="1">ROUND(IF(ISERROR(OFFSET(Ottone!$A$1,MATCH(H546,Ottone!$A:$A,0)-1,MATCH(J546,Ottone!$A$1:$Z$1,0)-1)=TRUE),0,OFFSET(Ottone!$A$1,MATCH(H546,Ottone!$A:$A,0)-1,MATCH(J546,Ottone!$A$1:$Z$1,0)-1))*IF(E546="Ottone",1,0),4)</f>
        <v>0</v>
      </c>
      <c r="M546" s="446">
        <f ca="1">ROUND(IF(ISERROR(OFFSET(Rame!$A$1,MATCH(H546,Rame!$A:$A,0)-1,MATCH(J546,Rame!$A$1:$AA$1,0)-1)=TRUE),0,OFFSET(Rame!$A$1,MATCH(H546,Rame!$A:$A,0)-1,MATCH(J546,Rame!$A$1:$AA$1,0)-1))*IF(E546="Rame",1,0),4)</f>
        <v>0</v>
      </c>
      <c r="N546" s="446">
        <v>0</v>
      </c>
      <c r="O546" s="446">
        <f t="shared" ca="1" si="188"/>
        <v>0</v>
      </c>
      <c r="P546" s="446">
        <f ca="1">ROUND(+IF(ISERROR(OFFSET(Tabella!$G$1,MATCH(H546,Tabella!$G:$G,0)-1,MATCH(I546,Tabella!$G$1:$FG$1,0)-1)=TRUE),0,OFFSET(Tabella!$G$1,MATCH(H546,Tabella!$G:$G,0)-1,MATCH(I546,Tabella!$G$1:$AB$1,0)-1)),4)</f>
        <v>0</v>
      </c>
      <c r="Q546" s="446">
        <f ca="1">ROUND(IF(ISERROR(OFFSET(Ottone!$F$1,MATCH(H546,Ottone!$A:$A,0)-1,MATCH(I546,Ottone!$F$1:$FF$1,0)-1)=TRUE),0,OFFSET(Ottone!$F$1,MATCH(H546,Ottone!$A:$A,0)-1,MATCH(I546,Ottone!$F$1:$FF$1,0)-1))*IF(E546="Ottone",1,0),4)</f>
        <v>0</v>
      </c>
      <c r="R546" s="446">
        <f ca="1">ROUND(IF(ISERROR(OFFSET(Rame!$F$1,MATCH(H546,Rame!$F:$F,0)-1,MATCH(I546,Rame!$F$1:$FF$1,0)-1)=TRUE),0,OFFSET(Rame!$F$1,MATCH(H546,Rame!$F:$F,0)-1,MATCH(I546,Rame!$F$1:$FF$1,0)-1))*IF(E546="Rame",1,0),4)</f>
        <v>0</v>
      </c>
      <c r="S546" s="446">
        <f ca="1">ROUND(IF(ISERROR(OFFSET(Bronzo!$A$1,MATCH(H546,Bronzo!$A:$A,0)-1,MATCH(I546,Bronzo!$A$1:$AA$1,0)-1)=TRUE),0,OFFSET(Bronzo!$A$1,MATCH(H546,Bronzo!$A:$A,0)-1,MATCH(I546,Bronzo!$A$1:$AA$1,0)-1)),4)</f>
        <v>0</v>
      </c>
      <c r="T546" s="446">
        <f t="shared" ca="1" si="190"/>
        <v>0</v>
      </c>
      <c r="U546" s="443"/>
      <c r="V546" s="446">
        <v>0</v>
      </c>
      <c r="W546" s="449">
        <f t="shared" ca="1" si="191"/>
        <v>0</v>
      </c>
      <c r="X546" s="452">
        <f t="shared" si="189"/>
        <v>0</v>
      </c>
      <c r="Y546" s="440"/>
      <c r="Z546" s="440">
        <f t="shared" ca="1" si="192"/>
        <v>0</v>
      </c>
      <c r="AA546" s="241"/>
      <c r="AH546" s="242"/>
    </row>
    <row r="547" spans="2:34" ht="15.75" x14ac:dyDescent="0.25">
      <c r="B547" s="229"/>
      <c r="C547" s="235"/>
      <c r="D547" s="243"/>
      <c r="E547" s="232"/>
      <c r="F547" s="435"/>
      <c r="G547" s="234"/>
      <c r="H547" s="235"/>
      <c r="I547" s="235"/>
      <c r="J547" s="440"/>
      <c r="K547" s="443">
        <f ca="1">ROUND(IF(ISERROR(OFFSET(Tabella!$A$1,MATCH(H547,Tabella!$A:$A,0)-1,MATCH(J547,Tabella!$A$1:$AC$1,0)-1)=TRUE),0,+OFFSET(Tabella!$A$1,MATCH(H547,Tabella!$A:$A,0)-1,MATCH(J547,Tabella!$A$1:$AC$1,0)-1)),4)</f>
        <v>0</v>
      </c>
      <c r="L547" s="446">
        <f ca="1">ROUND(IF(ISERROR(OFFSET(Ottone!$A$1,MATCH(H547,Ottone!$A:$A,0)-1,MATCH(J547,Ottone!$A$1:$Z$1,0)-1)=TRUE),0,OFFSET(Ottone!$A$1,MATCH(H547,Ottone!$A:$A,0)-1,MATCH(J547,Ottone!$A$1:$Z$1,0)-1))*IF(E547="Ottone",1,0),4)</f>
        <v>0</v>
      </c>
      <c r="M547" s="446">
        <f ca="1">ROUND(IF(ISERROR(OFFSET(Rame!$A$1,MATCH(H547,Rame!$A:$A,0)-1,MATCH(J547,Rame!$A$1:$AA$1,0)-1)=TRUE),0,OFFSET(Rame!$A$1,MATCH(H547,Rame!$A:$A,0)-1,MATCH(J547,Rame!$A$1:$AA$1,0)-1))*IF(E547="Rame",1,0),4)</f>
        <v>0</v>
      </c>
      <c r="N547" s="446">
        <v>0</v>
      </c>
      <c r="O547" s="446">
        <f t="shared" ca="1" si="188"/>
        <v>0</v>
      </c>
      <c r="P547" s="446">
        <f ca="1">ROUND(+IF(ISERROR(OFFSET(Tabella!$G$1,MATCH(H547,Tabella!$G:$G,0)-1,MATCH(I547,Tabella!$G$1:$FG$1,0)-1)=TRUE),0,OFFSET(Tabella!$G$1,MATCH(H547,Tabella!$G:$G,0)-1,MATCH(I547,Tabella!$G$1:$AB$1,0)-1)),4)</f>
        <v>0</v>
      </c>
      <c r="Q547" s="446">
        <f ca="1">ROUND(IF(ISERROR(OFFSET(Ottone!$F$1,MATCH(H547,Ottone!$A:$A,0)-1,MATCH(I547,Ottone!$F$1:$FF$1,0)-1)=TRUE),0,OFFSET(Ottone!$F$1,MATCH(H547,Ottone!$A:$A,0)-1,MATCH(I547,Ottone!$F$1:$FF$1,0)-1))*IF(E547="Ottone",1,0),4)</f>
        <v>0</v>
      </c>
      <c r="R547" s="446">
        <f ca="1">ROUND(IF(ISERROR(OFFSET(Rame!$F$1,MATCH(H547,Rame!$F:$F,0)-1,MATCH(I547,Rame!$F$1:$FF$1,0)-1)=TRUE),0,OFFSET(Rame!$F$1,MATCH(H547,Rame!$F:$F,0)-1,MATCH(I547,Rame!$F$1:$FF$1,0)-1))*IF(E547="Rame",1,0),4)</f>
        <v>0</v>
      </c>
      <c r="S547" s="446">
        <f ca="1">ROUND(IF(ISERROR(OFFSET(Bronzo!$A$1,MATCH(H547,Bronzo!$A:$A,0)-1,MATCH(I547,Bronzo!$A$1:$AA$1,0)-1)=TRUE),0,OFFSET(Bronzo!$A$1,MATCH(H547,Bronzo!$A:$A,0)-1,MATCH(I547,Bronzo!$A$1:$AA$1,0)-1)),4)</f>
        <v>0</v>
      </c>
      <c r="T547" s="446">
        <f t="shared" ca="1" si="190"/>
        <v>0</v>
      </c>
      <c r="U547" s="443"/>
      <c r="V547" s="446">
        <v>0</v>
      </c>
      <c r="W547" s="449">
        <f t="shared" ca="1" si="191"/>
        <v>0</v>
      </c>
      <c r="X547" s="452">
        <f t="shared" si="189"/>
        <v>0</v>
      </c>
      <c r="Y547" s="440"/>
      <c r="Z547" s="440">
        <f t="shared" ca="1" si="192"/>
        <v>0</v>
      </c>
      <c r="AA547" s="241"/>
      <c r="AH547" s="242"/>
    </row>
    <row r="548" spans="2:34" ht="15.75" x14ac:dyDescent="0.25">
      <c r="B548" s="229"/>
      <c r="C548" s="235"/>
      <c r="D548" s="243"/>
      <c r="E548" s="232"/>
      <c r="F548" s="435"/>
      <c r="G548" s="234"/>
      <c r="H548" s="235"/>
      <c r="I548" s="235"/>
      <c r="J548" s="440"/>
      <c r="K548" s="443">
        <f ca="1">ROUND(IF(ISERROR(OFFSET(Tabella!$A$1,MATCH(H548,Tabella!$A:$A,0)-1,MATCH(J548,Tabella!$A$1:$AC$1,0)-1)=TRUE),0,+OFFSET(Tabella!$A$1,MATCH(H548,Tabella!$A:$A,0)-1,MATCH(J548,Tabella!$A$1:$AC$1,0)-1)),4)</f>
        <v>0</v>
      </c>
      <c r="L548" s="446">
        <f ca="1">ROUND(IF(ISERROR(OFFSET(Ottone!$A$1,MATCH(H548,Ottone!$A:$A,0)-1,MATCH(J548,Ottone!$A$1:$Z$1,0)-1)=TRUE),0,OFFSET(Ottone!$A$1,MATCH(H548,Ottone!$A:$A,0)-1,MATCH(J548,Ottone!$A$1:$Z$1,0)-1))*IF(E548="Ottone",1,0),4)</f>
        <v>0</v>
      </c>
      <c r="M548" s="446">
        <f ca="1">ROUND(IF(ISERROR(OFFSET(Rame!$A$1,MATCH(H548,Rame!$A:$A,0)-1,MATCH(J548,Rame!$A$1:$AA$1,0)-1)=TRUE),0,OFFSET(Rame!$A$1,MATCH(H548,Rame!$A:$A,0)-1,MATCH(J548,Rame!$A$1:$AA$1,0)-1))*IF(E548="Rame",1,0),4)</f>
        <v>0</v>
      </c>
      <c r="N548" s="446">
        <v>0</v>
      </c>
      <c r="O548" s="446">
        <f t="shared" ca="1" si="188"/>
        <v>0</v>
      </c>
      <c r="P548" s="446">
        <f ca="1">ROUND(+IF(ISERROR(OFFSET(Tabella!$G$1,MATCH(H548,Tabella!$G:$G,0)-1,MATCH(I548,Tabella!$G$1:$FG$1,0)-1)=TRUE),0,OFFSET(Tabella!$G$1,MATCH(H548,Tabella!$G:$G,0)-1,MATCH(I548,Tabella!$G$1:$AB$1,0)-1)),4)</f>
        <v>0</v>
      </c>
      <c r="Q548" s="446">
        <f ca="1">ROUND(IF(ISERROR(OFFSET(Ottone!$F$1,MATCH(H548,Ottone!$A:$A,0)-1,MATCH(I548,Ottone!$F$1:$FF$1,0)-1)=TRUE),0,OFFSET(Ottone!$F$1,MATCH(H548,Ottone!$A:$A,0)-1,MATCH(I548,Ottone!$F$1:$FF$1,0)-1))*IF(E548="Ottone",1,0),4)</f>
        <v>0</v>
      </c>
      <c r="R548" s="446">
        <f ca="1">ROUND(IF(ISERROR(OFFSET(Rame!$F$1,MATCH(H548,Rame!$F:$F,0)-1,MATCH(I548,Rame!$F$1:$FF$1,0)-1)=TRUE),0,OFFSET(Rame!$F$1,MATCH(H548,Rame!$F:$F,0)-1,MATCH(I548,Rame!$F$1:$FF$1,0)-1))*IF(E548="Rame",1,0),4)</f>
        <v>0</v>
      </c>
      <c r="S548" s="446">
        <f ca="1">ROUND(IF(ISERROR(OFFSET(Bronzo!$A$1,MATCH(H548,Bronzo!$A:$A,0)-1,MATCH(I548,Bronzo!$A$1:$AA$1,0)-1)=TRUE),0,OFFSET(Bronzo!$A$1,MATCH(H548,Bronzo!$A:$A,0)-1,MATCH(I548,Bronzo!$A$1:$AA$1,0)-1)),4)</f>
        <v>0</v>
      </c>
      <c r="T548" s="446">
        <f t="shared" ca="1" si="190"/>
        <v>0</v>
      </c>
      <c r="U548" s="443"/>
      <c r="V548" s="446">
        <v>0</v>
      </c>
      <c r="W548" s="449">
        <f t="shared" ca="1" si="191"/>
        <v>0</v>
      </c>
      <c r="X548" s="452">
        <f t="shared" si="189"/>
        <v>0</v>
      </c>
      <c r="Y548" s="440"/>
      <c r="Z548" s="440">
        <f t="shared" ca="1" si="192"/>
        <v>0</v>
      </c>
      <c r="AA548" s="241"/>
      <c r="AH548" s="242"/>
    </row>
    <row r="549" spans="2:34" ht="15.75" x14ac:dyDescent="0.25">
      <c r="B549" s="229"/>
      <c r="C549" s="235"/>
      <c r="D549" s="243"/>
      <c r="E549" s="232"/>
      <c r="F549" s="435"/>
      <c r="G549" s="234"/>
      <c r="H549" s="235"/>
      <c r="I549" s="235"/>
      <c r="J549" s="440"/>
      <c r="K549" s="443">
        <f ca="1">ROUND(IF(ISERROR(OFFSET(Tabella!$A$1,MATCH(H549,Tabella!$A:$A,0)-1,MATCH(J549,Tabella!$A$1:$AC$1,0)-1)=TRUE),0,+OFFSET(Tabella!$A$1,MATCH(H549,Tabella!$A:$A,0)-1,MATCH(J549,Tabella!$A$1:$AC$1,0)-1)),4)</f>
        <v>0</v>
      </c>
      <c r="L549" s="446">
        <f ca="1">ROUND(IF(ISERROR(OFFSET(Ottone!$A$1,MATCH(H549,Ottone!$A:$A,0)-1,MATCH(J549,Ottone!$A$1:$Z$1,0)-1)=TRUE),0,OFFSET(Ottone!$A$1,MATCH(H549,Ottone!$A:$A,0)-1,MATCH(J549,Ottone!$A$1:$Z$1,0)-1))*IF(E549="Ottone",1,0),4)</f>
        <v>0</v>
      </c>
      <c r="M549" s="446">
        <f ca="1">ROUND(IF(ISERROR(OFFSET(Rame!$A$1,MATCH(H549,Rame!$A:$A,0)-1,MATCH(J549,Rame!$A$1:$AA$1,0)-1)=TRUE),0,OFFSET(Rame!$A$1,MATCH(H549,Rame!$A:$A,0)-1,MATCH(J549,Rame!$A$1:$AA$1,0)-1))*IF(E549="Rame",1,0),4)</f>
        <v>0</v>
      </c>
      <c r="N549" s="446">
        <v>0</v>
      </c>
      <c r="O549" s="446">
        <f t="shared" ca="1" si="188"/>
        <v>0</v>
      </c>
      <c r="P549" s="446">
        <f ca="1">ROUND(+IF(ISERROR(OFFSET(Tabella!$G$1,MATCH(H549,Tabella!$G:$G,0)-1,MATCH(I549,Tabella!$G$1:$FG$1,0)-1)=TRUE),0,OFFSET(Tabella!$G$1,MATCH(H549,Tabella!$G:$G,0)-1,MATCH(I549,Tabella!$G$1:$AB$1,0)-1)),4)</f>
        <v>0</v>
      </c>
      <c r="Q549" s="446">
        <f ca="1">ROUND(IF(ISERROR(OFFSET(Ottone!$F$1,MATCH(H549,Ottone!$A:$A,0)-1,MATCH(I549,Ottone!$F$1:$FF$1,0)-1)=TRUE),0,OFFSET(Ottone!$F$1,MATCH(H549,Ottone!$A:$A,0)-1,MATCH(I549,Ottone!$F$1:$FF$1,0)-1))*IF(E549="Ottone",1,0),4)</f>
        <v>0</v>
      </c>
      <c r="R549" s="446">
        <f ca="1">ROUND(IF(ISERROR(OFFSET(Rame!$F$1,MATCH(H549,Rame!$F:$F,0)-1,MATCH(I549,Rame!$F$1:$FF$1,0)-1)=TRUE),0,OFFSET(Rame!$F$1,MATCH(H549,Rame!$F:$F,0)-1,MATCH(I549,Rame!$F$1:$FF$1,0)-1))*IF(E549="Rame",1,0),4)</f>
        <v>0</v>
      </c>
      <c r="S549" s="446">
        <f ca="1">ROUND(IF(ISERROR(OFFSET(Bronzo!$A$1,MATCH(H549,Bronzo!$A:$A,0)-1,MATCH(I549,Bronzo!$A$1:$AA$1,0)-1)=TRUE),0,OFFSET(Bronzo!$A$1,MATCH(H549,Bronzo!$A:$A,0)-1,MATCH(I549,Bronzo!$A$1:$AA$1,0)-1)),4)</f>
        <v>0</v>
      </c>
      <c r="T549" s="446">
        <f t="shared" ca="1" si="190"/>
        <v>0</v>
      </c>
      <c r="U549" s="443"/>
      <c r="V549" s="446">
        <v>0</v>
      </c>
      <c r="W549" s="449">
        <f t="shared" ca="1" si="191"/>
        <v>0</v>
      </c>
      <c r="X549" s="452">
        <f t="shared" si="189"/>
        <v>0</v>
      </c>
      <c r="Y549" s="440"/>
      <c r="Z549" s="440">
        <f t="shared" ca="1" si="192"/>
        <v>0</v>
      </c>
      <c r="AA549" s="241"/>
      <c r="AH549" s="242"/>
    </row>
    <row r="550" spans="2:34" ht="15.75" x14ac:dyDescent="0.25">
      <c r="B550" s="229"/>
      <c r="C550" s="235"/>
      <c r="D550" s="243"/>
      <c r="E550" s="232"/>
      <c r="F550" s="435"/>
      <c r="G550" s="234"/>
      <c r="H550" s="235"/>
      <c r="I550" s="235"/>
      <c r="J550" s="440"/>
      <c r="K550" s="443">
        <f ca="1">ROUND(IF(ISERROR(OFFSET(Tabella!$A$1,MATCH(H550,Tabella!$A:$A,0)-1,MATCH(J550,Tabella!$A$1:$AC$1,0)-1)=TRUE),0,+OFFSET(Tabella!$A$1,MATCH(H550,Tabella!$A:$A,0)-1,MATCH(J550,Tabella!$A$1:$AC$1,0)-1)),4)</f>
        <v>0</v>
      </c>
      <c r="L550" s="446">
        <f ca="1">ROUND(IF(ISERROR(OFFSET(Ottone!$A$1,MATCH(H550,Ottone!$A:$A,0)-1,MATCH(J550,Ottone!$A$1:$Z$1,0)-1)=TRUE),0,OFFSET(Ottone!$A$1,MATCH(H550,Ottone!$A:$A,0)-1,MATCH(J550,Ottone!$A$1:$Z$1,0)-1))*IF(E550="Ottone",1,0),4)</f>
        <v>0</v>
      </c>
      <c r="M550" s="446">
        <f ca="1">ROUND(IF(ISERROR(OFFSET(Rame!$A$1,MATCH(H550,Rame!$A:$A,0)-1,MATCH(J550,Rame!$A$1:$AA$1,0)-1)=TRUE),0,OFFSET(Rame!$A$1,MATCH(H550,Rame!$A:$A,0)-1,MATCH(J550,Rame!$A$1:$AA$1,0)-1))*IF(E550="Rame",1,0),4)</f>
        <v>0</v>
      </c>
      <c r="N550" s="446">
        <v>0</v>
      </c>
      <c r="O550" s="446">
        <f t="shared" ca="1" si="188"/>
        <v>0</v>
      </c>
      <c r="P550" s="446">
        <f ca="1">ROUND(+IF(ISERROR(OFFSET(Tabella!$G$1,MATCH(H550,Tabella!$G:$G,0)-1,MATCH(I550,Tabella!$G$1:$FG$1,0)-1)=TRUE),0,OFFSET(Tabella!$G$1,MATCH(H550,Tabella!$G:$G,0)-1,MATCH(I550,Tabella!$G$1:$AB$1,0)-1)),4)</f>
        <v>0</v>
      </c>
      <c r="Q550" s="446">
        <f ca="1">ROUND(IF(ISERROR(OFFSET(Ottone!$F$1,MATCH(H550,Ottone!$A:$A,0)-1,MATCH(I550,Ottone!$F$1:$FF$1,0)-1)=TRUE),0,OFFSET(Ottone!$F$1,MATCH(H550,Ottone!$A:$A,0)-1,MATCH(I550,Ottone!$F$1:$FF$1,0)-1))*IF(E550="Ottone",1,0),4)</f>
        <v>0</v>
      </c>
      <c r="R550" s="446">
        <f ca="1">ROUND(IF(ISERROR(OFFSET(Rame!$F$1,MATCH(H550,Rame!$F:$F,0)-1,MATCH(I550,Rame!$F$1:$FF$1,0)-1)=TRUE),0,OFFSET(Rame!$F$1,MATCH(H550,Rame!$F:$F,0)-1,MATCH(I550,Rame!$F$1:$FF$1,0)-1))*IF(E550="Rame",1,0),4)</f>
        <v>0</v>
      </c>
      <c r="S550" s="446">
        <f ca="1">ROUND(IF(ISERROR(OFFSET(Bronzo!$A$1,MATCH(H550,Bronzo!$A:$A,0)-1,MATCH(I550,Bronzo!$A$1:$AA$1,0)-1)=TRUE),0,OFFSET(Bronzo!$A$1,MATCH(H550,Bronzo!$A:$A,0)-1,MATCH(I550,Bronzo!$A$1:$AA$1,0)-1)),4)</f>
        <v>0</v>
      </c>
      <c r="T550" s="446">
        <f t="shared" ca="1" si="190"/>
        <v>0</v>
      </c>
      <c r="U550" s="443"/>
      <c r="V550" s="446">
        <v>0</v>
      </c>
      <c r="W550" s="449">
        <f t="shared" ca="1" si="191"/>
        <v>0</v>
      </c>
      <c r="X550" s="452">
        <f t="shared" si="189"/>
        <v>0</v>
      </c>
      <c r="Y550" s="440"/>
      <c r="Z550" s="440">
        <f t="shared" ca="1" si="192"/>
        <v>0</v>
      </c>
      <c r="AA550" s="241"/>
      <c r="AH550" s="242"/>
    </row>
    <row r="551" spans="2:34" ht="15.75" x14ac:dyDescent="0.25">
      <c r="B551" s="229"/>
      <c r="C551" s="235"/>
      <c r="D551" s="243"/>
      <c r="E551" s="232"/>
      <c r="F551" s="435"/>
      <c r="G551" s="234"/>
      <c r="H551" s="235"/>
      <c r="I551" s="235"/>
      <c r="J551" s="440"/>
      <c r="K551" s="443">
        <f ca="1">ROUND(IF(ISERROR(OFFSET(Tabella!$A$1,MATCH(H551,Tabella!$A:$A,0)-1,MATCH(J551,Tabella!$A$1:$AC$1,0)-1)=TRUE),0,+OFFSET(Tabella!$A$1,MATCH(H551,Tabella!$A:$A,0)-1,MATCH(J551,Tabella!$A$1:$AC$1,0)-1)),4)</f>
        <v>0</v>
      </c>
      <c r="L551" s="446">
        <f ca="1">ROUND(IF(ISERROR(OFFSET(Ottone!$A$1,MATCH(H551,Ottone!$A:$A,0)-1,MATCH(J551,Ottone!$A$1:$Z$1,0)-1)=TRUE),0,OFFSET(Ottone!$A$1,MATCH(H551,Ottone!$A:$A,0)-1,MATCH(J551,Ottone!$A$1:$Z$1,0)-1))*IF(E551="Ottone",1,0),4)</f>
        <v>0</v>
      </c>
      <c r="M551" s="446">
        <f ca="1">ROUND(IF(ISERROR(OFFSET(Rame!$A$1,MATCH(H551,Rame!$A:$A,0)-1,MATCH(J551,Rame!$A$1:$AA$1,0)-1)=TRUE),0,OFFSET(Rame!$A$1,MATCH(H551,Rame!$A:$A,0)-1,MATCH(J551,Rame!$A$1:$AA$1,0)-1))*IF(E551="Rame",1,0),4)</f>
        <v>0</v>
      </c>
      <c r="N551" s="446">
        <v>0</v>
      </c>
      <c r="O551" s="446">
        <f t="shared" ca="1" si="188"/>
        <v>0</v>
      </c>
      <c r="P551" s="446">
        <f ca="1">ROUND(+IF(ISERROR(OFFSET(Tabella!$G$1,MATCH(H551,Tabella!$G:$G,0)-1,MATCH(I551,Tabella!$G$1:$FG$1,0)-1)=TRUE),0,OFFSET(Tabella!$G$1,MATCH(H551,Tabella!$G:$G,0)-1,MATCH(I551,Tabella!$G$1:$AB$1,0)-1)),4)</f>
        <v>0</v>
      </c>
      <c r="Q551" s="446">
        <f ca="1">ROUND(IF(ISERROR(OFFSET(Ottone!$F$1,MATCH(H551,Ottone!$A:$A,0)-1,MATCH(I551,Ottone!$F$1:$FF$1,0)-1)=TRUE),0,OFFSET(Ottone!$F$1,MATCH(H551,Ottone!$A:$A,0)-1,MATCH(I551,Ottone!$F$1:$FF$1,0)-1))*IF(E551="Ottone",1,0),4)</f>
        <v>0</v>
      </c>
      <c r="R551" s="446">
        <f ca="1">ROUND(IF(ISERROR(OFFSET(Rame!$F$1,MATCH(H551,Rame!$F:$F,0)-1,MATCH(I551,Rame!$F$1:$FF$1,0)-1)=TRUE),0,OFFSET(Rame!$F$1,MATCH(H551,Rame!$F:$F,0)-1,MATCH(I551,Rame!$F$1:$FF$1,0)-1))*IF(E551="Rame",1,0),4)</f>
        <v>0</v>
      </c>
      <c r="S551" s="446">
        <f ca="1">ROUND(IF(ISERROR(OFFSET(Bronzo!$A$1,MATCH(H551,Bronzo!$A:$A,0)-1,MATCH(I551,Bronzo!$A$1:$AA$1,0)-1)=TRUE),0,OFFSET(Bronzo!$A$1,MATCH(H551,Bronzo!$A:$A,0)-1,MATCH(I551,Bronzo!$A$1:$AA$1,0)-1)),4)</f>
        <v>0</v>
      </c>
      <c r="T551" s="446">
        <f t="shared" ca="1" si="190"/>
        <v>0</v>
      </c>
      <c r="U551" s="443"/>
      <c r="V551" s="446">
        <v>0</v>
      </c>
      <c r="W551" s="449">
        <f t="shared" ca="1" si="191"/>
        <v>0</v>
      </c>
      <c r="X551" s="452">
        <f t="shared" si="189"/>
        <v>0</v>
      </c>
      <c r="Y551" s="440"/>
      <c r="Z551" s="440">
        <f t="shared" ca="1" si="192"/>
        <v>0</v>
      </c>
      <c r="AA551" s="241"/>
      <c r="AH551" s="242"/>
    </row>
    <row r="552" spans="2:34" ht="15.75" x14ac:dyDescent="0.25">
      <c r="B552" s="229"/>
      <c r="C552" s="235"/>
      <c r="D552" s="243"/>
      <c r="E552" s="232"/>
      <c r="F552" s="435"/>
      <c r="G552" s="234"/>
      <c r="H552" s="235"/>
      <c r="I552" s="235"/>
      <c r="J552" s="440"/>
      <c r="K552" s="443">
        <f ca="1">ROUND(IF(ISERROR(OFFSET(Tabella!$A$1,MATCH(H552,Tabella!$A:$A,0)-1,MATCH(J552,Tabella!$A$1:$AC$1,0)-1)=TRUE),0,+OFFSET(Tabella!$A$1,MATCH(H552,Tabella!$A:$A,0)-1,MATCH(J552,Tabella!$A$1:$AC$1,0)-1)),4)</f>
        <v>0</v>
      </c>
      <c r="L552" s="446">
        <f ca="1">ROUND(IF(ISERROR(OFFSET(Ottone!$A$1,MATCH(H552,Ottone!$A:$A,0)-1,MATCH(J552,Ottone!$A$1:$Z$1,0)-1)=TRUE),0,OFFSET(Ottone!$A$1,MATCH(H552,Ottone!$A:$A,0)-1,MATCH(J552,Ottone!$A$1:$Z$1,0)-1))*IF(E552="Ottone",1,0),4)</f>
        <v>0</v>
      </c>
      <c r="M552" s="446">
        <f ca="1">ROUND(IF(ISERROR(OFFSET(Rame!$A$1,MATCH(H552,Rame!$A:$A,0)-1,MATCH(J552,Rame!$A$1:$AA$1,0)-1)=TRUE),0,OFFSET(Rame!$A$1,MATCH(H552,Rame!$A:$A,0)-1,MATCH(J552,Rame!$A$1:$AA$1,0)-1))*IF(E552="Rame",1,0),4)</f>
        <v>0</v>
      </c>
      <c r="N552" s="446">
        <v>0</v>
      </c>
      <c r="O552" s="446">
        <f t="shared" ref="O552:O615" ca="1" si="193">ROUND(SUM(K552:N552),4)</f>
        <v>0</v>
      </c>
      <c r="P552" s="446">
        <f ca="1">ROUND(+IF(ISERROR(OFFSET(Tabella!$G$1,MATCH(H552,Tabella!$G:$G,0)-1,MATCH(I552,Tabella!$G$1:$FG$1,0)-1)=TRUE),0,OFFSET(Tabella!$G$1,MATCH(H552,Tabella!$G:$G,0)-1,MATCH(I552,Tabella!$G$1:$AB$1,0)-1)),4)</f>
        <v>0</v>
      </c>
      <c r="Q552" s="446">
        <f ca="1">ROUND(IF(ISERROR(OFFSET(Ottone!$F$1,MATCH(H552,Ottone!$A:$A,0)-1,MATCH(I552,Ottone!$F$1:$FF$1,0)-1)=TRUE),0,OFFSET(Ottone!$F$1,MATCH(H552,Ottone!$A:$A,0)-1,MATCH(I552,Ottone!$F$1:$FF$1,0)-1))*IF(E552="Ottone",1,0),4)</f>
        <v>0</v>
      </c>
      <c r="R552" s="446">
        <f ca="1">ROUND(IF(ISERROR(OFFSET(Rame!$F$1,MATCH(H552,Rame!$F:$F,0)-1,MATCH(I552,Rame!$F$1:$FF$1,0)-1)=TRUE),0,OFFSET(Rame!$F$1,MATCH(H552,Rame!$F:$F,0)-1,MATCH(I552,Rame!$F$1:$FF$1,0)-1))*IF(E552="Rame",1,0),4)</f>
        <v>0</v>
      </c>
      <c r="S552" s="446">
        <f ca="1">ROUND(IF(ISERROR(OFFSET(Bronzo!$A$1,MATCH(H552,Bronzo!$A:$A,0)-1,MATCH(I552,Bronzo!$A$1:$AA$1,0)-1)=TRUE),0,OFFSET(Bronzo!$A$1,MATCH(H552,Bronzo!$A:$A,0)-1,MATCH(I552,Bronzo!$A$1:$AA$1,0)-1)),4)</f>
        <v>0</v>
      </c>
      <c r="T552" s="446">
        <f t="shared" ca="1" si="190"/>
        <v>0</v>
      </c>
      <c r="U552" s="443"/>
      <c r="V552" s="446">
        <v>0</v>
      </c>
      <c r="W552" s="449">
        <f t="shared" ca="1" si="191"/>
        <v>0</v>
      </c>
      <c r="X552" s="452">
        <f t="shared" si="189"/>
        <v>0</v>
      </c>
      <c r="Y552" s="440"/>
      <c r="Z552" s="440">
        <f t="shared" ca="1" si="192"/>
        <v>0</v>
      </c>
      <c r="AA552" s="241"/>
      <c r="AH552" s="242"/>
    </row>
    <row r="553" spans="2:34" ht="15.75" x14ac:dyDescent="0.25">
      <c r="B553" s="229"/>
      <c r="C553" s="235"/>
      <c r="D553" s="243"/>
      <c r="E553" s="232"/>
      <c r="F553" s="435"/>
      <c r="G553" s="234"/>
      <c r="H553" s="235"/>
      <c r="I553" s="235"/>
      <c r="J553" s="440"/>
      <c r="K553" s="443">
        <f ca="1">ROUND(IF(ISERROR(OFFSET(Tabella!$A$1,MATCH(H553,Tabella!$A:$A,0)-1,MATCH(J553,Tabella!$A$1:$AC$1,0)-1)=TRUE),0,+OFFSET(Tabella!$A$1,MATCH(H553,Tabella!$A:$A,0)-1,MATCH(J553,Tabella!$A$1:$AC$1,0)-1)),4)</f>
        <v>0</v>
      </c>
      <c r="L553" s="446">
        <f ca="1">ROUND(IF(ISERROR(OFFSET(Ottone!$A$1,MATCH(H553,Ottone!$A:$A,0)-1,MATCH(J553,Ottone!$A$1:$Z$1,0)-1)=TRUE),0,OFFSET(Ottone!$A$1,MATCH(H553,Ottone!$A:$A,0)-1,MATCH(J553,Ottone!$A$1:$Z$1,0)-1))*IF(E553="Ottone",1,0),4)</f>
        <v>0</v>
      </c>
      <c r="M553" s="446">
        <f ca="1">ROUND(IF(ISERROR(OFFSET(Rame!$A$1,MATCH(H553,Rame!$A:$A,0)-1,MATCH(J553,Rame!$A$1:$AA$1,0)-1)=TRUE),0,OFFSET(Rame!$A$1,MATCH(H553,Rame!$A:$A,0)-1,MATCH(J553,Rame!$A$1:$AA$1,0)-1))*IF(E553="Rame",1,0),4)</f>
        <v>0</v>
      </c>
      <c r="N553" s="446">
        <v>0</v>
      </c>
      <c r="O553" s="446">
        <f t="shared" ca="1" si="193"/>
        <v>0</v>
      </c>
      <c r="P553" s="446">
        <f ca="1">ROUND(+IF(ISERROR(OFFSET(Tabella!$G$1,MATCH(H553,Tabella!$G:$G,0)-1,MATCH(I553,Tabella!$G$1:$FG$1,0)-1)=TRUE),0,OFFSET(Tabella!$G$1,MATCH(H553,Tabella!$G:$G,0)-1,MATCH(I553,Tabella!$G$1:$AB$1,0)-1)),4)</f>
        <v>0</v>
      </c>
      <c r="Q553" s="446">
        <f ca="1">ROUND(IF(ISERROR(OFFSET(Ottone!$F$1,MATCH(H553,Ottone!$A:$A,0)-1,MATCH(I553,Ottone!$F$1:$FF$1,0)-1)=TRUE),0,OFFSET(Ottone!$F$1,MATCH(H553,Ottone!$A:$A,0)-1,MATCH(I553,Ottone!$F$1:$FF$1,0)-1))*IF(E553="Ottone",1,0),4)</f>
        <v>0</v>
      </c>
      <c r="R553" s="446">
        <f ca="1">ROUND(IF(ISERROR(OFFSET(Rame!$F$1,MATCH(H553,Rame!$F:$F,0)-1,MATCH(I553,Rame!$F$1:$FF$1,0)-1)=TRUE),0,OFFSET(Rame!$F$1,MATCH(H553,Rame!$F:$F,0)-1,MATCH(I553,Rame!$F$1:$FF$1,0)-1))*IF(E553="Rame",1,0),4)</f>
        <v>0</v>
      </c>
      <c r="S553" s="446">
        <f ca="1">ROUND(IF(ISERROR(OFFSET(Bronzo!$A$1,MATCH(H553,Bronzo!$A:$A,0)-1,MATCH(I553,Bronzo!$A$1:$AA$1,0)-1)=TRUE),0,OFFSET(Bronzo!$A$1,MATCH(H553,Bronzo!$A:$A,0)-1,MATCH(I553,Bronzo!$A$1:$AA$1,0)-1)),4)</f>
        <v>0</v>
      </c>
      <c r="T553" s="446">
        <f t="shared" ca="1" si="190"/>
        <v>0</v>
      </c>
      <c r="U553" s="443"/>
      <c r="V553" s="446">
        <v>0</v>
      </c>
      <c r="W553" s="449">
        <f t="shared" ca="1" si="191"/>
        <v>0</v>
      </c>
      <c r="X553" s="452">
        <f t="shared" si="189"/>
        <v>0</v>
      </c>
      <c r="Y553" s="440"/>
      <c r="Z553" s="440">
        <f t="shared" ca="1" si="192"/>
        <v>0</v>
      </c>
      <c r="AA553" s="241"/>
      <c r="AH553" s="242"/>
    </row>
    <row r="554" spans="2:34" ht="15.75" x14ac:dyDescent="0.25">
      <c r="B554" s="229"/>
      <c r="C554" s="235"/>
      <c r="D554" s="243"/>
      <c r="E554" s="232"/>
      <c r="F554" s="435"/>
      <c r="G554" s="234"/>
      <c r="H554" s="235"/>
      <c r="I554" s="235"/>
      <c r="J554" s="440"/>
      <c r="K554" s="443">
        <f ca="1">ROUND(IF(ISERROR(OFFSET(Tabella!$A$1,MATCH(H554,Tabella!$A:$A,0)-1,MATCH(J554,Tabella!$A$1:$AC$1,0)-1)=TRUE),0,+OFFSET(Tabella!$A$1,MATCH(H554,Tabella!$A:$A,0)-1,MATCH(J554,Tabella!$A$1:$AC$1,0)-1)),4)</f>
        <v>0</v>
      </c>
      <c r="L554" s="446">
        <f ca="1">ROUND(IF(ISERROR(OFFSET(Ottone!$A$1,MATCH(H554,Ottone!$A:$A,0)-1,MATCH(J554,Ottone!$A$1:$Z$1,0)-1)=TRUE),0,OFFSET(Ottone!$A$1,MATCH(H554,Ottone!$A:$A,0)-1,MATCH(J554,Ottone!$A$1:$Z$1,0)-1))*IF(E554="Ottone",1,0),4)</f>
        <v>0</v>
      </c>
      <c r="M554" s="446">
        <f ca="1">ROUND(IF(ISERROR(OFFSET(Rame!$A$1,MATCH(H554,Rame!$A:$A,0)-1,MATCH(J554,Rame!$A$1:$AA$1,0)-1)=TRUE),0,OFFSET(Rame!$A$1,MATCH(H554,Rame!$A:$A,0)-1,MATCH(J554,Rame!$A$1:$AA$1,0)-1))*IF(E554="Rame",1,0),4)</f>
        <v>0</v>
      </c>
      <c r="N554" s="446">
        <v>0</v>
      </c>
      <c r="O554" s="446">
        <f t="shared" ca="1" si="193"/>
        <v>0</v>
      </c>
      <c r="P554" s="446">
        <f ca="1">ROUND(+IF(ISERROR(OFFSET(Tabella!$G$1,MATCH(H554,Tabella!$G:$G,0)-1,MATCH(I554,Tabella!$G$1:$FG$1,0)-1)=TRUE),0,OFFSET(Tabella!$G$1,MATCH(H554,Tabella!$G:$G,0)-1,MATCH(I554,Tabella!$G$1:$AB$1,0)-1)),4)</f>
        <v>0</v>
      </c>
      <c r="Q554" s="446">
        <f ca="1">ROUND(IF(ISERROR(OFFSET(Ottone!$F$1,MATCH(H554,Ottone!$A:$A,0)-1,MATCH(I554,Ottone!$F$1:$FF$1,0)-1)=TRUE),0,OFFSET(Ottone!$F$1,MATCH(H554,Ottone!$A:$A,0)-1,MATCH(I554,Ottone!$F$1:$FF$1,0)-1))*IF(E554="Ottone",1,0),4)</f>
        <v>0</v>
      </c>
      <c r="R554" s="446">
        <f ca="1">ROUND(IF(ISERROR(OFFSET(Rame!$F$1,MATCH(H554,Rame!$F:$F,0)-1,MATCH(I554,Rame!$F$1:$FF$1,0)-1)=TRUE),0,OFFSET(Rame!$F$1,MATCH(H554,Rame!$F:$F,0)-1,MATCH(I554,Rame!$F$1:$FF$1,0)-1))*IF(E554="Rame",1,0),4)</f>
        <v>0</v>
      </c>
      <c r="S554" s="446">
        <f ca="1">ROUND(IF(ISERROR(OFFSET(Bronzo!$A$1,MATCH(H554,Bronzo!$A:$A,0)-1,MATCH(I554,Bronzo!$A$1:$AA$1,0)-1)=TRUE),0,OFFSET(Bronzo!$A$1,MATCH(H554,Bronzo!$A:$A,0)-1,MATCH(I554,Bronzo!$A$1:$AA$1,0)-1)),4)</f>
        <v>0</v>
      </c>
      <c r="T554" s="446">
        <f t="shared" ca="1" si="190"/>
        <v>0</v>
      </c>
      <c r="U554" s="443"/>
      <c r="V554" s="446">
        <v>0</v>
      </c>
      <c r="W554" s="449">
        <f t="shared" ca="1" si="191"/>
        <v>0</v>
      </c>
      <c r="X554" s="452">
        <f t="shared" si="189"/>
        <v>0</v>
      </c>
      <c r="Y554" s="440"/>
      <c r="Z554" s="440">
        <f t="shared" ca="1" si="192"/>
        <v>0</v>
      </c>
      <c r="AA554" s="241"/>
      <c r="AH554" s="242"/>
    </row>
    <row r="555" spans="2:34" ht="15.75" x14ac:dyDescent="0.25">
      <c r="B555" s="229"/>
      <c r="C555" s="235"/>
      <c r="D555" s="243"/>
      <c r="E555" s="232"/>
      <c r="F555" s="435"/>
      <c r="G555" s="234"/>
      <c r="H555" s="235"/>
      <c r="I555" s="235"/>
      <c r="J555" s="440"/>
      <c r="K555" s="443">
        <f ca="1">ROUND(IF(ISERROR(OFFSET(Tabella!$A$1,MATCH(H555,Tabella!$A:$A,0)-1,MATCH(J555,Tabella!$A$1:$AC$1,0)-1)=TRUE),0,+OFFSET(Tabella!$A$1,MATCH(H555,Tabella!$A:$A,0)-1,MATCH(J555,Tabella!$A$1:$AC$1,0)-1)),4)</f>
        <v>0</v>
      </c>
      <c r="L555" s="446">
        <f ca="1">ROUND(IF(ISERROR(OFFSET(Ottone!$A$1,MATCH(H555,Ottone!$A:$A,0)-1,MATCH(J555,Ottone!$A$1:$Z$1,0)-1)=TRUE),0,OFFSET(Ottone!$A$1,MATCH(H555,Ottone!$A:$A,0)-1,MATCH(J555,Ottone!$A$1:$Z$1,0)-1))*IF(E555="Ottone",1,0),4)</f>
        <v>0</v>
      </c>
      <c r="M555" s="446">
        <f ca="1">ROUND(IF(ISERROR(OFFSET(Rame!$A$1,MATCH(H555,Rame!$A:$A,0)-1,MATCH(J555,Rame!$A$1:$AA$1,0)-1)=TRUE),0,OFFSET(Rame!$A$1,MATCH(H555,Rame!$A:$A,0)-1,MATCH(J555,Rame!$A$1:$AA$1,0)-1))*IF(E555="Rame",1,0),4)</f>
        <v>0</v>
      </c>
      <c r="N555" s="446">
        <v>0</v>
      </c>
      <c r="O555" s="446">
        <f t="shared" ca="1" si="193"/>
        <v>0</v>
      </c>
      <c r="P555" s="446">
        <f ca="1">ROUND(+IF(ISERROR(OFFSET(Tabella!$G$1,MATCH(H555,Tabella!$G:$G,0)-1,MATCH(I555,Tabella!$G$1:$FG$1,0)-1)=TRUE),0,OFFSET(Tabella!$G$1,MATCH(H555,Tabella!$G:$G,0)-1,MATCH(I555,Tabella!$G$1:$AB$1,0)-1)),4)</f>
        <v>0</v>
      </c>
      <c r="Q555" s="446">
        <f ca="1">ROUND(IF(ISERROR(OFFSET(Ottone!$F$1,MATCH(H555,Ottone!$A:$A,0)-1,MATCH(I555,Ottone!$F$1:$FF$1,0)-1)=TRUE),0,OFFSET(Ottone!$F$1,MATCH(H555,Ottone!$A:$A,0)-1,MATCH(I555,Ottone!$F$1:$FF$1,0)-1))*IF(E555="Ottone",1,0),4)</f>
        <v>0</v>
      </c>
      <c r="R555" s="446">
        <f ca="1">ROUND(IF(ISERROR(OFFSET(Rame!$F$1,MATCH(H555,Rame!$F:$F,0)-1,MATCH(I555,Rame!$F$1:$FF$1,0)-1)=TRUE),0,OFFSET(Rame!$F$1,MATCH(H555,Rame!$F:$F,0)-1,MATCH(I555,Rame!$F$1:$FF$1,0)-1))*IF(E555="Rame",1,0),4)</f>
        <v>0</v>
      </c>
      <c r="S555" s="446">
        <f ca="1">ROUND(IF(ISERROR(OFFSET(Bronzo!$A$1,MATCH(H555,Bronzo!$A:$A,0)-1,MATCH(I555,Bronzo!$A$1:$AA$1,0)-1)=TRUE),0,OFFSET(Bronzo!$A$1,MATCH(H555,Bronzo!$A:$A,0)-1,MATCH(I555,Bronzo!$A$1:$AA$1,0)-1)),4)</f>
        <v>0</v>
      </c>
      <c r="T555" s="446">
        <f t="shared" ca="1" si="190"/>
        <v>0</v>
      </c>
      <c r="U555" s="443"/>
      <c r="V555" s="446">
        <v>0</v>
      </c>
      <c r="W555" s="449">
        <f t="shared" ca="1" si="191"/>
        <v>0</v>
      </c>
      <c r="X555" s="452">
        <f t="shared" si="189"/>
        <v>0</v>
      </c>
      <c r="Y555" s="440"/>
      <c r="Z555" s="440">
        <f t="shared" ca="1" si="192"/>
        <v>0</v>
      </c>
      <c r="AA555" s="241"/>
      <c r="AH555" s="242"/>
    </row>
    <row r="556" spans="2:34" ht="15.75" x14ac:dyDescent="0.25">
      <c r="B556" s="229"/>
      <c r="C556" s="235"/>
      <c r="D556" s="243"/>
      <c r="E556" s="232"/>
      <c r="F556" s="435"/>
      <c r="G556" s="234"/>
      <c r="H556" s="235"/>
      <c r="I556" s="235"/>
      <c r="J556" s="440"/>
      <c r="K556" s="443">
        <f ca="1">ROUND(IF(ISERROR(OFFSET(Tabella!$A$1,MATCH(H556,Tabella!$A:$A,0)-1,MATCH(J556,Tabella!$A$1:$AC$1,0)-1)=TRUE),0,+OFFSET(Tabella!$A$1,MATCH(H556,Tabella!$A:$A,0)-1,MATCH(J556,Tabella!$A$1:$AC$1,0)-1)),4)</f>
        <v>0</v>
      </c>
      <c r="L556" s="446">
        <f ca="1">ROUND(IF(ISERROR(OFFSET(Ottone!$A$1,MATCH(H556,Ottone!$A:$A,0)-1,MATCH(J556,Ottone!$A$1:$Z$1,0)-1)=TRUE),0,OFFSET(Ottone!$A$1,MATCH(H556,Ottone!$A:$A,0)-1,MATCH(J556,Ottone!$A$1:$Z$1,0)-1))*IF(E556="Ottone",1,0),4)</f>
        <v>0</v>
      </c>
      <c r="M556" s="446">
        <f ca="1">ROUND(IF(ISERROR(OFFSET(Rame!$A$1,MATCH(H556,Rame!$A:$A,0)-1,MATCH(J556,Rame!$A$1:$AA$1,0)-1)=TRUE),0,OFFSET(Rame!$A$1,MATCH(H556,Rame!$A:$A,0)-1,MATCH(J556,Rame!$A$1:$AA$1,0)-1))*IF(E556="Rame",1,0),4)</f>
        <v>0</v>
      </c>
      <c r="N556" s="446">
        <v>0</v>
      </c>
      <c r="O556" s="446">
        <f t="shared" ca="1" si="193"/>
        <v>0</v>
      </c>
      <c r="P556" s="446">
        <f ca="1">ROUND(+IF(ISERROR(OFFSET(Tabella!$G$1,MATCH(H556,Tabella!$G:$G,0)-1,MATCH(I556,Tabella!$G$1:$FG$1,0)-1)=TRUE),0,OFFSET(Tabella!$G$1,MATCH(H556,Tabella!$G:$G,0)-1,MATCH(I556,Tabella!$G$1:$AB$1,0)-1)),4)</f>
        <v>0</v>
      </c>
      <c r="Q556" s="446">
        <f ca="1">ROUND(IF(ISERROR(OFFSET(Ottone!$F$1,MATCH(H556,Ottone!$A:$A,0)-1,MATCH(I556,Ottone!$F$1:$FF$1,0)-1)=TRUE),0,OFFSET(Ottone!$F$1,MATCH(H556,Ottone!$A:$A,0)-1,MATCH(I556,Ottone!$F$1:$FF$1,0)-1))*IF(E556="Ottone",1,0),4)</f>
        <v>0</v>
      </c>
      <c r="R556" s="446">
        <f ca="1">ROUND(IF(ISERROR(OFFSET(Rame!$F$1,MATCH(H556,Rame!$F:$F,0)-1,MATCH(I556,Rame!$F$1:$FF$1,0)-1)=TRUE),0,OFFSET(Rame!$F$1,MATCH(H556,Rame!$F:$F,0)-1,MATCH(I556,Rame!$F$1:$FF$1,0)-1))*IF(E556="Rame",1,0),4)</f>
        <v>0</v>
      </c>
      <c r="S556" s="446">
        <f ca="1">ROUND(IF(ISERROR(OFFSET(Bronzo!$A$1,MATCH(H556,Bronzo!$A:$A,0)-1,MATCH(I556,Bronzo!$A$1:$AA$1,0)-1)=TRUE),0,OFFSET(Bronzo!$A$1,MATCH(H556,Bronzo!$A:$A,0)-1,MATCH(I556,Bronzo!$A$1:$AA$1,0)-1)),4)</f>
        <v>0</v>
      </c>
      <c r="T556" s="446">
        <f t="shared" ca="1" si="190"/>
        <v>0</v>
      </c>
      <c r="U556" s="443"/>
      <c r="V556" s="446">
        <v>0</v>
      </c>
      <c r="W556" s="449">
        <f t="shared" ca="1" si="191"/>
        <v>0</v>
      </c>
      <c r="X556" s="452">
        <f t="shared" si="189"/>
        <v>0</v>
      </c>
      <c r="Y556" s="440"/>
      <c r="Z556" s="440">
        <f t="shared" ca="1" si="192"/>
        <v>0</v>
      </c>
      <c r="AA556" s="241"/>
      <c r="AH556" s="242"/>
    </row>
    <row r="557" spans="2:34" ht="15.75" x14ac:dyDescent="0.25">
      <c r="B557" s="229"/>
      <c r="C557" s="235"/>
      <c r="D557" s="243"/>
      <c r="E557" s="232"/>
      <c r="F557" s="435"/>
      <c r="G557" s="234"/>
      <c r="H557" s="235"/>
      <c r="I557" s="235"/>
      <c r="J557" s="440"/>
      <c r="K557" s="443">
        <f ca="1">ROUND(IF(ISERROR(OFFSET(Tabella!$A$1,MATCH(H557,Tabella!$A:$A,0)-1,MATCH(J557,Tabella!$A$1:$AC$1,0)-1)=TRUE),0,+OFFSET(Tabella!$A$1,MATCH(H557,Tabella!$A:$A,0)-1,MATCH(J557,Tabella!$A$1:$AC$1,0)-1)),4)</f>
        <v>0</v>
      </c>
      <c r="L557" s="446">
        <f ca="1">ROUND(IF(ISERROR(OFFSET(Ottone!$A$1,MATCH(H557,Ottone!$A:$A,0)-1,MATCH(J557,Ottone!$A$1:$Z$1,0)-1)=TRUE),0,OFFSET(Ottone!$A$1,MATCH(H557,Ottone!$A:$A,0)-1,MATCH(J557,Ottone!$A$1:$Z$1,0)-1))*IF(E557="Ottone",1,0),4)</f>
        <v>0</v>
      </c>
      <c r="M557" s="446">
        <f ca="1">ROUND(IF(ISERROR(OFFSET(Rame!$A$1,MATCH(H557,Rame!$A:$A,0)-1,MATCH(J557,Rame!$A$1:$AA$1,0)-1)=TRUE),0,OFFSET(Rame!$A$1,MATCH(H557,Rame!$A:$A,0)-1,MATCH(J557,Rame!$A$1:$AA$1,0)-1))*IF(E557="Rame",1,0),4)</f>
        <v>0</v>
      </c>
      <c r="N557" s="446">
        <v>0</v>
      </c>
      <c r="O557" s="446">
        <f t="shared" ca="1" si="193"/>
        <v>0</v>
      </c>
      <c r="P557" s="446">
        <f ca="1">ROUND(+IF(ISERROR(OFFSET(Tabella!$G$1,MATCH(H557,Tabella!$G:$G,0)-1,MATCH(I557,Tabella!$G$1:$FG$1,0)-1)=TRUE),0,OFFSET(Tabella!$G$1,MATCH(H557,Tabella!$G:$G,0)-1,MATCH(I557,Tabella!$G$1:$AB$1,0)-1)),4)</f>
        <v>0</v>
      </c>
      <c r="Q557" s="446">
        <f ca="1">ROUND(IF(ISERROR(OFFSET(Ottone!$F$1,MATCH(H557,Ottone!$A:$A,0)-1,MATCH(I557,Ottone!$F$1:$FF$1,0)-1)=TRUE),0,OFFSET(Ottone!$F$1,MATCH(H557,Ottone!$A:$A,0)-1,MATCH(I557,Ottone!$F$1:$FF$1,0)-1))*IF(E557="Ottone",1,0),4)</f>
        <v>0</v>
      </c>
      <c r="R557" s="446">
        <f ca="1">ROUND(IF(ISERROR(OFFSET(Rame!$F$1,MATCH(H557,Rame!$F:$F,0)-1,MATCH(I557,Rame!$F$1:$FF$1,0)-1)=TRUE),0,OFFSET(Rame!$F$1,MATCH(H557,Rame!$F:$F,0)-1,MATCH(I557,Rame!$F$1:$FF$1,0)-1))*IF(E557="Rame",1,0),4)</f>
        <v>0</v>
      </c>
      <c r="S557" s="446">
        <f ca="1">ROUND(IF(ISERROR(OFFSET(Bronzo!$A$1,MATCH(H557,Bronzo!$A:$A,0)-1,MATCH(I557,Bronzo!$A$1:$AA$1,0)-1)=TRUE),0,OFFSET(Bronzo!$A$1,MATCH(H557,Bronzo!$A:$A,0)-1,MATCH(I557,Bronzo!$A$1:$AA$1,0)-1)),4)</f>
        <v>0</v>
      </c>
      <c r="T557" s="446">
        <f t="shared" ca="1" si="190"/>
        <v>0</v>
      </c>
      <c r="U557" s="443"/>
      <c r="V557" s="446">
        <v>0</v>
      </c>
      <c r="W557" s="449">
        <f t="shared" ca="1" si="191"/>
        <v>0</v>
      </c>
      <c r="X557" s="452">
        <f t="shared" si="189"/>
        <v>0</v>
      </c>
      <c r="Y557" s="440"/>
      <c r="Z557" s="440">
        <f t="shared" ca="1" si="192"/>
        <v>0</v>
      </c>
      <c r="AA557" s="241"/>
      <c r="AH557" s="242"/>
    </row>
    <row r="558" spans="2:34" ht="15.75" x14ac:dyDescent="0.25">
      <c r="B558" s="229"/>
      <c r="C558" s="235"/>
      <c r="D558" s="243"/>
      <c r="E558" s="232"/>
      <c r="F558" s="435"/>
      <c r="G558" s="234"/>
      <c r="H558" s="235"/>
      <c r="I558" s="235"/>
      <c r="J558" s="440"/>
      <c r="K558" s="443">
        <f ca="1">ROUND(IF(ISERROR(OFFSET(Tabella!$A$1,MATCH(H558,Tabella!$A:$A,0)-1,MATCH(J558,Tabella!$A$1:$AC$1,0)-1)=TRUE),0,+OFFSET(Tabella!$A$1,MATCH(H558,Tabella!$A:$A,0)-1,MATCH(J558,Tabella!$A$1:$AC$1,0)-1)),4)</f>
        <v>0</v>
      </c>
      <c r="L558" s="446">
        <f ca="1">ROUND(IF(ISERROR(OFFSET(Ottone!$A$1,MATCH(H558,Ottone!$A:$A,0)-1,MATCH(J558,Ottone!$A$1:$Z$1,0)-1)=TRUE),0,OFFSET(Ottone!$A$1,MATCH(H558,Ottone!$A:$A,0)-1,MATCH(J558,Ottone!$A$1:$Z$1,0)-1))*IF(E558="Ottone",1,0),4)</f>
        <v>0</v>
      </c>
      <c r="M558" s="446">
        <f ca="1">ROUND(IF(ISERROR(OFFSET(Rame!$A$1,MATCH(H558,Rame!$A:$A,0)-1,MATCH(J558,Rame!$A$1:$AA$1,0)-1)=TRUE),0,OFFSET(Rame!$A$1,MATCH(H558,Rame!$A:$A,0)-1,MATCH(J558,Rame!$A$1:$AA$1,0)-1))*IF(E558="Rame",1,0),4)</f>
        <v>0</v>
      </c>
      <c r="N558" s="446">
        <v>0</v>
      </c>
      <c r="O558" s="446">
        <f t="shared" ca="1" si="193"/>
        <v>0</v>
      </c>
      <c r="P558" s="446">
        <f ca="1">ROUND(+IF(ISERROR(OFFSET(Tabella!$G$1,MATCH(H558,Tabella!$G:$G,0)-1,MATCH(I558,Tabella!$G$1:$FG$1,0)-1)=TRUE),0,OFFSET(Tabella!$G$1,MATCH(H558,Tabella!$G:$G,0)-1,MATCH(I558,Tabella!$G$1:$AB$1,0)-1)),4)</f>
        <v>0</v>
      </c>
      <c r="Q558" s="446">
        <f ca="1">ROUND(IF(ISERROR(OFFSET(Ottone!$F$1,MATCH(H558,Ottone!$A:$A,0)-1,MATCH(I558,Ottone!$F$1:$FF$1,0)-1)=TRUE),0,OFFSET(Ottone!$F$1,MATCH(H558,Ottone!$A:$A,0)-1,MATCH(I558,Ottone!$F$1:$FF$1,0)-1))*IF(E558="Ottone",1,0),4)</f>
        <v>0</v>
      </c>
      <c r="R558" s="446">
        <f ca="1">ROUND(IF(ISERROR(OFFSET(Rame!$F$1,MATCH(H558,Rame!$F:$F,0)-1,MATCH(I558,Rame!$F$1:$FF$1,0)-1)=TRUE),0,OFFSET(Rame!$F$1,MATCH(H558,Rame!$F:$F,0)-1,MATCH(I558,Rame!$F$1:$FF$1,0)-1))*IF(E558="Rame",1,0),4)</f>
        <v>0</v>
      </c>
      <c r="S558" s="446">
        <f ca="1">ROUND(IF(ISERROR(OFFSET(Bronzo!$A$1,MATCH(H558,Bronzo!$A:$A,0)-1,MATCH(I558,Bronzo!$A$1:$AA$1,0)-1)=TRUE),0,OFFSET(Bronzo!$A$1,MATCH(H558,Bronzo!$A:$A,0)-1,MATCH(I558,Bronzo!$A$1:$AA$1,0)-1)),4)</f>
        <v>0</v>
      </c>
      <c r="T558" s="446">
        <f t="shared" ca="1" si="190"/>
        <v>0</v>
      </c>
      <c r="U558" s="443"/>
      <c r="V558" s="446">
        <v>0</v>
      </c>
      <c r="W558" s="449">
        <f t="shared" ca="1" si="191"/>
        <v>0</v>
      </c>
      <c r="X558" s="452">
        <f t="shared" si="189"/>
        <v>0</v>
      </c>
      <c r="Y558" s="440"/>
      <c r="Z558" s="440">
        <f t="shared" ca="1" si="192"/>
        <v>0</v>
      </c>
      <c r="AA558" s="241"/>
      <c r="AH558" s="242"/>
    </row>
    <row r="559" spans="2:34" ht="15.75" x14ac:dyDescent="0.25">
      <c r="B559" s="229"/>
      <c r="C559" s="235"/>
      <c r="D559" s="243"/>
      <c r="E559" s="232"/>
      <c r="F559" s="435"/>
      <c r="G559" s="234"/>
      <c r="H559" s="235"/>
      <c r="I559" s="235"/>
      <c r="J559" s="440"/>
      <c r="K559" s="443">
        <f ca="1">ROUND(IF(ISERROR(OFFSET(Tabella!$A$1,MATCH(H559,Tabella!$A:$A,0)-1,MATCH(J559,Tabella!$A$1:$AC$1,0)-1)=TRUE),0,+OFFSET(Tabella!$A$1,MATCH(H559,Tabella!$A:$A,0)-1,MATCH(J559,Tabella!$A$1:$AC$1,0)-1)),4)</f>
        <v>0</v>
      </c>
      <c r="L559" s="446">
        <f ca="1">ROUND(IF(ISERROR(OFFSET(Ottone!$A$1,MATCH(H559,Ottone!$A:$A,0)-1,MATCH(J559,Ottone!$A$1:$Z$1,0)-1)=TRUE),0,OFFSET(Ottone!$A$1,MATCH(H559,Ottone!$A:$A,0)-1,MATCH(J559,Ottone!$A$1:$Z$1,0)-1))*IF(E559="Ottone",1,0),4)</f>
        <v>0</v>
      </c>
      <c r="M559" s="446">
        <f ca="1">ROUND(IF(ISERROR(OFFSET(Rame!$A$1,MATCH(H559,Rame!$A:$A,0)-1,MATCH(J559,Rame!$A$1:$AA$1,0)-1)=TRUE),0,OFFSET(Rame!$A$1,MATCH(H559,Rame!$A:$A,0)-1,MATCH(J559,Rame!$A$1:$AA$1,0)-1))*IF(E559="Rame",1,0),4)</f>
        <v>0</v>
      </c>
      <c r="N559" s="446">
        <v>0</v>
      </c>
      <c r="O559" s="446">
        <f t="shared" ca="1" si="193"/>
        <v>0</v>
      </c>
      <c r="P559" s="446">
        <f ca="1">ROUND(+IF(ISERROR(OFFSET(Tabella!$G$1,MATCH(H559,Tabella!$G:$G,0)-1,MATCH(I559,Tabella!$G$1:$FG$1,0)-1)=TRUE),0,OFFSET(Tabella!$G$1,MATCH(H559,Tabella!$G:$G,0)-1,MATCH(I559,Tabella!$G$1:$AB$1,0)-1)),4)</f>
        <v>0</v>
      </c>
      <c r="Q559" s="446">
        <f ca="1">ROUND(IF(ISERROR(OFFSET(Ottone!$F$1,MATCH(H559,Ottone!$A:$A,0)-1,MATCH(I559,Ottone!$F$1:$FF$1,0)-1)=TRUE),0,OFFSET(Ottone!$F$1,MATCH(H559,Ottone!$A:$A,0)-1,MATCH(I559,Ottone!$F$1:$FF$1,0)-1))*IF(E559="Ottone",1,0),4)</f>
        <v>0</v>
      </c>
      <c r="R559" s="446">
        <f ca="1">ROUND(IF(ISERROR(OFFSET(Rame!$F$1,MATCH(H559,Rame!$F:$F,0)-1,MATCH(I559,Rame!$F$1:$FF$1,0)-1)=TRUE),0,OFFSET(Rame!$F$1,MATCH(H559,Rame!$F:$F,0)-1,MATCH(I559,Rame!$F$1:$FF$1,0)-1))*IF(E559="Rame",1,0),4)</f>
        <v>0</v>
      </c>
      <c r="S559" s="446">
        <f ca="1">ROUND(IF(ISERROR(OFFSET(Bronzo!$A$1,MATCH(H559,Bronzo!$A:$A,0)-1,MATCH(I559,Bronzo!$A$1:$AA$1,0)-1)=TRUE),0,OFFSET(Bronzo!$A$1,MATCH(H559,Bronzo!$A:$A,0)-1,MATCH(I559,Bronzo!$A$1:$AA$1,0)-1)),4)</f>
        <v>0</v>
      </c>
      <c r="T559" s="446">
        <f t="shared" ca="1" si="190"/>
        <v>0</v>
      </c>
      <c r="U559" s="443"/>
      <c r="V559" s="446">
        <v>0</v>
      </c>
      <c r="W559" s="449">
        <f t="shared" ca="1" si="191"/>
        <v>0</v>
      </c>
      <c r="X559" s="452">
        <f t="shared" si="189"/>
        <v>0</v>
      </c>
      <c r="Y559" s="440"/>
      <c r="Z559" s="440">
        <f t="shared" ca="1" si="192"/>
        <v>0</v>
      </c>
      <c r="AA559" s="241"/>
      <c r="AH559" s="242"/>
    </row>
    <row r="560" spans="2:34" ht="15.75" x14ac:dyDescent="0.25">
      <c r="B560" s="229"/>
      <c r="C560" s="235"/>
      <c r="D560" s="243"/>
      <c r="E560" s="232"/>
      <c r="F560" s="435"/>
      <c r="G560" s="234"/>
      <c r="H560" s="235"/>
      <c r="I560" s="235"/>
      <c r="J560" s="440"/>
      <c r="K560" s="443">
        <f ca="1">ROUND(IF(ISERROR(OFFSET(Tabella!$A$1,MATCH(H560,Tabella!$A:$A,0)-1,MATCH(J560,Tabella!$A$1:$AC$1,0)-1)=TRUE),0,+OFFSET(Tabella!$A$1,MATCH(H560,Tabella!$A:$A,0)-1,MATCH(J560,Tabella!$A$1:$AC$1,0)-1)),4)</f>
        <v>0</v>
      </c>
      <c r="L560" s="446">
        <f ca="1">ROUND(IF(ISERROR(OFFSET(Ottone!$A$1,MATCH(H560,Ottone!$A:$A,0)-1,MATCH(J560,Ottone!$A$1:$Z$1,0)-1)=TRUE),0,OFFSET(Ottone!$A$1,MATCH(H560,Ottone!$A:$A,0)-1,MATCH(J560,Ottone!$A$1:$Z$1,0)-1))*IF(E560="Ottone",1,0),4)</f>
        <v>0</v>
      </c>
      <c r="M560" s="446">
        <f ca="1">ROUND(IF(ISERROR(OFFSET(Rame!$A$1,MATCH(H560,Rame!$A:$A,0)-1,MATCH(J560,Rame!$A$1:$AA$1,0)-1)=TRUE),0,OFFSET(Rame!$A$1,MATCH(H560,Rame!$A:$A,0)-1,MATCH(J560,Rame!$A$1:$AA$1,0)-1))*IF(E560="Rame",1,0),4)</f>
        <v>0</v>
      </c>
      <c r="N560" s="446">
        <v>0</v>
      </c>
      <c r="O560" s="446">
        <f t="shared" ca="1" si="193"/>
        <v>0</v>
      </c>
      <c r="P560" s="446">
        <f ca="1">ROUND(+IF(ISERROR(OFFSET(Tabella!$G$1,MATCH(H560,Tabella!$G:$G,0)-1,MATCH(I560,Tabella!$G$1:$FG$1,0)-1)=TRUE),0,OFFSET(Tabella!$G$1,MATCH(H560,Tabella!$G:$G,0)-1,MATCH(I560,Tabella!$G$1:$AB$1,0)-1)),4)</f>
        <v>0</v>
      </c>
      <c r="Q560" s="446">
        <f ca="1">ROUND(IF(ISERROR(OFFSET(Ottone!$F$1,MATCH(H560,Ottone!$A:$A,0)-1,MATCH(I560,Ottone!$F$1:$FF$1,0)-1)=TRUE),0,OFFSET(Ottone!$F$1,MATCH(H560,Ottone!$A:$A,0)-1,MATCH(I560,Ottone!$F$1:$FF$1,0)-1))*IF(E560="Ottone",1,0),4)</f>
        <v>0</v>
      </c>
      <c r="R560" s="446">
        <f ca="1">ROUND(IF(ISERROR(OFFSET(Rame!$F$1,MATCH(H560,Rame!$F:$F,0)-1,MATCH(I560,Rame!$F$1:$FF$1,0)-1)=TRUE),0,OFFSET(Rame!$F$1,MATCH(H560,Rame!$F:$F,0)-1,MATCH(I560,Rame!$F$1:$FF$1,0)-1))*IF(E560="Rame",1,0),4)</f>
        <v>0</v>
      </c>
      <c r="S560" s="446">
        <f ca="1">ROUND(IF(ISERROR(OFFSET(Bronzo!$A$1,MATCH(H560,Bronzo!$A:$A,0)-1,MATCH(I560,Bronzo!$A$1:$AA$1,0)-1)=TRUE),0,OFFSET(Bronzo!$A$1,MATCH(H560,Bronzo!$A:$A,0)-1,MATCH(I560,Bronzo!$A$1:$AA$1,0)-1)),4)</f>
        <v>0</v>
      </c>
      <c r="T560" s="446">
        <f t="shared" ca="1" si="190"/>
        <v>0</v>
      </c>
      <c r="U560" s="443"/>
      <c r="V560" s="446">
        <v>0</v>
      </c>
      <c r="W560" s="449">
        <f t="shared" ca="1" si="191"/>
        <v>0</v>
      </c>
      <c r="X560" s="452">
        <f t="shared" si="189"/>
        <v>0</v>
      </c>
      <c r="Y560" s="440"/>
      <c r="Z560" s="440">
        <f t="shared" ca="1" si="192"/>
        <v>0</v>
      </c>
      <c r="AA560" s="241"/>
      <c r="AH560" s="242"/>
    </row>
    <row r="561" spans="2:34" ht="15.75" x14ac:dyDescent="0.25">
      <c r="B561" s="229"/>
      <c r="C561" s="235"/>
      <c r="D561" s="243"/>
      <c r="E561" s="232"/>
      <c r="F561" s="435"/>
      <c r="G561" s="234"/>
      <c r="H561" s="235"/>
      <c r="I561" s="235"/>
      <c r="J561" s="440"/>
      <c r="K561" s="443">
        <f ca="1">ROUND(IF(ISERROR(OFFSET(Tabella!$A$1,MATCH(H561,Tabella!$A:$A,0)-1,MATCH(J561,Tabella!$A$1:$AC$1,0)-1)=TRUE),0,+OFFSET(Tabella!$A$1,MATCH(H561,Tabella!$A:$A,0)-1,MATCH(J561,Tabella!$A$1:$AC$1,0)-1)),4)</f>
        <v>0</v>
      </c>
      <c r="L561" s="446">
        <f ca="1">ROUND(IF(ISERROR(OFFSET(Ottone!$A$1,MATCH(H561,Ottone!$A:$A,0)-1,MATCH(J561,Ottone!$A$1:$Z$1,0)-1)=TRUE),0,OFFSET(Ottone!$A$1,MATCH(H561,Ottone!$A:$A,0)-1,MATCH(J561,Ottone!$A$1:$Z$1,0)-1))*IF(E561="Ottone",1,0),4)</f>
        <v>0</v>
      </c>
      <c r="M561" s="446">
        <f ca="1">ROUND(IF(ISERROR(OFFSET(Rame!$A$1,MATCH(H561,Rame!$A:$A,0)-1,MATCH(J561,Rame!$A$1:$AA$1,0)-1)=TRUE),0,OFFSET(Rame!$A$1,MATCH(H561,Rame!$A:$A,0)-1,MATCH(J561,Rame!$A$1:$AA$1,0)-1))*IF(E561="Rame",1,0),4)</f>
        <v>0</v>
      </c>
      <c r="N561" s="446">
        <v>0</v>
      </c>
      <c r="O561" s="446">
        <f t="shared" ca="1" si="193"/>
        <v>0</v>
      </c>
      <c r="P561" s="446">
        <f ca="1">ROUND(+IF(ISERROR(OFFSET(Tabella!$G$1,MATCH(H561,Tabella!$G:$G,0)-1,MATCH(I561,Tabella!$G$1:$FG$1,0)-1)=TRUE),0,OFFSET(Tabella!$G$1,MATCH(H561,Tabella!$G:$G,0)-1,MATCH(I561,Tabella!$G$1:$AB$1,0)-1)),4)</f>
        <v>0</v>
      </c>
      <c r="Q561" s="446">
        <f ca="1">ROUND(IF(ISERROR(OFFSET(Ottone!$F$1,MATCH(H561,Ottone!$A:$A,0)-1,MATCH(I561,Ottone!$F$1:$FF$1,0)-1)=TRUE),0,OFFSET(Ottone!$F$1,MATCH(H561,Ottone!$A:$A,0)-1,MATCH(I561,Ottone!$F$1:$FF$1,0)-1))*IF(E561="Ottone",1,0),4)</f>
        <v>0</v>
      </c>
      <c r="R561" s="446">
        <f ca="1">ROUND(IF(ISERROR(OFFSET(Rame!$F$1,MATCH(H561,Rame!$F:$F,0)-1,MATCH(I561,Rame!$F$1:$FF$1,0)-1)=TRUE),0,OFFSET(Rame!$F$1,MATCH(H561,Rame!$F:$F,0)-1,MATCH(I561,Rame!$F$1:$FF$1,0)-1))*IF(E561="Rame",1,0),4)</f>
        <v>0</v>
      </c>
      <c r="S561" s="446">
        <f ca="1">ROUND(IF(ISERROR(OFFSET(Bronzo!$A$1,MATCH(H561,Bronzo!$A:$A,0)-1,MATCH(I561,Bronzo!$A$1:$AA$1,0)-1)=TRUE),0,OFFSET(Bronzo!$A$1,MATCH(H561,Bronzo!$A:$A,0)-1,MATCH(I561,Bronzo!$A$1:$AA$1,0)-1)),4)</f>
        <v>0</v>
      </c>
      <c r="T561" s="446">
        <f t="shared" ca="1" si="190"/>
        <v>0</v>
      </c>
      <c r="U561" s="443"/>
      <c r="V561" s="446">
        <v>0</v>
      </c>
      <c r="W561" s="449">
        <f t="shared" ca="1" si="191"/>
        <v>0</v>
      </c>
      <c r="X561" s="452">
        <f t="shared" si="189"/>
        <v>0</v>
      </c>
      <c r="Y561" s="440"/>
      <c r="Z561" s="440">
        <f t="shared" ca="1" si="192"/>
        <v>0</v>
      </c>
      <c r="AA561" s="241"/>
      <c r="AH561" s="242"/>
    </row>
    <row r="562" spans="2:34" ht="15.75" x14ac:dyDescent="0.25">
      <c r="B562" s="229"/>
      <c r="C562" s="235"/>
      <c r="D562" s="243"/>
      <c r="E562" s="232"/>
      <c r="F562" s="435"/>
      <c r="G562" s="234"/>
      <c r="H562" s="235"/>
      <c r="I562" s="235"/>
      <c r="J562" s="440"/>
      <c r="K562" s="443">
        <f ca="1">ROUND(IF(ISERROR(OFFSET(Tabella!$A$1,MATCH(H562,Tabella!$A:$A,0)-1,MATCH(J562,Tabella!$A$1:$AC$1,0)-1)=TRUE),0,+OFFSET(Tabella!$A$1,MATCH(H562,Tabella!$A:$A,0)-1,MATCH(J562,Tabella!$A$1:$AC$1,0)-1)),4)</f>
        <v>0</v>
      </c>
      <c r="L562" s="446">
        <f ca="1">ROUND(IF(ISERROR(OFFSET(Ottone!$A$1,MATCH(H562,Ottone!$A:$A,0)-1,MATCH(J562,Ottone!$A$1:$Z$1,0)-1)=TRUE),0,OFFSET(Ottone!$A$1,MATCH(H562,Ottone!$A:$A,0)-1,MATCH(J562,Ottone!$A$1:$Z$1,0)-1))*IF(E562="Ottone",1,0),4)</f>
        <v>0</v>
      </c>
      <c r="M562" s="446">
        <f ca="1">ROUND(IF(ISERROR(OFFSET(Rame!$A$1,MATCH(H562,Rame!$A:$A,0)-1,MATCH(J562,Rame!$A$1:$AA$1,0)-1)=TRUE),0,OFFSET(Rame!$A$1,MATCH(H562,Rame!$A:$A,0)-1,MATCH(J562,Rame!$A$1:$AA$1,0)-1))*IF(E562="Rame",1,0),4)</f>
        <v>0</v>
      </c>
      <c r="N562" s="446">
        <v>0</v>
      </c>
      <c r="O562" s="446">
        <f t="shared" ca="1" si="193"/>
        <v>0</v>
      </c>
      <c r="P562" s="446">
        <f ca="1">ROUND(+IF(ISERROR(OFFSET(Tabella!$G$1,MATCH(H562,Tabella!$G:$G,0)-1,MATCH(I562,Tabella!$G$1:$FG$1,0)-1)=TRUE),0,OFFSET(Tabella!$G$1,MATCH(H562,Tabella!$G:$G,0)-1,MATCH(I562,Tabella!$G$1:$AB$1,0)-1)),4)</f>
        <v>0</v>
      </c>
      <c r="Q562" s="446">
        <f ca="1">ROUND(IF(ISERROR(OFFSET(Ottone!$F$1,MATCH(H562,Ottone!$A:$A,0)-1,MATCH(I562,Ottone!$F$1:$FF$1,0)-1)=TRUE),0,OFFSET(Ottone!$F$1,MATCH(H562,Ottone!$A:$A,0)-1,MATCH(I562,Ottone!$F$1:$FF$1,0)-1))*IF(E562="Ottone",1,0),4)</f>
        <v>0</v>
      </c>
      <c r="R562" s="446">
        <f ca="1">ROUND(IF(ISERROR(OFFSET(Rame!$F$1,MATCH(H562,Rame!$F:$F,0)-1,MATCH(I562,Rame!$F$1:$FF$1,0)-1)=TRUE),0,OFFSET(Rame!$F$1,MATCH(H562,Rame!$F:$F,0)-1,MATCH(I562,Rame!$F$1:$FF$1,0)-1))*IF(E562="Rame",1,0),4)</f>
        <v>0</v>
      </c>
      <c r="S562" s="446">
        <f ca="1">ROUND(IF(ISERROR(OFFSET(Bronzo!$A$1,MATCH(H562,Bronzo!$A:$A,0)-1,MATCH(I562,Bronzo!$A$1:$AA$1,0)-1)=TRUE),0,OFFSET(Bronzo!$A$1,MATCH(H562,Bronzo!$A:$A,0)-1,MATCH(I562,Bronzo!$A$1:$AA$1,0)-1)),4)</f>
        <v>0</v>
      </c>
      <c r="T562" s="446">
        <f t="shared" ca="1" si="190"/>
        <v>0</v>
      </c>
      <c r="U562" s="443"/>
      <c r="V562" s="446">
        <v>0</v>
      </c>
      <c r="W562" s="449">
        <f t="shared" ca="1" si="191"/>
        <v>0</v>
      </c>
      <c r="X562" s="452">
        <f t="shared" si="189"/>
        <v>0</v>
      </c>
      <c r="Y562" s="440"/>
      <c r="Z562" s="440">
        <f t="shared" ca="1" si="192"/>
        <v>0</v>
      </c>
      <c r="AA562" s="241"/>
      <c r="AH562" s="242"/>
    </row>
    <row r="563" spans="2:34" ht="15.75" x14ac:dyDescent="0.25">
      <c r="B563" s="229"/>
      <c r="C563" s="235"/>
      <c r="D563" s="243"/>
      <c r="E563" s="232"/>
      <c r="F563" s="435"/>
      <c r="G563" s="234"/>
      <c r="H563" s="235"/>
      <c r="I563" s="235"/>
      <c r="J563" s="440"/>
      <c r="K563" s="443">
        <f ca="1">ROUND(IF(ISERROR(OFFSET(Tabella!$A$1,MATCH(H563,Tabella!$A:$A,0)-1,MATCH(J563,Tabella!$A$1:$AC$1,0)-1)=TRUE),0,+OFFSET(Tabella!$A$1,MATCH(H563,Tabella!$A:$A,0)-1,MATCH(J563,Tabella!$A$1:$AC$1,0)-1)),4)</f>
        <v>0</v>
      </c>
      <c r="L563" s="446">
        <f ca="1">ROUND(IF(ISERROR(OFFSET(Ottone!$A$1,MATCH(H563,Ottone!$A:$A,0)-1,MATCH(J563,Ottone!$A$1:$Z$1,0)-1)=TRUE),0,OFFSET(Ottone!$A$1,MATCH(H563,Ottone!$A:$A,0)-1,MATCH(J563,Ottone!$A$1:$Z$1,0)-1))*IF(E563="Ottone",1,0),4)</f>
        <v>0</v>
      </c>
      <c r="M563" s="446">
        <f ca="1">ROUND(IF(ISERROR(OFFSET(Rame!$A$1,MATCH(H563,Rame!$A:$A,0)-1,MATCH(J563,Rame!$A$1:$AA$1,0)-1)=TRUE),0,OFFSET(Rame!$A$1,MATCH(H563,Rame!$A:$A,0)-1,MATCH(J563,Rame!$A$1:$AA$1,0)-1))*IF(E563="Rame",1,0),4)</f>
        <v>0</v>
      </c>
      <c r="N563" s="446">
        <v>0</v>
      </c>
      <c r="O563" s="446">
        <f t="shared" ca="1" si="193"/>
        <v>0</v>
      </c>
      <c r="P563" s="446">
        <f ca="1">ROUND(+IF(ISERROR(OFFSET(Tabella!$G$1,MATCH(H563,Tabella!$G:$G,0)-1,MATCH(I563,Tabella!$G$1:$FG$1,0)-1)=TRUE),0,OFFSET(Tabella!$G$1,MATCH(H563,Tabella!$G:$G,0)-1,MATCH(I563,Tabella!$G$1:$AB$1,0)-1)),4)</f>
        <v>0</v>
      </c>
      <c r="Q563" s="446">
        <f ca="1">ROUND(IF(ISERROR(OFFSET(Ottone!$F$1,MATCH(H563,Ottone!$A:$A,0)-1,MATCH(I563,Ottone!$F$1:$FF$1,0)-1)=TRUE),0,OFFSET(Ottone!$F$1,MATCH(H563,Ottone!$A:$A,0)-1,MATCH(I563,Ottone!$F$1:$FF$1,0)-1))*IF(E563="Ottone",1,0),4)</f>
        <v>0</v>
      </c>
      <c r="R563" s="446">
        <f ca="1">ROUND(IF(ISERROR(OFFSET(Rame!$F$1,MATCH(H563,Rame!$F:$F,0)-1,MATCH(I563,Rame!$F$1:$FF$1,0)-1)=TRUE),0,OFFSET(Rame!$F$1,MATCH(H563,Rame!$F:$F,0)-1,MATCH(I563,Rame!$F$1:$FF$1,0)-1))*IF(E563="Rame",1,0),4)</f>
        <v>0</v>
      </c>
      <c r="S563" s="446">
        <f ca="1">ROUND(IF(ISERROR(OFFSET(Bronzo!$A$1,MATCH(H563,Bronzo!$A:$A,0)-1,MATCH(I563,Bronzo!$A$1:$AA$1,0)-1)=TRUE),0,OFFSET(Bronzo!$A$1,MATCH(H563,Bronzo!$A:$A,0)-1,MATCH(I563,Bronzo!$A$1:$AA$1,0)-1)),4)</f>
        <v>0</v>
      </c>
      <c r="T563" s="446">
        <f t="shared" ca="1" si="190"/>
        <v>0</v>
      </c>
      <c r="U563" s="443"/>
      <c r="V563" s="446">
        <v>0</v>
      </c>
      <c r="W563" s="449">
        <f t="shared" ca="1" si="191"/>
        <v>0</v>
      </c>
      <c r="X563" s="452">
        <f t="shared" si="189"/>
        <v>0</v>
      </c>
      <c r="Y563" s="440"/>
      <c r="Z563" s="440">
        <f t="shared" ca="1" si="192"/>
        <v>0</v>
      </c>
      <c r="AA563" s="241"/>
      <c r="AH563" s="242"/>
    </row>
    <row r="564" spans="2:34" ht="15.75" x14ac:dyDescent="0.25">
      <c r="B564" s="229"/>
      <c r="C564" s="235"/>
      <c r="D564" s="243"/>
      <c r="E564" s="232"/>
      <c r="F564" s="435"/>
      <c r="G564" s="234"/>
      <c r="H564" s="235"/>
      <c r="I564" s="235"/>
      <c r="J564" s="440"/>
      <c r="K564" s="443">
        <f ca="1">ROUND(IF(ISERROR(OFFSET(Tabella!$A$1,MATCH(H564,Tabella!$A:$A,0)-1,MATCH(J564,Tabella!$A$1:$AC$1,0)-1)=TRUE),0,+OFFSET(Tabella!$A$1,MATCH(H564,Tabella!$A:$A,0)-1,MATCH(J564,Tabella!$A$1:$AC$1,0)-1)),4)</f>
        <v>0</v>
      </c>
      <c r="L564" s="446">
        <f ca="1">ROUND(IF(ISERROR(OFFSET(Ottone!$A$1,MATCH(H564,Ottone!$A:$A,0)-1,MATCH(J564,Ottone!$A$1:$Z$1,0)-1)=TRUE),0,OFFSET(Ottone!$A$1,MATCH(H564,Ottone!$A:$A,0)-1,MATCH(J564,Ottone!$A$1:$Z$1,0)-1))*IF(E564="Ottone",1,0),4)</f>
        <v>0</v>
      </c>
      <c r="M564" s="446">
        <f ca="1">ROUND(IF(ISERROR(OFFSET(Rame!$A$1,MATCH(H564,Rame!$A:$A,0)-1,MATCH(J564,Rame!$A$1:$AA$1,0)-1)=TRUE),0,OFFSET(Rame!$A$1,MATCH(H564,Rame!$A:$A,0)-1,MATCH(J564,Rame!$A$1:$AA$1,0)-1))*IF(E564="Rame",1,0),4)</f>
        <v>0</v>
      </c>
      <c r="N564" s="446">
        <v>0</v>
      </c>
      <c r="O564" s="446">
        <f t="shared" ca="1" si="193"/>
        <v>0</v>
      </c>
      <c r="P564" s="446">
        <f ca="1">ROUND(+IF(ISERROR(OFFSET(Tabella!$G$1,MATCH(H564,Tabella!$G:$G,0)-1,MATCH(I564,Tabella!$G$1:$FG$1,0)-1)=TRUE),0,OFFSET(Tabella!$G$1,MATCH(H564,Tabella!$G:$G,0)-1,MATCH(I564,Tabella!$G$1:$AB$1,0)-1)),4)</f>
        <v>0</v>
      </c>
      <c r="Q564" s="446">
        <f ca="1">ROUND(IF(ISERROR(OFFSET(Ottone!$F$1,MATCH(H564,Ottone!$A:$A,0)-1,MATCH(I564,Ottone!$F$1:$FF$1,0)-1)=TRUE),0,OFFSET(Ottone!$F$1,MATCH(H564,Ottone!$A:$A,0)-1,MATCH(I564,Ottone!$F$1:$FF$1,0)-1))*IF(E564="Ottone",1,0),4)</f>
        <v>0</v>
      </c>
      <c r="R564" s="446">
        <f ca="1">ROUND(IF(ISERROR(OFFSET(Rame!$F$1,MATCH(H564,Rame!$F:$F,0)-1,MATCH(I564,Rame!$F$1:$FF$1,0)-1)=TRUE),0,OFFSET(Rame!$F$1,MATCH(H564,Rame!$F:$F,0)-1,MATCH(I564,Rame!$F$1:$FF$1,0)-1))*IF(E564="Rame",1,0),4)</f>
        <v>0</v>
      </c>
      <c r="S564" s="446">
        <f ca="1">ROUND(IF(ISERROR(OFFSET(Bronzo!$A$1,MATCH(H564,Bronzo!$A:$A,0)-1,MATCH(I564,Bronzo!$A$1:$AA$1,0)-1)=TRUE),0,OFFSET(Bronzo!$A$1,MATCH(H564,Bronzo!$A:$A,0)-1,MATCH(I564,Bronzo!$A$1:$AA$1,0)-1)),4)</f>
        <v>0</v>
      </c>
      <c r="T564" s="446">
        <f t="shared" ca="1" si="190"/>
        <v>0</v>
      </c>
      <c r="U564" s="443"/>
      <c r="V564" s="446">
        <v>0</v>
      </c>
      <c r="W564" s="449">
        <f t="shared" ca="1" si="191"/>
        <v>0</v>
      </c>
      <c r="X564" s="452">
        <f t="shared" si="189"/>
        <v>0</v>
      </c>
      <c r="Y564" s="440"/>
      <c r="Z564" s="440">
        <f t="shared" ca="1" si="192"/>
        <v>0</v>
      </c>
      <c r="AA564" s="241"/>
      <c r="AH564" s="242"/>
    </row>
    <row r="565" spans="2:34" ht="15.75" x14ac:dyDescent="0.25">
      <c r="B565" s="229"/>
      <c r="C565" s="235"/>
      <c r="D565" s="243"/>
      <c r="E565" s="232"/>
      <c r="F565" s="435"/>
      <c r="G565" s="234"/>
      <c r="H565" s="235"/>
      <c r="I565" s="235"/>
      <c r="J565" s="440"/>
      <c r="K565" s="443">
        <f ca="1">ROUND(IF(ISERROR(OFFSET(Tabella!$A$1,MATCH(H565,Tabella!$A:$A,0)-1,MATCH(J565,Tabella!$A$1:$AC$1,0)-1)=TRUE),0,+OFFSET(Tabella!$A$1,MATCH(H565,Tabella!$A:$A,0)-1,MATCH(J565,Tabella!$A$1:$AC$1,0)-1)),4)</f>
        <v>0</v>
      </c>
      <c r="L565" s="446">
        <f ca="1">ROUND(IF(ISERROR(OFFSET(Ottone!$A$1,MATCH(H565,Ottone!$A:$A,0)-1,MATCH(J565,Ottone!$A$1:$Z$1,0)-1)=TRUE),0,OFFSET(Ottone!$A$1,MATCH(H565,Ottone!$A:$A,0)-1,MATCH(J565,Ottone!$A$1:$Z$1,0)-1))*IF(E565="Ottone",1,0),4)</f>
        <v>0</v>
      </c>
      <c r="M565" s="446">
        <f ca="1">ROUND(IF(ISERROR(OFFSET(Rame!$A$1,MATCH(H565,Rame!$A:$A,0)-1,MATCH(J565,Rame!$A$1:$AA$1,0)-1)=TRUE),0,OFFSET(Rame!$A$1,MATCH(H565,Rame!$A:$A,0)-1,MATCH(J565,Rame!$A$1:$AA$1,0)-1))*IF(E565="Rame",1,0),4)</f>
        <v>0</v>
      </c>
      <c r="N565" s="446">
        <v>0</v>
      </c>
      <c r="O565" s="446">
        <f t="shared" ca="1" si="193"/>
        <v>0</v>
      </c>
      <c r="P565" s="446">
        <f ca="1">ROUND(+IF(ISERROR(OFFSET(Tabella!$G$1,MATCH(H565,Tabella!$G:$G,0)-1,MATCH(I565,Tabella!$G$1:$FG$1,0)-1)=TRUE),0,OFFSET(Tabella!$G$1,MATCH(H565,Tabella!$G:$G,0)-1,MATCH(I565,Tabella!$G$1:$AB$1,0)-1)),4)</f>
        <v>0</v>
      </c>
      <c r="Q565" s="446">
        <f ca="1">ROUND(IF(ISERROR(OFFSET(Ottone!$F$1,MATCH(H565,Ottone!$A:$A,0)-1,MATCH(I565,Ottone!$F$1:$FF$1,0)-1)=TRUE),0,OFFSET(Ottone!$F$1,MATCH(H565,Ottone!$A:$A,0)-1,MATCH(I565,Ottone!$F$1:$FF$1,0)-1))*IF(E565="Ottone",1,0),4)</f>
        <v>0</v>
      </c>
      <c r="R565" s="446">
        <f ca="1">ROUND(IF(ISERROR(OFFSET(Rame!$F$1,MATCH(H565,Rame!$F:$F,0)-1,MATCH(I565,Rame!$F$1:$FF$1,0)-1)=TRUE),0,OFFSET(Rame!$F$1,MATCH(H565,Rame!$F:$F,0)-1,MATCH(I565,Rame!$F$1:$FF$1,0)-1))*IF(E565="Rame",1,0),4)</f>
        <v>0</v>
      </c>
      <c r="S565" s="446">
        <f ca="1">ROUND(IF(ISERROR(OFFSET(Bronzo!$A$1,MATCH(H565,Bronzo!$A:$A,0)-1,MATCH(I565,Bronzo!$A$1:$AA$1,0)-1)=TRUE),0,OFFSET(Bronzo!$A$1,MATCH(H565,Bronzo!$A:$A,0)-1,MATCH(I565,Bronzo!$A$1:$AA$1,0)-1)),4)</f>
        <v>0</v>
      </c>
      <c r="T565" s="446">
        <f t="shared" ca="1" si="190"/>
        <v>0</v>
      </c>
      <c r="U565" s="443"/>
      <c r="V565" s="446">
        <v>0</v>
      </c>
      <c r="W565" s="449">
        <f t="shared" ca="1" si="191"/>
        <v>0</v>
      </c>
      <c r="X565" s="452">
        <f t="shared" si="189"/>
        <v>0</v>
      </c>
      <c r="Y565" s="440"/>
      <c r="Z565" s="440">
        <f t="shared" ca="1" si="192"/>
        <v>0</v>
      </c>
      <c r="AA565" s="241"/>
      <c r="AH565" s="242"/>
    </row>
    <row r="566" spans="2:34" ht="15.75" x14ac:dyDescent="0.25">
      <c r="B566" s="229"/>
      <c r="C566" s="235"/>
      <c r="D566" s="243"/>
      <c r="E566" s="232"/>
      <c r="F566" s="435"/>
      <c r="G566" s="234"/>
      <c r="H566" s="235"/>
      <c r="I566" s="235"/>
      <c r="J566" s="440"/>
      <c r="K566" s="443">
        <f ca="1">ROUND(IF(ISERROR(OFFSET(Tabella!$A$1,MATCH(H566,Tabella!$A:$A,0)-1,MATCH(J566,Tabella!$A$1:$AC$1,0)-1)=TRUE),0,+OFFSET(Tabella!$A$1,MATCH(H566,Tabella!$A:$A,0)-1,MATCH(J566,Tabella!$A$1:$AC$1,0)-1)),4)</f>
        <v>0</v>
      </c>
      <c r="L566" s="446">
        <f ca="1">ROUND(IF(ISERROR(OFFSET(Ottone!$A$1,MATCH(H566,Ottone!$A:$A,0)-1,MATCH(J566,Ottone!$A$1:$Z$1,0)-1)=TRUE),0,OFFSET(Ottone!$A$1,MATCH(H566,Ottone!$A:$A,0)-1,MATCH(J566,Ottone!$A$1:$Z$1,0)-1))*IF(E566="Ottone",1,0),4)</f>
        <v>0</v>
      </c>
      <c r="M566" s="446">
        <f ca="1">ROUND(IF(ISERROR(OFFSET(Rame!$A$1,MATCH(H566,Rame!$A:$A,0)-1,MATCH(J566,Rame!$A$1:$AA$1,0)-1)=TRUE),0,OFFSET(Rame!$A$1,MATCH(H566,Rame!$A:$A,0)-1,MATCH(J566,Rame!$A$1:$AA$1,0)-1))*IF(E566="Rame",1,0),4)</f>
        <v>0</v>
      </c>
      <c r="N566" s="446">
        <v>0</v>
      </c>
      <c r="O566" s="446">
        <f t="shared" ca="1" si="193"/>
        <v>0</v>
      </c>
      <c r="P566" s="446">
        <f ca="1">ROUND(+IF(ISERROR(OFFSET(Tabella!$G$1,MATCH(H566,Tabella!$G:$G,0)-1,MATCH(I566,Tabella!$G$1:$FG$1,0)-1)=TRUE),0,OFFSET(Tabella!$G$1,MATCH(H566,Tabella!$G:$G,0)-1,MATCH(I566,Tabella!$G$1:$AB$1,0)-1)),4)</f>
        <v>0</v>
      </c>
      <c r="Q566" s="446">
        <f ca="1">ROUND(IF(ISERROR(OFFSET(Ottone!$F$1,MATCH(H566,Ottone!$A:$A,0)-1,MATCH(I566,Ottone!$F$1:$FF$1,0)-1)=TRUE),0,OFFSET(Ottone!$F$1,MATCH(H566,Ottone!$A:$A,0)-1,MATCH(I566,Ottone!$F$1:$FF$1,0)-1))*IF(E566="Ottone",1,0),4)</f>
        <v>0</v>
      </c>
      <c r="R566" s="446">
        <f ca="1">ROUND(IF(ISERROR(OFFSET(Rame!$F$1,MATCH(H566,Rame!$F:$F,0)-1,MATCH(I566,Rame!$F$1:$FF$1,0)-1)=TRUE),0,OFFSET(Rame!$F$1,MATCH(H566,Rame!$F:$F,0)-1,MATCH(I566,Rame!$F$1:$FF$1,0)-1))*IF(E566="Rame",1,0),4)</f>
        <v>0</v>
      </c>
      <c r="S566" s="446">
        <f ca="1">ROUND(IF(ISERROR(OFFSET(Bronzo!$A$1,MATCH(H566,Bronzo!$A:$A,0)-1,MATCH(I566,Bronzo!$A$1:$AA$1,0)-1)=TRUE),0,OFFSET(Bronzo!$A$1,MATCH(H566,Bronzo!$A:$A,0)-1,MATCH(I566,Bronzo!$A$1:$AA$1,0)-1)),4)</f>
        <v>0</v>
      </c>
      <c r="T566" s="446">
        <f t="shared" ca="1" si="190"/>
        <v>0</v>
      </c>
      <c r="U566" s="443"/>
      <c r="V566" s="446">
        <v>0</v>
      </c>
      <c r="W566" s="449">
        <f t="shared" ca="1" si="191"/>
        <v>0</v>
      </c>
      <c r="X566" s="452">
        <f t="shared" si="189"/>
        <v>0</v>
      </c>
      <c r="Y566" s="440"/>
      <c r="Z566" s="440">
        <f t="shared" ca="1" si="192"/>
        <v>0</v>
      </c>
      <c r="AA566" s="241"/>
      <c r="AH566" s="242"/>
    </row>
    <row r="567" spans="2:34" ht="15.75" x14ac:dyDescent="0.25">
      <c r="B567" s="229"/>
      <c r="C567" s="235"/>
      <c r="D567" s="243"/>
      <c r="E567" s="232"/>
      <c r="F567" s="435"/>
      <c r="G567" s="234"/>
      <c r="H567" s="235"/>
      <c r="I567" s="235"/>
      <c r="J567" s="440"/>
      <c r="K567" s="443">
        <f ca="1">ROUND(IF(ISERROR(OFFSET(Tabella!$A$1,MATCH(H567,Tabella!$A:$A,0)-1,MATCH(J567,Tabella!$A$1:$AC$1,0)-1)=TRUE),0,+OFFSET(Tabella!$A$1,MATCH(H567,Tabella!$A:$A,0)-1,MATCH(J567,Tabella!$A$1:$AC$1,0)-1)),4)</f>
        <v>0</v>
      </c>
      <c r="L567" s="446">
        <f ca="1">ROUND(IF(ISERROR(OFFSET(Ottone!$A$1,MATCH(H567,Ottone!$A:$A,0)-1,MATCH(J567,Ottone!$A$1:$Z$1,0)-1)=TRUE),0,OFFSET(Ottone!$A$1,MATCH(H567,Ottone!$A:$A,0)-1,MATCH(J567,Ottone!$A$1:$Z$1,0)-1))*IF(E567="Ottone",1,0),4)</f>
        <v>0</v>
      </c>
      <c r="M567" s="446">
        <f ca="1">ROUND(IF(ISERROR(OFFSET(Rame!$A$1,MATCH(H567,Rame!$A:$A,0)-1,MATCH(J567,Rame!$A$1:$AA$1,0)-1)=TRUE),0,OFFSET(Rame!$A$1,MATCH(H567,Rame!$A:$A,0)-1,MATCH(J567,Rame!$A$1:$AA$1,0)-1))*IF(E567="Rame",1,0),4)</f>
        <v>0</v>
      </c>
      <c r="N567" s="446">
        <v>0</v>
      </c>
      <c r="O567" s="446">
        <f t="shared" ca="1" si="193"/>
        <v>0</v>
      </c>
      <c r="P567" s="446">
        <f ca="1">ROUND(+IF(ISERROR(OFFSET(Tabella!$G$1,MATCH(H567,Tabella!$G:$G,0)-1,MATCH(I567,Tabella!$G$1:$FG$1,0)-1)=TRUE),0,OFFSET(Tabella!$G$1,MATCH(H567,Tabella!$G:$G,0)-1,MATCH(I567,Tabella!$G$1:$AB$1,0)-1)),4)</f>
        <v>0</v>
      </c>
      <c r="Q567" s="446">
        <f ca="1">ROUND(IF(ISERROR(OFFSET(Ottone!$F$1,MATCH(H567,Ottone!$A:$A,0)-1,MATCH(I567,Ottone!$F$1:$FF$1,0)-1)=TRUE),0,OFFSET(Ottone!$F$1,MATCH(H567,Ottone!$A:$A,0)-1,MATCH(I567,Ottone!$F$1:$FF$1,0)-1))*IF(E567="Ottone",1,0),4)</f>
        <v>0</v>
      </c>
      <c r="R567" s="446">
        <f ca="1">ROUND(IF(ISERROR(OFFSET(Rame!$F$1,MATCH(H567,Rame!$F:$F,0)-1,MATCH(I567,Rame!$F$1:$FF$1,0)-1)=TRUE),0,OFFSET(Rame!$F$1,MATCH(H567,Rame!$F:$F,0)-1,MATCH(I567,Rame!$F$1:$FF$1,0)-1))*IF(E567="Rame",1,0),4)</f>
        <v>0</v>
      </c>
      <c r="S567" s="446">
        <f ca="1">ROUND(IF(ISERROR(OFFSET(Bronzo!$A$1,MATCH(H567,Bronzo!$A:$A,0)-1,MATCH(I567,Bronzo!$A$1:$AA$1,0)-1)=TRUE),0,OFFSET(Bronzo!$A$1,MATCH(H567,Bronzo!$A:$A,0)-1,MATCH(I567,Bronzo!$A$1:$AA$1,0)-1)),4)</f>
        <v>0</v>
      </c>
      <c r="T567" s="446">
        <f t="shared" ca="1" si="190"/>
        <v>0</v>
      </c>
      <c r="U567" s="443"/>
      <c r="V567" s="446">
        <v>0</v>
      </c>
      <c r="W567" s="449">
        <f t="shared" ca="1" si="191"/>
        <v>0</v>
      </c>
      <c r="X567" s="452">
        <f t="shared" si="189"/>
        <v>0</v>
      </c>
      <c r="Y567" s="440"/>
      <c r="Z567" s="440">
        <f t="shared" ca="1" si="192"/>
        <v>0</v>
      </c>
      <c r="AA567" s="241"/>
      <c r="AH567" s="242"/>
    </row>
    <row r="568" spans="2:34" ht="15.75" x14ac:dyDescent="0.25">
      <c r="B568" s="229"/>
      <c r="C568" s="235"/>
      <c r="D568" s="243"/>
      <c r="E568" s="232"/>
      <c r="F568" s="435"/>
      <c r="G568" s="234"/>
      <c r="H568" s="235"/>
      <c r="I568" s="235"/>
      <c r="J568" s="440"/>
      <c r="K568" s="443">
        <f ca="1">ROUND(IF(ISERROR(OFFSET(Tabella!$A$1,MATCH(H568,Tabella!$A:$A,0)-1,MATCH(J568,Tabella!$A$1:$AC$1,0)-1)=TRUE),0,+OFFSET(Tabella!$A$1,MATCH(H568,Tabella!$A:$A,0)-1,MATCH(J568,Tabella!$A$1:$AC$1,0)-1)),4)</f>
        <v>0</v>
      </c>
      <c r="L568" s="446">
        <f ca="1">ROUND(IF(ISERROR(OFFSET(Ottone!$A$1,MATCH(H568,Ottone!$A:$A,0)-1,MATCH(J568,Ottone!$A$1:$Z$1,0)-1)=TRUE),0,OFFSET(Ottone!$A$1,MATCH(H568,Ottone!$A:$A,0)-1,MATCH(J568,Ottone!$A$1:$Z$1,0)-1))*IF(E568="Ottone",1,0),4)</f>
        <v>0</v>
      </c>
      <c r="M568" s="446">
        <f ca="1">ROUND(IF(ISERROR(OFFSET(Rame!$A$1,MATCH(H568,Rame!$A:$A,0)-1,MATCH(J568,Rame!$A$1:$AA$1,0)-1)=TRUE),0,OFFSET(Rame!$A$1,MATCH(H568,Rame!$A:$A,0)-1,MATCH(J568,Rame!$A$1:$AA$1,0)-1))*IF(E568="Rame",1,0),4)</f>
        <v>0</v>
      </c>
      <c r="N568" s="446">
        <v>0</v>
      </c>
      <c r="O568" s="446">
        <f t="shared" ca="1" si="193"/>
        <v>0</v>
      </c>
      <c r="P568" s="446">
        <f ca="1">ROUND(+IF(ISERROR(OFFSET(Tabella!$G$1,MATCH(H568,Tabella!$G:$G,0)-1,MATCH(I568,Tabella!$G$1:$FG$1,0)-1)=TRUE),0,OFFSET(Tabella!$G$1,MATCH(H568,Tabella!$G:$G,0)-1,MATCH(I568,Tabella!$G$1:$AB$1,0)-1)),4)</f>
        <v>0</v>
      </c>
      <c r="Q568" s="446">
        <f ca="1">ROUND(IF(ISERROR(OFFSET(Ottone!$F$1,MATCH(H568,Ottone!$A:$A,0)-1,MATCH(I568,Ottone!$F$1:$FF$1,0)-1)=TRUE),0,OFFSET(Ottone!$F$1,MATCH(H568,Ottone!$A:$A,0)-1,MATCH(I568,Ottone!$F$1:$FF$1,0)-1))*IF(E568="Ottone",1,0),4)</f>
        <v>0</v>
      </c>
      <c r="R568" s="446">
        <f ca="1">ROUND(IF(ISERROR(OFFSET(Rame!$F$1,MATCH(H568,Rame!$F:$F,0)-1,MATCH(I568,Rame!$F$1:$FF$1,0)-1)=TRUE),0,OFFSET(Rame!$F$1,MATCH(H568,Rame!$F:$F,0)-1,MATCH(I568,Rame!$F$1:$FF$1,0)-1))*IF(E568="Rame",1,0),4)</f>
        <v>0</v>
      </c>
      <c r="S568" s="446">
        <f ca="1">ROUND(IF(ISERROR(OFFSET(Bronzo!$A$1,MATCH(H568,Bronzo!$A:$A,0)-1,MATCH(I568,Bronzo!$A$1:$AA$1,0)-1)=TRUE),0,OFFSET(Bronzo!$A$1,MATCH(H568,Bronzo!$A:$A,0)-1,MATCH(I568,Bronzo!$A$1:$AA$1,0)-1)),4)</f>
        <v>0</v>
      </c>
      <c r="T568" s="446">
        <f t="shared" ca="1" si="190"/>
        <v>0</v>
      </c>
      <c r="U568" s="443"/>
      <c r="V568" s="446">
        <v>0</v>
      </c>
      <c r="W568" s="449">
        <f t="shared" ca="1" si="191"/>
        <v>0</v>
      </c>
      <c r="X568" s="452">
        <f t="shared" si="189"/>
        <v>0</v>
      </c>
      <c r="Y568" s="440"/>
      <c r="Z568" s="440">
        <f t="shared" ca="1" si="192"/>
        <v>0</v>
      </c>
      <c r="AA568" s="241"/>
      <c r="AH568" s="242"/>
    </row>
    <row r="569" spans="2:34" ht="15.75" x14ac:dyDescent="0.25">
      <c r="B569" s="229"/>
      <c r="C569" s="235"/>
      <c r="D569" s="243"/>
      <c r="E569" s="232"/>
      <c r="F569" s="435"/>
      <c r="G569" s="234"/>
      <c r="H569" s="235"/>
      <c r="I569" s="235"/>
      <c r="J569" s="440"/>
      <c r="K569" s="443">
        <f ca="1">ROUND(IF(ISERROR(OFFSET(Tabella!$A$1,MATCH(H569,Tabella!$A:$A,0)-1,MATCH(J569,Tabella!$A$1:$AC$1,0)-1)=TRUE),0,+OFFSET(Tabella!$A$1,MATCH(H569,Tabella!$A:$A,0)-1,MATCH(J569,Tabella!$A$1:$AC$1,0)-1)),4)</f>
        <v>0</v>
      </c>
      <c r="L569" s="446">
        <f ca="1">ROUND(IF(ISERROR(OFFSET(Ottone!$A$1,MATCH(H569,Ottone!$A:$A,0)-1,MATCH(J569,Ottone!$A$1:$Z$1,0)-1)=TRUE),0,OFFSET(Ottone!$A$1,MATCH(H569,Ottone!$A:$A,0)-1,MATCH(J569,Ottone!$A$1:$Z$1,0)-1))*IF(E569="Ottone",1,0),4)</f>
        <v>0</v>
      </c>
      <c r="M569" s="446">
        <f ca="1">ROUND(IF(ISERROR(OFFSET(Rame!$A$1,MATCH(H569,Rame!$A:$A,0)-1,MATCH(J569,Rame!$A$1:$AA$1,0)-1)=TRUE),0,OFFSET(Rame!$A$1,MATCH(H569,Rame!$A:$A,0)-1,MATCH(J569,Rame!$A$1:$AA$1,0)-1))*IF(E569="Rame",1,0),4)</f>
        <v>0</v>
      </c>
      <c r="N569" s="446">
        <v>0</v>
      </c>
      <c r="O569" s="446">
        <f t="shared" ca="1" si="193"/>
        <v>0</v>
      </c>
      <c r="P569" s="446">
        <f ca="1">ROUND(+IF(ISERROR(OFFSET(Tabella!$G$1,MATCH(H569,Tabella!$G:$G,0)-1,MATCH(I569,Tabella!$G$1:$FG$1,0)-1)=TRUE),0,OFFSET(Tabella!$G$1,MATCH(H569,Tabella!$G:$G,0)-1,MATCH(I569,Tabella!$G$1:$AB$1,0)-1)),4)</f>
        <v>0</v>
      </c>
      <c r="Q569" s="446">
        <f ca="1">ROUND(IF(ISERROR(OFFSET(Ottone!$F$1,MATCH(H569,Ottone!$A:$A,0)-1,MATCH(I569,Ottone!$F$1:$FF$1,0)-1)=TRUE),0,OFFSET(Ottone!$F$1,MATCH(H569,Ottone!$A:$A,0)-1,MATCH(I569,Ottone!$F$1:$FF$1,0)-1))*IF(E569="Ottone",1,0),4)</f>
        <v>0</v>
      </c>
      <c r="R569" s="446">
        <f ca="1">ROUND(IF(ISERROR(OFFSET(Rame!$F$1,MATCH(H569,Rame!$F:$F,0)-1,MATCH(I569,Rame!$F$1:$FF$1,0)-1)=TRUE),0,OFFSET(Rame!$F$1,MATCH(H569,Rame!$F:$F,0)-1,MATCH(I569,Rame!$F$1:$FF$1,0)-1))*IF(E569="Rame",1,0),4)</f>
        <v>0</v>
      </c>
      <c r="S569" s="446">
        <f ca="1">ROUND(IF(ISERROR(OFFSET(Bronzo!$A$1,MATCH(H569,Bronzo!$A:$A,0)-1,MATCH(I569,Bronzo!$A$1:$AA$1,0)-1)=TRUE),0,OFFSET(Bronzo!$A$1,MATCH(H569,Bronzo!$A:$A,0)-1,MATCH(I569,Bronzo!$A$1:$AA$1,0)-1)),4)</f>
        <v>0</v>
      </c>
      <c r="T569" s="446">
        <f t="shared" ca="1" si="190"/>
        <v>0</v>
      </c>
      <c r="U569" s="443"/>
      <c r="V569" s="446">
        <v>0</v>
      </c>
      <c r="W569" s="449">
        <f t="shared" ca="1" si="191"/>
        <v>0</v>
      </c>
      <c r="X569" s="452">
        <f t="shared" si="189"/>
        <v>0</v>
      </c>
      <c r="Y569" s="440"/>
      <c r="Z569" s="440">
        <f t="shared" ca="1" si="192"/>
        <v>0</v>
      </c>
      <c r="AA569" s="241"/>
      <c r="AH569" s="242"/>
    </row>
    <row r="570" spans="2:34" ht="15.75" x14ac:dyDescent="0.25">
      <c r="B570" s="229"/>
      <c r="C570" s="235"/>
      <c r="D570" s="243"/>
      <c r="E570" s="232"/>
      <c r="F570" s="435"/>
      <c r="G570" s="234"/>
      <c r="H570" s="235"/>
      <c r="I570" s="235"/>
      <c r="J570" s="440"/>
      <c r="K570" s="443">
        <f ca="1">ROUND(IF(ISERROR(OFFSET(Tabella!$A$1,MATCH(H570,Tabella!$A:$A,0)-1,MATCH(J570,Tabella!$A$1:$AC$1,0)-1)=TRUE),0,+OFFSET(Tabella!$A$1,MATCH(H570,Tabella!$A:$A,0)-1,MATCH(J570,Tabella!$A$1:$AC$1,0)-1)),4)</f>
        <v>0</v>
      </c>
      <c r="L570" s="446">
        <f ca="1">ROUND(IF(ISERROR(OFFSET(Ottone!$A$1,MATCH(H570,Ottone!$A:$A,0)-1,MATCH(J570,Ottone!$A$1:$Z$1,0)-1)=TRUE),0,OFFSET(Ottone!$A$1,MATCH(H570,Ottone!$A:$A,0)-1,MATCH(J570,Ottone!$A$1:$Z$1,0)-1))*IF(E570="Ottone",1,0),4)</f>
        <v>0</v>
      </c>
      <c r="M570" s="446">
        <f ca="1">ROUND(IF(ISERROR(OFFSET(Rame!$A$1,MATCH(H570,Rame!$A:$A,0)-1,MATCH(J570,Rame!$A$1:$AA$1,0)-1)=TRUE),0,OFFSET(Rame!$A$1,MATCH(H570,Rame!$A:$A,0)-1,MATCH(J570,Rame!$A$1:$AA$1,0)-1))*IF(E570="Rame",1,0),4)</f>
        <v>0</v>
      </c>
      <c r="N570" s="446">
        <v>0</v>
      </c>
      <c r="O570" s="446">
        <f t="shared" ca="1" si="193"/>
        <v>0</v>
      </c>
      <c r="P570" s="446">
        <f ca="1">ROUND(+IF(ISERROR(OFFSET(Tabella!$G$1,MATCH(H570,Tabella!$G:$G,0)-1,MATCH(I570,Tabella!$G$1:$FG$1,0)-1)=TRUE),0,OFFSET(Tabella!$G$1,MATCH(H570,Tabella!$G:$G,0)-1,MATCH(I570,Tabella!$G$1:$AB$1,0)-1)),4)</f>
        <v>0</v>
      </c>
      <c r="Q570" s="446">
        <f ca="1">ROUND(IF(ISERROR(OFFSET(Ottone!$F$1,MATCH(H570,Ottone!$A:$A,0)-1,MATCH(I570,Ottone!$F$1:$FF$1,0)-1)=TRUE),0,OFFSET(Ottone!$F$1,MATCH(H570,Ottone!$A:$A,0)-1,MATCH(I570,Ottone!$F$1:$FF$1,0)-1))*IF(E570="Ottone",1,0),4)</f>
        <v>0</v>
      </c>
      <c r="R570" s="446">
        <f ca="1">ROUND(IF(ISERROR(OFFSET(Rame!$F$1,MATCH(H570,Rame!$F:$F,0)-1,MATCH(I570,Rame!$F$1:$FF$1,0)-1)=TRUE),0,OFFSET(Rame!$F$1,MATCH(H570,Rame!$F:$F,0)-1,MATCH(I570,Rame!$F$1:$FF$1,0)-1))*IF(E570="Rame",1,0),4)</f>
        <v>0</v>
      </c>
      <c r="S570" s="446">
        <f ca="1">ROUND(IF(ISERROR(OFFSET(Bronzo!$A$1,MATCH(H570,Bronzo!$A:$A,0)-1,MATCH(I570,Bronzo!$A$1:$AA$1,0)-1)=TRUE),0,OFFSET(Bronzo!$A$1,MATCH(H570,Bronzo!$A:$A,0)-1,MATCH(I570,Bronzo!$A$1:$AA$1,0)-1)),4)</f>
        <v>0</v>
      </c>
      <c r="T570" s="446">
        <f t="shared" ca="1" si="190"/>
        <v>0</v>
      </c>
      <c r="U570" s="443"/>
      <c r="V570" s="446">
        <v>0</v>
      </c>
      <c r="W570" s="449">
        <f t="shared" ca="1" si="191"/>
        <v>0</v>
      </c>
      <c r="X570" s="452">
        <f t="shared" si="189"/>
        <v>0</v>
      </c>
      <c r="Y570" s="440"/>
      <c r="Z570" s="440">
        <f t="shared" ca="1" si="192"/>
        <v>0</v>
      </c>
      <c r="AA570" s="241"/>
      <c r="AH570" s="242"/>
    </row>
    <row r="571" spans="2:34" ht="15.75" x14ac:dyDescent="0.25">
      <c r="B571" s="229"/>
      <c r="C571" s="235"/>
      <c r="D571" s="243"/>
      <c r="E571" s="232"/>
      <c r="F571" s="435"/>
      <c r="G571" s="234"/>
      <c r="H571" s="235"/>
      <c r="I571" s="235"/>
      <c r="J571" s="440"/>
      <c r="K571" s="443">
        <f ca="1">ROUND(IF(ISERROR(OFFSET(Tabella!$A$1,MATCH(H571,Tabella!$A:$A,0)-1,MATCH(J571,Tabella!$A$1:$AC$1,0)-1)=TRUE),0,+OFFSET(Tabella!$A$1,MATCH(H571,Tabella!$A:$A,0)-1,MATCH(J571,Tabella!$A$1:$AC$1,0)-1)),4)</f>
        <v>0</v>
      </c>
      <c r="L571" s="446">
        <f ca="1">ROUND(IF(ISERROR(OFFSET(Ottone!$A$1,MATCH(H571,Ottone!$A:$A,0)-1,MATCH(J571,Ottone!$A$1:$Z$1,0)-1)=TRUE),0,OFFSET(Ottone!$A$1,MATCH(H571,Ottone!$A:$A,0)-1,MATCH(J571,Ottone!$A$1:$Z$1,0)-1))*IF(E571="Ottone",1,0),4)</f>
        <v>0</v>
      </c>
      <c r="M571" s="446">
        <f ca="1">ROUND(IF(ISERROR(OFFSET(Rame!$A$1,MATCH(H571,Rame!$A:$A,0)-1,MATCH(J571,Rame!$A$1:$AA$1,0)-1)=TRUE),0,OFFSET(Rame!$A$1,MATCH(H571,Rame!$A:$A,0)-1,MATCH(J571,Rame!$A$1:$AA$1,0)-1))*IF(E571="Rame",1,0),4)</f>
        <v>0</v>
      </c>
      <c r="N571" s="446">
        <v>0</v>
      </c>
      <c r="O571" s="446">
        <f t="shared" ca="1" si="193"/>
        <v>0</v>
      </c>
      <c r="P571" s="446">
        <f ca="1">ROUND(+IF(ISERROR(OFFSET(Tabella!$G$1,MATCH(H571,Tabella!$G:$G,0)-1,MATCH(I571,Tabella!$G$1:$FG$1,0)-1)=TRUE),0,OFFSET(Tabella!$G$1,MATCH(H571,Tabella!$G:$G,0)-1,MATCH(I571,Tabella!$G$1:$AB$1,0)-1)),4)</f>
        <v>0</v>
      </c>
      <c r="Q571" s="446">
        <f ca="1">ROUND(IF(ISERROR(OFFSET(Ottone!$F$1,MATCH(H571,Ottone!$A:$A,0)-1,MATCH(I571,Ottone!$F$1:$FF$1,0)-1)=TRUE),0,OFFSET(Ottone!$F$1,MATCH(H571,Ottone!$A:$A,0)-1,MATCH(I571,Ottone!$F$1:$FF$1,0)-1))*IF(E571="Ottone",1,0),4)</f>
        <v>0</v>
      </c>
      <c r="R571" s="446">
        <f ca="1">ROUND(IF(ISERROR(OFFSET(Rame!$F$1,MATCH(H571,Rame!$F:$F,0)-1,MATCH(I571,Rame!$F$1:$FF$1,0)-1)=TRUE),0,OFFSET(Rame!$F$1,MATCH(H571,Rame!$F:$F,0)-1,MATCH(I571,Rame!$F$1:$FF$1,0)-1))*IF(E571="Rame",1,0),4)</f>
        <v>0</v>
      </c>
      <c r="S571" s="446">
        <f ca="1">ROUND(IF(ISERROR(OFFSET(Bronzo!$A$1,MATCH(H571,Bronzo!$A:$A,0)-1,MATCH(I571,Bronzo!$A$1:$AA$1,0)-1)=TRUE),0,OFFSET(Bronzo!$A$1,MATCH(H571,Bronzo!$A:$A,0)-1,MATCH(I571,Bronzo!$A$1:$AA$1,0)-1)),4)</f>
        <v>0</v>
      </c>
      <c r="T571" s="446">
        <f t="shared" ca="1" si="190"/>
        <v>0</v>
      </c>
      <c r="U571" s="443"/>
      <c r="V571" s="446">
        <v>0</v>
      </c>
      <c r="W571" s="449">
        <f t="shared" ca="1" si="191"/>
        <v>0</v>
      </c>
      <c r="X571" s="452">
        <f t="shared" si="189"/>
        <v>0</v>
      </c>
      <c r="Y571" s="440"/>
      <c r="Z571" s="440">
        <f t="shared" ca="1" si="192"/>
        <v>0</v>
      </c>
      <c r="AA571" s="241"/>
      <c r="AH571" s="242"/>
    </row>
    <row r="572" spans="2:34" ht="15.75" x14ac:dyDescent="0.25">
      <c r="B572" s="229"/>
      <c r="C572" s="235"/>
      <c r="D572" s="243"/>
      <c r="E572" s="232"/>
      <c r="F572" s="435"/>
      <c r="G572" s="234"/>
      <c r="H572" s="235"/>
      <c r="I572" s="235"/>
      <c r="J572" s="440"/>
      <c r="K572" s="443">
        <f ca="1">ROUND(IF(ISERROR(OFFSET(Tabella!$A$1,MATCH(H572,Tabella!$A:$A,0)-1,MATCH(J572,Tabella!$A$1:$AC$1,0)-1)=TRUE),0,+OFFSET(Tabella!$A$1,MATCH(H572,Tabella!$A:$A,0)-1,MATCH(J572,Tabella!$A$1:$AC$1,0)-1)),4)</f>
        <v>0</v>
      </c>
      <c r="L572" s="446">
        <f ca="1">ROUND(IF(ISERROR(OFFSET(Ottone!$A$1,MATCH(H572,Ottone!$A:$A,0)-1,MATCH(J572,Ottone!$A$1:$Z$1,0)-1)=TRUE),0,OFFSET(Ottone!$A$1,MATCH(H572,Ottone!$A:$A,0)-1,MATCH(J572,Ottone!$A$1:$Z$1,0)-1))*IF(E572="Ottone",1,0),4)</f>
        <v>0</v>
      </c>
      <c r="M572" s="446">
        <f ca="1">ROUND(IF(ISERROR(OFFSET(Rame!$A$1,MATCH(H572,Rame!$A:$A,0)-1,MATCH(J572,Rame!$A$1:$AA$1,0)-1)=TRUE),0,OFFSET(Rame!$A$1,MATCH(H572,Rame!$A:$A,0)-1,MATCH(J572,Rame!$A$1:$AA$1,0)-1))*IF(E572="Rame",1,0),4)</f>
        <v>0</v>
      </c>
      <c r="N572" s="446">
        <v>0</v>
      </c>
      <c r="O572" s="446">
        <f t="shared" ca="1" si="193"/>
        <v>0</v>
      </c>
      <c r="P572" s="446">
        <f ca="1">ROUND(+IF(ISERROR(OFFSET(Tabella!$G$1,MATCH(H572,Tabella!$G:$G,0)-1,MATCH(I572,Tabella!$G$1:$FG$1,0)-1)=TRUE),0,OFFSET(Tabella!$G$1,MATCH(H572,Tabella!$G:$G,0)-1,MATCH(I572,Tabella!$G$1:$AB$1,0)-1)),4)</f>
        <v>0</v>
      </c>
      <c r="Q572" s="446">
        <f ca="1">ROUND(IF(ISERROR(OFFSET(Ottone!$F$1,MATCH(H572,Ottone!$A:$A,0)-1,MATCH(I572,Ottone!$F$1:$FF$1,0)-1)=TRUE),0,OFFSET(Ottone!$F$1,MATCH(H572,Ottone!$A:$A,0)-1,MATCH(I572,Ottone!$F$1:$FF$1,0)-1))*IF(E572="Ottone",1,0),4)</f>
        <v>0</v>
      </c>
      <c r="R572" s="446">
        <f ca="1">ROUND(IF(ISERROR(OFFSET(Rame!$F$1,MATCH(H572,Rame!$F:$F,0)-1,MATCH(I572,Rame!$F$1:$FF$1,0)-1)=TRUE),0,OFFSET(Rame!$F$1,MATCH(H572,Rame!$F:$F,0)-1,MATCH(I572,Rame!$F$1:$FF$1,0)-1))*IF(E572="Rame",1,0),4)</f>
        <v>0</v>
      </c>
      <c r="S572" s="446">
        <f ca="1">ROUND(IF(ISERROR(OFFSET(Bronzo!$A$1,MATCH(H572,Bronzo!$A:$A,0)-1,MATCH(I572,Bronzo!$A$1:$AA$1,0)-1)=TRUE),0,OFFSET(Bronzo!$A$1,MATCH(H572,Bronzo!$A:$A,0)-1,MATCH(I572,Bronzo!$A$1:$AA$1,0)-1)),4)</f>
        <v>0</v>
      </c>
      <c r="T572" s="446">
        <f t="shared" ca="1" si="190"/>
        <v>0</v>
      </c>
      <c r="U572" s="443"/>
      <c r="V572" s="446">
        <v>0</v>
      </c>
      <c r="W572" s="449">
        <f t="shared" ca="1" si="191"/>
        <v>0</v>
      </c>
      <c r="X572" s="452">
        <f t="shared" si="189"/>
        <v>0</v>
      </c>
      <c r="Y572" s="440"/>
      <c r="Z572" s="440">
        <f t="shared" ca="1" si="192"/>
        <v>0</v>
      </c>
      <c r="AA572" s="241"/>
      <c r="AH572" s="242"/>
    </row>
    <row r="573" spans="2:34" ht="15.75" x14ac:dyDescent="0.25">
      <c r="B573" s="229"/>
      <c r="C573" s="235"/>
      <c r="D573" s="243"/>
      <c r="E573" s="232"/>
      <c r="F573" s="435"/>
      <c r="G573" s="234"/>
      <c r="H573" s="235"/>
      <c r="I573" s="235"/>
      <c r="J573" s="440"/>
      <c r="K573" s="443">
        <f ca="1">ROUND(IF(ISERROR(OFFSET(Tabella!$A$1,MATCH(H573,Tabella!$A:$A,0)-1,MATCH(J573,Tabella!$A$1:$AC$1,0)-1)=TRUE),0,+OFFSET(Tabella!$A$1,MATCH(H573,Tabella!$A:$A,0)-1,MATCH(J573,Tabella!$A$1:$AC$1,0)-1)),4)</f>
        <v>0</v>
      </c>
      <c r="L573" s="446">
        <f ca="1">ROUND(IF(ISERROR(OFFSET(Ottone!$A$1,MATCH(H573,Ottone!$A:$A,0)-1,MATCH(J573,Ottone!$A$1:$Z$1,0)-1)=TRUE),0,OFFSET(Ottone!$A$1,MATCH(H573,Ottone!$A:$A,0)-1,MATCH(J573,Ottone!$A$1:$Z$1,0)-1))*IF(E573="Ottone",1,0),4)</f>
        <v>0</v>
      </c>
      <c r="M573" s="446">
        <f ca="1">ROUND(IF(ISERROR(OFFSET(Rame!$A$1,MATCH(H573,Rame!$A:$A,0)-1,MATCH(J573,Rame!$A$1:$AA$1,0)-1)=TRUE),0,OFFSET(Rame!$A$1,MATCH(H573,Rame!$A:$A,0)-1,MATCH(J573,Rame!$A$1:$AA$1,0)-1))*IF(E573="Rame",1,0),4)</f>
        <v>0</v>
      </c>
      <c r="N573" s="446">
        <v>0</v>
      </c>
      <c r="O573" s="446">
        <f t="shared" ca="1" si="193"/>
        <v>0</v>
      </c>
      <c r="P573" s="446">
        <f ca="1">ROUND(+IF(ISERROR(OFFSET(Tabella!$G$1,MATCH(H573,Tabella!$G:$G,0)-1,MATCH(I573,Tabella!$G$1:$FG$1,0)-1)=TRUE),0,OFFSET(Tabella!$G$1,MATCH(H573,Tabella!$G:$G,0)-1,MATCH(I573,Tabella!$G$1:$AB$1,0)-1)),4)</f>
        <v>0</v>
      </c>
      <c r="Q573" s="446">
        <f ca="1">ROUND(IF(ISERROR(OFFSET(Ottone!$F$1,MATCH(H573,Ottone!$A:$A,0)-1,MATCH(I573,Ottone!$F$1:$FF$1,0)-1)=TRUE),0,OFFSET(Ottone!$F$1,MATCH(H573,Ottone!$A:$A,0)-1,MATCH(I573,Ottone!$F$1:$FF$1,0)-1))*IF(E573="Ottone",1,0),4)</f>
        <v>0</v>
      </c>
      <c r="R573" s="446">
        <f ca="1">ROUND(IF(ISERROR(OFFSET(Rame!$F$1,MATCH(H573,Rame!$F:$F,0)-1,MATCH(I573,Rame!$F$1:$FF$1,0)-1)=TRUE),0,OFFSET(Rame!$F$1,MATCH(H573,Rame!$F:$F,0)-1,MATCH(I573,Rame!$F$1:$FF$1,0)-1))*IF(E573="Rame",1,0),4)</f>
        <v>0</v>
      </c>
      <c r="S573" s="446">
        <f ca="1">ROUND(IF(ISERROR(OFFSET(Bronzo!$A$1,MATCH(H573,Bronzo!$A:$A,0)-1,MATCH(I573,Bronzo!$A$1:$AA$1,0)-1)=TRUE),0,OFFSET(Bronzo!$A$1,MATCH(H573,Bronzo!$A:$A,0)-1,MATCH(I573,Bronzo!$A$1:$AA$1,0)-1)),4)</f>
        <v>0</v>
      </c>
      <c r="T573" s="446">
        <f t="shared" ca="1" si="190"/>
        <v>0</v>
      </c>
      <c r="U573" s="443"/>
      <c r="V573" s="446">
        <v>0</v>
      </c>
      <c r="W573" s="449">
        <f t="shared" ca="1" si="191"/>
        <v>0</v>
      </c>
      <c r="X573" s="452">
        <f t="shared" si="189"/>
        <v>0</v>
      </c>
      <c r="Y573" s="440"/>
      <c r="Z573" s="440">
        <f t="shared" ca="1" si="192"/>
        <v>0</v>
      </c>
      <c r="AA573" s="241"/>
      <c r="AH573" s="242"/>
    </row>
    <row r="574" spans="2:34" ht="15.75" x14ac:dyDescent="0.25">
      <c r="B574" s="229"/>
      <c r="C574" s="235"/>
      <c r="D574" s="243"/>
      <c r="E574" s="232"/>
      <c r="F574" s="435"/>
      <c r="G574" s="234"/>
      <c r="H574" s="235"/>
      <c r="I574" s="235"/>
      <c r="J574" s="440"/>
      <c r="K574" s="443">
        <f ca="1">ROUND(IF(ISERROR(OFFSET(Tabella!$A$1,MATCH(H574,Tabella!$A:$A,0)-1,MATCH(J574,Tabella!$A$1:$AC$1,0)-1)=TRUE),0,+OFFSET(Tabella!$A$1,MATCH(H574,Tabella!$A:$A,0)-1,MATCH(J574,Tabella!$A$1:$AC$1,0)-1)),4)</f>
        <v>0</v>
      </c>
      <c r="L574" s="446">
        <f ca="1">ROUND(IF(ISERROR(OFFSET(Ottone!$A$1,MATCH(H574,Ottone!$A:$A,0)-1,MATCH(J574,Ottone!$A$1:$Z$1,0)-1)=TRUE),0,OFFSET(Ottone!$A$1,MATCH(H574,Ottone!$A:$A,0)-1,MATCH(J574,Ottone!$A$1:$Z$1,0)-1))*IF(E574="Ottone",1,0),4)</f>
        <v>0</v>
      </c>
      <c r="M574" s="446">
        <f ca="1">ROUND(IF(ISERROR(OFFSET(Rame!$A$1,MATCH(H574,Rame!$A:$A,0)-1,MATCH(J574,Rame!$A$1:$AA$1,0)-1)=TRUE),0,OFFSET(Rame!$A$1,MATCH(H574,Rame!$A:$A,0)-1,MATCH(J574,Rame!$A$1:$AA$1,0)-1))*IF(E574="Rame",1,0),4)</f>
        <v>0</v>
      </c>
      <c r="N574" s="446">
        <v>0</v>
      </c>
      <c r="O574" s="446">
        <f t="shared" ca="1" si="193"/>
        <v>0</v>
      </c>
      <c r="P574" s="446">
        <f ca="1">ROUND(+IF(ISERROR(OFFSET(Tabella!$G$1,MATCH(H574,Tabella!$G:$G,0)-1,MATCH(I574,Tabella!$G$1:$FG$1,0)-1)=TRUE),0,OFFSET(Tabella!$G$1,MATCH(H574,Tabella!$G:$G,0)-1,MATCH(I574,Tabella!$G$1:$AB$1,0)-1)),4)</f>
        <v>0</v>
      </c>
      <c r="Q574" s="446">
        <f ca="1">ROUND(IF(ISERROR(OFFSET(Ottone!$F$1,MATCH(H574,Ottone!$A:$A,0)-1,MATCH(I574,Ottone!$F$1:$FF$1,0)-1)=TRUE),0,OFFSET(Ottone!$F$1,MATCH(H574,Ottone!$A:$A,0)-1,MATCH(I574,Ottone!$F$1:$FF$1,0)-1))*IF(E574="Ottone",1,0),4)</f>
        <v>0</v>
      </c>
      <c r="R574" s="446">
        <f ca="1">ROUND(IF(ISERROR(OFFSET(Rame!$F$1,MATCH(H574,Rame!$F:$F,0)-1,MATCH(I574,Rame!$F$1:$FF$1,0)-1)=TRUE),0,OFFSET(Rame!$F$1,MATCH(H574,Rame!$F:$F,0)-1,MATCH(I574,Rame!$F$1:$FF$1,0)-1))*IF(E574="Rame",1,0),4)</f>
        <v>0</v>
      </c>
      <c r="S574" s="446">
        <f ca="1">ROUND(IF(ISERROR(OFFSET(Bronzo!$A$1,MATCH(H574,Bronzo!$A:$A,0)-1,MATCH(I574,Bronzo!$A$1:$AA$1,0)-1)=TRUE),0,OFFSET(Bronzo!$A$1,MATCH(H574,Bronzo!$A:$A,0)-1,MATCH(I574,Bronzo!$A$1:$AA$1,0)-1)),4)</f>
        <v>0</v>
      </c>
      <c r="T574" s="446">
        <f t="shared" ca="1" si="190"/>
        <v>0</v>
      </c>
      <c r="U574" s="443"/>
      <c r="V574" s="446">
        <v>0</v>
      </c>
      <c r="W574" s="449">
        <f t="shared" ca="1" si="191"/>
        <v>0</v>
      </c>
      <c r="X574" s="452">
        <f t="shared" si="189"/>
        <v>0</v>
      </c>
      <c r="Y574" s="440"/>
      <c r="Z574" s="440">
        <f t="shared" ca="1" si="192"/>
        <v>0</v>
      </c>
      <c r="AA574" s="241"/>
      <c r="AH574" s="242"/>
    </row>
    <row r="575" spans="2:34" ht="15.75" x14ac:dyDescent="0.25">
      <c r="B575" s="229"/>
      <c r="C575" s="235"/>
      <c r="D575" s="243"/>
      <c r="E575" s="232"/>
      <c r="F575" s="435"/>
      <c r="G575" s="234"/>
      <c r="H575" s="235"/>
      <c r="I575" s="235"/>
      <c r="J575" s="440"/>
      <c r="K575" s="443">
        <f ca="1">ROUND(IF(ISERROR(OFFSET(Tabella!$A$1,MATCH(H575,Tabella!$A:$A,0)-1,MATCH(J575,Tabella!$A$1:$AC$1,0)-1)=TRUE),0,+OFFSET(Tabella!$A$1,MATCH(H575,Tabella!$A:$A,0)-1,MATCH(J575,Tabella!$A$1:$AC$1,0)-1)),4)</f>
        <v>0</v>
      </c>
      <c r="L575" s="446">
        <f ca="1">ROUND(IF(ISERROR(OFFSET(Ottone!$A$1,MATCH(H575,Ottone!$A:$A,0)-1,MATCH(J575,Ottone!$A$1:$Z$1,0)-1)=TRUE),0,OFFSET(Ottone!$A$1,MATCH(H575,Ottone!$A:$A,0)-1,MATCH(J575,Ottone!$A$1:$Z$1,0)-1))*IF(E575="Ottone",1,0),4)</f>
        <v>0</v>
      </c>
      <c r="M575" s="446">
        <f ca="1">ROUND(IF(ISERROR(OFFSET(Rame!$A$1,MATCH(H575,Rame!$A:$A,0)-1,MATCH(J575,Rame!$A$1:$AA$1,0)-1)=TRUE),0,OFFSET(Rame!$A$1,MATCH(H575,Rame!$A:$A,0)-1,MATCH(J575,Rame!$A$1:$AA$1,0)-1))*IF(E575="Rame",1,0),4)</f>
        <v>0</v>
      </c>
      <c r="N575" s="446">
        <v>0</v>
      </c>
      <c r="O575" s="446">
        <f t="shared" ca="1" si="193"/>
        <v>0</v>
      </c>
      <c r="P575" s="446">
        <f ca="1">ROUND(+IF(ISERROR(OFFSET(Tabella!$G$1,MATCH(H575,Tabella!$G:$G,0)-1,MATCH(I575,Tabella!$G$1:$FG$1,0)-1)=TRUE),0,OFFSET(Tabella!$G$1,MATCH(H575,Tabella!$G:$G,0)-1,MATCH(I575,Tabella!$G$1:$AB$1,0)-1)),4)</f>
        <v>0</v>
      </c>
      <c r="Q575" s="446">
        <f ca="1">ROUND(IF(ISERROR(OFFSET(Ottone!$F$1,MATCH(H575,Ottone!$A:$A,0)-1,MATCH(I575,Ottone!$F$1:$FF$1,0)-1)=TRUE),0,OFFSET(Ottone!$F$1,MATCH(H575,Ottone!$A:$A,0)-1,MATCH(I575,Ottone!$F$1:$FF$1,0)-1))*IF(E575="Ottone",1,0),4)</f>
        <v>0</v>
      </c>
      <c r="R575" s="446">
        <f ca="1">ROUND(IF(ISERROR(OFFSET(Rame!$F$1,MATCH(H575,Rame!$F:$F,0)-1,MATCH(I575,Rame!$F$1:$FF$1,0)-1)=TRUE),0,OFFSET(Rame!$F$1,MATCH(H575,Rame!$F:$F,0)-1,MATCH(I575,Rame!$F$1:$FF$1,0)-1))*IF(E575="Rame",1,0),4)</f>
        <v>0</v>
      </c>
      <c r="S575" s="446">
        <f ca="1">ROUND(IF(ISERROR(OFFSET(Bronzo!$A$1,MATCH(H575,Bronzo!$A:$A,0)-1,MATCH(I575,Bronzo!$A$1:$AA$1,0)-1)=TRUE),0,OFFSET(Bronzo!$A$1,MATCH(H575,Bronzo!$A:$A,0)-1,MATCH(I575,Bronzo!$A$1:$AA$1,0)-1)),4)</f>
        <v>0</v>
      </c>
      <c r="T575" s="446">
        <f t="shared" ca="1" si="190"/>
        <v>0</v>
      </c>
      <c r="U575" s="443"/>
      <c r="V575" s="446">
        <v>0</v>
      </c>
      <c r="W575" s="449">
        <f t="shared" ca="1" si="191"/>
        <v>0</v>
      </c>
      <c r="X575" s="452">
        <f t="shared" si="189"/>
        <v>0</v>
      </c>
      <c r="Y575" s="440"/>
      <c r="Z575" s="440">
        <f t="shared" ca="1" si="192"/>
        <v>0</v>
      </c>
      <c r="AA575" s="241"/>
      <c r="AH575" s="242"/>
    </row>
    <row r="576" spans="2:34" ht="15.75" x14ac:dyDescent="0.25">
      <c r="B576" s="229"/>
      <c r="C576" s="235"/>
      <c r="D576" s="243"/>
      <c r="E576" s="232"/>
      <c r="F576" s="435"/>
      <c r="G576" s="234"/>
      <c r="H576" s="235"/>
      <c r="I576" s="235"/>
      <c r="J576" s="440"/>
      <c r="K576" s="443">
        <f ca="1">ROUND(IF(ISERROR(OFFSET(Tabella!$A$1,MATCH(H576,Tabella!$A:$A,0)-1,MATCH(J576,Tabella!$A$1:$AC$1,0)-1)=TRUE),0,+OFFSET(Tabella!$A$1,MATCH(H576,Tabella!$A:$A,0)-1,MATCH(J576,Tabella!$A$1:$AC$1,0)-1)),4)</f>
        <v>0</v>
      </c>
      <c r="L576" s="446">
        <f ca="1">ROUND(IF(ISERROR(OFFSET(Ottone!$A$1,MATCH(H576,Ottone!$A:$A,0)-1,MATCH(J576,Ottone!$A$1:$Z$1,0)-1)=TRUE),0,OFFSET(Ottone!$A$1,MATCH(H576,Ottone!$A:$A,0)-1,MATCH(J576,Ottone!$A$1:$Z$1,0)-1))*IF(E576="Ottone",1,0),4)</f>
        <v>0</v>
      </c>
      <c r="M576" s="446">
        <f ca="1">ROUND(IF(ISERROR(OFFSET(Rame!$A$1,MATCH(H576,Rame!$A:$A,0)-1,MATCH(J576,Rame!$A$1:$AA$1,0)-1)=TRUE),0,OFFSET(Rame!$A$1,MATCH(H576,Rame!$A:$A,0)-1,MATCH(J576,Rame!$A$1:$AA$1,0)-1))*IF(E576="Rame",1,0),4)</f>
        <v>0</v>
      </c>
      <c r="N576" s="446">
        <v>0</v>
      </c>
      <c r="O576" s="446">
        <f t="shared" ca="1" si="193"/>
        <v>0</v>
      </c>
      <c r="P576" s="446">
        <f ca="1">ROUND(+IF(ISERROR(OFFSET(Tabella!$G$1,MATCH(H576,Tabella!$G:$G,0)-1,MATCH(I576,Tabella!$G$1:$FG$1,0)-1)=TRUE),0,OFFSET(Tabella!$G$1,MATCH(H576,Tabella!$G:$G,0)-1,MATCH(I576,Tabella!$G$1:$AB$1,0)-1)),4)</f>
        <v>0</v>
      </c>
      <c r="Q576" s="446">
        <f ca="1">ROUND(IF(ISERROR(OFFSET(Ottone!$F$1,MATCH(H576,Ottone!$A:$A,0)-1,MATCH(I576,Ottone!$F$1:$FF$1,0)-1)=TRUE),0,OFFSET(Ottone!$F$1,MATCH(H576,Ottone!$A:$A,0)-1,MATCH(I576,Ottone!$F$1:$FF$1,0)-1))*IF(E576="Ottone",1,0),4)</f>
        <v>0</v>
      </c>
      <c r="R576" s="446">
        <f ca="1">ROUND(IF(ISERROR(OFFSET(Rame!$F$1,MATCH(H576,Rame!$F:$F,0)-1,MATCH(I576,Rame!$F$1:$FF$1,0)-1)=TRUE),0,OFFSET(Rame!$F$1,MATCH(H576,Rame!$F:$F,0)-1,MATCH(I576,Rame!$F$1:$FF$1,0)-1))*IF(E576="Rame",1,0),4)</f>
        <v>0</v>
      </c>
      <c r="S576" s="446">
        <f ca="1">ROUND(IF(ISERROR(OFFSET(Bronzo!$A$1,MATCH(H576,Bronzo!$A:$A,0)-1,MATCH(I576,Bronzo!$A$1:$AA$1,0)-1)=TRUE),0,OFFSET(Bronzo!$A$1,MATCH(H576,Bronzo!$A:$A,0)-1,MATCH(I576,Bronzo!$A$1:$AA$1,0)-1)),4)</f>
        <v>0</v>
      </c>
      <c r="T576" s="446">
        <f t="shared" ca="1" si="190"/>
        <v>0</v>
      </c>
      <c r="U576" s="443"/>
      <c r="V576" s="446">
        <v>0</v>
      </c>
      <c r="W576" s="449">
        <f t="shared" ca="1" si="191"/>
        <v>0</v>
      </c>
      <c r="X576" s="452">
        <f t="shared" si="189"/>
        <v>0</v>
      </c>
      <c r="Y576" s="440"/>
      <c r="Z576" s="440">
        <f t="shared" ca="1" si="192"/>
        <v>0</v>
      </c>
      <c r="AA576" s="241"/>
      <c r="AH576" s="242"/>
    </row>
    <row r="577" spans="2:34" ht="15.75" x14ac:dyDescent="0.25">
      <c r="B577" s="229"/>
      <c r="C577" s="235"/>
      <c r="D577" s="243"/>
      <c r="E577" s="232"/>
      <c r="F577" s="435"/>
      <c r="G577" s="234"/>
      <c r="H577" s="235"/>
      <c r="I577" s="235"/>
      <c r="J577" s="440"/>
      <c r="K577" s="443">
        <f ca="1">ROUND(IF(ISERROR(OFFSET(Tabella!$A$1,MATCH(H577,Tabella!$A:$A,0)-1,MATCH(J577,Tabella!$A$1:$AC$1,0)-1)=TRUE),0,+OFFSET(Tabella!$A$1,MATCH(H577,Tabella!$A:$A,0)-1,MATCH(J577,Tabella!$A$1:$AC$1,0)-1)),4)</f>
        <v>0</v>
      </c>
      <c r="L577" s="446">
        <f ca="1">ROUND(IF(ISERROR(OFFSET(Ottone!$A$1,MATCH(H577,Ottone!$A:$A,0)-1,MATCH(J577,Ottone!$A$1:$Z$1,0)-1)=TRUE),0,OFFSET(Ottone!$A$1,MATCH(H577,Ottone!$A:$A,0)-1,MATCH(J577,Ottone!$A$1:$Z$1,0)-1))*IF(E577="Ottone",1,0),4)</f>
        <v>0</v>
      </c>
      <c r="M577" s="446">
        <f ca="1">ROUND(IF(ISERROR(OFFSET(Rame!$A$1,MATCH(H577,Rame!$A:$A,0)-1,MATCH(J577,Rame!$A$1:$AA$1,0)-1)=TRUE),0,OFFSET(Rame!$A$1,MATCH(H577,Rame!$A:$A,0)-1,MATCH(J577,Rame!$A$1:$AA$1,0)-1))*IF(E577="Rame",1,0),4)</f>
        <v>0</v>
      </c>
      <c r="N577" s="446">
        <v>0</v>
      </c>
      <c r="O577" s="446">
        <f t="shared" ca="1" si="193"/>
        <v>0</v>
      </c>
      <c r="P577" s="446">
        <f ca="1">ROUND(+IF(ISERROR(OFFSET(Tabella!$G$1,MATCH(H577,Tabella!$G:$G,0)-1,MATCH(I577,Tabella!$G$1:$FG$1,0)-1)=TRUE),0,OFFSET(Tabella!$G$1,MATCH(H577,Tabella!$G:$G,0)-1,MATCH(I577,Tabella!$G$1:$AB$1,0)-1)),4)</f>
        <v>0</v>
      </c>
      <c r="Q577" s="446">
        <f ca="1">ROUND(IF(ISERROR(OFFSET(Ottone!$F$1,MATCH(H577,Ottone!$A:$A,0)-1,MATCH(I577,Ottone!$F$1:$FF$1,0)-1)=TRUE),0,OFFSET(Ottone!$F$1,MATCH(H577,Ottone!$A:$A,0)-1,MATCH(I577,Ottone!$F$1:$FF$1,0)-1))*IF(E577="Ottone",1,0),4)</f>
        <v>0</v>
      </c>
      <c r="R577" s="446">
        <f ca="1">ROUND(IF(ISERROR(OFFSET(Rame!$F$1,MATCH(H577,Rame!$F:$F,0)-1,MATCH(I577,Rame!$F$1:$FF$1,0)-1)=TRUE),0,OFFSET(Rame!$F$1,MATCH(H577,Rame!$F:$F,0)-1,MATCH(I577,Rame!$F$1:$FF$1,0)-1))*IF(E577="Rame",1,0),4)</f>
        <v>0</v>
      </c>
      <c r="S577" s="446">
        <f ca="1">ROUND(IF(ISERROR(OFFSET(Bronzo!$A$1,MATCH(H577,Bronzo!$A:$A,0)-1,MATCH(I577,Bronzo!$A$1:$AA$1,0)-1)=TRUE),0,OFFSET(Bronzo!$A$1,MATCH(H577,Bronzo!$A:$A,0)-1,MATCH(I577,Bronzo!$A$1:$AA$1,0)-1)),4)</f>
        <v>0</v>
      </c>
      <c r="T577" s="446">
        <f t="shared" ca="1" si="190"/>
        <v>0</v>
      </c>
      <c r="U577" s="443"/>
      <c r="V577" s="446">
        <v>0</v>
      </c>
      <c r="W577" s="449">
        <f t="shared" ca="1" si="191"/>
        <v>0</v>
      </c>
      <c r="X577" s="452">
        <f t="shared" si="189"/>
        <v>0</v>
      </c>
      <c r="Y577" s="440"/>
      <c r="Z577" s="440">
        <f t="shared" ca="1" si="192"/>
        <v>0</v>
      </c>
      <c r="AA577" s="241"/>
      <c r="AH577" s="242"/>
    </row>
    <row r="578" spans="2:34" ht="15.75" x14ac:dyDescent="0.25">
      <c r="B578" s="229"/>
      <c r="C578" s="235"/>
      <c r="D578" s="243"/>
      <c r="E578" s="232"/>
      <c r="F578" s="435"/>
      <c r="G578" s="234"/>
      <c r="H578" s="235"/>
      <c r="I578" s="235"/>
      <c r="J578" s="440"/>
      <c r="K578" s="443">
        <f ca="1">ROUND(IF(ISERROR(OFFSET(Tabella!$A$1,MATCH(H578,Tabella!$A:$A,0)-1,MATCH(J578,Tabella!$A$1:$AC$1,0)-1)=TRUE),0,+OFFSET(Tabella!$A$1,MATCH(H578,Tabella!$A:$A,0)-1,MATCH(J578,Tabella!$A$1:$AC$1,0)-1)),4)</f>
        <v>0</v>
      </c>
      <c r="L578" s="446">
        <f ca="1">ROUND(IF(ISERROR(OFFSET(Ottone!$A$1,MATCH(H578,Ottone!$A:$A,0)-1,MATCH(J578,Ottone!$A$1:$Z$1,0)-1)=TRUE),0,OFFSET(Ottone!$A$1,MATCH(H578,Ottone!$A:$A,0)-1,MATCH(J578,Ottone!$A$1:$Z$1,0)-1))*IF(E578="Ottone",1,0),4)</f>
        <v>0</v>
      </c>
      <c r="M578" s="446">
        <f ca="1">ROUND(IF(ISERROR(OFFSET(Rame!$A$1,MATCH(H578,Rame!$A:$A,0)-1,MATCH(J578,Rame!$A$1:$AA$1,0)-1)=TRUE),0,OFFSET(Rame!$A$1,MATCH(H578,Rame!$A:$A,0)-1,MATCH(J578,Rame!$A$1:$AA$1,0)-1))*IF(E578="Rame",1,0),4)</f>
        <v>0</v>
      </c>
      <c r="N578" s="446">
        <v>0</v>
      </c>
      <c r="O578" s="446">
        <f t="shared" ca="1" si="193"/>
        <v>0</v>
      </c>
      <c r="P578" s="446">
        <f ca="1">ROUND(+IF(ISERROR(OFFSET(Tabella!$G$1,MATCH(H578,Tabella!$G:$G,0)-1,MATCH(I578,Tabella!$G$1:$FG$1,0)-1)=TRUE),0,OFFSET(Tabella!$G$1,MATCH(H578,Tabella!$G:$G,0)-1,MATCH(I578,Tabella!$G$1:$AB$1,0)-1)),4)</f>
        <v>0</v>
      </c>
      <c r="Q578" s="446">
        <f ca="1">ROUND(IF(ISERROR(OFFSET(Ottone!$F$1,MATCH(H578,Ottone!$A:$A,0)-1,MATCH(I578,Ottone!$F$1:$FF$1,0)-1)=TRUE),0,OFFSET(Ottone!$F$1,MATCH(H578,Ottone!$A:$A,0)-1,MATCH(I578,Ottone!$F$1:$FF$1,0)-1))*IF(E578="Ottone",1,0),4)</f>
        <v>0</v>
      </c>
      <c r="R578" s="446">
        <f ca="1">ROUND(IF(ISERROR(OFFSET(Rame!$F$1,MATCH(H578,Rame!$F:$F,0)-1,MATCH(I578,Rame!$F$1:$FF$1,0)-1)=TRUE),0,OFFSET(Rame!$F$1,MATCH(H578,Rame!$F:$F,0)-1,MATCH(I578,Rame!$F$1:$FF$1,0)-1))*IF(E578="Rame",1,0),4)</f>
        <v>0</v>
      </c>
      <c r="S578" s="446">
        <f ca="1">ROUND(IF(ISERROR(OFFSET(Bronzo!$A$1,MATCH(H578,Bronzo!$A:$A,0)-1,MATCH(I578,Bronzo!$A$1:$AA$1,0)-1)=TRUE),0,OFFSET(Bronzo!$A$1,MATCH(H578,Bronzo!$A:$A,0)-1,MATCH(I578,Bronzo!$A$1:$AA$1,0)-1)),4)</f>
        <v>0</v>
      </c>
      <c r="T578" s="446">
        <f t="shared" ca="1" si="190"/>
        <v>0</v>
      </c>
      <c r="U578" s="443"/>
      <c r="V578" s="446">
        <v>0</v>
      </c>
      <c r="W578" s="449">
        <f t="shared" ca="1" si="191"/>
        <v>0</v>
      </c>
      <c r="X578" s="452">
        <f t="shared" si="189"/>
        <v>0</v>
      </c>
      <c r="Y578" s="440"/>
      <c r="Z578" s="440">
        <f t="shared" ca="1" si="192"/>
        <v>0</v>
      </c>
      <c r="AA578" s="241"/>
      <c r="AH578" s="242"/>
    </row>
    <row r="579" spans="2:34" ht="15.75" x14ac:dyDescent="0.25">
      <c r="B579" s="229"/>
      <c r="C579" s="235"/>
      <c r="D579" s="243"/>
      <c r="E579" s="232"/>
      <c r="F579" s="435"/>
      <c r="G579" s="234"/>
      <c r="H579" s="235"/>
      <c r="I579" s="235"/>
      <c r="J579" s="440"/>
      <c r="K579" s="443">
        <f ca="1">ROUND(IF(ISERROR(OFFSET(Tabella!$A$1,MATCH(H579,Tabella!$A:$A,0)-1,MATCH(J579,Tabella!$A$1:$AC$1,0)-1)=TRUE),0,+OFFSET(Tabella!$A$1,MATCH(H579,Tabella!$A:$A,0)-1,MATCH(J579,Tabella!$A$1:$AC$1,0)-1)),4)</f>
        <v>0</v>
      </c>
      <c r="L579" s="446">
        <f ca="1">ROUND(IF(ISERROR(OFFSET(Ottone!$A$1,MATCH(H579,Ottone!$A:$A,0)-1,MATCH(J579,Ottone!$A$1:$Z$1,0)-1)=TRUE),0,OFFSET(Ottone!$A$1,MATCH(H579,Ottone!$A:$A,0)-1,MATCH(J579,Ottone!$A$1:$Z$1,0)-1))*IF(E579="Ottone",1,0),4)</f>
        <v>0</v>
      </c>
      <c r="M579" s="446">
        <f ca="1">ROUND(IF(ISERROR(OFFSET(Rame!$A$1,MATCH(H579,Rame!$A:$A,0)-1,MATCH(J579,Rame!$A$1:$AA$1,0)-1)=TRUE),0,OFFSET(Rame!$A$1,MATCH(H579,Rame!$A:$A,0)-1,MATCH(J579,Rame!$A$1:$AA$1,0)-1))*IF(E579="Rame",1,0),4)</f>
        <v>0</v>
      </c>
      <c r="N579" s="446">
        <v>0</v>
      </c>
      <c r="O579" s="446">
        <f t="shared" ca="1" si="193"/>
        <v>0</v>
      </c>
      <c r="P579" s="446">
        <f ca="1">ROUND(+IF(ISERROR(OFFSET(Tabella!$G$1,MATCH(H579,Tabella!$G:$G,0)-1,MATCH(I579,Tabella!$G$1:$FG$1,0)-1)=TRUE),0,OFFSET(Tabella!$G$1,MATCH(H579,Tabella!$G:$G,0)-1,MATCH(I579,Tabella!$G$1:$AB$1,0)-1)),4)</f>
        <v>0</v>
      </c>
      <c r="Q579" s="446">
        <f ca="1">ROUND(IF(ISERROR(OFFSET(Ottone!$F$1,MATCH(H579,Ottone!$A:$A,0)-1,MATCH(I579,Ottone!$F$1:$FF$1,0)-1)=TRUE),0,OFFSET(Ottone!$F$1,MATCH(H579,Ottone!$A:$A,0)-1,MATCH(I579,Ottone!$F$1:$FF$1,0)-1))*IF(E579="Ottone",1,0),4)</f>
        <v>0</v>
      </c>
      <c r="R579" s="446">
        <f ca="1">ROUND(IF(ISERROR(OFFSET(Rame!$F$1,MATCH(H579,Rame!$F:$F,0)-1,MATCH(I579,Rame!$F$1:$FF$1,0)-1)=TRUE),0,OFFSET(Rame!$F$1,MATCH(H579,Rame!$F:$F,0)-1,MATCH(I579,Rame!$F$1:$FF$1,0)-1))*IF(E579="Rame",1,0),4)</f>
        <v>0</v>
      </c>
      <c r="S579" s="446">
        <f ca="1">ROUND(IF(ISERROR(OFFSET(Bronzo!$A$1,MATCH(H579,Bronzo!$A:$A,0)-1,MATCH(I579,Bronzo!$A$1:$AA$1,0)-1)=TRUE),0,OFFSET(Bronzo!$A$1,MATCH(H579,Bronzo!$A:$A,0)-1,MATCH(I579,Bronzo!$A$1:$AA$1,0)-1)),4)</f>
        <v>0</v>
      </c>
      <c r="T579" s="446">
        <f t="shared" ca="1" si="190"/>
        <v>0</v>
      </c>
      <c r="U579" s="443"/>
      <c r="V579" s="446">
        <v>0</v>
      </c>
      <c r="W579" s="449">
        <f t="shared" ca="1" si="191"/>
        <v>0</v>
      </c>
      <c r="X579" s="452">
        <f t="shared" si="189"/>
        <v>0</v>
      </c>
      <c r="Y579" s="440"/>
      <c r="Z579" s="440">
        <f t="shared" ca="1" si="192"/>
        <v>0</v>
      </c>
      <c r="AA579" s="241"/>
      <c r="AH579" s="242"/>
    </row>
    <row r="580" spans="2:34" ht="15.75" x14ac:dyDescent="0.25">
      <c r="B580" s="229"/>
      <c r="C580" s="235"/>
      <c r="D580" s="243"/>
      <c r="E580" s="232"/>
      <c r="F580" s="435"/>
      <c r="G580" s="234"/>
      <c r="H580" s="235"/>
      <c r="I580" s="235"/>
      <c r="J580" s="440"/>
      <c r="K580" s="443">
        <f ca="1">ROUND(IF(ISERROR(OFFSET(Tabella!$A$1,MATCH(H580,Tabella!$A:$A,0)-1,MATCH(J580,Tabella!$A$1:$AC$1,0)-1)=TRUE),0,+OFFSET(Tabella!$A$1,MATCH(H580,Tabella!$A:$A,0)-1,MATCH(J580,Tabella!$A$1:$AC$1,0)-1)),4)</f>
        <v>0</v>
      </c>
      <c r="L580" s="446">
        <f ca="1">ROUND(IF(ISERROR(OFFSET(Ottone!$A$1,MATCH(H580,Ottone!$A:$A,0)-1,MATCH(J580,Ottone!$A$1:$Z$1,0)-1)=TRUE),0,OFFSET(Ottone!$A$1,MATCH(H580,Ottone!$A:$A,0)-1,MATCH(J580,Ottone!$A$1:$Z$1,0)-1))*IF(E580="Ottone",1,0),4)</f>
        <v>0</v>
      </c>
      <c r="M580" s="446">
        <f ca="1">ROUND(IF(ISERROR(OFFSET(Rame!$A$1,MATCH(H580,Rame!$A:$A,0)-1,MATCH(J580,Rame!$A$1:$AA$1,0)-1)=TRUE),0,OFFSET(Rame!$A$1,MATCH(H580,Rame!$A:$A,0)-1,MATCH(J580,Rame!$A$1:$AA$1,0)-1))*IF(E580="Rame",1,0),4)</f>
        <v>0</v>
      </c>
      <c r="N580" s="446">
        <v>0</v>
      </c>
      <c r="O580" s="446">
        <f t="shared" ca="1" si="193"/>
        <v>0</v>
      </c>
      <c r="P580" s="446">
        <f ca="1">ROUND(+IF(ISERROR(OFFSET(Tabella!$G$1,MATCH(H580,Tabella!$G:$G,0)-1,MATCH(I580,Tabella!$G$1:$FG$1,0)-1)=TRUE),0,OFFSET(Tabella!$G$1,MATCH(H580,Tabella!$G:$G,0)-1,MATCH(I580,Tabella!$G$1:$AB$1,0)-1)),4)</f>
        <v>0</v>
      </c>
      <c r="Q580" s="446">
        <f ca="1">ROUND(IF(ISERROR(OFFSET(Ottone!$F$1,MATCH(H580,Ottone!$A:$A,0)-1,MATCH(I580,Ottone!$F$1:$FF$1,0)-1)=TRUE),0,OFFSET(Ottone!$F$1,MATCH(H580,Ottone!$A:$A,0)-1,MATCH(I580,Ottone!$F$1:$FF$1,0)-1))*IF(E580="Ottone",1,0),4)</f>
        <v>0</v>
      </c>
      <c r="R580" s="446">
        <f ca="1">ROUND(IF(ISERROR(OFFSET(Rame!$F$1,MATCH(H580,Rame!$F:$F,0)-1,MATCH(I580,Rame!$F$1:$FF$1,0)-1)=TRUE),0,OFFSET(Rame!$F$1,MATCH(H580,Rame!$F:$F,0)-1,MATCH(I580,Rame!$F$1:$FF$1,0)-1))*IF(E580="Rame",1,0),4)</f>
        <v>0</v>
      </c>
      <c r="S580" s="446">
        <f ca="1">ROUND(IF(ISERROR(OFFSET(Bronzo!$A$1,MATCH(H580,Bronzo!$A:$A,0)-1,MATCH(I580,Bronzo!$A$1:$AA$1,0)-1)=TRUE),0,OFFSET(Bronzo!$A$1,MATCH(H580,Bronzo!$A:$A,0)-1,MATCH(I580,Bronzo!$A$1:$AA$1,0)-1)),4)</f>
        <v>0</v>
      </c>
      <c r="T580" s="446">
        <f t="shared" ca="1" si="190"/>
        <v>0</v>
      </c>
      <c r="U580" s="443"/>
      <c r="V580" s="446">
        <v>0</v>
      </c>
      <c r="W580" s="449">
        <f t="shared" ca="1" si="191"/>
        <v>0</v>
      </c>
      <c r="X580" s="452">
        <f t="shared" si="189"/>
        <v>0</v>
      </c>
      <c r="Y580" s="440"/>
      <c r="Z580" s="440">
        <f t="shared" ca="1" si="192"/>
        <v>0</v>
      </c>
      <c r="AA580" s="241"/>
      <c r="AH580" s="242"/>
    </row>
    <row r="581" spans="2:34" ht="15.75" x14ac:dyDescent="0.25">
      <c r="B581" s="229"/>
      <c r="C581" s="235"/>
      <c r="D581" s="243"/>
      <c r="E581" s="232"/>
      <c r="F581" s="435"/>
      <c r="G581" s="234"/>
      <c r="H581" s="235"/>
      <c r="I581" s="235"/>
      <c r="J581" s="440"/>
      <c r="K581" s="443">
        <f ca="1">ROUND(IF(ISERROR(OFFSET(Tabella!$A$1,MATCH(H581,Tabella!$A:$A,0)-1,MATCH(J581,Tabella!$A$1:$AC$1,0)-1)=TRUE),0,+OFFSET(Tabella!$A$1,MATCH(H581,Tabella!$A:$A,0)-1,MATCH(J581,Tabella!$A$1:$AC$1,0)-1)),4)</f>
        <v>0</v>
      </c>
      <c r="L581" s="446">
        <f ca="1">ROUND(IF(ISERROR(OFFSET(Ottone!$A$1,MATCH(H581,Ottone!$A:$A,0)-1,MATCH(J581,Ottone!$A$1:$Z$1,0)-1)=TRUE),0,OFFSET(Ottone!$A$1,MATCH(H581,Ottone!$A:$A,0)-1,MATCH(J581,Ottone!$A$1:$Z$1,0)-1))*IF(E581="Ottone",1,0),4)</f>
        <v>0</v>
      </c>
      <c r="M581" s="446">
        <f ca="1">ROUND(IF(ISERROR(OFFSET(Rame!$A$1,MATCH(H581,Rame!$A:$A,0)-1,MATCH(J581,Rame!$A$1:$AA$1,0)-1)=TRUE),0,OFFSET(Rame!$A$1,MATCH(H581,Rame!$A:$A,0)-1,MATCH(J581,Rame!$A$1:$AA$1,0)-1))*IF(E581="Rame",1,0),4)</f>
        <v>0</v>
      </c>
      <c r="N581" s="446">
        <v>0</v>
      </c>
      <c r="O581" s="446">
        <f t="shared" ca="1" si="193"/>
        <v>0</v>
      </c>
      <c r="P581" s="446">
        <f ca="1">ROUND(+IF(ISERROR(OFFSET(Tabella!$G$1,MATCH(H581,Tabella!$G:$G,0)-1,MATCH(I581,Tabella!$G$1:$FG$1,0)-1)=TRUE),0,OFFSET(Tabella!$G$1,MATCH(H581,Tabella!$G:$G,0)-1,MATCH(I581,Tabella!$G$1:$AB$1,0)-1)),4)</f>
        <v>0</v>
      </c>
      <c r="Q581" s="446">
        <f ca="1">ROUND(IF(ISERROR(OFFSET(Ottone!$F$1,MATCH(H581,Ottone!$A:$A,0)-1,MATCH(I581,Ottone!$F$1:$FF$1,0)-1)=TRUE),0,OFFSET(Ottone!$F$1,MATCH(H581,Ottone!$A:$A,0)-1,MATCH(I581,Ottone!$F$1:$FF$1,0)-1))*IF(E581="Ottone",1,0),4)</f>
        <v>0</v>
      </c>
      <c r="R581" s="446">
        <f ca="1">ROUND(IF(ISERROR(OFFSET(Rame!$F$1,MATCH(H581,Rame!$F:$F,0)-1,MATCH(I581,Rame!$F$1:$FF$1,0)-1)=TRUE),0,OFFSET(Rame!$F$1,MATCH(H581,Rame!$F:$F,0)-1,MATCH(I581,Rame!$F$1:$FF$1,0)-1))*IF(E581="Rame",1,0),4)</f>
        <v>0</v>
      </c>
      <c r="S581" s="446">
        <f ca="1">ROUND(IF(ISERROR(OFFSET(Bronzo!$A$1,MATCH(H581,Bronzo!$A:$A,0)-1,MATCH(I581,Bronzo!$A$1:$AA$1,0)-1)=TRUE),0,OFFSET(Bronzo!$A$1,MATCH(H581,Bronzo!$A:$A,0)-1,MATCH(I581,Bronzo!$A$1:$AA$1,0)-1)),4)</f>
        <v>0</v>
      </c>
      <c r="T581" s="446">
        <f t="shared" ca="1" si="190"/>
        <v>0</v>
      </c>
      <c r="U581" s="443"/>
      <c r="V581" s="446">
        <v>0</v>
      </c>
      <c r="W581" s="449">
        <f t="shared" ca="1" si="191"/>
        <v>0</v>
      </c>
      <c r="X581" s="452">
        <f t="shared" si="189"/>
        <v>0</v>
      </c>
      <c r="Y581" s="440"/>
      <c r="Z581" s="440">
        <f t="shared" ca="1" si="192"/>
        <v>0</v>
      </c>
      <c r="AA581" s="241"/>
      <c r="AH581" s="242"/>
    </row>
    <row r="582" spans="2:34" ht="15.75" x14ac:dyDescent="0.25">
      <c r="B582" s="229"/>
      <c r="C582" s="235"/>
      <c r="D582" s="243"/>
      <c r="E582" s="232"/>
      <c r="F582" s="435"/>
      <c r="G582" s="234"/>
      <c r="H582" s="235"/>
      <c r="I582" s="235"/>
      <c r="J582" s="440"/>
      <c r="K582" s="443">
        <f ca="1">ROUND(IF(ISERROR(OFFSET(Tabella!$A$1,MATCH(H582,Tabella!$A:$A,0)-1,MATCH(J582,Tabella!$A$1:$AC$1,0)-1)=TRUE),0,+OFFSET(Tabella!$A$1,MATCH(H582,Tabella!$A:$A,0)-1,MATCH(J582,Tabella!$A$1:$AC$1,0)-1)),4)</f>
        <v>0</v>
      </c>
      <c r="L582" s="446">
        <f ca="1">ROUND(IF(ISERROR(OFFSET(Ottone!$A$1,MATCH(H582,Ottone!$A:$A,0)-1,MATCH(J582,Ottone!$A$1:$Z$1,0)-1)=TRUE),0,OFFSET(Ottone!$A$1,MATCH(H582,Ottone!$A:$A,0)-1,MATCH(J582,Ottone!$A$1:$Z$1,0)-1))*IF(E582="Ottone",1,0),4)</f>
        <v>0</v>
      </c>
      <c r="M582" s="446">
        <f ca="1">ROUND(IF(ISERROR(OFFSET(Rame!$A$1,MATCH(H582,Rame!$A:$A,0)-1,MATCH(J582,Rame!$A$1:$AA$1,0)-1)=TRUE),0,OFFSET(Rame!$A$1,MATCH(H582,Rame!$A:$A,0)-1,MATCH(J582,Rame!$A$1:$AA$1,0)-1))*IF(E582="Rame",1,0),4)</f>
        <v>0</v>
      </c>
      <c r="N582" s="446">
        <v>0</v>
      </c>
      <c r="O582" s="446">
        <f t="shared" ca="1" si="193"/>
        <v>0</v>
      </c>
      <c r="P582" s="446">
        <f ca="1">ROUND(+IF(ISERROR(OFFSET(Tabella!$G$1,MATCH(H582,Tabella!$G:$G,0)-1,MATCH(I582,Tabella!$G$1:$FG$1,0)-1)=TRUE),0,OFFSET(Tabella!$G$1,MATCH(H582,Tabella!$G:$G,0)-1,MATCH(I582,Tabella!$G$1:$AB$1,0)-1)),4)</f>
        <v>0</v>
      </c>
      <c r="Q582" s="446">
        <f ca="1">ROUND(IF(ISERROR(OFFSET(Ottone!$F$1,MATCH(H582,Ottone!$A:$A,0)-1,MATCH(I582,Ottone!$F$1:$FF$1,0)-1)=TRUE),0,OFFSET(Ottone!$F$1,MATCH(H582,Ottone!$A:$A,0)-1,MATCH(I582,Ottone!$F$1:$FF$1,0)-1))*IF(E582="Ottone",1,0),4)</f>
        <v>0</v>
      </c>
      <c r="R582" s="446">
        <f ca="1">ROUND(IF(ISERROR(OFFSET(Rame!$F$1,MATCH(H582,Rame!$F:$F,0)-1,MATCH(I582,Rame!$F$1:$FF$1,0)-1)=TRUE),0,OFFSET(Rame!$F$1,MATCH(H582,Rame!$F:$F,0)-1,MATCH(I582,Rame!$F$1:$FF$1,0)-1))*IF(E582="Rame",1,0),4)</f>
        <v>0</v>
      </c>
      <c r="S582" s="446">
        <f ca="1">ROUND(IF(ISERROR(OFFSET(Bronzo!$A$1,MATCH(H582,Bronzo!$A:$A,0)-1,MATCH(I582,Bronzo!$A$1:$AA$1,0)-1)=TRUE),0,OFFSET(Bronzo!$A$1,MATCH(H582,Bronzo!$A:$A,0)-1,MATCH(I582,Bronzo!$A$1:$AA$1,0)-1)),4)</f>
        <v>0</v>
      </c>
      <c r="T582" s="446">
        <f t="shared" ca="1" si="190"/>
        <v>0</v>
      </c>
      <c r="U582" s="443"/>
      <c r="V582" s="446">
        <v>0</v>
      </c>
      <c r="W582" s="449">
        <f t="shared" ca="1" si="191"/>
        <v>0</v>
      </c>
      <c r="X582" s="452">
        <f t="shared" si="189"/>
        <v>0</v>
      </c>
      <c r="Y582" s="440"/>
      <c r="Z582" s="440">
        <f t="shared" ca="1" si="192"/>
        <v>0</v>
      </c>
      <c r="AA582" s="241"/>
      <c r="AH582" s="242"/>
    </row>
    <row r="583" spans="2:34" ht="15.75" x14ac:dyDescent="0.25">
      <c r="B583" s="229"/>
      <c r="C583" s="235"/>
      <c r="D583" s="243"/>
      <c r="E583" s="232"/>
      <c r="F583" s="435"/>
      <c r="G583" s="234"/>
      <c r="H583" s="235"/>
      <c r="I583" s="235"/>
      <c r="J583" s="440"/>
      <c r="K583" s="443">
        <f ca="1">ROUND(IF(ISERROR(OFFSET(Tabella!$A$1,MATCH(H583,Tabella!$A:$A,0)-1,MATCH(J583,Tabella!$A$1:$AC$1,0)-1)=TRUE),0,+OFFSET(Tabella!$A$1,MATCH(H583,Tabella!$A:$A,0)-1,MATCH(J583,Tabella!$A$1:$AC$1,0)-1)),4)</f>
        <v>0</v>
      </c>
      <c r="L583" s="446">
        <f ca="1">ROUND(IF(ISERROR(OFFSET(Ottone!$A$1,MATCH(H583,Ottone!$A:$A,0)-1,MATCH(J583,Ottone!$A$1:$Z$1,0)-1)=TRUE),0,OFFSET(Ottone!$A$1,MATCH(H583,Ottone!$A:$A,0)-1,MATCH(J583,Ottone!$A$1:$Z$1,0)-1))*IF(E583="Ottone",1,0),4)</f>
        <v>0</v>
      </c>
      <c r="M583" s="446">
        <f ca="1">ROUND(IF(ISERROR(OFFSET(Rame!$A$1,MATCH(H583,Rame!$A:$A,0)-1,MATCH(J583,Rame!$A$1:$AA$1,0)-1)=TRUE),0,OFFSET(Rame!$A$1,MATCH(H583,Rame!$A:$A,0)-1,MATCH(J583,Rame!$A$1:$AA$1,0)-1))*IF(E583="Rame",1,0),4)</f>
        <v>0</v>
      </c>
      <c r="N583" s="446">
        <v>0</v>
      </c>
      <c r="O583" s="446">
        <f t="shared" ca="1" si="193"/>
        <v>0</v>
      </c>
      <c r="P583" s="446">
        <f ca="1">ROUND(+IF(ISERROR(OFFSET(Tabella!$G$1,MATCH(H583,Tabella!$G:$G,0)-1,MATCH(I583,Tabella!$G$1:$FG$1,0)-1)=TRUE),0,OFFSET(Tabella!$G$1,MATCH(H583,Tabella!$G:$G,0)-1,MATCH(I583,Tabella!$G$1:$AB$1,0)-1)),4)</f>
        <v>0</v>
      </c>
      <c r="Q583" s="446">
        <f ca="1">ROUND(IF(ISERROR(OFFSET(Ottone!$F$1,MATCH(H583,Ottone!$A:$A,0)-1,MATCH(I583,Ottone!$F$1:$FF$1,0)-1)=TRUE),0,OFFSET(Ottone!$F$1,MATCH(H583,Ottone!$A:$A,0)-1,MATCH(I583,Ottone!$F$1:$FF$1,0)-1))*IF(E583="Ottone",1,0),4)</f>
        <v>0</v>
      </c>
      <c r="R583" s="446">
        <f ca="1">ROUND(IF(ISERROR(OFFSET(Rame!$F$1,MATCH(H583,Rame!$F:$F,0)-1,MATCH(I583,Rame!$F$1:$FF$1,0)-1)=TRUE),0,OFFSET(Rame!$F$1,MATCH(H583,Rame!$F:$F,0)-1,MATCH(I583,Rame!$F$1:$FF$1,0)-1))*IF(E583="Rame",1,0),4)</f>
        <v>0</v>
      </c>
      <c r="S583" s="446">
        <f ca="1">ROUND(IF(ISERROR(OFFSET(Bronzo!$A$1,MATCH(H583,Bronzo!$A:$A,0)-1,MATCH(I583,Bronzo!$A$1:$AA$1,0)-1)=TRUE),0,OFFSET(Bronzo!$A$1,MATCH(H583,Bronzo!$A:$A,0)-1,MATCH(I583,Bronzo!$A$1:$AA$1,0)-1)),4)</f>
        <v>0</v>
      </c>
      <c r="T583" s="446">
        <f t="shared" ca="1" si="190"/>
        <v>0</v>
      </c>
      <c r="U583" s="443"/>
      <c r="V583" s="446">
        <v>0</v>
      </c>
      <c r="W583" s="449">
        <f t="shared" ca="1" si="191"/>
        <v>0</v>
      </c>
      <c r="X583" s="452">
        <f t="shared" si="189"/>
        <v>0</v>
      </c>
      <c r="Y583" s="440"/>
      <c r="Z583" s="440">
        <f t="shared" ca="1" si="192"/>
        <v>0</v>
      </c>
      <c r="AA583" s="241"/>
      <c r="AH583" s="242"/>
    </row>
    <row r="584" spans="2:34" ht="15.75" x14ac:dyDescent="0.25">
      <c r="B584" s="229"/>
      <c r="C584" s="235"/>
      <c r="D584" s="243"/>
      <c r="E584" s="232"/>
      <c r="F584" s="435"/>
      <c r="G584" s="234"/>
      <c r="H584" s="235"/>
      <c r="I584" s="235"/>
      <c r="J584" s="440"/>
      <c r="K584" s="443">
        <f ca="1">ROUND(IF(ISERROR(OFFSET(Tabella!$A$1,MATCH(H584,Tabella!$A:$A,0)-1,MATCH(J584,Tabella!$A$1:$AC$1,0)-1)=TRUE),0,+OFFSET(Tabella!$A$1,MATCH(H584,Tabella!$A:$A,0)-1,MATCH(J584,Tabella!$A$1:$AC$1,0)-1)),4)</f>
        <v>0</v>
      </c>
      <c r="L584" s="446">
        <f ca="1">ROUND(IF(ISERROR(OFFSET(Ottone!$A$1,MATCH(H584,Ottone!$A:$A,0)-1,MATCH(J584,Ottone!$A$1:$Z$1,0)-1)=TRUE),0,OFFSET(Ottone!$A$1,MATCH(H584,Ottone!$A:$A,0)-1,MATCH(J584,Ottone!$A$1:$Z$1,0)-1))*IF(E584="Ottone",1,0),4)</f>
        <v>0</v>
      </c>
      <c r="M584" s="446">
        <f ca="1">ROUND(IF(ISERROR(OFFSET(Rame!$A$1,MATCH(H584,Rame!$A:$A,0)-1,MATCH(J584,Rame!$A$1:$AA$1,0)-1)=TRUE),0,OFFSET(Rame!$A$1,MATCH(H584,Rame!$A:$A,0)-1,MATCH(J584,Rame!$A$1:$AA$1,0)-1))*IF(E584="Rame",1,0),4)</f>
        <v>0</v>
      </c>
      <c r="N584" s="446">
        <v>0</v>
      </c>
      <c r="O584" s="446">
        <f t="shared" ca="1" si="193"/>
        <v>0</v>
      </c>
      <c r="P584" s="446">
        <f ca="1">ROUND(+IF(ISERROR(OFFSET(Tabella!$G$1,MATCH(H584,Tabella!$G:$G,0)-1,MATCH(I584,Tabella!$G$1:$FG$1,0)-1)=TRUE),0,OFFSET(Tabella!$G$1,MATCH(H584,Tabella!$G:$G,0)-1,MATCH(I584,Tabella!$G$1:$AB$1,0)-1)),4)</f>
        <v>0</v>
      </c>
      <c r="Q584" s="446">
        <f ca="1">ROUND(IF(ISERROR(OFFSET(Ottone!$F$1,MATCH(H584,Ottone!$A:$A,0)-1,MATCH(I584,Ottone!$F$1:$FF$1,0)-1)=TRUE),0,OFFSET(Ottone!$F$1,MATCH(H584,Ottone!$A:$A,0)-1,MATCH(I584,Ottone!$F$1:$FF$1,0)-1))*IF(E584="Ottone",1,0),4)</f>
        <v>0</v>
      </c>
      <c r="R584" s="446">
        <f ca="1">ROUND(IF(ISERROR(OFFSET(Rame!$F$1,MATCH(H584,Rame!$F:$F,0)-1,MATCH(I584,Rame!$F$1:$FF$1,0)-1)=TRUE),0,OFFSET(Rame!$F$1,MATCH(H584,Rame!$F:$F,0)-1,MATCH(I584,Rame!$F$1:$FF$1,0)-1))*IF(E584="Rame",1,0),4)</f>
        <v>0</v>
      </c>
      <c r="S584" s="446">
        <f ca="1">ROUND(IF(ISERROR(OFFSET(Bronzo!$A$1,MATCH(H584,Bronzo!$A:$A,0)-1,MATCH(I584,Bronzo!$A$1:$AA$1,0)-1)=TRUE),0,OFFSET(Bronzo!$A$1,MATCH(H584,Bronzo!$A:$A,0)-1,MATCH(I584,Bronzo!$A$1:$AA$1,0)-1)),4)</f>
        <v>0</v>
      </c>
      <c r="T584" s="446">
        <f t="shared" ca="1" si="190"/>
        <v>0</v>
      </c>
      <c r="U584" s="443"/>
      <c r="V584" s="446">
        <v>0</v>
      </c>
      <c r="W584" s="449">
        <f t="shared" ca="1" si="191"/>
        <v>0</v>
      </c>
      <c r="X584" s="452">
        <f t="shared" si="189"/>
        <v>0</v>
      </c>
      <c r="Y584" s="440"/>
      <c r="Z584" s="440">
        <f t="shared" ca="1" si="192"/>
        <v>0</v>
      </c>
      <c r="AA584" s="241"/>
      <c r="AH584" s="242"/>
    </row>
    <row r="585" spans="2:34" ht="15.75" x14ac:dyDescent="0.25">
      <c r="B585" s="229"/>
      <c r="C585" s="235"/>
      <c r="D585" s="243"/>
      <c r="E585" s="232"/>
      <c r="F585" s="435"/>
      <c r="G585" s="234"/>
      <c r="H585" s="235"/>
      <c r="I585" s="235"/>
      <c r="J585" s="440"/>
      <c r="K585" s="443">
        <f ca="1">ROUND(IF(ISERROR(OFFSET(Tabella!$A$1,MATCH(H585,Tabella!$A:$A,0)-1,MATCH(J585,Tabella!$A$1:$AC$1,0)-1)=TRUE),0,+OFFSET(Tabella!$A$1,MATCH(H585,Tabella!$A:$A,0)-1,MATCH(J585,Tabella!$A$1:$AC$1,0)-1)),4)</f>
        <v>0</v>
      </c>
      <c r="L585" s="446">
        <f ca="1">ROUND(IF(ISERROR(OFFSET(Ottone!$A$1,MATCH(H585,Ottone!$A:$A,0)-1,MATCH(J585,Ottone!$A$1:$Z$1,0)-1)=TRUE),0,OFFSET(Ottone!$A$1,MATCH(H585,Ottone!$A:$A,0)-1,MATCH(J585,Ottone!$A$1:$Z$1,0)-1))*IF(E585="Ottone",1,0),4)</f>
        <v>0</v>
      </c>
      <c r="M585" s="446">
        <f ca="1">ROUND(IF(ISERROR(OFFSET(Rame!$A$1,MATCH(H585,Rame!$A:$A,0)-1,MATCH(J585,Rame!$A$1:$AA$1,0)-1)=TRUE),0,OFFSET(Rame!$A$1,MATCH(H585,Rame!$A:$A,0)-1,MATCH(J585,Rame!$A$1:$AA$1,0)-1))*IF(E585="Rame",1,0),4)</f>
        <v>0</v>
      </c>
      <c r="N585" s="446">
        <v>0</v>
      </c>
      <c r="O585" s="446">
        <f t="shared" ca="1" si="193"/>
        <v>0</v>
      </c>
      <c r="P585" s="446">
        <f ca="1">ROUND(+IF(ISERROR(OFFSET(Tabella!$G$1,MATCH(H585,Tabella!$G:$G,0)-1,MATCH(I585,Tabella!$G$1:$FG$1,0)-1)=TRUE),0,OFFSET(Tabella!$G$1,MATCH(H585,Tabella!$G:$G,0)-1,MATCH(I585,Tabella!$G$1:$AB$1,0)-1)),4)</f>
        <v>0</v>
      </c>
      <c r="Q585" s="446">
        <f ca="1">ROUND(IF(ISERROR(OFFSET(Ottone!$F$1,MATCH(H585,Ottone!$A:$A,0)-1,MATCH(I585,Ottone!$F$1:$FF$1,0)-1)=TRUE),0,OFFSET(Ottone!$F$1,MATCH(H585,Ottone!$A:$A,0)-1,MATCH(I585,Ottone!$F$1:$FF$1,0)-1))*IF(E585="Ottone",1,0),4)</f>
        <v>0</v>
      </c>
      <c r="R585" s="446">
        <f ca="1">ROUND(IF(ISERROR(OFFSET(Rame!$F$1,MATCH(H585,Rame!$F:$F,0)-1,MATCH(I585,Rame!$F$1:$FF$1,0)-1)=TRUE),0,OFFSET(Rame!$F$1,MATCH(H585,Rame!$F:$F,0)-1,MATCH(I585,Rame!$F$1:$FF$1,0)-1))*IF(E585="Rame",1,0),4)</f>
        <v>0</v>
      </c>
      <c r="S585" s="446">
        <f ca="1">ROUND(IF(ISERROR(OFFSET(Bronzo!$A$1,MATCH(H585,Bronzo!$A:$A,0)-1,MATCH(I585,Bronzo!$A$1:$AA$1,0)-1)=TRUE),0,OFFSET(Bronzo!$A$1,MATCH(H585,Bronzo!$A:$A,0)-1,MATCH(I585,Bronzo!$A$1:$AA$1,0)-1)),4)</f>
        <v>0</v>
      </c>
      <c r="T585" s="446">
        <f t="shared" ca="1" si="190"/>
        <v>0</v>
      </c>
      <c r="U585" s="443"/>
      <c r="V585" s="446">
        <v>0</v>
      </c>
      <c r="W585" s="449">
        <f t="shared" ca="1" si="191"/>
        <v>0</v>
      </c>
      <c r="X585" s="452">
        <f t="shared" si="189"/>
        <v>0</v>
      </c>
      <c r="Y585" s="440"/>
      <c r="Z585" s="440">
        <f t="shared" ca="1" si="192"/>
        <v>0</v>
      </c>
      <c r="AA585" s="241"/>
      <c r="AH585" s="242"/>
    </row>
    <row r="586" spans="2:34" ht="15.75" x14ac:dyDescent="0.25">
      <c r="B586" s="229"/>
      <c r="C586" s="235"/>
      <c r="D586" s="243"/>
      <c r="E586" s="232"/>
      <c r="F586" s="435"/>
      <c r="G586" s="234"/>
      <c r="H586" s="235"/>
      <c r="I586" s="235"/>
      <c r="J586" s="440"/>
      <c r="K586" s="443">
        <f ca="1">ROUND(IF(ISERROR(OFFSET(Tabella!$A$1,MATCH(H586,Tabella!$A:$A,0)-1,MATCH(J586,Tabella!$A$1:$AC$1,0)-1)=TRUE),0,+OFFSET(Tabella!$A$1,MATCH(H586,Tabella!$A:$A,0)-1,MATCH(J586,Tabella!$A$1:$AC$1,0)-1)),4)</f>
        <v>0</v>
      </c>
      <c r="L586" s="446">
        <f ca="1">ROUND(IF(ISERROR(OFFSET(Ottone!$A$1,MATCH(H586,Ottone!$A:$A,0)-1,MATCH(J586,Ottone!$A$1:$Z$1,0)-1)=TRUE),0,OFFSET(Ottone!$A$1,MATCH(H586,Ottone!$A:$A,0)-1,MATCH(J586,Ottone!$A$1:$Z$1,0)-1))*IF(E586="Ottone",1,0),4)</f>
        <v>0</v>
      </c>
      <c r="M586" s="446">
        <f ca="1">ROUND(IF(ISERROR(OFFSET(Rame!$A$1,MATCH(H586,Rame!$A:$A,0)-1,MATCH(J586,Rame!$A$1:$AA$1,0)-1)=TRUE),0,OFFSET(Rame!$A$1,MATCH(H586,Rame!$A:$A,0)-1,MATCH(J586,Rame!$A$1:$AA$1,0)-1))*IF(E586="Rame",1,0),4)</f>
        <v>0</v>
      </c>
      <c r="N586" s="446">
        <v>0</v>
      </c>
      <c r="O586" s="446">
        <f t="shared" ca="1" si="193"/>
        <v>0</v>
      </c>
      <c r="P586" s="446">
        <f ca="1">ROUND(+IF(ISERROR(OFFSET(Tabella!$G$1,MATCH(H586,Tabella!$G:$G,0)-1,MATCH(I586,Tabella!$G$1:$FG$1,0)-1)=TRUE),0,OFFSET(Tabella!$G$1,MATCH(H586,Tabella!$G:$G,0)-1,MATCH(I586,Tabella!$G$1:$AB$1,0)-1)),4)</f>
        <v>0</v>
      </c>
      <c r="Q586" s="446">
        <f ca="1">ROUND(IF(ISERROR(OFFSET(Ottone!$F$1,MATCH(H586,Ottone!$A:$A,0)-1,MATCH(I586,Ottone!$F$1:$FF$1,0)-1)=TRUE),0,OFFSET(Ottone!$F$1,MATCH(H586,Ottone!$A:$A,0)-1,MATCH(I586,Ottone!$F$1:$FF$1,0)-1))*IF(E586="Ottone",1,0),4)</f>
        <v>0</v>
      </c>
      <c r="R586" s="446">
        <f ca="1">ROUND(IF(ISERROR(OFFSET(Rame!$F$1,MATCH(H586,Rame!$F:$F,0)-1,MATCH(I586,Rame!$F$1:$FF$1,0)-1)=TRUE),0,OFFSET(Rame!$F$1,MATCH(H586,Rame!$F:$F,0)-1,MATCH(I586,Rame!$F$1:$FF$1,0)-1))*IF(E586="Rame",1,0),4)</f>
        <v>0</v>
      </c>
      <c r="S586" s="446">
        <f ca="1">ROUND(IF(ISERROR(OFFSET(Bronzo!$A$1,MATCH(H586,Bronzo!$A:$A,0)-1,MATCH(I586,Bronzo!$A$1:$AA$1,0)-1)=TRUE),0,OFFSET(Bronzo!$A$1,MATCH(H586,Bronzo!$A:$A,0)-1,MATCH(I586,Bronzo!$A$1:$AA$1,0)-1)),4)</f>
        <v>0</v>
      </c>
      <c r="T586" s="446">
        <f t="shared" ca="1" si="190"/>
        <v>0</v>
      </c>
      <c r="U586" s="443"/>
      <c r="V586" s="446">
        <v>0</v>
      </c>
      <c r="W586" s="449">
        <f t="shared" ca="1" si="191"/>
        <v>0</v>
      </c>
      <c r="X586" s="452">
        <f t="shared" si="189"/>
        <v>0</v>
      </c>
      <c r="Y586" s="440"/>
      <c r="Z586" s="440">
        <f t="shared" ca="1" si="192"/>
        <v>0</v>
      </c>
      <c r="AA586" s="241"/>
      <c r="AH586" s="242"/>
    </row>
    <row r="587" spans="2:34" ht="15.75" x14ac:dyDescent="0.25">
      <c r="B587" s="229"/>
      <c r="C587" s="235"/>
      <c r="D587" s="243"/>
      <c r="E587" s="232"/>
      <c r="F587" s="435"/>
      <c r="G587" s="234"/>
      <c r="H587" s="235"/>
      <c r="I587" s="235"/>
      <c r="J587" s="440"/>
      <c r="K587" s="443">
        <f ca="1">ROUND(IF(ISERROR(OFFSET(Tabella!$A$1,MATCH(H587,Tabella!$A:$A,0)-1,MATCH(J587,Tabella!$A$1:$AC$1,0)-1)=TRUE),0,+OFFSET(Tabella!$A$1,MATCH(H587,Tabella!$A:$A,0)-1,MATCH(J587,Tabella!$A$1:$AC$1,0)-1)),4)</f>
        <v>0</v>
      </c>
      <c r="L587" s="446">
        <f ca="1">ROUND(IF(ISERROR(OFFSET(Ottone!$A$1,MATCH(H587,Ottone!$A:$A,0)-1,MATCH(J587,Ottone!$A$1:$Z$1,0)-1)=TRUE),0,OFFSET(Ottone!$A$1,MATCH(H587,Ottone!$A:$A,0)-1,MATCH(J587,Ottone!$A$1:$Z$1,0)-1))*IF(E587="Ottone",1,0),4)</f>
        <v>0</v>
      </c>
      <c r="M587" s="446">
        <f ca="1">ROUND(IF(ISERROR(OFFSET(Rame!$A$1,MATCH(H587,Rame!$A:$A,0)-1,MATCH(J587,Rame!$A$1:$AA$1,0)-1)=TRUE),0,OFFSET(Rame!$A$1,MATCH(H587,Rame!$A:$A,0)-1,MATCH(J587,Rame!$A$1:$AA$1,0)-1))*IF(E587="Rame",1,0),4)</f>
        <v>0</v>
      </c>
      <c r="N587" s="446">
        <v>0</v>
      </c>
      <c r="O587" s="446">
        <f t="shared" ca="1" si="193"/>
        <v>0</v>
      </c>
      <c r="P587" s="446">
        <f ca="1">ROUND(+IF(ISERROR(OFFSET(Tabella!$G$1,MATCH(H587,Tabella!$G:$G,0)-1,MATCH(I587,Tabella!$G$1:$FG$1,0)-1)=TRUE),0,OFFSET(Tabella!$G$1,MATCH(H587,Tabella!$G:$G,0)-1,MATCH(I587,Tabella!$G$1:$AB$1,0)-1)),4)</f>
        <v>0</v>
      </c>
      <c r="Q587" s="446">
        <f ca="1">ROUND(IF(ISERROR(OFFSET(Ottone!$F$1,MATCH(H587,Ottone!$A:$A,0)-1,MATCH(I587,Ottone!$F$1:$FF$1,0)-1)=TRUE),0,OFFSET(Ottone!$F$1,MATCH(H587,Ottone!$A:$A,0)-1,MATCH(I587,Ottone!$F$1:$FF$1,0)-1))*IF(E587="Ottone",1,0),4)</f>
        <v>0</v>
      </c>
      <c r="R587" s="446">
        <f ca="1">ROUND(IF(ISERROR(OFFSET(Rame!$F$1,MATCH(H587,Rame!$F:$F,0)-1,MATCH(I587,Rame!$F$1:$FF$1,0)-1)=TRUE),0,OFFSET(Rame!$F$1,MATCH(H587,Rame!$F:$F,0)-1,MATCH(I587,Rame!$F$1:$FF$1,0)-1))*IF(E587="Rame",1,0),4)</f>
        <v>0</v>
      </c>
      <c r="S587" s="446">
        <f ca="1">ROUND(IF(ISERROR(OFFSET(Bronzo!$A$1,MATCH(H587,Bronzo!$A:$A,0)-1,MATCH(I587,Bronzo!$A$1:$AA$1,0)-1)=TRUE),0,OFFSET(Bronzo!$A$1,MATCH(H587,Bronzo!$A:$A,0)-1,MATCH(I587,Bronzo!$A$1:$AA$1,0)-1)),4)</f>
        <v>0</v>
      </c>
      <c r="T587" s="446">
        <f t="shared" ca="1" si="190"/>
        <v>0</v>
      </c>
      <c r="U587" s="443"/>
      <c r="V587" s="446">
        <v>0</v>
      </c>
      <c r="W587" s="449">
        <f t="shared" ca="1" si="191"/>
        <v>0</v>
      </c>
      <c r="X587" s="452">
        <f t="shared" si="189"/>
        <v>0</v>
      </c>
      <c r="Y587" s="440"/>
      <c r="Z587" s="440">
        <f t="shared" ca="1" si="192"/>
        <v>0</v>
      </c>
      <c r="AA587" s="241"/>
      <c r="AH587" s="242"/>
    </row>
    <row r="588" spans="2:34" ht="15.75" x14ac:dyDescent="0.25">
      <c r="B588" s="229"/>
      <c r="C588" s="235"/>
      <c r="D588" s="243"/>
      <c r="E588" s="232"/>
      <c r="F588" s="435"/>
      <c r="G588" s="234"/>
      <c r="H588" s="235"/>
      <c r="I588" s="235"/>
      <c r="J588" s="440"/>
      <c r="K588" s="443">
        <f ca="1">ROUND(IF(ISERROR(OFFSET(Tabella!$A$1,MATCH(H588,Tabella!$A:$A,0)-1,MATCH(J588,Tabella!$A$1:$AC$1,0)-1)=TRUE),0,+OFFSET(Tabella!$A$1,MATCH(H588,Tabella!$A:$A,0)-1,MATCH(J588,Tabella!$A$1:$AC$1,0)-1)),4)</f>
        <v>0</v>
      </c>
      <c r="L588" s="446">
        <f ca="1">ROUND(IF(ISERROR(OFFSET(Ottone!$A$1,MATCH(H588,Ottone!$A:$A,0)-1,MATCH(J588,Ottone!$A$1:$Z$1,0)-1)=TRUE),0,OFFSET(Ottone!$A$1,MATCH(H588,Ottone!$A:$A,0)-1,MATCH(J588,Ottone!$A$1:$Z$1,0)-1))*IF(E588="Ottone",1,0),4)</f>
        <v>0</v>
      </c>
      <c r="M588" s="446">
        <f ca="1">ROUND(IF(ISERROR(OFFSET(Rame!$A$1,MATCH(H588,Rame!$A:$A,0)-1,MATCH(J588,Rame!$A$1:$AA$1,0)-1)=TRUE),0,OFFSET(Rame!$A$1,MATCH(H588,Rame!$A:$A,0)-1,MATCH(J588,Rame!$A$1:$AA$1,0)-1))*IF(E588="Rame",1,0),4)</f>
        <v>0</v>
      </c>
      <c r="N588" s="446">
        <v>0</v>
      </c>
      <c r="O588" s="446">
        <f t="shared" ca="1" si="193"/>
        <v>0</v>
      </c>
      <c r="P588" s="446">
        <f ca="1">ROUND(+IF(ISERROR(OFFSET(Tabella!$G$1,MATCH(H588,Tabella!$G:$G,0)-1,MATCH(I588,Tabella!$G$1:$FG$1,0)-1)=TRUE),0,OFFSET(Tabella!$G$1,MATCH(H588,Tabella!$G:$G,0)-1,MATCH(I588,Tabella!$G$1:$AB$1,0)-1)),4)</f>
        <v>0</v>
      </c>
      <c r="Q588" s="446">
        <f ca="1">ROUND(IF(ISERROR(OFFSET(Ottone!$F$1,MATCH(H588,Ottone!$A:$A,0)-1,MATCH(I588,Ottone!$F$1:$FF$1,0)-1)=TRUE),0,OFFSET(Ottone!$F$1,MATCH(H588,Ottone!$A:$A,0)-1,MATCH(I588,Ottone!$F$1:$FF$1,0)-1))*IF(E588="Ottone",1,0),4)</f>
        <v>0</v>
      </c>
      <c r="R588" s="446">
        <f ca="1">ROUND(IF(ISERROR(OFFSET(Rame!$F$1,MATCH(H588,Rame!$F:$F,0)-1,MATCH(I588,Rame!$F$1:$FF$1,0)-1)=TRUE),0,OFFSET(Rame!$F$1,MATCH(H588,Rame!$F:$F,0)-1,MATCH(I588,Rame!$F$1:$FF$1,0)-1))*IF(E588="Rame",1,0),4)</f>
        <v>0</v>
      </c>
      <c r="S588" s="446">
        <f ca="1">ROUND(IF(ISERROR(OFFSET(Bronzo!$A$1,MATCH(H588,Bronzo!$A:$A,0)-1,MATCH(I588,Bronzo!$A$1:$AA$1,0)-1)=TRUE),0,OFFSET(Bronzo!$A$1,MATCH(H588,Bronzo!$A:$A,0)-1,MATCH(I588,Bronzo!$A$1:$AA$1,0)-1)),4)</f>
        <v>0</v>
      </c>
      <c r="T588" s="446">
        <f t="shared" ca="1" si="190"/>
        <v>0</v>
      </c>
      <c r="U588" s="443"/>
      <c r="V588" s="446">
        <v>0</v>
      </c>
      <c r="W588" s="449">
        <f t="shared" ca="1" si="191"/>
        <v>0</v>
      </c>
      <c r="X588" s="452">
        <f t="shared" si="189"/>
        <v>0</v>
      </c>
      <c r="Y588" s="440"/>
      <c r="Z588" s="440">
        <f t="shared" ca="1" si="192"/>
        <v>0</v>
      </c>
      <c r="AA588" s="241"/>
      <c r="AH588" s="242"/>
    </row>
    <row r="589" spans="2:34" ht="15.75" x14ac:dyDescent="0.25">
      <c r="B589" s="229"/>
      <c r="C589" s="235"/>
      <c r="D589" s="243"/>
      <c r="E589" s="232"/>
      <c r="F589" s="435"/>
      <c r="G589" s="234"/>
      <c r="H589" s="235"/>
      <c r="I589" s="235"/>
      <c r="J589" s="440"/>
      <c r="K589" s="443">
        <f ca="1">ROUND(IF(ISERROR(OFFSET(Tabella!$A$1,MATCH(H589,Tabella!$A:$A,0)-1,MATCH(J589,Tabella!$A$1:$AC$1,0)-1)=TRUE),0,+OFFSET(Tabella!$A$1,MATCH(H589,Tabella!$A:$A,0)-1,MATCH(J589,Tabella!$A$1:$AC$1,0)-1)),4)</f>
        <v>0</v>
      </c>
      <c r="L589" s="446">
        <f ca="1">ROUND(IF(ISERROR(OFFSET(Ottone!$A$1,MATCH(H589,Ottone!$A:$A,0)-1,MATCH(J589,Ottone!$A$1:$Z$1,0)-1)=TRUE),0,OFFSET(Ottone!$A$1,MATCH(H589,Ottone!$A:$A,0)-1,MATCH(J589,Ottone!$A$1:$Z$1,0)-1))*IF(E589="Ottone",1,0),4)</f>
        <v>0</v>
      </c>
      <c r="M589" s="446">
        <f ca="1">ROUND(IF(ISERROR(OFFSET(Rame!$A$1,MATCH(H589,Rame!$A:$A,0)-1,MATCH(J589,Rame!$A$1:$AA$1,0)-1)=TRUE),0,OFFSET(Rame!$A$1,MATCH(H589,Rame!$A:$A,0)-1,MATCH(J589,Rame!$A$1:$AA$1,0)-1))*IF(E589="Rame",1,0),4)</f>
        <v>0</v>
      </c>
      <c r="N589" s="446">
        <v>0</v>
      </c>
      <c r="O589" s="446">
        <f t="shared" ca="1" si="193"/>
        <v>0</v>
      </c>
      <c r="P589" s="446">
        <f ca="1">ROUND(+IF(ISERROR(OFFSET(Tabella!$G$1,MATCH(H589,Tabella!$G:$G,0)-1,MATCH(I589,Tabella!$G$1:$FG$1,0)-1)=TRUE),0,OFFSET(Tabella!$G$1,MATCH(H589,Tabella!$G:$G,0)-1,MATCH(I589,Tabella!$G$1:$AB$1,0)-1)),4)</f>
        <v>0</v>
      </c>
      <c r="Q589" s="446">
        <f ca="1">ROUND(IF(ISERROR(OFFSET(Ottone!$F$1,MATCH(H589,Ottone!$A:$A,0)-1,MATCH(I589,Ottone!$F$1:$FF$1,0)-1)=TRUE),0,OFFSET(Ottone!$F$1,MATCH(H589,Ottone!$A:$A,0)-1,MATCH(I589,Ottone!$F$1:$FF$1,0)-1))*IF(E589="Ottone",1,0),4)</f>
        <v>0</v>
      </c>
      <c r="R589" s="446">
        <f ca="1">ROUND(IF(ISERROR(OFFSET(Rame!$F$1,MATCH(H589,Rame!$F:$F,0)-1,MATCH(I589,Rame!$F$1:$FF$1,0)-1)=TRUE),0,OFFSET(Rame!$F$1,MATCH(H589,Rame!$F:$F,0)-1,MATCH(I589,Rame!$F$1:$FF$1,0)-1))*IF(E589="Rame",1,0),4)</f>
        <v>0</v>
      </c>
      <c r="S589" s="446">
        <f ca="1">ROUND(IF(ISERROR(OFFSET(Bronzo!$A$1,MATCH(H589,Bronzo!$A:$A,0)-1,MATCH(I589,Bronzo!$A$1:$AA$1,0)-1)=TRUE),0,OFFSET(Bronzo!$A$1,MATCH(H589,Bronzo!$A:$A,0)-1,MATCH(I589,Bronzo!$A$1:$AA$1,0)-1)),4)</f>
        <v>0</v>
      </c>
      <c r="T589" s="446">
        <f t="shared" ca="1" si="190"/>
        <v>0</v>
      </c>
      <c r="U589" s="443"/>
      <c r="V589" s="446">
        <v>0</v>
      </c>
      <c r="W589" s="449">
        <f t="shared" ca="1" si="191"/>
        <v>0</v>
      </c>
      <c r="X589" s="452">
        <f t="shared" si="189"/>
        <v>0</v>
      </c>
      <c r="Y589" s="440"/>
      <c r="Z589" s="440">
        <f t="shared" ca="1" si="192"/>
        <v>0</v>
      </c>
      <c r="AA589" s="241"/>
      <c r="AH589" s="242"/>
    </row>
    <row r="590" spans="2:34" ht="15.75" x14ac:dyDescent="0.25">
      <c r="B590" s="229"/>
      <c r="C590" s="235"/>
      <c r="D590" s="243"/>
      <c r="E590" s="232"/>
      <c r="F590" s="435"/>
      <c r="G590" s="234"/>
      <c r="H590" s="235"/>
      <c r="I590" s="235"/>
      <c r="J590" s="440"/>
      <c r="K590" s="443">
        <f ca="1">ROUND(IF(ISERROR(OFFSET(Tabella!$A$1,MATCH(H590,Tabella!$A:$A,0)-1,MATCH(J590,Tabella!$A$1:$AC$1,0)-1)=TRUE),0,+OFFSET(Tabella!$A$1,MATCH(H590,Tabella!$A:$A,0)-1,MATCH(J590,Tabella!$A$1:$AC$1,0)-1)),4)</f>
        <v>0</v>
      </c>
      <c r="L590" s="446">
        <f ca="1">ROUND(IF(ISERROR(OFFSET(Ottone!$A$1,MATCH(H590,Ottone!$A:$A,0)-1,MATCH(J590,Ottone!$A$1:$Z$1,0)-1)=TRUE),0,OFFSET(Ottone!$A$1,MATCH(H590,Ottone!$A:$A,0)-1,MATCH(J590,Ottone!$A$1:$Z$1,0)-1))*IF(E590="Ottone",1,0),4)</f>
        <v>0</v>
      </c>
      <c r="M590" s="446">
        <f ca="1">ROUND(IF(ISERROR(OFFSET(Rame!$A$1,MATCH(H590,Rame!$A:$A,0)-1,MATCH(J590,Rame!$A$1:$AA$1,0)-1)=TRUE),0,OFFSET(Rame!$A$1,MATCH(H590,Rame!$A:$A,0)-1,MATCH(J590,Rame!$A$1:$AA$1,0)-1))*IF(E590="Rame",1,0),4)</f>
        <v>0</v>
      </c>
      <c r="N590" s="446">
        <v>0</v>
      </c>
      <c r="O590" s="446">
        <f t="shared" ca="1" si="193"/>
        <v>0</v>
      </c>
      <c r="P590" s="446">
        <f ca="1">ROUND(+IF(ISERROR(OFFSET(Tabella!$G$1,MATCH(H590,Tabella!$G:$G,0)-1,MATCH(I590,Tabella!$G$1:$FG$1,0)-1)=TRUE),0,OFFSET(Tabella!$G$1,MATCH(H590,Tabella!$G:$G,0)-1,MATCH(I590,Tabella!$G$1:$AB$1,0)-1)),4)</f>
        <v>0</v>
      </c>
      <c r="Q590" s="446">
        <f ca="1">ROUND(IF(ISERROR(OFFSET(Ottone!$F$1,MATCH(H590,Ottone!$A:$A,0)-1,MATCH(I590,Ottone!$F$1:$FF$1,0)-1)=TRUE),0,OFFSET(Ottone!$F$1,MATCH(H590,Ottone!$A:$A,0)-1,MATCH(I590,Ottone!$F$1:$FF$1,0)-1))*IF(E590="Ottone",1,0),4)</f>
        <v>0</v>
      </c>
      <c r="R590" s="446">
        <f ca="1">ROUND(IF(ISERROR(OFFSET(Rame!$F$1,MATCH(H590,Rame!$F:$F,0)-1,MATCH(I590,Rame!$F$1:$FF$1,0)-1)=TRUE),0,OFFSET(Rame!$F$1,MATCH(H590,Rame!$F:$F,0)-1,MATCH(I590,Rame!$F$1:$FF$1,0)-1))*IF(E590="Rame",1,0),4)</f>
        <v>0</v>
      </c>
      <c r="S590" s="446">
        <f ca="1">ROUND(IF(ISERROR(OFFSET(Bronzo!$A$1,MATCH(H590,Bronzo!$A:$A,0)-1,MATCH(I590,Bronzo!$A$1:$AA$1,0)-1)=TRUE),0,OFFSET(Bronzo!$A$1,MATCH(H590,Bronzo!$A:$A,0)-1,MATCH(I590,Bronzo!$A$1:$AA$1,0)-1)),4)</f>
        <v>0</v>
      </c>
      <c r="T590" s="446">
        <f t="shared" ca="1" si="190"/>
        <v>0</v>
      </c>
      <c r="U590" s="443"/>
      <c r="V590" s="446">
        <v>0</v>
      </c>
      <c r="W590" s="449">
        <f t="shared" ca="1" si="191"/>
        <v>0</v>
      </c>
      <c r="X590" s="452">
        <f t="shared" si="189"/>
        <v>0</v>
      </c>
      <c r="Y590" s="440"/>
      <c r="Z590" s="440">
        <f t="shared" ca="1" si="192"/>
        <v>0</v>
      </c>
      <c r="AA590" s="241"/>
      <c r="AH590" s="242"/>
    </row>
    <row r="591" spans="2:34" ht="15.75" x14ac:dyDescent="0.25">
      <c r="B591" s="229"/>
      <c r="C591" s="235"/>
      <c r="D591" s="243"/>
      <c r="E591" s="232"/>
      <c r="F591" s="435"/>
      <c r="G591" s="234"/>
      <c r="H591" s="235"/>
      <c r="I591" s="235"/>
      <c r="J591" s="440"/>
      <c r="K591" s="443">
        <f ca="1">ROUND(IF(ISERROR(OFFSET(Tabella!$A$1,MATCH(H591,Tabella!$A:$A,0)-1,MATCH(J591,Tabella!$A$1:$AC$1,0)-1)=TRUE),0,+OFFSET(Tabella!$A$1,MATCH(H591,Tabella!$A:$A,0)-1,MATCH(J591,Tabella!$A$1:$AC$1,0)-1)),4)</f>
        <v>0</v>
      </c>
      <c r="L591" s="446">
        <f ca="1">ROUND(IF(ISERROR(OFFSET(Ottone!$A$1,MATCH(H591,Ottone!$A:$A,0)-1,MATCH(J591,Ottone!$A$1:$Z$1,0)-1)=TRUE),0,OFFSET(Ottone!$A$1,MATCH(H591,Ottone!$A:$A,0)-1,MATCH(J591,Ottone!$A$1:$Z$1,0)-1))*IF(E591="Ottone",1,0),4)</f>
        <v>0</v>
      </c>
      <c r="M591" s="446">
        <f ca="1">ROUND(IF(ISERROR(OFFSET(Rame!$A$1,MATCH(H591,Rame!$A:$A,0)-1,MATCH(J591,Rame!$A$1:$AA$1,0)-1)=TRUE),0,OFFSET(Rame!$A$1,MATCH(H591,Rame!$A:$A,0)-1,MATCH(J591,Rame!$A$1:$AA$1,0)-1))*IF(E591="Rame",1,0),4)</f>
        <v>0</v>
      </c>
      <c r="N591" s="446">
        <v>0</v>
      </c>
      <c r="O591" s="446">
        <f t="shared" ca="1" si="193"/>
        <v>0</v>
      </c>
      <c r="P591" s="446">
        <f ca="1">ROUND(+IF(ISERROR(OFFSET(Tabella!$G$1,MATCH(H591,Tabella!$G:$G,0)-1,MATCH(I591,Tabella!$G$1:$FG$1,0)-1)=TRUE),0,OFFSET(Tabella!$G$1,MATCH(H591,Tabella!$G:$G,0)-1,MATCH(I591,Tabella!$G$1:$AB$1,0)-1)),4)</f>
        <v>0</v>
      </c>
      <c r="Q591" s="446">
        <f ca="1">ROUND(IF(ISERROR(OFFSET(Ottone!$F$1,MATCH(H591,Ottone!$A:$A,0)-1,MATCH(I591,Ottone!$F$1:$FF$1,0)-1)=TRUE),0,OFFSET(Ottone!$F$1,MATCH(H591,Ottone!$A:$A,0)-1,MATCH(I591,Ottone!$F$1:$FF$1,0)-1))*IF(E591="Ottone",1,0),4)</f>
        <v>0</v>
      </c>
      <c r="R591" s="446">
        <f ca="1">ROUND(IF(ISERROR(OFFSET(Rame!$F$1,MATCH(H591,Rame!$F:$F,0)-1,MATCH(I591,Rame!$F$1:$FF$1,0)-1)=TRUE),0,OFFSET(Rame!$F$1,MATCH(H591,Rame!$F:$F,0)-1,MATCH(I591,Rame!$F$1:$FF$1,0)-1))*IF(E591="Rame",1,0),4)</f>
        <v>0</v>
      </c>
      <c r="S591" s="446">
        <f ca="1">ROUND(IF(ISERROR(OFFSET(Bronzo!$A$1,MATCH(H591,Bronzo!$A:$A,0)-1,MATCH(I591,Bronzo!$A$1:$AA$1,0)-1)=TRUE),0,OFFSET(Bronzo!$A$1,MATCH(H591,Bronzo!$A:$A,0)-1,MATCH(I591,Bronzo!$A$1:$AA$1,0)-1)),4)</f>
        <v>0</v>
      </c>
      <c r="T591" s="446">
        <f t="shared" ca="1" si="190"/>
        <v>0</v>
      </c>
      <c r="U591" s="443"/>
      <c r="V591" s="446">
        <v>0</v>
      </c>
      <c r="W591" s="449">
        <f t="shared" ca="1" si="191"/>
        <v>0</v>
      </c>
      <c r="X591" s="452">
        <f t="shared" si="189"/>
        <v>0</v>
      </c>
      <c r="Y591" s="440"/>
      <c r="Z591" s="440">
        <f t="shared" ca="1" si="192"/>
        <v>0</v>
      </c>
      <c r="AA591" s="241"/>
      <c r="AH591" s="242"/>
    </row>
    <row r="592" spans="2:34" ht="15.75" x14ac:dyDescent="0.25">
      <c r="B592" s="229"/>
      <c r="C592" s="235"/>
      <c r="D592" s="243"/>
      <c r="E592" s="232"/>
      <c r="F592" s="435"/>
      <c r="G592" s="234"/>
      <c r="H592" s="235"/>
      <c r="I592" s="235"/>
      <c r="J592" s="440"/>
      <c r="K592" s="443">
        <f ca="1">ROUND(IF(ISERROR(OFFSET(Tabella!$A$1,MATCH(H592,Tabella!$A:$A,0)-1,MATCH(J592,Tabella!$A$1:$AC$1,0)-1)=TRUE),0,+OFFSET(Tabella!$A$1,MATCH(H592,Tabella!$A:$A,0)-1,MATCH(J592,Tabella!$A$1:$AC$1,0)-1)),4)</f>
        <v>0</v>
      </c>
      <c r="L592" s="446">
        <f ca="1">ROUND(IF(ISERROR(OFFSET(Ottone!$A$1,MATCH(H592,Ottone!$A:$A,0)-1,MATCH(J592,Ottone!$A$1:$Z$1,0)-1)=TRUE),0,OFFSET(Ottone!$A$1,MATCH(H592,Ottone!$A:$A,0)-1,MATCH(J592,Ottone!$A$1:$Z$1,0)-1))*IF(E592="Ottone",1,0),4)</f>
        <v>0</v>
      </c>
      <c r="M592" s="446">
        <f ca="1">ROUND(IF(ISERROR(OFFSET(Rame!$A$1,MATCH(H592,Rame!$A:$A,0)-1,MATCH(J592,Rame!$A$1:$AA$1,0)-1)=TRUE),0,OFFSET(Rame!$A$1,MATCH(H592,Rame!$A:$A,0)-1,MATCH(J592,Rame!$A$1:$AA$1,0)-1))*IF(E592="Rame",1,0),4)</f>
        <v>0</v>
      </c>
      <c r="N592" s="446">
        <v>0</v>
      </c>
      <c r="O592" s="446">
        <f t="shared" ca="1" si="193"/>
        <v>0</v>
      </c>
      <c r="P592" s="446">
        <f ca="1">ROUND(+IF(ISERROR(OFFSET(Tabella!$G$1,MATCH(H592,Tabella!$G:$G,0)-1,MATCH(I592,Tabella!$G$1:$FG$1,0)-1)=TRUE),0,OFFSET(Tabella!$G$1,MATCH(H592,Tabella!$G:$G,0)-1,MATCH(I592,Tabella!$G$1:$AB$1,0)-1)),4)</f>
        <v>0</v>
      </c>
      <c r="Q592" s="446">
        <f ca="1">ROUND(IF(ISERROR(OFFSET(Ottone!$F$1,MATCH(H592,Ottone!$A:$A,0)-1,MATCH(I592,Ottone!$F$1:$FF$1,0)-1)=TRUE),0,OFFSET(Ottone!$F$1,MATCH(H592,Ottone!$A:$A,0)-1,MATCH(I592,Ottone!$F$1:$FF$1,0)-1))*IF(E592="Ottone",1,0),4)</f>
        <v>0</v>
      </c>
      <c r="R592" s="446">
        <f ca="1">ROUND(IF(ISERROR(OFFSET(Rame!$F$1,MATCH(H592,Rame!$F:$F,0)-1,MATCH(I592,Rame!$F$1:$FF$1,0)-1)=TRUE),0,OFFSET(Rame!$F$1,MATCH(H592,Rame!$F:$F,0)-1,MATCH(I592,Rame!$F$1:$FF$1,0)-1))*IF(E592="Rame",1,0),4)</f>
        <v>0</v>
      </c>
      <c r="S592" s="446">
        <f ca="1">ROUND(IF(ISERROR(OFFSET(Bronzo!$A$1,MATCH(H592,Bronzo!$A:$A,0)-1,MATCH(I592,Bronzo!$A$1:$AA$1,0)-1)=TRUE),0,OFFSET(Bronzo!$A$1,MATCH(H592,Bronzo!$A:$A,0)-1,MATCH(I592,Bronzo!$A$1:$AA$1,0)-1)),4)</f>
        <v>0</v>
      </c>
      <c r="T592" s="446">
        <f t="shared" ca="1" si="190"/>
        <v>0</v>
      </c>
      <c r="U592" s="443"/>
      <c r="V592" s="446">
        <v>0</v>
      </c>
      <c r="W592" s="449">
        <f t="shared" ca="1" si="191"/>
        <v>0</v>
      </c>
      <c r="X592" s="452">
        <f t="shared" si="189"/>
        <v>0</v>
      </c>
      <c r="Y592" s="440"/>
      <c r="Z592" s="440">
        <f t="shared" ca="1" si="192"/>
        <v>0</v>
      </c>
      <c r="AA592" s="241"/>
      <c r="AH592" s="242"/>
    </row>
    <row r="593" spans="2:34" ht="15.75" x14ac:dyDescent="0.25">
      <c r="B593" s="229"/>
      <c r="C593" s="235"/>
      <c r="D593" s="243"/>
      <c r="E593" s="232"/>
      <c r="F593" s="435"/>
      <c r="G593" s="234"/>
      <c r="H593" s="235"/>
      <c r="I593" s="235"/>
      <c r="J593" s="440"/>
      <c r="K593" s="443">
        <f ca="1">ROUND(IF(ISERROR(OFFSET(Tabella!$A$1,MATCH(H593,Tabella!$A:$A,0)-1,MATCH(J593,Tabella!$A$1:$AC$1,0)-1)=TRUE),0,+OFFSET(Tabella!$A$1,MATCH(H593,Tabella!$A:$A,0)-1,MATCH(J593,Tabella!$A$1:$AC$1,0)-1)),4)</f>
        <v>0</v>
      </c>
      <c r="L593" s="446">
        <f ca="1">ROUND(IF(ISERROR(OFFSET(Ottone!$A$1,MATCH(H593,Ottone!$A:$A,0)-1,MATCH(J593,Ottone!$A$1:$Z$1,0)-1)=TRUE),0,OFFSET(Ottone!$A$1,MATCH(H593,Ottone!$A:$A,0)-1,MATCH(J593,Ottone!$A$1:$Z$1,0)-1))*IF(E593="Ottone",1,0),4)</f>
        <v>0</v>
      </c>
      <c r="M593" s="446">
        <f ca="1">ROUND(IF(ISERROR(OFFSET(Rame!$A$1,MATCH(H593,Rame!$A:$A,0)-1,MATCH(J593,Rame!$A$1:$AA$1,0)-1)=TRUE),0,OFFSET(Rame!$A$1,MATCH(H593,Rame!$A:$A,0)-1,MATCH(J593,Rame!$A$1:$AA$1,0)-1))*IF(E593="Rame",1,0),4)</f>
        <v>0</v>
      </c>
      <c r="N593" s="446">
        <v>0</v>
      </c>
      <c r="O593" s="446">
        <f t="shared" ca="1" si="193"/>
        <v>0</v>
      </c>
      <c r="P593" s="446">
        <f ca="1">ROUND(+IF(ISERROR(OFFSET(Tabella!$G$1,MATCH(H593,Tabella!$G:$G,0)-1,MATCH(I593,Tabella!$G$1:$FG$1,0)-1)=TRUE),0,OFFSET(Tabella!$G$1,MATCH(H593,Tabella!$G:$G,0)-1,MATCH(I593,Tabella!$G$1:$AB$1,0)-1)),4)</f>
        <v>0</v>
      </c>
      <c r="Q593" s="446">
        <f ca="1">ROUND(IF(ISERROR(OFFSET(Ottone!$F$1,MATCH(H593,Ottone!$A:$A,0)-1,MATCH(I593,Ottone!$F$1:$FF$1,0)-1)=TRUE),0,OFFSET(Ottone!$F$1,MATCH(H593,Ottone!$A:$A,0)-1,MATCH(I593,Ottone!$F$1:$FF$1,0)-1))*IF(E593="Ottone",1,0),4)</f>
        <v>0</v>
      </c>
      <c r="R593" s="446">
        <f ca="1">ROUND(IF(ISERROR(OFFSET(Rame!$F$1,MATCH(H593,Rame!$F:$F,0)-1,MATCH(I593,Rame!$F$1:$FF$1,0)-1)=TRUE),0,OFFSET(Rame!$F$1,MATCH(H593,Rame!$F:$F,0)-1,MATCH(I593,Rame!$F$1:$FF$1,0)-1))*IF(E593="Rame",1,0),4)</f>
        <v>0</v>
      </c>
      <c r="S593" s="446">
        <f ca="1">ROUND(IF(ISERROR(OFFSET(Bronzo!$A$1,MATCH(H593,Bronzo!$A:$A,0)-1,MATCH(I593,Bronzo!$A$1:$AA$1,0)-1)=TRUE),0,OFFSET(Bronzo!$A$1,MATCH(H593,Bronzo!$A:$A,0)-1,MATCH(I593,Bronzo!$A$1:$AA$1,0)-1)),4)</f>
        <v>0</v>
      </c>
      <c r="T593" s="446">
        <f t="shared" ca="1" si="190"/>
        <v>0</v>
      </c>
      <c r="U593" s="443"/>
      <c r="V593" s="446">
        <v>0</v>
      </c>
      <c r="W593" s="449">
        <f t="shared" ca="1" si="191"/>
        <v>0</v>
      </c>
      <c r="X593" s="452">
        <f t="shared" ref="X593:X656" si="194">ROUND(+J593*D593,4)</f>
        <v>0</v>
      </c>
      <c r="Y593" s="440"/>
      <c r="Z593" s="440">
        <f t="shared" ca="1" si="192"/>
        <v>0</v>
      </c>
      <c r="AA593" s="241"/>
      <c r="AH593" s="242"/>
    </row>
    <row r="594" spans="2:34" ht="15.75" x14ac:dyDescent="0.25">
      <c r="B594" s="229"/>
      <c r="C594" s="235"/>
      <c r="D594" s="243"/>
      <c r="E594" s="232"/>
      <c r="F594" s="435"/>
      <c r="G594" s="234"/>
      <c r="H594" s="235"/>
      <c r="I594" s="235"/>
      <c r="J594" s="440"/>
      <c r="K594" s="443">
        <f ca="1">ROUND(IF(ISERROR(OFFSET(Tabella!$A$1,MATCH(H594,Tabella!$A:$A,0)-1,MATCH(J594,Tabella!$A$1:$AC$1,0)-1)=TRUE),0,+OFFSET(Tabella!$A$1,MATCH(H594,Tabella!$A:$A,0)-1,MATCH(J594,Tabella!$A$1:$AC$1,0)-1)),4)</f>
        <v>0</v>
      </c>
      <c r="L594" s="446">
        <f ca="1">ROUND(IF(ISERROR(OFFSET(Ottone!$A$1,MATCH(H594,Ottone!$A:$A,0)-1,MATCH(J594,Ottone!$A$1:$Z$1,0)-1)=TRUE),0,OFFSET(Ottone!$A$1,MATCH(H594,Ottone!$A:$A,0)-1,MATCH(J594,Ottone!$A$1:$Z$1,0)-1))*IF(E594="Ottone",1,0),4)</f>
        <v>0</v>
      </c>
      <c r="M594" s="446">
        <f ca="1">ROUND(IF(ISERROR(OFFSET(Rame!$A$1,MATCH(H594,Rame!$A:$A,0)-1,MATCH(J594,Rame!$A$1:$AA$1,0)-1)=TRUE),0,OFFSET(Rame!$A$1,MATCH(H594,Rame!$A:$A,0)-1,MATCH(J594,Rame!$A$1:$AA$1,0)-1))*IF(E594="Rame",1,0),4)</f>
        <v>0</v>
      </c>
      <c r="N594" s="446">
        <v>0</v>
      </c>
      <c r="O594" s="446">
        <f t="shared" ca="1" si="193"/>
        <v>0</v>
      </c>
      <c r="P594" s="446">
        <f ca="1">ROUND(+IF(ISERROR(OFFSET(Tabella!$G$1,MATCH(H594,Tabella!$G:$G,0)-1,MATCH(I594,Tabella!$G$1:$FG$1,0)-1)=TRUE),0,OFFSET(Tabella!$G$1,MATCH(H594,Tabella!$G:$G,0)-1,MATCH(I594,Tabella!$G$1:$AB$1,0)-1)),4)</f>
        <v>0</v>
      </c>
      <c r="Q594" s="446">
        <f ca="1">ROUND(IF(ISERROR(OFFSET(Ottone!$F$1,MATCH(H594,Ottone!$A:$A,0)-1,MATCH(I594,Ottone!$F$1:$FF$1,0)-1)=TRUE),0,OFFSET(Ottone!$F$1,MATCH(H594,Ottone!$A:$A,0)-1,MATCH(I594,Ottone!$F$1:$FF$1,0)-1))*IF(E594="Ottone",1,0),4)</f>
        <v>0</v>
      </c>
      <c r="R594" s="446">
        <f ca="1">ROUND(IF(ISERROR(OFFSET(Rame!$F$1,MATCH(H594,Rame!$F:$F,0)-1,MATCH(I594,Rame!$F$1:$FF$1,0)-1)=TRUE),0,OFFSET(Rame!$F$1,MATCH(H594,Rame!$F:$F,0)-1,MATCH(I594,Rame!$F$1:$FF$1,0)-1))*IF(E594="Rame",1,0),4)</f>
        <v>0</v>
      </c>
      <c r="S594" s="446">
        <f ca="1">ROUND(IF(ISERROR(OFFSET(Bronzo!$A$1,MATCH(H594,Bronzo!$A:$A,0)-1,MATCH(I594,Bronzo!$A$1:$AA$1,0)-1)=TRUE),0,OFFSET(Bronzo!$A$1,MATCH(H594,Bronzo!$A:$A,0)-1,MATCH(I594,Bronzo!$A$1:$AA$1,0)-1)),4)</f>
        <v>0</v>
      </c>
      <c r="T594" s="446">
        <f t="shared" ca="1" si="190"/>
        <v>0</v>
      </c>
      <c r="U594" s="443"/>
      <c r="V594" s="446">
        <v>0</v>
      </c>
      <c r="W594" s="449">
        <f t="shared" ca="1" si="191"/>
        <v>0</v>
      </c>
      <c r="X594" s="452">
        <f t="shared" si="194"/>
        <v>0</v>
      </c>
      <c r="Y594" s="440"/>
      <c r="Z594" s="440">
        <f t="shared" ca="1" si="192"/>
        <v>0</v>
      </c>
      <c r="AA594" s="241"/>
      <c r="AH594" s="242"/>
    </row>
    <row r="595" spans="2:34" ht="15.75" x14ac:dyDescent="0.25">
      <c r="B595" s="229"/>
      <c r="C595" s="235"/>
      <c r="D595" s="243"/>
      <c r="E595" s="232"/>
      <c r="F595" s="435"/>
      <c r="G595" s="234"/>
      <c r="H595" s="235"/>
      <c r="I595" s="235"/>
      <c r="J595" s="440"/>
      <c r="K595" s="443">
        <f ca="1">ROUND(IF(ISERROR(OFFSET(Tabella!$A$1,MATCH(H595,Tabella!$A:$A,0)-1,MATCH(J595,Tabella!$A$1:$AC$1,0)-1)=TRUE),0,+OFFSET(Tabella!$A$1,MATCH(H595,Tabella!$A:$A,0)-1,MATCH(J595,Tabella!$A$1:$AC$1,0)-1)),4)</f>
        <v>0</v>
      </c>
      <c r="L595" s="446">
        <f ca="1">ROUND(IF(ISERROR(OFFSET(Ottone!$A$1,MATCH(H595,Ottone!$A:$A,0)-1,MATCH(J595,Ottone!$A$1:$Z$1,0)-1)=TRUE),0,OFFSET(Ottone!$A$1,MATCH(H595,Ottone!$A:$A,0)-1,MATCH(J595,Ottone!$A$1:$Z$1,0)-1))*IF(E595="Ottone",1,0),4)</f>
        <v>0</v>
      </c>
      <c r="M595" s="446">
        <f ca="1">ROUND(IF(ISERROR(OFFSET(Rame!$A$1,MATCH(H595,Rame!$A:$A,0)-1,MATCH(J595,Rame!$A$1:$AA$1,0)-1)=TRUE),0,OFFSET(Rame!$A$1,MATCH(H595,Rame!$A:$A,0)-1,MATCH(J595,Rame!$A$1:$AA$1,0)-1))*IF(E595="Rame",1,0),4)</f>
        <v>0</v>
      </c>
      <c r="N595" s="446">
        <v>0</v>
      </c>
      <c r="O595" s="446">
        <f t="shared" ca="1" si="193"/>
        <v>0</v>
      </c>
      <c r="P595" s="446">
        <f ca="1">ROUND(+IF(ISERROR(OFFSET(Tabella!$G$1,MATCH(H595,Tabella!$G:$G,0)-1,MATCH(I595,Tabella!$G$1:$FG$1,0)-1)=TRUE),0,OFFSET(Tabella!$G$1,MATCH(H595,Tabella!$G:$G,0)-1,MATCH(I595,Tabella!$G$1:$AB$1,0)-1)),4)</f>
        <v>0</v>
      </c>
      <c r="Q595" s="446">
        <f ca="1">ROUND(IF(ISERROR(OFFSET(Ottone!$F$1,MATCH(H595,Ottone!$A:$A,0)-1,MATCH(I595,Ottone!$F$1:$FF$1,0)-1)=TRUE),0,OFFSET(Ottone!$F$1,MATCH(H595,Ottone!$A:$A,0)-1,MATCH(I595,Ottone!$F$1:$FF$1,0)-1))*IF(E595="Ottone",1,0),4)</f>
        <v>0</v>
      </c>
      <c r="R595" s="446">
        <f ca="1">ROUND(IF(ISERROR(OFFSET(Rame!$F$1,MATCH(H595,Rame!$F:$F,0)-1,MATCH(I595,Rame!$F$1:$FF$1,0)-1)=TRUE),0,OFFSET(Rame!$F$1,MATCH(H595,Rame!$F:$F,0)-1,MATCH(I595,Rame!$F$1:$FF$1,0)-1))*IF(E595="Rame",1,0),4)</f>
        <v>0</v>
      </c>
      <c r="S595" s="446">
        <f ca="1">ROUND(IF(ISERROR(OFFSET(Bronzo!$A$1,MATCH(H595,Bronzo!$A:$A,0)-1,MATCH(I595,Bronzo!$A$1:$AA$1,0)-1)=TRUE),0,OFFSET(Bronzo!$A$1,MATCH(H595,Bronzo!$A:$A,0)-1,MATCH(I595,Bronzo!$A$1:$AA$1,0)-1)),4)</f>
        <v>0</v>
      </c>
      <c r="T595" s="446">
        <f t="shared" ca="1" si="190"/>
        <v>0</v>
      </c>
      <c r="U595" s="443"/>
      <c r="V595" s="446">
        <v>0</v>
      </c>
      <c r="W595" s="449">
        <f t="shared" ca="1" si="191"/>
        <v>0</v>
      </c>
      <c r="X595" s="452">
        <f t="shared" si="194"/>
        <v>0</v>
      </c>
      <c r="Y595" s="440"/>
      <c r="Z595" s="440">
        <f t="shared" ca="1" si="192"/>
        <v>0</v>
      </c>
      <c r="AA595" s="241"/>
      <c r="AH595" s="242"/>
    </row>
    <row r="596" spans="2:34" ht="15.75" x14ac:dyDescent="0.25">
      <c r="B596" s="229"/>
      <c r="C596" s="235"/>
      <c r="D596" s="243"/>
      <c r="E596" s="232"/>
      <c r="F596" s="435"/>
      <c r="G596" s="234"/>
      <c r="H596" s="235"/>
      <c r="I596" s="235"/>
      <c r="J596" s="440"/>
      <c r="K596" s="443">
        <f ca="1">ROUND(IF(ISERROR(OFFSET(Tabella!$A$1,MATCH(H596,Tabella!$A:$A,0)-1,MATCH(J596,Tabella!$A$1:$AC$1,0)-1)=TRUE),0,+OFFSET(Tabella!$A$1,MATCH(H596,Tabella!$A:$A,0)-1,MATCH(J596,Tabella!$A$1:$AC$1,0)-1)),4)</f>
        <v>0</v>
      </c>
      <c r="L596" s="446">
        <f ca="1">ROUND(IF(ISERROR(OFFSET(Ottone!$A$1,MATCH(H596,Ottone!$A:$A,0)-1,MATCH(J596,Ottone!$A$1:$Z$1,0)-1)=TRUE),0,OFFSET(Ottone!$A$1,MATCH(H596,Ottone!$A:$A,0)-1,MATCH(J596,Ottone!$A$1:$Z$1,0)-1))*IF(E596="Ottone",1,0),4)</f>
        <v>0</v>
      </c>
      <c r="M596" s="446">
        <f ca="1">ROUND(IF(ISERROR(OFFSET(Rame!$A$1,MATCH(H596,Rame!$A:$A,0)-1,MATCH(J596,Rame!$A$1:$AA$1,0)-1)=TRUE),0,OFFSET(Rame!$A$1,MATCH(H596,Rame!$A:$A,0)-1,MATCH(J596,Rame!$A$1:$AA$1,0)-1))*IF(E596="Rame",1,0),4)</f>
        <v>0</v>
      </c>
      <c r="N596" s="446">
        <v>0</v>
      </c>
      <c r="O596" s="446">
        <f t="shared" ca="1" si="193"/>
        <v>0</v>
      </c>
      <c r="P596" s="446">
        <f ca="1">ROUND(+IF(ISERROR(OFFSET(Tabella!$G$1,MATCH(H596,Tabella!$G:$G,0)-1,MATCH(I596,Tabella!$G$1:$FG$1,0)-1)=TRUE),0,OFFSET(Tabella!$G$1,MATCH(H596,Tabella!$G:$G,0)-1,MATCH(I596,Tabella!$G$1:$AB$1,0)-1)),4)</f>
        <v>0</v>
      </c>
      <c r="Q596" s="446">
        <f ca="1">ROUND(IF(ISERROR(OFFSET(Ottone!$F$1,MATCH(H596,Ottone!$A:$A,0)-1,MATCH(I596,Ottone!$F$1:$FF$1,0)-1)=TRUE),0,OFFSET(Ottone!$F$1,MATCH(H596,Ottone!$A:$A,0)-1,MATCH(I596,Ottone!$F$1:$FF$1,0)-1))*IF(E596="Ottone",1,0),4)</f>
        <v>0</v>
      </c>
      <c r="R596" s="446">
        <f ca="1">ROUND(IF(ISERROR(OFFSET(Rame!$F$1,MATCH(H596,Rame!$F:$F,0)-1,MATCH(I596,Rame!$F$1:$FF$1,0)-1)=TRUE),0,OFFSET(Rame!$F$1,MATCH(H596,Rame!$F:$F,0)-1,MATCH(I596,Rame!$F$1:$FF$1,0)-1))*IF(E596="Rame",1,0),4)</f>
        <v>0</v>
      </c>
      <c r="S596" s="446">
        <f ca="1">ROUND(IF(ISERROR(OFFSET(Bronzo!$A$1,MATCH(H596,Bronzo!$A:$A,0)-1,MATCH(I596,Bronzo!$A$1:$AA$1,0)-1)=TRUE),0,OFFSET(Bronzo!$A$1,MATCH(H596,Bronzo!$A:$A,0)-1,MATCH(I596,Bronzo!$A$1:$AA$1,0)-1)),4)</f>
        <v>0</v>
      </c>
      <c r="T596" s="446">
        <f t="shared" ca="1" si="190"/>
        <v>0</v>
      </c>
      <c r="U596" s="443"/>
      <c r="V596" s="446">
        <v>0</v>
      </c>
      <c r="W596" s="449">
        <f t="shared" ca="1" si="191"/>
        <v>0</v>
      </c>
      <c r="X596" s="452">
        <f t="shared" si="194"/>
        <v>0</v>
      </c>
      <c r="Y596" s="440"/>
      <c r="Z596" s="440">
        <f t="shared" ca="1" si="192"/>
        <v>0</v>
      </c>
      <c r="AA596" s="241"/>
      <c r="AH596" s="242"/>
    </row>
    <row r="597" spans="2:34" ht="15.75" x14ac:dyDescent="0.25">
      <c r="B597" s="229"/>
      <c r="C597" s="235"/>
      <c r="D597" s="243"/>
      <c r="E597" s="232"/>
      <c r="F597" s="435"/>
      <c r="G597" s="234"/>
      <c r="H597" s="235"/>
      <c r="I597" s="235"/>
      <c r="J597" s="440"/>
      <c r="K597" s="443">
        <f ca="1">ROUND(IF(ISERROR(OFFSET(Tabella!$A$1,MATCH(H597,Tabella!$A:$A,0)-1,MATCH(J597,Tabella!$A$1:$AC$1,0)-1)=TRUE),0,+OFFSET(Tabella!$A$1,MATCH(H597,Tabella!$A:$A,0)-1,MATCH(J597,Tabella!$A$1:$AC$1,0)-1)),4)</f>
        <v>0</v>
      </c>
      <c r="L597" s="446">
        <f ca="1">ROUND(IF(ISERROR(OFFSET(Ottone!$A$1,MATCH(H597,Ottone!$A:$A,0)-1,MATCH(J597,Ottone!$A$1:$Z$1,0)-1)=TRUE),0,OFFSET(Ottone!$A$1,MATCH(H597,Ottone!$A:$A,0)-1,MATCH(J597,Ottone!$A$1:$Z$1,0)-1))*IF(E597="Ottone",1,0),4)</f>
        <v>0</v>
      </c>
      <c r="M597" s="446">
        <f ca="1">ROUND(IF(ISERROR(OFFSET(Rame!$A$1,MATCH(H597,Rame!$A:$A,0)-1,MATCH(J597,Rame!$A$1:$AA$1,0)-1)=TRUE),0,OFFSET(Rame!$A$1,MATCH(H597,Rame!$A:$A,0)-1,MATCH(J597,Rame!$A$1:$AA$1,0)-1))*IF(E597="Rame",1,0),4)</f>
        <v>0</v>
      </c>
      <c r="N597" s="446">
        <v>0</v>
      </c>
      <c r="O597" s="446">
        <f t="shared" ca="1" si="193"/>
        <v>0</v>
      </c>
      <c r="P597" s="446">
        <f ca="1">ROUND(+IF(ISERROR(OFFSET(Tabella!$G$1,MATCH(H597,Tabella!$G:$G,0)-1,MATCH(I597,Tabella!$G$1:$FG$1,0)-1)=TRUE),0,OFFSET(Tabella!$G$1,MATCH(H597,Tabella!$G:$G,0)-1,MATCH(I597,Tabella!$G$1:$AB$1,0)-1)),4)</f>
        <v>0</v>
      </c>
      <c r="Q597" s="446">
        <f ca="1">ROUND(IF(ISERROR(OFFSET(Ottone!$F$1,MATCH(H597,Ottone!$A:$A,0)-1,MATCH(I597,Ottone!$F$1:$FF$1,0)-1)=TRUE),0,OFFSET(Ottone!$F$1,MATCH(H597,Ottone!$A:$A,0)-1,MATCH(I597,Ottone!$F$1:$FF$1,0)-1))*IF(E597="Ottone",1,0),4)</f>
        <v>0</v>
      </c>
      <c r="R597" s="446">
        <f ca="1">ROUND(IF(ISERROR(OFFSET(Rame!$F$1,MATCH(H597,Rame!$F:$F,0)-1,MATCH(I597,Rame!$F$1:$FF$1,0)-1)=TRUE),0,OFFSET(Rame!$F$1,MATCH(H597,Rame!$F:$F,0)-1,MATCH(I597,Rame!$F$1:$FF$1,0)-1))*IF(E597="Rame",1,0),4)</f>
        <v>0</v>
      </c>
      <c r="S597" s="446">
        <f ca="1">ROUND(IF(ISERROR(OFFSET(Bronzo!$A$1,MATCH(H597,Bronzo!$A:$A,0)-1,MATCH(I597,Bronzo!$A$1:$AA$1,0)-1)=TRUE),0,OFFSET(Bronzo!$A$1,MATCH(H597,Bronzo!$A:$A,0)-1,MATCH(I597,Bronzo!$A$1:$AA$1,0)-1)),4)</f>
        <v>0</v>
      </c>
      <c r="T597" s="446">
        <f t="shared" ca="1" si="190"/>
        <v>0</v>
      </c>
      <c r="U597" s="443"/>
      <c r="V597" s="446">
        <v>0</v>
      </c>
      <c r="W597" s="449">
        <f t="shared" ca="1" si="191"/>
        <v>0</v>
      </c>
      <c r="X597" s="452">
        <f t="shared" si="194"/>
        <v>0</v>
      </c>
      <c r="Y597" s="440"/>
      <c r="Z597" s="440">
        <f t="shared" ca="1" si="192"/>
        <v>0</v>
      </c>
      <c r="AA597" s="241"/>
      <c r="AH597" s="242"/>
    </row>
    <row r="598" spans="2:34" ht="15.75" x14ac:dyDescent="0.25">
      <c r="B598" s="229"/>
      <c r="C598" s="235"/>
      <c r="D598" s="243"/>
      <c r="E598" s="232"/>
      <c r="F598" s="435"/>
      <c r="G598" s="234"/>
      <c r="H598" s="235"/>
      <c r="I598" s="235"/>
      <c r="J598" s="440"/>
      <c r="K598" s="443">
        <f ca="1">ROUND(IF(ISERROR(OFFSET(Tabella!$A$1,MATCH(H598,Tabella!$A:$A,0)-1,MATCH(J598,Tabella!$A$1:$AC$1,0)-1)=TRUE),0,+OFFSET(Tabella!$A$1,MATCH(H598,Tabella!$A:$A,0)-1,MATCH(J598,Tabella!$A$1:$AC$1,0)-1)),4)</f>
        <v>0</v>
      </c>
      <c r="L598" s="446">
        <f ca="1">ROUND(IF(ISERROR(OFFSET(Ottone!$A$1,MATCH(H598,Ottone!$A:$A,0)-1,MATCH(J598,Ottone!$A$1:$Z$1,0)-1)=TRUE),0,OFFSET(Ottone!$A$1,MATCH(H598,Ottone!$A:$A,0)-1,MATCH(J598,Ottone!$A$1:$Z$1,0)-1))*IF(E598="Ottone",1,0),4)</f>
        <v>0</v>
      </c>
      <c r="M598" s="446">
        <f ca="1">ROUND(IF(ISERROR(OFFSET(Rame!$A$1,MATCH(H598,Rame!$A:$A,0)-1,MATCH(J598,Rame!$A$1:$AA$1,0)-1)=TRUE),0,OFFSET(Rame!$A$1,MATCH(H598,Rame!$A:$A,0)-1,MATCH(J598,Rame!$A$1:$AA$1,0)-1))*IF(E598="Rame",1,0),4)</f>
        <v>0</v>
      </c>
      <c r="N598" s="446">
        <v>0</v>
      </c>
      <c r="O598" s="446">
        <f t="shared" ca="1" si="193"/>
        <v>0</v>
      </c>
      <c r="P598" s="446">
        <f ca="1">ROUND(+IF(ISERROR(OFFSET(Tabella!$G$1,MATCH(H598,Tabella!$G:$G,0)-1,MATCH(I598,Tabella!$G$1:$FG$1,0)-1)=TRUE),0,OFFSET(Tabella!$G$1,MATCH(H598,Tabella!$G:$G,0)-1,MATCH(I598,Tabella!$G$1:$AB$1,0)-1)),4)</f>
        <v>0</v>
      </c>
      <c r="Q598" s="446">
        <f ca="1">ROUND(IF(ISERROR(OFFSET(Ottone!$F$1,MATCH(H598,Ottone!$A:$A,0)-1,MATCH(I598,Ottone!$F$1:$FF$1,0)-1)=TRUE),0,OFFSET(Ottone!$F$1,MATCH(H598,Ottone!$A:$A,0)-1,MATCH(I598,Ottone!$F$1:$FF$1,0)-1))*IF(E598="Ottone",1,0),4)</f>
        <v>0</v>
      </c>
      <c r="R598" s="446">
        <f ca="1">ROUND(IF(ISERROR(OFFSET(Rame!$F$1,MATCH(H598,Rame!$F:$F,0)-1,MATCH(I598,Rame!$F$1:$FF$1,0)-1)=TRUE),0,OFFSET(Rame!$F$1,MATCH(H598,Rame!$F:$F,0)-1,MATCH(I598,Rame!$F$1:$FF$1,0)-1))*IF(E598="Rame",1,0),4)</f>
        <v>0</v>
      </c>
      <c r="S598" s="446">
        <f ca="1">ROUND(IF(ISERROR(OFFSET(Bronzo!$A$1,MATCH(H598,Bronzo!$A:$A,0)-1,MATCH(I598,Bronzo!$A$1:$AA$1,0)-1)=TRUE),0,OFFSET(Bronzo!$A$1,MATCH(H598,Bronzo!$A:$A,0)-1,MATCH(I598,Bronzo!$A$1:$AA$1,0)-1)),4)</f>
        <v>0</v>
      </c>
      <c r="T598" s="446">
        <f t="shared" ca="1" si="190"/>
        <v>0</v>
      </c>
      <c r="U598" s="443"/>
      <c r="V598" s="446">
        <v>0</v>
      </c>
      <c r="W598" s="449">
        <f t="shared" ca="1" si="191"/>
        <v>0</v>
      </c>
      <c r="X598" s="452">
        <f t="shared" si="194"/>
        <v>0</v>
      </c>
      <c r="Y598" s="440"/>
      <c r="Z598" s="440">
        <f t="shared" ca="1" si="192"/>
        <v>0</v>
      </c>
      <c r="AA598" s="241"/>
      <c r="AH598" s="242"/>
    </row>
    <row r="599" spans="2:34" ht="15.75" x14ac:dyDescent="0.25">
      <c r="B599" s="229"/>
      <c r="C599" s="235"/>
      <c r="D599" s="243"/>
      <c r="E599" s="232"/>
      <c r="F599" s="435"/>
      <c r="G599" s="234"/>
      <c r="H599" s="235"/>
      <c r="I599" s="235"/>
      <c r="J599" s="440"/>
      <c r="K599" s="443">
        <f ca="1">ROUND(IF(ISERROR(OFFSET(Tabella!$A$1,MATCH(H599,Tabella!$A:$A,0)-1,MATCH(J599,Tabella!$A$1:$AC$1,0)-1)=TRUE),0,+OFFSET(Tabella!$A$1,MATCH(H599,Tabella!$A:$A,0)-1,MATCH(J599,Tabella!$A$1:$AC$1,0)-1)),4)</f>
        <v>0</v>
      </c>
      <c r="L599" s="446">
        <f ca="1">ROUND(IF(ISERROR(OFFSET(Ottone!$A$1,MATCH(H599,Ottone!$A:$A,0)-1,MATCH(J599,Ottone!$A$1:$Z$1,0)-1)=TRUE),0,OFFSET(Ottone!$A$1,MATCH(H599,Ottone!$A:$A,0)-1,MATCH(J599,Ottone!$A$1:$Z$1,0)-1))*IF(E599="Ottone",1,0),4)</f>
        <v>0</v>
      </c>
      <c r="M599" s="446">
        <f ca="1">ROUND(IF(ISERROR(OFFSET(Rame!$A$1,MATCH(H599,Rame!$A:$A,0)-1,MATCH(J599,Rame!$A$1:$AA$1,0)-1)=TRUE),0,OFFSET(Rame!$A$1,MATCH(H599,Rame!$A:$A,0)-1,MATCH(J599,Rame!$A$1:$AA$1,0)-1))*IF(E599="Rame",1,0),4)</f>
        <v>0</v>
      </c>
      <c r="N599" s="446">
        <v>0</v>
      </c>
      <c r="O599" s="446">
        <f t="shared" ca="1" si="193"/>
        <v>0</v>
      </c>
      <c r="P599" s="446">
        <f ca="1">ROUND(+IF(ISERROR(OFFSET(Tabella!$G$1,MATCH(H599,Tabella!$G:$G,0)-1,MATCH(I599,Tabella!$G$1:$FG$1,0)-1)=TRUE),0,OFFSET(Tabella!$G$1,MATCH(H599,Tabella!$G:$G,0)-1,MATCH(I599,Tabella!$G$1:$AB$1,0)-1)),4)</f>
        <v>0</v>
      </c>
      <c r="Q599" s="446">
        <f ca="1">ROUND(IF(ISERROR(OFFSET(Ottone!$F$1,MATCH(H599,Ottone!$A:$A,0)-1,MATCH(I599,Ottone!$F$1:$FF$1,0)-1)=TRUE),0,OFFSET(Ottone!$F$1,MATCH(H599,Ottone!$A:$A,0)-1,MATCH(I599,Ottone!$F$1:$FF$1,0)-1))*IF(E599="Ottone",1,0),4)</f>
        <v>0</v>
      </c>
      <c r="R599" s="446">
        <f ca="1">ROUND(IF(ISERROR(OFFSET(Rame!$F$1,MATCH(H599,Rame!$F:$F,0)-1,MATCH(I599,Rame!$F$1:$FF$1,0)-1)=TRUE),0,OFFSET(Rame!$F$1,MATCH(H599,Rame!$F:$F,0)-1,MATCH(I599,Rame!$F$1:$FF$1,0)-1))*IF(E599="Rame",1,0),4)</f>
        <v>0</v>
      </c>
      <c r="S599" s="446">
        <f ca="1">ROUND(IF(ISERROR(OFFSET(Bronzo!$A$1,MATCH(H599,Bronzo!$A:$A,0)-1,MATCH(I599,Bronzo!$A$1:$AA$1,0)-1)=TRUE),0,OFFSET(Bronzo!$A$1,MATCH(H599,Bronzo!$A:$A,0)-1,MATCH(I599,Bronzo!$A$1:$AA$1,0)-1)),4)</f>
        <v>0</v>
      </c>
      <c r="T599" s="446">
        <f t="shared" ref="T599:T662" ca="1" si="195">ROUND(SUM(P599:S599),4)</f>
        <v>0</v>
      </c>
      <c r="U599" s="443"/>
      <c r="V599" s="446">
        <v>0</v>
      </c>
      <c r="W599" s="449">
        <f t="shared" ref="W599:W662" ca="1" si="196">ROUND(+O599+T599+U599+V599,4)</f>
        <v>0</v>
      </c>
      <c r="X599" s="452">
        <f t="shared" si="194"/>
        <v>0</v>
      </c>
      <c r="Y599" s="440"/>
      <c r="Z599" s="440">
        <f t="shared" ref="Z599:Z662" ca="1" si="197">ROUND(+Y599-W599-F599,4)</f>
        <v>0</v>
      </c>
      <c r="AA599" s="241"/>
      <c r="AH599" s="242"/>
    </row>
    <row r="600" spans="2:34" ht="15.75" x14ac:dyDescent="0.25">
      <c r="B600" s="229"/>
      <c r="C600" s="235"/>
      <c r="D600" s="243"/>
      <c r="E600" s="232"/>
      <c r="F600" s="435"/>
      <c r="G600" s="234"/>
      <c r="H600" s="235"/>
      <c r="I600" s="235"/>
      <c r="J600" s="440"/>
      <c r="K600" s="443">
        <f ca="1">ROUND(IF(ISERROR(OFFSET(Tabella!$A$1,MATCH(H600,Tabella!$A:$A,0)-1,MATCH(J600,Tabella!$A$1:$AC$1,0)-1)=TRUE),0,+OFFSET(Tabella!$A$1,MATCH(H600,Tabella!$A:$A,0)-1,MATCH(J600,Tabella!$A$1:$AC$1,0)-1)),4)</f>
        <v>0</v>
      </c>
      <c r="L600" s="446">
        <f ca="1">ROUND(IF(ISERROR(OFFSET(Ottone!$A$1,MATCH(H600,Ottone!$A:$A,0)-1,MATCH(J600,Ottone!$A$1:$Z$1,0)-1)=TRUE),0,OFFSET(Ottone!$A$1,MATCH(H600,Ottone!$A:$A,0)-1,MATCH(J600,Ottone!$A$1:$Z$1,0)-1))*IF(E600="Ottone",1,0),4)</f>
        <v>0</v>
      </c>
      <c r="M600" s="446">
        <f ca="1">ROUND(IF(ISERROR(OFFSET(Rame!$A$1,MATCH(H600,Rame!$A:$A,0)-1,MATCH(J600,Rame!$A$1:$AA$1,0)-1)=TRUE),0,OFFSET(Rame!$A$1,MATCH(H600,Rame!$A:$A,0)-1,MATCH(J600,Rame!$A$1:$AA$1,0)-1))*IF(E600="Rame",1,0),4)</f>
        <v>0</v>
      </c>
      <c r="N600" s="446">
        <v>0</v>
      </c>
      <c r="O600" s="446">
        <f t="shared" ca="1" si="193"/>
        <v>0</v>
      </c>
      <c r="P600" s="446">
        <f ca="1">ROUND(+IF(ISERROR(OFFSET(Tabella!$G$1,MATCH(H600,Tabella!$G:$G,0)-1,MATCH(I600,Tabella!$G$1:$FG$1,0)-1)=TRUE),0,OFFSET(Tabella!$G$1,MATCH(H600,Tabella!$G:$G,0)-1,MATCH(I600,Tabella!$G$1:$AB$1,0)-1)),4)</f>
        <v>0</v>
      </c>
      <c r="Q600" s="446">
        <f ca="1">ROUND(IF(ISERROR(OFFSET(Ottone!$F$1,MATCH(H600,Ottone!$A:$A,0)-1,MATCH(I600,Ottone!$F$1:$FF$1,0)-1)=TRUE),0,OFFSET(Ottone!$F$1,MATCH(H600,Ottone!$A:$A,0)-1,MATCH(I600,Ottone!$F$1:$FF$1,0)-1))*IF(E600="Ottone",1,0),4)</f>
        <v>0</v>
      </c>
      <c r="R600" s="446">
        <f ca="1">ROUND(IF(ISERROR(OFFSET(Rame!$F$1,MATCH(H600,Rame!$F:$F,0)-1,MATCH(I600,Rame!$F$1:$FF$1,0)-1)=TRUE),0,OFFSET(Rame!$F$1,MATCH(H600,Rame!$F:$F,0)-1,MATCH(I600,Rame!$F$1:$FF$1,0)-1))*IF(E600="Rame",1,0),4)</f>
        <v>0</v>
      </c>
      <c r="S600" s="446">
        <f ca="1">ROUND(IF(ISERROR(OFFSET(Bronzo!$A$1,MATCH(H600,Bronzo!$A:$A,0)-1,MATCH(I600,Bronzo!$A$1:$AA$1,0)-1)=TRUE),0,OFFSET(Bronzo!$A$1,MATCH(H600,Bronzo!$A:$A,0)-1,MATCH(I600,Bronzo!$A$1:$AA$1,0)-1)),4)</f>
        <v>0</v>
      </c>
      <c r="T600" s="446">
        <f t="shared" ca="1" si="195"/>
        <v>0</v>
      </c>
      <c r="U600" s="443"/>
      <c r="V600" s="446">
        <v>0</v>
      </c>
      <c r="W600" s="449">
        <f t="shared" ca="1" si="196"/>
        <v>0</v>
      </c>
      <c r="X600" s="452">
        <f t="shared" si="194"/>
        <v>0</v>
      </c>
      <c r="Y600" s="440"/>
      <c r="Z600" s="440">
        <f t="shared" ca="1" si="197"/>
        <v>0</v>
      </c>
      <c r="AA600" s="241"/>
      <c r="AH600" s="242"/>
    </row>
    <row r="601" spans="2:34" ht="15.75" x14ac:dyDescent="0.25">
      <c r="B601" s="229"/>
      <c r="C601" s="235"/>
      <c r="D601" s="243"/>
      <c r="E601" s="232"/>
      <c r="F601" s="435"/>
      <c r="G601" s="234"/>
      <c r="H601" s="235"/>
      <c r="I601" s="235"/>
      <c r="J601" s="440"/>
      <c r="K601" s="443">
        <f ca="1">ROUND(IF(ISERROR(OFFSET(Tabella!$A$1,MATCH(H601,Tabella!$A:$A,0)-1,MATCH(J601,Tabella!$A$1:$AC$1,0)-1)=TRUE),0,+OFFSET(Tabella!$A$1,MATCH(H601,Tabella!$A:$A,0)-1,MATCH(J601,Tabella!$A$1:$AC$1,0)-1)),4)</f>
        <v>0</v>
      </c>
      <c r="L601" s="446">
        <f ca="1">ROUND(IF(ISERROR(OFFSET(Ottone!$A$1,MATCH(H601,Ottone!$A:$A,0)-1,MATCH(J601,Ottone!$A$1:$Z$1,0)-1)=TRUE),0,OFFSET(Ottone!$A$1,MATCH(H601,Ottone!$A:$A,0)-1,MATCH(J601,Ottone!$A$1:$Z$1,0)-1))*IF(E601="Ottone",1,0),4)</f>
        <v>0</v>
      </c>
      <c r="M601" s="446">
        <f ca="1">ROUND(IF(ISERROR(OFFSET(Rame!$A$1,MATCH(H601,Rame!$A:$A,0)-1,MATCH(J601,Rame!$A$1:$AA$1,0)-1)=TRUE),0,OFFSET(Rame!$A$1,MATCH(H601,Rame!$A:$A,0)-1,MATCH(J601,Rame!$A$1:$AA$1,0)-1))*IF(E601="Rame",1,0),4)</f>
        <v>0</v>
      </c>
      <c r="N601" s="446">
        <v>0</v>
      </c>
      <c r="O601" s="446">
        <f t="shared" ca="1" si="193"/>
        <v>0</v>
      </c>
      <c r="P601" s="446">
        <f ca="1">ROUND(+IF(ISERROR(OFFSET(Tabella!$G$1,MATCH(H601,Tabella!$G:$G,0)-1,MATCH(I601,Tabella!$G$1:$FG$1,0)-1)=TRUE),0,OFFSET(Tabella!$G$1,MATCH(H601,Tabella!$G:$G,0)-1,MATCH(I601,Tabella!$G$1:$AB$1,0)-1)),4)</f>
        <v>0</v>
      </c>
      <c r="Q601" s="446">
        <f ca="1">ROUND(IF(ISERROR(OFFSET(Ottone!$F$1,MATCH(H601,Ottone!$A:$A,0)-1,MATCH(I601,Ottone!$F$1:$FF$1,0)-1)=TRUE),0,OFFSET(Ottone!$F$1,MATCH(H601,Ottone!$A:$A,0)-1,MATCH(I601,Ottone!$F$1:$FF$1,0)-1))*IF(E601="Ottone",1,0),4)</f>
        <v>0</v>
      </c>
      <c r="R601" s="446">
        <f ca="1">ROUND(IF(ISERROR(OFFSET(Rame!$F$1,MATCH(H601,Rame!$F:$F,0)-1,MATCH(I601,Rame!$F$1:$FF$1,0)-1)=TRUE),0,OFFSET(Rame!$F$1,MATCH(H601,Rame!$F:$F,0)-1,MATCH(I601,Rame!$F$1:$FF$1,0)-1))*IF(E601="Rame",1,0),4)</f>
        <v>0</v>
      </c>
      <c r="S601" s="446">
        <f ca="1">ROUND(IF(ISERROR(OFFSET(Bronzo!$A$1,MATCH(H601,Bronzo!$A:$A,0)-1,MATCH(I601,Bronzo!$A$1:$AA$1,0)-1)=TRUE),0,OFFSET(Bronzo!$A$1,MATCH(H601,Bronzo!$A:$A,0)-1,MATCH(I601,Bronzo!$A$1:$AA$1,0)-1)),4)</f>
        <v>0</v>
      </c>
      <c r="T601" s="446">
        <f t="shared" ca="1" si="195"/>
        <v>0</v>
      </c>
      <c r="U601" s="443"/>
      <c r="V601" s="446">
        <v>0</v>
      </c>
      <c r="W601" s="449">
        <f t="shared" ca="1" si="196"/>
        <v>0</v>
      </c>
      <c r="X601" s="452">
        <f t="shared" si="194"/>
        <v>0</v>
      </c>
      <c r="Y601" s="440"/>
      <c r="Z601" s="440">
        <f t="shared" ca="1" si="197"/>
        <v>0</v>
      </c>
      <c r="AA601" s="241"/>
      <c r="AH601" s="242"/>
    </row>
    <row r="602" spans="2:34" ht="15.75" x14ac:dyDescent="0.25">
      <c r="B602" s="229"/>
      <c r="C602" s="235"/>
      <c r="D602" s="243"/>
      <c r="E602" s="232"/>
      <c r="F602" s="435"/>
      <c r="G602" s="234"/>
      <c r="H602" s="235"/>
      <c r="I602" s="235"/>
      <c r="J602" s="440"/>
      <c r="K602" s="443">
        <f ca="1">ROUND(IF(ISERROR(OFFSET(Tabella!$A$1,MATCH(H602,Tabella!$A:$A,0)-1,MATCH(J602,Tabella!$A$1:$AC$1,0)-1)=TRUE),0,+OFFSET(Tabella!$A$1,MATCH(H602,Tabella!$A:$A,0)-1,MATCH(J602,Tabella!$A$1:$AC$1,0)-1)),4)</f>
        <v>0</v>
      </c>
      <c r="L602" s="446">
        <f ca="1">ROUND(IF(ISERROR(OFFSET(Ottone!$A$1,MATCH(H602,Ottone!$A:$A,0)-1,MATCH(J602,Ottone!$A$1:$Z$1,0)-1)=TRUE),0,OFFSET(Ottone!$A$1,MATCH(H602,Ottone!$A:$A,0)-1,MATCH(J602,Ottone!$A$1:$Z$1,0)-1))*IF(E602="Ottone",1,0),4)</f>
        <v>0</v>
      </c>
      <c r="M602" s="446">
        <f ca="1">ROUND(IF(ISERROR(OFFSET(Rame!$A$1,MATCH(H602,Rame!$A:$A,0)-1,MATCH(J602,Rame!$A$1:$AA$1,0)-1)=TRUE),0,OFFSET(Rame!$A$1,MATCH(H602,Rame!$A:$A,0)-1,MATCH(J602,Rame!$A$1:$AA$1,0)-1))*IF(E602="Rame",1,0),4)</f>
        <v>0</v>
      </c>
      <c r="N602" s="446">
        <v>0</v>
      </c>
      <c r="O602" s="446">
        <f t="shared" ca="1" si="193"/>
        <v>0</v>
      </c>
      <c r="P602" s="446">
        <f ca="1">ROUND(+IF(ISERROR(OFFSET(Tabella!$G$1,MATCH(H602,Tabella!$G:$G,0)-1,MATCH(I602,Tabella!$G$1:$FG$1,0)-1)=TRUE),0,OFFSET(Tabella!$G$1,MATCH(H602,Tabella!$G:$G,0)-1,MATCH(I602,Tabella!$G$1:$AB$1,0)-1)),4)</f>
        <v>0</v>
      </c>
      <c r="Q602" s="446">
        <f ca="1">ROUND(IF(ISERROR(OFFSET(Ottone!$F$1,MATCH(H602,Ottone!$A:$A,0)-1,MATCH(I602,Ottone!$F$1:$FF$1,0)-1)=TRUE),0,OFFSET(Ottone!$F$1,MATCH(H602,Ottone!$A:$A,0)-1,MATCH(I602,Ottone!$F$1:$FF$1,0)-1))*IF(E602="Ottone",1,0),4)</f>
        <v>0</v>
      </c>
      <c r="R602" s="446">
        <f ca="1">ROUND(IF(ISERROR(OFFSET(Rame!$F$1,MATCH(H602,Rame!$F:$F,0)-1,MATCH(I602,Rame!$F$1:$FF$1,0)-1)=TRUE),0,OFFSET(Rame!$F$1,MATCH(H602,Rame!$F:$F,0)-1,MATCH(I602,Rame!$F$1:$FF$1,0)-1))*IF(E602="Rame",1,0),4)</f>
        <v>0</v>
      </c>
      <c r="S602" s="446">
        <f ca="1">ROUND(IF(ISERROR(OFFSET(Bronzo!$A$1,MATCH(H602,Bronzo!$A:$A,0)-1,MATCH(I602,Bronzo!$A$1:$AA$1,0)-1)=TRUE),0,OFFSET(Bronzo!$A$1,MATCH(H602,Bronzo!$A:$A,0)-1,MATCH(I602,Bronzo!$A$1:$AA$1,0)-1)),4)</f>
        <v>0</v>
      </c>
      <c r="T602" s="446">
        <f t="shared" ca="1" si="195"/>
        <v>0</v>
      </c>
      <c r="U602" s="443"/>
      <c r="V602" s="446">
        <v>0</v>
      </c>
      <c r="W602" s="449">
        <f t="shared" ca="1" si="196"/>
        <v>0</v>
      </c>
      <c r="X602" s="452">
        <f t="shared" si="194"/>
        <v>0</v>
      </c>
      <c r="Y602" s="440"/>
      <c r="Z602" s="440">
        <f t="shared" ca="1" si="197"/>
        <v>0</v>
      </c>
      <c r="AA602" s="241"/>
      <c r="AH602" s="242"/>
    </row>
    <row r="603" spans="2:34" ht="15.75" x14ac:dyDescent="0.25">
      <c r="B603" s="229"/>
      <c r="C603" s="235"/>
      <c r="D603" s="243"/>
      <c r="E603" s="232"/>
      <c r="F603" s="435"/>
      <c r="G603" s="234"/>
      <c r="H603" s="235"/>
      <c r="I603" s="235"/>
      <c r="J603" s="440"/>
      <c r="K603" s="443">
        <f ca="1">ROUND(IF(ISERROR(OFFSET(Tabella!$A$1,MATCH(H603,Tabella!$A:$A,0)-1,MATCH(J603,Tabella!$A$1:$AC$1,0)-1)=TRUE),0,+OFFSET(Tabella!$A$1,MATCH(H603,Tabella!$A:$A,0)-1,MATCH(J603,Tabella!$A$1:$AC$1,0)-1)),4)</f>
        <v>0</v>
      </c>
      <c r="L603" s="446">
        <f ca="1">ROUND(IF(ISERROR(OFFSET(Ottone!$A$1,MATCH(H603,Ottone!$A:$A,0)-1,MATCH(J603,Ottone!$A$1:$Z$1,0)-1)=TRUE),0,OFFSET(Ottone!$A$1,MATCH(H603,Ottone!$A:$A,0)-1,MATCH(J603,Ottone!$A$1:$Z$1,0)-1))*IF(E603="Ottone",1,0),4)</f>
        <v>0</v>
      </c>
      <c r="M603" s="446">
        <f ca="1">ROUND(IF(ISERROR(OFFSET(Rame!$A$1,MATCH(H603,Rame!$A:$A,0)-1,MATCH(J603,Rame!$A$1:$AA$1,0)-1)=TRUE),0,OFFSET(Rame!$A$1,MATCH(H603,Rame!$A:$A,0)-1,MATCH(J603,Rame!$A$1:$AA$1,0)-1))*IF(E603="Rame",1,0),4)</f>
        <v>0</v>
      </c>
      <c r="N603" s="446">
        <v>0</v>
      </c>
      <c r="O603" s="446">
        <f t="shared" ca="1" si="193"/>
        <v>0</v>
      </c>
      <c r="P603" s="446">
        <f ca="1">ROUND(+IF(ISERROR(OFFSET(Tabella!$G$1,MATCH(H603,Tabella!$G:$G,0)-1,MATCH(I603,Tabella!$G$1:$FG$1,0)-1)=TRUE),0,OFFSET(Tabella!$G$1,MATCH(H603,Tabella!$G:$G,0)-1,MATCH(I603,Tabella!$G$1:$AB$1,0)-1)),4)</f>
        <v>0</v>
      </c>
      <c r="Q603" s="446">
        <f ca="1">ROUND(IF(ISERROR(OFFSET(Ottone!$F$1,MATCH(H603,Ottone!$A:$A,0)-1,MATCH(I603,Ottone!$F$1:$FF$1,0)-1)=TRUE),0,OFFSET(Ottone!$F$1,MATCH(H603,Ottone!$A:$A,0)-1,MATCH(I603,Ottone!$F$1:$FF$1,0)-1))*IF(E603="Ottone",1,0),4)</f>
        <v>0</v>
      </c>
      <c r="R603" s="446">
        <f ca="1">ROUND(IF(ISERROR(OFFSET(Rame!$F$1,MATCH(H603,Rame!$F:$F,0)-1,MATCH(I603,Rame!$F$1:$FF$1,0)-1)=TRUE),0,OFFSET(Rame!$F$1,MATCH(H603,Rame!$F:$F,0)-1,MATCH(I603,Rame!$F$1:$FF$1,0)-1))*IF(E603="Rame",1,0),4)</f>
        <v>0</v>
      </c>
      <c r="S603" s="446">
        <f ca="1">ROUND(IF(ISERROR(OFFSET(Bronzo!$A$1,MATCH(H603,Bronzo!$A:$A,0)-1,MATCH(I603,Bronzo!$A$1:$AA$1,0)-1)=TRUE),0,OFFSET(Bronzo!$A$1,MATCH(H603,Bronzo!$A:$A,0)-1,MATCH(I603,Bronzo!$A$1:$AA$1,0)-1)),4)</f>
        <v>0</v>
      </c>
      <c r="T603" s="446">
        <f t="shared" ca="1" si="195"/>
        <v>0</v>
      </c>
      <c r="U603" s="443"/>
      <c r="V603" s="446">
        <v>0</v>
      </c>
      <c r="W603" s="449">
        <f t="shared" ca="1" si="196"/>
        <v>0</v>
      </c>
      <c r="X603" s="452">
        <f t="shared" si="194"/>
        <v>0</v>
      </c>
      <c r="Y603" s="440"/>
      <c r="Z603" s="440">
        <f t="shared" ca="1" si="197"/>
        <v>0</v>
      </c>
      <c r="AA603" s="241"/>
      <c r="AH603" s="242"/>
    </row>
    <row r="604" spans="2:34" ht="15.75" x14ac:dyDescent="0.25">
      <c r="B604" s="229"/>
      <c r="C604" s="235"/>
      <c r="D604" s="243"/>
      <c r="E604" s="232"/>
      <c r="F604" s="435"/>
      <c r="G604" s="234"/>
      <c r="H604" s="235"/>
      <c r="I604" s="235"/>
      <c r="J604" s="440"/>
      <c r="K604" s="443">
        <f ca="1">ROUND(IF(ISERROR(OFFSET(Tabella!$A$1,MATCH(H604,Tabella!$A:$A,0)-1,MATCH(J604,Tabella!$A$1:$AC$1,0)-1)=TRUE),0,+OFFSET(Tabella!$A$1,MATCH(H604,Tabella!$A:$A,0)-1,MATCH(J604,Tabella!$A$1:$AC$1,0)-1)),4)</f>
        <v>0</v>
      </c>
      <c r="L604" s="446">
        <f ca="1">ROUND(IF(ISERROR(OFFSET(Ottone!$A$1,MATCH(H604,Ottone!$A:$A,0)-1,MATCH(J604,Ottone!$A$1:$Z$1,0)-1)=TRUE),0,OFFSET(Ottone!$A$1,MATCH(H604,Ottone!$A:$A,0)-1,MATCH(J604,Ottone!$A$1:$Z$1,0)-1))*IF(E604="Ottone",1,0),4)</f>
        <v>0</v>
      </c>
      <c r="M604" s="446">
        <f ca="1">ROUND(IF(ISERROR(OFFSET(Rame!$A$1,MATCH(H604,Rame!$A:$A,0)-1,MATCH(J604,Rame!$A$1:$AA$1,0)-1)=TRUE),0,OFFSET(Rame!$A$1,MATCH(H604,Rame!$A:$A,0)-1,MATCH(J604,Rame!$A$1:$AA$1,0)-1))*IF(E604="Rame",1,0),4)</f>
        <v>0</v>
      </c>
      <c r="N604" s="446">
        <v>0</v>
      </c>
      <c r="O604" s="446">
        <f t="shared" ca="1" si="193"/>
        <v>0</v>
      </c>
      <c r="P604" s="446">
        <f ca="1">ROUND(+IF(ISERROR(OFFSET(Tabella!$G$1,MATCH(H604,Tabella!$G:$G,0)-1,MATCH(I604,Tabella!$G$1:$FG$1,0)-1)=TRUE),0,OFFSET(Tabella!$G$1,MATCH(H604,Tabella!$G:$G,0)-1,MATCH(I604,Tabella!$G$1:$AB$1,0)-1)),4)</f>
        <v>0</v>
      </c>
      <c r="Q604" s="446">
        <f ca="1">ROUND(IF(ISERROR(OFFSET(Ottone!$F$1,MATCH(H604,Ottone!$A:$A,0)-1,MATCH(I604,Ottone!$F$1:$FF$1,0)-1)=TRUE),0,OFFSET(Ottone!$F$1,MATCH(H604,Ottone!$A:$A,0)-1,MATCH(I604,Ottone!$F$1:$FF$1,0)-1))*IF(E604="Ottone",1,0),4)</f>
        <v>0</v>
      </c>
      <c r="R604" s="446">
        <f ca="1">ROUND(IF(ISERROR(OFFSET(Rame!$F$1,MATCH(H604,Rame!$F:$F,0)-1,MATCH(I604,Rame!$F$1:$FF$1,0)-1)=TRUE),0,OFFSET(Rame!$F$1,MATCH(H604,Rame!$F:$F,0)-1,MATCH(I604,Rame!$F$1:$FF$1,0)-1))*IF(E604="Rame",1,0),4)</f>
        <v>0</v>
      </c>
      <c r="S604" s="446">
        <f ca="1">ROUND(IF(ISERROR(OFFSET(Bronzo!$A$1,MATCH(H604,Bronzo!$A:$A,0)-1,MATCH(I604,Bronzo!$A$1:$AA$1,0)-1)=TRUE),0,OFFSET(Bronzo!$A$1,MATCH(H604,Bronzo!$A:$A,0)-1,MATCH(I604,Bronzo!$A$1:$AA$1,0)-1)),4)</f>
        <v>0</v>
      </c>
      <c r="T604" s="446">
        <f t="shared" ca="1" si="195"/>
        <v>0</v>
      </c>
      <c r="U604" s="443"/>
      <c r="V604" s="446">
        <v>0</v>
      </c>
      <c r="W604" s="449">
        <f t="shared" ca="1" si="196"/>
        <v>0</v>
      </c>
      <c r="X604" s="452">
        <f t="shared" si="194"/>
        <v>0</v>
      </c>
      <c r="Y604" s="440"/>
      <c r="Z604" s="440">
        <f t="shared" ca="1" si="197"/>
        <v>0</v>
      </c>
      <c r="AA604" s="241"/>
      <c r="AH604" s="242"/>
    </row>
    <row r="605" spans="2:34" ht="15.75" x14ac:dyDescent="0.25">
      <c r="B605" s="229"/>
      <c r="C605" s="235"/>
      <c r="D605" s="243"/>
      <c r="E605" s="232"/>
      <c r="F605" s="435"/>
      <c r="G605" s="234"/>
      <c r="H605" s="235"/>
      <c r="I605" s="235"/>
      <c r="J605" s="440"/>
      <c r="K605" s="443">
        <f ca="1">ROUND(IF(ISERROR(OFFSET(Tabella!$A$1,MATCH(H605,Tabella!$A:$A,0)-1,MATCH(J605,Tabella!$A$1:$AC$1,0)-1)=TRUE),0,+OFFSET(Tabella!$A$1,MATCH(H605,Tabella!$A:$A,0)-1,MATCH(J605,Tabella!$A$1:$AC$1,0)-1)),4)</f>
        <v>0</v>
      </c>
      <c r="L605" s="446">
        <f ca="1">ROUND(IF(ISERROR(OFFSET(Ottone!$A$1,MATCH(H605,Ottone!$A:$A,0)-1,MATCH(J605,Ottone!$A$1:$Z$1,0)-1)=TRUE),0,OFFSET(Ottone!$A$1,MATCH(H605,Ottone!$A:$A,0)-1,MATCH(J605,Ottone!$A$1:$Z$1,0)-1))*IF(E605="Ottone",1,0),4)</f>
        <v>0</v>
      </c>
      <c r="M605" s="446">
        <f ca="1">ROUND(IF(ISERROR(OFFSET(Rame!$A$1,MATCH(H605,Rame!$A:$A,0)-1,MATCH(J605,Rame!$A$1:$AA$1,0)-1)=TRUE),0,OFFSET(Rame!$A$1,MATCH(H605,Rame!$A:$A,0)-1,MATCH(J605,Rame!$A$1:$AA$1,0)-1))*IF(E605="Rame",1,0),4)</f>
        <v>0</v>
      </c>
      <c r="N605" s="446">
        <v>0</v>
      </c>
      <c r="O605" s="446">
        <f t="shared" ca="1" si="193"/>
        <v>0</v>
      </c>
      <c r="P605" s="446">
        <f ca="1">ROUND(+IF(ISERROR(OFFSET(Tabella!$G$1,MATCH(H605,Tabella!$G:$G,0)-1,MATCH(I605,Tabella!$G$1:$FG$1,0)-1)=TRUE),0,OFFSET(Tabella!$G$1,MATCH(H605,Tabella!$G:$G,0)-1,MATCH(I605,Tabella!$G$1:$AB$1,0)-1)),4)</f>
        <v>0</v>
      </c>
      <c r="Q605" s="446">
        <f ca="1">ROUND(IF(ISERROR(OFFSET(Ottone!$F$1,MATCH(H605,Ottone!$A:$A,0)-1,MATCH(I605,Ottone!$F$1:$FF$1,0)-1)=TRUE),0,OFFSET(Ottone!$F$1,MATCH(H605,Ottone!$A:$A,0)-1,MATCH(I605,Ottone!$F$1:$FF$1,0)-1))*IF(E605="Ottone",1,0),4)</f>
        <v>0</v>
      </c>
      <c r="R605" s="446">
        <f ca="1">ROUND(IF(ISERROR(OFFSET(Rame!$F$1,MATCH(H605,Rame!$F:$F,0)-1,MATCH(I605,Rame!$F$1:$FF$1,0)-1)=TRUE),0,OFFSET(Rame!$F$1,MATCH(H605,Rame!$F:$F,0)-1,MATCH(I605,Rame!$F$1:$FF$1,0)-1))*IF(E605="Rame",1,0),4)</f>
        <v>0</v>
      </c>
      <c r="S605" s="446">
        <f ca="1">ROUND(IF(ISERROR(OFFSET(Bronzo!$A$1,MATCH(H605,Bronzo!$A:$A,0)-1,MATCH(I605,Bronzo!$A$1:$AA$1,0)-1)=TRUE),0,OFFSET(Bronzo!$A$1,MATCH(H605,Bronzo!$A:$A,0)-1,MATCH(I605,Bronzo!$A$1:$AA$1,0)-1)),4)</f>
        <v>0</v>
      </c>
      <c r="T605" s="446">
        <f t="shared" ca="1" si="195"/>
        <v>0</v>
      </c>
      <c r="U605" s="443"/>
      <c r="V605" s="446">
        <v>0</v>
      </c>
      <c r="W605" s="449">
        <f t="shared" ca="1" si="196"/>
        <v>0</v>
      </c>
      <c r="X605" s="452">
        <f t="shared" si="194"/>
        <v>0</v>
      </c>
      <c r="Y605" s="440"/>
      <c r="Z605" s="440">
        <f t="shared" ca="1" si="197"/>
        <v>0</v>
      </c>
      <c r="AA605" s="241"/>
      <c r="AH605" s="242"/>
    </row>
    <row r="606" spans="2:34" ht="15.75" x14ac:dyDescent="0.25">
      <c r="B606" s="229"/>
      <c r="C606" s="235"/>
      <c r="D606" s="243"/>
      <c r="E606" s="232"/>
      <c r="F606" s="435"/>
      <c r="G606" s="234"/>
      <c r="H606" s="235"/>
      <c r="I606" s="235"/>
      <c r="J606" s="440"/>
      <c r="K606" s="443">
        <f ca="1">ROUND(IF(ISERROR(OFFSET(Tabella!$A$1,MATCH(H606,Tabella!$A:$A,0)-1,MATCH(J606,Tabella!$A$1:$AC$1,0)-1)=TRUE),0,+OFFSET(Tabella!$A$1,MATCH(H606,Tabella!$A:$A,0)-1,MATCH(J606,Tabella!$A$1:$AC$1,0)-1)),4)</f>
        <v>0</v>
      </c>
      <c r="L606" s="446">
        <f ca="1">ROUND(IF(ISERROR(OFFSET(Ottone!$A$1,MATCH(H606,Ottone!$A:$A,0)-1,MATCH(J606,Ottone!$A$1:$Z$1,0)-1)=TRUE),0,OFFSET(Ottone!$A$1,MATCH(H606,Ottone!$A:$A,0)-1,MATCH(J606,Ottone!$A$1:$Z$1,0)-1))*IF(E606="Ottone",1,0),4)</f>
        <v>0</v>
      </c>
      <c r="M606" s="446">
        <f ca="1">ROUND(IF(ISERROR(OFFSET(Rame!$A$1,MATCH(H606,Rame!$A:$A,0)-1,MATCH(J606,Rame!$A$1:$AA$1,0)-1)=TRUE),0,OFFSET(Rame!$A$1,MATCH(H606,Rame!$A:$A,0)-1,MATCH(J606,Rame!$A$1:$AA$1,0)-1))*IF(E606="Rame",1,0),4)</f>
        <v>0</v>
      </c>
      <c r="N606" s="446">
        <v>0</v>
      </c>
      <c r="O606" s="446">
        <f t="shared" ca="1" si="193"/>
        <v>0</v>
      </c>
      <c r="P606" s="446">
        <f ca="1">ROUND(+IF(ISERROR(OFFSET(Tabella!$G$1,MATCH(H606,Tabella!$G:$G,0)-1,MATCH(I606,Tabella!$G$1:$FG$1,0)-1)=TRUE),0,OFFSET(Tabella!$G$1,MATCH(H606,Tabella!$G:$G,0)-1,MATCH(I606,Tabella!$G$1:$AB$1,0)-1)),4)</f>
        <v>0</v>
      </c>
      <c r="Q606" s="446">
        <f ca="1">ROUND(IF(ISERROR(OFFSET(Ottone!$F$1,MATCH(H606,Ottone!$A:$A,0)-1,MATCH(I606,Ottone!$F$1:$FF$1,0)-1)=TRUE),0,OFFSET(Ottone!$F$1,MATCH(H606,Ottone!$A:$A,0)-1,MATCH(I606,Ottone!$F$1:$FF$1,0)-1))*IF(E606="Ottone",1,0),4)</f>
        <v>0</v>
      </c>
      <c r="R606" s="446">
        <f ca="1">ROUND(IF(ISERROR(OFFSET(Rame!$F$1,MATCH(H606,Rame!$F:$F,0)-1,MATCH(I606,Rame!$F$1:$FF$1,0)-1)=TRUE),0,OFFSET(Rame!$F$1,MATCH(H606,Rame!$F:$F,0)-1,MATCH(I606,Rame!$F$1:$FF$1,0)-1))*IF(E606="Rame",1,0),4)</f>
        <v>0</v>
      </c>
      <c r="S606" s="446">
        <f ca="1">ROUND(IF(ISERROR(OFFSET(Bronzo!$A$1,MATCH(H606,Bronzo!$A:$A,0)-1,MATCH(I606,Bronzo!$A$1:$AA$1,0)-1)=TRUE),0,OFFSET(Bronzo!$A$1,MATCH(H606,Bronzo!$A:$A,0)-1,MATCH(I606,Bronzo!$A$1:$AA$1,0)-1)),4)</f>
        <v>0</v>
      </c>
      <c r="T606" s="446">
        <f t="shared" ca="1" si="195"/>
        <v>0</v>
      </c>
      <c r="U606" s="443"/>
      <c r="V606" s="446">
        <v>0</v>
      </c>
      <c r="W606" s="449">
        <f t="shared" ca="1" si="196"/>
        <v>0</v>
      </c>
      <c r="X606" s="452">
        <f t="shared" si="194"/>
        <v>0</v>
      </c>
      <c r="Y606" s="440"/>
      <c r="Z606" s="440">
        <f t="shared" ca="1" si="197"/>
        <v>0</v>
      </c>
      <c r="AA606" s="241"/>
      <c r="AH606" s="242"/>
    </row>
    <row r="607" spans="2:34" ht="15.75" x14ac:dyDescent="0.25">
      <c r="B607" s="229"/>
      <c r="C607" s="235"/>
      <c r="D607" s="243"/>
      <c r="E607" s="232"/>
      <c r="F607" s="435"/>
      <c r="G607" s="234"/>
      <c r="H607" s="235"/>
      <c r="I607" s="235"/>
      <c r="J607" s="440"/>
      <c r="K607" s="443">
        <f ca="1">ROUND(IF(ISERROR(OFFSET(Tabella!$A$1,MATCH(H607,Tabella!$A:$A,0)-1,MATCH(J607,Tabella!$A$1:$AC$1,0)-1)=TRUE),0,+OFFSET(Tabella!$A$1,MATCH(H607,Tabella!$A:$A,0)-1,MATCH(J607,Tabella!$A$1:$AC$1,0)-1)),4)</f>
        <v>0</v>
      </c>
      <c r="L607" s="446">
        <f ca="1">ROUND(IF(ISERROR(OFFSET(Ottone!$A$1,MATCH(H607,Ottone!$A:$A,0)-1,MATCH(J607,Ottone!$A$1:$Z$1,0)-1)=TRUE),0,OFFSET(Ottone!$A$1,MATCH(H607,Ottone!$A:$A,0)-1,MATCH(J607,Ottone!$A$1:$Z$1,0)-1))*IF(E607="Ottone",1,0),4)</f>
        <v>0</v>
      </c>
      <c r="M607" s="446">
        <f ca="1">ROUND(IF(ISERROR(OFFSET(Rame!$A$1,MATCH(H607,Rame!$A:$A,0)-1,MATCH(J607,Rame!$A$1:$AA$1,0)-1)=TRUE),0,OFFSET(Rame!$A$1,MATCH(H607,Rame!$A:$A,0)-1,MATCH(J607,Rame!$A$1:$AA$1,0)-1))*IF(E607="Rame",1,0),4)</f>
        <v>0</v>
      </c>
      <c r="N607" s="446">
        <v>0</v>
      </c>
      <c r="O607" s="446">
        <f t="shared" ca="1" si="193"/>
        <v>0</v>
      </c>
      <c r="P607" s="446">
        <f ca="1">ROUND(+IF(ISERROR(OFFSET(Tabella!$G$1,MATCH(H607,Tabella!$G:$G,0)-1,MATCH(I607,Tabella!$G$1:$FG$1,0)-1)=TRUE),0,OFFSET(Tabella!$G$1,MATCH(H607,Tabella!$G:$G,0)-1,MATCH(I607,Tabella!$G$1:$AB$1,0)-1)),4)</f>
        <v>0</v>
      </c>
      <c r="Q607" s="446">
        <f ca="1">ROUND(IF(ISERROR(OFFSET(Ottone!$F$1,MATCH(H607,Ottone!$A:$A,0)-1,MATCH(I607,Ottone!$F$1:$FF$1,0)-1)=TRUE),0,OFFSET(Ottone!$F$1,MATCH(H607,Ottone!$A:$A,0)-1,MATCH(I607,Ottone!$F$1:$FF$1,0)-1))*IF(E607="Ottone",1,0),4)</f>
        <v>0</v>
      </c>
      <c r="R607" s="446">
        <f ca="1">ROUND(IF(ISERROR(OFFSET(Rame!$F$1,MATCH(H607,Rame!$F:$F,0)-1,MATCH(I607,Rame!$F$1:$FF$1,0)-1)=TRUE),0,OFFSET(Rame!$F$1,MATCH(H607,Rame!$F:$F,0)-1,MATCH(I607,Rame!$F$1:$FF$1,0)-1))*IF(E607="Rame",1,0),4)</f>
        <v>0</v>
      </c>
      <c r="S607" s="446">
        <f ca="1">ROUND(IF(ISERROR(OFFSET(Bronzo!$A$1,MATCH(H607,Bronzo!$A:$A,0)-1,MATCH(I607,Bronzo!$A$1:$AA$1,0)-1)=TRUE),0,OFFSET(Bronzo!$A$1,MATCH(H607,Bronzo!$A:$A,0)-1,MATCH(I607,Bronzo!$A$1:$AA$1,0)-1)),4)</f>
        <v>0</v>
      </c>
      <c r="T607" s="446">
        <f t="shared" ca="1" si="195"/>
        <v>0</v>
      </c>
      <c r="U607" s="443"/>
      <c r="V607" s="446">
        <v>0</v>
      </c>
      <c r="W607" s="449">
        <f t="shared" ca="1" si="196"/>
        <v>0</v>
      </c>
      <c r="X607" s="452">
        <f t="shared" si="194"/>
        <v>0</v>
      </c>
      <c r="Y607" s="440"/>
      <c r="Z607" s="440">
        <f t="shared" ca="1" si="197"/>
        <v>0</v>
      </c>
      <c r="AA607" s="241"/>
      <c r="AH607" s="242"/>
    </row>
    <row r="608" spans="2:34" ht="15.75" x14ac:dyDescent="0.25">
      <c r="B608" s="229"/>
      <c r="C608" s="235"/>
      <c r="D608" s="243"/>
      <c r="E608" s="232"/>
      <c r="F608" s="435"/>
      <c r="G608" s="234"/>
      <c r="H608" s="235"/>
      <c r="I608" s="235"/>
      <c r="J608" s="440"/>
      <c r="K608" s="443">
        <f ca="1">ROUND(IF(ISERROR(OFFSET(Tabella!$A$1,MATCH(H608,Tabella!$A:$A,0)-1,MATCH(J608,Tabella!$A$1:$AC$1,0)-1)=TRUE),0,+OFFSET(Tabella!$A$1,MATCH(H608,Tabella!$A:$A,0)-1,MATCH(J608,Tabella!$A$1:$AC$1,0)-1)),4)</f>
        <v>0</v>
      </c>
      <c r="L608" s="446">
        <f ca="1">ROUND(IF(ISERROR(OFFSET(Ottone!$A$1,MATCH(H608,Ottone!$A:$A,0)-1,MATCH(J608,Ottone!$A$1:$Z$1,0)-1)=TRUE),0,OFFSET(Ottone!$A$1,MATCH(H608,Ottone!$A:$A,0)-1,MATCH(J608,Ottone!$A$1:$Z$1,0)-1))*IF(E608="Ottone",1,0),4)</f>
        <v>0</v>
      </c>
      <c r="M608" s="446">
        <f ca="1">ROUND(IF(ISERROR(OFFSET(Rame!$A$1,MATCH(H608,Rame!$A:$A,0)-1,MATCH(J608,Rame!$A$1:$AA$1,0)-1)=TRUE),0,OFFSET(Rame!$A$1,MATCH(H608,Rame!$A:$A,0)-1,MATCH(J608,Rame!$A$1:$AA$1,0)-1))*IF(E608="Rame",1,0),4)</f>
        <v>0</v>
      </c>
      <c r="N608" s="446">
        <v>0</v>
      </c>
      <c r="O608" s="446">
        <f t="shared" ca="1" si="193"/>
        <v>0</v>
      </c>
      <c r="P608" s="446">
        <f ca="1">ROUND(+IF(ISERROR(OFFSET(Tabella!$G$1,MATCH(H608,Tabella!$G:$G,0)-1,MATCH(I608,Tabella!$G$1:$FG$1,0)-1)=TRUE),0,OFFSET(Tabella!$G$1,MATCH(H608,Tabella!$G:$G,0)-1,MATCH(I608,Tabella!$G$1:$AB$1,0)-1)),4)</f>
        <v>0</v>
      </c>
      <c r="Q608" s="446">
        <f ca="1">ROUND(IF(ISERROR(OFFSET(Ottone!$F$1,MATCH(H608,Ottone!$A:$A,0)-1,MATCH(I608,Ottone!$F$1:$FF$1,0)-1)=TRUE),0,OFFSET(Ottone!$F$1,MATCH(H608,Ottone!$A:$A,0)-1,MATCH(I608,Ottone!$F$1:$FF$1,0)-1))*IF(E608="Ottone",1,0),4)</f>
        <v>0</v>
      </c>
      <c r="R608" s="446">
        <f ca="1">ROUND(IF(ISERROR(OFFSET(Rame!$F$1,MATCH(H608,Rame!$F:$F,0)-1,MATCH(I608,Rame!$F$1:$FF$1,0)-1)=TRUE),0,OFFSET(Rame!$F$1,MATCH(H608,Rame!$F:$F,0)-1,MATCH(I608,Rame!$F$1:$FF$1,0)-1))*IF(E608="Rame",1,0),4)</f>
        <v>0</v>
      </c>
      <c r="S608" s="446">
        <f ca="1">ROUND(IF(ISERROR(OFFSET(Bronzo!$A$1,MATCH(H608,Bronzo!$A:$A,0)-1,MATCH(I608,Bronzo!$A$1:$AA$1,0)-1)=TRUE),0,OFFSET(Bronzo!$A$1,MATCH(H608,Bronzo!$A:$A,0)-1,MATCH(I608,Bronzo!$A$1:$AA$1,0)-1)),4)</f>
        <v>0</v>
      </c>
      <c r="T608" s="446">
        <f t="shared" ca="1" si="195"/>
        <v>0</v>
      </c>
      <c r="U608" s="443"/>
      <c r="V608" s="446">
        <v>0</v>
      </c>
      <c r="W608" s="449">
        <f t="shared" ca="1" si="196"/>
        <v>0</v>
      </c>
      <c r="X608" s="452">
        <f t="shared" si="194"/>
        <v>0</v>
      </c>
      <c r="Y608" s="440"/>
      <c r="Z608" s="440">
        <f t="shared" ca="1" si="197"/>
        <v>0</v>
      </c>
      <c r="AA608" s="241"/>
      <c r="AH608" s="242"/>
    </row>
    <row r="609" spans="2:34" ht="15.75" x14ac:dyDescent="0.25">
      <c r="B609" s="229"/>
      <c r="C609" s="235"/>
      <c r="D609" s="243"/>
      <c r="E609" s="232"/>
      <c r="F609" s="435"/>
      <c r="G609" s="234"/>
      <c r="H609" s="235"/>
      <c r="I609" s="235"/>
      <c r="J609" s="440"/>
      <c r="K609" s="443">
        <f ca="1">ROUND(IF(ISERROR(OFFSET(Tabella!$A$1,MATCH(H609,Tabella!$A:$A,0)-1,MATCH(J609,Tabella!$A$1:$AC$1,0)-1)=TRUE),0,+OFFSET(Tabella!$A$1,MATCH(H609,Tabella!$A:$A,0)-1,MATCH(J609,Tabella!$A$1:$AC$1,0)-1)),4)</f>
        <v>0</v>
      </c>
      <c r="L609" s="446">
        <f ca="1">ROUND(IF(ISERROR(OFFSET(Ottone!$A$1,MATCH(H609,Ottone!$A:$A,0)-1,MATCH(J609,Ottone!$A$1:$Z$1,0)-1)=TRUE),0,OFFSET(Ottone!$A$1,MATCH(H609,Ottone!$A:$A,0)-1,MATCH(J609,Ottone!$A$1:$Z$1,0)-1))*IF(E609="Ottone",1,0),4)</f>
        <v>0</v>
      </c>
      <c r="M609" s="446">
        <f ca="1">ROUND(IF(ISERROR(OFFSET(Rame!$A$1,MATCH(H609,Rame!$A:$A,0)-1,MATCH(J609,Rame!$A$1:$AA$1,0)-1)=TRUE),0,OFFSET(Rame!$A$1,MATCH(H609,Rame!$A:$A,0)-1,MATCH(J609,Rame!$A$1:$AA$1,0)-1))*IF(E609="Rame",1,0),4)</f>
        <v>0</v>
      </c>
      <c r="N609" s="446">
        <v>0</v>
      </c>
      <c r="O609" s="446">
        <f t="shared" ca="1" si="193"/>
        <v>0</v>
      </c>
      <c r="P609" s="446">
        <f ca="1">ROUND(+IF(ISERROR(OFFSET(Tabella!$G$1,MATCH(H609,Tabella!$G:$G,0)-1,MATCH(I609,Tabella!$G$1:$FG$1,0)-1)=TRUE),0,OFFSET(Tabella!$G$1,MATCH(H609,Tabella!$G:$G,0)-1,MATCH(I609,Tabella!$G$1:$AB$1,0)-1)),4)</f>
        <v>0</v>
      </c>
      <c r="Q609" s="446">
        <f ca="1">ROUND(IF(ISERROR(OFFSET(Ottone!$F$1,MATCH(H609,Ottone!$A:$A,0)-1,MATCH(I609,Ottone!$F$1:$FF$1,0)-1)=TRUE),0,OFFSET(Ottone!$F$1,MATCH(H609,Ottone!$A:$A,0)-1,MATCH(I609,Ottone!$F$1:$FF$1,0)-1))*IF(E609="Ottone",1,0),4)</f>
        <v>0</v>
      </c>
      <c r="R609" s="446">
        <f ca="1">ROUND(IF(ISERROR(OFFSET(Rame!$F$1,MATCH(H609,Rame!$F:$F,0)-1,MATCH(I609,Rame!$F$1:$FF$1,0)-1)=TRUE),0,OFFSET(Rame!$F$1,MATCH(H609,Rame!$F:$F,0)-1,MATCH(I609,Rame!$F$1:$FF$1,0)-1))*IF(E609="Rame",1,0),4)</f>
        <v>0</v>
      </c>
      <c r="S609" s="446">
        <f ca="1">ROUND(IF(ISERROR(OFFSET(Bronzo!$A$1,MATCH(H609,Bronzo!$A:$A,0)-1,MATCH(I609,Bronzo!$A$1:$AA$1,0)-1)=TRUE),0,OFFSET(Bronzo!$A$1,MATCH(H609,Bronzo!$A:$A,0)-1,MATCH(I609,Bronzo!$A$1:$AA$1,0)-1)),4)</f>
        <v>0</v>
      </c>
      <c r="T609" s="446">
        <f t="shared" ca="1" si="195"/>
        <v>0</v>
      </c>
      <c r="U609" s="443"/>
      <c r="V609" s="446">
        <v>0</v>
      </c>
      <c r="W609" s="449">
        <f t="shared" ca="1" si="196"/>
        <v>0</v>
      </c>
      <c r="X609" s="452">
        <f t="shared" si="194"/>
        <v>0</v>
      </c>
      <c r="Y609" s="440"/>
      <c r="Z609" s="440">
        <f t="shared" ca="1" si="197"/>
        <v>0</v>
      </c>
      <c r="AA609" s="241"/>
      <c r="AH609" s="242"/>
    </row>
    <row r="610" spans="2:34" ht="15.75" x14ac:dyDescent="0.25">
      <c r="B610" s="229"/>
      <c r="C610" s="235"/>
      <c r="D610" s="243"/>
      <c r="E610" s="232"/>
      <c r="F610" s="435"/>
      <c r="G610" s="234"/>
      <c r="H610" s="235"/>
      <c r="I610" s="235"/>
      <c r="J610" s="440"/>
      <c r="K610" s="443">
        <f ca="1">ROUND(IF(ISERROR(OFFSET(Tabella!$A$1,MATCH(H610,Tabella!$A:$A,0)-1,MATCH(J610,Tabella!$A$1:$AC$1,0)-1)=TRUE),0,+OFFSET(Tabella!$A$1,MATCH(H610,Tabella!$A:$A,0)-1,MATCH(J610,Tabella!$A$1:$AC$1,0)-1)),4)</f>
        <v>0</v>
      </c>
      <c r="L610" s="446">
        <f ca="1">ROUND(IF(ISERROR(OFFSET(Ottone!$A$1,MATCH(H610,Ottone!$A:$A,0)-1,MATCH(J610,Ottone!$A$1:$Z$1,0)-1)=TRUE),0,OFFSET(Ottone!$A$1,MATCH(H610,Ottone!$A:$A,0)-1,MATCH(J610,Ottone!$A$1:$Z$1,0)-1))*IF(E610="Ottone",1,0),4)</f>
        <v>0</v>
      </c>
      <c r="M610" s="446">
        <f ca="1">ROUND(IF(ISERROR(OFFSET(Rame!$A$1,MATCH(H610,Rame!$A:$A,0)-1,MATCH(J610,Rame!$A$1:$AA$1,0)-1)=TRUE),0,OFFSET(Rame!$A$1,MATCH(H610,Rame!$A:$A,0)-1,MATCH(J610,Rame!$A$1:$AA$1,0)-1))*IF(E610="Rame",1,0),4)</f>
        <v>0</v>
      </c>
      <c r="N610" s="446">
        <v>0</v>
      </c>
      <c r="O610" s="446">
        <f t="shared" ca="1" si="193"/>
        <v>0</v>
      </c>
      <c r="P610" s="446">
        <f ca="1">ROUND(+IF(ISERROR(OFFSET(Tabella!$G$1,MATCH(H610,Tabella!$G:$G,0)-1,MATCH(I610,Tabella!$G$1:$FG$1,0)-1)=TRUE),0,OFFSET(Tabella!$G$1,MATCH(H610,Tabella!$G:$G,0)-1,MATCH(I610,Tabella!$G$1:$AB$1,0)-1)),4)</f>
        <v>0</v>
      </c>
      <c r="Q610" s="446">
        <f ca="1">ROUND(IF(ISERROR(OFFSET(Ottone!$F$1,MATCH(H610,Ottone!$A:$A,0)-1,MATCH(I610,Ottone!$F$1:$FF$1,0)-1)=TRUE),0,OFFSET(Ottone!$F$1,MATCH(H610,Ottone!$A:$A,0)-1,MATCH(I610,Ottone!$F$1:$FF$1,0)-1))*IF(E610="Ottone",1,0),4)</f>
        <v>0</v>
      </c>
      <c r="R610" s="446">
        <f ca="1">ROUND(IF(ISERROR(OFFSET(Rame!$F$1,MATCH(H610,Rame!$F:$F,0)-1,MATCH(I610,Rame!$F$1:$FF$1,0)-1)=TRUE),0,OFFSET(Rame!$F$1,MATCH(H610,Rame!$F:$F,0)-1,MATCH(I610,Rame!$F$1:$FF$1,0)-1))*IF(E610="Rame",1,0),4)</f>
        <v>0</v>
      </c>
      <c r="S610" s="446">
        <f ca="1">ROUND(IF(ISERROR(OFFSET(Bronzo!$A$1,MATCH(H610,Bronzo!$A:$A,0)-1,MATCH(I610,Bronzo!$A$1:$AA$1,0)-1)=TRUE),0,OFFSET(Bronzo!$A$1,MATCH(H610,Bronzo!$A:$A,0)-1,MATCH(I610,Bronzo!$A$1:$AA$1,0)-1)),4)</f>
        <v>0</v>
      </c>
      <c r="T610" s="446">
        <f t="shared" ca="1" si="195"/>
        <v>0</v>
      </c>
      <c r="U610" s="443"/>
      <c r="V610" s="446">
        <v>0</v>
      </c>
      <c r="W610" s="449">
        <f t="shared" ca="1" si="196"/>
        <v>0</v>
      </c>
      <c r="X610" s="452">
        <f t="shared" si="194"/>
        <v>0</v>
      </c>
      <c r="Y610" s="440"/>
      <c r="Z610" s="440">
        <f t="shared" ca="1" si="197"/>
        <v>0</v>
      </c>
      <c r="AA610" s="241"/>
      <c r="AH610" s="242"/>
    </row>
    <row r="611" spans="2:34" ht="15.75" x14ac:dyDescent="0.25">
      <c r="B611" s="229"/>
      <c r="C611" s="235"/>
      <c r="D611" s="243"/>
      <c r="E611" s="232"/>
      <c r="F611" s="435"/>
      <c r="G611" s="234"/>
      <c r="H611" s="235"/>
      <c r="I611" s="235"/>
      <c r="J611" s="440"/>
      <c r="K611" s="443">
        <f ca="1">ROUND(IF(ISERROR(OFFSET(Tabella!$A$1,MATCH(H611,Tabella!$A:$A,0)-1,MATCH(J611,Tabella!$A$1:$AC$1,0)-1)=TRUE),0,+OFFSET(Tabella!$A$1,MATCH(H611,Tabella!$A:$A,0)-1,MATCH(J611,Tabella!$A$1:$AC$1,0)-1)),4)</f>
        <v>0</v>
      </c>
      <c r="L611" s="446">
        <f ca="1">ROUND(IF(ISERROR(OFFSET(Ottone!$A$1,MATCH(H611,Ottone!$A:$A,0)-1,MATCH(J611,Ottone!$A$1:$Z$1,0)-1)=TRUE),0,OFFSET(Ottone!$A$1,MATCH(H611,Ottone!$A:$A,0)-1,MATCH(J611,Ottone!$A$1:$Z$1,0)-1))*IF(E611="Ottone",1,0),4)</f>
        <v>0</v>
      </c>
      <c r="M611" s="446">
        <f ca="1">ROUND(IF(ISERROR(OFFSET(Rame!$A$1,MATCH(H611,Rame!$A:$A,0)-1,MATCH(J611,Rame!$A$1:$AA$1,0)-1)=TRUE),0,OFFSET(Rame!$A$1,MATCH(H611,Rame!$A:$A,0)-1,MATCH(J611,Rame!$A$1:$AA$1,0)-1))*IF(E611="Rame",1,0),4)</f>
        <v>0</v>
      </c>
      <c r="N611" s="446">
        <v>0</v>
      </c>
      <c r="O611" s="446">
        <f t="shared" ca="1" si="193"/>
        <v>0</v>
      </c>
      <c r="P611" s="446">
        <f ca="1">ROUND(+IF(ISERROR(OFFSET(Tabella!$G$1,MATCH(H611,Tabella!$G:$G,0)-1,MATCH(I611,Tabella!$G$1:$FG$1,0)-1)=TRUE),0,OFFSET(Tabella!$G$1,MATCH(H611,Tabella!$G:$G,0)-1,MATCH(I611,Tabella!$G$1:$AB$1,0)-1)),4)</f>
        <v>0</v>
      </c>
      <c r="Q611" s="446">
        <f ca="1">ROUND(IF(ISERROR(OFFSET(Ottone!$F$1,MATCH(H611,Ottone!$A:$A,0)-1,MATCH(I611,Ottone!$F$1:$FF$1,0)-1)=TRUE),0,OFFSET(Ottone!$F$1,MATCH(H611,Ottone!$A:$A,0)-1,MATCH(I611,Ottone!$F$1:$FF$1,0)-1))*IF(E611="Ottone",1,0),4)</f>
        <v>0</v>
      </c>
      <c r="R611" s="446">
        <f ca="1">ROUND(IF(ISERROR(OFFSET(Rame!$F$1,MATCH(H611,Rame!$F:$F,0)-1,MATCH(I611,Rame!$F$1:$FF$1,0)-1)=TRUE),0,OFFSET(Rame!$F$1,MATCH(H611,Rame!$F:$F,0)-1,MATCH(I611,Rame!$F$1:$FF$1,0)-1))*IF(E611="Rame",1,0),4)</f>
        <v>0</v>
      </c>
      <c r="S611" s="446">
        <f ca="1">ROUND(IF(ISERROR(OFFSET(Bronzo!$A$1,MATCH(H611,Bronzo!$A:$A,0)-1,MATCH(I611,Bronzo!$A$1:$AA$1,0)-1)=TRUE),0,OFFSET(Bronzo!$A$1,MATCH(H611,Bronzo!$A:$A,0)-1,MATCH(I611,Bronzo!$A$1:$AA$1,0)-1)),4)</f>
        <v>0</v>
      </c>
      <c r="T611" s="446">
        <f t="shared" ca="1" si="195"/>
        <v>0</v>
      </c>
      <c r="U611" s="443"/>
      <c r="V611" s="446">
        <v>0</v>
      </c>
      <c r="W611" s="449">
        <f t="shared" ca="1" si="196"/>
        <v>0</v>
      </c>
      <c r="X611" s="452">
        <f t="shared" si="194"/>
        <v>0</v>
      </c>
      <c r="Y611" s="440"/>
      <c r="Z611" s="440">
        <f t="shared" ca="1" si="197"/>
        <v>0</v>
      </c>
      <c r="AA611" s="241"/>
      <c r="AH611" s="242"/>
    </row>
    <row r="612" spans="2:34" ht="15.75" x14ac:dyDescent="0.25">
      <c r="B612" s="229"/>
      <c r="C612" s="235"/>
      <c r="D612" s="243"/>
      <c r="E612" s="232"/>
      <c r="F612" s="435"/>
      <c r="G612" s="234"/>
      <c r="H612" s="235"/>
      <c r="I612" s="235"/>
      <c r="J612" s="440"/>
      <c r="K612" s="443">
        <f ca="1">ROUND(IF(ISERROR(OFFSET(Tabella!$A$1,MATCH(H612,Tabella!$A:$A,0)-1,MATCH(J612,Tabella!$A$1:$AC$1,0)-1)=TRUE),0,+OFFSET(Tabella!$A$1,MATCH(H612,Tabella!$A:$A,0)-1,MATCH(J612,Tabella!$A$1:$AC$1,0)-1)),4)</f>
        <v>0</v>
      </c>
      <c r="L612" s="446">
        <f ca="1">ROUND(IF(ISERROR(OFFSET(Ottone!$A$1,MATCH(H612,Ottone!$A:$A,0)-1,MATCH(J612,Ottone!$A$1:$Z$1,0)-1)=TRUE),0,OFFSET(Ottone!$A$1,MATCH(H612,Ottone!$A:$A,0)-1,MATCH(J612,Ottone!$A$1:$Z$1,0)-1))*IF(E612="Ottone",1,0),4)</f>
        <v>0</v>
      </c>
      <c r="M612" s="446">
        <f ca="1">ROUND(IF(ISERROR(OFFSET(Rame!$A$1,MATCH(H612,Rame!$A:$A,0)-1,MATCH(J612,Rame!$A$1:$AA$1,0)-1)=TRUE),0,OFFSET(Rame!$A$1,MATCH(H612,Rame!$A:$A,0)-1,MATCH(J612,Rame!$A$1:$AA$1,0)-1))*IF(E612="Rame",1,0),4)</f>
        <v>0</v>
      </c>
      <c r="N612" s="446">
        <v>0</v>
      </c>
      <c r="O612" s="446">
        <f t="shared" ca="1" si="193"/>
        <v>0</v>
      </c>
      <c r="P612" s="446">
        <f ca="1">ROUND(+IF(ISERROR(OFFSET(Tabella!$G$1,MATCH(H612,Tabella!$G:$G,0)-1,MATCH(I612,Tabella!$G$1:$FG$1,0)-1)=TRUE),0,OFFSET(Tabella!$G$1,MATCH(H612,Tabella!$G:$G,0)-1,MATCH(I612,Tabella!$G$1:$AB$1,0)-1)),4)</f>
        <v>0</v>
      </c>
      <c r="Q612" s="446">
        <f ca="1">ROUND(IF(ISERROR(OFFSET(Ottone!$F$1,MATCH(H612,Ottone!$A:$A,0)-1,MATCH(I612,Ottone!$F$1:$FF$1,0)-1)=TRUE),0,OFFSET(Ottone!$F$1,MATCH(H612,Ottone!$A:$A,0)-1,MATCH(I612,Ottone!$F$1:$FF$1,0)-1))*IF(E612="Ottone",1,0),4)</f>
        <v>0</v>
      </c>
      <c r="R612" s="446">
        <f ca="1">ROUND(IF(ISERROR(OFFSET(Rame!$F$1,MATCH(H612,Rame!$F:$F,0)-1,MATCH(I612,Rame!$F$1:$FF$1,0)-1)=TRUE),0,OFFSET(Rame!$F$1,MATCH(H612,Rame!$F:$F,0)-1,MATCH(I612,Rame!$F$1:$FF$1,0)-1))*IF(E612="Rame",1,0),4)</f>
        <v>0</v>
      </c>
      <c r="S612" s="446">
        <f ca="1">ROUND(IF(ISERROR(OFFSET(Bronzo!$A$1,MATCH(H612,Bronzo!$A:$A,0)-1,MATCH(I612,Bronzo!$A$1:$AA$1,0)-1)=TRUE),0,OFFSET(Bronzo!$A$1,MATCH(H612,Bronzo!$A:$A,0)-1,MATCH(I612,Bronzo!$A$1:$AA$1,0)-1)),4)</f>
        <v>0</v>
      </c>
      <c r="T612" s="446">
        <f t="shared" ca="1" si="195"/>
        <v>0</v>
      </c>
      <c r="U612" s="443"/>
      <c r="V612" s="446">
        <v>0</v>
      </c>
      <c r="W612" s="449">
        <f t="shared" ca="1" si="196"/>
        <v>0</v>
      </c>
      <c r="X612" s="452">
        <f t="shared" si="194"/>
        <v>0</v>
      </c>
      <c r="Y612" s="440"/>
      <c r="Z612" s="440">
        <f t="shared" ca="1" si="197"/>
        <v>0</v>
      </c>
      <c r="AA612" s="241"/>
      <c r="AH612" s="242"/>
    </row>
    <row r="613" spans="2:34" ht="15.75" x14ac:dyDescent="0.25">
      <c r="B613" s="229"/>
      <c r="C613" s="235"/>
      <c r="D613" s="243"/>
      <c r="E613" s="232"/>
      <c r="F613" s="435"/>
      <c r="G613" s="234"/>
      <c r="H613" s="235"/>
      <c r="I613" s="235"/>
      <c r="J613" s="440"/>
      <c r="K613" s="443">
        <f ca="1">ROUND(IF(ISERROR(OFFSET(Tabella!$A$1,MATCH(H613,Tabella!$A:$A,0)-1,MATCH(J613,Tabella!$A$1:$AC$1,0)-1)=TRUE),0,+OFFSET(Tabella!$A$1,MATCH(H613,Tabella!$A:$A,0)-1,MATCH(J613,Tabella!$A$1:$AC$1,0)-1)),4)</f>
        <v>0</v>
      </c>
      <c r="L613" s="446">
        <f ca="1">ROUND(IF(ISERROR(OFFSET(Ottone!$A$1,MATCH(H613,Ottone!$A:$A,0)-1,MATCH(J613,Ottone!$A$1:$Z$1,0)-1)=TRUE),0,OFFSET(Ottone!$A$1,MATCH(H613,Ottone!$A:$A,0)-1,MATCH(J613,Ottone!$A$1:$Z$1,0)-1))*IF(E613="Ottone",1,0),4)</f>
        <v>0</v>
      </c>
      <c r="M613" s="446">
        <f ca="1">ROUND(IF(ISERROR(OFFSET(Rame!$A$1,MATCH(H613,Rame!$A:$A,0)-1,MATCH(J613,Rame!$A$1:$AA$1,0)-1)=TRUE),0,OFFSET(Rame!$A$1,MATCH(H613,Rame!$A:$A,0)-1,MATCH(J613,Rame!$A$1:$AA$1,0)-1))*IF(E613="Rame",1,0),4)</f>
        <v>0</v>
      </c>
      <c r="N613" s="446">
        <v>0</v>
      </c>
      <c r="O613" s="446">
        <f t="shared" ca="1" si="193"/>
        <v>0</v>
      </c>
      <c r="P613" s="446">
        <f ca="1">ROUND(+IF(ISERROR(OFFSET(Tabella!$G$1,MATCH(H613,Tabella!$G:$G,0)-1,MATCH(I613,Tabella!$G$1:$FG$1,0)-1)=TRUE),0,OFFSET(Tabella!$G$1,MATCH(H613,Tabella!$G:$G,0)-1,MATCH(I613,Tabella!$G$1:$AB$1,0)-1)),4)</f>
        <v>0</v>
      </c>
      <c r="Q613" s="446">
        <f ca="1">ROUND(IF(ISERROR(OFFSET(Ottone!$F$1,MATCH(H613,Ottone!$A:$A,0)-1,MATCH(I613,Ottone!$F$1:$FF$1,0)-1)=TRUE),0,OFFSET(Ottone!$F$1,MATCH(H613,Ottone!$A:$A,0)-1,MATCH(I613,Ottone!$F$1:$FF$1,0)-1))*IF(E613="Ottone",1,0),4)</f>
        <v>0</v>
      </c>
      <c r="R613" s="446">
        <f ca="1">ROUND(IF(ISERROR(OFFSET(Rame!$F$1,MATCH(H613,Rame!$F:$F,0)-1,MATCH(I613,Rame!$F$1:$FF$1,0)-1)=TRUE),0,OFFSET(Rame!$F$1,MATCH(H613,Rame!$F:$F,0)-1,MATCH(I613,Rame!$F$1:$FF$1,0)-1))*IF(E613="Rame",1,0),4)</f>
        <v>0</v>
      </c>
      <c r="S613" s="446">
        <f ca="1">ROUND(IF(ISERROR(OFFSET(Bronzo!$A$1,MATCH(H613,Bronzo!$A:$A,0)-1,MATCH(I613,Bronzo!$A$1:$AA$1,0)-1)=TRUE),0,OFFSET(Bronzo!$A$1,MATCH(H613,Bronzo!$A:$A,0)-1,MATCH(I613,Bronzo!$A$1:$AA$1,0)-1)),4)</f>
        <v>0</v>
      </c>
      <c r="T613" s="446">
        <f t="shared" ca="1" si="195"/>
        <v>0</v>
      </c>
      <c r="U613" s="443"/>
      <c r="V613" s="446">
        <v>0</v>
      </c>
      <c r="W613" s="449">
        <f t="shared" ca="1" si="196"/>
        <v>0</v>
      </c>
      <c r="X613" s="452">
        <f t="shared" si="194"/>
        <v>0</v>
      </c>
      <c r="Y613" s="440"/>
      <c r="Z613" s="440">
        <f t="shared" ca="1" si="197"/>
        <v>0</v>
      </c>
      <c r="AA613" s="241"/>
      <c r="AH613" s="242"/>
    </row>
    <row r="614" spans="2:34" ht="15.75" x14ac:dyDescent="0.25">
      <c r="B614" s="229"/>
      <c r="C614" s="235"/>
      <c r="D614" s="243"/>
      <c r="E614" s="232"/>
      <c r="F614" s="435"/>
      <c r="G614" s="234"/>
      <c r="H614" s="235"/>
      <c r="I614" s="235"/>
      <c r="J614" s="440"/>
      <c r="K614" s="443">
        <f ca="1">ROUND(IF(ISERROR(OFFSET(Tabella!$A$1,MATCH(H614,Tabella!$A:$A,0)-1,MATCH(J614,Tabella!$A$1:$AC$1,0)-1)=TRUE),0,+OFFSET(Tabella!$A$1,MATCH(H614,Tabella!$A:$A,0)-1,MATCH(J614,Tabella!$A$1:$AC$1,0)-1)),4)</f>
        <v>0</v>
      </c>
      <c r="L614" s="446">
        <f ca="1">ROUND(IF(ISERROR(OFFSET(Ottone!$A$1,MATCH(H614,Ottone!$A:$A,0)-1,MATCH(J614,Ottone!$A$1:$Z$1,0)-1)=TRUE),0,OFFSET(Ottone!$A$1,MATCH(H614,Ottone!$A:$A,0)-1,MATCH(J614,Ottone!$A$1:$Z$1,0)-1))*IF(E614="Ottone",1,0),4)</f>
        <v>0</v>
      </c>
      <c r="M614" s="446">
        <f ca="1">ROUND(IF(ISERROR(OFFSET(Rame!$A$1,MATCH(H614,Rame!$A:$A,0)-1,MATCH(J614,Rame!$A$1:$AA$1,0)-1)=TRUE),0,OFFSET(Rame!$A$1,MATCH(H614,Rame!$A:$A,0)-1,MATCH(J614,Rame!$A$1:$AA$1,0)-1))*IF(E614="Rame",1,0),4)</f>
        <v>0</v>
      </c>
      <c r="N614" s="446">
        <v>0</v>
      </c>
      <c r="O614" s="446">
        <f t="shared" ca="1" si="193"/>
        <v>0</v>
      </c>
      <c r="P614" s="446">
        <f ca="1">ROUND(+IF(ISERROR(OFFSET(Tabella!$G$1,MATCH(H614,Tabella!$G:$G,0)-1,MATCH(I614,Tabella!$G$1:$FG$1,0)-1)=TRUE),0,OFFSET(Tabella!$G$1,MATCH(H614,Tabella!$G:$G,0)-1,MATCH(I614,Tabella!$G$1:$AB$1,0)-1)),4)</f>
        <v>0</v>
      </c>
      <c r="Q614" s="446">
        <f ca="1">ROUND(IF(ISERROR(OFFSET(Ottone!$F$1,MATCH(H614,Ottone!$A:$A,0)-1,MATCH(I614,Ottone!$F$1:$FF$1,0)-1)=TRUE),0,OFFSET(Ottone!$F$1,MATCH(H614,Ottone!$A:$A,0)-1,MATCH(I614,Ottone!$F$1:$FF$1,0)-1))*IF(E614="Ottone",1,0),4)</f>
        <v>0</v>
      </c>
      <c r="R614" s="446">
        <f ca="1">ROUND(IF(ISERROR(OFFSET(Rame!$F$1,MATCH(H614,Rame!$F:$F,0)-1,MATCH(I614,Rame!$F$1:$FF$1,0)-1)=TRUE),0,OFFSET(Rame!$F$1,MATCH(H614,Rame!$F:$F,0)-1,MATCH(I614,Rame!$F$1:$FF$1,0)-1))*IF(E614="Rame",1,0),4)</f>
        <v>0</v>
      </c>
      <c r="S614" s="446">
        <f ca="1">ROUND(IF(ISERROR(OFFSET(Bronzo!$A$1,MATCH(H614,Bronzo!$A:$A,0)-1,MATCH(I614,Bronzo!$A$1:$AA$1,0)-1)=TRUE),0,OFFSET(Bronzo!$A$1,MATCH(H614,Bronzo!$A:$A,0)-1,MATCH(I614,Bronzo!$A$1:$AA$1,0)-1)),4)</f>
        <v>0</v>
      </c>
      <c r="T614" s="446">
        <f t="shared" ca="1" si="195"/>
        <v>0</v>
      </c>
      <c r="U614" s="443"/>
      <c r="V614" s="446">
        <v>0</v>
      </c>
      <c r="W614" s="449">
        <f t="shared" ca="1" si="196"/>
        <v>0</v>
      </c>
      <c r="X614" s="452">
        <f t="shared" si="194"/>
        <v>0</v>
      </c>
      <c r="Y614" s="440"/>
      <c r="Z614" s="440">
        <f t="shared" ca="1" si="197"/>
        <v>0</v>
      </c>
      <c r="AA614" s="241"/>
      <c r="AH614" s="242"/>
    </row>
    <row r="615" spans="2:34" ht="15.75" x14ac:dyDescent="0.25">
      <c r="B615" s="229"/>
      <c r="C615" s="235"/>
      <c r="D615" s="243"/>
      <c r="E615" s="232"/>
      <c r="F615" s="435"/>
      <c r="G615" s="234"/>
      <c r="H615" s="235"/>
      <c r="I615" s="235"/>
      <c r="J615" s="440"/>
      <c r="K615" s="443">
        <f ca="1">ROUND(IF(ISERROR(OFFSET(Tabella!$A$1,MATCH(H615,Tabella!$A:$A,0)-1,MATCH(J615,Tabella!$A$1:$AC$1,0)-1)=TRUE),0,+OFFSET(Tabella!$A$1,MATCH(H615,Tabella!$A:$A,0)-1,MATCH(J615,Tabella!$A$1:$AC$1,0)-1)),4)</f>
        <v>0</v>
      </c>
      <c r="L615" s="446">
        <f ca="1">ROUND(IF(ISERROR(OFFSET(Ottone!$A$1,MATCH(H615,Ottone!$A:$A,0)-1,MATCH(J615,Ottone!$A$1:$Z$1,0)-1)=TRUE),0,OFFSET(Ottone!$A$1,MATCH(H615,Ottone!$A:$A,0)-1,MATCH(J615,Ottone!$A$1:$Z$1,0)-1))*IF(E615="Ottone",1,0),4)</f>
        <v>0</v>
      </c>
      <c r="M615" s="446">
        <f ca="1">ROUND(IF(ISERROR(OFFSET(Rame!$A$1,MATCH(H615,Rame!$A:$A,0)-1,MATCH(J615,Rame!$A$1:$AA$1,0)-1)=TRUE),0,OFFSET(Rame!$A$1,MATCH(H615,Rame!$A:$A,0)-1,MATCH(J615,Rame!$A$1:$AA$1,0)-1))*IF(E615="Rame",1,0),4)</f>
        <v>0</v>
      </c>
      <c r="N615" s="446">
        <v>0</v>
      </c>
      <c r="O615" s="446">
        <f t="shared" ca="1" si="193"/>
        <v>0</v>
      </c>
      <c r="P615" s="446">
        <f ca="1">ROUND(+IF(ISERROR(OFFSET(Tabella!$G$1,MATCH(H615,Tabella!$G:$G,0)-1,MATCH(I615,Tabella!$G$1:$FG$1,0)-1)=TRUE),0,OFFSET(Tabella!$G$1,MATCH(H615,Tabella!$G:$G,0)-1,MATCH(I615,Tabella!$G$1:$AB$1,0)-1)),4)</f>
        <v>0</v>
      </c>
      <c r="Q615" s="446">
        <f ca="1">ROUND(IF(ISERROR(OFFSET(Ottone!$F$1,MATCH(H615,Ottone!$A:$A,0)-1,MATCH(I615,Ottone!$F$1:$FF$1,0)-1)=TRUE),0,OFFSET(Ottone!$F$1,MATCH(H615,Ottone!$A:$A,0)-1,MATCH(I615,Ottone!$F$1:$FF$1,0)-1))*IF(E615="Ottone",1,0),4)</f>
        <v>0</v>
      </c>
      <c r="R615" s="446">
        <f ca="1">ROUND(IF(ISERROR(OFFSET(Rame!$F$1,MATCH(H615,Rame!$F:$F,0)-1,MATCH(I615,Rame!$F$1:$FF$1,0)-1)=TRUE),0,OFFSET(Rame!$F$1,MATCH(H615,Rame!$F:$F,0)-1,MATCH(I615,Rame!$F$1:$FF$1,0)-1))*IF(E615="Rame",1,0),4)</f>
        <v>0</v>
      </c>
      <c r="S615" s="446">
        <f ca="1">ROUND(IF(ISERROR(OFFSET(Bronzo!$A$1,MATCH(H615,Bronzo!$A:$A,0)-1,MATCH(I615,Bronzo!$A$1:$AA$1,0)-1)=TRUE),0,OFFSET(Bronzo!$A$1,MATCH(H615,Bronzo!$A:$A,0)-1,MATCH(I615,Bronzo!$A$1:$AA$1,0)-1)),4)</f>
        <v>0</v>
      </c>
      <c r="T615" s="446">
        <f t="shared" ca="1" si="195"/>
        <v>0</v>
      </c>
      <c r="U615" s="443"/>
      <c r="V615" s="446">
        <v>0</v>
      </c>
      <c r="W615" s="449">
        <f t="shared" ca="1" si="196"/>
        <v>0</v>
      </c>
      <c r="X615" s="452">
        <f t="shared" si="194"/>
        <v>0</v>
      </c>
      <c r="Y615" s="440"/>
      <c r="Z615" s="440">
        <f t="shared" ca="1" si="197"/>
        <v>0</v>
      </c>
      <c r="AA615" s="241"/>
      <c r="AH615" s="242"/>
    </row>
    <row r="616" spans="2:34" ht="15.75" x14ac:dyDescent="0.25">
      <c r="B616" s="229"/>
      <c r="C616" s="235"/>
      <c r="D616" s="243"/>
      <c r="E616" s="232"/>
      <c r="F616" s="435"/>
      <c r="G616" s="234"/>
      <c r="H616" s="235"/>
      <c r="I616" s="235"/>
      <c r="J616" s="440"/>
      <c r="K616" s="443">
        <f ca="1">ROUND(IF(ISERROR(OFFSET(Tabella!$A$1,MATCH(H616,Tabella!$A:$A,0)-1,MATCH(J616,Tabella!$A$1:$AC$1,0)-1)=TRUE),0,+OFFSET(Tabella!$A$1,MATCH(H616,Tabella!$A:$A,0)-1,MATCH(J616,Tabella!$A$1:$AC$1,0)-1)),4)</f>
        <v>0</v>
      </c>
      <c r="L616" s="446">
        <f ca="1">ROUND(IF(ISERROR(OFFSET(Ottone!$A$1,MATCH(H616,Ottone!$A:$A,0)-1,MATCH(J616,Ottone!$A$1:$Z$1,0)-1)=TRUE),0,OFFSET(Ottone!$A$1,MATCH(H616,Ottone!$A:$A,0)-1,MATCH(J616,Ottone!$A$1:$Z$1,0)-1))*IF(E616="Ottone",1,0),4)</f>
        <v>0</v>
      </c>
      <c r="M616" s="446">
        <f ca="1">ROUND(IF(ISERROR(OFFSET(Rame!$A$1,MATCH(H616,Rame!$A:$A,0)-1,MATCH(J616,Rame!$A$1:$AA$1,0)-1)=TRUE),0,OFFSET(Rame!$A$1,MATCH(H616,Rame!$A:$A,0)-1,MATCH(J616,Rame!$A$1:$AA$1,0)-1))*IF(E616="Rame",1,0),4)</f>
        <v>0</v>
      </c>
      <c r="N616" s="446">
        <v>0</v>
      </c>
      <c r="O616" s="446">
        <f t="shared" ref="O616:O679" ca="1" si="198">ROUND(SUM(K616:N616),4)</f>
        <v>0</v>
      </c>
      <c r="P616" s="446">
        <f ca="1">ROUND(+IF(ISERROR(OFFSET(Tabella!$G$1,MATCH(H616,Tabella!$G:$G,0)-1,MATCH(I616,Tabella!$G$1:$FG$1,0)-1)=TRUE),0,OFFSET(Tabella!$G$1,MATCH(H616,Tabella!$G:$G,0)-1,MATCH(I616,Tabella!$G$1:$AB$1,0)-1)),4)</f>
        <v>0</v>
      </c>
      <c r="Q616" s="446">
        <f ca="1">ROUND(IF(ISERROR(OFFSET(Ottone!$F$1,MATCH(H616,Ottone!$A:$A,0)-1,MATCH(I616,Ottone!$F$1:$FF$1,0)-1)=TRUE),0,OFFSET(Ottone!$F$1,MATCH(H616,Ottone!$A:$A,0)-1,MATCH(I616,Ottone!$F$1:$FF$1,0)-1))*IF(E616="Ottone",1,0),4)</f>
        <v>0</v>
      </c>
      <c r="R616" s="446">
        <f ca="1">ROUND(IF(ISERROR(OFFSET(Rame!$F$1,MATCH(H616,Rame!$F:$F,0)-1,MATCH(I616,Rame!$F$1:$FF$1,0)-1)=TRUE),0,OFFSET(Rame!$F$1,MATCH(H616,Rame!$F:$F,0)-1,MATCH(I616,Rame!$F$1:$FF$1,0)-1))*IF(E616="Rame",1,0),4)</f>
        <v>0</v>
      </c>
      <c r="S616" s="446">
        <f ca="1">ROUND(IF(ISERROR(OFFSET(Bronzo!$A$1,MATCH(H616,Bronzo!$A:$A,0)-1,MATCH(I616,Bronzo!$A$1:$AA$1,0)-1)=TRUE),0,OFFSET(Bronzo!$A$1,MATCH(H616,Bronzo!$A:$A,0)-1,MATCH(I616,Bronzo!$A$1:$AA$1,0)-1)),4)</f>
        <v>0</v>
      </c>
      <c r="T616" s="446">
        <f t="shared" ca="1" si="195"/>
        <v>0</v>
      </c>
      <c r="U616" s="443"/>
      <c r="V616" s="446">
        <v>0</v>
      </c>
      <c r="W616" s="449">
        <f t="shared" ca="1" si="196"/>
        <v>0</v>
      </c>
      <c r="X616" s="452">
        <f t="shared" si="194"/>
        <v>0</v>
      </c>
      <c r="Y616" s="440"/>
      <c r="Z616" s="440">
        <f t="shared" ca="1" si="197"/>
        <v>0</v>
      </c>
      <c r="AA616" s="241"/>
      <c r="AH616" s="242"/>
    </row>
    <row r="617" spans="2:34" ht="15.75" x14ac:dyDescent="0.25">
      <c r="B617" s="229"/>
      <c r="C617" s="235"/>
      <c r="D617" s="243"/>
      <c r="E617" s="232"/>
      <c r="F617" s="435"/>
      <c r="G617" s="234"/>
      <c r="H617" s="235"/>
      <c r="I617" s="235"/>
      <c r="J617" s="440"/>
      <c r="K617" s="443">
        <f ca="1">ROUND(IF(ISERROR(OFFSET(Tabella!$A$1,MATCH(H617,Tabella!$A:$A,0)-1,MATCH(J617,Tabella!$A$1:$AC$1,0)-1)=TRUE),0,+OFFSET(Tabella!$A$1,MATCH(H617,Tabella!$A:$A,0)-1,MATCH(J617,Tabella!$A$1:$AC$1,0)-1)),4)</f>
        <v>0</v>
      </c>
      <c r="L617" s="446">
        <f ca="1">ROUND(IF(ISERROR(OFFSET(Ottone!$A$1,MATCH(H617,Ottone!$A:$A,0)-1,MATCH(J617,Ottone!$A$1:$Z$1,0)-1)=TRUE),0,OFFSET(Ottone!$A$1,MATCH(H617,Ottone!$A:$A,0)-1,MATCH(J617,Ottone!$A$1:$Z$1,0)-1))*IF(E617="Ottone",1,0),4)</f>
        <v>0</v>
      </c>
      <c r="M617" s="446">
        <f ca="1">ROUND(IF(ISERROR(OFFSET(Rame!$A$1,MATCH(H617,Rame!$A:$A,0)-1,MATCH(J617,Rame!$A$1:$AA$1,0)-1)=TRUE),0,OFFSET(Rame!$A$1,MATCH(H617,Rame!$A:$A,0)-1,MATCH(J617,Rame!$A$1:$AA$1,0)-1))*IF(E617="Rame",1,0),4)</f>
        <v>0</v>
      </c>
      <c r="N617" s="446">
        <v>0</v>
      </c>
      <c r="O617" s="446">
        <f t="shared" ca="1" si="198"/>
        <v>0</v>
      </c>
      <c r="P617" s="446">
        <f ca="1">ROUND(+IF(ISERROR(OFFSET(Tabella!$G$1,MATCH(H617,Tabella!$G:$G,0)-1,MATCH(I617,Tabella!$G$1:$FG$1,0)-1)=TRUE),0,OFFSET(Tabella!$G$1,MATCH(H617,Tabella!$G:$G,0)-1,MATCH(I617,Tabella!$G$1:$AB$1,0)-1)),4)</f>
        <v>0</v>
      </c>
      <c r="Q617" s="446">
        <f ca="1">ROUND(IF(ISERROR(OFFSET(Ottone!$F$1,MATCH(H617,Ottone!$A:$A,0)-1,MATCH(I617,Ottone!$F$1:$FF$1,0)-1)=TRUE),0,OFFSET(Ottone!$F$1,MATCH(H617,Ottone!$A:$A,0)-1,MATCH(I617,Ottone!$F$1:$FF$1,0)-1))*IF(E617="Ottone",1,0),4)</f>
        <v>0</v>
      </c>
      <c r="R617" s="446">
        <f ca="1">ROUND(IF(ISERROR(OFFSET(Rame!$F$1,MATCH(H617,Rame!$F:$F,0)-1,MATCH(I617,Rame!$F$1:$FF$1,0)-1)=TRUE),0,OFFSET(Rame!$F$1,MATCH(H617,Rame!$F:$F,0)-1,MATCH(I617,Rame!$F$1:$FF$1,0)-1))*IF(E617="Rame",1,0),4)</f>
        <v>0</v>
      </c>
      <c r="S617" s="446">
        <f ca="1">ROUND(IF(ISERROR(OFFSET(Bronzo!$A$1,MATCH(H617,Bronzo!$A:$A,0)-1,MATCH(I617,Bronzo!$A$1:$AA$1,0)-1)=TRUE),0,OFFSET(Bronzo!$A$1,MATCH(H617,Bronzo!$A:$A,0)-1,MATCH(I617,Bronzo!$A$1:$AA$1,0)-1)),4)</f>
        <v>0</v>
      </c>
      <c r="T617" s="446">
        <f t="shared" ca="1" si="195"/>
        <v>0</v>
      </c>
      <c r="U617" s="443"/>
      <c r="V617" s="446">
        <v>0</v>
      </c>
      <c r="W617" s="449">
        <f t="shared" ca="1" si="196"/>
        <v>0</v>
      </c>
      <c r="X617" s="452">
        <f t="shared" si="194"/>
        <v>0</v>
      </c>
      <c r="Y617" s="440"/>
      <c r="Z617" s="440">
        <f t="shared" ca="1" si="197"/>
        <v>0</v>
      </c>
      <c r="AA617" s="241"/>
      <c r="AH617" s="242"/>
    </row>
    <row r="618" spans="2:34" ht="15.75" x14ac:dyDescent="0.25">
      <c r="B618" s="229"/>
      <c r="C618" s="235"/>
      <c r="D618" s="243"/>
      <c r="E618" s="232"/>
      <c r="F618" s="435"/>
      <c r="G618" s="234"/>
      <c r="H618" s="235"/>
      <c r="I618" s="235"/>
      <c r="J618" s="440"/>
      <c r="K618" s="443">
        <f ca="1">ROUND(IF(ISERROR(OFFSET(Tabella!$A$1,MATCH(H618,Tabella!$A:$A,0)-1,MATCH(J618,Tabella!$A$1:$AC$1,0)-1)=TRUE),0,+OFFSET(Tabella!$A$1,MATCH(H618,Tabella!$A:$A,0)-1,MATCH(J618,Tabella!$A$1:$AC$1,0)-1)),4)</f>
        <v>0</v>
      </c>
      <c r="L618" s="446">
        <f ca="1">ROUND(IF(ISERROR(OFFSET(Ottone!$A$1,MATCH(H618,Ottone!$A:$A,0)-1,MATCH(J618,Ottone!$A$1:$Z$1,0)-1)=TRUE),0,OFFSET(Ottone!$A$1,MATCH(H618,Ottone!$A:$A,0)-1,MATCH(J618,Ottone!$A$1:$Z$1,0)-1))*IF(E618="Ottone",1,0),4)</f>
        <v>0</v>
      </c>
      <c r="M618" s="446">
        <f ca="1">ROUND(IF(ISERROR(OFFSET(Rame!$A$1,MATCH(H618,Rame!$A:$A,0)-1,MATCH(J618,Rame!$A$1:$AA$1,0)-1)=TRUE),0,OFFSET(Rame!$A$1,MATCH(H618,Rame!$A:$A,0)-1,MATCH(J618,Rame!$A$1:$AA$1,0)-1))*IF(E618="Rame",1,0),4)</f>
        <v>0</v>
      </c>
      <c r="N618" s="446">
        <v>0</v>
      </c>
      <c r="O618" s="446">
        <f t="shared" ca="1" si="198"/>
        <v>0</v>
      </c>
      <c r="P618" s="446">
        <f ca="1">ROUND(+IF(ISERROR(OFFSET(Tabella!$G$1,MATCH(H618,Tabella!$G:$G,0)-1,MATCH(I618,Tabella!$G$1:$FG$1,0)-1)=TRUE),0,OFFSET(Tabella!$G$1,MATCH(H618,Tabella!$G:$G,0)-1,MATCH(I618,Tabella!$G$1:$AB$1,0)-1)),4)</f>
        <v>0</v>
      </c>
      <c r="Q618" s="446">
        <f ca="1">ROUND(IF(ISERROR(OFFSET(Ottone!$F$1,MATCH(H618,Ottone!$A:$A,0)-1,MATCH(I618,Ottone!$F$1:$FF$1,0)-1)=TRUE),0,OFFSET(Ottone!$F$1,MATCH(H618,Ottone!$A:$A,0)-1,MATCH(I618,Ottone!$F$1:$FF$1,0)-1))*IF(E618="Ottone",1,0),4)</f>
        <v>0</v>
      </c>
      <c r="R618" s="446">
        <f ca="1">ROUND(IF(ISERROR(OFFSET(Rame!$F$1,MATCH(H618,Rame!$F:$F,0)-1,MATCH(I618,Rame!$F$1:$FF$1,0)-1)=TRUE),0,OFFSET(Rame!$F$1,MATCH(H618,Rame!$F:$F,0)-1,MATCH(I618,Rame!$F$1:$FF$1,0)-1))*IF(E618="Rame",1,0),4)</f>
        <v>0</v>
      </c>
      <c r="S618" s="446">
        <f ca="1">ROUND(IF(ISERROR(OFFSET(Bronzo!$A$1,MATCH(H618,Bronzo!$A:$A,0)-1,MATCH(I618,Bronzo!$A$1:$AA$1,0)-1)=TRUE),0,OFFSET(Bronzo!$A$1,MATCH(H618,Bronzo!$A:$A,0)-1,MATCH(I618,Bronzo!$A$1:$AA$1,0)-1)),4)</f>
        <v>0</v>
      </c>
      <c r="T618" s="446">
        <f t="shared" ca="1" si="195"/>
        <v>0</v>
      </c>
      <c r="U618" s="443"/>
      <c r="V618" s="446">
        <v>0</v>
      </c>
      <c r="W618" s="449">
        <f t="shared" ca="1" si="196"/>
        <v>0</v>
      </c>
      <c r="X618" s="452">
        <f t="shared" si="194"/>
        <v>0</v>
      </c>
      <c r="Y618" s="440"/>
      <c r="Z618" s="440">
        <f t="shared" ca="1" si="197"/>
        <v>0</v>
      </c>
      <c r="AA618" s="241"/>
      <c r="AH618" s="242"/>
    </row>
    <row r="619" spans="2:34" ht="15.75" x14ac:dyDescent="0.25">
      <c r="B619" s="229"/>
      <c r="C619" s="235"/>
      <c r="D619" s="243"/>
      <c r="E619" s="232"/>
      <c r="F619" s="435"/>
      <c r="G619" s="234"/>
      <c r="H619" s="235"/>
      <c r="I619" s="235"/>
      <c r="J619" s="440"/>
      <c r="K619" s="443">
        <f ca="1">ROUND(IF(ISERROR(OFFSET(Tabella!$A$1,MATCH(H619,Tabella!$A:$A,0)-1,MATCH(J619,Tabella!$A$1:$AC$1,0)-1)=TRUE),0,+OFFSET(Tabella!$A$1,MATCH(H619,Tabella!$A:$A,0)-1,MATCH(J619,Tabella!$A$1:$AC$1,0)-1)),4)</f>
        <v>0</v>
      </c>
      <c r="L619" s="446">
        <f ca="1">ROUND(IF(ISERROR(OFFSET(Ottone!$A$1,MATCH(H619,Ottone!$A:$A,0)-1,MATCH(J619,Ottone!$A$1:$Z$1,0)-1)=TRUE),0,OFFSET(Ottone!$A$1,MATCH(H619,Ottone!$A:$A,0)-1,MATCH(J619,Ottone!$A$1:$Z$1,0)-1))*IF(E619="Ottone",1,0),4)</f>
        <v>0</v>
      </c>
      <c r="M619" s="446">
        <f ca="1">ROUND(IF(ISERROR(OFFSET(Rame!$A$1,MATCH(H619,Rame!$A:$A,0)-1,MATCH(J619,Rame!$A$1:$AA$1,0)-1)=TRUE),0,OFFSET(Rame!$A$1,MATCH(H619,Rame!$A:$A,0)-1,MATCH(J619,Rame!$A$1:$AA$1,0)-1))*IF(E619="Rame",1,0),4)</f>
        <v>0</v>
      </c>
      <c r="N619" s="446">
        <v>0</v>
      </c>
      <c r="O619" s="446">
        <f t="shared" ca="1" si="198"/>
        <v>0</v>
      </c>
      <c r="P619" s="446">
        <f ca="1">ROUND(+IF(ISERROR(OFFSET(Tabella!$G$1,MATCH(H619,Tabella!$G:$G,0)-1,MATCH(I619,Tabella!$G$1:$FG$1,0)-1)=TRUE),0,OFFSET(Tabella!$G$1,MATCH(H619,Tabella!$G:$G,0)-1,MATCH(I619,Tabella!$G$1:$AB$1,0)-1)),4)</f>
        <v>0</v>
      </c>
      <c r="Q619" s="446">
        <f ca="1">ROUND(IF(ISERROR(OFFSET(Ottone!$F$1,MATCH(H619,Ottone!$A:$A,0)-1,MATCH(I619,Ottone!$F$1:$FF$1,0)-1)=TRUE),0,OFFSET(Ottone!$F$1,MATCH(H619,Ottone!$A:$A,0)-1,MATCH(I619,Ottone!$F$1:$FF$1,0)-1))*IF(E619="Ottone",1,0),4)</f>
        <v>0</v>
      </c>
      <c r="R619" s="446">
        <f ca="1">ROUND(IF(ISERROR(OFFSET(Rame!$F$1,MATCH(H619,Rame!$F:$F,0)-1,MATCH(I619,Rame!$F$1:$FF$1,0)-1)=TRUE),0,OFFSET(Rame!$F$1,MATCH(H619,Rame!$F:$F,0)-1,MATCH(I619,Rame!$F$1:$FF$1,0)-1))*IF(E619="Rame",1,0),4)</f>
        <v>0</v>
      </c>
      <c r="S619" s="446">
        <f ca="1">ROUND(IF(ISERROR(OFFSET(Bronzo!$A$1,MATCH(H619,Bronzo!$A:$A,0)-1,MATCH(I619,Bronzo!$A$1:$AA$1,0)-1)=TRUE),0,OFFSET(Bronzo!$A$1,MATCH(H619,Bronzo!$A:$A,0)-1,MATCH(I619,Bronzo!$A$1:$AA$1,0)-1)),4)</f>
        <v>0</v>
      </c>
      <c r="T619" s="446">
        <f t="shared" ca="1" si="195"/>
        <v>0</v>
      </c>
      <c r="U619" s="443"/>
      <c r="V619" s="446">
        <v>0</v>
      </c>
      <c r="W619" s="449">
        <f t="shared" ca="1" si="196"/>
        <v>0</v>
      </c>
      <c r="X619" s="452">
        <f t="shared" si="194"/>
        <v>0</v>
      </c>
      <c r="Y619" s="440"/>
      <c r="Z619" s="440">
        <f t="shared" ca="1" si="197"/>
        <v>0</v>
      </c>
      <c r="AA619" s="241"/>
      <c r="AH619" s="242"/>
    </row>
    <row r="620" spans="2:34" ht="15.75" x14ac:dyDescent="0.25">
      <c r="B620" s="229"/>
      <c r="C620" s="235"/>
      <c r="D620" s="243"/>
      <c r="E620" s="232"/>
      <c r="F620" s="435"/>
      <c r="G620" s="234"/>
      <c r="H620" s="235"/>
      <c r="I620" s="235"/>
      <c r="J620" s="440"/>
      <c r="K620" s="443">
        <f ca="1">ROUND(IF(ISERROR(OFFSET(Tabella!$A$1,MATCH(H620,Tabella!$A:$A,0)-1,MATCH(J620,Tabella!$A$1:$AC$1,0)-1)=TRUE),0,+OFFSET(Tabella!$A$1,MATCH(H620,Tabella!$A:$A,0)-1,MATCH(J620,Tabella!$A$1:$AC$1,0)-1)),4)</f>
        <v>0</v>
      </c>
      <c r="L620" s="446">
        <f ca="1">ROUND(IF(ISERROR(OFFSET(Ottone!$A$1,MATCH(H620,Ottone!$A:$A,0)-1,MATCH(J620,Ottone!$A$1:$Z$1,0)-1)=TRUE),0,OFFSET(Ottone!$A$1,MATCH(H620,Ottone!$A:$A,0)-1,MATCH(J620,Ottone!$A$1:$Z$1,0)-1))*IF(E620="Ottone",1,0),4)</f>
        <v>0</v>
      </c>
      <c r="M620" s="446">
        <f ca="1">ROUND(IF(ISERROR(OFFSET(Rame!$A$1,MATCH(H620,Rame!$A:$A,0)-1,MATCH(J620,Rame!$A$1:$AA$1,0)-1)=TRUE),0,OFFSET(Rame!$A$1,MATCH(H620,Rame!$A:$A,0)-1,MATCH(J620,Rame!$A$1:$AA$1,0)-1))*IF(E620="Rame",1,0),4)</f>
        <v>0</v>
      </c>
      <c r="N620" s="446">
        <v>0</v>
      </c>
      <c r="O620" s="446">
        <f t="shared" ca="1" si="198"/>
        <v>0</v>
      </c>
      <c r="P620" s="446">
        <f ca="1">ROUND(+IF(ISERROR(OFFSET(Tabella!$G$1,MATCH(H620,Tabella!$G:$G,0)-1,MATCH(I620,Tabella!$G$1:$FG$1,0)-1)=TRUE),0,OFFSET(Tabella!$G$1,MATCH(H620,Tabella!$G:$G,0)-1,MATCH(I620,Tabella!$G$1:$AB$1,0)-1)),4)</f>
        <v>0</v>
      </c>
      <c r="Q620" s="446">
        <f ca="1">ROUND(IF(ISERROR(OFFSET(Ottone!$F$1,MATCH(H620,Ottone!$A:$A,0)-1,MATCH(I620,Ottone!$F$1:$FF$1,0)-1)=TRUE),0,OFFSET(Ottone!$F$1,MATCH(H620,Ottone!$A:$A,0)-1,MATCH(I620,Ottone!$F$1:$FF$1,0)-1))*IF(E620="Ottone",1,0),4)</f>
        <v>0</v>
      </c>
      <c r="R620" s="446">
        <f ca="1">ROUND(IF(ISERROR(OFFSET(Rame!$F$1,MATCH(H620,Rame!$F:$F,0)-1,MATCH(I620,Rame!$F$1:$FF$1,0)-1)=TRUE),0,OFFSET(Rame!$F$1,MATCH(H620,Rame!$F:$F,0)-1,MATCH(I620,Rame!$F$1:$FF$1,0)-1))*IF(E620="Rame",1,0),4)</f>
        <v>0</v>
      </c>
      <c r="S620" s="446">
        <f ca="1">ROUND(IF(ISERROR(OFFSET(Bronzo!$A$1,MATCH(H620,Bronzo!$A:$A,0)-1,MATCH(I620,Bronzo!$A$1:$AA$1,0)-1)=TRUE),0,OFFSET(Bronzo!$A$1,MATCH(H620,Bronzo!$A:$A,0)-1,MATCH(I620,Bronzo!$A$1:$AA$1,0)-1)),4)</f>
        <v>0</v>
      </c>
      <c r="T620" s="446">
        <f t="shared" ca="1" si="195"/>
        <v>0</v>
      </c>
      <c r="U620" s="443"/>
      <c r="V620" s="446">
        <v>0</v>
      </c>
      <c r="W620" s="449">
        <f t="shared" ca="1" si="196"/>
        <v>0</v>
      </c>
      <c r="X620" s="452">
        <f t="shared" si="194"/>
        <v>0</v>
      </c>
      <c r="Y620" s="440"/>
      <c r="Z620" s="440">
        <f t="shared" ca="1" si="197"/>
        <v>0</v>
      </c>
      <c r="AA620" s="241"/>
      <c r="AH620" s="242"/>
    </row>
    <row r="621" spans="2:34" ht="15.75" x14ac:dyDescent="0.25">
      <c r="B621" s="229"/>
      <c r="C621" s="235"/>
      <c r="D621" s="243"/>
      <c r="E621" s="232"/>
      <c r="F621" s="435"/>
      <c r="G621" s="234"/>
      <c r="H621" s="235"/>
      <c r="I621" s="235"/>
      <c r="J621" s="440"/>
      <c r="K621" s="443">
        <f ca="1">ROUND(IF(ISERROR(OFFSET(Tabella!$A$1,MATCH(H621,Tabella!$A:$A,0)-1,MATCH(J621,Tabella!$A$1:$AC$1,0)-1)=TRUE),0,+OFFSET(Tabella!$A$1,MATCH(H621,Tabella!$A:$A,0)-1,MATCH(J621,Tabella!$A$1:$AC$1,0)-1)),4)</f>
        <v>0</v>
      </c>
      <c r="L621" s="446">
        <f ca="1">ROUND(IF(ISERROR(OFFSET(Ottone!$A$1,MATCH(H621,Ottone!$A:$A,0)-1,MATCH(J621,Ottone!$A$1:$Z$1,0)-1)=TRUE),0,OFFSET(Ottone!$A$1,MATCH(H621,Ottone!$A:$A,0)-1,MATCH(J621,Ottone!$A$1:$Z$1,0)-1))*IF(E621="Ottone",1,0),4)</f>
        <v>0</v>
      </c>
      <c r="M621" s="446">
        <f ca="1">ROUND(IF(ISERROR(OFFSET(Rame!$A$1,MATCH(H621,Rame!$A:$A,0)-1,MATCH(J621,Rame!$A$1:$AA$1,0)-1)=TRUE),0,OFFSET(Rame!$A$1,MATCH(H621,Rame!$A:$A,0)-1,MATCH(J621,Rame!$A$1:$AA$1,0)-1))*IF(E621="Rame",1,0),4)</f>
        <v>0</v>
      </c>
      <c r="N621" s="446">
        <v>0</v>
      </c>
      <c r="O621" s="446">
        <f t="shared" ca="1" si="198"/>
        <v>0</v>
      </c>
      <c r="P621" s="446">
        <f ca="1">ROUND(+IF(ISERROR(OFFSET(Tabella!$G$1,MATCH(H621,Tabella!$G:$G,0)-1,MATCH(I621,Tabella!$G$1:$FG$1,0)-1)=TRUE),0,OFFSET(Tabella!$G$1,MATCH(H621,Tabella!$G:$G,0)-1,MATCH(I621,Tabella!$G$1:$AB$1,0)-1)),4)</f>
        <v>0</v>
      </c>
      <c r="Q621" s="446">
        <f ca="1">ROUND(IF(ISERROR(OFFSET(Ottone!$F$1,MATCH(H621,Ottone!$A:$A,0)-1,MATCH(I621,Ottone!$F$1:$FF$1,0)-1)=TRUE),0,OFFSET(Ottone!$F$1,MATCH(H621,Ottone!$A:$A,0)-1,MATCH(I621,Ottone!$F$1:$FF$1,0)-1))*IF(E621="Ottone",1,0),4)</f>
        <v>0</v>
      </c>
      <c r="R621" s="446">
        <f ca="1">ROUND(IF(ISERROR(OFFSET(Rame!$F$1,MATCH(H621,Rame!$F:$F,0)-1,MATCH(I621,Rame!$F$1:$FF$1,0)-1)=TRUE),0,OFFSET(Rame!$F$1,MATCH(H621,Rame!$F:$F,0)-1,MATCH(I621,Rame!$F$1:$FF$1,0)-1))*IF(E621="Rame",1,0),4)</f>
        <v>0</v>
      </c>
      <c r="S621" s="446">
        <f ca="1">ROUND(IF(ISERROR(OFFSET(Bronzo!$A$1,MATCH(H621,Bronzo!$A:$A,0)-1,MATCH(I621,Bronzo!$A$1:$AA$1,0)-1)=TRUE),0,OFFSET(Bronzo!$A$1,MATCH(H621,Bronzo!$A:$A,0)-1,MATCH(I621,Bronzo!$A$1:$AA$1,0)-1)),4)</f>
        <v>0</v>
      </c>
      <c r="T621" s="446">
        <f t="shared" ca="1" si="195"/>
        <v>0</v>
      </c>
      <c r="U621" s="443"/>
      <c r="V621" s="446">
        <v>0</v>
      </c>
      <c r="W621" s="449">
        <f t="shared" ca="1" si="196"/>
        <v>0</v>
      </c>
      <c r="X621" s="452">
        <f t="shared" si="194"/>
        <v>0</v>
      </c>
      <c r="Y621" s="440"/>
      <c r="Z621" s="440">
        <f t="shared" ca="1" si="197"/>
        <v>0</v>
      </c>
      <c r="AA621" s="241"/>
      <c r="AH621" s="242"/>
    </row>
    <row r="622" spans="2:34" ht="15.75" x14ac:dyDescent="0.25">
      <c r="B622" s="229"/>
      <c r="C622" s="235"/>
      <c r="D622" s="243"/>
      <c r="E622" s="232"/>
      <c r="F622" s="435"/>
      <c r="G622" s="234"/>
      <c r="H622" s="235"/>
      <c r="I622" s="235"/>
      <c r="J622" s="440"/>
      <c r="K622" s="443">
        <f ca="1">ROUND(IF(ISERROR(OFFSET(Tabella!$A$1,MATCH(H622,Tabella!$A:$A,0)-1,MATCH(J622,Tabella!$A$1:$AC$1,0)-1)=TRUE),0,+OFFSET(Tabella!$A$1,MATCH(H622,Tabella!$A:$A,0)-1,MATCH(J622,Tabella!$A$1:$AC$1,0)-1)),4)</f>
        <v>0</v>
      </c>
      <c r="L622" s="446">
        <f ca="1">ROUND(IF(ISERROR(OFFSET(Ottone!$A$1,MATCH(H622,Ottone!$A:$A,0)-1,MATCH(J622,Ottone!$A$1:$Z$1,0)-1)=TRUE),0,OFFSET(Ottone!$A$1,MATCH(H622,Ottone!$A:$A,0)-1,MATCH(J622,Ottone!$A$1:$Z$1,0)-1))*IF(E622="Ottone",1,0),4)</f>
        <v>0</v>
      </c>
      <c r="M622" s="446">
        <f ca="1">ROUND(IF(ISERROR(OFFSET(Rame!$A$1,MATCH(H622,Rame!$A:$A,0)-1,MATCH(J622,Rame!$A$1:$AA$1,0)-1)=TRUE),0,OFFSET(Rame!$A$1,MATCH(H622,Rame!$A:$A,0)-1,MATCH(J622,Rame!$A$1:$AA$1,0)-1))*IF(E622="Rame",1,0),4)</f>
        <v>0</v>
      </c>
      <c r="N622" s="446">
        <v>0</v>
      </c>
      <c r="O622" s="446">
        <f t="shared" ca="1" si="198"/>
        <v>0</v>
      </c>
      <c r="P622" s="446">
        <f ca="1">ROUND(+IF(ISERROR(OFFSET(Tabella!$G$1,MATCH(H622,Tabella!$G:$G,0)-1,MATCH(I622,Tabella!$G$1:$FG$1,0)-1)=TRUE),0,OFFSET(Tabella!$G$1,MATCH(H622,Tabella!$G:$G,0)-1,MATCH(I622,Tabella!$G$1:$AB$1,0)-1)),4)</f>
        <v>0</v>
      </c>
      <c r="Q622" s="446">
        <f ca="1">ROUND(IF(ISERROR(OFFSET(Ottone!$F$1,MATCH(H622,Ottone!$A:$A,0)-1,MATCH(I622,Ottone!$F$1:$FF$1,0)-1)=TRUE),0,OFFSET(Ottone!$F$1,MATCH(H622,Ottone!$A:$A,0)-1,MATCH(I622,Ottone!$F$1:$FF$1,0)-1))*IF(E622="Ottone",1,0),4)</f>
        <v>0</v>
      </c>
      <c r="R622" s="446">
        <f ca="1">ROUND(IF(ISERROR(OFFSET(Rame!$F$1,MATCH(H622,Rame!$F:$F,0)-1,MATCH(I622,Rame!$F$1:$FF$1,0)-1)=TRUE),0,OFFSET(Rame!$F$1,MATCH(H622,Rame!$F:$F,0)-1,MATCH(I622,Rame!$F$1:$FF$1,0)-1))*IF(E622="Rame",1,0),4)</f>
        <v>0</v>
      </c>
      <c r="S622" s="446">
        <f ca="1">ROUND(IF(ISERROR(OFFSET(Bronzo!$A$1,MATCH(H622,Bronzo!$A:$A,0)-1,MATCH(I622,Bronzo!$A$1:$AA$1,0)-1)=TRUE),0,OFFSET(Bronzo!$A$1,MATCH(H622,Bronzo!$A:$A,0)-1,MATCH(I622,Bronzo!$A$1:$AA$1,0)-1)),4)</f>
        <v>0</v>
      </c>
      <c r="T622" s="446">
        <f t="shared" ca="1" si="195"/>
        <v>0</v>
      </c>
      <c r="U622" s="443"/>
      <c r="V622" s="446">
        <v>0</v>
      </c>
      <c r="W622" s="449">
        <f t="shared" ca="1" si="196"/>
        <v>0</v>
      </c>
      <c r="X622" s="452">
        <f t="shared" si="194"/>
        <v>0</v>
      </c>
      <c r="Y622" s="440"/>
      <c r="Z622" s="440">
        <f t="shared" ca="1" si="197"/>
        <v>0</v>
      </c>
      <c r="AA622" s="241"/>
      <c r="AH622" s="242"/>
    </row>
    <row r="623" spans="2:34" ht="15.75" x14ac:dyDescent="0.25">
      <c r="B623" s="229"/>
      <c r="C623" s="235"/>
      <c r="D623" s="243"/>
      <c r="E623" s="232"/>
      <c r="F623" s="435"/>
      <c r="G623" s="234"/>
      <c r="H623" s="235"/>
      <c r="I623" s="235"/>
      <c r="J623" s="440"/>
      <c r="K623" s="443">
        <f ca="1">ROUND(IF(ISERROR(OFFSET(Tabella!$A$1,MATCH(H623,Tabella!$A:$A,0)-1,MATCH(J623,Tabella!$A$1:$AC$1,0)-1)=TRUE),0,+OFFSET(Tabella!$A$1,MATCH(H623,Tabella!$A:$A,0)-1,MATCH(J623,Tabella!$A$1:$AC$1,0)-1)),4)</f>
        <v>0</v>
      </c>
      <c r="L623" s="446">
        <f ca="1">ROUND(IF(ISERROR(OFFSET(Ottone!$A$1,MATCH(H623,Ottone!$A:$A,0)-1,MATCH(J623,Ottone!$A$1:$Z$1,0)-1)=TRUE),0,OFFSET(Ottone!$A$1,MATCH(H623,Ottone!$A:$A,0)-1,MATCH(J623,Ottone!$A$1:$Z$1,0)-1))*IF(E623="Ottone",1,0),4)</f>
        <v>0</v>
      </c>
      <c r="M623" s="446">
        <f ca="1">ROUND(IF(ISERROR(OFFSET(Rame!$A$1,MATCH(H623,Rame!$A:$A,0)-1,MATCH(J623,Rame!$A$1:$AA$1,0)-1)=TRUE),0,OFFSET(Rame!$A$1,MATCH(H623,Rame!$A:$A,0)-1,MATCH(J623,Rame!$A$1:$AA$1,0)-1))*IF(E623="Rame",1,0),4)</f>
        <v>0</v>
      </c>
      <c r="N623" s="446">
        <v>0</v>
      </c>
      <c r="O623" s="446">
        <f t="shared" ca="1" si="198"/>
        <v>0</v>
      </c>
      <c r="P623" s="446">
        <f ca="1">ROUND(+IF(ISERROR(OFFSET(Tabella!$G$1,MATCH(H623,Tabella!$G:$G,0)-1,MATCH(I623,Tabella!$G$1:$FG$1,0)-1)=TRUE),0,OFFSET(Tabella!$G$1,MATCH(H623,Tabella!$G:$G,0)-1,MATCH(I623,Tabella!$G$1:$AB$1,0)-1)),4)</f>
        <v>0</v>
      </c>
      <c r="Q623" s="446">
        <f ca="1">ROUND(IF(ISERROR(OFFSET(Ottone!$F$1,MATCH(H623,Ottone!$A:$A,0)-1,MATCH(I623,Ottone!$F$1:$FF$1,0)-1)=TRUE),0,OFFSET(Ottone!$F$1,MATCH(H623,Ottone!$A:$A,0)-1,MATCH(I623,Ottone!$F$1:$FF$1,0)-1))*IF(E623="Ottone",1,0),4)</f>
        <v>0</v>
      </c>
      <c r="R623" s="446">
        <f ca="1">ROUND(IF(ISERROR(OFFSET(Rame!$F$1,MATCH(H623,Rame!$F:$F,0)-1,MATCH(I623,Rame!$F$1:$FF$1,0)-1)=TRUE),0,OFFSET(Rame!$F$1,MATCH(H623,Rame!$F:$F,0)-1,MATCH(I623,Rame!$F$1:$FF$1,0)-1))*IF(E623="Rame",1,0),4)</f>
        <v>0</v>
      </c>
      <c r="S623" s="446">
        <f ca="1">ROUND(IF(ISERROR(OFFSET(Bronzo!$A$1,MATCH(H623,Bronzo!$A:$A,0)-1,MATCH(I623,Bronzo!$A$1:$AA$1,0)-1)=TRUE),0,OFFSET(Bronzo!$A$1,MATCH(H623,Bronzo!$A:$A,0)-1,MATCH(I623,Bronzo!$A$1:$AA$1,0)-1)),4)</f>
        <v>0</v>
      </c>
      <c r="T623" s="446">
        <f t="shared" ca="1" si="195"/>
        <v>0</v>
      </c>
      <c r="U623" s="443"/>
      <c r="V623" s="446">
        <v>0</v>
      </c>
      <c r="W623" s="449">
        <f t="shared" ca="1" si="196"/>
        <v>0</v>
      </c>
      <c r="X623" s="452">
        <f t="shared" si="194"/>
        <v>0</v>
      </c>
      <c r="Y623" s="440"/>
      <c r="Z623" s="440">
        <f t="shared" ca="1" si="197"/>
        <v>0</v>
      </c>
      <c r="AA623" s="241"/>
      <c r="AH623" s="242"/>
    </row>
    <row r="624" spans="2:34" ht="15.75" x14ac:dyDescent="0.25">
      <c r="B624" s="229"/>
      <c r="C624" s="235"/>
      <c r="D624" s="243"/>
      <c r="E624" s="232"/>
      <c r="F624" s="435"/>
      <c r="G624" s="234"/>
      <c r="H624" s="235"/>
      <c r="I624" s="235"/>
      <c r="J624" s="440"/>
      <c r="K624" s="443">
        <f ca="1">ROUND(IF(ISERROR(OFFSET(Tabella!$A$1,MATCH(H624,Tabella!$A:$A,0)-1,MATCH(J624,Tabella!$A$1:$AC$1,0)-1)=TRUE),0,+OFFSET(Tabella!$A$1,MATCH(H624,Tabella!$A:$A,0)-1,MATCH(J624,Tabella!$A$1:$AC$1,0)-1)),4)</f>
        <v>0</v>
      </c>
      <c r="L624" s="446">
        <f ca="1">ROUND(IF(ISERROR(OFFSET(Ottone!$A$1,MATCH(H624,Ottone!$A:$A,0)-1,MATCH(J624,Ottone!$A$1:$Z$1,0)-1)=TRUE),0,OFFSET(Ottone!$A$1,MATCH(H624,Ottone!$A:$A,0)-1,MATCH(J624,Ottone!$A$1:$Z$1,0)-1))*IF(E624="Ottone",1,0),4)</f>
        <v>0</v>
      </c>
      <c r="M624" s="446">
        <f ca="1">ROUND(IF(ISERROR(OFFSET(Rame!$A$1,MATCH(H624,Rame!$A:$A,0)-1,MATCH(J624,Rame!$A$1:$AA$1,0)-1)=TRUE),0,OFFSET(Rame!$A$1,MATCH(H624,Rame!$A:$A,0)-1,MATCH(J624,Rame!$A$1:$AA$1,0)-1))*IF(E624="Rame",1,0),4)</f>
        <v>0</v>
      </c>
      <c r="N624" s="446">
        <v>0</v>
      </c>
      <c r="O624" s="446">
        <f t="shared" ca="1" si="198"/>
        <v>0</v>
      </c>
      <c r="P624" s="446">
        <f ca="1">ROUND(+IF(ISERROR(OFFSET(Tabella!$G$1,MATCH(H624,Tabella!$G:$G,0)-1,MATCH(I624,Tabella!$G$1:$FG$1,0)-1)=TRUE),0,OFFSET(Tabella!$G$1,MATCH(H624,Tabella!$G:$G,0)-1,MATCH(I624,Tabella!$G$1:$AB$1,0)-1)),4)</f>
        <v>0</v>
      </c>
      <c r="Q624" s="446">
        <f ca="1">ROUND(IF(ISERROR(OFFSET(Ottone!$F$1,MATCH(H624,Ottone!$A:$A,0)-1,MATCH(I624,Ottone!$F$1:$FF$1,0)-1)=TRUE),0,OFFSET(Ottone!$F$1,MATCH(H624,Ottone!$A:$A,0)-1,MATCH(I624,Ottone!$F$1:$FF$1,0)-1))*IF(E624="Ottone",1,0),4)</f>
        <v>0</v>
      </c>
      <c r="R624" s="446">
        <f ca="1">ROUND(IF(ISERROR(OFFSET(Rame!$F$1,MATCH(H624,Rame!$F:$F,0)-1,MATCH(I624,Rame!$F$1:$FF$1,0)-1)=TRUE),0,OFFSET(Rame!$F$1,MATCH(H624,Rame!$F:$F,0)-1,MATCH(I624,Rame!$F$1:$FF$1,0)-1))*IF(E624="Rame",1,0),4)</f>
        <v>0</v>
      </c>
      <c r="S624" s="446">
        <f ca="1">ROUND(IF(ISERROR(OFFSET(Bronzo!$A$1,MATCH(H624,Bronzo!$A:$A,0)-1,MATCH(I624,Bronzo!$A$1:$AA$1,0)-1)=TRUE),0,OFFSET(Bronzo!$A$1,MATCH(H624,Bronzo!$A:$A,0)-1,MATCH(I624,Bronzo!$A$1:$AA$1,0)-1)),4)</f>
        <v>0</v>
      </c>
      <c r="T624" s="446">
        <f t="shared" ca="1" si="195"/>
        <v>0</v>
      </c>
      <c r="U624" s="443"/>
      <c r="V624" s="446">
        <v>0</v>
      </c>
      <c r="W624" s="449">
        <f t="shared" ca="1" si="196"/>
        <v>0</v>
      </c>
      <c r="X624" s="452">
        <f t="shared" si="194"/>
        <v>0</v>
      </c>
      <c r="Y624" s="440"/>
      <c r="Z624" s="440">
        <f t="shared" ca="1" si="197"/>
        <v>0</v>
      </c>
      <c r="AA624" s="241"/>
      <c r="AH624" s="242"/>
    </row>
    <row r="625" spans="2:34" ht="15.75" x14ac:dyDescent="0.25">
      <c r="B625" s="229"/>
      <c r="C625" s="235"/>
      <c r="D625" s="243"/>
      <c r="E625" s="232"/>
      <c r="F625" s="435"/>
      <c r="G625" s="234"/>
      <c r="H625" s="235"/>
      <c r="I625" s="235"/>
      <c r="J625" s="440"/>
      <c r="K625" s="443">
        <f ca="1">ROUND(IF(ISERROR(OFFSET(Tabella!$A$1,MATCH(H625,Tabella!$A:$A,0)-1,MATCH(J625,Tabella!$A$1:$AC$1,0)-1)=TRUE),0,+OFFSET(Tabella!$A$1,MATCH(H625,Tabella!$A:$A,0)-1,MATCH(J625,Tabella!$A$1:$AC$1,0)-1)),4)</f>
        <v>0</v>
      </c>
      <c r="L625" s="446">
        <f ca="1">ROUND(IF(ISERROR(OFFSET(Ottone!$A$1,MATCH(H625,Ottone!$A:$A,0)-1,MATCH(J625,Ottone!$A$1:$Z$1,0)-1)=TRUE),0,OFFSET(Ottone!$A$1,MATCH(H625,Ottone!$A:$A,0)-1,MATCH(J625,Ottone!$A$1:$Z$1,0)-1))*IF(E625="Ottone",1,0),4)</f>
        <v>0</v>
      </c>
      <c r="M625" s="446">
        <f ca="1">ROUND(IF(ISERROR(OFFSET(Rame!$A$1,MATCH(H625,Rame!$A:$A,0)-1,MATCH(J625,Rame!$A$1:$AA$1,0)-1)=TRUE),0,OFFSET(Rame!$A$1,MATCH(H625,Rame!$A:$A,0)-1,MATCH(J625,Rame!$A$1:$AA$1,0)-1))*IF(E625="Rame",1,0),4)</f>
        <v>0</v>
      </c>
      <c r="N625" s="446">
        <v>0</v>
      </c>
      <c r="O625" s="446">
        <f t="shared" ca="1" si="198"/>
        <v>0</v>
      </c>
      <c r="P625" s="446">
        <f ca="1">ROUND(+IF(ISERROR(OFFSET(Tabella!$G$1,MATCH(H625,Tabella!$G:$G,0)-1,MATCH(I625,Tabella!$G$1:$FG$1,0)-1)=TRUE),0,OFFSET(Tabella!$G$1,MATCH(H625,Tabella!$G:$G,0)-1,MATCH(I625,Tabella!$G$1:$AB$1,0)-1)),4)</f>
        <v>0</v>
      </c>
      <c r="Q625" s="446">
        <f ca="1">ROUND(IF(ISERROR(OFFSET(Ottone!$F$1,MATCH(H625,Ottone!$A:$A,0)-1,MATCH(I625,Ottone!$F$1:$FF$1,0)-1)=TRUE),0,OFFSET(Ottone!$F$1,MATCH(H625,Ottone!$A:$A,0)-1,MATCH(I625,Ottone!$F$1:$FF$1,0)-1))*IF(E625="Ottone",1,0),4)</f>
        <v>0</v>
      </c>
      <c r="R625" s="446">
        <f ca="1">ROUND(IF(ISERROR(OFFSET(Rame!$F$1,MATCH(H625,Rame!$F:$F,0)-1,MATCH(I625,Rame!$F$1:$FF$1,0)-1)=TRUE),0,OFFSET(Rame!$F$1,MATCH(H625,Rame!$F:$F,0)-1,MATCH(I625,Rame!$F$1:$FF$1,0)-1))*IF(E625="Rame",1,0),4)</f>
        <v>0</v>
      </c>
      <c r="S625" s="446">
        <f ca="1">ROUND(IF(ISERROR(OFFSET(Bronzo!$A$1,MATCH(H625,Bronzo!$A:$A,0)-1,MATCH(I625,Bronzo!$A$1:$AA$1,0)-1)=TRUE),0,OFFSET(Bronzo!$A$1,MATCH(H625,Bronzo!$A:$A,0)-1,MATCH(I625,Bronzo!$A$1:$AA$1,0)-1)),4)</f>
        <v>0</v>
      </c>
      <c r="T625" s="446">
        <f t="shared" ca="1" si="195"/>
        <v>0</v>
      </c>
      <c r="U625" s="443"/>
      <c r="V625" s="446">
        <v>0</v>
      </c>
      <c r="W625" s="449">
        <f t="shared" ca="1" si="196"/>
        <v>0</v>
      </c>
      <c r="X625" s="452">
        <f t="shared" si="194"/>
        <v>0</v>
      </c>
      <c r="Y625" s="440"/>
      <c r="Z625" s="440">
        <f t="shared" ca="1" si="197"/>
        <v>0</v>
      </c>
      <c r="AA625" s="241"/>
      <c r="AH625" s="242"/>
    </row>
    <row r="626" spans="2:34" ht="15.75" x14ac:dyDescent="0.25">
      <c r="B626" s="229"/>
      <c r="C626" s="235"/>
      <c r="D626" s="243"/>
      <c r="E626" s="232"/>
      <c r="F626" s="435"/>
      <c r="G626" s="234"/>
      <c r="H626" s="235"/>
      <c r="I626" s="235"/>
      <c r="J626" s="440"/>
      <c r="K626" s="443">
        <f ca="1">ROUND(IF(ISERROR(OFFSET(Tabella!$A$1,MATCH(H626,Tabella!$A:$A,0)-1,MATCH(J626,Tabella!$A$1:$AC$1,0)-1)=TRUE),0,+OFFSET(Tabella!$A$1,MATCH(H626,Tabella!$A:$A,0)-1,MATCH(J626,Tabella!$A$1:$AC$1,0)-1)),4)</f>
        <v>0</v>
      </c>
      <c r="L626" s="446">
        <f ca="1">ROUND(IF(ISERROR(OFFSET(Ottone!$A$1,MATCH(H626,Ottone!$A:$A,0)-1,MATCH(J626,Ottone!$A$1:$Z$1,0)-1)=TRUE),0,OFFSET(Ottone!$A$1,MATCH(H626,Ottone!$A:$A,0)-1,MATCH(J626,Ottone!$A$1:$Z$1,0)-1))*IF(E626="Ottone",1,0),4)</f>
        <v>0</v>
      </c>
      <c r="M626" s="446">
        <f ca="1">ROUND(IF(ISERROR(OFFSET(Rame!$A$1,MATCH(H626,Rame!$A:$A,0)-1,MATCH(J626,Rame!$A$1:$AA$1,0)-1)=TRUE),0,OFFSET(Rame!$A$1,MATCH(H626,Rame!$A:$A,0)-1,MATCH(J626,Rame!$A$1:$AA$1,0)-1))*IF(E626="Rame",1,0),4)</f>
        <v>0</v>
      </c>
      <c r="N626" s="446">
        <v>0</v>
      </c>
      <c r="O626" s="446">
        <f t="shared" ca="1" si="198"/>
        <v>0</v>
      </c>
      <c r="P626" s="446">
        <f ca="1">ROUND(+IF(ISERROR(OFFSET(Tabella!$G$1,MATCH(H626,Tabella!$G:$G,0)-1,MATCH(I626,Tabella!$G$1:$FG$1,0)-1)=TRUE),0,OFFSET(Tabella!$G$1,MATCH(H626,Tabella!$G:$G,0)-1,MATCH(I626,Tabella!$G$1:$AB$1,0)-1)),4)</f>
        <v>0</v>
      </c>
      <c r="Q626" s="446">
        <f ca="1">ROUND(IF(ISERROR(OFFSET(Ottone!$F$1,MATCH(H626,Ottone!$A:$A,0)-1,MATCH(I626,Ottone!$F$1:$FF$1,0)-1)=TRUE),0,OFFSET(Ottone!$F$1,MATCH(H626,Ottone!$A:$A,0)-1,MATCH(I626,Ottone!$F$1:$FF$1,0)-1))*IF(E626="Ottone",1,0),4)</f>
        <v>0</v>
      </c>
      <c r="R626" s="446">
        <f ca="1">ROUND(IF(ISERROR(OFFSET(Rame!$F$1,MATCH(H626,Rame!$F:$F,0)-1,MATCH(I626,Rame!$F$1:$FF$1,0)-1)=TRUE),0,OFFSET(Rame!$F$1,MATCH(H626,Rame!$F:$F,0)-1,MATCH(I626,Rame!$F$1:$FF$1,0)-1))*IF(E626="Rame",1,0),4)</f>
        <v>0</v>
      </c>
      <c r="S626" s="446">
        <f ca="1">ROUND(IF(ISERROR(OFFSET(Bronzo!$A$1,MATCH(H626,Bronzo!$A:$A,0)-1,MATCH(I626,Bronzo!$A$1:$AA$1,0)-1)=TRUE),0,OFFSET(Bronzo!$A$1,MATCH(H626,Bronzo!$A:$A,0)-1,MATCH(I626,Bronzo!$A$1:$AA$1,0)-1)),4)</f>
        <v>0</v>
      </c>
      <c r="T626" s="446">
        <f t="shared" ca="1" si="195"/>
        <v>0</v>
      </c>
      <c r="U626" s="443"/>
      <c r="V626" s="446">
        <v>0</v>
      </c>
      <c r="W626" s="449">
        <f t="shared" ca="1" si="196"/>
        <v>0</v>
      </c>
      <c r="X626" s="452">
        <f t="shared" si="194"/>
        <v>0</v>
      </c>
      <c r="Y626" s="440"/>
      <c r="Z626" s="440">
        <f t="shared" ca="1" si="197"/>
        <v>0</v>
      </c>
      <c r="AA626" s="241"/>
      <c r="AH626" s="242"/>
    </row>
    <row r="627" spans="2:34" ht="15.75" x14ac:dyDescent="0.25">
      <c r="B627" s="229"/>
      <c r="C627" s="235"/>
      <c r="D627" s="243"/>
      <c r="E627" s="232"/>
      <c r="F627" s="435"/>
      <c r="G627" s="234"/>
      <c r="H627" s="235"/>
      <c r="I627" s="235"/>
      <c r="J627" s="440"/>
      <c r="K627" s="443">
        <f ca="1">ROUND(IF(ISERROR(OFFSET(Tabella!$A$1,MATCH(H627,Tabella!$A:$A,0)-1,MATCH(J627,Tabella!$A$1:$AC$1,0)-1)=TRUE),0,+OFFSET(Tabella!$A$1,MATCH(H627,Tabella!$A:$A,0)-1,MATCH(J627,Tabella!$A$1:$AC$1,0)-1)),4)</f>
        <v>0</v>
      </c>
      <c r="L627" s="446">
        <f ca="1">ROUND(IF(ISERROR(OFFSET(Ottone!$A$1,MATCH(H627,Ottone!$A:$A,0)-1,MATCH(J627,Ottone!$A$1:$Z$1,0)-1)=TRUE),0,OFFSET(Ottone!$A$1,MATCH(H627,Ottone!$A:$A,0)-1,MATCH(J627,Ottone!$A$1:$Z$1,0)-1))*IF(E627="Ottone",1,0),4)</f>
        <v>0</v>
      </c>
      <c r="M627" s="446">
        <f ca="1">ROUND(IF(ISERROR(OFFSET(Rame!$A$1,MATCH(H627,Rame!$A:$A,0)-1,MATCH(J627,Rame!$A$1:$AA$1,0)-1)=TRUE),0,OFFSET(Rame!$A$1,MATCH(H627,Rame!$A:$A,0)-1,MATCH(J627,Rame!$A$1:$AA$1,0)-1))*IF(E627="Rame",1,0),4)</f>
        <v>0</v>
      </c>
      <c r="N627" s="446">
        <v>0</v>
      </c>
      <c r="O627" s="446">
        <f t="shared" ca="1" si="198"/>
        <v>0</v>
      </c>
      <c r="P627" s="446">
        <f ca="1">ROUND(+IF(ISERROR(OFFSET(Tabella!$G$1,MATCH(H627,Tabella!$G:$G,0)-1,MATCH(I627,Tabella!$G$1:$FG$1,0)-1)=TRUE),0,OFFSET(Tabella!$G$1,MATCH(H627,Tabella!$G:$G,0)-1,MATCH(I627,Tabella!$G$1:$AB$1,0)-1)),4)</f>
        <v>0</v>
      </c>
      <c r="Q627" s="446">
        <f ca="1">ROUND(IF(ISERROR(OFFSET(Ottone!$F$1,MATCH(H627,Ottone!$A:$A,0)-1,MATCH(I627,Ottone!$F$1:$FF$1,0)-1)=TRUE),0,OFFSET(Ottone!$F$1,MATCH(H627,Ottone!$A:$A,0)-1,MATCH(I627,Ottone!$F$1:$FF$1,0)-1))*IF(E627="Ottone",1,0),4)</f>
        <v>0</v>
      </c>
      <c r="R627" s="446">
        <f ca="1">ROUND(IF(ISERROR(OFFSET(Rame!$F$1,MATCH(H627,Rame!$F:$F,0)-1,MATCH(I627,Rame!$F$1:$FF$1,0)-1)=TRUE),0,OFFSET(Rame!$F$1,MATCH(H627,Rame!$F:$F,0)-1,MATCH(I627,Rame!$F$1:$FF$1,0)-1))*IF(E627="Rame",1,0),4)</f>
        <v>0</v>
      </c>
      <c r="S627" s="446">
        <f ca="1">ROUND(IF(ISERROR(OFFSET(Bronzo!$A$1,MATCH(H627,Bronzo!$A:$A,0)-1,MATCH(I627,Bronzo!$A$1:$AA$1,0)-1)=TRUE),0,OFFSET(Bronzo!$A$1,MATCH(H627,Bronzo!$A:$A,0)-1,MATCH(I627,Bronzo!$A$1:$AA$1,0)-1)),4)</f>
        <v>0</v>
      </c>
      <c r="T627" s="446">
        <f t="shared" ca="1" si="195"/>
        <v>0</v>
      </c>
      <c r="U627" s="443"/>
      <c r="V627" s="446">
        <v>0</v>
      </c>
      <c r="W627" s="449">
        <f t="shared" ca="1" si="196"/>
        <v>0</v>
      </c>
      <c r="X627" s="452">
        <f t="shared" si="194"/>
        <v>0</v>
      </c>
      <c r="Y627" s="440"/>
      <c r="Z627" s="440">
        <f t="shared" ca="1" si="197"/>
        <v>0</v>
      </c>
      <c r="AA627" s="241"/>
      <c r="AH627" s="242"/>
    </row>
    <row r="628" spans="2:34" ht="15.75" x14ac:dyDescent="0.25">
      <c r="B628" s="229"/>
      <c r="C628" s="235"/>
      <c r="D628" s="243"/>
      <c r="E628" s="232"/>
      <c r="F628" s="435"/>
      <c r="G628" s="234"/>
      <c r="H628" s="235"/>
      <c r="I628" s="235"/>
      <c r="J628" s="440"/>
      <c r="K628" s="443">
        <f ca="1">ROUND(IF(ISERROR(OFFSET(Tabella!$A$1,MATCH(H628,Tabella!$A:$A,0)-1,MATCH(J628,Tabella!$A$1:$AC$1,0)-1)=TRUE),0,+OFFSET(Tabella!$A$1,MATCH(H628,Tabella!$A:$A,0)-1,MATCH(J628,Tabella!$A$1:$AC$1,0)-1)),4)</f>
        <v>0</v>
      </c>
      <c r="L628" s="446">
        <f ca="1">ROUND(IF(ISERROR(OFFSET(Ottone!$A$1,MATCH(H628,Ottone!$A:$A,0)-1,MATCH(J628,Ottone!$A$1:$Z$1,0)-1)=TRUE),0,OFFSET(Ottone!$A$1,MATCH(H628,Ottone!$A:$A,0)-1,MATCH(J628,Ottone!$A$1:$Z$1,0)-1))*IF(E628="Ottone",1,0),4)</f>
        <v>0</v>
      </c>
      <c r="M628" s="446">
        <f ca="1">ROUND(IF(ISERROR(OFFSET(Rame!$A$1,MATCH(H628,Rame!$A:$A,0)-1,MATCH(J628,Rame!$A$1:$AA$1,0)-1)=TRUE),0,OFFSET(Rame!$A$1,MATCH(H628,Rame!$A:$A,0)-1,MATCH(J628,Rame!$A$1:$AA$1,0)-1))*IF(E628="Rame",1,0),4)</f>
        <v>0</v>
      </c>
      <c r="N628" s="446">
        <v>0</v>
      </c>
      <c r="O628" s="446">
        <f t="shared" ca="1" si="198"/>
        <v>0</v>
      </c>
      <c r="P628" s="446">
        <f ca="1">ROUND(+IF(ISERROR(OFFSET(Tabella!$G$1,MATCH(H628,Tabella!$G:$G,0)-1,MATCH(I628,Tabella!$G$1:$FG$1,0)-1)=TRUE),0,OFFSET(Tabella!$G$1,MATCH(H628,Tabella!$G:$G,0)-1,MATCH(I628,Tabella!$G$1:$AB$1,0)-1)),4)</f>
        <v>0</v>
      </c>
      <c r="Q628" s="446">
        <f ca="1">ROUND(IF(ISERROR(OFFSET(Ottone!$F$1,MATCH(H628,Ottone!$A:$A,0)-1,MATCH(I628,Ottone!$F$1:$FF$1,0)-1)=TRUE),0,OFFSET(Ottone!$F$1,MATCH(H628,Ottone!$A:$A,0)-1,MATCH(I628,Ottone!$F$1:$FF$1,0)-1))*IF(E628="Ottone",1,0),4)</f>
        <v>0</v>
      </c>
      <c r="R628" s="446">
        <f ca="1">ROUND(IF(ISERROR(OFFSET(Rame!$F$1,MATCH(H628,Rame!$F:$F,0)-1,MATCH(I628,Rame!$F$1:$FF$1,0)-1)=TRUE),0,OFFSET(Rame!$F$1,MATCH(H628,Rame!$F:$F,0)-1,MATCH(I628,Rame!$F$1:$FF$1,0)-1))*IF(E628="Rame",1,0),4)</f>
        <v>0</v>
      </c>
      <c r="S628" s="446">
        <f ca="1">ROUND(IF(ISERROR(OFFSET(Bronzo!$A$1,MATCH(H628,Bronzo!$A:$A,0)-1,MATCH(I628,Bronzo!$A$1:$AA$1,0)-1)=TRUE),0,OFFSET(Bronzo!$A$1,MATCH(H628,Bronzo!$A:$A,0)-1,MATCH(I628,Bronzo!$A$1:$AA$1,0)-1)),4)</f>
        <v>0</v>
      </c>
      <c r="T628" s="446">
        <f t="shared" ca="1" si="195"/>
        <v>0</v>
      </c>
      <c r="U628" s="443"/>
      <c r="V628" s="446">
        <v>0</v>
      </c>
      <c r="W628" s="449">
        <f t="shared" ca="1" si="196"/>
        <v>0</v>
      </c>
      <c r="X628" s="452">
        <f t="shared" si="194"/>
        <v>0</v>
      </c>
      <c r="Y628" s="440"/>
      <c r="Z628" s="440">
        <f t="shared" ca="1" si="197"/>
        <v>0</v>
      </c>
      <c r="AA628" s="241"/>
      <c r="AH628" s="242"/>
    </row>
    <row r="629" spans="2:34" ht="15.75" x14ac:dyDescent="0.25">
      <c r="B629" s="229"/>
      <c r="C629" s="235"/>
      <c r="D629" s="243"/>
      <c r="E629" s="232"/>
      <c r="F629" s="435"/>
      <c r="G629" s="234"/>
      <c r="H629" s="235"/>
      <c r="I629" s="235"/>
      <c r="J629" s="440"/>
      <c r="K629" s="443">
        <f ca="1">ROUND(IF(ISERROR(OFFSET(Tabella!$A$1,MATCH(H629,Tabella!$A:$A,0)-1,MATCH(J629,Tabella!$A$1:$AC$1,0)-1)=TRUE),0,+OFFSET(Tabella!$A$1,MATCH(H629,Tabella!$A:$A,0)-1,MATCH(J629,Tabella!$A$1:$AC$1,0)-1)),4)</f>
        <v>0</v>
      </c>
      <c r="L629" s="446">
        <f ca="1">ROUND(IF(ISERROR(OFFSET(Ottone!$A$1,MATCH(H629,Ottone!$A:$A,0)-1,MATCH(J629,Ottone!$A$1:$Z$1,0)-1)=TRUE),0,OFFSET(Ottone!$A$1,MATCH(H629,Ottone!$A:$A,0)-1,MATCH(J629,Ottone!$A$1:$Z$1,0)-1))*IF(E629="Ottone",1,0),4)</f>
        <v>0</v>
      </c>
      <c r="M629" s="446">
        <f ca="1">ROUND(IF(ISERROR(OFFSET(Rame!$A$1,MATCH(H629,Rame!$A:$A,0)-1,MATCH(J629,Rame!$A$1:$AA$1,0)-1)=TRUE),0,OFFSET(Rame!$A$1,MATCH(H629,Rame!$A:$A,0)-1,MATCH(J629,Rame!$A$1:$AA$1,0)-1))*IF(E629="Rame",1,0),4)</f>
        <v>0</v>
      </c>
      <c r="N629" s="446">
        <v>0</v>
      </c>
      <c r="O629" s="446">
        <f t="shared" ca="1" si="198"/>
        <v>0</v>
      </c>
      <c r="P629" s="446">
        <f ca="1">ROUND(+IF(ISERROR(OFFSET(Tabella!$G$1,MATCH(H629,Tabella!$G:$G,0)-1,MATCH(I629,Tabella!$G$1:$FG$1,0)-1)=TRUE),0,OFFSET(Tabella!$G$1,MATCH(H629,Tabella!$G:$G,0)-1,MATCH(I629,Tabella!$G$1:$AB$1,0)-1)),4)</f>
        <v>0</v>
      </c>
      <c r="Q629" s="446">
        <f ca="1">ROUND(IF(ISERROR(OFFSET(Ottone!$F$1,MATCH(H629,Ottone!$A:$A,0)-1,MATCH(I629,Ottone!$F$1:$FF$1,0)-1)=TRUE),0,OFFSET(Ottone!$F$1,MATCH(H629,Ottone!$A:$A,0)-1,MATCH(I629,Ottone!$F$1:$FF$1,0)-1))*IF(E629="Ottone",1,0),4)</f>
        <v>0</v>
      </c>
      <c r="R629" s="446">
        <f ca="1">ROUND(IF(ISERROR(OFFSET(Rame!$F$1,MATCH(H629,Rame!$F:$F,0)-1,MATCH(I629,Rame!$F$1:$FF$1,0)-1)=TRUE),0,OFFSET(Rame!$F$1,MATCH(H629,Rame!$F:$F,0)-1,MATCH(I629,Rame!$F$1:$FF$1,0)-1))*IF(E629="Rame",1,0),4)</f>
        <v>0</v>
      </c>
      <c r="S629" s="446">
        <f ca="1">ROUND(IF(ISERROR(OFFSET(Bronzo!$A$1,MATCH(H629,Bronzo!$A:$A,0)-1,MATCH(I629,Bronzo!$A$1:$AA$1,0)-1)=TRUE),0,OFFSET(Bronzo!$A$1,MATCH(H629,Bronzo!$A:$A,0)-1,MATCH(I629,Bronzo!$A$1:$AA$1,0)-1)),4)</f>
        <v>0</v>
      </c>
      <c r="T629" s="446">
        <f t="shared" ca="1" si="195"/>
        <v>0</v>
      </c>
      <c r="U629" s="443"/>
      <c r="V629" s="446">
        <v>0</v>
      </c>
      <c r="W629" s="449">
        <f t="shared" ca="1" si="196"/>
        <v>0</v>
      </c>
      <c r="X629" s="452">
        <f t="shared" si="194"/>
        <v>0</v>
      </c>
      <c r="Y629" s="440"/>
      <c r="Z629" s="440">
        <f t="shared" ca="1" si="197"/>
        <v>0</v>
      </c>
      <c r="AA629" s="241"/>
      <c r="AH629" s="242"/>
    </row>
    <row r="630" spans="2:34" ht="15.75" x14ac:dyDescent="0.25">
      <c r="B630" s="229"/>
      <c r="C630" s="235"/>
      <c r="D630" s="243"/>
      <c r="E630" s="232"/>
      <c r="F630" s="435"/>
      <c r="G630" s="234"/>
      <c r="H630" s="235"/>
      <c r="I630" s="235"/>
      <c r="J630" s="440"/>
      <c r="K630" s="443">
        <f ca="1">ROUND(IF(ISERROR(OFFSET(Tabella!$A$1,MATCH(H630,Tabella!$A:$A,0)-1,MATCH(J630,Tabella!$A$1:$AC$1,0)-1)=TRUE),0,+OFFSET(Tabella!$A$1,MATCH(H630,Tabella!$A:$A,0)-1,MATCH(J630,Tabella!$A$1:$AC$1,0)-1)),4)</f>
        <v>0</v>
      </c>
      <c r="L630" s="446">
        <f ca="1">ROUND(IF(ISERROR(OFFSET(Ottone!$A$1,MATCH(H630,Ottone!$A:$A,0)-1,MATCH(J630,Ottone!$A$1:$Z$1,0)-1)=TRUE),0,OFFSET(Ottone!$A$1,MATCH(H630,Ottone!$A:$A,0)-1,MATCH(J630,Ottone!$A$1:$Z$1,0)-1))*IF(E630="Ottone",1,0),4)</f>
        <v>0</v>
      </c>
      <c r="M630" s="446">
        <f ca="1">ROUND(IF(ISERROR(OFFSET(Rame!$A$1,MATCH(H630,Rame!$A:$A,0)-1,MATCH(J630,Rame!$A$1:$AA$1,0)-1)=TRUE),0,OFFSET(Rame!$A$1,MATCH(H630,Rame!$A:$A,0)-1,MATCH(J630,Rame!$A$1:$AA$1,0)-1))*IF(E630="Rame",1,0),4)</f>
        <v>0</v>
      </c>
      <c r="N630" s="446">
        <v>0</v>
      </c>
      <c r="O630" s="446">
        <f t="shared" ca="1" si="198"/>
        <v>0</v>
      </c>
      <c r="P630" s="446">
        <f ca="1">ROUND(+IF(ISERROR(OFFSET(Tabella!$G$1,MATCH(H630,Tabella!$G:$G,0)-1,MATCH(I630,Tabella!$G$1:$FG$1,0)-1)=TRUE),0,OFFSET(Tabella!$G$1,MATCH(H630,Tabella!$G:$G,0)-1,MATCH(I630,Tabella!$G$1:$AB$1,0)-1)),4)</f>
        <v>0</v>
      </c>
      <c r="Q630" s="446">
        <f ca="1">ROUND(IF(ISERROR(OFFSET(Ottone!$F$1,MATCH(H630,Ottone!$A:$A,0)-1,MATCH(I630,Ottone!$F$1:$FF$1,0)-1)=TRUE),0,OFFSET(Ottone!$F$1,MATCH(H630,Ottone!$A:$A,0)-1,MATCH(I630,Ottone!$F$1:$FF$1,0)-1))*IF(E630="Ottone",1,0),4)</f>
        <v>0</v>
      </c>
      <c r="R630" s="446">
        <f ca="1">ROUND(IF(ISERROR(OFFSET(Rame!$F$1,MATCH(H630,Rame!$F:$F,0)-1,MATCH(I630,Rame!$F$1:$FF$1,0)-1)=TRUE),0,OFFSET(Rame!$F$1,MATCH(H630,Rame!$F:$F,0)-1,MATCH(I630,Rame!$F$1:$FF$1,0)-1))*IF(E630="Rame",1,0),4)</f>
        <v>0</v>
      </c>
      <c r="S630" s="446">
        <f ca="1">ROUND(IF(ISERROR(OFFSET(Bronzo!$A$1,MATCH(H630,Bronzo!$A:$A,0)-1,MATCH(I630,Bronzo!$A$1:$AA$1,0)-1)=TRUE),0,OFFSET(Bronzo!$A$1,MATCH(H630,Bronzo!$A:$A,0)-1,MATCH(I630,Bronzo!$A$1:$AA$1,0)-1)),4)</f>
        <v>0</v>
      </c>
      <c r="T630" s="446">
        <f t="shared" ca="1" si="195"/>
        <v>0</v>
      </c>
      <c r="U630" s="443"/>
      <c r="V630" s="446">
        <v>0</v>
      </c>
      <c r="W630" s="449">
        <f t="shared" ca="1" si="196"/>
        <v>0</v>
      </c>
      <c r="X630" s="452">
        <f t="shared" si="194"/>
        <v>0</v>
      </c>
      <c r="Y630" s="440"/>
      <c r="Z630" s="440">
        <f t="shared" ca="1" si="197"/>
        <v>0</v>
      </c>
      <c r="AA630" s="241"/>
      <c r="AH630" s="242"/>
    </row>
    <row r="631" spans="2:34" ht="15.75" x14ac:dyDescent="0.25">
      <c r="B631" s="229"/>
      <c r="C631" s="235"/>
      <c r="D631" s="243"/>
      <c r="E631" s="232"/>
      <c r="F631" s="435"/>
      <c r="G631" s="234"/>
      <c r="H631" s="235"/>
      <c r="I631" s="235"/>
      <c r="J631" s="440"/>
      <c r="K631" s="443">
        <f ca="1">ROUND(IF(ISERROR(OFFSET(Tabella!$A$1,MATCH(H631,Tabella!$A:$A,0)-1,MATCH(J631,Tabella!$A$1:$AC$1,0)-1)=TRUE),0,+OFFSET(Tabella!$A$1,MATCH(H631,Tabella!$A:$A,0)-1,MATCH(J631,Tabella!$A$1:$AC$1,0)-1)),4)</f>
        <v>0</v>
      </c>
      <c r="L631" s="446">
        <f ca="1">ROUND(IF(ISERROR(OFFSET(Ottone!$A$1,MATCH(H631,Ottone!$A:$A,0)-1,MATCH(J631,Ottone!$A$1:$Z$1,0)-1)=TRUE),0,OFFSET(Ottone!$A$1,MATCH(H631,Ottone!$A:$A,0)-1,MATCH(J631,Ottone!$A$1:$Z$1,0)-1))*IF(E631="Ottone",1,0),4)</f>
        <v>0</v>
      </c>
      <c r="M631" s="446">
        <f ca="1">ROUND(IF(ISERROR(OFFSET(Rame!$A$1,MATCH(H631,Rame!$A:$A,0)-1,MATCH(J631,Rame!$A$1:$AA$1,0)-1)=TRUE),0,OFFSET(Rame!$A$1,MATCH(H631,Rame!$A:$A,0)-1,MATCH(J631,Rame!$A$1:$AA$1,0)-1))*IF(E631="Rame",1,0),4)</f>
        <v>0</v>
      </c>
      <c r="N631" s="446">
        <v>0</v>
      </c>
      <c r="O631" s="446">
        <f t="shared" ca="1" si="198"/>
        <v>0</v>
      </c>
      <c r="P631" s="446">
        <f ca="1">ROUND(+IF(ISERROR(OFFSET(Tabella!$G$1,MATCH(H631,Tabella!$G:$G,0)-1,MATCH(I631,Tabella!$G$1:$FG$1,0)-1)=TRUE),0,OFFSET(Tabella!$G$1,MATCH(H631,Tabella!$G:$G,0)-1,MATCH(I631,Tabella!$G$1:$AB$1,0)-1)),4)</f>
        <v>0</v>
      </c>
      <c r="Q631" s="446">
        <f ca="1">ROUND(IF(ISERROR(OFFSET(Ottone!$F$1,MATCH(H631,Ottone!$A:$A,0)-1,MATCH(I631,Ottone!$F$1:$FF$1,0)-1)=TRUE),0,OFFSET(Ottone!$F$1,MATCH(H631,Ottone!$A:$A,0)-1,MATCH(I631,Ottone!$F$1:$FF$1,0)-1))*IF(E631="Ottone",1,0),4)</f>
        <v>0</v>
      </c>
      <c r="R631" s="446">
        <f ca="1">ROUND(IF(ISERROR(OFFSET(Rame!$F$1,MATCH(H631,Rame!$F:$F,0)-1,MATCH(I631,Rame!$F$1:$FF$1,0)-1)=TRUE),0,OFFSET(Rame!$F$1,MATCH(H631,Rame!$F:$F,0)-1,MATCH(I631,Rame!$F$1:$FF$1,0)-1))*IF(E631="Rame",1,0),4)</f>
        <v>0</v>
      </c>
      <c r="S631" s="446">
        <f ca="1">ROUND(IF(ISERROR(OFFSET(Bronzo!$A$1,MATCH(H631,Bronzo!$A:$A,0)-1,MATCH(I631,Bronzo!$A$1:$AA$1,0)-1)=TRUE),0,OFFSET(Bronzo!$A$1,MATCH(H631,Bronzo!$A:$A,0)-1,MATCH(I631,Bronzo!$A$1:$AA$1,0)-1)),4)</f>
        <v>0</v>
      </c>
      <c r="T631" s="446">
        <f t="shared" ca="1" si="195"/>
        <v>0</v>
      </c>
      <c r="U631" s="443"/>
      <c r="V631" s="446">
        <v>0</v>
      </c>
      <c r="W631" s="449">
        <f t="shared" ca="1" si="196"/>
        <v>0</v>
      </c>
      <c r="X631" s="452">
        <f t="shared" si="194"/>
        <v>0</v>
      </c>
      <c r="Y631" s="440"/>
      <c r="Z631" s="440">
        <f t="shared" ca="1" si="197"/>
        <v>0</v>
      </c>
      <c r="AA631" s="241"/>
      <c r="AH631" s="242"/>
    </row>
    <row r="632" spans="2:34" ht="15.75" x14ac:dyDescent="0.25">
      <c r="B632" s="229"/>
      <c r="C632" s="235"/>
      <c r="D632" s="243"/>
      <c r="E632" s="232"/>
      <c r="F632" s="435"/>
      <c r="G632" s="234"/>
      <c r="H632" s="235"/>
      <c r="I632" s="235"/>
      <c r="J632" s="440"/>
      <c r="K632" s="443">
        <f ca="1">ROUND(IF(ISERROR(OFFSET(Tabella!$A$1,MATCH(H632,Tabella!$A:$A,0)-1,MATCH(J632,Tabella!$A$1:$AC$1,0)-1)=TRUE),0,+OFFSET(Tabella!$A$1,MATCH(H632,Tabella!$A:$A,0)-1,MATCH(J632,Tabella!$A$1:$AC$1,0)-1)),4)</f>
        <v>0</v>
      </c>
      <c r="L632" s="446">
        <f ca="1">ROUND(IF(ISERROR(OFFSET(Ottone!$A$1,MATCH(H632,Ottone!$A:$A,0)-1,MATCH(J632,Ottone!$A$1:$Z$1,0)-1)=TRUE),0,OFFSET(Ottone!$A$1,MATCH(H632,Ottone!$A:$A,0)-1,MATCH(J632,Ottone!$A$1:$Z$1,0)-1))*IF(E632="Ottone",1,0),4)</f>
        <v>0</v>
      </c>
      <c r="M632" s="446">
        <f ca="1">ROUND(IF(ISERROR(OFFSET(Rame!$A$1,MATCH(H632,Rame!$A:$A,0)-1,MATCH(J632,Rame!$A$1:$AA$1,0)-1)=TRUE),0,OFFSET(Rame!$A$1,MATCH(H632,Rame!$A:$A,0)-1,MATCH(J632,Rame!$A$1:$AA$1,0)-1))*IF(E632="Rame",1,0),4)</f>
        <v>0</v>
      </c>
      <c r="N632" s="446">
        <v>0</v>
      </c>
      <c r="O632" s="446">
        <f t="shared" ca="1" si="198"/>
        <v>0</v>
      </c>
      <c r="P632" s="446">
        <f ca="1">ROUND(+IF(ISERROR(OFFSET(Tabella!$G$1,MATCH(H632,Tabella!$G:$G,0)-1,MATCH(I632,Tabella!$G$1:$FG$1,0)-1)=TRUE),0,OFFSET(Tabella!$G$1,MATCH(H632,Tabella!$G:$G,0)-1,MATCH(I632,Tabella!$G$1:$AB$1,0)-1)),4)</f>
        <v>0</v>
      </c>
      <c r="Q632" s="446">
        <f ca="1">ROUND(IF(ISERROR(OFFSET(Ottone!$F$1,MATCH(H632,Ottone!$A:$A,0)-1,MATCH(I632,Ottone!$F$1:$FF$1,0)-1)=TRUE),0,OFFSET(Ottone!$F$1,MATCH(H632,Ottone!$A:$A,0)-1,MATCH(I632,Ottone!$F$1:$FF$1,0)-1))*IF(E632="Ottone",1,0),4)</f>
        <v>0</v>
      </c>
      <c r="R632" s="446">
        <f ca="1">ROUND(IF(ISERROR(OFFSET(Rame!$F$1,MATCH(H632,Rame!$F:$F,0)-1,MATCH(I632,Rame!$F$1:$FF$1,0)-1)=TRUE),0,OFFSET(Rame!$F$1,MATCH(H632,Rame!$F:$F,0)-1,MATCH(I632,Rame!$F$1:$FF$1,0)-1))*IF(E632="Rame",1,0),4)</f>
        <v>0</v>
      </c>
      <c r="S632" s="446">
        <f ca="1">ROUND(IF(ISERROR(OFFSET(Bronzo!$A$1,MATCH(H632,Bronzo!$A:$A,0)-1,MATCH(I632,Bronzo!$A$1:$AA$1,0)-1)=TRUE),0,OFFSET(Bronzo!$A$1,MATCH(H632,Bronzo!$A:$A,0)-1,MATCH(I632,Bronzo!$A$1:$AA$1,0)-1)),4)</f>
        <v>0</v>
      </c>
      <c r="T632" s="446">
        <f t="shared" ca="1" si="195"/>
        <v>0</v>
      </c>
      <c r="U632" s="443"/>
      <c r="V632" s="446">
        <v>0</v>
      </c>
      <c r="W632" s="449">
        <f t="shared" ca="1" si="196"/>
        <v>0</v>
      </c>
      <c r="X632" s="452">
        <f t="shared" si="194"/>
        <v>0</v>
      </c>
      <c r="Y632" s="440"/>
      <c r="Z632" s="440">
        <f t="shared" ca="1" si="197"/>
        <v>0</v>
      </c>
      <c r="AA632" s="241"/>
      <c r="AH632" s="242"/>
    </row>
    <row r="633" spans="2:34" ht="15.75" x14ac:dyDescent="0.25">
      <c r="B633" s="229"/>
      <c r="C633" s="235"/>
      <c r="D633" s="243"/>
      <c r="E633" s="232"/>
      <c r="F633" s="435"/>
      <c r="G633" s="234"/>
      <c r="H633" s="235"/>
      <c r="I633" s="235"/>
      <c r="J633" s="440"/>
      <c r="K633" s="443">
        <f ca="1">ROUND(IF(ISERROR(OFFSET(Tabella!$A$1,MATCH(H633,Tabella!$A:$A,0)-1,MATCH(J633,Tabella!$A$1:$AC$1,0)-1)=TRUE),0,+OFFSET(Tabella!$A$1,MATCH(H633,Tabella!$A:$A,0)-1,MATCH(J633,Tabella!$A$1:$AC$1,0)-1)),4)</f>
        <v>0</v>
      </c>
      <c r="L633" s="446">
        <f ca="1">ROUND(IF(ISERROR(OFFSET(Ottone!$A$1,MATCH(H633,Ottone!$A:$A,0)-1,MATCH(J633,Ottone!$A$1:$Z$1,0)-1)=TRUE),0,OFFSET(Ottone!$A$1,MATCH(H633,Ottone!$A:$A,0)-1,MATCH(J633,Ottone!$A$1:$Z$1,0)-1))*IF(E633="Ottone",1,0),4)</f>
        <v>0</v>
      </c>
      <c r="M633" s="446">
        <f ca="1">ROUND(IF(ISERROR(OFFSET(Rame!$A$1,MATCH(H633,Rame!$A:$A,0)-1,MATCH(J633,Rame!$A$1:$AA$1,0)-1)=TRUE),0,OFFSET(Rame!$A$1,MATCH(H633,Rame!$A:$A,0)-1,MATCH(J633,Rame!$A$1:$AA$1,0)-1))*IF(E633="Rame",1,0),4)</f>
        <v>0</v>
      </c>
      <c r="N633" s="446">
        <v>0</v>
      </c>
      <c r="O633" s="446">
        <f t="shared" ca="1" si="198"/>
        <v>0</v>
      </c>
      <c r="P633" s="446">
        <f ca="1">ROUND(+IF(ISERROR(OFFSET(Tabella!$G$1,MATCH(H633,Tabella!$G:$G,0)-1,MATCH(I633,Tabella!$G$1:$FG$1,0)-1)=TRUE),0,OFFSET(Tabella!$G$1,MATCH(H633,Tabella!$G:$G,0)-1,MATCH(I633,Tabella!$G$1:$AB$1,0)-1)),4)</f>
        <v>0</v>
      </c>
      <c r="Q633" s="446">
        <f ca="1">ROUND(IF(ISERROR(OFFSET(Ottone!$F$1,MATCH(H633,Ottone!$A:$A,0)-1,MATCH(I633,Ottone!$F$1:$FF$1,0)-1)=TRUE),0,OFFSET(Ottone!$F$1,MATCH(H633,Ottone!$A:$A,0)-1,MATCH(I633,Ottone!$F$1:$FF$1,0)-1))*IF(E633="Ottone",1,0),4)</f>
        <v>0</v>
      </c>
      <c r="R633" s="446">
        <f ca="1">ROUND(IF(ISERROR(OFFSET(Rame!$F$1,MATCH(H633,Rame!$F:$F,0)-1,MATCH(I633,Rame!$F$1:$FF$1,0)-1)=TRUE),0,OFFSET(Rame!$F$1,MATCH(H633,Rame!$F:$F,0)-1,MATCH(I633,Rame!$F$1:$FF$1,0)-1))*IF(E633="Rame",1,0),4)</f>
        <v>0</v>
      </c>
      <c r="S633" s="446">
        <f ca="1">ROUND(IF(ISERROR(OFFSET(Bronzo!$A$1,MATCH(H633,Bronzo!$A:$A,0)-1,MATCH(I633,Bronzo!$A$1:$AA$1,0)-1)=TRUE),0,OFFSET(Bronzo!$A$1,MATCH(H633,Bronzo!$A:$A,0)-1,MATCH(I633,Bronzo!$A$1:$AA$1,0)-1)),4)</f>
        <v>0</v>
      </c>
      <c r="T633" s="446">
        <f t="shared" ca="1" si="195"/>
        <v>0</v>
      </c>
      <c r="U633" s="443"/>
      <c r="V633" s="446">
        <v>0</v>
      </c>
      <c r="W633" s="449">
        <f t="shared" ca="1" si="196"/>
        <v>0</v>
      </c>
      <c r="X633" s="452">
        <f t="shared" si="194"/>
        <v>0</v>
      </c>
      <c r="Y633" s="440"/>
      <c r="Z633" s="440">
        <f t="shared" ca="1" si="197"/>
        <v>0</v>
      </c>
      <c r="AA633" s="241"/>
      <c r="AH633" s="242"/>
    </row>
    <row r="634" spans="2:34" ht="15.75" x14ac:dyDescent="0.25">
      <c r="B634" s="229"/>
      <c r="C634" s="235"/>
      <c r="D634" s="243"/>
      <c r="E634" s="232"/>
      <c r="F634" s="435"/>
      <c r="G634" s="234"/>
      <c r="H634" s="235"/>
      <c r="I634" s="235"/>
      <c r="J634" s="440"/>
      <c r="K634" s="443">
        <f ca="1">ROUND(IF(ISERROR(OFFSET(Tabella!$A$1,MATCH(H634,Tabella!$A:$A,0)-1,MATCH(J634,Tabella!$A$1:$AC$1,0)-1)=TRUE),0,+OFFSET(Tabella!$A$1,MATCH(H634,Tabella!$A:$A,0)-1,MATCH(J634,Tabella!$A$1:$AC$1,0)-1)),4)</f>
        <v>0</v>
      </c>
      <c r="L634" s="446">
        <f ca="1">ROUND(IF(ISERROR(OFFSET(Ottone!$A$1,MATCH(H634,Ottone!$A:$A,0)-1,MATCH(J634,Ottone!$A$1:$Z$1,0)-1)=TRUE),0,OFFSET(Ottone!$A$1,MATCH(H634,Ottone!$A:$A,0)-1,MATCH(J634,Ottone!$A$1:$Z$1,0)-1))*IF(E634="Ottone",1,0),4)</f>
        <v>0</v>
      </c>
      <c r="M634" s="446">
        <f ca="1">ROUND(IF(ISERROR(OFFSET(Rame!$A$1,MATCH(H634,Rame!$A:$A,0)-1,MATCH(J634,Rame!$A$1:$AA$1,0)-1)=TRUE),0,OFFSET(Rame!$A$1,MATCH(H634,Rame!$A:$A,0)-1,MATCH(J634,Rame!$A$1:$AA$1,0)-1))*IF(E634="Rame",1,0),4)</f>
        <v>0</v>
      </c>
      <c r="N634" s="446">
        <v>0</v>
      </c>
      <c r="O634" s="446">
        <f t="shared" ca="1" si="198"/>
        <v>0</v>
      </c>
      <c r="P634" s="446">
        <f ca="1">ROUND(+IF(ISERROR(OFFSET(Tabella!$G$1,MATCH(H634,Tabella!$G:$G,0)-1,MATCH(I634,Tabella!$G$1:$FG$1,0)-1)=TRUE),0,OFFSET(Tabella!$G$1,MATCH(H634,Tabella!$G:$G,0)-1,MATCH(I634,Tabella!$G$1:$AB$1,0)-1)),4)</f>
        <v>0</v>
      </c>
      <c r="Q634" s="446">
        <f ca="1">ROUND(IF(ISERROR(OFFSET(Ottone!$F$1,MATCH(H634,Ottone!$A:$A,0)-1,MATCH(I634,Ottone!$F$1:$FF$1,0)-1)=TRUE),0,OFFSET(Ottone!$F$1,MATCH(H634,Ottone!$A:$A,0)-1,MATCH(I634,Ottone!$F$1:$FF$1,0)-1))*IF(E634="Ottone",1,0),4)</f>
        <v>0</v>
      </c>
      <c r="R634" s="446">
        <f ca="1">ROUND(IF(ISERROR(OFFSET(Rame!$F$1,MATCH(H634,Rame!$F:$F,0)-1,MATCH(I634,Rame!$F$1:$FF$1,0)-1)=TRUE),0,OFFSET(Rame!$F$1,MATCH(H634,Rame!$F:$F,0)-1,MATCH(I634,Rame!$F$1:$FF$1,0)-1))*IF(E634="Rame",1,0),4)</f>
        <v>0</v>
      </c>
      <c r="S634" s="446">
        <f ca="1">ROUND(IF(ISERROR(OFFSET(Bronzo!$A$1,MATCH(H634,Bronzo!$A:$A,0)-1,MATCH(I634,Bronzo!$A$1:$AA$1,0)-1)=TRUE),0,OFFSET(Bronzo!$A$1,MATCH(H634,Bronzo!$A:$A,0)-1,MATCH(I634,Bronzo!$A$1:$AA$1,0)-1)),4)</f>
        <v>0</v>
      </c>
      <c r="T634" s="446">
        <f t="shared" ca="1" si="195"/>
        <v>0</v>
      </c>
      <c r="U634" s="443"/>
      <c r="V634" s="446">
        <v>0</v>
      </c>
      <c r="W634" s="449">
        <f t="shared" ca="1" si="196"/>
        <v>0</v>
      </c>
      <c r="X634" s="452">
        <f t="shared" si="194"/>
        <v>0</v>
      </c>
      <c r="Y634" s="440"/>
      <c r="Z634" s="440">
        <f t="shared" ca="1" si="197"/>
        <v>0</v>
      </c>
      <c r="AA634" s="241"/>
      <c r="AH634" s="242"/>
    </row>
    <row r="635" spans="2:34" ht="15.75" x14ac:dyDescent="0.25">
      <c r="B635" s="229"/>
      <c r="C635" s="235"/>
      <c r="D635" s="243"/>
      <c r="E635" s="232"/>
      <c r="F635" s="435"/>
      <c r="G635" s="234"/>
      <c r="H635" s="235"/>
      <c r="I635" s="235"/>
      <c r="J635" s="440"/>
      <c r="K635" s="443">
        <f ca="1">ROUND(IF(ISERROR(OFFSET(Tabella!$A$1,MATCH(H635,Tabella!$A:$A,0)-1,MATCH(J635,Tabella!$A$1:$AC$1,0)-1)=TRUE),0,+OFFSET(Tabella!$A$1,MATCH(H635,Tabella!$A:$A,0)-1,MATCH(J635,Tabella!$A$1:$AC$1,0)-1)),4)</f>
        <v>0</v>
      </c>
      <c r="L635" s="446">
        <f ca="1">ROUND(IF(ISERROR(OFFSET(Ottone!$A$1,MATCH(H635,Ottone!$A:$A,0)-1,MATCH(J635,Ottone!$A$1:$Z$1,0)-1)=TRUE),0,OFFSET(Ottone!$A$1,MATCH(H635,Ottone!$A:$A,0)-1,MATCH(J635,Ottone!$A$1:$Z$1,0)-1))*IF(E635="Ottone",1,0),4)</f>
        <v>0</v>
      </c>
      <c r="M635" s="446">
        <f ca="1">ROUND(IF(ISERROR(OFFSET(Rame!$A$1,MATCH(H635,Rame!$A:$A,0)-1,MATCH(J635,Rame!$A$1:$AA$1,0)-1)=TRUE),0,OFFSET(Rame!$A$1,MATCH(H635,Rame!$A:$A,0)-1,MATCH(J635,Rame!$A$1:$AA$1,0)-1))*IF(E635="Rame",1,0),4)</f>
        <v>0</v>
      </c>
      <c r="N635" s="446">
        <v>0</v>
      </c>
      <c r="O635" s="446">
        <f t="shared" ca="1" si="198"/>
        <v>0</v>
      </c>
      <c r="P635" s="446">
        <f ca="1">ROUND(+IF(ISERROR(OFFSET(Tabella!$G$1,MATCH(H635,Tabella!$G:$G,0)-1,MATCH(I635,Tabella!$G$1:$FG$1,0)-1)=TRUE),0,OFFSET(Tabella!$G$1,MATCH(H635,Tabella!$G:$G,0)-1,MATCH(I635,Tabella!$G$1:$AB$1,0)-1)),4)</f>
        <v>0</v>
      </c>
      <c r="Q635" s="446">
        <f ca="1">ROUND(IF(ISERROR(OFFSET(Ottone!$F$1,MATCH(H635,Ottone!$A:$A,0)-1,MATCH(I635,Ottone!$F$1:$FF$1,0)-1)=TRUE),0,OFFSET(Ottone!$F$1,MATCH(H635,Ottone!$A:$A,0)-1,MATCH(I635,Ottone!$F$1:$FF$1,0)-1))*IF(E635="Ottone",1,0),4)</f>
        <v>0</v>
      </c>
      <c r="R635" s="446">
        <f ca="1">ROUND(IF(ISERROR(OFFSET(Rame!$F$1,MATCH(H635,Rame!$F:$F,0)-1,MATCH(I635,Rame!$F$1:$FF$1,0)-1)=TRUE),0,OFFSET(Rame!$F$1,MATCH(H635,Rame!$F:$F,0)-1,MATCH(I635,Rame!$F$1:$FF$1,0)-1))*IF(E635="Rame",1,0),4)</f>
        <v>0</v>
      </c>
      <c r="S635" s="446">
        <f ca="1">ROUND(IF(ISERROR(OFFSET(Bronzo!$A$1,MATCH(H635,Bronzo!$A:$A,0)-1,MATCH(I635,Bronzo!$A$1:$AA$1,0)-1)=TRUE),0,OFFSET(Bronzo!$A$1,MATCH(H635,Bronzo!$A:$A,0)-1,MATCH(I635,Bronzo!$A$1:$AA$1,0)-1)),4)</f>
        <v>0</v>
      </c>
      <c r="T635" s="446">
        <f t="shared" ca="1" si="195"/>
        <v>0</v>
      </c>
      <c r="U635" s="443"/>
      <c r="V635" s="446">
        <v>0</v>
      </c>
      <c r="W635" s="449">
        <f t="shared" ca="1" si="196"/>
        <v>0</v>
      </c>
      <c r="X635" s="452">
        <f t="shared" si="194"/>
        <v>0</v>
      </c>
      <c r="Y635" s="440"/>
      <c r="Z635" s="440">
        <f t="shared" ca="1" si="197"/>
        <v>0</v>
      </c>
      <c r="AA635" s="241"/>
      <c r="AH635" s="242"/>
    </row>
    <row r="636" spans="2:34" ht="15.75" x14ac:dyDescent="0.25">
      <c r="B636" s="229"/>
      <c r="C636" s="235"/>
      <c r="D636" s="243"/>
      <c r="E636" s="232"/>
      <c r="F636" s="435"/>
      <c r="G636" s="234"/>
      <c r="H636" s="235"/>
      <c r="I636" s="235"/>
      <c r="J636" s="440"/>
      <c r="K636" s="443">
        <f ca="1">ROUND(IF(ISERROR(OFFSET(Tabella!$A$1,MATCH(H636,Tabella!$A:$A,0)-1,MATCH(J636,Tabella!$A$1:$AC$1,0)-1)=TRUE),0,+OFFSET(Tabella!$A$1,MATCH(H636,Tabella!$A:$A,0)-1,MATCH(J636,Tabella!$A$1:$AC$1,0)-1)),4)</f>
        <v>0</v>
      </c>
      <c r="L636" s="446">
        <f ca="1">ROUND(IF(ISERROR(OFFSET(Ottone!$A$1,MATCH(H636,Ottone!$A:$A,0)-1,MATCH(J636,Ottone!$A$1:$Z$1,0)-1)=TRUE),0,OFFSET(Ottone!$A$1,MATCH(H636,Ottone!$A:$A,0)-1,MATCH(J636,Ottone!$A$1:$Z$1,0)-1))*IF(E636="Ottone",1,0),4)</f>
        <v>0</v>
      </c>
      <c r="M636" s="446">
        <f ca="1">ROUND(IF(ISERROR(OFFSET(Rame!$A$1,MATCH(H636,Rame!$A:$A,0)-1,MATCH(J636,Rame!$A$1:$AA$1,0)-1)=TRUE),0,OFFSET(Rame!$A$1,MATCH(H636,Rame!$A:$A,0)-1,MATCH(J636,Rame!$A$1:$AA$1,0)-1))*IF(E636="Rame",1,0),4)</f>
        <v>0</v>
      </c>
      <c r="N636" s="446">
        <v>0</v>
      </c>
      <c r="O636" s="446">
        <f t="shared" ca="1" si="198"/>
        <v>0</v>
      </c>
      <c r="P636" s="446">
        <f ca="1">ROUND(+IF(ISERROR(OFFSET(Tabella!$G$1,MATCH(H636,Tabella!$G:$G,0)-1,MATCH(I636,Tabella!$G$1:$FG$1,0)-1)=TRUE),0,OFFSET(Tabella!$G$1,MATCH(H636,Tabella!$G:$G,0)-1,MATCH(I636,Tabella!$G$1:$AB$1,0)-1)),4)</f>
        <v>0</v>
      </c>
      <c r="Q636" s="446">
        <f ca="1">ROUND(IF(ISERROR(OFFSET(Ottone!$F$1,MATCH(H636,Ottone!$A:$A,0)-1,MATCH(I636,Ottone!$F$1:$FF$1,0)-1)=TRUE),0,OFFSET(Ottone!$F$1,MATCH(H636,Ottone!$A:$A,0)-1,MATCH(I636,Ottone!$F$1:$FF$1,0)-1))*IF(E636="Ottone",1,0),4)</f>
        <v>0</v>
      </c>
      <c r="R636" s="446">
        <f ca="1">ROUND(IF(ISERROR(OFFSET(Rame!$F$1,MATCH(H636,Rame!$F:$F,0)-1,MATCH(I636,Rame!$F$1:$FF$1,0)-1)=TRUE),0,OFFSET(Rame!$F$1,MATCH(H636,Rame!$F:$F,0)-1,MATCH(I636,Rame!$F$1:$FF$1,0)-1))*IF(E636="Rame",1,0),4)</f>
        <v>0</v>
      </c>
      <c r="S636" s="446">
        <f ca="1">ROUND(IF(ISERROR(OFFSET(Bronzo!$A$1,MATCH(H636,Bronzo!$A:$A,0)-1,MATCH(I636,Bronzo!$A$1:$AA$1,0)-1)=TRUE),0,OFFSET(Bronzo!$A$1,MATCH(H636,Bronzo!$A:$A,0)-1,MATCH(I636,Bronzo!$A$1:$AA$1,0)-1)),4)</f>
        <v>0</v>
      </c>
      <c r="T636" s="446">
        <f t="shared" ca="1" si="195"/>
        <v>0</v>
      </c>
      <c r="U636" s="443"/>
      <c r="V636" s="446">
        <v>0</v>
      </c>
      <c r="W636" s="449">
        <f t="shared" ca="1" si="196"/>
        <v>0</v>
      </c>
      <c r="X636" s="452">
        <f t="shared" si="194"/>
        <v>0</v>
      </c>
      <c r="Y636" s="440"/>
      <c r="Z636" s="440">
        <f t="shared" ca="1" si="197"/>
        <v>0</v>
      </c>
      <c r="AA636" s="241"/>
      <c r="AH636" s="242"/>
    </row>
    <row r="637" spans="2:34" ht="15.75" x14ac:dyDescent="0.25">
      <c r="B637" s="229"/>
      <c r="C637" s="235"/>
      <c r="D637" s="243"/>
      <c r="E637" s="232"/>
      <c r="F637" s="435"/>
      <c r="G637" s="234"/>
      <c r="H637" s="235"/>
      <c r="I637" s="235"/>
      <c r="J637" s="440"/>
      <c r="K637" s="443">
        <f ca="1">ROUND(IF(ISERROR(OFFSET(Tabella!$A$1,MATCH(H637,Tabella!$A:$A,0)-1,MATCH(J637,Tabella!$A$1:$AC$1,0)-1)=TRUE),0,+OFFSET(Tabella!$A$1,MATCH(H637,Tabella!$A:$A,0)-1,MATCH(J637,Tabella!$A$1:$AC$1,0)-1)),4)</f>
        <v>0</v>
      </c>
      <c r="L637" s="446">
        <f ca="1">ROUND(IF(ISERROR(OFFSET(Ottone!$A$1,MATCH(H637,Ottone!$A:$A,0)-1,MATCH(J637,Ottone!$A$1:$Z$1,0)-1)=TRUE),0,OFFSET(Ottone!$A$1,MATCH(H637,Ottone!$A:$A,0)-1,MATCH(J637,Ottone!$A$1:$Z$1,0)-1))*IF(E637="Ottone",1,0),4)</f>
        <v>0</v>
      </c>
      <c r="M637" s="446">
        <f ca="1">ROUND(IF(ISERROR(OFFSET(Rame!$A$1,MATCH(H637,Rame!$A:$A,0)-1,MATCH(J637,Rame!$A$1:$AA$1,0)-1)=TRUE),0,OFFSET(Rame!$A$1,MATCH(H637,Rame!$A:$A,0)-1,MATCH(J637,Rame!$A$1:$AA$1,0)-1))*IF(E637="Rame",1,0),4)</f>
        <v>0</v>
      </c>
      <c r="N637" s="446">
        <v>0</v>
      </c>
      <c r="O637" s="446">
        <f t="shared" ca="1" si="198"/>
        <v>0</v>
      </c>
      <c r="P637" s="446">
        <f ca="1">ROUND(+IF(ISERROR(OFFSET(Tabella!$G$1,MATCH(H637,Tabella!$G:$G,0)-1,MATCH(I637,Tabella!$G$1:$FG$1,0)-1)=TRUE),0,OFFSET(Tabella!$G$1,MATCH(H637,Tabella!$G:$G,0)-1,MATCH(I637,Tabella!$G$1:$AB$1,0)-1)),4)</f>
        <v>0</v>
      </c>
      <c r="Q637" s="446">
        <f ca="1">ROUND(IF(ISERROR(OFFSET(Ottone!$F$1,MATCH(H637,Ottone!$A:$A,0)-1,MATCH(I637,Ottone!$F$1:$FF$1,0)-1)=TRUE),0,OFFSET(Ottone!$F$1,MATCH(H637,Ottone!$A:$A,0)-1,MATCH(I637,Ottone!$F$1:$FF$1,0)-1))*IF(E637="Ottone",1,0),4)</f>
        <v>0</v>
      </c>
      <c r="R637" s="446">
        <f ca="1">ROUND(IF(ISERROR(OFFSET(Rame!$F$1,MATCH(H637,Rame!$F:$F,0)-1,MATCH(I637,Rame!$F$1:$FF$1,0)-1)=TRUE),0,OFFSET(Rame!$F$1,MATCH(H637,Rame!$F:$F,0)-1,MATCH(I637,Rame!$F$1:$FF$1,0)-1))*IF(E637="Rame",1,0),4)</f>
        <v>0</v>
      </c>
      <c r="S637" s="446">
        <f ca="1">ROUND(IF(ISERROR(OFFSET(Bronzo!$A$1,MATCH(H637,Bronzo!$A:$A,0)-1,MATCH(I637,Bronzo!$A$1:$AA$1,0)-1)=TRUE),0,OFFSET(Bronzo!$A$1,MATCH(H637,Bronzo!$A:$A,0)-1,MATCH(I637,Bronzo!$A$1:$AA$1,0)-1)),4)</f>
        <v>0</v>
      </c>
      <c r="T637" s="446">
        <f t="shared" ca="1" si="195"/>
        <v>0</v>
      </c>
      <c r="U637" s="443"/>
      <c r="V637" s="446">
        <v>0</v>
      </c>
      <c r="W637" s="449">
        <f t="shared" ca="1" si="196"/>
        <v>0</v>
      </c>
      <c r="X637" s="452">
        <f t="shared" si="194"/>
        <v>0</v>
      </c>
      <c r="Y637" s="440"/>
      <c r="Z637" s="440">
        <f t="shared" ca="1" si="197"/>
        <v>0</v>
      </c>
      <c r="AA637" s="241"/>
      <c r="AH637" s="242"/>
    </row>
    <row r="638" spans="2:34" ht="15.75" x14ac:dyDescent="0.25">
      <c r="B638" s="229"/>
      <c r="C638" s="235"/>
      <c r="D638" s="243"/>
      <c r="E638" s="232"/>
      <c r="F638" s="435"/>
      <c r="G638" s="234"/>
      <c r="H638" s="235"/>
      <c r="I638" s="235"/>
      <c r="J638" s="440"/>
      <c r="K638" s="443">
        <f ca="1">ROUND(IF(ISERROR(OFFSET(Tabella!$A$1,MATCH(H638,Tabella!$A:$A,0)-1,MATCH(J638,Tabella!$A$1:$AC$1,0)-1)=TRUE),0,+OFFSET(Tabella!$A$1,MATCH(H638,Tabella!$A:$A,0)-1,MATCH(J638,Tabella!$A$1:$AC$1,0)-1)),4)</f>
        <v>0</v>
      </c>
      <c r="L638" s="446">
        <f ca="1">ROUND(IF(ISERROR(OFFSET(Ottone!$A$1,MATCH(H638,Ottone!$A:$A,0)-1,MATCH(J638,Ottone!$A$1:$Z$1,0)-1)=TRUE),0,OFFSET(Ottone!$A$1,MATCH(H638,Ottone!$A:$A,0)-1,MATCH(J638,Ottone!$A$1:$Z$1,0)-1))*IF(E638="Ottone",1,0),4)</f>
        <v>0</v>
      </c>
      <c r="M638" s="446">
        <f ca="1">ROUND(IF(ISERROR(OFFSET(Rame!$A$1,MATCH(H638,Rame!$A:$A,0)-1,MATCH(J638,Rame!$A$1:$AA$1,0)-1)=TRUE),0,OFFSET(Rame!$A$1,MATCH(H638,Rame!$A:$A,0)-1,MATCH(J638,Rame!$A$1:$AA$1,0)-1))*IF(E638="Rame",1,0),4)</f>
        <v>0</v>
      </c>
      <c r="N638" s="446">
        <v>0</v>
      </c>
      <c r="O638" s="446">
        <f t="shared" ca="1" si="198"/>
        <v>0</v>
      </c>
      <c r="P638" s="446">
        <f ca="1">ROUND(+IF(ISERROR(OFFSET(Tabella!$G$1,MATCH(H638,Tabella!$G:$G,0)-1,MATCH(I638,Tabella!$G$1:$FG$1,0)-1)=TRUE),0,OFFSET(Tabella!$G$1,MATCH(H638,Tabella!$G:$G,0)-1,MATCH(I638,Tabella!$G$1:$AB$1,0)-1)),4)</f>
        <v>0</v>
      </c>
      <c r="Q638" s="446">
        <f ca="1">ROUND(IF(ISERROR(OFFSET(Ottone!$F$1,MATCH(H638,Ottone!$A:$A,0)-1,MATCH(I638,Ottone!$F$1:$FF$1,0)-1)=TRUE),0,OFFSET(Ottone!$F$1,MATCH(H638,Ottone!$A:$A,0)-1,MATCH(I638,Ottone!$F$1:$FF$1,0)-1))*IF(E638="Ottone",1,0),4)</f>
        <v>0</v>
      </c>
      <c r="R638" s="446">
        <f ca="1">ROUND(IF(ISERROR(OFFSET(Rame!$F$1,MATCH(H638,Rame!$F:$F,0)-1,MATCH(I638,Rame!$F$1:$FF$1,0)-1)=TRUE),0,OFFSET(Rame!$F$1,MATCH(H638,Rame!$F:$F,0)-1,MATCH(I638,Rame!$F$1:$FF$1,0)-1))*IF(E638="Rame",1,0),4)</f>
        <v>0</v>
      </c>
      <c r="S638" s="446">
        <f ca="1">ROUND(IF(ISERROR(OFFSET(Bronzo!$A$1,MATCH(H638,Bronzo!$A:$A,0)-1,MATCH(I638,Bronzo!$A$1:$AA$1,0)-1)=TRUE),0,OFFSET(Bronzo!$A$1,MATCH(H638,Bronzo!$A:$A,0)-1,MATCH(I638,Bronzo!$A$1:$AA$1,0)-1)),4)</f>
        <v>0</v>
      </c>
      <c r="T638" s="446">
        <f t="shared" ca="1" si="195"/>
        <v>0</v>
      </c>
      <c r="U638" s="443"/>
      <c r="V638" s="446">
        <v>0</v>
      </c>
      <c r="W638" s="449">
        <f t="shared" ca="1" si="196"/>
        <v>0</v>
      </c>
      <c r="X638" s="452">
        <f t="shared" si="194"/>
        <v>0</v>
      </c>
      <c r="Y638" s="440"/>
      <c r="Z638" s="440">
        <f t="shared" ca="1" si="197"/>
        <v>0</v>
      </c>
      <c r="AA638" s="241"/>
      <c r="AH638" s="242"/>
    </row>
    <row r="639" spans="2:34" ht="15.75" x14ac:dyDescent="0.25">
      <c r="B639" s="229"/>
      <c r="C639" s="235"/>
      <c r="D639" s="243"/>
      <c r="E639" s="232"/>
      <c r="F639" s="435"/>
      <c r="G639" s="234"/>
      <c r="H639" s="235"/>
      <c r="I639" s="235"/>
      <c r="J639" s="440"/>
      <c r="K639" s="443">
        <f ca="1">ROUND(IF(ISERROR(OFFSET(Tabella!$A$1,MATCH(H639,Tabella!$A:$A,0)-1,MATCH(J639,Tabella!$A$1:$AC$1,0)-1)=TRUE),0,+OFFSET(Tabella!$A$1,MATCH(H639,Tabella!$A:$A,0)-1,MATCH(J639,Tabella!$A$1:$AC$1,0)-1)),4)</f>
        <v>0</v>
      </c>
      <c r="L639" s="446">
        <f ca="1">ROUND(IF(ISERROR(OFFSET(Ottone!$A$1,MATCH(H639,Ottone!$A:$A,0)-1,MATCH(J639,Ottone!$A$1:$Z$1,0)-1)=TRUE),0,OFFSET(Ottone!$A$1,MATCH(H639,Ottone!$A:$A,0)-1,MATCH(J639,Ottone!$A$1:$Z$1,0)-1))*IF(E639="Ottone",1,0),4)</f>
        <v>0</v>
      </c>
      <c r="M639" s="446">
        <f ca="1">ROUND(IF(ISERROR(OFFSET(Rame!$A$1,MATCH(H639,Rame!$A:$A,0)-1,MATCH(J639,Rame!$A$1:$AA$1,0)-1)=TRUE),0,OFFSET(Rame!$A$1,MATCH(H639,Rame!$A:$A,0)-1,MATCH(J639,Rame!$A$1:$AA$1,0)-1))*IF(E639="Rame",1,0),4)</f>
        <v>0</v>
      </c>
      <c r="N639" s="446">
        <v>0</v>
      </c>
      <c r="O639" s="446">
        <f t="shared" ca="1" si="198"/>
        <v>0</v>
      </c>
      <c r="P639" s="446">
        <f ca="1">ROUND(+IF(ISERROR(OFFSET(Tabella!$G$1,MATCH(H639,Tabella!$G:$G,0)-1,MATCH(I639,Tabella!$G$1:$FG$1,0)-1)=TRUE),0,OFFSET(Tabella!$G$1,MATCH(H639,Tabella!$G:$G,0)-1,MATCH(I639,Tabella!$G$1:$AB$1,0)-1)),4)</f>
        <v>0</v>
      </c>
      <c r="Q639" s="446">
        <f ca="1">ROUND(IF(ISERROR(OFFSET(Ottone!$F$1,MATCH(H639,Ottone!$A:$A,0)-1,MATCH(I639,Ottone!$F$1:$FF$1,0)-1)=TRUE),0,OFFSET(Ottone!$F$1,MATCH(H639,Ottone!$A:$A,0)-1,MATCH(I639,Ottone!$F$1:$FF$1,0)-1))*IF(E639="Ottone",1,0),4)</f>
        <v>0</v>
      </c>
      <c r="R639" s="446">
        <f ca="1">ROUND(IF(ISERROR(OFFSET(Rame!$F$1,MATCH(H639,Rame!$F:$F,0)-1,MATCH(I639,Rame!$F$1:$FF$1,0)-1)=TRUE),0,OFFSET(Rame!$F$1,MATCH(H639,Rame!$F:$F,0)-1,MATCH(I639,Rame!$F$1:$FF$1,0)-1))*IF(E639="Rame",1,0),4)</f>
        <v>0</v>
      </c>
      <c r="S639" s="446">
        <f ca="1">ROUND(IF(ISERROR(OFFSET(Bronzo!$A$1,MATCH(H639,Bronzo!$A:$A,0)-1,MATCH(I639,Bronzo!$A$1:$AA$1,0)-1)=TRUE),0,OFFSET(Bronzo!$A$1,MATCH(H639,Bronzo!$A:$A,0)-1,MATCH(I639,Bronzo!$A$1:$AA$1,0)-1)),4)</f>
        <v>0</v>
      </c>
      <c r="T639" s="446">
        <f t="shared" ca="1" si="195"/>
        <v>0</v>
      </c>
      <c r="U639" s="443"/>
      <c r="V639" s="446">
        <v>0</v>
      </c>
      <c r="W639" s="449">
        <f t="shared" ca="1" si="196"/>
        <v>0</v>
      </c>
      <c r="X639" s="452">
        <f t="shared" si="194"/>
        <v>0</v>
      </c>
      <c r="Y639" s="440"/>
      <c r="Z639" s="440">
        <f t="shared" ca="1" si="197"/>
        <v>0</v>
      </c>
      <c r="AA639" s="241"/>
      <c r="AH639" s="242"/>
    </row>
    <row r="640" spans="2:34" ht="15.75" x14ac:dyDescent="0.25">
      <c r="B640" s="229"/>
      <c r="C640" s="235"/>
      <c r="D640" s="243"/>
      <c r="E640" s="232"/>
      <c r="F640" s="435"/>
      <c r="G640" s="234"/>
      <c r="H640" s="235"/>
      <c r="I640" s="235"/>
      <c r="J640" s="440"/>
      <c r="K640" s="443">
        <f ca="1">ROUND(IF(ISERROR(OFFSET(Tabella!$A$1,MATCH(H640,Tabella!$A:$A,0)-1,MATCH(J640,Tabella!$A$1:$AC$1,0)-1)=TRUE),0,+OFFSET(Tabella!$A$1,MATCH(H640,Tabella!$A:$A,0)-1,MATCH(J640,Tabella!$A$1:$AC$1,0)-1)),4)</f>
        <v>0</v>
      </c>
      <c r="L640" s="446">
        <f ca="1">ROUND(IF(ISERROR(OFFSET(Ottone!$A$1,MATCH(H640,Ottone!$A:$A,0)-1,MATCH(J640,Ottone!$A$1:$Z$1,0)-1)=TRUE),0,OFFSET(Ottone!$A$1,MATCH(H640,Ottone!$A:$A,0)-1,MATCH(J640,Ottone!$A$1:$Z$1,0)-1))*IF(E640="Ottone",1,0),4)</f>
        <v>0</v>
      </c>
      <c r="M640" s="446">
        <f ca="1">ROUND(IF(ISERROR(OFFSET(Rame!$A$1,MATCH(H640,Rame!$A:$A,0)-1,MATCH(J640,Rame!$A$1:$AA$1,0)-1)=TRUE),0,OFFSET(Rame!$A$1,MATCH(H640,Rame!$A:$A,0)-1,MATCH(J640,Rame!$A$1:$AA$1,0)-1))*IF(E640="Rame",1,0),4)</f>
        <v>0</v>
      </c>
      <c r="N640" s="446">
        <v>0</v>
      </c>
      <c r="O640" s="446">
        <f t="shared" ca="1" si="198"/>
        <v>0</v>
      </c>
      <c r="P640" s="446">
        <f ca="1">ROUND(+IF(ISERROR(OFFSET(Tabella!$G$1,MATCH(H640,Tabella!$G:$G,0)-1,MATCH(I640,Tabella!$G$1:$FG$1,0)-1)=TRUE),0,OFFSET(Tabella!$G$1,MATCH(H640,Tabella!$G:$G,0)-1,MATCH(I640,Tabella!$G$1:$AB$1,0)-1)),4)</f>
        <v>0</v>
      </c>
      <c r="Q640" s="446">
        <f ca="1">ROUND(IF(ISERROR(OFFSET(Ottone!$F$1,MATCH(H640,Ottone!$A:$A,0)-1,MATCH(I640,Ottone!$F$1:$FF$1,0)-1)=TRUE),0,OFFSET(Ottone!$F$1,MATCH(H640,Ottone!$A:$A,0)-1,MATCH(I640,Ottone!$F$1:$FF$1,0)-1))*IF(E640="Ottone",1,0),4)</f>
        <v>0</v>
      </c>
      <c r="R640" s="446">
        <f ca="1">ROUND(IF(ISERROR(OFFSET(Rame!$F$1,MATCH(H640,Rame!$F:$F,0)-1,MATCH(I640,Rame!$F$1:$FF$1,0)-1)=TRUE),0,OFFSET(Rame!$F$1,MATCH(H640,Rame!$F:$F,0)-1,MATCH(I640,Rame!$F$1:$FF$1,0)-1))*IF(E640="Rame",1,0),4)</f>
        <v>0</v>
      </c>
      <c r="S640" s="446">
        <f ca="1">ROUND(IF(ISERROR(OFFSET(Bronzo!$A$1,MATCH(H640,Bronzo!$A:$A,0)-1,MATCH(I640,Bronzo!$A$1:$AA$1,0)-1)=TRUE),0,OFFSET(Bronzo!$A$1,MATCH(H640,Bronzo!$A:$A,0)-1,MATCH(I640,Bronzo!$A$1:$AA$1,0)-1)),4)</f>
        <v>0</v>
      </c>
      <c r="T640" s="446">
        <f t="shared" ca="1" si="195"/>
        <v>0</v>
      </c>
      <c r="U640" s="443"/>
      <c r="V640" s="446">
        <v>0</v>
      </c>
      <c r="W640" s="449">
        <f t="shared" ca="1" si="196"/>
        <v>0</v>
      </c>
      <c r="X640" s="452">
        <f t="shared" si="194"/>
        <v>0</v>
      </c>
      <c r="Y640" s="440"/>
      <c r="Z640" s="440">
        <f t="shared" ca="1" si="197"/>
        <v>0</v>
      </c>
      <c r="AA640" s="241"/>
      <c r="AH640" s="242"/>
    </row>
    <row r="641" spans="2:34" ht="15.75" x14ac:dyDescent="0.25">
      <c r="B641" s="229"/>
      <c r="C641" s="235"/>
      <c r="D641" s="243"/>
      <c r="E641" s="232"/>
      <c r="F641" s="435"/>
      <c r="G641" s="234"/>
      <c r="H641" s="235"/>
      <c r="I641" s="235"/>
      <c r="J641" s="440"/>
      <c r="K641" s="443">
        <f ca="1">ROUND(IF(ISERROR(OFFSET(Tabella!$A$1,MATCH(H641,Tabella!$A:$A,0)-1,MATCH(J641,Tabella!$A$1:$AC$1,0)-1)=TRUE),0,+OFFSET(Tabella!$A$1,MATCH(H641,Tabella!$A:$A,0)-1,MATCH(J641,Tabella!$A$1:$AC$1,0)-1)),4)</f>
        <v>0</v>
      </c>
      <c r="L641" s="446">
        <f ca="1">ROUND(IF(ISERROR(OFFSET(Ottone!$A$1,MATCH(H641,Ottone!$A:$A,0)-1,MATCH(J641,Ottone!$A$1:$Z$1,0)-1)=TRUE),0,OFFSET(Ottone!$A$1,MATCH(H641,Ottone!$A:$A,0)-1,MATCH(J641,Ottone!$A$1:$Z$1,0)-1))*IF(E641="Ottone",1,0),4)</f>
        <v>0</v>
      </c>
      <c r="M641" s="446">
        <f ca="1">ROUND(IF(ISERROR(OFFSET(Rame!$A$1,MATCH(H641,Rame!$A:$A,0)-1,MATCH(J641,Rame!$A$1:$AA$1,0)-1)=TRUE),0,OFFSET(Rame!$A$1,MATCH(H641,Rame!$A:$A,0)-1,MATCH(J641,Rame!$A$1:$AA$1,0)-1))*IF(E641="Rame",1,0),4)</f>
        <v>0</v>
      </c>
      <c r="N641" s="446">
        <v>0</v>
      </c>
      <c r="O641" s="446">
        <f t="shared" ca="1" si="198"/>
        <v>0</v>
      </c>
      <c r="P641" s="446">
        <f ca="1">ROUND(+IF(ISERROR(OFFSET(Tabella!$G$1,MATCH(H641,Tabella!$G:$G,0)-1,MATCH(I641,Tabella!$G$1:$FG$1,0)-1)=TRUE),0,OFFSET(Tabella!$G$1,MATCH(H641,Tabella!$G:$G,0)-1,MATCH(I641,Tabella!$G$1:$AB$1,0)-1)),4)</f>
        <v>0</v>
      </c>
      <c r="Q641" s="446">
        <f ca="1">ROUND(IF(ISERROR(OFFSET(Ottone!$F$1,MATCH(H641,Ottone!$A:$A,0)-1,MATCH(I641,Ottone!$F$1:$FF$1,0)-1)=TRUE),0,OFFSET(Ottone!$F$1,MATCH(H641,Ottone!$A:$A,0)-1,MATCH(I641,Ottone!$F$1:$FF$1,0)-1))*IF(E641="Ottone",1,0),4)</f>
        <v>0</v>
      </c>
      <c r="R641" s="446">
        <f ca="1">ROUND(IF(ISERROR(OFFSET(Rame!$F$1,MATCH(H641,Rame!$F:$F,0)-1,MATCH(I641,Rame!$F$1:$FF$1,0)-1)=TRUE),0,OFFSET(Rame!$F$1,MATCH(H641,Rame!$F:$F,0)-1,MATCH(I641,Rame!$F$1:$FF$1,0)-1))*IF(E641="Rame",1,0),4)</f>
        <v>0</v>
      </c>
      <c r="S641" s="446">
        <f ca="1">ROUND(IF(ISERROR(OFFSET(Bronzo!$A$1,MATCH(H641,Bronzo!$A:$A,0)-1,MATCH(I641,Bronzo!$A$1:$AA$1,0)-1)=TRUE),0,OFFSET(Bronzo!$A$1,MATCH(H641,Bronzo!$A:$A,0)-1,MATCH(I641,Bronzo!$A$1:$AA$1,0)-1)),4)</f>
        <v>0</v>
      </c>
      <c r="T641" s="446">
        <f t="shared" ca="1" si="195"/>
        <v>0</v>
      </c>
      <c r="U641" s="443"/>
      <c r="V641" s="446">
        <v>0</v>
      </c>
      <c r="W641" s="449">
        <f t="shared" ca="1" si="196"/>
        <v>0</v>
      </c>
      <c r="X641" s="452">
        <f t="shared" si="194"/>
        <v>0</v>
      </c>
      <c r="Y641" s="440"/>
      <c r="Z641" s="440">
        <f t="shared" ca="1" si="197"/>
        <v>0</v>
      </c>
      <c r="AA641" s="241"/>
      <c r="AH641" s="242"/>
    </row>
    <row r="642" spans="2:34" ht="15.75" x14ac:dyDescent="0.25">
      <c r="B642" s="229"/>
      <c r="C642" s="235"/>
      <c r="D642" s="243"/>
      <c r="E642" s="232"/>
      <c r="F642" s="435"/>
      <c r="G642" s="234"/>
      <c r="H642" s="235"/>
      <c r="I642" s="235"/>
      <c r="J642" s="440"/>
      <c r="K642" s="443">
        <f ca="1">ROUND(IF(ISERROR(OFFSET(Tabella!$A$1,MATCH(H642,Tabella!$A:$A,0)-1,MATCH(J642,Tabella!$A$1:$AC$1,0)-1)=TRUE),0,+OFFSET(Tabella!$A$1,MATCH(H642,Tabella!$A:$A,0)-1,MATCH(J642,Tabella!$A$1:$AC$1,0)-1)),4)</f>
        <v>0</v>
      </c>
      <c r="L642" s="446">
        <f ca="1">ROUND(IF(ISERROR(OFFSET(Ottone!$A$1,MATCH(H642,Ottone!$A:$A,0)-1,MATCH(J642,Ottone!$A$1:$Z$1,0)-1)=TRUE),0,OFFSET(Ottone!$A$1,MATCH(H642,Ottone!$A:$A,0)-1,MATCH(J642,Ottone!$A$1:$Z$1,0)-1))*IF(E642="Ottone",1,0),4)</f>
        <v>0</v>
      </c>
      <c r="M642" s="446">
        <f ca="1">ROUND(IF(ISERROR(OFFSET(Rame!$A$1,MATCH(H642,Rame!$A:$A,0)-1,MATCH(J642,Rame!$A$1:$AA$1,0)-1)=TRUE),0,OFFSET(Rame!$A$1,MATCH(H642,Rame!$A:$A,0)-1,MATCH(J642,Rame!$A$1:$AA$1,0)-1))*IF(E642="Rame",1,0),4)</f>
        <v>0</v>
      </c>
      <c r="N642" s="446">
        <v>0</v>
      </c>
      <c r="O642" s="446">
        <f t="shared" ca="1" si="198"/>
        <v>0</v>
      </c>
      <c r="P642" s="446">
        <f ca="1">ROUND(+IF(ISERROR(OFFSET(Tabella!$G$1,MATCH(H642,Tabella!$G:$G,0)-1,MATCH(I642,Tabella!$G$1:$FG$1,0)-1)=TRUE),0,OFFSET(Tabella!$G$1,MATCH(H642,Tabella!$G:$G,0)-1,MATCH(I642,Tabella!$G$1:$AB$1,0)-1)),4)</f>
        <v>0</v>
      </c>
      <c r="Q642" s="446">
        <f ca="1">ROUND(IF(ISERROR(OFFSET(Ottone!$F$1,MATCH(H642,Ottone!$A:$A,0)-1,MATCH(I642,Ottone!$F$1:$FF$1,0)-1)=TRUE),0,OFFSET(Ottone!$F$1,MATCH(H642,Ottone!$A:$A,0)-1,MATCH(I642,Ottone!$F$1:$FF$1,0)-1))*IF(E642="Ottone",1,0),4)</f>
        <v>0</v>
      </c>
      <c r="R642" s="446">
        <f ca="1">ROUND(IF(ISERROR(OFFSET(Rame!$F$1,MATCH(H642,Rame!$F:$F,0)-1,MATCH(I642,Rame!$F$1:$FF$1,0)-1)=TRUE),0,OFFSET(Rame!$F$1,MATCH(H642,Rame!$F:$F,0)-1,MATCH(I642,Rame!$F$1:$FF$1,0)-1))*IF(E642="Rame",1,0),4)</f>
        <v>0</v>
      </c>
      <c r="S642" s="446">
        <f ca="1">ROUND(IF(ISERROR(OFFSET(Bronzo!$A$1,MATCH(H642,Bronzo!$A:$A,0)-1,MATCH(I642,Bronzo!$A$1:$AA$1,0)-1)=TRUE),0,OFFSET(Bronzo!$A$1,MATCH(H642,Bronzo!$A:$A,0)-1,MATCH(I642,Bronzo!$A$1:$AA$1,0)-1)),4)</f>
        <v>0</v>
      </c>
      <c r="T642" s="446">
        <f t="shared" ca="1" si="195"/>
        <v>0</v>
      </c>
      <c r="U642" s="443"/>
      <c r="V642" s="446">
        <v>0</v>
      </c>
      <c r="W642" s="449">
        <f t="shared" ca="1" si="196"/>
        <v>0</v>
      </c>
      <c r="X642" s="452">
        <f t="shared" si="194"/>
        <v>0</v>
      </c>
      <c r="Y642" s="440"/>
      <c r="Z642" s="440">
        <f t="shared" ca="1" si="197"/>
        <v>0</v>
      </c>
      <c r="AA642" s="241"/>
      <c r="AH642" s="242"/>
    </row>
    <row r="643" spans="2:34" ht="15.75" x14ac:dyDescent="0.25">
      <c r="B643" s="229"/>
      <c r="C643" s="235"/>
      <c r="D643" s="243"/>
      <c r="E643" s="232"/>
      <c r="F643" s="435"/>
      <c r="G643" s="234"/>
      <c r="H643" s="235"/>
      <c r="I643" s="235"/>
      <c r="J643" s="440"/>
      <c r="K643" s="443">
        <f ca="1">ROUND(IF(ISERROR(OFFSET(Tabella!$A$1,MATCH(H643,Tabella!$A:$A,0)-1,MATCH(J643,Tabella!$A$1:$AC$1,0)-1)=TRUE),0,+OFFSET(Tabella!$A$1,MATCH(H643,Tabella!$A:$A,0)-1,MATCH(J643,Tabella!$A$1:$AC$1,0)-1)),4)</f>
        <v>0</v>
      </c>
      <c r="L643" s="446">
        <f ca="1">ROUND(IF(ISERROR(OFFSET(Ottone!$A$1,MATCH(H643,Ottone!$A:$A,0)-1,MATCH(J643,Ottone!$A$1:$Z$1,0)-1)=TRUE),0,OFFSET(Ottone!$A$1,MATCH(H643,Ottone!$A:$A,0)-1,MATCH(J643,Ottone!$A$1:$Z$1,0)-1))*IF(E643="Ottone",1,0),4)</f>
        <v>0</v>
      </c>
      <c r="M643" s="446">
        <f ca="1">ROUND(IF(ISERROR(OFFSET(Rame!$A$1,MATCH(H643,Rame!$A:$A,0)-1,MATCH(J643,Rame!$A$1:$AA$1,0)-1)=TRUE),0,OFFSET(Rame!$A$1,MATCH(H643,Rame!$A:$A,0)-1,MATCH(J643,Rame!$A$1:$AA$1,0)-1))*IF(E643="Rame",1,0),4)</f>
        <v>0</v>
      </c>
      <c r="N643" s="446">
        <v>0</v>
      </c>
      <c r="O643" s="446">
        <f t="shared" ca="1" si="198"/>
        <v>0</v>
      </c>
      <c r="P643" s="446">
        <f ca="1">ROUND(+IF(ISERROR(OFFSET(Tabella!$G$1,MATCH(H643,Tabella!$G:$G,0)-1,MATCH(I643,Tabella!$G$1:$FG$1,0)-1)=TRUE),0,OFFSET(Tabella!$G$1,MATCH(H643,Tabella!$G:$G,0)-1,MATCH(I643,Tabella!$G$1:$AB$1,0)-1)),4)</f>
        <v>0</v>
      </c>
      <c r="Q643" s="446">
        <f ca="1">ROUND(IF(ISERROR(OFFSET(Ottone!$F$1,MATCH(H643,Ottone!$A:$A,0)-1,MATCH(I643,Ottone!$F$1:$FF$1,0)-1)=TRUE),0,OFFSET(Ottone!$F$1,MATCH(H643,Ottone!$A:$A,0)-1,MATCH(I643,Ottone!$F$1:$FF$1,0)-1))*IF(E643="Ottone",1,0),4)</f>
        <v>0</v>
      </c>
      <c r="R643" s="446">
        <f ca="1">ROUND(IF(ISERROR(OFFSET(Rame!$F$1,MATCH(H643,Rame!$F:$F,0)-1,MATCH(I643,Rame!$F$1:$FF$1,0)-1)=TRUE),0,OFFSET(Rame!$F$1,MATCH(H643,Rame!$F:$F,0)-1,MATCH(I643,Rame!$F$1:$FF$1,0)-1))*IF(E643="Rame",1,0),4)</f>
        <v>0</v>
      </c>
      <c r="S643" s="446">
        <f ca="1">ROUND(IF(ISERROR(OFFSET(Bronzo!$A$1,MATCH(H643,Bronzo!$A:$A,0)-1,MATCH(I643,Bronzo!$A$1:$AA$1,0)-1)=TRUE),0,OFFSET(Bronzo!$A$1,MATCH(H643,Bronzo!$A:$A,0)-1,MATCH(I643,Bronzo!$A$1:$AA$1,0)-1)),4)</f>
        <v>0</v>
      </c>
      <c r="T643" s="446">
        <f t="shared" ca="1" si="195"/>
        <v>0</v>
      </c>
      <c r="U643" s="443"/>
      <c r="V643" s="446">
        <v>0</v>
      </c>
      <c r="W643" s="449">
        <f t="shared" ca="1" si="196"/>
        <v>0</v>
      </c>
      <c r="X643" s="452">
        <f t="shared" si="194"/>
        <v>0</v>
      </c>
      <c r="Y643" s="440"/>
      <c r="Z643" s="440">
        <f t="shared" ca="1" si="197"/>
        <v>0</v>
      </c>
      <c r="AA643" s="241"/>
      <c r="AH643" s="242"/>
    </row>
    <row r="644" spans="2:34" ht="15.75" x14ac:dyDescent="0.25">
      <c r="B644" s="229"/>
      <c r="C644" s="235"/>
      <c r="D644" s="243"/>
      <c r="E644" s="232"/>
      <c r="F644" s="435"/>
      <c r="G644" s="234"/>
      <c r="H644" s="235"/>
      <c r="I644" s="235"/>
      <c r="J644" s="440"/>
      <c r="K644" s="443">
        <f ca="1">ROUND(IF(ISERROR(OFFSET(Tabella!$A$1,MATCH(H644,Tabella!$A:$A,0)-1,MATCH(J644,Tabella!$A$1:$AC$1,0)-1)=TRUE),0,+OFFSET(Tabella!$A$1,MATCH(H644,Tabella!$A:$A,0)-1,MATCH(J644,Tabella!$A$1:$AC$1,0)-1)),4)</f>
        <v>0</v>
      </c>
      <c r="L644" s="446">
        <f ca="1">ROUND(IF(ISERROR(OFFSET(Ottone!$A$1,MATCH(H644,Ottone!$A:$A,0)-1,MATCH(J644,Ottone!$A$1:$Z$1,0)-1)=TRUE),0,OFFSET(Ottone!$A$1,MATCH(H644,Ottone!$A:$A,0)-1,MATCH(J644,Ottone!$A$1:$Z$1,0)-1))*IF(E644="Ottone",1,0),4)</f>
        <v>0</v>
      </c>
      <c r="M644" s="446">
        <f ca="1">ROUND(IF(ISERROR(OFFSET(Rame!$A$1,MATCH(H644,Rame!$A:$A,0)-1,MATCH(J644,Rame!$A$1:$AA$1,0)-1)=TRUE),0,OFFSET(Rame!$A$1,MATCH(H644,Rame!$A:$A,0)-1,MATCH(J644,Rame!$A$1:$AA$1,0)-1))*IF(E644="Rame",1,0),4)</f>
        <v>0</v>
      </c>
      <c r="N644" s="446">
        <v>0</v>
      </c>
      <c r="O644" s="446">
        <f t="shared" ca="1" si="198"/>
        <v>0</v>
      </c>
      <c r="P644" s="446">
        <f ca="1">ROUND(+IF(ISERROR(OFFSET(Tabella!$G$1,MATCH(H644,Tabella!$G:$G,0)-1,MATCH(I644,Tabella!$G$1:$FG$1,0)-1)=TRUE),0,OFFSET(Tabella!$G$1,MATCH(H644,Tabella!$G:$G,0)-1,MATCH(I644,Tabella!$G$1:$AB$1,0)-1)),4)</f>
        <v>0</v>
      </c>
      <c r="Q644" s="446">
        <f ca="1">ROUND(IF(ISERROR(OFFSET(Ottone!$F$1,MATCH(H644,Ottone!$A:$A,0)-1,MATCH(I644,Ottone!$F$1:$FF$1,0)-1)=TRUE),0,OFFSET(Ottone!$F$1,MATCH(H644,Ottone!$A:$A,0)-1,MATCH(I644,Ottone!$F$1:$FF$1,0)-1))*IF(E644="Ottone",1,0),4)</f>
        <v>0</v>
      </c>
      <c r="R644" s="446">
        <f ca="1">ROUND(IF(ISERROR(OFFSET(Rame!$F$1,MATCH(H644,Rame!$F:$F,0)-1,MATCH(I644,Rame!$F$1:$FF$1,0)-1)=TRUE),0,OFFSET(Rame!$F$1,MATCH(H644,Rame!$F:$F,0)-1,MATCH(I644,Rame!$F$1:$FF$1,0)-1))*IF(E644="Rame",1,0),4)</f>
        <v>0</v>
      </c>
      <c r="S644" s="446">
        <f ca="1">ROUND(IF(ISERROR(OFFSET(Bronzo!$A$1,MATCH(H644,Bronzo!$A:$A,0)-1,MATCH(I644,Bronzo!$A$1:$AA$1,0)-1)=TRUE),0,OFFSET(Bronzo!$A$1,MATCH(H644,Bronzo!$A:$A,0)-1,MATCH(I644,Bronzo!$A$1:$AA$1,0)-1)),4)</f>
        <v>0</v>
      </c>
      <c r="T644" s="446">
        <f t="shared" ca="1" si="195"/>
        <v>0</v>
      </c>
      <c r="U644" s="443"/>
      <c r="V644" s="446">
        <v>0</v>
      </c>
      <c r="W644" s="449">
        <f t="shared" ca="1" si="196"/>
        <v>0</v>
      </c>
      <c r="X644" s="452">
        <f t="shared" si="194"/>
        <v>0</v>
      </c>
      <c r="Y644" s="440"/>
      <c r="Z644" s="440">
        <f t="shared" ca="1" si="197"/>
        <v>0</v>
      </c>
      <c r="AA644" s="241"/>
      <c r="AH644" s="242"/>
    </row>
    <row r="645" spans="2:34" ht="15.75" x14ac:dyDescent="0.25">
      <c r="B645" s="229"/>
      <c r="C645" s="235"/>
      <c r="D645" s="243"/>
      <c r="E645" s="232"/>
      <c r="F645" s="435"/>
      <c r="G645" s="234"/>
      <c r="H645" s="235"/>
      <c r="I645" s="235"/>
      <c r="J645" s="440"/>
      <c r="K645" s="443">
        <f ca="1">ROUND(IF(ISERROR(OFFSET(Tabella!$A$1,MATCH(H645,Tabella!$A:$A,0)-1,MATCH(J645,Tabella!$A$1:$AC$1,0)-1)=TRUE),0,+OFFSET(Tabella!$A$1,MATCH(H645,Tabella!$A:$A,0)-1,MATCH(J645,Tabella!$A$1:$AC$1,0)-1)),4)</f>
        <v>0</v>
      </c>
      <c r="L645" s="446">
        <f ca="1">ROUND(IF(ISERROR(OFFSET(Ottone!$A$1,MATCH(H645,Ottone!$A:$A,0)-1,MATCH(J645,Ottone!$A$1:$Z$1,0)-1)=TRUE),0,OFFSET(Ottone!$A$1,MATCH(H645,Ottone!$A:$A,0)-1,MATCH(J645,Ottone!$A$1:$Z$1,0)-1))*IF(E645="Ottone",1,0),4)</f>
        <v>0</v>
      </c>
      <c r="M645" s="446">
        <f ca="1">ROUND(IF(ISERROR(OFFSET(Rame!$A$1,MATCH(H645,Rame!$A:$A,0)-1,MATCH(J645,Rame!$A$1:$AA$1,0)-1)=TRUE),0,OFFSET(Rame!$A$1,MATCH(H645,Rame!$A:$A,0)-1,MATCH(J645,Rame!$A$1:$AA$1,0)-1))*IF(E645="Rame",1,0),4)</f>
        <v>0</v>
      </c>
      <c r="N645" s="446">
        <v>0</v>
      </c>
      <c r="O645" s="446">
        <f t="shared" ca="1" si="198"/>
        <v>0</v>
      </c>
      <c r="P645" s="446">
        <f ca="1">ROUND(+IF(ISERROR(OFFSET(Tabella!$G$1,MATCH(H645,Tabella!$G:$G,0)-1,MATCH(I645,Tabella!$G$1:$FG$1,0)-1)=TRUE),0,OFFSET(Tabella!$G$1,MATCH(H645,Tabella!$G:$G,0)-1,MATCH(I645,Tabella!$G$1:$AB$1,0)-1)),4)</f>
        <v>0</v>
      </c>
      <c r="Q645" s="446">
        <f ca="1">ROUND(IF(ISERROR(OFFSET(Ottone!$F$1,MATCH(H645,Ottone!$A:$A,0)-1,MATCH(I645,Ottone!$F$1:$FF$1,0)-1)=TRUE),0,OFFSET(Ottone!$F$1,MATCH(H645,Ottone!$A:$A,0)-1,MATCH(I645,Ottone!$F$1:$FF$1,0)-1))*IF(E645="Ottone",1,0),4)</f>
        <v>0</v>
      </c>
      <c r="R645" s="446">
        <f ca="1">ROUND(IF(ISERROR(OFFSET(Rame!$F$1,MATCH(H645,Rame!$F:$F,0)-1,MATCH(I645,Rame!$F$1:$FF$1,0)-1)=TRUE),0,OFFSET(Rame!$F$1,MATCH(H645,Rame!$F:$F,0)-1,MATCH(I645,Rame!$F$1:$FF$1,0)-1))*IF(E645="Rame",1,0),4)</f>
        <v>0</v>
      </c>
      <c r="S645" s="446">
        <f ca="1">ROUND(IF(ISERROR(OFFSET(Bronzo!$A$1,MATCH(H645,Bronzo!$A:$A,0)-1,MATCH(I645,Bronzo!$A$1:$AA$1,0)-1)=TRUE),0,OFFSET(Bronzo!$A$1,MATCH(H645,Bronzo!$A:$A,0)-1,MATCH(I645,Bronzo!$A$1:$AA$1,0)-1)),4)</f>
        <v>0</v>
      </c>
      <c r="T645" s="446">
        <f t="shared" ca="1" si="195"/>
        <v>0</v>
      </c>
      <c r="U645" s="443"/>
      <c r="V645" s="446">
        <v>0</v>
      </c>
      <c r="W645" s="449">
        <f t="shared" ca="1" si="196"/>
        <v>0</v>
      </c>
      <c r="X645" s="452">
        <f t="shared" si="194"/>
        <v>0</v>
      </c>
      <c r="Y645" s="440"/>
      <c r="Z645" s="440">
        <f t="shared" ca="1" si="197"/>
        <v>0</v>
      </c>
      <c r="AA645" s="241"/>
      <c r="AH645" s="242"/>
    </row>
    <row r="646" spans="2:34" ht="15.75" x14ac:dyDescent="0.25">
      <c r="B646" s="229"/>
      <c r="C646" s="235"/>
      <c r="D646" s="243"/>
      <c r="E646" s="232"/>
      <c r="F646" s="435"/>
      <c r="G646" s="234"/>
      <c r="H646" s="235"/>
      <c r="I646" s="235"/>
      <c r="J646" s="440"/>
      <c r="K646" s="443">
        <f ca="1">ROUND(IF(ISERROR(OFFSET(Tabella!$A$1,MATCH(H646,Tabella!$A:$A,0)-1,MATCH(J646,Tabella!$A$1:$AC$1,0)-1)=TRUE),0,+OFFSET(Tabella!$A$1,MATCH(H646,Tabella!$A:$A,0)-1,MATCH(J646,Tabella!$A$1:$AC$1,0)-1)),4)</f>
        <v>0</v>
      </c>
      <c r="L646" s="446">
        <f ca="1">ROUND(IF(ISERROR(OFFSET(Ottone!$A$1,MATCH(H646,Ottone!$A:$A,0)-1,MATCH(J646,Ottone!$A$1:$Z$1,0)-1)=TRUE),0,OFFSET(Ottone!$A$1,MATCH(H646,Ottone!$A:$A,0)-1,MATCH(J646,Ottone!$A$1:$Z$1,0)-1))*IF(E646="Ottone",1,0),4)</f>
        <v>0</v>
      </c>
      <c r="M646" s="446">
        <f ca="1">ROUND(IF(ISERROR(OFFSET(Rame!$A$1,MATCH(H646,Rame!$A:$A,0)-1,MATCH(J646,Rame!$A$1:$AA$1,0)-1)=TRUE),0,OFFSET(Rame!$A$1,MATCH(H646,Rame!$A:$A,0)-1,MATCH(J646,Rame!$A$1:$AA$1,0)-1))*IF(E646="Rame",1,0),4)</f>
        <v>0</v>
      </c>
      <c r="N646" s="446">
        <v>0</v>
      </c>
      <c r="O646" s="446">
        <f t="shared" ca="1" si="198"/>
        <v>0</v>
      </c>
      <c r="P646" s="446">
        <f ca="1">ROUND(+IF(ISERROR(OFFSET(Tabella!$G$1,MATCH(H646,Tabella!$G:$G,0)-1,MATCH(I646,Tabella!$G$1:$FG$1,0)-1)=TRUE),0,OFFSET(Tabella!$G$1,MATCH(H646,Tabella!$G:$G,0)-1,MATCH(I646,Tabella!$G$1:$AB$1,0)-1)),4)</f>
        <v>0</v>
      </c>
      <c r="Q646" s="446">
        <f ca="1">ROUND(IF(ISERROR(OFFSET(Ottone!$F$1,MATCH(H646,Ottone!$A:$A,0)-1,MATCH(I646,Ottone!$F$1:$FF$1,0)-1)=TRUE),0,OFFSET(Ottone!$F$1,MATCH(H646,Ottone!$A:$A,0)-1,MATCH(I646,Ottone!$F$1:$FF$1,0)-1))*IF(E646="Ottone",1,0),4)</f>
        <v>0</v>
      </c>
      <c r="R646" s="446">
        <f ca="1">ROUND(IF(ISERROR(OFFSET(Rame!$F$1,MATCH(H646,Rame!$F:$F,0)-1,MATCH(I646,Rame!$F$1:$FF$1,0)-1)=TRUE),0,OFFSET(Rame!$F$1,MATCH(H646,Rame!$F:$F,0)-1,MATCH(I646,Rame!$F$1:$FF$1,0)-1))*IF(E646="Rame",1,0),4)</f>
        <v>0</v>
      </c>
      <c r="S646" s="446">
        <f ca="1">ROUND(IF(ISERROR(OFFSET(Bronzo!$A$1,MATCH(H646,Bronzo!$A:$A,0)-1,MATCH(I646,Bronzo!$A$1:$AA$1,0)-1)=TRUE),0,OFFSET(Bronzo!$A$1,MATCH(H646,Bronzo!$A:$A,0)-1,MATCH(I646,Bronzo!$A$1:$AA$1,0)-1)),4)</f>
        <v>0</v>
      </c>
      <c r="T646" s="446">
        <f t="shared" ca="1" si="195"/>
        <v>0</v>
      </c>
      <c r="U646" s="443"/>
      <c r="V646" s="446">
        <v>0</v>
      </c>
      <c r="W646" s="449">
        <f t="shared" ca="1" si="196"/>
        <v>0</v>
      </c>
      <c r="X646" s="452">
        <f t="shared" si="194"/>
        <v>0</v>
      </c>
      <c r="Y646" s="440"/>
      <c r="Z646" s="440">
        <f t="shared" ca="1" si="197"/>
        <v>0</v>
      </c>
      <c r="AA646" s="241"/>
      <c r="AH646" s="242"/>
    </row>
    <row r="647" spans="2:34" ht="15.75" x14ac:dyDescent="0.25">
      <c r="B647" s="229"/>
      <c r="C647" s="235"/>
      <c r="D647" s="243"/>
      <c r="E647" s="232"/>
      <c r="F647" s="435"/>
      <c r="G647" s="234"/>
      <c r="H647" s="235"/>
      <c r="I647" s="235"/>
      <c r="J647" s="440"/>
      <c r="K647" s="443">
        <f ca="1">ROUND(IF(ISERROR(OFFSET(Tabella!$A$1,MATCH(H647,Tabella!$A:$A,0)-1,MATCH(J647,Tabella!$A$1:$AC$1,0)-1)=TRUE),0,+OFFSET(Tabella!$A$1,MATCH(H647,Tabella!$A:$A,0)-1,MATCH(J647,Tabella!$A$1:$AC$1,0)-1)),4)</f>
        <v>0</v>
      </c>
      <c r="L647" s="446">
        <f ca="1">ROUND(IF(ISERROR(OFFSET(Ottone!$A$1,MATCH(H647,Ottone!$A:$A,0)-1,MATCH(J647,Ottone!$A$1:$Z$1,0)-1)=TRUE),0,OFFSET(Ottone!$A$1,MATCH(H647,Ottone!$A:$A,0)-1,MATCH(J647,Ottone!$A$1:$Z$1,0)-1))*IF(E647="Ottone",1,0),4)</f>
        <v>0</v>
      </c>
      <c r="M647" s="446">
        <f ca="1">ROUND(IF(ISERROR(OFFSET(Rame!$A$1,MATCH(H647,Rame!$A:$A,0)-1,MATCH(J647,Rame!$A$1:$AA$1,0)-1)=TRUE),0,OFFSET(Rame!$A$1,MATCH(H647,Rame!$A:$A,0)-1,MATCH(J647,Rame!$A$1:$AA$1,0)-1))*IF(E647="Rame",1,0),4)</f>
        <v>0</v>
      </c>
      <c r="N647" s="446">
        <v>0</v>
      </c>
      <c r="O647" s="446">
        <f t="shared" ca="1" si="198"/>
        <v>0</v>
      </c>
      <c r="P647" s="446">
        <f ca="1">ROUND(+IF(ISERROR(OFFSET(Tabella!$G$1,MATCH(H647,Tabella!$G:$G,0)-1,MATCH(I647,Tabella!$G$1:$FG$1,0)-1)=TRUE),0,OFFSET(Tabella!$G$1,MATCH(H647,Tabella!$G:$G,0)-1,MATCH(I647,Tabella!$G$1:$AB$1,0)-1)),4)</f>
        <v>0</v>
      </c>
      <c r="Q647" s="446">
        <f ca="1">ROUND(IF(ISERROR(OFFSET(Ottone!$F$1,MATCH(H647,Ottone!$A:$A,0)-1,MATCH(I647,Ottone!$F$1:$FF$1,0)-1)=TRUE),0,OFFSET(Ottone!$F$1,MATCH(H647,Ottone!$A:$A,0)-1,MATCH(I647,Ottone!$F$1:$FF$1,0)-1))*IF(E647="Ottone",1,0),4)</f>
        <v>0</v>
      </c>
      <c r="R647" s="446">
        <f ca="1">ROUND(IF(ISERROR(OFFSET(Rame!$F$1,MATCH(H647,Rame!$F:$F,0)-1,MATCH(I647,Rame!$F$1:$FF$1,0)-1)=TRUE),0,OFFSET(Rame!$F$1,MATCH(H647,Rame!$F:$F,0)-1,MATCH(I647,Rame!$F$1:$FF$1,0)-1))*IF(E647="Rame",1,0),4)</f>
        <v>0</v>
      </c>
      <c r="S647" s="446">
        <f ca="1">ROUND(IF(ISERROR(OFFSET(Bronzo!$A$1,MATCH(H647,Bronzo!$A:$A,0)-1,MATCH(I647,Bronzo!$A$1:$AA$1,0)-1)=TRUE),0,OFFSET(Bronzo!$A$1,MATCH(H647,Bronzo!$A:$A,0)-1,MATCH(I647,Bronzo!$A$1:$AA$1,0)-1)),4)</f>
        <v>0</v>
      </c>
      <c r="T647" s="446">
        <f t="shared" ca="1" si="195"/>
        <v>0</v>
      </c>
      <c r="U647" s="443"/>
      <c r="V647" s="446">
        <v>0</v>
      </c>
      <c r="W647" s="449">
        <f t="shared" ca="1" si="196"/>
        <v>0</v>
      </c>
      <c r="X647" s="452">
        <f t="shared" si="194"/>
        <v>0</v>
      </c>
      <c r="Y647" s="440"/>
      <c r="Z647" s="440">
        <f t="shared" ca="1" si="197"/>
        <v>0</v>
      </c>
      <c r="AA647" s="241"/>
      <c r="AH647" s="242"/>
    </row>
    <row r="648" spans="2:34" ht="15.75" x14ac:dyDescent="0.25">
      <c r="B648" s="229"/>
      <c r="C648" s="235"/>
      <c r="D648" s="243"/>
      <c r="E648" s="232"/>
      <c r="F648" s="435"/>
      <c r="G648" s="234"/>
      <c r="H648" s="235"/>
      <c r="I648" s="235"/>
      <c r="J648" s="440"/>
      <c r="K648" s="443">
        <f ca="1">ROUND(IF(ISERROR(OFFSET(Tabella!$A$1,MATCH(H648,Tabella!$A:$A,0)-1,MATCH(J648,Tabella!$A$1:$AC$1,0)-1)=TRUE),0,+OFFSET(Tabella!$A$1,MATCH(H648,Tabella!$A:$A,0)-1,MATCH(J648,Tabella!$A$1:$AC$1,0)-1)),4)</f>
        <v>0</v>
      </c>
      <c r="L648" s="446">
        <f ca="1">ROUND(IF(ISERROR(OFFSET(Ottone!$A$1,MATCH(H648,Ottone!$A:$A,0)-1,MATCH(J648,Ottone!$A$1:$Z$1,0)-1)=TRUE),0,OFFSET(Ottone!$A$1,MATCH(H648,Ottone!$A:$A,0)-1,MATCH(J648,Ottone!$A$1:$Z$1,0)-1))*IF(E648="Ottone",1,0),4)</f>
        <v>0</v>
      </c>
      <c r="M648" s="446">
        <f ca="1">ROUND(IF(ISERROR(OFFSET(Rame!$A$1,MATCH(H648,Rame!$A:$A,0)-1,MATCH(J648,Rame!$A$1:$AA$1,0)-1)=TRUE),0,OFFSET(Rame!$A$1,MATCH(H648,Rame!$A:$A,0)-1,MATCH(J648,Rame!$A$1:$AA$1,0)-1))*IF(E648="Rame",1,0),4)</f>
        <v>0</v>
      </c>
      <c r="N648" s="446">
        <v>0</v>
      </c>
      <c r="O648" s="446">
        <f t="shared" ca="1" si="198"/>
        <v>0</v>
      </c>
      <c r="P648" s="446">
        <f ca="1">ROUND(+IF(ISERROR(OFFSET(Tabella!$G$1,MATCH(H648,Tabella!$G:$G,0)-1,MATCH(I648,Tabella!$G$1:$FG$1,0)-1)=TRUE),0,OFFSET(Tabella!$G$1,MATCH(H648,Tabella!$G:$G,0)-1,MATCH(I648,Tabella!$G$1:$AB$1,0)-1)),4)</f>
        <v>0</v>
      </c>
      <c r="Q648" s="446">
        <f ca="1">ROUND(IF(ISERROR(OFFSET(Ottone!$F$1,MATCH(H648,Ottone!$A:$A,0)-1,MATCH(I648,Ottone!$F$1:$FF$1,0)-1)=TRUE),0,OFFSET(Ottone!$F$1,MATCH(H648,Ottone!$A:$A,0)-1,MATCH(I648,Ottone!$F$1:$FF$1,0)-1))*IF(E648="Ottone",1,0),4)</f>
        <v>0</v>
      </c>
      <c r="R648" s="446">
        <f ca="1">ROUND(IF(ISERROR(OFFSET(Rame!$F$1,MATCH(H648,Rame!$F:$F,0)-1,MATCH(I648,Rame!$F$1:$FF$1,0)-1)=TRUE),0,OFFSET(Rame!$F$1,MATCH(H648,Rame!$F:$F,0)-1,MATCH(I648,Rame!$F$1:$FF$1,0)-1))*IF(E648="Rame",1,0),4)</f>
        <v>0</v>
      </c>
      <c r="S648" s="446">
        <f ca="1">ROUND(IF(ISERROR(OFFSET(Bronzo!$A$1,MATCH(H648,Bronzo!$A:$A,0)-1,MATCH(I648,Bronzo!$A$1:$AA$1,0)-1)=TRUE),0,OFFSET(Bronzo!$A$1,MATCH(H648,Bronzo!$A:$A,0)-1,MATCH(I648,Bronzo!$A$1:$AA$1,0)-1)),4)</f>
        <v>0</v>
      </c>
      <c r="T648" s="446">
        <f t="shared" ca="1" si="195"/>
        <v>0</v>
      </c>
      <c r="U648" s="443"/>
      <c r="V648" s="446">
        <v>0</v>
      </c>
      <c r="W648" s="449">
        <f t="shared" ca="1" si="196"/>
        <v>0</v>
      </c>
      <c r="X648" s="452">
        <f t="shared" si="194"/>
        <v>0</v>
      </c>
      <c r="Y648" s="440"/>
      <c r="Z648" s="440">
        <f t="shared" ca="1" si="197"/>
        <v>0</v>
      </c>
      <c r="AA648" s="241"/>
      <c r="AH648" s="242"/>
    </row>
    <row r="649" spans="2:34" ht="15.75" x14ac:dyDescent="0.25">
      <c r="B649" s="229"/>
      <c r="C649" s="235"/>
      <c r="D649" s="243"/>
      <c r="E649" s="232"/>
      <c r="F649" s="435"/>
      <c r="G649" s="234"/>
      <c r="H649" s="235"/>
      <c r="I649" s="235"/>
      <c r="J649" s="440"/>
      <c r="K649" s="443">
        <f ca="1">ROUND(IF(ISERROR(OFFSET(Tabella!$A$1,MATCH(H649,Tabella!$A:$A,0)-1,MATCH(J649,Tabella!$A$1:$AC$1,0)-1)=TRUE),0,+OFFSET(Tabella!$A$1,MATCH(H649,Tabella!$A:$A,0)-1,MATCH(J649,Tabella!$A$1:$AC$1,0)-1)),4)</f>
        <v>0</v>
      </c>
      <c r="L649" s="446">
        <f ca="1">ROUND(IF(ISERROR(OFFSET(Ottone!$A$1,MATCH(H649,Ottone!$A:$A,0)-1,MATCH(J649,Ottone!$A$1:$Z$1,0)-1)=TRUE),0,OFFSET(Ottone!$A$1,MATCH(H649,Ottone!$A:$A,0)-1,MATCH(J649,Ottone!$A$1:$Z$1,0)-1))*IF(E649="Ottone",1,0),4)</f>
        <v>0</v>
      </c>
      <c r="M649" s="446">
        <f ca="1">ROUND(IF(ISERROR(OFFSET(Rame!$A$1,MATCH(H649,Rame!$A:$A,0)-1,MATCH(J649,Rame!$A$1:$AA$1,0)-1)=TRUE),0,OFFSET(Rame!$A$1,MATCH(H649,Rame!$A:$A,0)-1,MATCH(J649,Rame!$A$1:$AA$1,0)-1))*IF(E649="Rame",1,0),4)</f>
        <v>0</v>
      </c>
      <c r="N649" s="446">
        <v>0</v>
      </c>
      <c r="O649" s="446">
        <f t="shared" ca="1" si="198"/>
        <v>0</v>
      </c>
      <c r="P649" s="446">
        <f ca="1">ROUND(+IF(ISERROR(OFFSET(Tabella!$G$1,MATCH(H649,Tabella!$G:$G,0)-1,MATCH(I649,Tabella!$G$1:$FG$1,0)-1)=TRUE),0,OFFSET(Tabella!$G$1,MATCH(H649,Tabella!$G:$G,0)-1,MATCH(I649,Tabella!$G$1:$AB$1,0)-1)),4)</f>
        <v>0</v>
      </c>
      <c r="Q649" s="446">
        <f ca="1">ROUND(IF(ISERROR(OFFSET(Ottone!$F$1,MATCH(H649,Ottone!$A:$A,0)-1,MATCH(I649,Ottone!$F$1:$FF$1,0)-1)=TRUE),0,OFFSET(Ottone!$F$1,MATCH(H649,Ottone!$A:$A,0)-1,MATCH(I649,Ottone!$F$1:$FF$1,0)-1))*IF(E649="Ottone",1,0),4)</f>
        <v>0</v>
      </c>
      <c r="R649" s="446">
        <f ca="1">ROUND(IF(ISERROR(OFFSET(Rame!$F$1,MATCH(H649,Rame!$F:$F,0)-1,MATCH(I649,Rame!$F$1:$FF$1,0)-1)=TRUE),0,OFFSET(Rame!$F$1,MATCH(H649,Rame!$F:$F,0)-1,MATCH(I649,Rame!$F$1:$FF$1,0)-1))*IF(E649="Rame",1,0),4)</f>
        <v>0</v>
      </c>
      <c r="S649" s="446">
        <f ca="1">ROUND(IF(ISERROR(OFFSET(Bronzo!$A$1,MATCH(H649,Bronzo!$A:$A,0)-1,MATCH(I649,Bronzo!$A$1:$AA$1,0)-1)=TRUE),0,OFFSET(Bronzo!$A$1,MATCH(H649,Bronzo!$A:$A,0)-1,MATCH(I649,Bronzo!$A$1:$AA$1,0)-1)),4)</f>
        <v>0</v>
      </c>
      <c r="T649" s="446">
        <f t="shared" ca="1" si="195"/>
        <v>0</v>
      </c>
      <c r="U649" s="443"/>
      <c r="V649" s="446">
        <v>0</v>
      </c>
      <c r="W649" s="449">
        <f t="shared" ca="1" si="196"/>
        <v>0</v>
      </c>
      <c r="X649" s="452">
        <f t="shared" si="194"/>
        <v>0</v>
      </c>
      <c r="Y649" s="440"/>
      <c r="Z649" s="440">
        <f t="shared" ca="1" si="197"/>
        <v>0</v>
      </c>
      <c r="AA649" s="241"/>
      <c r="AH649" s="242"/>
    </row>
    <row r="650" spans="2:34" ht="15.75" x14ac:dyDescent="0.25">
      <c r="B650" s="229"/>
      <c r="C650" s="235"/>
      <c r="D650" s="243"/>
      <c r="E650" s="232"/>
      <c r="F650" s="435"/>
      <c r="G650" s="234"/>
      <c r="H650" s="235"/>
      <c r="I650" s="235"/>
      <c r="J650" s="440"/>
      <c r="K650" s="443">
        <f ca="1">ROUND(IF(ISERROR(OFFSET(Tabella!$A$1,MATCH(H650,Tabella!$A:$A,0)-1,MATCH(J650,Tabella!$A$1:$AC$1,0)-1)=TRUE),0,+OFFSET(Tabella!$A$1,MATCH(H650,Tabella!$A:$A,0)-1,MATCH(J650,Tabella!$A$1:$AC$1,0)-1)),4)</f>
        <v>0</v>
      </c>
      <c r="L650" s="446">
        <f ca="1">ROUND(IF(ISERROR(OFFSET(Ottone!$A$1,MATCH(H650,Ottone!$A:$A,0)-1,MATCH(J650,Ottone!$A$1:$Z$1,0)-1)=TRUE),0,OFFSET(Ottone!$A$1,MATCH(H650,Ottone!$A:$A,0)-1,MATCH(J650,Ottone!$A$1:$Z$1,0)-1))*IF(E650="Ottone",1,0),4)</f>
        <v>0</v>
      </c>
      <c r="M650" s="446">
        <f ca="1">ROUND(IF(ISERROR(OFFSET(Rame!$A$1,MATCH(H650,Rame!$A:$A,0)-1,MATCH(J650,Rame!$A$1:$AA$1,0)-1)=TRUE),0,OFFSET(Rame!$A$1,MATCH(H650,Rame!$A:$A,0)-1,MATCH(J650,Rame!$A$1:$AA$1,0)-1))*IF(E650="Rame",1,0),4)</f>
        <v>0</v>
      </c>
      <c r="N650" s="446">
        <v>0</v>
      </c>
      <c r="O650" s="446">
        <f t="shared" ca="1" si="198"/>
        <v>0</v>
      </c>
      <c r="P650" s="446">
        <f ca="1">ROUND(+IF(ISERROR(OFFSET(Tabella!$G$1,MATCH(H650,Tabella!$G:$G,0)-1,MATCH(I650,Tabella!$G$1:$FG$1,0)-1)=TRUE),0,OFFSET(Tabella!$G$1,MATCH(H650,Tabella!$G:$G,0)-1,MATCH(I650,Tabella!$G$1:$AB$1,0)-1)),4)</f>
        <v>0</v>
      </c>
      <c r="Q650" s="446">
        <f ca="1">ROUND(IF(ISERROR(OFFSET(Ottone!$F$1,MATCH(H650,Ottone!$A:$A,0)-1,MATCH(I650,Ottone!$F$1:$FF$1,0)-1)=TRUE),0,OFFSET(Ottone!$F$1,MATCH(H650,Ottone!$A:$A,0)-1,MATCH(I650,Ottone!$F$1:$FF$1,0)-1))*IF(E650="Ottone",1,0),4)</f>
        <v>0</v>
      </c>
      <c r="R650" s="446">
        <f ca="1">ROUND(IF(ISERROR(OFFSET(Rame!$F$1,MATCH(H650,Rame!$F:$F,0)-1,MATCH(I650,Rame!$F$1:$FF$1,0)-1)=TRUE),0,OFFSET(Rame!$F$1,MATCH(H650,Rame!$F:$F,0)-1,MATCH(I650,Rame!$F$1:$FF$1,0)-1))*IF(E650="Rame",1,0),4)</f>
        <v>0</v>
      </c>
      <c r="S650" s="446">
        <f ca="1">ROUND(IF(ISERROR(OFFSET(Bronzo!$A$1,MATCH(H650,Bronzo!$A:$A,0)-1,MATCH(I650,Bronzo!$A$1:$AA$1,0)-1)=TRUE),0,OFFSET(Bronzo!$A$1,MATCH(H650,Bronzo!$A:$A,0)-1,MATCH(I650,Bronzo!$A$1:$AA$1,0)-1)),4)</f>
        <v>0</v>
      </c>
      <c r="T650" s="446">
        <f t="shared" ca="1" si="195"/>
        <v>0</v>
      </c>
      <c r="U650" s="443"/>
      <c r="V650" s="446">
        <v>0</v>
      </c>
      <c r="W650" s="449">
        <f t="shared" ca="1" si="196"/>
        <v>0</v>
      </c>
      <c r="X650" s="452">
        <f t="shared" si="194"/>
        <v>0</v>
      </c>
      <c r="Y650" s="440"/>
      <c r="Z650" s="440">
        <f t="shared" ca="1" si="197"/>
        <v>0</v>
      </c>
      <c r="AA650" s="241"/>
      <c r="AH650" s="242"/>
    </row>
    <row r="651" spans="2:34" ht="15.75" x14ac:dyDescent="0.25">
      <c r="B651" s="229"/>
      <c r="C651" s="235"/>
      <c r="D651" s="243"/>
      <c r="E651" s="232"/>
      <c r="F651" s="435"/>
      <c r="G651" s="234"/>
      <c r="H651" s="235"/>
      <c r="I651" s="235"/>
      <c r="J651" s="440"/>
      <c r="K651" s="443">
        <f ca="1">ROUND(IF(ISERROR(OFFSET(Tabella!$A$1,MATCH(H651,Tabella!$A:$A,0)-1,MATCH(J651,Tabella!$A$1:$AC$1,0)-1)=TRUE),0,+OFFSET(Tabella!$A$1,MATCH(H651,Tabella!$A:$A,0)-1,MATCH(J651,Tabella!$A$1:$AC$1,0)-1)),4)</f>
        <v>0</v>
      </c>
      <c r="L651" s="446">
        <f ca="1">ROUND(IF(ISERROR(OFFSET(Ottone!$A$1,MATCH(H651,Ottone!$A:$A,0)-1,MATCH(J651,Ottone!$A$1:$Z$1,0)-1)=TRUE),0,OFFSET(Ottone!$A$1,MATCH(H651,Ottone!$A:$A,0)-1,MATCH(J651,Ottone!$A$1:$Z$1,0)-1))*IF(E651="Ottone",1,0),4)</f>
        <v>0</v>
      </c>
      <c r="M651" s="446">
        <f ca="1">ROUND(IF(ISERROR(OFFSET(Rame!$A$1,MATCH(H651,Rame!$A:$A,0)-1,MATCH(J651,Rame!$A$1:$AA$1,0)-1)=TRUE),0,OFFSET(Rame!$A$1,MATCH(H651,Rame!$A:$A,0)-1,MATCH(J651,Rame!$A$1:$AA$1,0)-1))*IF(E651="Rame",1,0),4)</f>
        <v>0</v>
      </c>
      <c r="N651" s="446">
        <v>0</v>
      </c>
      <c r="O651" s="446">
        <f t="shared" ca="1" si="198"/>
        <v>0</v>
      </c>
      <c r="P651" s="446">
        <f ca="1">ROUND(+IF(ISERROR(OFFSET(Tabella!$G$1,MATCH(H651,Tabella!$G:$G,0)-1,MATCH(I651,Tabella!$G$1:$FG$1,0)-1)=TRUE),0,OFFSET(Tabella!$G$1,MATCH(H651,Tabella!$G:$G,0)-1,MATCH(I651,Tabella!$G$1:$AB$1,0)-1)),4)</f>
        <v>0</v>
      </c>
      <c r="Q651" s="446">
        <f ca="1">ROUND(IF(ISERROR(OFFSET(Ottone!$F$1,MATCH(H651,Ottone!$A:$A,0)-1,MATCH(I651,Ottone!$F$1:$FF$1,0)-1)=TRUE),0,OFFSET(Ottone!$F$1,MATCH(H651,Ottone!$A:$A,0)-1,MATCH(I651,Ottone!$F$1:$FF$1,0)-1))*IF(E651="Ottone",1,0),4)</f>
        <v>0</v>
      </c>
      <c r="R651" s="446">
        <f ca="1">ROUND(IF(ISERROR(OFFSET(Rame!$F$1,MATCH(H651,Rame!$F:$F,0)-1,MATCH(I651,Rame!$F$1:$FF$1,0)-1)=TRUE),0,OFFSET(Rame!$F$1,MATCH(H651,Rame!$F:$F,0)-1,MATCH(I651,Rame!$F$1:$FF$1,0)-1))*IF(E651="Rame",1,0),4)</f>
        <v>0</v>
      </c>
      <c r="S651" s="446">
        <f ca="1">ROUND(IF(ISERROR(OFFSET(Bronzo!$A$1,MATCH(H651,Bronzo!$A:$A,0)-1,MATCH(I651,Bronzo!$A$1:$AA$1,0)-1)=TRUE),0,OFFSET(Bronzo!$A$1,MATCH(H651,Bronzo!$A:$A,0)-1,MATCH(I651,Bronzo!$A$1:$AA$1,0)-1)),4)</f>
        <v>0</v>
      </c>
      <c r="T651" s="446">
        <f t="shared" ca="1" si="195"/>
        <v>0</v>
      </c>
      <c r="U651" s="443"/>
      <c r="V651" s="446">
        <v>0</v>
      </c>
      <c r="W651" s="449">
        <f t="shared" ca="1" si="196"/>
        <v>0</v>
      </c>
      <c r="X651" s="452">
        <f t="shared" si="194"/>
        <v>0</v>
      </c>
      <c r="Y651" s="440"/>
      <c r="Z651" s="440">
        <f t="shared" ca="1" si="197"/>
        <v>0</v>
      </c>
      <c r="AA651" s="241"/>
      <c r="AH651" s="242"/>
    </row>
    <row r="652" spans="2:34" ht="15.75" x14ac:dyDescent="0.25">
      <c r="B652" s="229"/>
      <c r="C652" s="235"/>
      <c r="D652" s="243"/>
      <c r="E652" s="232"/>
      <c r="F652" s="435"/>
      <c r="G652" s="234"/>
      <c r="H652" s="235"/>
      <c r="I652" s="235"/>
      <c r="J652" s="440"/>
      <c r="K652" s="443">
        <f ca="1">ROUND(IF(ISERROR(OFFSET(Tabella!$A$1,MATCH(H652,Tabella!$A:$A,0)-1,MATCH(J652,Tabella!$A$1:$AC$1,0)-1)=TRUE),0,+OFFSET(Tabella!$A$1,MATCH(H652,Tabella!$A:$A,0)-1,MATCH(J652,Tabella!$A$1:$AC$1,0)-1)),4)</f>
        <v>0</v>
      </c>
      <c r="L652" s="446">
        <f ca="1">ROUND(IF(ISERROR(OFFSET(Ottone!$A$1,MATCH(H652,Ottone!$A:$A,0)-1,MATCH(J652,Ottone!$A$1:$Z$1,0)-1)=TRUE),0,OFFSET(Ottone!$A$1,MATCH(H652,Ottone!$A:$A,0)-1,MATCH(J652,Ottone!$A$1:$Z$1,0)-1))*IF(E652="Ottone",1,0),4)</f>
        <v>0</v>
      </c>
      <c r="M652" s="446">
        <f ca="1">ROUND(IF(ISERROR(OFFSET(Rame!$A$1,MATCH(H652,Rame!$A:$A,0)-1,MATCH(J652,Rame!$A$1:$AA$1,0)-1)=TRUE),0,OFFSET(Rame!$A$1,MATCH(H652,Rame!$A:$A,0)-1,MATCH(J652,Rame!$A$1:$AA$1,0)-1))*IF(E652="Rame",1,0),4)</f>
        <v>0</v>
      </c>
      <c r="N652" s="446">
        <v>0</v>
      </c>
      <c r="O652" s="446">
        <f t="shared" ca="1" si="198"/>
        <v>0</v>
      </c>
      <c r="P652" s="446">
        <f ca="1">ROUND(+IF(ISERROR(OFFSET(Tabella!$G$1,MATCH(H652,Tabella!$G:$G,0)-1,MATCH(I652,Tabella!$G$1:$FG$1,0)-1)=TRUE),0,OFFSET(Tabella!$G$1,MATCH(H652,Tabella!$G:$G,0)-1,MATCH(I652,Tabella!$G$1:$AB$1,0)-1)),4)</f>
        <v>0</v>
      </c>
      <c r="Q652" s="446">
        <f ca="1">ROUND(IF(ISERROR(OFFSET(Ottone!$F$1,MATCH(H652,Ottone!$A:$A,0)-1,MATCH(I652,Ottone!$F$1:$FF$1,0)-1)=TRUE),0,OFFSET(Ottone!$F$1,MATCH(H652,Ottone!$A:$A,0)-1,MATCH(I652,Ottone!$F$1:$FF$1,0)-1))*IF(E652="Ottone",1,0),4)</f>
        <v>0</v>
      </c>
      <c r="R652" s="446">
        <f ca="1">ROUND(IF(ISERROR(OFFSET(Rame!$F$1,MATCH(H652,Rame!$F:$F,0)-1,MATCH(I652,Rame!$F$1:$FF$1,0)-1)=TRUE),0,OFFSET(Rame!$F$1,MATCH(H652,Rame!$F:$F,0)-1,MATCH(I652,Rame!$F$1:$FF$1,0)-1))*IF(E652="Rame",1,0),4)</f>
        <v>0</v>
      </c>
      <c r="S652" s="446">
        <f ca="1">ROUND(IF(ISERROR(OFFSET(Bronzo!$A$1,MATCH(H652,Bronzo!$A:$A,0)-1,MATCH(I652,Bronzo!$A$1:$AA$1,0)-1)=TRUE),0,OFFSET(Bronzo!$A$1,MATCH(H652,Bronzo!$A:$A,0)-1,MATCH(I652,Bronzo!$A$1:$AA$1,0)-1)),4)</f>
        <v>0</v>
      </c>
      <c r="T652" s="446">
        <f t="shared" ca="1" si="195"/>
        <v>0</v>
      </c>
      <c r="U652" s="443"/>
      <c r="V652" s="446">
        <v>0</v>
      </c>
      <c r="W652" s="449">
        <f t="shared" ca="1" si="196"/>
        <v>0</v>
      </c>
      <c r="X652" s="452">
        <f t="shared" si="194"/>
        <v>0</v>
      </c>
      <c r="Y652" s="440"/>
      <c r="Z652" s="440">
        <f t="shared" ca="1" si="197"/>
        <v>0</v>
      </c>
      <c r="AA652" s="241"/>
      <c r="AH652" s="242"/>
    </row>
    <row r="653" spans="2:34" ht="15.75" x14ac:dyDescent="0.25">
      <c r="B653" s="229"/>
      <c r="C653" s="235"/>
      <c r="D653" s="243"/>
      <c r="E653" s="232"/>
      <c r="F653" s="435"/>
      <c r="G653" s="234"/>
      <c r="H653" s="235"/>
      <c r="I653" s="235"/>
      <c r="J653" s="440"/>
      <c r="K653" s="443">
        <f ca="1">ROUND(IF(ISERROR(OFFSET(Tabella!$A$1,MATCH(H653,Tabella!$A:$A,0)-1,MATCH(J653,Tabella!$A$1:$AC$1,0)-1)=TRUE),0,+OFFSET(Tabella!$A$1,MATCH(H653,Tabella!$A:$A,0)-1,MATCH(J653,Tabella!$A$1:$AC$1,0)-1)),4)</f>
        <v>0</v>
      </c>
      <c r="L653" s="446">
        <f ca="1">ROUND(IF(ISERROR(OFFSET(Ottone!$A$1,MATCH(H653,Ottone!$A:$A,0)-1,MATCH(J653,Ottone!$A$1:$Z$1,0)-1)=TRUE),0,OFFSET(Ottone!$A$1,MATCH(H653,Ottone!$A:$A,0)-1,MATCH(J653,Ottone!$A$1:$Z$1,0)-1))*IF(E653="Ottone",1,0),4)</f>
        <v>0</v>
      </c>
      <c r="M653" s="446">
        <f ca="1">ROUND(IF(ISERROR(OFFSET(Rame!$A$1,MATCH(H653,Rame!$A:$A,0)-1,MATCH(J653,Rame!$A$1:$AA$1,0)-1)=TRUE),0,OFFSET(Rame!$A$1,MATCH(H653,Rame!$A:$A,0)-1,MATCH(J653,Rame!$A$1:$AA$1,0)-1))*IF(E653="Rame",1,0),4)</f>
        <v>0</v>
      </c>
      <c r="N653" s="446">
        <v>0</v>
      </c>
      <c r="O653" s="446">
        <f t="shared" ca="1" si="198"/>
        <v>0</v>
      </c>
      <c r="P653" s="446">
        <f ca="1">ROUND(+IF(ISERROR(OFFSET(Tabella!$G$1,MATCH(H653,Tabella!$G:$G,0)-1,MATCH(I653,Tabella!$G$1:$FG$1,0)-1)=TRUE),0,OFFSET(Tabella!$G$1,MATCH(H653,Tabella!$G:$G,0)-1,MATCH(I653,Tabella!$G$1:$AB$1,0)-1)),4)</f>
        <v>0</v>
      </c>
      <c r="Q653" s="446">
        <f ca="1">ROUND(IF(ISERROR(OFFSET(Ottone!$F$1,MATCH(H653,Ottone!$A:$A,0)-1,MATCH(I653,Ottone!$F$1:$FF$1,0)-1)=TRUE),0,OFFSET(Ottone!$F$1,MATCH(H653,Ottone!$A:$A,0)-1,MATCH(I653,Ottone!$F$1:$FF$1,0)-1))*IF(E653="Ottone",1,0),4)</f>
        <v>0</v>
      </c>
      <c r="R653" s="446">
        <f ca="1">ROUND(IF(ISERROR(OFFSET(Rame!$F$1,MATCH(H653,Rame!$F:$F,0)-1,MATCH(I653,Rame!$F$1:$FF$1,0)-1)=TRUE),0,OFFSET(Rame!$F$1,MATCH(H653,Rame!$F:$F,0)-1,MATCH(I653,Rame!$F$1:$FF$1,0)-1))*IF(E653="Rame",1,0),4)</f>
        <v>0</v>
      </c>
      <c r="S653" s="446">
        <f ca="1">ROUND(IF(ISERROR(OFFSET(Bronzo!$A$1,MATCH(H653,Bronzo!$A:$A,0)-1,MATCH(I653,Bronzo!$A$1:$AA$1,0)-1)=TRUE),0,OFFSET(Bronzo!$A$1,MATCH(H653,Bronzo!$A:$A,0)-1,MATCH(I653,Bronzo!$A$1:$AA$1,0)-1)),4)</f>
        <v>0</v>
      </c>
      <c r="T653" s="446">
        <f t="shared" ca="1" si="195"/>
        <v>0</v>
      </c>
      <c r="U653" s="443"/>
      <c r="V653" s="446">
        <v>0</v>
      </c>
      <c r="W653" s="449">
        <f t="shared" ca="1" si="196"/>
        <v>0</v>
      </c>
      <c r="X653" s="452">
        <f t="shared" si="194"/>
        <v>0</v>
      </c>
      <c r="Y653" s="440"/>
      <c r="Z653" s="440">
        <f t="shared" ca="1" si="197"/>
        <v>0</v>
      </c>
      <c r="AA653" s="241"/>
      <c r="AH653" s="242"/>
    </row>
    <row r="654" spans="2:34" ht="15.75" x14ac:dyDescent="0.25">
      <c r="B654" s="229"/>
      <c r="C654" s="235"/>
      <c r="D654" s="243"/>
      <c r="E654" s="232"/>
      <c r="F654" s="435"/>
      <c r="G654" s="234"/>
      <c r="H654" s="235"/>
      <c r="I654" s="235"/>
      <c r="J654" s="440"/>
      <c r="K654" s="443">
        <f ca="1">ROUND(IF(ISERROR(OFFSET(Tabella!$A$1,MATCH(H654,Tabella!$A:$A,0)-1,MATCH(J654,Tabella!$A$1:$AC$1,0)-1)=TRUE),0,+OFFSET(Tabella!$A$1,MATCH(H654,Tabella!$A:$A,0)-1,MATCH(J654,Tabella!$A$1:$AC$1,0)-1)),4)</f>
        <v>0</v>
      </c>
      <c r="L654" s="446">
        <f ca="1">ROUND(IF(ISERROR(OFFSET(Ottone!$A$1,MATCH(H654,Ottone!$A:$A,0)-1,MATCH(J654,Ottone!$A$1:$Z$1,0)-1)=TRUE),0,OFFSET(Ottone!$A$1,MATCH(H654,Ottone!$A:$A,0)-1,MATCH(J654,Ottone!$A$1:$Z$1,0)-1))*IF(E654="Ottone",1,0),4)</f>
        <v>0</v>
      </c>
      <c r="M654" s="446">
        <f ca="1">ROUND(IF(ISERROR(OFFSET(Rame!$A$1,MATCH(H654,Rame!$A:$A,0)-1,MATCH(J654,Rame!$A$1:$AA$1,0)-1)=TRUE),0,OFFSET(Rame!$A$1,MATCH(H654,Rame!$A:$A,0)-1,MATCH(J654,Rame!$A$1:$AA$1,0)-1))*IF(E654="Rame",1,0),4)</f>
        <v>0</v>
      </c>
      <c r="N654" s="446">
        <v>0</v>
      </c>
      <c r="O654" s="446">
        <f t="shared" ca="1" si="198"/>
        <v>0</v>
      </c>
      <c r="P654" s="446">
        <f ca="1">ROUND(+IF(ISERROR(OFFSET(Tabella!$G$1,MATCH(H654,Tabella!$G:$G,0)-1,MATCH(I654,Tabella!$G$1:$FG$1,0)-1)=TRUE),0,OFFSET(Tabella!$G$1,MATCH(H654,Tabella!$G:$G,0)-1,MATCH(I654,Tabella!$G$1:$AB$1,0)-1)),4)</f>
        <v>0</v>
      </c>
      <c r="Q654" s="446">
        <f ca="1">ROUND(IF(ISERROR(OFFSET(Ottone!$F$1,MATCH(H654,Ottone!$A:$A,0)-1,MATCH(I654,Ottone!$F$1:$FF$1,0)-1)=TRUE),0,OFFSET(Ottone!$F$1,MATCH(H654,Ottone!$A:$A,0)-1,MATCH(I654,Ottone!$F$1:$FF$1,0)-1))*IF(E654="Ottone",1,0),4)</f>
        <v>0</v>
      </c>
      <c r="R654" s="446">
        <f ca="1">ROUND(IF(ISERROR(OFFSET(Rame!$F$1,MATCH(H654,Rame!$F:$F,0)-1,MATCH(I654,Rame!$F$1:$FF$1,0)-1)=TRUE),0,OFFSET(Rame!$F$1,MATCH(H654,Rame!$F:$F,0)-1,MATCH(I654,Rame!$F$1:$FF$1,0)-1))*IF(E654="Rame",1,0),4)</f>
        <v>0</v>
      </c>
      <c r="S654" s="446">
        <f ca="1">ROUND(IF(ISERROR(OFFSET(Bronzo!$A$1,MATCH(H654,Bronzo!$A:$A,0)-1,MATCH(I654,Bronzo!$A$1:$AA$1,0)-1)=TRUE),0,OFFSET(Bronzo!$A$1,MATCH(H654,Bronzo!$A:$A,0)-1,MATCH(I654,Bronzo!$A$1:$AA$1,0)-1)),4)</f>
        <v>0</v>
      </c>
      <c r="T654" s="446">
        <f t="shared" ca="1" si="195"/>
        <v>0</v>
      </c>
      <c r="U654" s="443"/>
      <c r="V654" s="446">
        <v>0</v>
      </c>
      <c r="W654" s="449">
        <f t="shared" ca="1" si="196"/>
        <v>0</v>
      </c>
      <c r="X654" s="452">
        <f t="shared" si="194"/>
        <v>0</v>
      </c>
      <c r="Y654" s="440"/>
      <c r="Z654" s="440">
        <f t="shared" ca="1" si="197"/>
        <v>0</v>
      </c>
      <c r="AA654" s="241"/>
      <c r="AH654" s="242"/>
    </row>
    <row r="655" spans="2:34" ht="15.75" x14ac:dyDescent="0.25">
      <c r="B655" s="229"/>
      <c r="C655" s="235"/>
      <c r="D655" s="243"/>
      <c r="E655" s="232"/>
      <c r="F655" s="435"/>
      <c r="G655" s="234"/>
      <c r="H655" s="235"/>
      <c r="I655" s="235"/>
      <c r="J655" s="440"/>
      <c r="K655" s="443">
        <f ca="1">ROUND(IF(ISERROR(OFFSET(Tabella!$A$1,MATCH(H655,Tabella!$A:$A,0)-1,MATCH(J655,Tabella!$A$1:$AC$1,0)-1)=TRUE),0,+OFFSET(Tabella!$A$1,MATCH(H655,Tabella!$A:$A,0)-1,MATCH(J655,Tabella!$A$1:$AC$1,0)-1)),4)</f>
        <v>0</v>
      </c>
      <c r="L655" s="446">
        <f ca="1">ROUND(IF(ISERROR(OFFSET(Ottone!$A$1,MATCH(H655,Ottone!$A:$A,0)-1,MATCH(J655,Ottone!$A$1:$Z$1,0)-1)=TRUE),0,OFFSET(Ottone!$A$1,MATCH(H655,Ottone!$A:$A,0)-1,MATCH(J655,Ottone!$A$1:$Z$1,0)-1))*IF(E655="Ottone",1,0),4)</f>
        <v>0</v>
      </c>
      <c r="M655" s="446">
        <f ca="1">ROUND(IF(ISERROR(OFFSET(Rame!$A$1,MATCH(H655,Rame!$A:$A,0)-1,MATCH(J655,Rame!$A$1:$AA$1,0)-1)=TRUE),0,OFFSET(Rame!$A$1,MATCH(H655,Rame!$A:$A,0)-1,MATCH(J655,Rame!$A$1:$AA$1,0)-1))*IF(E655="Rame",1,0),4)</f>
        <v>0</v>
      </c>
      <c r="N655" s="446">
        <v>0</v>
      </c>
      <c r="O655" s="446">
        <f t="shared" ca="1" si="198"/>
        <v>0</v>
      </c>
      <c r="P655" s="446">
        <f ca="1">ROUND(+IF(ISERROR(OFFSET(Tabella!$G$1,MATCH(H655,Tabella!$G:$G,0)-1,MATCH(I655,Tabella!$G$1:$FG$1,0)-1)=TRUE),0,OFFSET(Tabella!$G$1,MATCH(H655,Tabella!$G:$G,0)-1,MATCH(I655,Tabella!$G$1:$AB$1,0)-1)),4)</f>
        <v>0</v>
      </c>
      <c r="Q655" s="446">
        <f ca="1">ROUND(IF(ISERROR(OFFSET(Ottone!$F$1,MATCH(H655,Ottone!$A:$A,0)-1,MATCH(I655,Ottone!$F$1:$FF$1,0)-1)=TRUE),0,OFFSET(Ottone!$F$1,MATCH(H655,Ottone!$A:$A,0)-1,MATCH(I655,Ottone!$F$1:$FF$1,0)-1))*IF(E655="Ottone",1,0),4)</f>
        <v>0</v>
      </c>
      <c r="R655" s="446">
        <f ca="1">ROUND(IF(ISERROR(OFFSET(Rame!$F$1,MATCH(H655,Rame!$F:$F,0)-1,MATCH(I655,Rame!$F$1:$FF$1,0)-1)=TRUE),0,OFFSET(Rame!$F$1,MATCH(H655,Rame!$F:$F,0)-1,MATCH(I655,Rame!$F$1:$FF$1,0)-1))*IF(E655="Rame",1,0),4)</f>
        <v>0</v>
      </c>
      <c r="S655" s="446">
        <f ca="1">ROUND(IF(ISERROR(OFFSET(Bronzo!$A$1,MATCH(H655,Bronzo!$A:$A,0)-1,MATCH(I655,Bronzo!$A$1:$AA$1,0)-1)=TRUE),0,OFFSET(Bronzo!$A$1,MATCH(H655,Bronzo!$A:$A,0)-1,MATCH(I655,Bronzo!$A$1:$AA$1,0)-1)),4)</f>
        <v>0</v>
      </c>
      <c r="T655" s="446">
        <f t="shared" ca="1" si="195"/>
        <v>0</v>
      </c>
      <c r="U655" s="443"/>
      <c r="V655" s="446">
        <v>0</v>
      </c>
      <c r="W655" s="449">
        <f t="shared" ca="1" si="196"/>
        <v>0</v>
      </c>
      <c r="X655" s="452">
        <f t="shared" si="194"/>
        <v>0</v>
      </c>
      <c r="Y655" s="440"/>
      <c r="Z655" s="440">
        <f t="shared" ca="1" si="197"/>
        <v>0</v>
      </c>
      <c r="AA655" s="241"/>
      <c r="AH655" s="242"/>
    </row>
    <row r="656" spans="2:34" ht="15.75" x14ac:dyDescent="0.25">
      <c r="B656" s="229"/>
      <c r="C656" s="235"/>
      <c r="D656" s="243"/>
      <c r="E656" s="232"/>
      <c r="F656" s="435"/>
      <c r="G656" s="234"/>
      <c r="H656" s="235"/>
      <c r="I656" s="235"/>
      <c r="J656" s="440"/>
      <c r="K656" s="443">
        <f ca="1">ROUND(IF(ISERROR(OFFSET(Tabella!$A$1,MATCH(H656,Tabella!$A:$A,0)-1,MATCH(J656,Tabella!$A$1:$AC$1,0)-1)=TRUE),0,+OFFSET(Tabella!$A$1,MATCH(H656,Tabella!$A:$A,0)-1,MATCH(J656,Tabella!$A$1:$AC$1,0)-1)),4)</f>
        <v>0</v>
      </c>
      <c r="L656" s="446">
        <f ca="1">ROUND(IF(ISERROR(OFFSET(Ottone!$A$1,MATCH(H656,Ottone!$A:$A,0)-1,MATCH(J656,Ottone!$A$1:$Z$1,0)-1)=TRUE),0,OFFSET(Ottone!$A$1,MATCH(H656,Ottone!$A:$A,0)-1,MATCH(J656,Ottone!$A$1:$Z$1,0)-1))*IF(E656="Ottone",1,0),4)</f>
        <v>0</v>
      </c>
      <c r="M656" s="446">
        <f ca="1">ROUND(IF(ISERROR(OFFSET(Rame!$A$1,MATCH(H656,Rame!$A:$A,0)-1,MATCH(J656,Rame!$A$1:$AA$1,0)-1)=TRUE),0,OFFSET(Rame!$A$1,MATCH(H656,Rame!$A:$A,0)-1,MATCH(J656,Rame!$A$1:$AA$1,0)-1))*IF(E656="Rame",1,0),4)</f>
        <v>0</v>
      </c>
      <c r="N656" s="446">
        <v>0</v>
      </c>
      <c r="O656" s="446">
        <f t="shared" ca="1" si="198"/>
        <v>0</v>
      </c>
      <c r="P656" s="446">
        <f ca="1">ROUND(+IF(ISERROR(OFFSET(Tabella!$G$1,MATCH(H656,Tabella!$G:$G,0)-1,MATCH(I656,Tabella!$G$1:$FG$1,0)-1)=TRUE),0,OFFSET(Tabella!$G$1,MATCH(H656,Tabella!$G:$G,0)-1,MATCH(I656,Tabella!$G$1:$AB$1,0)-1)),4)</f>
        <v>0</v>
      </c>
      <c r="Q656" s="446">
        <f ca="1">ROUND(IF(ISERROR(OFFSET(Ottone!$F$1,MATCH(H656,Ottone!$A:$A,0)-1,MATCH(I656,Ottone!$F$1:$FF$1,0)-1)=TRUE),0,OFFSET(Ottone!$F$1,MATCH(H656,Ottone!$A:$A,0)-1,MATCH(I656,Ottone!$F$1:$FF$1,0)-1))*IF(E656="Ottone",1,0),4)</f>
        <v>0</v>
      </c>
      <c r="R656" s="446">
        <f ca="1">ROUND(IF(ISERROR(OFFSET(Rame!$F$1,MATCH(H656,Rame!$F:$F,0)-1,MATCH(I656,Rame!$F$1:$FF$1,0)-1)=TRUE),0,OFFSET(Rame!$F$1,MATCH(H656,Rame!$F:$F,0)-1,MATCH(I656,Rame!$F$1:$FF$1,0)-1))*IF(E656="Rame",1,0),4)</f>
        <v>0</v>
      </c>
      <c r="S656" s="446">
        <f ca="1">ROUND(IF(ISERROR(OFFSET(Bronzo!$A$1,MATCH(H656,Bronzo!$A:$A,0)-1,MATCH(I656,Bronzo!$A$1:$AA$1,0)-1)=TRUE),0,OFFSET(Bronzo!$A$1,MATCH(H656,Bronzo!$A:$A,0)-1,MATCH(I656,Bronzo!$A$1:$AA$1,0)-1)),4)</f>
        <v>0</v>
      </c>
      <c r="T656" s="446">
        <f t="shared" ca="1" si="195"/>
        <v>0</v>
      </c>
      <c r="U656" s="443"/>
      <c r="V656" s="446">
        <v>0</v>
      </c>
      <c r="W656" s="449">
        <f t="shared" ca="1" si="196"/>
        <v>0</v>
      </c>
      <c r="X656" s="452">
        <f t="shared" si="194"/>
        <v>0</v>
      </c>
      <c r="Y656" s="440"/>
      <c r="Z656" s="440">
        <f t="shared" ca="1" si="197"/>
        <v>0</v>
      </c>
      <c r="AA656" s="241"/>
      <c r="AH656" s="242"/>
    </row>
    <row r="657" spans="2:34" ht="15.75" x14ac:dyDescent="0.25">
      <c r="B657" s="229"/>
      <c r="C657" s="235"/>
      <c r="D657" s="243"/>
      <c r="E657" s="232"/>
      <c r="F657" s="435"/>
      <c r="G657" s="234"/>
      <c r="H657" s="235"/>
      <c r="I657" s="235"/>
      <c r="J657" s="440"/>
      <c r="K657" s="443">
        <f ca="1">ROUND(IF(ISERROR(OFFSET(Tabella!$A$1,MATCH(H657,Tabella!$A:$A,0)-1,MATCH(J657,Tabella!$A$1:$AC$1,0)-1)=TRUE),0,+OFFSET(Tabella!$A$1,MATCH(H657,Tabella!$A:$A,0)-1,MATCH(J657,Tabella!$A$1:$AC$1,0)-1)),4)</f>
        <v>0</v>
      </c>
      <c r="L657" s="446">
        <f ca="1">ROUND(IF(ISERROR(OFFSET(Ottone!$A$1,MATCH(H657,Ottone!$A:$A,0)-1,MATCH(J657,Ottone!$A$1:$Z$1,0)-1)=TRUE),0,OFFSET(Ottone!$A$1,MATCH(H657,Ottone!$A:$A,0)-1,MATCH(J657,Ottone!$A$1:$Z$1,0)-1))*IF(E657="Ottone",1,0),4)</f>
        <v>0</v>
      </c>
      <c r="M657" s="446">
        <f ca="1">ROUND(IF(ISERROR(OFFSET(Rame!$A$1,MATCH(H657,Rame!$A:$A,0)-1,MATCH(J657,Rame!$A$1:$AA$1,0)-1)=TRUE),0,OFFSET(Rame!$A$1,MATCH(H657,Rame!$A:$A,0)-1,MATCH(J657,Rame!$A$1:$AA$1,0)-1))*IF(E657="Rame",1,0),4)</f>
        <v>0</v>
      </c>
      <c r="N657" s="446">
        <v>0</v>
      </c>
      <c r="O657" s="446">
        <f t="shared" ca="1" si="198"/>
        <v>0</v>
      </c>
      <c r="P657" s="446">
        <f ca="1">ROUND(+IF(ISERROR(OFFSET(Tabella!$G$1,MATCH(H657,Tabella!$G:$G,0)-1,MATCH(I657,Tabella!$G$1:$FG$1,0)-1)=TRUE),0,OFFSET(Tabella!$G$1,MATCH(H657,Tabella!$G:$G,0)-1,MATCH(I657,Tabella!$G$1:$AB$1,0)-1)),4)</f>
        <v>0</v>
      </c>
      <c r="Q657" s="446">
        <f ca="1">ROUND(IF(ISERROR(OFFSET(Ottone!$F$1,MATCH(H657,Ottone!$A:$A,0)-1,MATCH(I657,Ottone!$F$1:$FF$1,0)-1)=TRUE),0,OFFSET(Ottone!$F$1,MATCH(H657,Ottone!$A:$A,0)-1,MATCH(I657,Ottone!$F$1:$FF$1,0)-1))*IF(E657="Ottone",1,0),4)</f>
        <v>0</v>
      </c>
      <c r="R657" s="446">
        <f ca="1">ROUND(IF(ISERROR(OFFSET(Rame!$F$1,MATCH(H657,Rame!$F:$F,0)-1,MATCH(I657,Rame!$F$1:$FF$1,0)-1)=TRUE),0,OFFSET(Rame!$F$1,MATCH(H657,Rame!$F:$F,0)-1,MATCH(I657,Rame!$F$1:$FF$1,0)-1))*IF(E657="Rame",1,0),4)</f>
        <v>0</v>
      </c>
      <c r="S657" s="446">
        <f ca="1">ROUND(IF(ISERROR(OFFSET(Bronzo!$A$1,MATCH(H657,Bronzo!$A:$A,0)-1,MATCH(I657,Bronzo!$A$1:$AA$1,0)-1)=TRUE),0,OFFSET(Bronzo!$A$1,MATCH(H657,Bronzo!$A:$A,0)-1,MATCH(I657,Bronzo!$A$1:$AA$1,0)-1)),4)</f>
        <v>0</v>
      </c>
      <c r="T657" s="446">
        <f t="shared" ca="1" si="195"/>
        <v>0</v>
      </c>
      <c r="U657" s="443"/>
      <c r="V657" s="446">
        <v>0</v>
      </c>
      <c r="W657" s="449">
        <f t="shared" ca="1" si="196"/>
        <v>0</v>
      </c>
      <c r="X657" s="452">
        <f t="shared" ref="X657:X720" si="199">ROUND(+J657*D657,4)</f>
        <v>0</v>
      </c>
      <c r="Y657" s="440"/>
      <c r="Z657" s="440">
        <f t="shared" ca="1" si="197"/>
        <v>0</v>
      </c>
      <c r="AA657" s="241"/>
      <c r="AH657" s="242"/>
    </row>
    <row r="658" spans="2:34" ht="15.75" x14ac:dyDescent="0.25">
      <c r="B658" s="229"/>
      <c r="C658" s="235"/>
      <c r="D658" s="243"/>
      <c r="E658" s="232"/>
      <c r="F658" s="435"/>
      <c r="G658" s="234"/>
      <c r="H658" s="235"/>
      <c r="I658" s="235"/>
      <c r="J658" s="440"/>
      <c r="K658" s="443">
        <f ca="1">ROUND(IF(ISERROR(OFFSET(Tabella!$A$1,MATCH(H658,Tabella!$A:$A,0)-1,MATCH(J658,Tabella!$A$1:$AC$1,0)-1)=TRUE),0,+OFFSET(Tabella!$A$1,MATCH(H658,Tabella!$A:$A,0)-1,MATCH(J658,Tabella!$A$1:$AC$1,0)-1)),4)</f>
        <v>0</v>
      </c>
      <c r="L658" s="446">
        <f ca="1">ROUND(IF(ISERROR(OFFSET(Ottone!$A$1,MATCH(H658,Ottone!$A:$A,0)-1,MATCH(J658,Ottone!$A$1:$Z$1,0)-1)=TRUE),0,OFFSET(Ottone!$A$1,MATCH(H658,Ottone!$A:$A,0)-1,MATCH(J658,Ottone!$A$1:$Z$1,0)-1))*IF(E658="Ottone",1,0),4)</f>
        <v>0</v>
      </c>
      <c r="M658" s="446">
        <f ca="1">ROUND(IF(ISERROR(OFFSET(Rame!$A$1,MATCH(H658,Rame!$A:$A,0)-1,MATCH(J658,Rame!$A$1:$AA$1,0)-1)=TRUE),0,OFFSET(Rame!$A$1,MATCH(H658,Rame!$A:$A,0)-1,MATCH(J658,Rame!$A$1:$AA$1,0)-1))*IF(E658="Rame",1,0),4)</f>
        <v>0</v>
      </c>
      <c r="N658" s="446">
        <v>0</v>
      </c>
      <c r="O658" s="446">
        <f t="shared" ca="1" si="198"/>
        <v>0</v>
      </c>
      <c r="P658" s="446">
        <f ca="1">ROUND(+IF(ISERROR(OFFSET(Tabella!$G$1,MATCH(H658,Tabella!$G:$G,0)-1,MATCH(I658,Tabella!$G$1:$FG$1,0)-1)=TRUE),0,OFFSET(Tabella!$G$1,MATCH(H658,Tabella!$G:$G,0)-1,MATCH(I658,Tabella!$G$1:$AB$1,0)-1)),4)</f>
        <v>0</v>
      </c>
      <c r="Q658" s="446">
        <f ca="1">ROUND(IF(ISERROR(OFFSET(Ottone!$F$1,MATCH(H658,Ottone!$A:$A,0)-1,MATCH(I658,Ottone!$F$1:$FF$1,0)-1)=TRUE),0,OFFSET(Ottone!$F$1,MATCH(H658,Ottone!$A:$A,0)-1,MATCH(I658,Ottone!$F$1:$FF$1,0)-1))*IF(E658="Ottone",1,0),4)</f>
        <v>0</v>
      </c>
      <c r="R658" s="446">
        <f ca="1">ROUND(IF(ISERROR(OFFSET(Rame!$F$1,MATCH(H658,Rame!$F:$F,0)-1,MATCH(I658,Rame!$F$1:$FF$1,0)-1)=TRUE),0,OFFSET(Rame!$F$1,MATCH(H658,Rame!$F:$F,0)-1,MATCH(I658,Rame!$F$1:$FF$1,0)-1))*IF(E658="Rame",1,0),4)</f>
        <v>0</v>
      </c>
      <c r="S658" s="446">
        <f ca="1">ROUND(IF(ISERROR(OFFSET(Bronzo!$A$1,MATCH(H658,Bronzo!$A:$A,0)-1,MATCH(I658,Bronzo!$A$1:$AA$1,0)-1)=TRUE),0,OFFSET(Bronzo!$A$1,MATCH(H658,Bronzo!$A:$A,0)-1,MATCH(I658,Bronzo!$A$1:$AA$1,0)-1)),4)</f>
        <v>0</v>
      </c>
      <c r="T658" s="446">
        <f t="shared" ca="1" si="195"/>
        <v>0</v>
      </c>
      <c r="U658" s="443"/>
      <c r="V658" s="446">
        <v>0</v>
      </c>
      <c r="W658" s="449">
        <f t="shared" ca="1" si="196"/>
        <v>0</v>
      </c>
      <c r="X658" s="452">
        <f t="shared" si="199"/>
        <v>0</v>
      </c>
      <c r="Y658" s="440"/>
      <c r="Z658" s="440">
        <f t="shared" ca="1" si="197"/>
        <v>0</v>
      </c>
      <c r="AA658" s="241"/>
      <c r="AH658" s="242"/>
    </row>
    <row r="659" spans="2:34" ht="15.75" x14ac:dyDescent="0.25">
      <c r="B659" s="229"/>
      <c r="C659" s="235"/>
      <c r="D659" s="243"/>
      <c r="E659" s="232"/>
      <c r="F659" s="435"/>
      <c r="G659" s="234"/>
      <c r="H659" s="235"/>
      <c r="I659" s="235"/>
      <c r="J659" s="440"/>
      <c r="K659" s="443">
        <f ca="1">ROUND(IF(ISERROR(OFFSET(Tabella!$A$1,MATCH(H659,Tabella!$A:$A,0)-1,MATCH(J659,Tabella!$A$1:$AC$1,0)-1)=TRUE),0,+OFFSET(Tabella!$A$1,MATCH(H659,Tabella!$A:$A,0)-1,MATCH(J659,Tabella!$A$1:$AC$1,0)-1)),4)</f>
        <v>0</v>
      </c>
      <c r="L659" s="446">
        <f ca="1">ROUND(IF(ISERROR(OFFSET(Ottone!$A$1,MATCH(H659,Ottone!$A:$A,0)-1,MATCH(J659,Ottone!$A$1:$Z$1,0)-1)=TRUE),0,OFFSET(Ottone!$A$1,MATCH(H659,Ottone!$A:$A,0)-1,MATCH(J659,Ottone!$A$1:$Z$1,0)-1))*IF(E659="Ottone",1,0),4)</f>
        <v>0</v>
      </c>
      <c r="M659" s="446">
        <f ca="1">ROUND(IF(ISERROR(OFFSET(Rame!$A$1,MATCH(H659,Rame!$A:$A,0)-1,MATCH(J659,Rame!$A$1:$AA$1,0)-1)=TRUE),0,OFFSET(Rame!$A$1,MATCH(H659,Rame!$A:$A,0)-1,MATCH(J659,Rame!$A$1:$AA$1,0)-1))*IF(E659="Rame",1,0),4)</f>
        <v>0</v>
      </c>
      <c r="N659" s="446">
        <v>0</v>
      </c>
      <c r="O659" s="446">
        <f t="shared" ca="1" si="198"/>
        <v>0</v>
      </c>
      <c r="P659" s="446">
        <f ca="1">ROUND(+IF(ISERROR(OFFSET(Tabella!$G$1,MATCH(H659,Tabella!$G:$G,0)-1,MATCH(I659,Tabella!$G$1:$FG$1,0)-1)=TRUE),0,OFFSET(Tabella!$G$1,MATCH(H659,Tabella!$G:$G,0)-1,MATCH(I659,Tabella!$G$1:$AB$1,0)-1)),4)</f>
        <v>0</v>
      </c>
      <c r="Q659" s="446">
        <f ca="1">ROUND(IF(ISERROR(OFFSET(Ottone!$F$1,MATCH(H659,Ottone!$A:$A,0)-1,MATCH(I659,Ottone!$F$1:$FF$1,0)-1)=TRUE),0,OFFSET(Ottone!$F$1,MATCH(H659,Ottone!$A:$A,0)-1,MATCH(I659,Ottone!$F$1:$FF$1,0)-1))*IF(E659="Ottone",1,0),4)</f>
        <v>0</v>
      </c>
      <c r="R659" s="446">
        <f ca="1">ROUND(IF(ISERROR(OFFSET(Rame!$F$1,MATCH(H659,Rame!$F:$F,0)-1,MATCH(I659,Rame!$F$1:$FF$1,0)-1)=TRUE),0,OFFSET(Rame!$F$1,MATCH(H659,Rame!$F:$F,0)-1,MATCH(I659,Rame!$F$1:$FF$1,0)-1))*IF(E659="Rame",1,0),4)</f>
        <v>0</v>
      </c>
      <c r="S659" s="446">
        <f ca="1">ROUND(IF(ISERROR(OFFSET(Bronzo!$A$1,MATCH(H659,Bronzo!$A:$A,0)-1,MATCH(I659,Bronzo!$A$1:$AA$1,0)-1)=TRUE),0,OFFSET(Bronzo!$A$1,MATCH(H659,Bronzo!$A:$A,0)-1,MATCH(I659,Bronzo!$A$1:$AA$1,0)-1)),4)</f>
        <v>0</v>
      </c>
      <c r="T659" s="446">
        <f t="shared" ca="1" si="195"/>
        <v>0</v>
      </c>
      <c r="U659" s="443"/>
      <c r="V659" s="446">
        <v>0</v>
      </c>
      <c r="W659" s="449">
        <f t="shared" ca="1" si="196"/>
        <v>0</v>
      </c>
      <c r="X659" s="452">
        <f t="shared" si="199"/>
        <v>0</v>
      </c>
      <c r="Y659" s="440"/>
      <c r="Z659" s="440">
        <f t="shared" ca="1" si="197"/>
        <v>0</v>
      </c>
      <c r="AA659" s="241"/>
      <c r="AH659" s="242"/>
    </row>
    <row r="660" spans="2:34" ht="15.75" x14ac:dyDescent="0.25">
      <c r="B660" s="229"/>
      <c r="C660" s="235"/>
      <c r="D660" s="243"/>
      <c r="E660" s="232"/>
      <c r="F660" s="435"/>
      <c r="G660" s="234"/>
      <c r="H660" s="235"/>
      <c r="I660" s="235"/>
      <c r="J660" s="440"/>
      <c r="K660" s="443">
        <f ca="1">ROUND(IF(ISERROR(OFFSET(Tabella!$A$1,MATCH(H660,Tabella!$A:$A,0)-1,MATCH(J660,Tabella!$A$1:$AC$1,0)-1)=TRUE),0,+OFFSET(Tabella!$A$1,MATCH(H660,Tabella!$A:$A,0)-1,MATCH(J660,Tabella!$A$1:$AC$1,0)-1)),4)</f>
        <v>0</v>
      </c>
      <c r="L660" s="446">
        <f ca="1">ROUND(IF(ISERROR(OFFSET(Ottone!$A$1,MATCH(H660,Ottone!$A:$A,0)-1,MATCH(J660,Ottone!$A$1:$Z$1,0)-1)=TRUE),0,OFFSET(Ottone!$A$1,MATCH(H660,Ottone!$A:$A,0)-1,MATCH(J660,Ottone!$A$1:$Z$1,0)-1))*IF(E660="Ottone",1,0),4)</f>
        <v>0</v>
      </c>
      <c r="M660" s="446">
        <f ca="1">ROUND(IF(ISERROR(OFFSET(Rame!$A$1,MATCH(H660,Rame!$A:$A,0)-1,MATCH(J660,Rame!$A$1:$AA$1,0)-1)=TRUE),0,OFFSET(Rame!$A$1,MATCH(H660,Rame!$A:$A,0)-1,MATCH(J660,Rame!$A$1:$AA$1,0)-1))*IF(E660="Rame",1,0),4)</f>
        <v>0</v>
      </c>
      <c r="N660" s="446">
        <v>0</v>
      </c>
      <c r="O660" s="446">
        <f t="shared" ca="1" si="198"/>
        <v>0</v>
      </c>
      <c r="P660" s="446">
        <f ca="1">ROUND(+IF(ISERROR(OFFSET(Tabella!$G$1,MATCH(H660,Tabella!$G:$G,0)-1,MATCH(I660,Tabella!$G$1:$FG$1,0)-1)=TRUE),0,OFFSET(Tabella!$G$1,MATCH(H660,Tabella!$G:$G,0)-1,MATCH(I660,Tabella!$G$1:$AB$1,0)-1)),4)</f>
        <v>0</v>
      </c>
      <c r="Q660" s="446">
        <f ca="1">ROUND(IF(ISERROR(OFFSET(Ottone!$F$1,MATCH(H660,Ottone!$A:$A,0)-1,MATCH(I660,Ottone!$F$1:$FF$1,0)-1)=TRUE),0,OFFSET(Ottone!$F$1,MATCH(H660,Ottone!$A:$A,0)-1,MATCH(I660,Ottone!$F$1:$FF$1,0)-1))*IF(E660="Ottone",1,0),4)</f>
        <v>0</v>
      </c>
      <c r="R660" s="446">
        <f ca="1">ROUND(IF(ISERROR(OFFSET(Rame!$F$1,MATCH(H660,Rame!$F:$F,0)-1,MATCH(I660,Rame!$F$1:$FF$1,0)-1)=TRUE),0,OFFSET(Rame!$F$1,MATCH(H660,Rame!$F:$F,0)-1,MATCH(I660,Rame!$F$1:$FF$1,0)-1))*IF(E660="Rame",1,0),4)</f>
        <v>0</v>
      </c>
      <c r="S660" s="446">
        <f ca="1">ROUND(IF(ISERROR(OFFSET(Bronzo!$A$1,MATCH(H660,Bronzo!$A:$A,0)-1,MATCH(I660,Bronzo!$A$1:$AA$1,0)-1)=TRUE),0,OFFSET(Bronzo!$A$1,MATCH(H660,Bronzo!$A:$A,0)-1,MATCH(I660,Bronzo!$A$1:$AA$1,0)-1)),4)</f>
        <v>0</v>
      </c>
      <c r="T660" s="446">
        <f t="shared" ca="1" si="195"/>
        <v>0</v>
      </c>
      <c r="U660" s="443"/>
      <c r="V660" s="446">
        <v>0</v>
      </c>
      <c r="W660" s="449">
        <f t="shared" ca="1" si="196"/>
        <v>0</v>
      </c>
      <c r="X660" s="452">
        <f t="shared" si="199"/>
        <v>0</v>
      </c>
      <c r="Y660" s="440"/>
      <c r="Z660" s="440">
        <f t="shared" ca="1" si="197"/>
        <v>0</v>
      </c>
      <c r="AA660" s="241"/>
      <c r="AH660" s="242"/>
    </row>
    <row r="661" spans="2:34" ht="15.75" x14ac:dyDescent="0.25">
      <c r="B661" s="229"/>
      <c r="C661" s="235"/>
      <c r="D661" s="243"/>
      <c r="E661" s="232"/>
      <c r="F661" s="435"/>
      <c r="G661" s="234"/>
      <c r="H661" s="235"/>
      <c r="I661" s="235"/>
      <c r="J661" s="440"/>
      <c r="K661" s="443">
        <f ca="1">ROUND(IF(ISERROR(OFFSET(Tabella!$A$1,MATCH(H661,Tabella!$A:$A,0)-1,MATCH(J661,Tabella!$A$1:$AC$1,0)-1)=TRUE),0,+OFFSET(Tabella!$A$1,MATCH(H661,Tabella!$A:$A,0)-1,MATCH(J661,Tabella!$A$1:$AC$1,0)-1)),4)</f>
        <v>0</v>
      </c>
      <c r="L661" s="446">
        <f ca="1">ROUND(IF(ISERROR(OFFSET(Ottone!$A$1,MATCH(H661,Ottone!$A:$A,0)-1,MATCH(J661,Ottone!$A$1:$Z$1,0)-1)=TRUE),0,OFFSET(Ottone!$A$1,MATCH(H661,Ottone!$A:$A,0)-1,MATCH(J661,Ottone!$A$1:$Z$1,0)-1))*IF(E661="Ottone",1,0),4)</f>
        <v>0</v>
      </c>
      <c r="M661" s="446">
        <f ca="1">ROUND(IF(ISERROR(OFFSET(Rame!$A$1,MATCH(H661,Rame!$A:$A,0)-1,MATCH(J661,Rame!$A$1:$AA$1,0)-1)=TRUE),0,OFFSET(Rame!$A$1,MATCH(H661,Rame!$A:$A,0)-1,MATCH(J661,Rame!$A$1:$AA$1,0)-1))*IF(E661="Rame",1,0),4)</f>
        <v>0</v>
      </c>
      <c r="N661" s="446">
        <v>0</v>
      </c>
      <c r="O661" s="446">
        <f t="shared" ca="1" si="198"/>
        <v>0</v>
      </c>
      <c r="P661" s="446">
        <f ca="1">ROUND(+IF(ISERROR(OFFSET(Tabella!$G$1,MATCH(H661,Tabella!$G:$G,0)-1,MATCH(I661,Tabella!$G$1:$FG$1,0)-1)=TRUE),0,OFFSET(Tabella!$G$1,MATCH(H661,Tabella!$G:$G,0)-1,MATCH(I661,Tabella!$G$1:$AB$1,0)-1)),4)</f>
        <v>0</v>
      </c>
      <c r="Q661" s="446">
        <f ca="1">ROUND(IF(ISERROR(OFFSET(Ottone!$F$1,MATCH(H661,Ottone!$A:$A,0)-1,MATCH(I661,Ottone!$F$1:$FF$1,0)-1)=TRUE),0,OFFSET(Ottone!$F$1,MATCH(H661,Ottone!$A:$A,0)-1,MATCH(I661,Ottone!$F$1:$FF$1,0)-1))*IF(E661="Ottone",1,0),4)</f>
        <v>0</v>
      </c>
      <c r="R661" s="446">
        <f ca="1">ROUND(IF(ISERROR(OFFSET(Rame!$F$1,MATCH(H661,Rame!$F:$F,0)-1,MATCH(I661,Rame!$F$1:$FF$1,0)-1)=TRUE),0,OFFSET(Rame!$F$1,MATCH(H661,Rame!$F:$F,0)-1,MATCH(I661,Rame!$F$1:$FF$1,0)-1))*IF(E661="Rame",1,0),4)</f>
        <v>0</v>
      </c>
      <c r="S661" s="446">
        <f ca="1">ROUND(IF(ISERROR(OFFSET(Bronzo!$A$1,MATCH(H661,Bronzo!$A:$A,0)-1,MATCH(I661,Bronzo!$A$1:$AA$1,0)-1)=TRUE),0,OFFSET(Bronzo!$A$1,MATCH(H661,Bronzo!$A:$A,0)-1,MATCH(I661,Bronzo!$A$1:$AA$1,0)-1)),4)</f>
        <v>0</v>
      </c>
      <c r="T661" s="446">
        <f t="shared" ca="1" si="195"/>
        <v>0</v>
      </c>
      <c r="U661" s="443"/>
      <c r="V661" s="446">
        <v>0</v>
      </c>
      <c r="W661" s="449">
        <f t="shared" ca="1" si="196"/>
        <v>0</v>
      </c>
      <c r="X661" s="452">
        <f t="shared" si="199"/>
        <v>0</v>
      </c>
      <c r="Y661" s="440"/>
      <c r="Z661" s="440">
        <f t="shared" ca="1" si="197"/>
        <v>0</v>
      </c>
      <c r="AA661" s="241"/>
      <c r="AH661" s="242"/>
    </row>
    <row r="662" spans="2:34" ht="15.75" x14ac:dyDescent="0.25">
      <c r="B662" s="229"/>
      <c r="C662" s="235"/>
      <c r="D662" s="243"/>
      <c r="E662" s="232"/>
      <c r="F662" s="435"/>
      <c r="G662" s="234"/>
      <c r="H662" s="235"/>
      <c r="I662" s="235"/>
      <c r="J662" s="440"/>
      <c r="K662" s="443">
        <f ca="1">ROUND(IF(ISERROR(OFFSET(Tabella!$A$1,MATCH(H662,Tabella!$A:$A,0)-1,MATCH(J662,Tabella!$A$1:$AC$1,0)-1)=TRUE),0,+OFFSET(Tabella!$A$1,MATCH(H662,Tabella!$A:$A,0)-1,MATCH(J662,Tabella!$A$1:$AC$1,0)-1)),4)</f>
        <v>0</v>
      </c>
      <c r="L662" s="446">
        <f ca="1">ROUND(IF(ISERROR(OFFSET(Ottone!$A$1,MATCH(H662,Ottone!$A:$A,0)-1,MATCH(J662,Ottone!$A$1:$Z$1,0)-1)=TRUE),0,OFFSET(Ottone!$A$1,MATCH(H662,Ottone!$A:$A,0)-1,MATCH(J662,Ottone!$A$1:$Z$1,0)-1))*IF(E662="Ottone",1,0),4)</f>
        <v>0</v>
      </c>
      <c r="M662" s="446">
        <f ca="1">ROUND(IF(ISERROR(OFFSET(Rame!$A$1,MATCH(H662,Rame!$A:$A,0)-1,MATCH(J662,Rame!$A$1:$AA$1,0)-1)=TRUE),0,OFFSET(Rame!$A$1,MATCH(H662,Rame!$A:$A,0)-1,MATCH(J662,Rame!$A$1:$AA$1,0)-1))*IF(E662="Rame",1,0),4)</f>
        <v>0</v>
      </c>
      <c r="N662" s="446">
        <v>0</v>
      </c>
      <c r="O662" s="446">
        <f t="shared" ca="1" si="198"/>
        <v>0</v>
      </c>
      <c r="P662" s="446">
        <f ca="1">ROUND(+IF(ISERROR(OFFSET(Tabella!$G$1,MATCH(H662,Tabella!$G:$G,0)-1,MATCH(I662,Tabella!$G$1:$FG$1,0)-1)=TRUE),0,OFFSET(Tabella!$G$1,MATCH(H662,Tabella!$G:$G,0)-1,MATCH(I662,Tabella!$G$1:$AB$1,0)-1)),4)</f>
        <v>0</v>
      </c>
      <c r="Q662" s="446">
        <f ca="1">ROUND(IF(ISERROR(OFFSET(Ottone!$F$1,MATCH(H662,Ottone!$A:$A,0)-1,MATCH(I662,Ottone!$F$1:$FF$1,0)-1)=TRUE),0,OFFSET(Ottone!$F$1,MATCH(H662,Ottone!$A:$A,0)-1,MATCH(I662,Ottone!$F$1:$FF$1,0)-1))*IF(E662="Ottone",1,0),4)</f>
        <v>0</v>
      </c>
      <c r="R662" s="446">
        <f ca="1">ROUND(IF(ISERROR(OFFSET(Rame!$F$1,MATCH(H662,Rame!$F:$F,0)-1,MATCH(I662,Rame!$F$1:$FF$1,0)-1)=TRUE),0,OFFSET(Rame!$F$1,MATCH(H662,Rame!$F:$F,0)-1,MATCH(I662,Rame!$F$1:$FF$1,0)-1))*IF(E662="Rame",1,0),4)</f>
        <v>0</v>
      </c>
      <c r="S662" s="446">
        <f ca="1">ROUND(IF(ISERROR(OFFSET(Bronzo!$A$1,MATCH(H662,Bronzo!$A:$A,0)-1,MATCH(I662,Bronzo!$A$1:$AA$1,0)-1)=TRUE),0,OFFSET(Bronzo!$A$1,MATCH(H662,Bronzo!$A:$A,0)-1,MATCH(I662,Bronzo!$A$1:$AA$1,0)-1)),4)</f>
        <v>0</v>
      </c>
      <c r="T662" s="446">
        <f t="shared" ca="1" si="195"/>
        <v>0</v>
      </c>
      <c r="U662" s="443"/>
      <c r="V662" s="446">
        <v>0</v>
      </c>
      <c r="W662" s="449">
        <f t="shared" ca="1" si="196"/>
        <v>0</v>
      </c>
      <c r="X662" s="452">
        <f t="shared" si="199"/>
        <v>0</v>
      </c>
      <c r="Y662" s="440"/>
      <c r="Z662" s="440">
        <f t="shared" ca="1" si="197"/>
        <v>0</v>
      </c>
      <c r="AA662" s="241"/>
      <c r="AH662" s="242"/>
    </row>
    <row r="663" spans="2:34" ht="15.75" x14ac:dyDescent="0.25">
      <c r="B663" s="229"/>
      <c r="C663" s="235"/>
      <c r="D663" s="243"/>
      <c r="E663" s="232"/>
      <c r="F663" s="435"/>
      <c r="G663" s="234"/>
      <c r="H663" s="235"/>
      <c r="I663" s="235"/>
      <c r="J663" s="440"/>
      <c r="K663" s="443">
        <f ca="1">ROUND(IF(ISERROR(OFFSET(Tabella!$A$1,MATCH(H663,Tabella!$A:$A,0)-1,MATCH(J663,Tabella!$A$1:$AC$1,0)-1)=TRUE),0,+OFFSET(Tabella!$A$1,MATCH(H663,Tabella!$A:$A,0)-1,MATCH(J663,Tabella!$A$1:$AC$1,0)-1)),4)</f>
        <v>0</v>
      </c>
      <c r="L663" s="446">
        <f ca="1">ROUND(IF(ISERROR(OFFSET(Ottone!$A$1,MATCH(H663,Ottone!$A:$A,0)-1,MATCH(J663,Ottone!$A$1:$Z$1,0)-1)=TRUE),0,OFFSET(Ottone!$A$1,MATCH(H663,Ottone!$A:$A,0)-1,MATCH(J663,Ottone!$A$1:$Z$1,0)-1))*IF(E663="Ottone",1,0),4)</f>
        <v>0</v>
      </c>
      <c r="M663" s="446">
        <f ca="1">ROUND(IF(ISERROR(OFFSET(Rame!$A$1,MATCH(H663,Rame!$A:$A,0)-1,MATCH(J663,Rame!$A$1:$AA$1,0)-1)=TRUE),0,OFFSET(Rame!$A$1,MATCH(H663,Rame!$A:$A,0)-1,MATCH(J663,Rame!$A$1:$AA$1,0)-1))*IF(E663="Rame",1,0),4)</f>
        <v>0</v>
      </c>
      <c r="N663" s="446">
        <v>0</v>
      </c>
      <c r="O663" s="446">
        <f t="shared" ca="1" si="198"/>
        <v>0</v>
      </c>
      <c r="P663" s="446">
        <f ca="1">ROUND(+IF(ISERROR(OFFSET(Tabella!$G$1,MATCH(H663,Tabella!$G:$G,0)-1,MATCH(I663,Tabella!$G$1:$FG$1,0)-1)=TRUE),0,OFFSET(Tabella!$G$1,MATCH(H663,Tabella!$G:$G,0)-1,MATCH(I663,Tabella!$G$1:$AB$1,0)-1)),4)</f>
        <v>0</v>
      </c>
      <c r="Q663" s="446">
        <f ca="1">ROUND(IF(ISERROR(OFFSET(Ottone!$F$1,MATCH(H663,Ottone!$A:$A,0)-1,MATCH(I663,Ottone!$F$1:$FF$1,0)-1)=TRUE),0,OFFSET(Ottone!$F$1,MATCH(H663,Ottone!$A:$A,0)-1,MATCH(I663,Ottone!$F$1:$FF$1,0)-1))*IF(E663="Ottone",1,0),4)</f>
        <v>0</v>
      </c>
      <c r="R663" s="446">
        <f ca="1">ROUND(IF(ISERROR(OFFSET(Rame!$F$1,MATCH(H663,Rame!$F:$F,0)-1,MATCH(I663,Rame!$F$1:$FF$1,0)-1)=TRUE),0,OFFSET(Rame!$F$1,MATCH(H663,Rame!$F:$F,0)-1,MATCH(I663,Rame!$F$1:$FF$1,0)-1))*IF(E663="Rame",1,0),4)</f>
        <v>0</v>
      </c>
      <c r="S663" s="446">
        <f ca="1">ROUND(IF(ISERROR(OFFSET(Bronzo!$A$1,MATCH(H663,Bronzo!$A:$A,0)-1,MATCH(I663,Bronzo!$A$1:$AA$1,0)-1)=TRUE),0,OFFSET(Bronzo!$A$1,MATCH(H663,Bronzo!$A:$A,0)-1,MATCH(I663,Bronzo!$A$1:$AA$1,0)-1)),4)</f>
        <v>0</v>
      </c>
      <c r="T663" s="446">
        <f t="shared" ref="T663:T726" ca="1" si="200">ROUND(SUM(P663:S663),4)</f>
        <v>0</v>
      </c>
      <c r="U663" s="443"/>
      <c r="V663" s="446">
        <v>0</v>
      </c>
      <c r="W663" s="449">
        <f t="shared" ref="W663:W726" ca="1" si="201">ROUND(+O663+T663+U663+V663,4)</f>
        <v>0</v>
      </c>
      <c r="X663" s="452">
        <f t="shared" si="199"/>
        <v>0</v>
      </c>
      <c r="Y663" s="440"/>
      <c r="Z663" s="440">
        <f t="shared" ref="Z663:Z726" ca="1" si="202">ROUND(+Y663-W663-F663,4)</f>
        <v>0</v>
      </c>
      <c r="AA663" s="241"/>
      <c r="AH663" s="242"/>
    </row>
    <row r="664" spans="2:34" ht="15.75" x14ac:dyDescent="0.25">
      <c r="B664" s="229"/>
      <c r="C664" s="235"/>
      <c r="D664" s="243"/>
      <c r="E664" s="232"/>
      <c r="F664" s="435"/>
      <c r="G664" s="234"/>
      <c r="H664" s="235"/>
      <c r="I664" s="235"/>
      <c r="J664" s="440"/>
      <c r="K664" s="443">
        <f ca="1">ROUND(IF(ISERROR(OFFSET(Tabella!$A$1,MATCH(H664,Tabella!$A:$A,0)-1,MATCH(J664,Tabella!$A$1:$AC$1,0)-1)=TRUE),0,+OFFSET(Tabella!$A$1,MATCH(H664,Tabella!$A:$A,0)-1,MATCH(J664,Tabella!$A$1:$AC$1,0)-1)),4)</f>
        <v>0</v>
      </c>
      <c r="L664" s="446">
        <f ca="1">ROUND(IF(ISERROR(OFFSET(Ottone!$A$1,MATCH(H664,Ottone!$A:$A,0)-1,MATCH(J664,Ottone!$A$1:$Z$1,0)-1)=TRUE),0,OFFSET(Ottone!$A$1,MATCH(H664,Ottone!$A:$A,0)-1,MATCH(J664,Ottone!$A$1:$Z$1,0)-1))*IF(E664="Ottone",1,0),4)</f>
        <v>0</v>
      </c>
      <c r="M664" s="446">
        <f ca="1">ROUND(IF(ISERROR(OFFSET(Rame!$A$1,MATCH(H664,Rame!$A:$A,0)-1,MATCH(J664,Rame!$A$1:$AA$1,0)-1)=TRUE),0,OFFSET(Rame!$A$1,MATCH(H664,Rame!$A:$A,0)-1,MATCH(J664,Rame!$A$1:$AA$1,0)-1))*IF(E664="Rame",1,0),4)</f>
        <v>0</v>
      </c>
      <c r="N664" s="446">
        <v>0</v>
      </c>
      <c r="O664" s="446">
        <f t="shared" ca="1" si="198"/>
        <v>0</v>
      </c>
      <c r="P664" s="446">
        <f ca="1">ROUND(+IF(ISERROR(OFFSET(Tabella!$G$1,MATCH(H664,Tabella!$G:$G,0)-1,MATCH(I664,Tabella!$G$1:$FG$1,0)-1)=TRUE),0,OFFSET(Tabella!$G$1,MATCH(H664,Tabella!$G:$G,0)-1,MATCH(I664,Tabella!$G$1:$AB$1,0)-1)),4)</f>
        <v>0</v>
      </c>
      <c r="Q664" s="446">
        <f ca="1">ROUND(IF(ISERROR(OFFSET(Ottone!$F$1,MATCH(H664,Ottone!$A:$A,0)-1,MATCH(I664,Ottone!$F$1:$FF$1,0)-1)=TRUE),0,OFFSET(Ottone!$F$1,MATCH(H664,Ottone!$A:$A,0)-1,MATCH(I664,Ottone!$F$1:$FF$1,0)-1))*IF(E664="Ottone",1,0),4)</f>
        <v>0</v>
      </c>
      <c r="R664" s="446">
        <f ca="1">ROUND(IF(ISERROR(OFFSET(Rame!$F$1,MATCH(H664,Rame!$F:$F,0)-1,MATCH(I664,Rame!$F$1:$FF$1,0)-1)=TRUE),0,OFFSET(Rame!$F$1,MATCH(H664,Rame!$F:$F,0)-1,MATCH(I664,Rame!$F$1:$FF$1,0)-1))*IF(E664="Rame",1,0),4)</f>
        <v>0</v>
      </c>
      <c r="S664" s="446">
        <f ca="1">ROUND(IF(ISERROR(OFFSET(Bronzo!$A$1,MATCH(H664,Bronzo!$A:$A,0)-1,MATCH(I664,Bronzo!$A$1:$AA$1,0)-1)=TRUE),0,OFFSET(Bronzo!$A$1,MATCH(H664,Bronzo!$A:$A,0)-1,MATCH(I664,Bronzo!$A$1:$AA$1,0)-1)),4)</f>
        <v>0</v>
      </c>
      <c r="T664" s="446">
        <f t="shared" ca="1" si="200"/>
        <v>0</v>
      </c>
      <c r="U664" s="443"/>
      <c r="V664" s="446">
        <v>0</v>
      </c>
      <c r="W664" s="449">
        <f t="shared" ca="1" si="201"/>
        <v>0</v>
      </c>
      <c r="X664" s="452">
        <f t="shared" si="199"/>
        <v>0</v>
      </c>
      <c r="Y664" s="440"/>
      <c r="Z664" s="440">
        <f t="shared" ca="1" si="202"/>
        <v>0</v>
      </c>
      <c r="AA664" s="241"/>
      <c r="AH664" s="242"/>
    </row>
    <row r="665" spans="2:34" ht="15.75" x14ac:dyDescent="0.25">
      <c r="B665" s="229"/>
      <c r="C665" s="235"/>
      <c r="D665" s="243"/>
      <c r="E665" s="232"/>
      <c r="F665" s="435"/>
      <c r="G665" s="234"/>
      <c r="H665" s="235"/>
      <c r="I665" s="235"/>
      <c r="J665" s="440"/>
      <c r="K665" s="443">
        <f ca="1">ROUND(IF(ISERROR(OFFSET(Tabella!$A$1,MATCH(H665,Tabella!$A:$A,0)-1,MATCH(J665,Tabella!$A$1:$AC$1,0)-1)=TRUE),0,+OFFSET(Tabella!$A$1,MATCH(H665,Tabella!$A:$A,0)-1,MATCH(J665,Tabella!$A$1:$AC$1,0)-1)),4)</f>
        <v>0</v>
      </c>
      <c r="L665" s="446">
        <f ca="1">ROUND(IF(ISERROR(OFFSET(Ottone!$A$1,MATCH(H665,Ottone!$A:$A,0)-1,MATCH(J665,Ottone!$A$1:$Z$1,0)-1)=TRUE),0,OFFSET(Ottone!$A$1,MATCH(H665,Ottone!$A:$A,0)-1,MATCH(J665,Ottone!$A$1:$Z$1,0)-1))*IF(E665="Ottone",1,0),4)</f>
        <v>0</v>
      </c>
      <c r="M665" s="446">
        <f ca="1">ROUND(IF(ISERROR(OFFSET(Rame!$A$1,MATCH(H665,Rame!$A:$A,0)-1,MATCH(J665,Rame!$A$1:$AA$1,0)-1)=TRUE),0,OFFSET(Rame!$A$1,MATCH(H665,Rame!$A:$A,0)-1,MATCH(J665,Rame!$A$1:$AA$1,0)-1))*IF(E665="Rame",1,0),4)</f>
        <v>0</v>
      </c>
      <c r="N665" s="446">
        <v>0</v>
      </c>
      <c r="O665" s="446">
        <f t="shared" ca="1" si="198"/>
        <v>0</v>
      </c>
      <c r="P665" s="446">
        <f ca="1">ROUND(+IF(ISERROR(OFFSET(Tabella!$G$1,MATCH(H665,Tabella!$G:$G,0)-1,MATCH(I665,Tabella!$G$1:$FG$1,0)-1)=TRUE),0,OFFSET(Tabella!$G$1,MATCH(H665,Tabella!$G:$G,0)-1,MATCH(I665,Tabella!$G$1:$AB$1,0)-1)),4)</f>
        <v>0</v>
      </c>
      <c r="Q665" s="446">
        <f ca="1">ROUND(IF(ISERROR(OFFSET(Ottone!$F$1,MATCH(H665,Ottone!$A:$A,0)-1,MATCH(I665,Ottone!$F$1:$FF$1,0)-1)=TRUE),0,OFFSET(Ottone!$F$1,MATCH(H665,Ottone!$A:$A,0)-1,MATCH(I665,Ottone!$F$1:$FF$1,0)-1))*IF(E665="Ottone",1,0),4)</f>
        <v>0</v>
      </c>
      <c r="R665" s="446">
        <f ca="1">ROUND(IF(ISERROR(OFFSET(Rame!$F$1,MATCH(H665,Rame!$F:$F,0)-1,MATCH(I665,Rame!$F$1:$FF$1,0)-1)=TRUE),0,OFFSET(Rame!$F$1,MATCH(H665,Rame!$F:$F,0)-1,MATCH(I665,Rame!$F$1:$FF$1,0)-1))*IF(E665="Rame",1,0),4)</f>
        <v>0</v>
      </c>
      <c r="S665" s="446">
        <f ca="1">ROUND(IF(ISERROR(OFFSET(Bronzo!$A$1,MATCH(H665,Bronzo!$A:$A,0)-1,MATCH(I665,Bronzo!$A$1:$AA$1,0)-1)=TRUE),0,OFFSET(Bronzo!$A$1,MATCH(H665,Bronzo!$A:$A,0)-1,MATCH(I665,Bronzo!$A$1:$AA$1,0)-1)),4)</f>
        <v>0</v>
      </c>
      <c r="T665" s="446">
        <f t="shared" ca="1" si="200"/>
        <v>0</v>
      </c>
      <c r="U665" s="443"/>
      <c r="V665" s="446">
        <v>0</v>
      </c>
      <c r="W665" s="449">
        <f t="shared" ca="1" si="201"/>
        <v>0</v>
      </c>
      <c r="X665" s="452">
        <f t="shared" si="199"/>
        <v>0</v>
      </c>
      <c r="Y665" s="440"/>
      <c r="Z665" s="440">
        <f t="shared" ca="1" si="202"/>
        <v>0</v>
      </c>
      <c r="AA665" s="241"/>
      <c r="AH665" s="242"/>
    </row>
    <row r="666" spans="2:34" ht="15.75" x14ac:dyDescent="0.25">
      <c r="B666" s="229"/>
      <c r="C666" s="235"/>
      <c r="D666" s="243"/>
      <c r="E666" s="232"/>
      <c r="F666" s="435"/>
      <c r="G666" s="234"/>
      <c r="H666" s="235"/>
      <c r="I666" s="235"/>
      <c r="J666" s="440"/>
      <c r="K666" s="443">
        <f ca="1">ROUND(IF(ISERROR(OFFSET(Tabella!$A$1,MATCH(H666,Tabella!$A:$A,0)-1,MATCH(J666,Tabella!$A$1:$AC$1,0)-1)=TRUE),0,+OFFSET(Tabella!$A$1,MATCH(H666,Tabella!$A:$A,0)-1,MATCH(J666,Tabella!$A$1:$AC$1,0)-1)),4)</f>
        <v>0</v>
      </c>
      <c r="L666" s="446">
        <f ca="1">ROUND(IF(ISERROR(OFFSET(Ottone!$A$1,MATCH(H666,Ottone!$A:$A,0)-1,MATCH(J666,Ottone!$A$1:$Z$1,0)-1)=TRUE),0,OFFSET(Ottone!$A$1,MATCH(H666,Ottone!$A:$A,0)-1,MATCH(J666,Ottone!$A$1:$Z$1,0)-1))*IF(E666="Ottone",1,0),4)</f>
        <v>0</v>
      </c>
      <c r="M666" s="446">
        <f ca="1">ROUND(IF(ISERROR(OFFSET(Rame!$A$1,MATCH(H666,Rame!$A:$A,0)-1,MATCH(J666,Rame!$A$1:$AA$1,0)-1)=TRUE),0,OFFSET(Rame!$A$1,MATCH(H666,Rame!$A:$A,0)-1,MATCH(J666,Rame!$A$1:$AA$1,0)-1))*IF(E666="Rame",1,0),4)</f>
        <v>0</v>
      </c>
      <c r="N666" s="446">
        <v>0</v>
      </c>
      <c r="O666" s="446">
        <f t="shared" ca="1" si="198"/>
        <v>0</v>
      </c>
      <c r="P666" s="446">
        <f ca="1">ROUND(+IF(ISERROR(OFFSET(Tabella!$G$1,MATCH(H666,Tabella!$G:$G,0)-1,MATCH(I666,Tabella!$G$1:$FG$1,0)-1)=TRUE),0,OFFSET(Tabella!$G$1,MATCH(H666,Tabella!$G:$G,0)-1,MATCH(I666,Tabella!$G$1:$AB$1,0)-1)),4)</f>
        <v>0</v>
      </c>
      <c r="Q666" s="446">
        <f ca="1">ROUND(IF(ISERROR(OFFSET(Ottone!$F$1,MATCH(H666,Ottone!$A:$A,0)-1,MATCH(I666,Ottone!$F$1:$FF$1,0)-1)=TRUE),0,OFFSET(Ottone!$F$1,MATCH(H666,Ottone!$A:$A,0)-1,MATCH(I666,Ottone!$F$1:$FF$1,0)-1))*IF(E666="Ottone",1,0),4)</f>
        <v>0</v>
      </c>
      <c r="R666" s="446">
        <f ca="1">ROUND(IF(ISERROR(OFFSET(Rame!$F$1,MATCH(H666,Rame!$F:$F,0)-1,MATCH(I666,Rame!$F$1:$FF$1,0)-1)=TRUE),0,OFFSET(Rame!$F$1,MATCH(H666,Rame!$F:$F,0)-1,MATCH(I666,Rame!$F$1:$FF$1,0)-1))*IF(E666="Rame",1,0),4)</f>
        <v>0</v>
      </c>
      <c r="S666" s="446">
        <f ca="1">ROUND(IF(ISERROR(OFFSET(Bronzo!$A$1,MATCH(H666,Bronzo!$A:$A,0)-1,MATCH(I666,Bronzo!$A$1:$AA$1,0)-1)=TRUE),0,OFFSET(Bronzo!$A$1,MATCH(H666,Bronzo!$A:$A,0)-1,MATCH(I666,Bronzo!$A$1:$AA$1,0)-1)),4)</f>
        <v>0</v>
      </c>
      <c r="T666" s="446">
        <f t="shared" ca="1" si="200"/>
        <v>0</v>
      </c>
      <c r="U666" s="443"/>
      <c r="V666" s="446">
        <v>0</v>
      </c>
      <c r="W666" s="449">
        <f t="shared" ca="1" si="201"/>
        <v>0</v>
      </c>
      <c r="X666" s="452">
        <f t="shared" si="199"/>
        <v>0</v>
      </c>
      <c r="Y666" s="440"/>
      <c r="Z666" s="440">
        <f t="shared" ca="1" si="202"/>
        <v>0</v>
      </c>
      <c r="AA666" s="241"/>
      <c r="AH666" s="242"/>
    </row>
    <row r="667" spans="2:34" ht="15.75" x14ac:dyDescent="0.25">
      <c r="B667" s="229"/>
      <c r="C667" s="235"/>
      <c r="D667" s="243"/>
      <c r="E667" s="232"/>
      <c r="F667" s="435"/>
      <c r="G667" s="234"/>
      <c r="H667" s="235"/>
      <c r="I667" s="235"/>
      <c r="J667" s="440"/>
      <c r="K667" s="443">
        <f ca="1">ROUND(IF(ISERROR(OFFSET(Tabella!$A$1,MATCH(H667,Tabella!$A:$A,0)-1,MATCH(J667,Tabella!$A$1:$AC$1,0)-1)=TRUE),0,+OFFSET(Tabella!$A$1,MATCH(H667,Tabella!$A:$A,0)-1,MATCH(J667,Tabella!$A$1:$AC$1,0)-1)),4)</f>
        <v>0</v>
      </c>
      <c r="L667" s="446">
        <f ca="1">ROUND(IF(ISERROR(OFFSET(Ottone!$A$1,MATCH(H667,Ottone!$A:$A,0)-1,MATCH(J667,Ottone!$A$1:$Z$1,0)-1)=TRUE),0,OFFSET(Ottone!$A$1,MATCH(H667,Ottone!$A:$A,0)-1,MATCH(J667,Ottone!$A$1:$Z$1,0)-1))*IF(E667="Ottone",1,0),4)</f>
        <v>0</v>
      </c>
      <c r="M667" s="446">
        <f ca="1">ROUND(IF(ISERROR(OFFSET(Rame!$A$1,MATCH(H667,Rame!$A:$A,0)-1,MATCH(J667,Rame!$A$1:$AA$1,0)-1)=TRUE),0,OFFSET(Rame!$A$1,MATCH(H667,Rame!$A:$A,0)-1,MATCH(J667,Rame!$A$1:$AA$1,0)-1))*IF(E667="Rame",1,0),4)</f>
        <v>0</v>
      </c>
      <c r="N667" s="446">
        <v>0</v>
      </c>
      <c r="O667" s="446">
        <f t="shared" ca="1" si="198"/>
        <v>0</v>
      </c>
      <c r="P667" s="446">
        <f ca="1">ROUND(+IF(ISERROR(OFFSET(Tabella!$G$1,MATCH(H667,Tabella!$G:$G,0)-1,MATCH(I667,Tabella!$G$1:$FG$1,0)-1)=TRUE),0,OFFSET(Tabella!$G$1,MATCH(H667,Tabella!$G:$G,0)-1,MATCH(I667,Tabella!$G$1:$AB$1,0)-1)),4)</f>
        <v>0</v>
      </c>
      <c r="Q667" s="446">
        <f ca="1">ROUND(IF(ISERROR(OFFSET(Ottone!$F$1,MATCH(H667,Ottone!$A:$A,0)-1,MATCH(I667,Ottone!$F$1:$FF$1,0)-1)=TRUE),0,OFFSET(Ottone!$F$1,MATCH(H667,Ottone!$A:$A,0)-1,MATCH(I667,Ottone!$F$1:$FF$1,0)-1))*IF(E667="Ottone",1,0),4)</f>
        <v>0</v>
      </c>
      <c r="R667" s="446">
        <f ca="1">ROUND(IF(ISERROR(OFFSET(Rame!$F$1,MATCH(H667,Rame!$F:$F,0)-1,MATCH(I667,Rame!$F$1:$FF$1,0)-1)=TRUE),0,OFFSET(Rame!$F$1,MATCH(H667,Rame!$F:$F,0)-1,MATCH(I667,Rame!$F$1:$FF$1,0)-1))*IF(E667="Rame",1,0),4)</f>
        <v>0</v>
      </c>
      <c r="S667" s="446">
        <f ca="1">ROUND(IF(ISERROR(OFFSET(Bronzo!$A$1,MATCH(H667,Bronzo!$A:$A,0)-1,MATCH(I667,Bronzo!$A$1:$AA$1,0)-1)=TRUE),0,OFFSET(Bronzo!$A$1,MATCH(H667,Bronzo!$A:$A,0)-1,MATCH(I667,Bronzo!$A$1:$AA$1,0)-1)),4)</f>
        <v>0</v>
      </c>
      <c r="T667" s="446">
        <f t="shared" ca="1" si="200"/>
        <v>0</v>
      </c>
      <c r="U667" s="443"/>
      <c r="V667" s="446">
        <v>0</v>
      </c>
      <c r="W667" s="449">
        <f t="shared" ca="1" si="201"/>
        <v>0</v>
      </c>
      <c r="X667" s="452">
        <f t="shared" si="199"/>
        <v>0</v>
      </c>
      <c r="Y667" s="440"/>
      <c r="Z667" s="440">
        <f t="shared" ca="1" si="202"/>
        <v>0</v>
      </c>
      <c r="AA667" s="241"/>
      <c r="AH667" s="242"/>
    </row>
    <row r="668" spans="2:34" ht="15.75" x14ac:dyDescent="0.25">
      <c r="B668" s="229"/>
      <c r="C668" s="235"/>
      <c r="D668" s="243"/>
      <c r="E668" s="232"/>
      <c r="F668" s="435"/>
      <c r="G668" s="234"/>
      <c r="H668" s="235"/>
      <c r="I668" s="235"/>
      <c r="J668" s="440"/>
      <c r="K668" s="443">
        <f ca="1">ROUND(IF(ISERROR(OFFSET(Tabella!$A$1,MATCH(H668,Tabella!$A:$A,0)-1,MATCH(J668,Tabella!$A$1:$AC$1,0)-1)=TRUE),0,+OFFSET(Tabella!$A$1,MATCH(H668,Tabella!$A:$A,0)-1,MATCH(J668,Tabella!$A$1:$AC$1,0)-1)),4)</f>
        <v>0</v>
      </c>
      <c r="L668" s="446">
        <f ca="1">ROUND(IF(ISERROR(OFFSET(Ottone!$A$1,MATCH(H668,Ottone!$A:$A,0)-1,MATCH(J668,Ottone!$A$1:$Z$1,0)-1)=TRUE),0,OFFSET(Ottone!$A$1,MATCH(H668,Ottone!$A:$A,0)-1,MATCH(J668,Ottone!$A$1:$Z$1,0)-1))*IF(E668="Ottone",1,0),4)</f>
        <v>0</v>
      </c>
      <c r="M668" s="446">
        <f ca="1">ROUND(IF(ISERROR(OFFSET(Rame!$A$1,MATCH(H668,Rame!$A:$A,0)-1,MATCH(J668,Rame!$A$1:$AA$1,0)-1)=TRUE),0,OFFSET(Rame!$A$1,MATCH(H668,Rame!$A:$A,0)-1,MATCH(J668,Rame!$A$1:$AA$1,0)-1))*IF(E668="Rame",1,0),4)</f>
        <v>0</v>
      </c>
      <c r="N668" s="446">
        <v>0</v>
      </c>
      <c r="O668" s="446">
        <f t="shared" ca="1" si="198"/>
        <v>0</v>
      </c>
      <c r="P668" s="446">
        <f ca="1">ROUND(+IF(ISERROR(OFFSET(Tabella!$G$1,MATCH(H668,Tabella!$G:$G,0)-1,MATCH(I668,Tabella!$G$1:$FG$1,0)-1)=TRUE),0,OFFSET(Tabella!$G$1,MATCH(H668,Tabella!$G:$G,0)-1,MATCH(I668,Tabella!$G$1:$AB$1,0)-1)),4)</f>
        <v>0</v>
      </c>
      <c r="Q668" s="446">
        <f ca="1">ROUND(IF(ISERROR(OFFSET(Ottone!$F$1,MATCH(H668,Ottone!$A:$A,0)-1,MATCH(I668,Ottone!$F$1:$FF$1,0)-1)=TRUE),0,OFFSET(Ottone!$F$1,MATCH(H668,Ottone!$A:$A,0)-1,MATCH(I668,Ottone!$F$1:$FF$1,0)-1))*IF(E668="Ottone",1,0),4)</f>
        <v>0</v>
      </c>
      <c r="R668" s="446">
        <f ca="1">ROUND(IF(ISERROR(OFFSET(Rame!$F$1,MATCH(H668,Rame!$F:$F,0)-1,MATCH(I668,Rame!$F$1:$FF$1,0)-1)=TRUE),0,OFFSET(Rame!$F$1,MATCH(H668,Rame!$F:$F,0)-1,MATCH(I668,Rame!$F$1:$FF$1,0)-1))*IF(E668="Rame",1,0),4)</f>
        <v>0</v>
      </c>
      <c r="S668" s="446">
        <f ca="1">ROUND(IF(ISERROR(OFFSET(Bronzo!$A$1,MATCH(H668,Bronzo!$A:$A,0)-1,MATCH(I668,Bronzo!$A$1:$AA$1,0)-1)=TRUE),0,OFFSET(Bronzo!$A$1,MATCH(H668,Bronzo!$A:$A,0)-1,MATCH(I668,Bronzo!$A$1:$AA$1,0)-1)),4)</f>
        <v>0</v>
      </c>
      <c r="T668" s="446">
        <f t="shared" ca="1" si="200"/>
        <v>0</v>
      </c>
      <c r="U668" s="443"/>
      <c r="V668" s="446">
        <v>0</v>
      </c>
      <c r="W668" s="449">
        <f t="shared" ca="1" si="201"/>
        <v>0</v>
      </c>
      <c r="X668" s="452">
        <f t="shared" si="199"/>
        <v>0</v>
      </c>
      <c r="Y668" s="440"/>
      <c r="Z668" s="440">
        <f t="shared" ca="1" si="202"/>
        <v>0</v>
      </c>
      <c r="AA668" s="241"/>
      <c r="AH668" s="242"/>
    </row>
    <row r="669" spans="2:34" ht="15.75" x14ac:dyDescent="0.25">
      <c r="B669" s="229"/>
      <c r="C669" s="235"/>
      <c r="D669" s="243"/>
      <c r="E669" s="232"/>
      <c r="F669" s="435"/>
      <c r="G669" s="234"/>
      <c r="H669" s="235"/>
      <c r="I669" s="235"/>
      <c r="J669" s="440"/>
      <c r="K669" s="443">
        <f ca="1">ROUND(IF(ISERROR(OFFSET(Tabella!$A$1,MATCH(H669,Tabella!$A:$A,0)-1,MATCH(J669,Tabella!$A$1:$AC$1,0)-1)=TRUE),0,+OFFSET(Tabella!$A$1,MATCH(H669,Tabella!$A:$A,0)-1,MATCH(J669,Tabella!$A$1:$AC$1,0)-1)),4)</f>
        <v>0</v>
      </c>
      <c r="L669" s="446">
        <f ca="1">ROUND(IF(ISERROR(OFFSET(Ottone!$A$1,MATCH(H669,Ottone!$A:$A,0)-1,MATCH(J669,Ottone!$A$1:$Z$1,0)-1)=TRUE),0,OFFSET(Ottone!$A$1,MATCH(H669,Ottone!$A:$A,0)-1,MATCH(J669,Ottone!$A$1:$Z$1,0)-1))*IF(E669="Ottone",1,0),4)</f>
        <v>0</v>
      </c>
      <c r="M669" s="446">
        <f ca="1">ROUND(IF(ISERROR(OFFSET(Rame!$A$1,MATCH(H669,Rame!$A:$A,0)-1,MATCH(J669,Rame!$A$1:$AA$1,0)-1)=TRUE),0,OFFSET(Rame!$A$1,MATCH(H669,Rame!$A:$A,0)-1,MATCH(J669,Rame!$A$1:$AA$1,0)-1))*IF(E669="Rame",1,0),4)</f>
        <v>0</v>
      </c>
      <c r="N669" s="446">
        <v>0</v>
      </c>
      <c r="O669" s="446">
        <f t="shared" ca="1" si="198"/>
        <v>0</v>
      </c>
      <c r="P669" s="446">
        <f ca="1">ROUND(+IF(ISERROR(OFFSET(Tabella!$G$1,MATCH(H669,Tabella!$G:$G,0)-1,MATCH(I669,Tabella!$G$1:$FG$1,0)-1)=TRUE),0,OFFSET(Tabella!$G$1,MATCH(H669,Tabella!$G:$G,0)-1,MATCH(I669,Tabella!$G$1:$AB$1,0)-1)),4)</f>
        <v>0</v>
      </c>
      <c r="Q669" s="446">
        <f ca="1">ROUND(IF(ISERROR(OFFSET(Ottone!$F$1,MATCH(H669,Ottone!$A:$A,0)-1,MATCH(I669,Ottone!$F$1:$FF$1,0)-1)=TRUE),0,OFFSET(Ottone!$F$1,MATCH(H669,Ottone!$A:$A,0)-1,MATCH(I669,Ottone!$F$1:$FF$1,0)-1))*IF(E669="Ottone",1,0),4)</f>
        <v>0</v>
      </c>
      <c r="R669" s="446">
        <f ca="1">ROUND(IF(ISERROR(OFFSET(Rame!$F$1,MATCH(H669,Rame!$F:$F,0)-1,MATCH(I669,Rame!$F$1:$FF$1,0)-1)=TRUE),0,OFFSET(Rame!$F$1,MATCH(H669,Rame!$F:$F,0)-1,MATCH(I669,Rame!$F$1:$FF$1,0)-1))*IF(E669="Rame",1,0),4)</f>
        <v>0</v>
      </c>
      <c r="S669" s="446">
        <f ca="1">ROUND(IF(ISERROR(OFFSET(Bronzo!$A$1,MATCH(H669,Bronzo!$A:$A,0)-1,MATCH(I669,Bronzo!$A$1:$AA$1,0)-1)=TRUE),0,OFFSET(Bronzo!$A$1,MATCH(H669,Bronzo!$A:$A,0)-1,MATCH(I669,Bronzo!$A$1:$AA$1,0)-1)),4)</f>
        <v>0</v>
      </c>
      <c r="T669" s="446">
        <f t="shared" ca="1" si="200"/>
        <v>0</v>
      </c>
      <c r="U669" s="443"/>
      <c r="V669" s="446">
        <v>0</v>
      </c>
      <c r="W669" s="449">
        <f t="shared" ca="1" si="201"/>
        <v>0</v>
      </c>
      <c r="X669" s="452">
        <f t="shared" si="199"/>
        <v>0</v>
      </c>
      <c r="Y669" s="440"/>
      <c r="Z669" s="440">
        <f t="shared" ca="1" si="202"/>
        <v>0</v>
      </c>
      <c r="AA669" s="241"/>
      <c r="AH669" s="242"/>
    </row>
    <row r="670" spans="2:34" ht="15.75" x14ac:dyDescent="0.25">
      <c r="B670" s="229"/>
      <c r="C670" s="235"/>
      <c r="D670" s="243"/>
      <c r="E670" s="232"/>
      <c r="F670" s="435"/>
      <c r="G670" s="234"/>
      <c r="H670" s="235"/>
      <c r="I670" s="235"/>
      <c r="J670" s="440"/>
      <c r="K670" s="443">
        <f ca="1">ROUND(IF(ISERROR(OFFSET(Tabella!$A$1,MATCH(H670,Tabella!$A:$A,0)-1,MATCH(J670,Tabella!$A$1:$AC$1,0)-1)=TRUE),0,+OFFSET(Tabella!$A$1,MATCH(H670,Tabella!$A:$A,0)-1,MATCH(J670,Tabella!$A$1:$AC$1,0)-1)),4)</f>
        <v>0</v>
      </c>
      <c r="L670" s="446">
        <f ca="1">ROUND(IF(ISERROR(OFFSET(Ottone!$A$1,MATCH(H670,Ottone!$A:$A,0)-1,MATCH(J670,Ottone!$A$1:$Z$1,0)-1)=TRUE),0,OFFSET(Ottone!$A$1,MATCH(H670,Ottone!$A:$A,0)-1,MATCH(J670,Ottone!$A$1:$Z$1,0)-1))*IF(E670="Ottone",1,0),4)</f>
        <v>0</v>
      </c>
      <c r="M670" s="446">
        <f ca="1">ROUND(IF(ISERROR(OFFSET(Rame!$A$1,MATCH(H670,Rame!$A:$A,0)-1,MATCH(J670,Rame!$A$1:$AA$1,0)-1)=TRUE),0,OFFSET(Rame!$A$1,MATCH(H670,Rame!$A:$A,0)-1,MATCH(J670,Rame!$A$1:$AA$1,0)-1))*IF(E670="Rame",1,0),4)</f>
        <v>0</v>
      </c>
      <c r="N670" s="446">
        <v>0</v>
      </c>
      <c r="O670" s="446">
        <f t="shared" ca="1" si="198"/>
        <v>0</v>
      </c>
      <c r="P670" s="446">
        <f ca="1">ROUND(+IF(ISERROR(OFFSET(Tabella!$G$1,MATCH(H670,Tabella!$G:$G,0)-1,MATCH(I670,Tabella!$G$1:$FG$1,0)-1)=TRUE),0,OFFSET(Tabella!$G$1,MATCH(H670,Tabella!$G:$G,0)-1,MATCH(I670,Tabella!$G$1:$AB$1,0)-1)),4)</f>
        <v>0</v>
      </c>
      <c r="Q670" s="446">
        <f ca="1">ROUND(IF(ISERROR(OFFSET(Ottone!$F$1,MATCH(H670,Ottone!$A:$A,0)-1,MATCH(I670,Ottone!$F$1:$FF$1,0)-1)=TRUE),0,OFFSET(Ottone!$F$1,MATCH(H670,Ottone!$A:$A,0)-1,MATCH(I670,Ottone!$F$1:$FF$1,0)-1))*IF(E670="Ottone",1,0),4)</f>
        <v>0</v>
      </c>
      <c r="R670" s="446">
        <f ca="1">ROUND(IF(ISERROR(OFFSET(Rame!$F$1,MATCH(H670,Rame!$F:$F,0)-1,MATCH(I670,Rame!$F$1:$FF$1,0)-1)=TRUE),0,OFFSET(Rame!$F$1,MATCH(H670,Rame!$F:$F,0)-1,MATCH(I670,Rame!$F$1:$FF$1,0)-1))*IF(E670="Rame",1,0),4)</f>
        <v>0</v>
      </c>
      <c r="S670" s="446">
        <f ca="1">ROUND(IF(ISERROR(OFFSET(Bronzo!$A$1,MATCH(H670,Bronzo!$A:$A,0)-1,MATCH(I670,Bronzo!$A$1:$AA$1,0)-1)=TRUE),0,OFFSET(Bronzo!$A$1,MATCH(H670,Bronzo!$A:$A,0)-1,MATCH(I670,Bronzo!$A$1:$AA$1,0)-1)),4)</f>
        <v>0</v>
      </c>
      <c r="T670" s="446">
        <f t="shared" ca="1" si="200"/>
        <v>0</v>
      </c>
      <c r="U670" s="443"/>
      <c r="V670" s="446">
        <v>0</v>
      </c>
      <c r="W670" s="449">
        <f t="shared" ca="1" si="201"/>
        <v>0</v>
      </c>
      <c r="X670" s="452">
        <f t="shared" si="199"/>
        <v>0</v>
      </c>
      <c r="Y670" s="440"/>
      <c r="Z670" s="440">
        <f t="shared" ca="1" si="202"/>
        <v>0</v>
      </c>
      <c r="AA670" s="241"/>
      <c r="AH670" s="242"/>
    </row>
    <row r="671" spans="2:34" ht="15.75" x14ac:dyDescent="0.25">
      <c r="B671" s="229"/>
      <c r="C671" s="235"/>
      <c r="D671" s="243"/>
      <c r="E671" s="232"/>
      <c r="F671" s="435"/>
      <c r="G671" s="234"/>
      <c r="H671" s="235"/>
      <c r="I671" s="235"/>
      <c r="J671" s="440"/>
      <c r="K671" s="443">
        <f ca="1">ROUND(IF(ISERROR(OFFSET(Tabella!$A$1,MATCH(H671,Tabella!$A:$A,0)-1,MATCH(J671,Tabella!$A$1:$AC$1,0)-1)=TRUE),0,+OFFSET(Tabella!$A$1,MATCH(H671,Tabella!$A:$A,0)-1,MATCH(J671,Tabella!$A$1:$AC$1,0)-1)),4)</f>
        <v>0</v>
      </c>
      <c r="L671" s="446">
        <f ca="1">ROUND(IF(ISERROR(OFFSET(Ottone!$A$1,MATCH(H671,Ottone!$A:$A,0)-1,MATCH(J671,Ottone!$A$1:$Z$1,0)-1)=TRUE),0,OFFSET(Ottone!$A$1,MATCH(H671,Ottone!$A:$A,0)-1,MATCH(J671,Ottone!$A$1:$Z$1,0)-1))*IF(E671="Ottone",1,0),4)</f>
        <v>0</v>
      </c>
      <c r="M671" s="446">
        <f ca="1">ROUND(IF(ISERROR(OFFSET(Rame!$A$1,MATCH(H671,Rame!$A:$A,0)-1,MATCH(J671,Rame!$A$1:$AA$1,0)-1)=TRUE),0,OFFSET(Rame!$A$1,MATCH(H671,Rame!$A:$A,0)-1,MATCH(J671,Rame!$A$1:$AA$1,0)-1))*IF(E671="Rame",1,0),4)</f>
        <v>0</v>
      </c>
      <c r="N671" s="446">
        <v>0</v>
      </c>
      <c r="O671" s="446">
        <f t="shared" ca="1" si="198"/>
        <v>0</v>
      </c>
      <c r="P671" s="446">
        <f ca="1">ROUND(+IF(ISERROR(OFFSET(Tabella!$G$1,MATCH(H671,Tabella!$G:$G,0)-1,MATCH(I671,Tabella!$G$1:$FG$1,0)-1)=TRUE),0,OFFSET(Tabella!$G$1,MATCH(H671,Tabella!$G:$G,0)-1,MATCH(I671,Tabella!$G$1:$AB$1,0)-1)),4)</f>
        <v>0</v>
      </c>
      <c r="Q671" s="446">
        <f ca="1">ROUND(IF(ISERROR(OFFSET(Ottone!$F$1,MATCH(H671,Ottone!$A:$A,0)-1,MATCH(I671,Ottone!$F$1:$FF$1,0)-1)=TRUE),0,OFFSET(Ottone!$F$1,MATCH(H671,Ottone!$A:$A,0)-1,MATCH(I671,Ottone!$F$1:$FF$1,0)-1))*IF(E671="Ottone",1,0),4)</f>
        <v>0</v>
      </c>
      <c r="R671" s="446">
        <f ca="1">ROUND(IF(ISERROR(OFFSET(Rame!$F$1,MATCH(H671,Rame!$F:$F,0)-1,MATCH(I671,Rame!$F$1:$FF$1,0)-1)=TRUE),0,OFFSET(Rame!$F$1,MATCH(H671,Rame!$F:$F,0)-1,MATCH(I671,Rame!$F$1:$FF$1,0)-1))*IF(E671="Rame",1,0),4)</f>
        <v>0</v>
      </c>
      <c r="S671" s="446">
        <f ca="1">ROUND(IF(ISERROR(OFFSET(Bronzo!$A$1,MATCH(H671,Bronzo!$A:$A,0)-1,MATCH(I671,Bronzo!$A$1:$AA$1,0)-1)=TRUE),0,OFFSET(Bronzo!$A$1,MATCH(H671,Bronzo!$A:$A,0)-1,MATCH(I671,Bronzo!$A$1:$AA$1,0)-1)),4)</f>
        <v>0</v>
      </c>
      <c r="T671" s="446">
        <f t="shared" ca="1" si="200"/>
        <v>0</v>
      </c>
      <c r="U671" s="443"/>
      <c r="V671" s="446">
        <v>0</v>
      </c>
      <c r="W671" s="449">
        <f t="shared" ca="1" si="201"/>
        <v>0</v>
      </c>
      <c r="X671" s="452">
        <f t="shared" si="199"/>
        <v>0</v>
      </c>
      <c r="Y671" s="440"/>
      <c r="Z671" s="440">
        <f t="shared" ca="1" si="202"/>
        <v>0</v>
      </c>
      <c r="AA671" s="241"/>
      <c r="AH671" s="242"/>
    </row>
    <row r="672" spans="2:34" ht="15.75" x14ac:dyDescent="0.25">
      <c r="B672" s="229"/>
      <c r="C672" s="235"/>
      <c r="D672" s="243"/>
      <c r="E672" s="232"/>
      <c r="F672" s="435"/>
      <c r="G672" s="234"/>
      <c r="H672" s="235"/>
      <c r="I672" s="235"/>
      <c r="J672" s="440"/>
      <c r="K672" s="443">
        <f ca="1">ROUND(IF(ISERROR(OFFSET(Tabella!$A$1,MATCH(H672,Tabella!$A:$A,0)-1,MATCH(J672,Tabella!$A$1:$AC$1,0)-1)=TRUE),0,+OFFSET(Tabella!$A$1,MATCH(H672,Tabella!$A:$A,0)-1,MATCH(J672,Tabella!$A$1:$AC$1,0)-1)),4)</f>
        <v>0</v>
      </c>
      <c r="L672" s="446">
        <f ca="1">ROUND(IF(ISERROR(OFFSET(Ottone!$A$1,MATCH(H672,Ottone!$A:$A,0)-1,MATCH(J672,Ottone!$A$1:$Z$1,0)-1)=TRUE),0,OFFSET(Ottone!$A$1,MATCH(H672,Ottone!$A:$A,0)-1,MATCH(J672,Ottone!$A$1:$Z$1,0)-1))*IF(E672="Ottone",1,0),4)</f>
        <v>0</v>
      </c>
      <c r="M672" s="446">
        <f ca="1">ROUND(IF(ISERROR(OFFSET(Rame!$A$1,MATCH(H672,Rame!$A:$A,0)-1,MATCH(J672,Rame!$A$1:$AA$1,0)-1)=TRUE),0,OFFSET(Rame!$A$1,MATCH(H672,Rame!$A:$A,0)-1,MATCH(J672,Rame!$A$1:$AA$1,0)-1))*IF(E672="Rame",1,0),4)</f>
        <v>0</v>
      </c>
      <c r="N672" s="446">
        <v>0</v>
      </c>
      <c r="O672" s="446">
        <f t="shared" ca="1" si="198"/>
        <v>0</v>
      </c>
      <c r="P672" s="446">
        <f ca="1">ROUND(+IF(ISERROR(OFFSET(Tabella!$G$1,MATCH(H672,Tabella!$G:$G,0)-1,MATCH(I672,Tabella!$G$1:$FG$1,0)-1)=TRUE),0,OFFSET(Tabella!$G$1,MATCH(H672,Tabella!$G:$G,0)-1,MATCH(I672,Tabella!$G$1:$AB$1,0)-1)),4)</f>
        <v>0</v>
      </c>
      <c r="Q672" s="446">
        <f ca="1">ROUND(IF(ISERROR(OFFSET(Ottone!$F$1,MATCH(H672,Ottone!$A:$A,0)-1,MATCH(I672,Ottone!$F$1:$FF$1,0)-1)=TRUE),0,OFFSET(Ottone!$F$1,MATCH(H672,Ottone!$A:$A,0)-1,MATCH(I672,Ottone!$F$1:$FF$1,0)-1))*IF(E672="Ottone",1,0),4)</f>
        <v>0</v>
      </c>
      <c r="R672" s="446">
        <f ca="1">ROUND(IF(ISERROR(OFFSET(Rame!$F$1,MATCH(H672,Rame!$F:$F,0)-1,MATCH(I672,Rame!$F$1:$FF$1,0)-1)=TRUE),0,OFFSET(Rame!$F$1,MATCH(H672,Rame!$F:$F,0)-1,MATCH(I672,Rame!$F$1:$FF$1,0)-1))*IF(E672="Rame",1,0),4)</f>
        <v>0</v>
      </c>
      <c r="S672" s="446">
        <f ca="1">ROUND(IF(ISERROR(OFFSET(Bronzo!$A$1,MATCH(H672,Bronzo!$A:$A,0)-1,MATCH(I672,Bronzo!$A$1:$AA$1,0)-1)=TRUE),0,OFFSET(Bronzo!$A$1,MATCH(H672,Bronzo!$A:$A,0)-1,MATCH(I672,Bronzo!$A$1:$AA$1,0)-1)),4)</f>
        <v>0</v>
      </c>
      <c r="T672" s="446">
        <f t="shared" ca="1" si="200"/>
        <v>0</v>
      </c>
      <c r="U672" s="443"/>
      <c r="V672" s="446">
        <v>0</v>
      </c>
      <c r="W672" s="449">
        <f t="shared" ca="1" si="201"/>
        <v>0</v>
      </c>
      <c r="X672" s="452">
        <f t="shared" si="199"/>
        <v>0</v>
      </c>
      <c r="Y672" s="440"/>
      <c r="Z672" s="440">
        <f t="shared" ca="1" si="202"/>
        <v>0</v>
      </c>
      <c r="AA672" s="241"/>
      <c r="AH672" s="242"/>
    </row>
    <row r="673" spans="2:34" ht="15.75" x14ac:dyDescent="0.25">
      <c r="B673" s="229"/>
      <c r="C673" s="235"/>
      <c r="D673" s="243"/>
      <c r="E673" s="232"/>
      <c r="F673" s="435"/>
      <c r="G673" s="234"/>
      <c r="H673" s="235"/>
      <c r="I673" s="235"/>
      <c r="J673" s="440"/>
      <c r="K673" s="443">
        <f ca="1">ROUND(IF(ISERROR(OFFSET(Tabella!$A$1,MATCH(H673,Tabella!$A:$A,0)-1,MATCH(J673,Tabella!$A$1:$AC$1,0)-1)=TRUE),0,+OFFSET(Tabella!$A$1,MATCH(H673,Tabella!$A:$A,0)-1,MATCH(J673,Tabella!$A$1:$AC$1,0)-1)),4)</f>
        <v>0</v>
      </c>
      <c r="L673" s="446">
        <f ca="1">ROUND(IF(ISERROR(OFFSET(Ottone!$A$1,MATCH(H673,Ottone!$A:$A,0)-1,MATCH(J673,Ottone!$A$1:$Z$1,0)-1)=TRUE),0,OFFSET(Ottone!$A$1,MATCH(H673,Ottone!$A:$A,0)-1,MATCH(J673,Ottone!$A$1:$Z$1,0)-1))*IF(E673="Ottone",1,0),4)</f>
        <v>0</v>
      </c>
      <c r="M673" s="446">
        <f ca="1">ROUND(IF(ISERROR(OFFSET(Rame!$A$1,MATCH(H673,Rame!$A:$A,0)-1,MATCH(J673,Rame!$A$1:$AA$1,0)-1)=TRUE),0,OFFSET(Rame!$A$1,MATCH(H673,Rame!$A:$A,0)-1,MATCH(J673,Rame!$A$1:$AA$1,0)-1))*IF(E673="Rame",1,0),4)</f>
        <v>0</v>
      </c>
      <c r="N673" s="446">
        <v>0</v>
      </c>
      <c r="O673" s="446">
        <f t="shared" ca="1" si="198"/>
        <v>0</v>
      </c>
      <c r="P673" s="446">
        <f ca="1">ROUND(+IF(ISERROR(OFFSET(Tabella!$G$1,MATCH(H673,Tabella!$G:$G,0)-1,MATCH(I673,Tabella!$G$1:$FG$1,0)-1)=TRUE),0,OFFSET(Tabella!$G$1,MATCH(H673,Tabella!$G:$G,0)-1,MATCH(I673,Tabella!$G$1:$AB$1,0)-1)),4)</f>
        <v>0</v>
      </c>
      <c r="Q673" s="446">
        <f ca="1">ROUND(IF(ISERROR(OFFSET(Ottone!$F$1,MATCH(H673,Ottone!$A:$A,0)-1,MATCH(I673,Ottone!$F$1:$FF$1,0)-1)=TRUE),0,OFFSET(Ottone!$F$1,MATCH(H673,Ottone!$A:$A,0)-1,MATCH(I673,Ottone!$F$1:$FF$1,0)-1))*IF(E673="Ottone",1,0),4)</f>
        <v>0</v>
      </c>
      <c r="R673" s="446">
        <f ca="1">ROUND(IF(ISERROR(OFFSET(Rame!$F$1,MATCH(H673,Rame!$F:$F,0)-1,MATCH(I673,Rame!$F$1:$FF$1,0)-1)=TRUE),0,OFFSET(Rame!$F$1,MATCH(H673,Rame!$F:$F,0)-1,MATCH(I673,Rame!$F$1:$FF$1,0)-1))*IF(E673="Rame",1,0),4)</f>
        <v>0</v>
      </c>
      <c r="S673" s="446">
        <f ca="1">ROUND(IF(ISERROR(OFFSET(Bronzo!$A$1,MATCH(H673,Bronzo!$A:$A,0)-1,MATCH(I673,Bronzo!$A$1:$AA$1,0)-1)=TRUE),0,OFFSET(Bronzo!$A$1,MATCH(H673,Bronzo!$A:$A,0)-1,MATCH(I673,Bronzo!$A$1:$AA$1,0)-1)),4)</f>
        <v>0</v>
      </c>
      <c r="T673" s="446">
        <f t="shared" ca="1" si="200"/>
        <v>0</v>
      </c>
      <c r="U673" s="443"/>
      <c r="V673" s="446">
        <v>0</v>
      </c>
      <c r="W673" s="449">
        <f t="shared" ca="1" si="201"/>
        <v>0</v>
      </c>
      <c r="X673" s="452">
        <f t="shared" si="199"/>
        <v>0</v>
      </c>
      <c r="Y673" s="440"/>
      <c r="Z673" s="440">
        <f t="shared" ca="1" si="202"/>
        <v>0</v>
      </c>
      <c r="AA673" s="241"/>
      <c r="AH673" s="242"/>
    </row>
    <row r="674" spans="2:34" ht="15.75" x14ac:dyDescent="0.25">
      <c r="B674" s="229"/>
      <c r="C674" s="235"/>
      <c r="D674" s="243"/>
      <c r="E674" s="232"/>
      <c r="F674" s="435"/>
      <c r="G674" s="234"/>
      <c r="H674" s="235"/>
      <c r="I674" s="235"/>
      <c r="J674" s="440"/>
      <c r="K674" s="443">
        <f ca="1">ROUND(IF(ISERROR(OFFSET(Tabella!$A$1,MATCH(H674,Tabella!$A:$A,0)-1,MATCH(J674,Tabella!$A$1:$AC$1,0)-1)=TRUE),0,+OFFSET(Tabella!$A$1,MATCH(H674,Tabella!$A:$A,0)-1,MATCH(J674,Tabella!$A$1:$AC$1,0)-1)),4)</f>
        <v>0</v>
      </c>
      <c r="L674" s="446">
        <f ca="1">ROUND(IF(ISERROR(OFFSET(Ottone!$A$1,MATCH(H674,Ottone!$A:$A,0)-1,MATCH(J674,Ottone!$A$1:$Z$1,0)-1)=TRUE),0,OFFSET(Ottone!$A$1,MATCH(H674,Ottone!$A:$A,0)-1,MATCH(J674,Ottone!$A$1:$Z$1,0)-1))*IF(E674="Ottone",1,0),4)</f>
        <v>0</v>
      </c>
      <c r="M674" s="446">
        <f ca="1">ROUND(IF(ISERROR(OFFSET(Rame!$A$1,MATCH(H674,Rame!$A:$A,0)-1,MATCH(J674,Rame!$A$1:$AA$1,0)-1)=TRUE),0,OFFSET(Rame!$A$1,MATCH(H674,Rame!$A:$A,0)-1,MATCH(J674,Rame!$A$1:$AA$1,0)-1))*IF(E674="Rame",1,0),4)</f>
        <v>0</v>
      </c>
      <c r="N674" s="446">
        <v>0</v>
      </c>
      <c r="O674" s="446">
        <f t="shared" ca="1" si="198"/>
        <v>0</v>
      </c>
      <c r="P674" s="446">
        <f ca="1">ROUND(+IF(ISERROR(OFFSET(Tabella!$G$1,MATCH(H674,Tabella!$G:$G,0)-1,MATCH(I674,Tabella!$G$1:$FG$1,0)-1)=TRUE),0,OFFSET(Tabella!$G$1,MATCH(H674,Tabella!$G:$G,0)-1,MATCH(I674,Tabella!$G$1:$AB$1,0)-1)),4)</f>
        <v>0</v>
      </c>
      <c r="Q674" s="446">
        <f ca="1">ROUND(IF(ISERROR(OFFSET(Ottone!$F$1,MATCH(H674,Ottone!$A:$A,0)-1,MATCH(I674,Ottone!$F$1:$FF$1,0)-1)=TRUE),0,OFFSET(Ottone!$F$1,MATCH(H674,Ottone!$A:$A,0)-1,MATCH(I674,Ottone!$F$1:$FF$1,0)-1))*IF(E674="Ottone",1,0),4)</f>
        <v>0</v>
      </c>
      <c r="R674" s="446">
        <f ca="1">ROUND(IF(ISERROR(OFFSET(Rame!$F$1,MATCH(H674,Rame!$F:$F,0)-1,MATCH(I674,Rame!$F$1:$FF$1,0)-1)=TRUE),0,OFFSET(Rame!$F$1,MATCH(H674,Rame!$F:$F,0)-1,MATCH(I674,Rame!$F$1:$FF$1,0)-1))*IF(E674="Rame",1,0),4)</f>
        <v>0</v>
      </c>
      <c r="S674" s="446">
        <f ca="1">ROUND(IF(ISERROR(OFFSET(Bronzo!$A$1,MATCH(H674,Bronzo!$A:$A,0)-1,MATCH(I674,Bronzo!$A$1:$AA$1,0)-1)=TRUE),0,OFFSET(Bronzo!$A$1,MATCH(H674,Bronzo!$A:$A,0)-1,MATCH(I674,Bronzo!$A$1:$AA$1,0)-1)),4)</f>
        <v>0</v>
      </c>
      <c r="T674" s="446">
        <f t="shared" ca="1" si="200"/>
        <v>0</v>
      </c>
      <c r="U674" s="443"/>
      <c r="V674" s="446">
        <v>0</v>
      </c>
      <c r="W674" s="449">
        <f t="shared" ca="1" si="201"/>
        <v>0</v>
      </c>
      <c r="X674" s="452">
        <f t="shared" si="199"/>
        <v>0</v>
      </c>
      <c r="Y674" s="440"/>
      <c r="Z674" s="440">
        <f t="shared" ca="1" si="202"/>
        <v>0</v>
      </c>
      <c r="AA674" s="241"/>
      <c r="AH674" s="242"/>
    </row>
    <row r="675" spans="2:34" ht="15.75" x14ac:dyDescent="0.25">
      <c r="B675" s="229"/>
      <c r="C675" s="235"/>
      <c r="D675" s="243"/>
      <c r="E675" s="232"/>
      <c r="F675" s="435"/>
      <c r="G675" s="234"/>
      <c r="H675" s="235"/>
      <c r="I675" s="235"/>
      <c r="J675" s="440"/>
      <c r="K675" s="443">
        <f ca="1">ROUND(IF(ISERROR(OFFSET(Tabella!$A$1,MATCH(H675,Tabella!$A:$A,0)-1,MATCH(J675,Tabella!$A$1:$AC$1,0)-1)=TRUE),0,+OFFSET(Tabella!$A$1,MATCH(H675,Tabella!$A:$A,0)-1,MATCH(J675,Tabella!$A$1:$AC$1,0)-1)),4)</f>
        <v>0</v>
      </c>
      <c r="L675" s="446">
        <f ca="1">ROUND(IF(ISERROR(OFFSET(Ottone!$A$1,MATCH(H675,Ottone!$A:$A,0)-1,MATCH(J675,Ottone!$A$1:$Z$1,0)-1)=TRUE),0,OFFSET(Ottone!$A$1,MATCH(H675,Ottone!$A:$A,0)-1,MATCH(J675,Ottone!$A$1:$Z$1,0)-1))*IF(E675="Ottone",1,0),4)</f>
        <v>0</v>
      </c>
      <c r="M675" s="446">
        <f ca="1">ROUND(IF(ISERROR(OFFSET(Rame!$A$1,MATCH(H675,Rame!$A:$A,0)-1,MATCH(J675,Rame!$A$1:$AA$1,0)-1)=TRUE),0,OFFSET(Rame!$A$1,MATCH(H675,Rame!$A:$A,0)-1,MATCH(J675,Rame!$A$1:$AA$1,0)-1))*IF(E675="Rame",1,0),4)</f>
        <v>0</v>
      </c>
      <c r="N675" s="446">
        <v>0</v>
      </c>
      <c r="O675" s="446">
        <f t="shared" ca="1" si="198"/>
        <v>0</v>
      </c>
      <c r="P675" s="446">
        <f ca="1">ROUND(+IF(ISERROR(OFFSET(Tabella!$G$1,MATCH(H675,Tabella!$G:$G,0)-1,MATCH(I675,Tabella!$G$1:$FG$1,0)-1)=TRUE),0,OFFSET(Tabella!$G$1,MATCH(H675,Tabella!$G:$G,0)-1,MATCH(I675,Tabella!$G$1:$AB$1,0)-1)),4)</f>
        <v>0</v>
      </c>
      <c r="Q675" s="446">
        <f ca="1">ROUND(IF(ISERROR(OFFSET(Ottone!$F$1,MATCH(H675,Ottone!$A:$A,0)-1,MATCH(I675,Ottone!$F$1:$FF$1,0)-1)=TRUE),0,OFFSET(Ottone!$F$1,MATCH(H675,Ottone!$A:$A,0)-1,MATCH(I675,Ottone!$F$1:$FF$1,0)-1))*IF(E675="Ottone",1,0),4)</f>
        <v>0</v>
      </c>
      <c r="R675" s="446">
        <f ca="1">ROUND(IF(ISERROR(OFFSET(Rame!$F$1,MATCH(H675,Rame!$F:$F,0)-1,MATCH(I675,Rame!$F$1:$FF$1,0)-1)=TRUE),0,OFFSET(Rame!$F$1,MATCH(H675,Rame!$F:$F,0)-1,MATCH(I675,Rame!$F$1:$FF$1,0)-1))*IF(E675="Rame",1,0),4)</f>
        <v>0</v>
      </c>
      <c r="S675" s="446">
        <f ca="1">ROUND(IF(ISERROR(OFFSET(Bronzo!$A$1,MATCH(H675,Bronzo!$A:$A,0)-1,MATCH(I675,Bronzo!$A$1:$AA$1,0)-1)=TRUE),0,OFFSET(Bronzo!$A$1,MATCH(H675,Bronzo!$A:$A,0)-1,MATCH(I675,Bronzo!$A$1:$AA$1,0)-1)),4)</f>
        <v>0</v>
      </c>
      <c r="T675" s="446">
        <f t="shared" ca="1" si="200"/>
        <v>0</v>
      </c>
      <c r="U675" s="443"/>
      <c r="V675" s="446">
        <v>0</v>
      </c>
      <c r="W675" s="449">
        <f t="shared" ca="1" si="201"/>
        <v>0</v>
      </c>
      <c r="X675" s="452">
        <f t="shared" si="199"/>
        <v>0</v>
      </c>
      <c r="Y675" s="440"/>
      <c r="Z675" s="440">
        <f t="shared" ca="1" si="202"/>
        <v>0</v>
      </c>
      <c r="AA675" s="241"/>
      <c r="AH675" s="242"/>
    </row>
    <row r="676" spans="2:34" ht="15.75" x14ac:dyDescent="0.25">
      <c r="B676" s="229"/>
      <c r="C676" s="235"/>
      <c r="D676" s="243"/>
      <c r="E676" s="232"/>
      <c r="F676" s="435"/>
      <c r="G676" s="234"/>
      <c r="H676" s="235"/>
      <c r="I676" s="235"/>
      <c r="J676" s="440"/>
      <c r="K676" s="443">
        <f ca="1">ROUND(IF(ISERROR(OFFSET(Tabella!$A$1,MATCH(H676,Tabella!$A:$A,0)-1,MATCH(J676,Tabella!$A$1:$AC$1,0)-1)=TRUE),0,+OFFSET(Tabella!$A$1,MATCH(H676,Tabella!$A:$A,0)-1,MATCH(J676,Tabella!$A$1:$AC$1,0)-1)),4)</f>
        <v>0</v>
      </c>
      <c r="L676" s="446">
        <f ca="1">ROUND(IF(ISERROR(OFFSET(Ottone!$A$1,MATCH(H676,Ottone!$A:$A,0)-1,MATCH(J676,Ottone!$A$1:$Z$1,0)-1)=TRUE),0,OFFSET(Ottone!$A$1,MATCH(H676,Ottone!$A:$A,0)-1,MATCH(J676,Ottone!$A$1:$Z$1,0)-1))*IF(E676="Ottone",1,0),4)</f>
        <v>0</v>
      </c>
      <c r="M676" s="446">
        <f ca="1">ROUND(IF(ISERROR(OFFSET(Rame!$A$1,MATCH(H676,Rame!$A:$A,0)-1,MATCH(J676,Rame!$A$1:$AA$1,0)-1)=TRUE),0,OFFSET(Rame!$A$1,MATCH(H676,Rame!$A:$A,0)-1,MATCH(J676,Rame!$A$1:$AA$1,0)-1))*IF(E676="Rame",1,0),4)</f>
        <v>0</v>
      </c>
      <c r="N676" s="446">
        <v>0</v>
      </c>
      <c r="O676" s="446">
        <f t="shared" ca="1" si="198"/>
        <v>0</v>
      </c>
      <c r="P676" s="446">
        <f ca="1">ROUND(+IF(ISERROR(OFFSET(Tabella!$G$1,MATCH(H676,Tabella!$G:$G,0)-1,MATCH(I676,Tabella!$G$1:$FG$1,0)-1)=TRUE),0,OFFSET(Tabella!$G$1,MATCH(H676,Tabella!$G:$G,0)-1,MATCH(I676,Tabella!$G$1:$AB$1,0)-1)),4)</f>
        <v>0</v>
      </c>
      <c r="Q676" s="446">
        <f ca="1">ROUND(IF(ISERROR(OFFSET(Ottone!$F$1,MATCH(H676,Ottone!$A:$A,0)-1,MATCH(I676,Ottone!$F$1:$FF$1,0)-1)=TRUE),0,OFFSET(Ottone!$F$1,MATCH(H676,Ottone!$A:$A,0)-1,MATCH(I676,Ottone!$F$1:$FF$1,0)-1))*IF(E676="Ottone",1,0),4)</f>
        <v>0</v>
      </c>
      <c r="R676" s="446">
        <f ca="1">ROUND(IF(ISERROR(OFFSET(Rame!$F$1,MATCH(H676,Rame!$F:$F,0)-1,MATCH(I676,Rame!$F$1:$FF$1,0)-1)=TRUE),0,OFFSET(Rame!$F$1,MATCH(H676,Rame!$F:$F,0)-1,MATCH(I676,Rame!$F$1:$FF$1,0)-1))*IF(E676="Rame",1,0),4)</f>
        <v>0</v>
      </c>
      <c r="S676" s="446">
        <f ca="1">ROUND(IF(ISERROR(OFFSET(Bronzo!$A$1,MATCH(H676,Bronzo!$A:$A,0)-1,MATCH(I676,Bronzo!$A$1:$AA$1,0)-1)=TRUE),0,OFFSET(Bronzo!$A$1,MATCH(H676,Bronzo!$A:$A,0)-1,MATCH(I676,Bronzo!$A$1:$AA$1,0)-1)),4)</f>
        <v>0</v>
      </c>
      <c r="T676" s="446">
        <f t="shared" ca="1" si="200"/>
        <v>0</v>
      </c>
      <c r="U676" s="443"/>
      <c r="V676" s="446">
        <v>0</v>
      </c>
      <c r="W676" s="449">
        <f t="shared" ca="1" si="201"/>
        <v>0</v>
      </c>
      <c r="X676" s="452">
        <f t="shared" si="199"/>
        <v>0</v>
      </c>
      <c r="Y676" s="440"/>
      <c r="Z676" s="440">
        <f t="shared" ca="1" si="202"/>
        <v>0</v>
      </c>
      <c r="AA676" s="241"/>
      <c r="AH676" s="242"/>
    </row>
    <row r="677" spans="2:34" ht="15.75" x14ac:dyDescent="0.25">
      <c r="B677" s="229"/>
      <c r="C677" s="235"/>
      <c r="D677" s="243"/>
      <c r="E677" s="232"/>
      <c r="F677" s="435"/>
      <c r="G677" s="234"/>
      <c r="H677" s="235"/>
      <c r="I677" s="235"/>
      <c r="J677" s="440"/>
      <c r="K677" s="443">
        <f ca="1">ROUND(IF(ISERROR(OFFSET(Tabella!$A$1,MATCH(H677,Tabella!$A:$A,0)-1,MATCH(J677,Tabella!$A$1:$AC$1,0)-1)=TRUE),0,+OFFSET(Tabella!$A$1,MATCH(H677,Tabella!$A:$A,0)-1,MATCH(J677,Tabella!$A$1:$AC$1,0)-1)),4)</f>
        <v>0</v>
      </c>
      <c r="L677" s="446">
        <f ca="1">ROUND(IF(ISERROR(OFFSET(Ottone!$A$1,MATCH(H677,Ottone!$A:$A,0)-1,MATCH(J677,Ottone!$A$1:$Z$1,0)-1)=TRUE),0,OFFSET(Ottone!$A$1,MATCH(H677,Ottone!$A:$A,0)-1,MATCH(J677,Ottone!$A$1:$Z$1,0)-1))*IF(E677="Ottone",1,0),4)</f>
        <v>0</v>
      </c>
      <c r="M677" s="446">
        <f ca="1">ROUND(IF(ISERROR(OFFSET(Rame!$A$1,MATCH(H677,Rame!$A:$A,0)-1,MATCH(J677,Rame!$A$1:$AA$1,0)-1)=TRUE),0,OFFSET(Rame!$A$1,MATCH(H677,Rame!$A:$A,0)-1,MATCH(J677,Rame!$A$1:$AA$1,0)-1))*IF(E677="Rame",1,0),4)</f>
        <v>0</v>
      </c>
      <c r="N677" s="446">
        <v>0</v>
      </c>
      <c r="O677" s="446">
        <f t="shared" ca="1" si="198"/>
        <v>0</v>
      </c>
      <c r="P677" s="446">
        <f ca="1">ROUND(+IF(ISERROR(OFFSET(Tabella!$G$1,MATCH(H677,Tabella!$G:$G,0)-1,MATCH(I677,Tabella!$G$1:$FG$1,0)-1)=TRUE),0,OFFSET(Tabella!$G$1,MATCH(H677,Tabella!$G:$G,0)-1,MATCH(I677,Tabella!$G$1:$AB$1,0)-1)),4)</f>
        <v>0</v>
      </c>
      <c r="Q677" s="446">
        <f ca="1">ROUND(IF(ISERROR(OFFSET(Ottone!$F$1,MATCH(H677,Ottone!$A:$A,0)-1,MATCH(I677,Ottone!$F$1:$FF$1,0)-1)=TRUE),0,OFFSET(Ottone!$F$1,MATCH(H677,Ottone!$A:$A,0)-1,MATCH(I677,Ottone!$F$1:$FF$1,0)-1))*IF(E677="Ottone",1,0),4)</f>
        <v>0</v>
      </c>
      <c r="R677" s="446">
        <f ca="1">ROUND(IF(ISERROR(OFFSET(Rame!$F$1,MATCH(H677,Rame!$F:$F,0)-1,MATCH(I677,Rame!$F$1:$FF$1,0)-1)=TRUE),0,OFFSET(Rame!$F$1,MATCH(H677,Rame!$F:$F,0)-1,MATCH(I677,Rame!$F$1:$FF$1,0)-1))*IF(E677="Rame",1,0),4)</f>
        <v>0</v>
      </c>
      <c r="S677" s="446">
        <f ca="1">ROUND(IF(ISERROR(OFFSET(Bronzo!$A$1,MATCH(H677,Bronzo!$A:$A,0)-1,MATCH(I677,Bronzo!$A$1:$AA$1,0)-1)=TRUE),0,OFFSET(Bronzo!$A$1,MATCH(H677,Bronzo!$A:$A,0)-1,MATCH(I677,Bronzo!$A$1:$AA$1,0)-1)),4)</f>
        <v>0</v>
      </c>
      <c r="T677" s="446">
        <f t="shared" ca="1" si="200"/>
        <v>0</v>
      </c>
      <c r="U677" s="443"/>
      <c r="V677" s="446">
        <v>0</v>
      </c>
      <c r="W677" s="449">
        <f t="shared" ca="1" si="201"/>
        <v>0</v>
      </c>
      <c r="X677" s="452">
        <f t="shared" si="199"/>
        <v>0</v>
      </c>
      <c r="Y677" s="440"/>
      <c r="Z677" s="440">
        <f t="shared" ca="1" si="202"/>
        <v>0</v>
      </c>
      <c r="AA677" s="241"/>
      <c r="AH677" s="242"/>
    </row>
    <row r="678" spans="2:34" ht="15.75" x14ac:dyDescent="0.25">
      <c r="B678" s="229"/>
      <c r="C678" s="235"/>
      <c r="D678" s="243"/>
      <c r="E678" s="232"/>
      <c r="F678" s="435"/>
      <c r="G678" s="234"/>
      <c r="H678" s="235"/>
      <c r="I678" s="235"/>
      <c r="J678" s="440"/>
      <c r="K678" s="443">
        <f ca="1">ROUND(IF(ISERROR(OFFSET(Tabella!$A$1,MATCH(H678,Tabella!$A:$A,0)-1,MATCH(J678,Tabella!$A$1:$AC$1,0)-1)=TRUE),0,+OFFSET(Tabella!$A$1,MATCH(H678,Tabella!$A:$A,0)-1,MATCH(J678,Tabella!$A$1:$AC$1,0)-1)),4)</f>
        <v>0</v>
      </c>
      <c r="L678" s="446">
        <f ca="1">ROUND(IF(ISERROR(OFFSET(Ottone!$A$1,MATCH(H678,Ottone!$A:$A,0)-1,MATCH(J678,Ottone!$A$1:$Z$1,0)-1)=TRUE),0,OFFSET(Ottone!$A$1,MATCH(H678,Ottone!$A:$A,0)-1,MATCH(J678,Ottone!$A$1:$Z$1,0)-1))*IF(E678="Ottone",1,0),4)</f>
        <v>0</v>
      </c>
      <c r="M678" s="446">
        <f ca="1">ROUND(IF(ISERROR(OFFSET(Rame!$A$1,MATCH(H678,Rame!$A:$A,0)-1,MATCH(J678,Rame!$A$1:$AA$1,0)-1)=TRUE),0,OFFSET(Rame!$A$1,MATCH(H678,Rame!$A:$A,0)-1,MATCH(J678,Rame!$A$1:$AA$1,0)-1))*IF(E678="Rame",1,0),4)</f>
        <v>0</v>
      </c>
      <c r="N678" s="446">
        <v>0</v>
      </c>
      <c r="O678" s="446">
        <f t="shared" ca="1" si="198"/>
        <v>0</v>
      </c>
      <c r="P678" s="446">
        <f ca="1">ROUND(+IF(ISERROR(OFFSET(Tabella!$G$1,MATCH(H678,Tabella!$G:$G,0)-1,MATCH(I678,Tabella!$G$1:$FG$1,0)-1)=TRUE),0,OFFSET(Tabella!$G$1,MATCH(H678,Tabella!$G:$G,0)-1,MATCH(I678,Tabella!$G$1:$AB$1,0)-1)),4)</f>
        <v>0</v>
      </c>
      <c r="Q678" s="446">
        <f ca="1">ROUND(IF(ISERROR(OFFSET(Ottone!$F$1,MATCH(H678,Ottone!$A:$A,0)-1,MATCH(I678,Ottone!$F$1:$FF$1,0)-1)=TRUE),0,OFFSET(Ottone!$F$1,MATCH(H678,Ottone!$A:$A,0)-1,MATCH(I678,Ottone!$F$1:$FF$1,0)-1))*IF(E678="Ottone",1,0),4)</f>
        <v>0</v>
      </c>
      <c r="R678" s="446">
        <f ca="1">ROUND(IF(ISERROR(OFFSET(Rame!$F$1,MATCH(H678,Rame!$F:$F,0)-1,MATCH(I678,Rame!$F$1:$FF$1,0)-1)=TRUE),0,OFFSET(Rame!$F$1,MATCH(H678,Rame!$F:$F,0)-1,MATCH(I678,Rame!$F$1:$FF$1,0)-1))*IF(E678="Rame",1,0),4)</f>
        <v>0</v>
      </c>
      <c r="S678" s="446">
        <f ca="1">ROUND(IF(ISERROR(OFFSET(Bronzo!$A$1,MATCH(H678,Bronzo!$A:$A,0)-1,MATCH(I678,Bronzo!$A$1:$AA$1,0)-1)=TRUE),0,OFFSET(Bronzo!$A$1,MATCH(H678,Bronzo!$A:$A,0)-1,MATCH(I678,Bronzo!$A$1:$AA$1,0)-1)),4)</f>
        <v>0</v>
      </c>
      <c r="T678" s="446">
        <f t="shared" ca="1" si="200"/>
        <v>0</v>
      </c>
      <c r="U678" s="443"/>
      <c r="V678" s="446">
        <v>0</v>
      </c>
      <c r="W678" s="449">
        <f t="shared" ca="1" si="201"/>
        <v>0</v>
      </c>
      <c r="X678" s="452">
        <f t="shared" si="199"/>
        <v>0</v>
      </c>
      <c r="Y678" s="440"/>
      <c r="Z678" s="440">
        <f t="shared" ca="1" si="202"/>
        <v>0</v>
      </c>
      <c r="AA678" s="241"/>
      <c r="AH678" s="242"/>
    </row>
    <row r="679" spans="2:34" ht="15.75" x14ac:dyDescent="0.25">
      <c r="B679" s="229"/>
      <c r="C679" s="235"/>
      <c r="D679" s="243"/>
      <c r="E679" s="232"/>
      <c r="F679" s="435"/>
      <c r="G679" s="234"/>
      <c r="H679" s="235"/>
      <c r="I679" s="235"/>
      <c r="J679" s="440"/>
      <c r="K679" s="443">
        <f ca="1">ROUND(IF(ISERROR(OFFSET(Tabella!$A$1,MATCH(H679,Tabella!$A:$A,0)-1,MATCH(J679,Tabella!$A$1:$AC$1,0)-1)=TRUE),0,+OFFSET(Tabella!$A$1,MATCH(H679,Tabella!$A:$A,0)-1,MATCH(J679,Tabella!$A$1:$AC$1,0)-1)),4)</f>
        <v>0</v>
      </c>
      <c r="L679" s="446">
        <f ca="1">ROUND(IF(ISERROR(OFFSET(Ottone!$A$1,MATCH(H679,Ottone!$A:$A,0)-1,MATCH(J679,Ottone!$A$1:$Z$1,0)-1)=TRUE),0,OFFSET(Ottone!$A$1,MATCH(H679,Ottone!$A:$A,0)-1,MATCH(J679,Ottone!$A$1:$Z$1,0)-1))*IF(E679="Ottone",1,0),4)</f>
        <v>0</v>
      </c>
      <c r="M679" s="446">
        <f ca="1">ROUND(IF(ISERROR(OFFSET(Rame!$A$1,MATCH(H679,Rame!$A:$A,0)-1,MATCH(J679,Rame!$A$1:$AA$1,0)-1)=TRUE),0,OFFSET(Rame!$A$1,MATCH(H679,Rame!$A:$A,0)-1,MATCH(J679,Rame!$A$1:$AA$1,0)-1))*IF(E679="Rame",1,0),4)</f>
        <v>0</v>
      </c>
      <c r="N679" s="446">
        <v>0</v>
      </c>
      <c r="O679" s="446">
        <f t="shared" ca="1" si="198"/>
        <v>0</v>
      </c>
      <c r="P679" s="446">
        <f ca="1">ROUND(+IF(ISERROR(OFFSET(Tabella!$G$1,MATCH(H679,Tabella!$G:$G,0)-1,MATCH(I679,Tabella!$G$1:$FG$1,0)-1)=TRUE),0,OFFSET(Tabella!$G$1,MATCH(H679,Tabella!$G:$G,0)-1,MATCH(I679,Tabella!$G$1:$AB$1,0)-1)),4)</f>
        <v>0</v>
      </c>
      <c r="Q679" s="446">
        <f ca="1">ROUND(IF(ISERROR(OFFSET(Ottone!$F$1,MATCH(H679,Ottone!$A:$A,0)-1,MATCH(I679,Ottone!$F$1:$FF$1,0)-1)=TRUE),0,OFFSET(Ottone!$F$1,MATCH(H679,Ottone!$A:$A,0)-1,MATCH(I679,Ottone!$F$1:$FF$1,0)-1))*IF(E679="Ottone",1,0),4)</f>
        <v>0</v>
      </c>
      <c r="R679" s="446">
        <f ca="1">ROUND(IF(ISERROR(OFFSET(Rame!$F$1,MATCH(H679,Rame!$F:$F,0)-1,MATCH(I679,Rame!$F$1:$FF$1,0)-1)=TRUE),0,OFFSET(Rame!$F$1,MATCH(H679,Rame!$F:$F,0)-1,MATCH(I679,Rame!$F$1:$FF$1,0)-1))*IF(E679="Rame",1,0),4)</f>
        <v>0</v>
      </c>
      <c r="S679" s="446">
        <f ca="1">ROUND(IF(ISERROR(OFFSET(Bronzo!$A$1,MATCH(H679,Bronzo!$A:$A,0)-1,MATCH(I679,Bronzo!$A$1:$AA$1,0)-1)=TRUE),0,OFFSET(Bronzo!$A$1,MATCH(H679,Bronzo!$A:$A,0)-1,MATCH(I679,Bronzo!$A$1:$AA$1,0)-1)),4)</f>
        <v>0</v>
      </c>
      <c r="T679" s="446">
        <f t="shared" ca="1" si="200"/>
        <v>0</v>
      </c>
      <c r="U679" s="443"/>
      <c r="V679" s="446">
        <v>0</v>
      </c>
      <c r="W679" s="449">
        <f t="shared" ca="1" si="201"/>
        <v>0</v>
      </c>
      <c r="X679" s="452">
        <f t="shared" si="199"/>
        <v>0</v>
      </c>
      <c r="Y679" s="440"/>
      <c r="Z679" s="440">
        <f t="shared" ca="1" si="202"/>
        <v>0</v>
      </c>
      <c r="AA679" s="241"/>
      <c r="AH679" s="242"/>
    </row>
    <row r="680" spans="2:34" ht="15.75" x14ac:dyDescent="0.25">
      <c r="B680" s="229"/>
      <c r="C680" s="235"/>
      <c r="D680" s="243"/>
      <c r="E680" s="232"/>
      <c r="F680" s="435"/>
      <c r="G680" s="234"/>
      <c r="H680" s="235"/>
      <c r="I680" s="235"/>
      <c r="J680" s="440"/>
      <c r="K680" s="443">
        <f ca="1">ROUND(IF(ISERROR(OFFSET(Tabella!$A$1,MATCH(H680,Tabella!$A:$A,0)-1,MATCH(J680,Tabella!$A$1:$AC$1,0)-1)=TRUE),0,+OFFSET(Tabella!$A$1,MATCH(H680,Tabella!$A:$A,0)-1,MATCH(J680,Tabella!$A$1:$AC$1,0)-1)),4)</f>
        <v>0</v>
      </c>
      <c r="L680" s="446">
        <f ca="1">ROUND(IF(ISERROR(OFFSET(Ottone!$A$1,MATCH(H680,Ottone!$A:$A,0)-1,MATCH(J680,Ottone!$A$1:$Z$1,0)-1)=TRUE),0,OFFSET(Ottone!$A$1,MATCH(H680,Ottone!$A:$A,0)-1,MATCH(J680,Ottone!$A$1:$Z$1,0)-1))*IF(E680="Ottone",1,0),4)</f>
        <v>0</v>
      </c>
      <c r="M680" s="446">
        <f ca="1">ROUND(IF(ISERROR(OFFSET(Rame!$A$1,MATCH(H680,Rame!$A:$A,0)-1,MATCH(J680,Rame!$A$1:$AA$1,0)-1)=TRUE),0,OFFSET(Rame!$A$1,MATCH(H680,Rame!$A:$A,0)-1,MATCH(J680,Rame!$A$1:$AA$1,0)-1))*IF(E680="Rame",1,0),4)</f>
        <v>0</v>
      </c>
      <c r="N680" s="446">
        <v>0</v>
      </c>
      <c r="O680" s="446">
        <f t="shared" ref="O680:O743" ca="1" si="203">ROUND(SUM(K680:N680),4)</f>
        <v>0</v>
      </c>
      <c r="P680" s="446">
        <f ca="1">ROUND(+IF(ISERROR(OFFSET(Tabella!$G$1,MATCH(H680,Tabella!$G:$G,0)-1,MATCH(I680,Tabella!$G$1:$FG$1,0)-1)=TRUE),0,OFFSET(Tabella!$G$1,MATCH(H680,Tabella!$G:$G,0)-1,MATCH(I680,Tabella!$G$1:$AB$1,0)-1)),4)</f>
        <v>0</v>
      </c>
      <c r="Q680" s="446">
        <f ca="1">ROUND(IF(ISERROR(OFFSET(Ottone!$F$1,MATCH(H680,Ottone!$A:$A,0)-1,MATCH(I680,Ottone!$F$1:$FF$1,0)-1)=TRUE),0,OFFSET(Ottone!$F$1,MATCH(H680,Ottone!$A:$A,0)-1,MATCH(I680,Ottone!$F$1:$FF$1,0)-1))*IF(E680="Ottone",1,0),4)</f>
        <v>0</v>
      </c>
      <c r="R680" s="446">
        <f ca="1">ROUND(IF(ISERROR(OFFSET(Rame!$F$1,MATCH(H680,Rame!$F:$F,0)-1,MATCH(I680,Rame!$F$1:$FF$1,0)-1)=TRUE),0,OFFSET(Rame!$F$1,MATCH(H680,Rame!$F:$F,0)-1,MATCH(I680,Rame!$F$1:$FF$1,0)-1))*IF(E680="Rame",1,0),4)</f>
        <v>0</v>
      </c>
      <c r="S680" s="446">
        <f ca="1">ROUND(IF(ISERROR(OFFSET(Bronzo!$A$1,MATCH(H680,Bronzo!$A:$A,0)-1,MATCH(I680,Bronzo!$A$1:$AA$1,0)-1)=TRUE),0,OFFSET(Bronzo!$A$1,MATCH(H680,Bronzo!$A:$A,0)-1,MATCH(I680,Bronzo!$A$1:$AA$1,0)-1)),4)</f>
        <v>0</v>
      </c>
      <c r="T680" s="446">
        <f t="shared" ca="1" si="200"/>
        <v>0</v>
      </c>
      <c r="U680" s="443"/>
      <c r="V680" s="446">
        <v>0</v>
      </c>
      <c r="W680" s="449">
        <f t="shared" ca="1" si="201"/>
        <v>0</v>
      </c>
      <c r="X680" s="452">
        <f t="shared" si="199"/>
        <v>0</v>
      </c>
      <c r="Y680" s="440"/>
      <c r="Z680" s="440">
        <f t="shared" ca="1" si="202"/>
        <v>0</v>
      </c>
      <c r="AA680" s="241"/>
      <c r="AH680" s="242"/>
    </row>
    <row r="681" spans="2:34" ht="15.75" x14ac:dyDescent="0.25">
      <c r="B681" s="229"/>
      <c r="C681" s="235"/>
      <c r="D681" s="243"/>
      <c r="E681" s="232"/>
      <c r="F681" s="435"/>
      <c r="G681" s="234"/>
      <c r="H681" s="235"/>
      <c r="I681" s="235"/>
      <c r="J681" s="440"/>
      <c r="K681" s="443">
        <f ca="1">ROUND(IF(ISERROR(OFFSET(Tabella!$A$1,MATCH(H681,Tabella!$A:$A,0)-1,MATCH(J681,Tabella!$A$1:$AC$1,0)-1)=TRUE),0,+OFFSET(Tabella!$A$1,MATCH(H681,Tabella!$A:$A,0)-1,MATCH(J681,Tabella!$A$1:$AC$1,0)-1)),4)</f>
        <v>0</v>
      </c>
      <c r="L681" s="446">
        <f ca="1">ROUND(IF(ISERROR(OFFSET(Ottone!$A$1,MATCH(H681,Ottone!$A:$A,0)-1,MATCH(J681,Ottone!$A$1:$Z$1,0)-1)=TRUE),0,OFFSET(Ottone!$A$1,MATCH(H681,Ottone!$A:$A,0)-1,MATCH(J681,Ottone!$A$1:$Z$1,0)-1))*IF(E681="Ottone",1,0),4)</f>
        <v>0</v>
      </c>
      <c r="M681" s="446">
        <f ca="1">ROUND(IF(ISERROR(OFFSET(Rame!$A$1,MATCH(H681,Rame!$A:$A,0)-1,MATCH(J681,Rame!$A$1:$AA$1,0)-1)=TRUE),0,OFFSET(Rame!$A$1,MATCH(H681,Rame!$A:$A,0)-1,MATCH(J681,Rame!$A$1:$AA$1,0)-1))*IF(E681="Rame",1,0),4)</f>
        <v>0</v>
      </c>
      <c r="N681" s="446">
        <v>0</v>
      </c>
      <c r="O681" s="446">
        <f t="shared" ca="1" si="203"/>
        <v>0</v>
      </c>
      <c r="P681" s="446">
        <f ca="1">ROUND(+IF(ISERROR(OFFSET(Tabella!$G$1,MATCH(H681,Tabella!$G:$G,0)-1,MATCH(I681,Tabella!$G$1:$FG$1,0)-1)=TRUE),0,OFFSET(Tabella!$G$1,MATCH(H681,Tabella!$G:$G,0)-1,MATCH(I681,Tabella!$G$1:$AB$1,0)-1)),4)</f>
        <v>0</v>
      </c>
      <c r="Q681" s="446">
        <f ca="1">ROUND(IF(ISERROR(OFFSET(Ottone!$F$1,MATCH(H681,Ottone!$A:$A,0)-1,MATCH(I681,Ottone!$F$1:$FF$1,0)-1)=TRUE),0,OFFSET(Ottone!$F$1,MATCH(H681,Ottone!$A:$A,0)-1,MATCH(I681,Ottone!$F$1:$FF$1,0)-1))*IF(E681="Ottone",1,0),4)</f>
        <v>0</v>
      </c>
      <c r="R681" s="446">
        <f ca="1">ROUND(IF(ISERROR(OFFSET(Rame!$F$1,MATCH(H681,Rame!$F:$F,0)-1,MATCH(I681,Rame!$F$1:$FF$1,0)-1)=TRUE),0,OFFSET(Rame!$F$1,MATCH(H681,Rame!$F:$F,0)-1,MATCH(I681,Rame!$F$1:$FF$1,0)-1))*IF(E681="Rame",1,0),4)</f>
        <v>0</v>
      </c>
      <c r="S681" s="446">
        <f ca="1">ROUND(IF(ISERROR(OFFSET(Bronzo!$A$1,MATCH(H681,Bronzo!$A:$A,0)-1,MATCH(I681,Bronzo!$A$1:$AA$1,0)-1)=TRUE),0,OFFSET(Bronzo!$A$1,MATCH(H681,Bronzo!$A:$A,0)-1,MATCH(I681,Bronzo!$A$1:$AA$1,0)-1)),4)</f>
        <v>0</v>
      </c>
      <c r="T681" s="446">
        <f t="shared" ca="1" si="200"/>
        <v>0</v>
      </c>
      <c r="U681" s="443"/>
      <c r="V681" s="446">
        <v>0</v>
      </c>
      <c r="W681" s="449">
        <f t="shared" ca="1" si="201"/>
        <v>0</v>
      </c>
      <c r="X681" s="452">
        <f t="shared" si="199"/>
        <v>0</v>
      </c>
      <c r="Y681" s="440"/>
      <c r="Z681" s="440">
        <f t="shared" ca="1" si="202"/>
        <v>0</v>
      </c>
      <c r="AA681" s="241"/>
      <c r="AH681" s="242"/>
    </row>
    <row r="682" spans="2:34" ht="15.75" x14ac:dyDescent="0.25">
      <c r="B682" s="229"/>
      <c r="C682" s="235"/>
      <c r="D682" s="243"/>
      <c r="E682" s="232"/>
      <c r="F682" s="435"/>
      <c r="G682" s="234"/>
      <c r="H682" s="235"/>
      <c r="I682" s="235"/>
      <c r="J682" s="440"/>
      <c r="K682" s="443">
        <f ca="1">ROUND(IF(ISERROR(OFFSET(Tabella!$A$1,MATCH(H682,Tabella!$A:$A,0)-1,MATCH(J682,Tabella!$A$1:$AC$1,0)-1)=TRUE),0,+OFFSET(Tabella!$A$1,MATCH(H682,Tabella!$A:$A,0)-1,MATCH(J682,Tabella!$A$1:$AC$1,0)-1)),4)</f>
        <v>0</v>
      </c>
      <c r="L682" s="446">
        <f ca="1">ROUND(IF(ISERROR(OFFSET(Ottone!$A$1,MATCH(H682,Ottone!$A:$A,0)-1,MATCH(J682,Ottone!$A$1:$Z$1,0)-1)=TRUE),0,OFFSET(Ottone!$A$1,MATCH(H682,Ottone!$A:$A,0)-1,MATCH(J682,Ottone!$A$1:$Z$1,0)-1))*IF(E682="Ottone",1,0),4)</f>
        <v>0</v>
      </c>
      <c r="M682" s="446">
        <f ca="1">ROUND(IF(ISERROR(OFFSET(Rame!$A$1,MATCH(H682,Rame!$A:$A,0)-1,MATCH(J682,Rame!$A$1:$AA$1,0)-1)=TRUE),0,OFFSET(Rame!$A$1,MATCH(H682,Rame!$A:$A,0)-1,MATCH(J682,Rame!$A$1:$AA$1,0)-1))*IF(E682="Rame",1,0),4)</f>
        <v>0</v>
      </c>
      <c r="N682" s="446">
        <v>0</v>
      </c>
      <c r="O682" s="446">
        <f t="shared" ca="1" si="203"/>
        <v>0</v>
      </c>
      <c r="P682" s="446">
        <f ca="1">ROUND(+IF(ISERROR(OFFSET(Tabella!$G$1,MATCH(H682,Tabella!$G:$G,0)-1,MATCH(I682,Tabella!$G$1:$FG$1,0)-1)=TRUE),0,OFFSET(Tabella!$G$1,MATCH(H682,Tabella!$G:$G,0)-1,MATCH(I682,Tabella!$G$1:$AB$1,0)-1)),4)</f>
        <v>0</v>
      </c>
      <c r="Q682" s="446">
        <f ca="1">ROUND(IF(ISERROR(OFFSET(Ottone!$F$1,MATCH(H682,Ottone!$A:$A,0)-1,MATCH(I682,Ottone!$F$1:$FF$1,0)-1)=TRUE),0,OFFSET(Ottone!$F$1,MATCH(H682,Ottone!$A:$A,0)-1,MATCH(I682,Ottone!$F$1:$FF$1,0)-1))*IF(E682="Ottone",1,0),4)</f>
        <v>0</v>
      </c>
      <c r="R682" s="446">
        <f ca="1">ROUND(IF(ISERROR(OFFSET(Rame!$F$1,MATCH(H682,Rame!$F:$F,0)-1,MATCH(I682,Rame!$F$1:$FF$1,0)-1)=TRUE),0,OFFSET(Rame!$F$1,MATCH(H682,Rame!$F:$F,0)-1,MATCH(I682,Rame!$F$1:$FF$1,0)-1))*IF(E682="Rame",1,0),4)</f>
        <v>0</v>
      </c>
      <c r="S682" s="446">
        <f ca="1">ROUND(IF(ISERROR(OFFSET(Bronzo!$A$1,MATCH(H682,Bronzo!$A:$A,0)-1,MATCH(I682,Bronzo!$A$1:$AA$1,0)-1)=TRUE),0,OFFSET(Bronzo!$A$1,MATCH(H682,Bronzo!$A:$A,0)-1,MATCH(I682,Bronzo!$A$1:$AA$1,0)-1)),4)</f>
        <v>0</v>
      </c>
      <c r="T682" s="446">
        <f t="shared" ca="1" si="200"/>
        <v>0</v>
      </c>
      <c r="U682" s="443"/>
      <c r="V682" s="446">
        <v>0</v>
      </c>
      <c r="W682" s="449">
        <f t="shared" ca="1" si="201"/>
        <v>0</v>
      </c>
      <c r="X682" s="452">
        <f t="shared" si="199"/>
        <v>0</v>
      </c>
      <c r="Y682" s="440"/>
      <c r="Z682" s="440">
        <f t="shared" ca="1" si="202"/>
        <v>0</v>
      </c>
      <c r="AA682" s="241"/>
      <c r="AH682" s="242"/>
    </row>
    <row r="683" spans="2:34" ht="15.75" x14ac:dyDescent="0.25">
      <c r="B683" s="229"/>
      <c r="C683" s="235"/>
      <c r="D683" s="243"/>
      <c r="E683" s="232"/>
      <c r="F683" s="435"/>
      <c r="G683" s="234"/>
      <c r="H683" s="235"/>
      <c r="I683" s="235"/>
      <c r="J683" s="440"/>
      <c r="K683" s="443">
        <f ca="1">ROUND(IF(ISERROR(OFFSET(Tabella!$A$1,MATCH(H683,Tabella!$A:$A,0)-1,MATCH(J683,Tabella!$A$1:$AC$1,0)-1)=TRUE),0,+OFFSET(Tabella!$A$1,MATCH(H683,Tabella!$A:$A,0)-1,MATCH(J683,Tabella!$A$1:$AC$1,0)-1)),4)</f>
        <v>0</v>
      </c>
      <c r="L683" s="446">
        <f ca="1">ROUND(IF(ISERROR(OFFSET(Ottone!$A$1,MATCH(H683,Ottone!$A:$A,0)-1,MATCH(J683,Ottone!$A$1:$Z$1,0)-1)=TRUE),0,OFFSET(Ottone!$A$1,MATCH(H683,Ottone!$A:$A,0)-1,MATCH(J683,Ottone!$A$1:$Z$1,0)-1))*IF(E683="Ottone",1,0),4)</f>
        <v>0</v>
      </c>
      <c r="M683" s="446">
        <f ca="1">ROUND(IF(ISERROR(OFFSET(Rame!$A$1,MATCH(H683,Rame!$A:$A,0)-1,MATCH(J683,Rame!$A$1:$AA$1,0)-1)=TRUE),0,OFFSET(Rame!$A$1,MATCH(H683,Rame!$A:$A,0)-1,MATCH(J683,Rame!$A$1:$AA$1,0)-1))*IF(E683="Rame",1,0),4)</f>
        <v>0</v>
      </c>
      <c r="N683" s="446">
        <v>0</v>
      </c>
      <c r="O683" s="446">
        <f t="shared" ca="1" si="203"/>
        <v>0</v>
      </c>
      <c r="P683" s="446">
        <f ca="1">ROUND(+IF(ISERROR(OFFSET(Tabella!$G$1,MATCH(H683,Tabella!$G:$G,0)-1,MATCH(I683,Tabella!$G$1:$FG$1,0)-1)=TRUE),0,OFFSET(Tabella!$G$1,MATCH(H683,Tabella!$G:$G,0)-1,MATCH(I683,Tabella!$G$1:$AB$1,0)-1)),4)</f>
        <v>0</v>
      </c>
      <c r="Q683" s="446">
        <f ca="1">ROUND(IF(ISERROR(OFFSET(Ottone!$F$1,MATCH(H683,Ottone!$A:$A,0)-1,MATCH(I683,Ottone!$F$1:$FF$1,0)-1)=TRUE),0,OFFSET(Ottone!$F$1,MATCH(H683,Ottone!$A:$A,0)-1,MATCH(I683,Ottone!$F$1:$FF$1,0)-1))*IF(E683="Ottone",1,0),4)</f>
        <v>0</v>
      </c>
      <c r="R683" s="446">
        <f ca="1">ROUND(IF(ISERROR(OFFSET(Rame!$F$1,MATCH(H683,Rame!$F:$F,0)-1,MATCH(I683,Rame!$F$1:$FF$1,0)-1)=TRUE),0,OFFSET(Rame!$F$1,MATCH(H683,Rame!$F:$F,0)-1,MATCH(I683,Rame!$F$1:$FF$1,0)-1))*IF(E683="Rame",1,0),4)</f>
        <v>0</v>
      </c>
      <c r="S683" s="446">
        <f ca="1">ROUND(IF(ISERROR(OFFSET(Bronzo!$A$1,MATCH(H683,Bronzo!$A:$A,0)-1,MATCH(I683,Bronzo!$A$1:$AA$1,0)-1)=TRUE),0,OFFSET(Bronzo!$A$1,MATCH(H683,Bronzo!$A:$A,0)-1,MATCH(I683,Bronzo!$A$1:$AA$1,0)-1)),4)</f>
        <v>0</v>
      </c>
      <c r="T683" s="446">
        <f t="shared" ca="1" si="200"/>
        <v>0</v>
      </c>
      <c r="U683" s="443"/>
      <c r="V683" s="446">
        <v>0</v>
      </c>
      <c r="W683" s="449">
        <f t="shared" ca="1" si="201"/>
        <v>0</v>
      </c>
      <c r="X683" s="452">
        <f t="shared" si="199"/>
        <v>0</v>
      </c>
      <c r="Y683" s="440"/>
      <c r="Z683" s="440">
        <f t="shared" ca="1" si="202"/>
        <v>0</v>
      </c>
      <c r="AA683" s="241"/>
      <c r="AH683" s="242"/>
    </row>
    <row r="684" spans="2:34" ht="15.75" x14ac:dyDescent="0.25">
      <c r="B684" s="229"/>
      <c r="C684" s="235"/>
      <c r="D684" s="243"/>
      <c r="E684" s="232"/>
      <c r="F684" s="435"/>
      <c r="G684" s="234"/>
      <c r="H684" s="235"/>
      <c r="I684" s="235"/>
      <c r="J684" s="440"/>
      <c r="K684" s="443">
        <f ca="1">ROUND(IF(ISERROR(OFFSET(Tabella!$A$1,MATCH(H684,Tabella!$A:$A,0)-1,MATCH(J684,Tabella!$A$1:$AC$1,0)-1)=TRUE),0,+OFFSET(Tabella!$A$1,MATCH(H684,Tabella!$A:$A,0)-1,MATCH(J684,Tabella!$A$1:$AC$1,0)-1)),4)</f>
        <v>0</v>
      </c>
      <c r="L684" s="446">
        <f ca="1">ROUND(IF(ISERROR(OFFSET(Ottone!$A$1,MATCH(H684,Ottone!$A:$A,0)-1,MATCH(J684,Ottone!$A$1:$Z$1,0)-1)=TRUE),0,OFFSET(Ottone!$A$1,MATCH(H684,Ottone!$A:$A,0)-1,MATCH(J684,Ottone!$A$1:$Z$1,0)-1))*IF(E684="Ottone",1,0),4)</f>
        <v>0</v>
      </c>
      <c r="M684" s="446">
        <f ca="1">ROUND(IF(ISERROR(OFFSET(Rame!$A$1,MATCH(H684,Rame!$A:$A,0)-1,MATCH(J684,Rame!$A$1:$AA$1,0)-1)=TRUE),0,OFFSET(Rame!$A$1,MATCH(H684,Rame!$A:$A,0)-1,MATCH(J684,Rame!$A$1:$AA$1,0)-1))*IF(E684="Rame",1,0),4)</f>
        <v>0</v>
      </c>
      <c r="N684" s="446">
        <v>0</v>
      </c>
      <c r="O684" s="446">
        <f t="shared" ca="1" si="203"/>
        <v>0</v>
      </c>
      <c r="P684" s="446">
        <f ca="1">ROUND(+IF(ISERROR(OFFSET(Tabella!$G$1,MATCH(H684,Tabella!$G:$G,0)-1,MATCH(I684,Tabella!$G$1:$FG$1,0)-1)=TRUE),0,OFFSET(Tabella!$G$1,MATCH(H684,Tabella!$G:$G,0)-1,MATCH(I684,Tabella!$G$1:$AB$1,0)-1)),4)</f>
        <v>0</v>
      </c>
      <c r="Q684" s="446">
        <f ca="1">ROUND(IF(ISERROR(OFFSET(Ottone!$F$1,MATCH(H684,Ottone!$A:$A,0)-1,MATCH(I684,Ottone!$F$1:$FF$1,0)-1)=TRUE),0,OFFSET(Ottone!$F$1,MATCH(H684,Ottone!$A:$A,0)-1,MATCH(I684,Ottone!$F$1:$FF$1,0)-1))*IF(E684="Ottone",1,0),4)</f>
        <v>0</v>
      </c>
      <c r="R684" s="446">
        <f ca="1">ROUND(IF(ISERROR(OFFSET(Rame!$F$1,MATCH(H684,Rame!$F:$F,0)-1,MATCH(I684,Rame!$F$1:$FF$1,0)-1)=TRUE),0,OFFSET(Rame!$F$1,MATCH(H684,Rame!$F:$F,0)-1,MATCH(I684,Rame!$F$1:$FF$1,0)-1))*IF(E684="Rame",1,0),4)</f>
        <v>0</v>
      </c>
      <c r="S684" s="446">
        <f ca="1">ROUND(IF(ISERROR(OFFSET(Bronzo!$A$1,MATCH(H684,Bronzo!$A:$A,0)-1,MATCH(I684,Bronzo!$A$1:$AA$1,0)-1)=TRUE),0,OFFSET(Bronzo!$A$1,MATCH(H684,Bronzo!$A:$A,0)-1,MATCH(I684,Bronzo!$A$1:$AA$1,0)-1)),4)</f>
        <v>0</v>
      </c>
      <c r="T684" s="446">
        <f t="shared" ca="1" si="200"/>
        <v>0</v>
      </c>
      <c r="U684" s="443"/>
      <c r="V684" s="446">
        <v>0</v>
      </c>
      <c r="W684" s="449">
        <f t="shared" ca="1" si="201"/>
        <v>0</v>
      </c>
      <c r="X684" s="452">
        <f t="shared" si="199"/>
        <v>0</v>
      </c>
      <c r="Y684" s="440"/>
      <c r="Z684" s="440">
        <f t="shared" ca="1" si="202"/>
        <v>0</v>
      </c>
      <c r="AA684" s="241"/>
      <c r="AH684" s="242"/>
    </row>
    <row r="685" spans="2:34" ht="15.75" x14ac:dyDescent="0.25">
      <c r="B685" s="229"/>
      <c r="C685" s="235"/>
      <c r="D685" s="243"/>
      <c r="E685" s="232"/>
      <c r="F685" s="435"/>
      <c r="G685" s="234"/>
      <c r="H685" s="235"/>
      <c r="I685" s="235"/>
      <c r="J685" s="440"/>
      <c r="K685" s="443">
        <f ca="1">ROUND(IF(ISERROR(OFFSET(Tabella!$A$1,MATCH(H685,Tabella!$A:$A,0)-1,MATCH(J685,Tabella!$A$1:$AC$1,0)-1)=TRUE),0,+OFFSET(Tabella!$A$1,MATCH(H685,Tabella!$A:$A,0)-1,MATCH(J685,Tabella!$A$1:$AC$1,0)-1)),4)</f>
        <v>0</v>
      </c>
      <c r="L685" s="446">
        <f ca="1">ROUND(IF(ISERROR(OFFSET(Ottone!$A$1,MATCH(H685,Ottone!$A:$A,0)-1,MATCH(J685,Ottone!$A$1:$Z$1,0)-1)=TRUE),0,OFFSET(Ottone!$A$1,MATCH(H685,Ottone!$A:$A,0)-1,MATCH(J685,Ottone!$A$1:$Z$1,0)-1))*IF(E685="Ottone",1,0),4)</f>
        <v>0</v>
      </c>
      <c r="M685" s="446">
        <f ca="1">ROUND(IF(ISERROR(OFFSET(Rame!$A$1,MATCH(H685,Rame!$A:$A,0)-1,MATCH(J685,Rame!$A$1:$AA$1,0)-1)=TRUE),0,OFFSET(Rame!$A$1,MATCH(H685,Rame!$A:$A,0)-1,MATCH(J685,Rame!$A$1:$AA$1,0)-1))*IF(E685="Rame",1,0),4)</f>
        <v>0</v>
      </c>
      <c r="N685" s="446">
        <v>0</v>
      </c>
      <c r="O685" s="446">
        <f t="shared" ca="1" si="203"/>
        <v>0</v>
      </c>
      <c r="P685" s="446">
        <f ca="1">ROUND(+IF(ISERROR(OFFSET(Tabella!$G$1,MATCH(H685,Tabella!$G:$G,0)-1,MATCH(I685,Tabella!$G$1:$FG$1,0)-1)=TRUE),0,OFFSET(Tabella!$G$1,MATCH(H685,Tabella!$G:$G,0)-1,MATCH(I685,Tabella!$G$1:$AB$1,0)-1)),4)</f>
        <v>0</v>
      </c>
      <c r="Q685" s="446">
        <f ca="1">ROUND(IF(ISERROR(OFFSET(Ottone!$F$1,MATCH(H685,Ottone!$A:$A,0)-1,MATCH(I685,Ottone!$F$1:$FF$1,0)-1)=TRUE),0,OFFSET(Ottone!$F$1,MATCH(H685,Ottone!$A:$A,0)-1,MATCH(I685,Ottone!$F$1:$FF$1,0)-1))*IF(E685="Ottone",1,0),4)</f>
        <v>0</v>
      </c>
      <c r="R685" s="446">
        <f ca="1">ROUND(IF(ISERROR(OFFSET(Rame!$F$1,MATCH(H685,Rame!$F:$F,0)-1,MATCH(I685,Rame!$F$1:$FF$1,0)-1)=TRUE),0,OFFSET(Rame!$F$1,MATCH(H685,Rame!$F:$F,0)-1,MATCH(I685,Rame!$F$1:$FF$1,0)-1))*IF(E685="Rame",1,0),4)</f>
        <v>0</v>
      </c>
      <c r="S685" s="446">
        <f ca="1">ROUND(IF(ISERROR(OFFSET(Bronzo!$A$1,MATCH(H685,Bronzo!$A:$A,0)-1,MATCH(I685,Bronzo!$A$1:$AA$1,0)-1)=TRUE),0,OFFSET(Bronzo!$A$1,MATCH(H685,Bronzo!$A:$A,0)-1,MATCH(I685,Bronzo!$A$1:$AA$1,0)-1)),4)</f>
        <v>0</v>
      </c>
      <c r="T685" s="446">
        <f t="shared" ca="1" si="200"/>
        <v>0</v>
      </c>
      <c r="U685" s="443"/>
      <c r="V685" s="446">
        <v>0</v>
      </c>
      <c r="W685" s="449">
        <f t="shared" ca="1" si="201"/>
        <v>0</v>
      </c>
      <c r="X685" s="452">
        <f t="shared" si="199"/>
        <v>0</v>
      </c>
      <c r="Y685" s="440"/>
      <c r="Z685" s="440">
        <f t="shared" ca="1" si="202"/>
        <v>0</v>
      </c>
      <c r="AA685" s="241"/>
      <c r="AH685" s="242"/>
    </row>
    <row r="686" spans="2:34" ht="15.75" x14ac:dyDescent="0.25">
      <c r="B686" s="229"/>
      <c r="C686" s="235"/>
      <c r="D686" s="243"/>
      <c r="E686" s="232"/>
      <c r="F686" s="435"/>
      <c r="G686" s="234"/>
      <c r="H686" s="235"/>
      <c r="I686" s="235"/>
      <c r="J686" s="440"/>
      <c r="K686" s="443">
        <f ca="1">ROUND(IF(ISERROR(OFFSET(Tabella!$A$1,MATCH(H686,Tabella!$A:$A,0)-1,MATCH(J686,Tabella!$A$1:$AC$1,0)-1)=TRUE),0,+OFFSET(Tabella!$A$1,MATCH(H686,Tabella!$A:$A,0)-1,MATCH(J686,Tabella!$A$1:$AC$1,0)-1)),4)</f>
        <v>0</v>
      </c>
      <c r="L686" s="446">
        <f ca="1">ROUND(IF(ISERROR(OFFSET(Ottone!$A$1,MATCH(H686,Ottone!$A:$A,0)-1,MATCH(J686,Ottone!$A$1:$Z$1,0)-1)=TRUE),0,OFFSET(Ottone!$A$1,MATCH(H686,Ottone!$A:$A,0)-1,MATCH(J686,Ottone!$A$1:$Z$1,0)-1))*IF(E686="Ottone",1,0),4)</f>
        <v>0</v>
      </c>
      <c r="M686" s="446">
        <f ca="1">ROUND(IF(ISERROR(OFFSET(Rame!$A$1,MATCH(H686,Rame!$A:$A,0)-1,MATCH(J686,Rame!$A$1:$AA$1,0)-1)=TRUE),0,OFFSET(Rame!$A$1,MATCH(H686,Rame!$A:$A,0)-1,MATCH(J686,Rame!$A$1:$AA$1,0)-1))*IF(E686="Rame",1,0),4)</f>
        <v>0</v>
      </c>
      <c r="N686" s="446">
        <v>0</v>
      </c>
      <c r="O686" s="446">
        <f t="shared" ca="1" si="203"/>
        <v>0</v>
      </c>
      <c r="P686" s="446">
        <f ca="1">ROUND(+IF(ISERROR(OFFSET(Tabella!$G$1,MATCH(H686,Tabella!$G:$G,0)-1,MATCH(I686,Tabella!$G$1:$FG$1,0)-1)=TRUE),0,OFFSET(Tabella!$G$1,MATCH(H686,Tabella!$G:$G,0)-1,MATCH(I686,Tabella!$G$1:$AB$1,0)-1)),4)</f>
        <v>0</v>
      </c>
      <c r="Q686" s="446">
        <f ca="1">ROUND(IF(ISERROR(OFFSET(Ottone!$F$1,MATCH(H686,Ottone!$A:$A,0)-1,MATCH(I686,Ottone!$F$1:$FF$1,0)-1)=TRUE),0,OFFSET(Ottone!$F$1,MATCH(H686,Ottone!$A:$A,0)-1,MATCH(I686,Ottone!$F$1:$FF$1,0)-1))*IF(E686="Ottone",1,0),4)</f>
        <v>0</v>
      </c>
      <c r="R686" s="446">
        <f ca="1">ROUND(IF(ISERROR(OFFSET(Rame!$F$1,MATCH(H686,Rame!$F:$F,0)-1,MATCH(I686,Rame!$F$1:$FF$1,0)-1)=TRUE),0,OFFSET(Rame!$F$1,MATCH(H686,Rame!$F:$F,0)-1,MATCH(I686,Rame!$F$1:$FF$1,0)-1))*IF(E686="Rame",1,0),4)</f>
        <v>0</v>
      </c>
      <c r="S686" s="446">
        <f ca="1">ROUND(IF(ISERROR(OFFSET(Bronzo!$A$1,MATCH(H686,Bronzo!$A:$A,0)-1,MATCH(I686,Bronzo!$A$1:$AA$1,0)-1)=TRUE),0,OFFSET(Bronzo!$A$1,MATCH(H686,Bronzo!$A:$A,0)-1,MATCH(I686,Bronzo!$A$1:$AA$1,0)-1)),4)</f>
        <v>0</v>
      </c>
      <c r="T686" s="446">
        <f t="shared" ca="1" si="200"/>
        <v>0</v>
      </c>
      <c r="U686" s="443"/>
      <c r="V686" s="446">
        <v>0</v>
      </c>
      <c r="W686" s="449">
        <f t="shared" ca="1" si="201"/>
        <v>0</v>
      </c>
      <c r="X686" s="452">
        <f t="shared" si="199"/>
        <v>0</v>
      </c>
      <c r="Y686" s="440"/>
      <c r="Z686" s="440">
        <f t="shared" ca="1" si="202"/>
        <v>0</v>
      </c>
      <c r="AA686" s="241"/>
      <c r="AH686" s="242"/>
    </row>
    <row r="687" spans="2:34" ht="15.75" x14ac:dyDescent="0.25">
      <c r="B687" s="229"/>
      <c r="C687" s="235"/>
      <c r="D687" s="243"/>
      <c r="E687" s="232"/>
      <c r="F687" s="435"/>
      <c r="G687" s="234"/>
      <c r="H687" s="235"/>
      <c r="I687" s="235"/>
      <c r="J687" s="440"/>
      <c r="K687" s="443">
        <f ca="1">ROUND(IF(ISERROR(OFFSET(Tabella!$A$1,MATCH(H687,Tabella!$A:$A,0)-1,MATCH(J687,Tabella!$A$1:$AC$1,0)-1)=TRUE),0,+OFFSET(Tabella!$A$1,MATCH(H687,Tabella!$A:$A,0)-1,MATCH(J687,Tabella!$A$1:$AC$1,0)-1)),4)</f>
        <v>0</v>
      </c>
      <c r="L687" s="446">
        <f ca="1">ROUND(IF(ISERROR(OFFSET(Ottone!$A$1,MATCH(H687,Ottone!$A:$A,0)-1,MATCH(J687,Ottone!$A$1:$Z$1,0)-1)=TRUE),0,OFFSET(Ottone!$A$1,MATCH(H687,Ottone!$A:$A,0)-1,MATCH(J687,Ottone!$A$1:$Z$1,0)-1))*IF(E687="Ottone",1,0),4)</f>
        <v>0</v>
      </c>
      <c r="M687" s="446">
        <f ca="1">ROUND(IF(ISERROR(OFFSET(Rame!$A$1,MATCH(H687,Rame!$A:$A,0)-1,MATCH(J687,Rame!$A$1:$AA$1,0)-1)=TRUE),0,OFFSET(Rame!$A$1,MATCH(H687,Rame!$A:$A,0)-1,MATCH(J687,Rame!$A$1:$AA$1,0)-1))*IF(E687="Rame",1,0),4)</f>
        <v>0</v>
      </c>
      <c r="N687" s="446">
        <v>0</v>
      </c>
      <c r="O687" s="446">
        <f t="shared" ca="1" si="203"/>
        <v>0</v>
      </c>
      <c r="P687" s="446">
        <f ca="1">ROUND(+IF(ISERROR(OFFSET(Tabella!$G$1,MATCH(H687,Tabella!$G:$G,0)-1,MATCH(I687,Tabella!$G$1:$FG$1,0)-1)=TRUE),0,OFFSET(Tabella!$G$1,MATCH(H687,Tabella!$G:$G,0)-1,MATCH(I687,Tabella!$G$1:$AB$1,0)-1)),4)</f>
        <v>0</v>
      </c>
      <c r="Q687" s="446">
        <f ca="1">ROUND(IF(ISERROR(OFFSET(Ottone!$F$1,MATCH(H687,Ottone!$A:$A,0)-1,MATCH(I687,Ottone!$F$1:$FF$1,0)-1)=TRUE),0,OFFSET(Ottone!$F$1,MATCH(H687,Ottone!$A:$A,0)-1,MATCH(I687,Ottone!$F$1:$FF$1,0)-1))*IF(E687="Ottone",1,0),4)</f>
        <v>0</v>
      </c>
      <c r="R687" s="446">
        <f ca="1">ROUND(IF(ISERROR(OFFSET(Rame!$F$1,MATCH(H687,Rame!$F:$F,0)-1,MATCH(I687,Rame!$F$1:$FF$1,0)-1)=TRUE),0,OFFSET(Rame!$F$1,MATCH(H687,Rame!$F:$F,0)-1,MATCH(I687,Rame!$F$1:$FF$1,0)-1))*IF(E687="Rame",1,0),4)</f>
        <v>0</v>
      </c>
      <c r="S687" s="446">
        <f ca="1">ROUND(IF(ISERROR(OFFSET(Bronzo!$A$1,MATCH(H687,Bronzo!$A:$A,0)-1,MATCH(I687,Bronzo!$A$1:$AA$1,0)-1)=TRUE),0,OFFSET(Bronzo!$A$1,MATCH(H687,Bronzo!$A:$A,0)-1,MATCH(I687,Bronzo!$A$1:$AA$1,0)-1)),4)</f>
        <v>0</v>
      </c>
      <c r="T687" s="446">
        <f t="shared" ca="1" si="200"/>
        <v>0</v>
      </c>
      <c r="U687" s="443"/>
      <c r="V687" s="446">
        <v>0</v>
      </c>
      <c r="W687" s="449">
        <f t="shared" ca="1" si="201"/>
        <v>0</v>
      </c>
      <c r="X687" s="452">
        <f t="shared" si="199"/>
        <v>0</v>
      </c>
      <c r="Y687" s="440"/>
      <c r="Z687" s="440">
        <f t="shared" ca="1" si="202"/>
        <v>0</v>
      </c>
      <c r="AA687" s="241"/>
      <c r="AH687" s="242"/>
    </row>
    <row r="688" spans="2:34" ht="15.75" x14ac:dyDescent="0.25">
      <c r="B688" s="229"/>
      <c r="C688" s="235"/>
      <c r="D688" s="243"/>
      <c r="E688" s="232"/>
      <c r="F688" s="435"/>
      <c r="G688" s="234"/>
      <c r="H688" s="235"/>
      <c r="I688" s="235"/>
      <c r="J688" s="440"/>
      <c r="K688" s="443">
        <f ca="1">ROUND(IF(ISERROR(OFFSET(Tabella!$A$1,MATCH(H688,Tabella!$A:$A,0)-1,MATCH(J688,Tabella!$A$1:$AC$1,0)-1)=TRUE),0,+OFFSET(Tabella!$A$1,MATCH(H688,Tabella!$A:$A,0)-1,MATCH(J688,Tabella!$A$1:$AC$1,0)-1)),4)</f>
        <v>0</v>
      </c>
      <c r="L688" s="446">
        <f ca="1">ROUND(IF(ISERROR(OFFSET(Ottone!$A$1,MATCH(H688,Ottone!$A:$A,0)-1,MATCH(J688,Ottone!$A$1:$Z$1,0)-1)=TRUE),0,OFFSET(Ottone!$A$1,MATCH(H688,Ottone!$A:$A,0)-1,MATCH(J688,Ottone!$A$1:$Z$1,0)-1))*IF(E688="Ottone",1,0),4)</f>
        <v>0</v>
      </c>
      <c r="M688" s="446">
        <f ca="1">ROUND(IF(ISERROR(OFFSET(Rame!$A$1,MATCH(H688,Rame!$A:$A,0)-1,MATCH(J688,Rame!$A$1:$AA$1,0)-1)=TRUE),0,OFFSET(Rame!$A$1,MATCH(H688,Rame!$A:$A,0)-1,MATCH(J688,Rame!$A$1:$AA$1,0)-1))*IF(E688="Rame",1,0),4)</f>
        <v>0</v>
      </c>
      <c r="N688" s="446">
        <v>0</v>
      </c>
      <c r="O688" s="446">
        <f t="shared" ca="1" si="203"/>
        <v>0</v>
      </c>
      <c r="P688" s="446">
        <f ca="1">ROUND(+IF(ISERROR(OFFSET(Tabella!$G$1,MATCH(H688,Tabella!$G:$G,0)-1,MATCH(I688,Tabella!$G$1:$FG$1,0)-1)=TRUE),0,OFFSET(Tabella!$G$1,MATCH(H688,Tabella!$G:$G,0)-1,MATCH(I688,Tabella!$G$1:$AB$1,0)-1)),4)</f>
        <v>0</v>
      </c>
      <c r="Q688" s="446">
        <f ca="1">ROUND(IF(ISERROR(OFFSET(Ottone!$F$1,MATCH(H688,Ottone!$A:$A,0)-1,MATCH(I688,Ottone!$F$1:$FF$1,0)-1)=TRUE),0,OFFSET(Ottone!$F$1,MATCH(H688,Ottone!$A:$A,0)-1,MATCH(I688,Ottone!$F$1:$FF$1,0)-1))*IF(E688="Ottone",1,0),4)</f>
        <v>0</v>
      </c>
      <c r="R688" s="446">
        <f ca="1">ROUND(IF(ISERROR(OFFSET(Rame!$F$1,MATCH(H688,Rame!$F:$F,0)-1,MATCH(I688,Rame!$F$1:$FF$1,0)-1)=TRUE),0,OFFSET(Rame!$F$1,MATCH(H688,Rame!$F:$F,0)-1,MATCH(I688,Rame!$F$1:$FF$1,0)-1))*IF(E688="Rame",1,0),4)</f>
        <v>0</v>
      </c>
      <c r="S688" s="446">
        <f ca="1">ROUND(IF(ISERROR(OFFSET(Bronzo!$A$1,MATCH(H688,Bronzo!$A:$A,0)-1,MATCH(I688,Bronzo!$A$1:$AA$1,0)-1)=TRUE),0,OFFSET(Bronzo!$A$1,MATCH(H688,Bronzo!$A:$A,0)-1,MATCH(I688,Bronzo!$A$1:$AA$1,0)-1)),4)</f>
        <v>0</v>
      </c>
      <c r="T688" s="446">
        <f t="shared" ca="1" si="200"/>
        <v>0</v>
      </c>
      <c r="U688" s="443"/>
      <c r="V688" s="446">
        <v>0</v>
      </c>
      <c r="W688" s="449">
        <f t="shared" ca="1" si="201"/>
        <v>0</v>
      </c>
      <c r="X688" s="452">
        <f t="shared" si="199"/>
        <v>0</v>
      </c>
      <c r="Y688" s="440"/>
      <c r="Z688" s="440">
        <f t="shared" ca="1" si="202"/>
        <v>0</v>
      </c>
      <c r="AA688" s="241"/>
      <c r="AH688" s="242"/>
    </row>
    <row r="689" spans="2:34" ht="15.75" x14ac:dyDescent="0.25">
      <c r="B689" s="229"/>
      <c r="C689" s="235"/>
      <c r="D689" s="243"/>
      <c r="E689" s="232"/>
      <c r="F689" s="435"/>
      <c r="G689" s="234"/>
      <c r="H689" s="235"/>
      <c r="I689" s="235"/>
      <c r="J689" s="440"/>
      <c r="K689" s="443">
        <f ca="1">ROUND(IF(ISERROR(OFFSET(Tabella!$A$1,MATCH(H689,Tabella!$A:$A,0)-1,MATCH(J689,Tabella!$A$1:$AC$1,0)-1)=TRUE),0,+OFFSET(Tabella!$A$1,MATCH(H689,Tabella!$A:$A,0)-1,MATCH(J689,Tabella!$A$1:$AC$1,0)-1)),4)</f>
        <v>0</v>
      </c>
      <c r="L689" s="446">
        <f ca="1">ROUND(IF(ISERROR(OFFSET(Ottone!$A$1,MATCH(H689,Ottone!$A:$A,0)-1,MATCH(J689,Ottone!$A$1:$Z$1,0)-1)=TRUE),0,OFFSET(Ottone!$A$1,MATCH(H689,Ottone!$A:$A,0)-1,MATCH(J689,Ottone!$A$1:$Z$1,0)-1))*IF(E689="Ottone",1,0),4)</f>
        <v>0</v>
      </c>
      <c r="M689" s="446">
        <f ca="1">ROUND(IF(ISERROR(OFFSET(Rame!$A$1,MATCH(H689,Rame!$A:$A,0)-1,MATCH(J689,Rame!$A$1:$AA$1,0)-1)=TRUE),0,OFFSET(Rame!$A$1,MATCH(H689,Rame!$A:$A,0)-1,MATCH(J689,Rame!$A$1:$AA$1,0)-1))*IF(E689="Rame",1,0),4)</f>
        <v>0</v>
      </c>
      <c r="N689" s="446">
        <v>0</v>
      </c>
      <c r="O689" s="446">
        <f t="shared" ca="1" si="203"/>
        <v>0</v>
      </c>
      <c r="P689" s="446">
        <f ca="1">ROUND(+IF(ISERROR(OFFSET(Tabella!$G$1,MATCH(H689,Tabella!$G:$G,0)-1,MATCH(I689,Tabella!$G$1:$FG$1,0)-1)=TRUE),0,OFFSET(Tabella!$G$1,MATCH(H689,Tabella!$G:$G,0)-1,MATCH(I689,Tabella!$G$1:$AB$1,0)-1)),4)</f>
        <v>0</v>
      </c>
      <c r="Q689" s="446">
        <f ca="1">ROUND(IF(ISERROR(OFFSET(Ottone!$F$1,MATCH(H689,Ottone!$A:$A,0)-1,MATCH(I689,Ottone!$F$1:$FF$1,0)-1)=TRUE),0,OFFSET(Ottone!$F$1,MATCH(H689,Ottone!$A:$A,0)-1,MATCH(I689,Ottone!$F$1:$FF$1,0)-1))*IF(E689="Ottone",1,0),4)</f>
        <v>0</v>
      </c>
      <c r="R689" s="446">
        <f ca="1">ROUND(IF(ISERROR(OFFSET(Rame!$F$1,MATCH(H689,Rame!$F:$F,0)-1,MATCH(I689,Rame!$F$1:$FF$1,0)-1)=TRUE),0,OFFSET(Rame!$F$1,MATCH(H689,Rame!$F:$F,0)-1,MATCH(I689,Rame!$F$1:$FF$1,0)-1))*IF(E689="Rame",1,0),4)</f>
        <v>0</v>
      </c>
      <c r="S689" s="446">
        <f ca="1">ROUND(IF(ISERROR(OFFSET(Bronzo!$A$1,MATCH(H689,Bronzo!$A:$A,0)-1,MATCH(I689,Bronzo!$A$1:$AA$1,0)-1)=TRUE),0,OFFSET(Bronzo!$A$1,MATCH(H689,Bronzo!$A:$A,0)-1,MATCH(I689,Bronzo!$A$1:$AA$1,0)-1)),4)</f>
        <v>0</v>
      </c>
      <c r="T689" s="446">
        <f t="shared" ca="1" si="200"/>
        <v>0</v>
      </c>
      <c r="U689" s="443"/>
      <c r="V689" s="446">
        <v>0</v>
      </c>
      <c r="W689" s="449">
        <f t="shared" ca="1" si="201"/>
        <v>0</v>
      </c>
      <c r="X689" s="452">
        <f t="shared" si="199"/>
        <v>0</v>
      </c>
      <c r="Y689" s="440"/>
      <c r="Z689" s="440">
        <f t="shared" ca="1" si="202"/>
        <v>0</v>
      </c>
      <c r="AA689" s="241"/>
      <c r="AH689" s="242"/>
    </row>
    <row r="690" spans="2:34" ht="15.75" x14ac:dyDescent="0.25">
      <c r="B690" s="229"/>
      <c r="C690" s="235"/>
      <c r="D690" s="243"/>
      <c r="E690" s="232"/>
      <c r="F690" s="435"/>
      <c r="G690" s="234"/>
      <c r="H690" s="235"/>
      <c r="I690" s="235"/>
      <c r="J690" s="440"/>
      <c r="K690" s="443">
        <f ca="1">ROUND(IF(ISERROR(OFFSET(Tabella!$A$1,MATCH(H690,Tabella!$A:$A,0)-1,MATCH(J690,Tabella!$A$1:$AC$1,0)-1)=TRUE),0,+OFFSET(Tabella!$A$1,MATCH(H690,Tabella!$A:$A,0)-1,MATCH(J690,Tabella!$A$1:$AC$1,0)-1)),4)</f>
        <v>0</v>
      </c>
      <c r="L690" s="446">
        <f ca="1">ROUND(IF(ISERROR(OFFSET(Ottone!$A$1,MATCH(H690,Ottone!$A:$A,0)-1,MATCH(J690,Ottone!$A$1:$Z$1,0)-1)=TRUE),0,OFFSET(Ottone!$A$1,MATCH(H690,Ottone!$A:$A,0)-1,MATCH(J690,Ottone!$A$1:$Z$1,0)-1))*IF(E690="Ottone",1,0),4)</f>
        <v>0</v>
      </c>
      <c r="M690" s="446">
        <f ca="1">ROUND(IF(ISERROR(OFFSET(Rame!$A$1,MATCH(H690,Rame!$A:$A,0)-1,MATCH(J690,Rame!$A$1:$AA$1,0)-1)=TRUE),0,OFFSET(Rame!$A$1,MATCH(H690,Rame!$A:$A,0)-1,MATCH(J690,Rame!$A$1:$AA$1,0)-1))*IF(E690="Rame",1,0),4)</f>
        <v>0</v>
      </c>
      <c r="N690" s="446">
        <v>0</v>
      </c>
      <c r="O690" s="446">
        <f t="shared" ca="1" si="203"/>
        <v>0</v>
      </c>
      <c r="P690" s="446">
        <f ca="1">ROUND(+IF(ISERROR(OFFSET(Tabella!$G$1,MATCH(H690,Tabella!$G:$G,0)-1,MATCH(I690,Tabella!$G$1:$FG$1,0)-1)=TRUE),0,OFFSET(Tabella!$G$1,MATCH(H690,Tabella!$G:$G,0)-1,MATCH(I690,Tabella!$G$1:$AB$1,0)-1)),4)</f>
        <v>0</v>
      </c>
      <c r="Q690" s="446">
        <f ca="1">ROUND(IF(ISERROR(OFFSET(Ottone!$F$1,MATCH(H690,Ottone!$A:$A,0)-1,MATCH(I690,Ottone!$F$1:$FF$1,0)-1)=TRUE),0,OFFSET(Ottone!$F$1,MATCH(H690,Ottone!$A:$A,0)-1,MATCH(I690,Ottone!$F$1:$FF$1,0)-1))*IF(E690="Ottone",1,0),4)</f>
        <v>0</v>
      </c>
      <c r="R690" s="446">
        <f ca="1">ROUND(IF(ISERROR(OFFSET(Rame!$F$1,MATCH(H690,Rame!$F:$F,0)-1,MATCH(I690,Rame!$F$1:$FF$1,0)-1)=TRUE),0,OFFSET(Rame!$F$1,MATCH(H690,Rame!$F:$F,0)-1,MATCH(I690,Rame!$F$1:$FF$1,0)-1))*IF(E690="Rame",1,0),4)</f>
        <v>0</v>
      </c>
      <c r="S690" s="446">
        <f ca="1">ROUND(IF(ISERROR(OFFSET(Bronzo!$A$1,MATCH(H690,Bronzo!$A:$A,0)-1,MATCH(I690,Bronzo!$A$1:$AA$1,0)-1)=TRUE),0,OFFSET(Bronzo!$A$1,MATCH(H690,Bronzo!$A:$A,0)-1,MATCH(I690,Bronzo!$A$1:$AA$1,0)-1)),4)</f>
        <v>0</v>
      </c>
      <c r="T690" s="446">
        <f t="shared" ca="1" si="200"/>
        <v>0</v>
      </c>
      <c r="U690" s="443"/>
      <c r="V690" s="446">
        <v>0</v>
      </c>
      <c r="W690" s="449">
        <f t="shared" ca="1" si="201"/>
        <v>0</v>
      </c>
      <c r="X690" s="452">
        <f t="shared" si="199"/>
        <v>0</v>
      </c>
      <c r="Y690" s="440"/>
      <c r="Z690" s="440">
        <f t="shared" ca="1" si="202"/>
        <v>0</v>
      </c>
      <c r="AA690" s="241"/>
      <c r="AH690" s="242"/>
    </row>
    <row r="691" spans="2:34" ht="15.75" x14ac:dyDescent="0.25">
      <c r="B691" s="229"/>
      <c r="C691" s="235"/>
      <c r="D691" s="243"/>
      <c r="E691" s="232"/>
      <c r="F691" s="435"/>
      <c r="G691" s="234"/>
      <c r="H691" s="235"/>
      <c r="I691" s="235"/>
      <c r="J691" s="440"/>
      <c r="K691" s="443">
        <f ca="1">ROUND(IF(ISERROR(OFFSET(Tabella!$A$1,MATCH(H691,Tabella!$A:$A,0)-1,MATCH(J691,Tabella!$A$1:$AC$1,0)-1)=TRUE),0,+OFFSET(Tabella!$A$1,MATCH(H691,Tabella!$A:$A,0)-1,MATCH(J691,Tabella!$A$1:$AC$1,0)-1)),4)</f>
        <v>0</v>
      </c>
      <c r="L691" s="446">
        <f ca="1">ROUND(IF(ISERROR(OFFSET(Ottone!$A$1,MATCH(H691,Ottone!$A:$A,0)-1,MATCH(J691,Ottone!$A$1:$Z$1,0)-1)=TRUE),0,OFFSET(Ottone!$A$1,MATCH(H691,Ottone!$A:$A,0)-1,MATCH(J691,Ottone!$A$1:$Z$1,0)-1))*IF(E691="Ottone",1,0),4)</f>
        <v>0</v>
      </c>
      <c r="M691" s="446">
        <f ca="1">ROUND(IF(ISERROR(OFFSET(Rame!$A$1,MATCH(H691,Rame!$A:$A,0)-1,MATCH(J691,Rame!$A$1:$AA$1,0)-1)=TRUE),0,OFFSET(Rame!$A$1,MATCH(H691,Rame!$A:$A,0)-1,MATCH(J691,Rame!$A$1:$AA$1,0)-1))*IF(E691="Rame",1,0),4)</f>
        <v>0</v>
      </c>
      <c r="N691" s="446">
        <v>0</v>
      </c>
      <c r="O691" s="446">
        <f t="shared" ca="1" si="203"/>
        <v>0</v>
      </c>
      <c r="P691" s="446">
        <f ca="1">ROUND(+IF(ISERROR(OFFSET(Tabella!$G$1,MATCH(H691,Tabella!$G:$G,0)-1,MATCH(I691,Tabella!$G$1:$FG$1,0)-1)=TRUE),0,OFFSET(Tabella!$G$1,MATCH(H691,Tabella!$G:$G,0)-1,MATCH(I691,Tabella!$G$1:$AB$1,0)-1)),4)</f>
        <v>0</v>
      </c>
      <c r="Q691" s="446">
        <f ca="1">ROUND(IF(ISERROR(OFFSET(Ottone!$F$1,MATCH(H691,Ottone!$A:$A,0)-1,MATCH(I691,Ottone!$F$1:$FF$1,0)-1)=TRUE),0,OFFSET(Ottone!$F$1,MATCH(H691,Ottone!$A:$A,0)-1,MATCH(I691,Ottone!$F$1:$FF$1,0)-1))*IF(E691="Ottone",1,0),4)</f>
        <v>0</v>
      </c>
      <c r="R691" s="446">
        <f ca="1">ROUND(IF(ISERROR(OFFSET(Rame!$F$1,MATCH(H691,Rame!$F:$F,0)-1,MATCH(I691,Rame!$F$1:$FF$1,0)-1)=TRUE),0,OFFSET(Rame!$F$1,MATCH(H691,Rame!$F:$F,0)-1,MATCH(I691,Rame!$F$1:$FF$1,0)-1))*IF(E691="Rame",1,0),4)</f>
        <v>0</v>
      </c>
      <c r="S691" s="446">
        <f ca="1">ROUND(IF(ISERROR(OFFSET(Bronzo!$A$1,MATCH(H691,Bronzo!$A:$A,0)-1,MATCH(I691,Bronzo!$A$1:$AA$1,0)-1)=TRUE),0,OFFSET(Bronzo!$A$1,MATCH(H691,Bronzo!$A:$A,0)-1,MATCH(I691,Bronzo!$A$1:$AA$1,0)-1)),4)</f>
        <v>0</v>
      </c>
      <c r="T691" s="446">
        <f t="shared" ca="1" si="200"/>
        <v>0</v>
      </c>
      <c r="U691" s="443"/>
      <c r="V691" s="446">
        <v>0</v>
      </c>
      <c r="W691" s="449">
        <f t="shared" ca="1" si="201"/>
        <v>0</v>
      </c>
      <c r="X691" s="452">
        <f t="shared" si="199"/>
        <v>0</v>
      </c>
      <c r="Y691" s="440"/>
      <c r="Z691" s="440">
        <f t="shared" ca="1" si="202"/>
        <v>0</v>
      </c>
      <c r="AA691" s="241"/>
      <c r="AH691" s="242"/>
    </row>
    <row r="692" spans="2:34" ht="15.75" x14ac:dyDescent="0.25">
      <c r="B692" s="229"/>
      <c r="C692" s="235"/>
      <c r="D692" s="243"/>
      <c r="E692" s="232"/>
      <c r="F692" s="435"/>
      <c r="G692" s="234"/>
      <c r="H692" s="235"/>
      <c r="I692" s="235"/>
      <c r="J692" s="440"/>
      <c r="K692" s="443">
        <f ca="1">ROUND(IF(ISERROR(OFFSET(Tabella!$A$1,MATCH(H692,Tabella!$A:$A,0)-1,MATCH(J692,Tabella!$A$1:$AC$1,0)-1)=TRUE),0,+OFFSET(Tabella!$A$1,MATCH(H692,Tabella!$A:$A,0)-1,MATCH(J692,Tabella!$A$1:$AC$1,0)-1)),4)</f>
        <v>0</v>
      </c>
      <c r="L692" s="446">
        <f ca="1">ROUND(IF(ISERROR(OFFSET(Ottone!$A$1,MATCH(H692,Ottone!$A:$A,0)-1,MATCH(J692,Ottone!$A$1:$Z$1,0)-1)=TRUE),0,OFFSET(Ottone!$A$1,MATCH(H692,Ottone!$A:$A,0)-1,MATCH(J692,Ottone!$A$1:$Z$1,0)-1))*IF(E692="Ottone",1,0),4)</f>
        <v>0</v>
      </c>
      <c r="M692" s="446">
        <f ca="1">ROUND(IF(ISERROR(OFFSET(Rame!$A$1,MATCH(H692,Rame!$A:$A,0)-1,MATCH(J692,Rame!$A$1:$AA$1,0)-1)=TRUE),0,OFFSET(Rame!$A$1,MATCH(H692,Rame!$A:$A,0)-1,MATCH(J692,Rame!$A$1:$AA$1,0)-1))*IF(E692="Rame",1,0),4)</f>
        <v>0</v>
      </c>
      <c r="N692" s="446">
        <v>0</v>
      </c>
      <c r="O692" s="446">
        <f t="shared" ca="1" si="203"/>
        <v>0</v>
      </c>
      <c r="P692" s="446">
        <f ca="1">ROUND(+IF(ISERROR(OFFSET(Tabella!$G$1,MATCH(H692,Tabella!$G:$G,0)-1,MATCH(I692,Tabella!$G$1:$FG$1,0)-1)=TRUE),0,OFFSET(Tabella!$G$1,MATCH(H692,Tabella!$G:$G,0)-1,MATCH(I692,Tabella!$G$1:$AB$1,0)-1)),4)</f>
        <v>0</v>
      </c>
      <c r="Q692" s="446">
        <f ca="1">ROUND(IF(ISERROR(OFFSET(Ottone!$F$1,MATCH(H692,Ottone!$A:$A,0)-1,MATCH(I692,Ottone!$F$1:$FF$1,0)-1)=TRUE),0,OFFSET(Ottone!$F$1,MATCH(H692,Ottone!$A:$A,0)-1,MATCH(I692,Ottone!$F$1:$FF$1,0)-1))*IF(E692="Ottone",1,0),4)</f>
        <v>0</v>
      </c>
      <c r="R692" s="446">
        <f ca="1">ROUND(IF(ISERROR(OFFSET(Rame!$F$1,MATCH(H692,Rame!$F:$F,0)-1,MATCH(I692,Rame!$F$1:$FF$1,0)-1)=TRUE),0,OFFSET(Rame!$F$1,MATCH(H692,Rame!$F:$F,0)-1,MATCH(I692,Rame!$F$1:$FF$1,0)-1))*IF(E692="Rame",1,0),4)</f>
        <v>0</v>
      </c>
      <c r="S692" s="446">
        <f ca="1">ROUND(IF(ISERROR(OFFSET(Bronzo!$A$1,MATCH(H692,Bronzo!$A:$A,0)-1,MATCH(I692,Bronzo!$A$1:$AA$1,0)-1)=TRUE),0,OFFSET(Bronzo!$A$1,MATCH(H692,Bronzo!$A:$A,0)-1,MATCH(I692,Bronzo!$A$1:$AA$1,0)-1)),4)</f>
        <v>0</v>
      </c>
      <c r="T692" s="446">
        <f t="shared" ca="1" si="200"/>
        <v>0</v>
      </c>
      <c r="U692" s="443"/>
      <c r="V692" s="446">
        <v>0</v>
      </c>
      <c r="W692" s="449">
        <f t="shared" ca="1" si="201"/>
        <v>0</v>
      </c>
      <c r="X692" s="452">
        <f t="shared" si="199"/>
        <v>0</v>
      </c>
      <c r="Y692" s="440"/>
      <c r="Z692" s="440">
        <f t="shared" ca="1" si="202"/>
        <v>0</v>
      </c>
      <c r="AA692" s="241"/>
      <c r="AH692" s="242"/>
    </row>
    <row r="693" spans="2:34" ht="15.75" x14ac:dyDescent="0.25">
      <c r="B693" s="229"/>
      <c r="C693" s="235"/>
      <c r="D693" s="243"/>
      <c r="E693" s="232"/>
      <c r="F693" s="435"/>
      <c r="G693" s="234"/>
      <c r="H693" s="235"/>
      <c r="I693" s="235"/>
      <c r="J693" s="440"/>
      <c r="K693" s="443">
        <f ca="1">ROUND(IF(ISERROR(OFFSET(Tabella!$A$1,MATCH(H693,Tabella!$A:$A,0)-1,MATCH(J693,Tabella!$A$1:$AC$1,0)-1)=TRUE),0,+OFFSET(Tabella!$A$1,MATCH(H693,Tabella!$A:$A,0)-1,MATCH(J693,Tabella!$A$1:$AC$1,0)-1)),4)</f>
        <v>0</v>
      </c>
      <c r="L693" s="446">
        <f ca="1">ROUND(IF(ISERROR(OFFSET(Ottone!$A$1,MATCH(H693,Ottone!$A:$A,0)-1,MATCH(J693,Ottone!$A$1:$Z$1,0)-1)=TRUE),0,OFFSET(Ottone!$A$1,MATCH(H693,Ottone!$A:$A,0)-1,MATCH(J693,Ottone!$A$1:$Z$1,0)-1))*IF(E693="Ottone",1,0),4)</f>
        <v>0</v>
      </c>
      <c r="M693" s="446">
        <f ca="1">ROUND(IF(ISERROR(OFFSET(Rame!$A$1,MATCH(H693,Rame!$A:$A,0)-1,MATCH(J693,Rame!$A$1:$AA$1,0)-1)=TRUE),0,OFFSET(Rame!$A$1,MATCH(H693,Rame!$A:$A,0)-1,MATCH(J693,Rame!$A$1:$AA$1,0)-1))*IF(E693="Rame",1,0),4)</f>
        <v>0</v>
      </c>
      <c r="N693" s="446">
        <v>0</v>
      </c>
      <c r="O693" s="446">
        <f t="shared" ca="1" si="203"/>
        <v>0</v>
      </c>
      <c r="P693" s="446">
        <f ca="1">ROUND(+IF(ISERROR(OFFSET(Tabella!$G$1,MATCH(H693,Tabella!$G:$G,0)-1,MATCH(I693,Tabella!$G$1:$FG$1,0)-1)=TRUE),0,OFFSET(Tabella!$G$1,MATCH(H693,Tabella!$G:$G,0)-1,MATCH(I693,Tabella!$G$1:$AB$1,0)-1)),4)</f>
        <v>0</v>
      </c>
      <c r="Q693" s="446">
        <f ca="1">ROUND(IF(ISERROR(OFFSET(Ottone!$F$1,MATCH(H693,Ottone!$A:$A,0)-1,MATCH(I693,Ottone!$F$1:$FF$1,0)-1)=TRUE),0,OFFSET(Ottone!$F$1,MATCH(H693,Ottone!$A:$A,0)-1,MATCH(I693,Ottone!$F$1:$FF$1,0)-1))*IF(E693="Ottone",1,0),4)</f>
        <v>0</v>
      </c>
      <c r="R693" s="446">
        <f ca="1">ROUND(IF(ISERROR(OFFSET(Rame!$F$1,MATCH(H693,Rame!$F:$F,0)-1,MATCH(I693,Rame!$F$1:$FF$1,0)-1)=TRUE),0,OFFSET(Rame!$F$1,MATCH(H693,Rame!$F:$F,0)-1,MATCH(I693,Rame!$F$1:$FF$1,0)-1))*IF(E693="Rame",1,0),4)</f>
        <v>0</v>
      </c>
      <c r="S693" s="446">
        <f ca="1">ROUND(IF(ISERROR(OFFSET(Bronzo!$A$1,MATCH(H693,Bronzo!$A:$A,0)-1,MATCH(I693,Bronzo!$A$1:$AA$1,0)-1)=TRUE),0,OFFSET(Bronzo!$A$1,MATCH(H693,Bronzo!$A:$A,0)-1,MATCH(I693,Bronzo!$A$1:$AA$1,0)-1)),4)</f>
        <v>0</v>
      </c>
      <c r="T693" s="446">
        <f t="shared" ca="1" si="200"/>
        <v>0</v>
      </c>
      <c r="U693" s="443"/>
      <c r="V693" s="446">
        <v>0</v>
      </c>
      <c r="W693" s="449">
        <f t="shared" ca="1" si="201"/>
        <v>0</v>
      </c>
      <c r="X693" s="452">
        <f t="shared" si="199"/>
        <v>0</v>
      </c>
      <c r="Y693" s="440"/>
      <c r="Z693" s="440">
        <f t="shared" ca="1" si="202"/>
        <v>0</v>
      </c>
      <c r="AA693" s="241"/>
      <c r="AH693" s="242"/>
    </row>
    <row r="694" spans="2:34" ht="15.75" x14ac:dyDescent="0.25">
      <c r="B694" s="229"/>
      <c r="C694" s="235"/>
      <c r="D694" s="243"/>
      <c r="E694" s="232"/>
      <c r="F694" s="435"/>
      <c r="G694" s="234"/>
      <c r="H694" s="235"/>
      <c r="I694" s="235"/>
      <c r="J694" s="440"/>
      <c r="K694" s="443">
        <f ca="1">ROUND(IF(ISERROR(OFFSET(Tabella!$A$1,MATCH(H694,Tabella!$A:$A,0)-1,MATCH(J694,Tabella!$A$1:$AC$1,0)-1)=TRUE),0,+OFFSET(Tabella!$A$1,MATCH(H694,Tabella!$A:$A,0)-1,MATCH(J694,Tabella!$A$1:$AC$1,0)-1)),4)</f>
        <v>0</v>
      </c>
      <c r="L694" s="446">
        <f ca="1">ROUND(IF(ISERROR(OFFSET(Ottone!$A$1,MATCH(H694,Ottone!$A:$A,0)-1,MATCH(J694,Ottone!$A$1:$Z$1,0)-1)=TRUE),0,OFFSET(Ottone!$A$1,MATCH(H694,Ottone!$A:$A,0)-1,MATCH(J694,Ottone!$A$1:$Z$1,0)-1))*IF(E694="Ottone",1,0),4)</f>
        <v>0</v>
      </c>
      <c r="M694" s="446">
        <f ca="1">ROUND(IF(ISERROR(OFFSET(Rame!$A$1,MATCH(H694,Rame!$A:$A,0)-1,MATCH(J694,Rame!$A$1:$AA$1,0)-1)=TRUE),0,OFFSET(Rame!$A$1,MATCH(H694,Rame!$A:$A,0)-1,MATCH(J694,Rame!$A$1:$AA$1,0)-1))*IF(E694="Rame",1,0),4)</f>
        <v>0</v>
      </c>
      <c r="N694" s="446">
        <v>0</v>
      </c>
      <c r="O694" s="446">
        <f t="shared" ca="1" si="203"/>
        <v>0</v>
      </c>
      <c r="P694" s="446">
        <f ca="1">ROUND(+IF(ISERROR(OFFSET(Tabella!$G$1,MATCH(H694,Tabella!$G:$G,0)-1,MATCH(I694,Tabella!$G$1:$FG$1,0)-1)=TRUE),0,OFFSET(Tabella!$G$1,MATCH(H694,Tabella!$G:$G,0)-1,MATCH(I694,Tabella!$G$1:$AB$1,0)-1)),4)</f>
        <v>0</v>
      </c>
      <c r="Q694" s="446">
        <f ca="1">ROUND(IF(ISERROR(OFFSET(Ottone!$F$1,MATCH(H694,Ottone!$A:$A,0)-1,MATCH(I694,Ottone!$F$1:$FF$1,0)-1)=TRUE),0,OFFSET(Ottone!$F$1,MATCH(H694,Ottone!$A:$A,0)-1,MATCH(I694,Ottone!$F$1:$FF$1,0)-1))*IF(E694="Ottone",1,0),4)</f>
        <v>0</v>
      </c>
      <c r="R694" s="446">
        <f ca="1">ROUND(IF(ISERROR(OFFSET(Rame!$F$1,MATCH(H694,Rame!$F:$F,0)-1,MATCH(I694,Rame!$F$1:$FF$1,0)-1)=TRUE),0,OFFSET(Rame!$F$1,MATCH(H694,Rame!$F:$F,0)-1,MATCH(I694,Rame!$F$1:$FF$1,0)-1))*IF(E694="Rame",1,0),4)</f>
        <v>0</v>
      </c>
      <c r="S694" s="446">
        <f ca="1">ROUND(IF(ISERROR(OFFSET(Bronzo!$A$1,MATCH(H694,Bronzo!$A:$A,0)-1,MATCH(I694,Bronzo!$A$1:$AA$1,0)-1)=TRUE),0,OFFSET(Bronzo!$A$1,MATCH(H694,Bronzo!$A:$A,0)-1,MATCH(I694,Bronzo!$A$1:$AA$1,0)-1)),4)</f>
        <v>0</v>
      </c>
      <c r="T694" s="446">
        <f t="shared" ca="1" si="200"/>
        <v>0</v>
      </c>
      <c r="U694" s="443"/>
      <c r="V694" s="446">
        <v>0</v>
      </c>
      <c r="W694" s="449">
        <f t="shared" ca="1" si="201"/>
        <v>0</v>
      </c>
      <c r="X694" s="452">
        <f t="shared" si="199"/>
        <v>0</v>
      </c>
      <c r="Y694" s="440"/>
      <c r="Z694" s="440">
        <f t="shared" ca="1" si="202"/>
        <v>0</v>
      </c>
      <c r="AA694" s="241"/>
      <c r="AH694" s="242"/>
    </row>
    <row r="695" spans="2:34" ht="15.75" x14ac:dyDescent="0.25">
      <c r="B695" s="229"/>
      <c r="C695" s="235"/>
      <c r="D695" s="243"/>
      <c r="E695" s="232"/>
      <c r="F695" s="435"/>
      <c r="G695" s="234"/>
      <c r="H695" s="235"/>
      <c r="I695" s="235"/>
      <c r="J695" s="440"/>
      <c r="K695" s="443">
        <f ca="1">ROUND(IF(ISERROR(OFFSET(Tabella!$A$1,MATCH(H695,Tabella!$A:$A,0)-1,MATCH(J695,Tabella!$A$1:$AC$1,0)-1)=TRUE),0,+OFFSET(Tabella!$A$1,MATCH(H695,Tabella!$A:$A,0)-1,MATCH(J695,Tabella!$A$1:$AC$1,0)-1)),4)</f>
        <v>0</v>
      </c>
      <c r="L695" s="446">
        <f ca="1">ROUND(IF(ISERROR(OFFSET(Ottone!$A$1,MATCH(H695,Ottone!$A:$A,0)-1,MATCH(J695,Ottone!$A$1:$Z$1,0)-1)=TRUE),0,OFFSET(Ottone!$A$1,MATCH(H695,Ottone!$A:$A,0)-1,MATCH(J695,Ottone!$A$1:$Z$1,0)-1))*IF(E695="Ottone",1,0),4)</f>
        <v>0</v>
      </c>
      <c r="M695" s="446">
        <f ca="1">ROUND(IF(ISERROR(OFFSET(Rame!$A$1,MATCH(H695,Rame!$A:$A,0)-1,MATCH(J695,Rame!$A$1:$AA$1,0)-1)=TRUE),0,OFFSET(Rame!$A$1,MATCH(H695,Rame!$A:$A,0)-1,MATCH(J695,Rame!$A$1:$AA$1,0)-1))*IF(E695="Rame",1,0),4)</f>
        <v>0</v>
      </c>
      <c r="N695" s="446">
        <v>0</v>
      </c>
      <c r="O695" s="446">
        <f t="shared" ca="1" si="203"/>
        <v>0</v>
      </c>
      <c r="P695" s="446">
        <f ca="1">ROUND(+IF(ISERROR(OFFSET(Tabella!$G$1,MATCH(H695,Tabella!$G:$G,0)-1,MATCH(I695,Tabella!$G$1:$FG$1,0)-1)=TRUE),0,OFFSET(Tabella!$G$1,MATCH(H695,Tabella!$G:$G,0)-1,MATCH(I695,Tabella!$G$1:$AB$1,0)-1)),4)</f>
        <v>0</v>
      </c>
      <c r="Q695" s="446">
        <f ca="1">ROUND(IF(ISERROR(OFFSET(Ottone!$F$1,MATCH(H695,Ottone!$A:$A,0)-1,MATCH(I695,Ottone!$F$1:$FF$1,0)-1)=TRUE),0,OFFSET(Ottone!$F$1,MATCH(H695,Ottone!$A:$A,0)-1,MATCH(I695,Ottone!$F$1:$FF$1,0)-1))*IF(E695="Ottone",1,0),4)</f>
        <v>0</v>
      </c>
      <c r="R695" s="446">
        <f ca="1">ROUND(IF(ISERROR(OFFSET(Rame!$F$1,MATCH(H695,Rame!$F:$F,0)-1,MATCH(I695,Rame!$F$1:$FF$1,0)-1)=TRUE),0,OFFSET(Rame!$F$1,MATCH(H695,Rame!$F:$F,0)-1,MATCH(I695,Rame!$F$1:$FF$1,0)-1))*IF(E695="Rame",1,0),4)</f>
        <v>0</v>
      </c>
      <c r="S695" s="446">
        <f ca="1">ROUND(IF(ISERROR(OFFSET(Bronzo!$A$1,MATCH(H695,Bronzo!$A:$A,0)-1,MATCH(I695,Bronzo!$A$1:$AA$1,0)-1)=TRUE),0,OFFSET(Bronzo!$A$1,MATCH(H695,Bronzo!$A:$A,0)-1,MATCH(I695,Bronzo!$A$1:$AA$1,0)-1)),4)</f>
        <v>0</v>
      </c>
      <c r="T695" s="446">
        <f t="shared" ca="1" si="200"/>
        <v>0</v>
      </c>
      <c r="U695" s="443"/>
      <c r="V695" s="446">
        <v>0</v>
      </c>
      <c r="W695" s="449">
        <f t="shared" ca="1" si="201"/>
        <v>0</v>
      </c>
      <c r="X695" s="452">
        <f t="shared" si="199"/>
        <v>0</v>
      </c>
      <c r="Y695" s="440"/>
      <c r="Z695" s="440">
        <f t="shared" ca="1" si="202"/>
        <v>0</v>
      </c>
      <c r="AA695" s="241"/>
      <c r="AH695" s="242"/>
    </row>
    <row r="696" spans="2:34" ht="15.75" x14ac:dyDescent="0.25">
      <c r="B696" s="229"/>
      <c r="C696" s="235"/>
      <c r="D696" s="243"/>
      <c r="E696" s="232"/>
      <c r="F696" s="435"/>
      <c r="G696" s="234"/>
      <c r="H696" s="235"/>
      <c r="I696" s="235"/>
      <c r="J696" s="440"/>
      <c r="K696" s="443">
        <f ca="1">ROUND(IF(ISERROR(OFFSET(Tabella!$A$1,MATCH(H696,Tabella!$A:$A,0)-1,MATCH(J696,Tabella!$A$1:$AC$1,0)-1)=TRUE),0,+OFFSET(Tabella!$A$1,MATCH(H696,Tabella!$A:$A,0)-1,MATCH(J696,Tabella!$A$1:$AC$1,0)-1)),4)</f>
        <v>0</v>
      </c>
      <c r="L696" s="446">
        <f ca="1">ROUND(IF(ISERROR(OFFSET(Ottone!$A$1,MATCH(H696,Ottone!$A:$A,0)-1,MATCH(J696,Ottone!$A$1:$Z$1,0)-1)=TRUE),0,OFFSET(Ottone!$A$1,MATCH(H696,Ottone!$A:$A,0)-1,MATCH(J696,Ottone!$A$1:$Z$1,0)-1))*IF(E696="Ottone",1,0),4)</f>
        <v>0</v>
      </c>
      <c r="M696" s="446">
        <f ca="1">ROUND(IF(ISERROR(OFFSET(Rame!$A$1,MATCH(H696,Rame!$A:$A,0)-1,MATCH(J696,Rame!$A$1:$AA$1,0)-1)=TRUE),0,OFFSET(Rame!$A$1,MATCH(H696,Rame!$A:$A,0)-1,MATCH(J696,Rame!$A$1:$AA$1,0)-1))*IF(E696="Rame",1,0),4)</f>
        <v>0</v>
      </c>
      <c r="N696" s="446">
        <v>0</v>
      </c>
      <c r="O696" s="446">
        <f t="shared" ca="1" si="203"/>
        <v>0</v>
      </c>
      <c r="P696" s="446">
        <f ca="1">ROUND(+IF(ISERROR(OFFSET(Tabella!$G$1,MATCH(H696,Tabella!$G:$G,0)-1,MATCH(I696,Tabella!$G$1:$FG$1,0)-1)=TRUE),0,OFFSET(Tabella!$G$1,MATCH(H696,Tabella!$G:$G,0)-1,MATCH(I696,Tabella!$G$1:$AB$1,0)-1)),4)</f>
        <v>0</v>
      </c>
      <c r="Q696" s="446">
        <f ca="1">ROUND(IF(ISERROR(OFFSET(Ottone!$F$1,MATCH(H696,Ottone!$A:$A,0)-1,MATCH(I696,Ottone!$F$1:$FF$1,0)-1)=TRUE),0,OFFSET(Ottone!$F$1,MATCH(H696,Ottone!$A:$A,0)-1,MATCH(I696,Ottone!$F$1:$FF$1,0)-1))*IF(E696="Ottone",1,0),4)</f>
        <v>0</v>
      </c>
      <c r="R696" s="446">
        <f ca="1">ROUND(IF(ISERROR(OFFSET(Rame!$F$1,MATCH(H696,Rame!$F:$F,0)-1,MATCH(I696,Rame!$F$1:$FF$1,0)-1)=TRUE),0,OFFSET(Rame!$F$1,MATCH(H696,Rame!$F:$F,0)-1,MATCH(I696,Rame!$F$1:$FF$1,0)-1))*IF(E696="Rame",1,0),4)</f>
        <v>0</v>
      </c>
      <c r="S696" s="446">
        <f ca="1">ROUND(IF(ISERROR(OFFSET(Bronzo!$A$1,MATCH(H696,Bronzo!$A:$A,0)-1,MATCH(I696,Bronzo!$A$1:$AA$1,0)-1)=TRUE),0,OFFSET(Bronzo!$A$1,MATCH(H696,Bronzo!$A:$A,0)-1,MATCH(I696,Bronzo!$A$1:$AA$1,0)-1)),4)</f>
        <v>0</v>
      </c>
      <c r="T696" s="446">
        <f t="shared" ca="1" si="200"/>
        <v>0</v>
      </c>
      <c r="U696" s="443"/>
      <c r="V696" s="446">
        <v>0</v>
      </c>
      <c r="W696" s="449">
        <f t="shared" ca="1" si="201"/>
        <v>0</v>
      </c>
      <c r="X696" s="452">
        <f t="shared" si="199"/>
        <v>0</v>
      </c>
      <c r="Y696" s="440"/>
      <c r="Z696" s="440">
        <f t="shared" ca="1" si="202"/>
        <v>0</v>
      </c>
      <c r="AA696" s="241"/>
      <c r="AH696" s="242"/>
    </row>
    <row r="697" spans="2:34" ht="15.75" x14ac:dyDescent="0.25">
      <c r="B697" s="229"/>
      <c r="C697" s="235"/>
      <c r="D697" s="243"/>
      <c r="E697" s="232"/>
      <c r="F697" s="435"/>
      <c r="G697" s="234"/>
      <c r="H697" s="235"/>
      <c r="I697" s="235"/>
      <c r="J697" s="440"/>
      <c r="K697" s="443">
        <f ca="1">ROUND(IF(ISERROR(OFFSET(Tabella!$A$1,MATCH(H697,Tabella!$A:$A,0)-1,MATCH(J697,Tabella!$A$1:$AC$1,0)-1)=TRUE),0,+OFFSET(Tabella!$A$1,MATCH(H697,Tabella!$A:$A,0)-1,MATCH(J697,Tabella!$A$1:$AC$1,0)-1)),4)</f>
        <v>0</v>
      </c>
      <c r="L697" s="446">
        <f ca="1">ROUND(IF(ISERROR(OFFSET(Ottone!$A$1,MATCH(H697,Ottone!$A:$A,0)-1,MATCH(J697,Ottone!$A$1:$Z$1,0)-1)=TRUE),0,OFFSET(Ottone!$A$1,MATCH(H697,Ottone!$A:$A,0)-1,MATCH(J697,Ottone!$A$1:$Z$1,0)-1))*IF(E697="Ottone",1,0),4)</f>
        <v>0</v>
      </c>
      <c r="M697" s="446">
        <f ca="1">ROUND(IF(ISERROR(OFFSET(Rame!$A$1,MATCH(H697,Rame!$A:$A,0)-1,MATCH(J697,Rame!$A$1:$AA$1,0)-1)=TRUE),0,OFFSET(Rame!$A$1,MATCH(H697,Rame!$A:$A,0)-1,MATCH(J697,Rame!$A$1:$AA$1,0)-1))*IF(E697="Rame",1,0),4)</f>
        <v>0</v>
      </c>
      <c r="N697" s="446">
        <v>0</v>
      </c>
      <c r="O697" s="446">
        <f t="shared" ca="1" si="203"/>
        <v>0</v>
      </c>
      <c r="P697" s="446">
        <f ca="1">ROUND(+IF(ISERROR(OFFSET(Tabella!$G$1,MATCH(H697,Tabella!$G:$G,0)-1,MATCH(I697,Tabella!$G$1:$FG$1,0)-1)=TRUE),0,OFFSET(Tabella!$G$1,MATCH(H697,Tabella!$G:$G,0)-1,MATCH(I697,Tabella!$G$1:$AB$1,0)-1)),4)</f>
        <v>0</v>
      </c>
      <c r="Q697" s="446">
        <f ca="1">ROUND(IF(ISERROR(OFFSET(Ottone!$F$1,MATCH(H697,Ottone!$A:$A,0)-1,MATCH(I697,Ottone!$F$1:$FF$1,0)-1)=TRUE),0,OFFSET(Ottone!$F$1,MATCH(H697,Ottone!$A:$A,0)-1,MATCH(I697,Ottone!$F$1:$FF$1,0)-1))*IF(E697="Ottone",1,0),4)</f>
        <v>0</v>
      </c>
      <c r="R697" s="446">
        <f ca="1">ROUND(IF(ISERROR(OFFSET(Rame!$F$1,MATCH(H697,Rame!$F:$F,0)-1,MATCH(I697,Rame!$F$1:$FF$1,0)-1)=TRUE),0,OFFSET(Rame!$F$1,MATCH(H697,Rame!$F:$F,0)-1,MATCH(I697,Rame!$F$1:$FF$1,0)-1))*IF(E697="Rame",1,0),4)</f>
        <v>0</v>
      </c>
      <c r="S697" s="446">
        <f ca="1">ROUND(IF(ISERROR(OFFSET(Bronzo!$A$1,MATCH(H697,Bronzo!$A:$A,0)-1,MATCH(I697,Bronzo!$A$1:$AA$1,0)-1)=TRUE),0,OFFSET(Bronzo!$A$1,MATCH(H697,Bronzo!$A:$A,0)-1,MATCH(I697,Bronzo!$A$1:$AA$1,0)-1)),4)</f>
        <v>0</v>
      </c>
      <c r="T697" s="446">
        <f t="shared" ca="1" si="200"/>
        <v>0</v>
      </c>
      <c r="U697" s="443"/>
      <c r="V697" s="446">
        <v>0</v>
      </c>
      <c r="W697" s="449">
        <f t="shared" ca="1" si="201"/>
        <v>0</v>
      </c>
      <c r="X697" s="452">
        <f t="shared" si="199"/>
        <v>0</v>
      </c>
      <c r="Y697" s="440"/>
      <c r="Z697" s="440">
        <f t="shared" ca="1" si="202"/>
        <v>0</v>
      </c>
      <c r="AA697" s="241"/>
      <c r="AH697" s="242"/>
    </row>
    <row r="698" spans="2:34" ht="15.75" x14ac:dyDescent="0.25">
      <c r="B698" s="229"/>
      <c r="C698" s="235"/>
      <c r="D698" s="243"/>
      <c r="E698" s="232"/>
      <c r="F698" s="435"/>
      <c r="G698" s="234"/>
      <c r="H698" s="235"/>
      <c r="I698" s="235"/>
      <c r="J698" s="440"/>
      <c r="K698" s="443">
        <f ca="1">ROUND(IF(ISERROR(OFFSET(Tabella!$A$1,MATCH(H698,Tabella!$A:$A,0)-1,MATCH(J698,Tabella!$A$1:$AC$1,0)-1)=TRUE),0,+OFFSET(Tabella!$A$1,MATCH(H698,Tabella!$A:$A,0)-1,MATCH(J698,Tabella!$A$1:$AC$1,0)-1)),4)</f>
        <v>0</v>
      </c>
      <c r="L698" s="446">
        <f ca="1">ROUND(IF(ISERROR(OFFSET(Ottone!$A$1,MATCH(H698,Ottone!$A:$A,0)-1,MATCH(J698,Ottone!$A$1:$Z$1,0)-1)=TRUE),0,OFFSET(Ottone!$A$1,MATCH(H698,Ottone!$A:$A,0)-1,MATCH(J698,Ottone!$A$1:$Z$1,0)-1))*IF(E698="Ottone",1,0),4)</f>
        <v>0</v>
      </c>
      <c r="M698" s="446">
        <f ca="1">ROUND(IF(ISERROR(OFFSET(Rame!$A$1,MATCH(H698,Rame!$A:$A,0)-1,MATCH(J698,Rame!$A$1:$AA$1,0)-1)=TRUE),0,OFFSET(Rame!$A$1,MATCH(H698,Rame!$A:$A,0)-1,MATCH(J698,Rame!$A$1:$AA$1,0)-1))*IF(E698="Rame",1,0),4)</f>
        <v>0</v>
      </c>
      <c r="N698" s="446">
        <v>0</v>
      </c>
      <c r="O698" s="446">
        <f t="shared" ca="1" si="203"/>
        <v>0</v>
      </c>
      <c r="P698" s="446">
        <f ca="1">ROUND(+IF(ISERROR(OFFSET(Tabella!$G$1,MATCH(H698,Tabella!$G:$G,0)-1,MATCH(I698,Tabella!$G$1:$FG$1,0)-1)=TRUE),0,OFFSET(Tabella!$G$1,MATCH(H698,Tabella!$G:$G,0)-1,MATCH(I698,Tabella!$G$1:$AB$1,0)-1)),4)</f>
        <v>0</v>
      </c>
      <c r="Q698" s="446">
        <f ca="1">ROUND(IF(ISERROR(OFFSET(Ottone!$F$1,MATCH(H698,Ottone!$A:$A,0)-1,MATCH(I698,Ottone!$F$1:$FF$1,0)-1)=TRUE),0,OFFSET(Ottone!$F$1,MATCH(H698,Ottone!$A:$A,0)-1,MATCH(I698,Ottone!$F$1:$FF$1,0)-1))*IF(E698="Ottone",1,0),4)</f>
        <v>0</v>
      </c>
      <c r="R698" s="446">
        <f ca="1">ROUND(IF(ISERROR(OFFSET(Rame!$F$1,MATCH(H698,Rame!$F:$F,0)-1,MATCH(I698,Rame!$F$1:$FF$1,0)-1)=TRUE),0,OFFSET(Rame!$F$1,MATCH(H698,Rame!$F:$F,0)-1,MATCH(I698,Rame!$F$1:$FF$1,0)-1))*IF(E698="Rame",1,0),4)</f>
        <v>0</v>
      </c>
      <c r="S698" s="446">
        <f ca="1">ROUND(IF(ISERROR(OFFSET(Bronzo!$A$1,MATCH(H698,Bronzo!$A:$A,0)-1,MATCH(I698,Bronzo!$A$1:$AA$1,0)-1)=TRUE),0,OFFSET(Bronzo!$A$1,MATCH(H698,Bronzo!$A:$A,0)-1,MATCH(I698,Bronzo!$A$1:$AA$1,0)-1)),4)</f>
        <v>0</v>
      </c>
      <c r="T698" s="446">
        <f t="shared" ca="1" si="200"/>
        <v>0</v>
      </c>
      <c r="U698" s="443"/>
      <c r="V698" s="446">
        <v>0</v>
      </c>
      <c r="W698" s="449">
        <f t="shared" ca="1" si="201"/>
        <v>0</v>
      </c>
      <c r="X698" s="452">
        <f t="shared" si="199"/>
        <v>0</v>
      </c>
      <c r="Y698" s="440"/>
      <c r="Z698" s="440">
        <f t="shared" ca="1" si="202"/>
        <v>0</v>
      </c>
      <c r="AA698" s="241"/>
      <c r="AH698" s="242"/>
    </row>
    <row r="699" spans="2:34" ht="15.75" x14ac:dyDescent="0.25">
      <c r="B699" s="229"/>
      <c r="C699" s="235"/>
      <c r="D699" s="243"/>
      <c r="E699" s="232"/>
      <c r="F699" s="435"/>
      <c r="G699" s="234"/>
      <c r="H699" s="235"/>
      <c r="I699" s="235"/>
      <c r="J699" s="440"/>
      <c r="K699" s="443">
        <f ca="1">ROUND(IF(ISERROR(OFFSET(Tabella!$A$1,MATCH(H699,Tabella!$A:$A,0)-1,MATCH(J699,Tabella!$A$1:$AC$1,0)-1)=TRUE),0,+OFFSET(Tabella!$A$1,MATCH(H699,Tabella!$A:$A,0)-1,MATCH(J699,Tabella!$A$1:$AC$1,0)-1)),4)</f>
        <v>0</v>
      </c>
      <c r="L699" s="446">
        <f ca="1">ROUND(IF(ISERROR(OFFSET(Ottone!$A$1,MATCH(H699,Ottone!$A:$A,0)-1,MATCH(J699,Ottone!$A$1:$Z$1,0)-1)=TRUE),0,OFFSET(Ottone!$A$1,MATCH(H699,Ottone!$A:$A,0)-1,MATCH(J699,Ottone!$A$1:$Z$1,0)-1))*IF(E699="Ottone",1,0),4)</f>
        <v>0</v>
      </c>
      <c r="M699" s="446">
        <f ca="1">ROUND(IF(ISERROR(OFFSET(Rame!$A$1,MATCH(H699,Rame!$A:$A,0)-1,MATCH(J699,Rame!$A$1:$AA$1,0)-1)=TRUE),0,OFFSET(Rame!$A$1,MATCH(H699,Rame!$A:$A,0)-1,MATCH(J699,Rame!$A$1:$AA$1,0)-1))*IF(E699="Rame",1,0),4)</f>
        <v>0</v>
      </c>
      <c r="N699" s="446">
        <v>0</v>
      </c>
      <c r="O699" s="446">
        <f t="shared" ca="1" si="203"/>
        <v>0</v>
      </c>
      <c r="P699" s="446">
        <f ca="1">ROUND(+IF(ISERROR(OFFSET(Tabella!$G$1,MATCH(H699,Tabella!$G:$G,0)-1,MATCH(I699,Tabella!$G$1:$FG$1,0)-1)=TRUE),0,OFFSET(Tabella!$G$1,MATCH(H699,Tabella!$G:$G,0)-1,MATCH(I699,Tabella!$G$1:$AB$1,0)-1)),4)</f>
        <v>0</v>
      </c>
      <c r="Q699" s="446">
        <f ca="1">ROUND(IF(ISERROR(OFFSET(Ottone!$F$1,MATCH(H699,Ottone!$A:$A,0)-1,MATCH(I699,Ottone!$F$1:$FF$1,0)-1)=TRUE),0,OFFSET(Ottone!$F$1,MATCH(H699,Ottone!$A:$A,0)-1,MATCH(I699,Ottone!$F$1:$FF$1,0)-1))*IF(E699="Ottone",1,0),4)</f>
        <v>0</v>
      </c>
      <c r="R699" s="446">
        <f ca="1">ROUND(IF(ISERROR(OFFSET(Rame!$F$1,MATCH(H699,Rame!$F:$F,0)-1,MATCH(I699,Rame!$F$1:$FF$1,0)-1)=TRUE),0,OFFSET(Rame!$F$1,MATCH(H699,Rame!$F:$F,0)-1,MATCH(I699,Rame!$F$1:$FF$1,0)-1))*IF(E699="Rame",1,0),4)</f>
        <v>0</v>
      </c>
      <c r="S699" s="446">
        <f ca="1">ROUND(IF(ISERROR(OFFSET(Bronzo!$A$1,MATCH(H699,Bronzo!$A:$A,0)-1,MATCH(I699,Bronzo!$A$1:$AA$1,0)-1)=TRUE),0,OFFSET(Bronzo!$A$1,MATCH(H699,Bronzo!$A:$A,0)-1,MATCH(I699,Bronzo!$A$1:$AA$1,0)-1)),4)</f>
        <v>0</v>
      </c>
      <c r="T699" s="446">
        <f t="shared" ca="1" si="200"/>
        <v>0</v>
      </c>
      <c r="U699" s="443"/>
      <c r="V699" s="446">
        <v>0</v>
      </c>
      <c r="W699" s="449">
        <f t="shared" ca="1" si="201"/>
        <v>0</v>
      </c>
      <c r="X699" s="452">
        <f t="shared" si="199"/>
        <v>0</v>
      </c>
      <c r="Y699" s="440"/>
      <c r="Z699" s="440">
        <f t="shared" ca="1" si="202"/>
        <v>0</v>
      </c>
      <c r="AA699" s="241"/>
      <c r="AH699" s="242"/>
    </row>
    <row r="700" spans="2:34" ht="15.75" x14ac:dyDescent="0.25">
      <c r="B700" s="229"/>
      <c r="C700" s="235"/>
      <c r="D700" s="243"/>
      <c r="E700" s="232"/>
      <c r="F700" s="435"/>
      <c r="G700" s="234"/>
      <c r="H700" s="235"/>
      <c r="I700" s="235"/>
      <c r="J700" s="440"/>
      <c r="K700" s="443">
        <f ca="1">ROUND(IF(ISERROR(OFFSET(Tabella!$A$1,MATCH(H700,Tabella!$A:$A,0)-1,MATCH(J700,Tabella!$A$1:$AC$1,0)-1)=TRUE),0,+OFFSET(Tabella!$A$1,MATCH(H700,Tabella!$A:$A,0)-1,MATCH(J700,Tabella!$A$1:$AC$1,0)-1)),4)</f>
        <v>0</v>
      </c>
      <c r="L700" s="446">
        <f ca="1">ROUND(IF(ISERROR(OFFSET(Ottone!$A$1,MATCH(H700,Ottone!$A:$A,0)-1,MATCH(J700,Ottone!$A$1:$Z$1,0)-1)=TRUE),0,OFFSET(Ottone!$A$1,MATCH(H700,Ottone!$A:$A,0)-1,MATCH(J700,Ottone!$A$1:$Z$1,0)-1))*IF(E700="Ottone",1,0),4)</f>
        <v>0</v>
      </c>
      <c r="M700" s="446">
        <f ca="1">ROUND(IF(ISERROR(OFFSET(Rame!$A$1,MATCH(H700,Rame!$A:$A,0)-1,MATCH(J700,Rame!$A$1:$AA$1,0)-1)=TRUE),0,OFFSET(Rame!$A$1,MATCH(H700,Rame!$A:$A,0)-1,MATCH(J700,Rame!$A$1:$AA$1,0)-1))*IF(E700="Rame",1,0),4)</f>
        <v>0</v>
      </c>
      <c r="N700" s="446">
        <v>0</v>
      </c>
      <c r="O700" s="446">
        <f t="shared" ca="1" si="203"/>
        <v>0</v>
      </c>
      <c r="P700" s="446">
        <f ca="1">ROUND(+IF(ISERROR(OFFSET(Tabella!$G$1,MATCH(H700,Tabella!$G:$G,0)-1,MATCH(I700,Tabella!$G$1:$FG$1,0)-1)=TRUE),0,OFFSET(Tabella!$G$1,MATCH(H700,Tabella!$G:$G,0)-1,MATCH(I700,Tabella!$G$1:$AB$1,0)-1)),4)</f>
        <v>0</v>
      </c>
      <c r="Q700" s="446">
        <f ca="1">ROUND(IF(ISERROR(OFFSET(Ottone!$F$1,MATCH(H700,Ottone!$A:$A,0)-1,MATCH(I700,Ottone!$F$1:$FF$1,0)-1)=TRUE),0,OFFSET(Ottone!$F$1,MATCH(H700,Ottone!$A:$A,0)-1,MATCH(I700,Ottone!$F$1:$FF$1,0)-1))*IF(E700="Ottone",1,0),4)</f>
        <v>0</v>
      </c>
      <c r="R700" s="446">
        <f ca="1">ROUND(IF(ISERROR(OFFSET(Rame!$F$1,MATCH(H700,Rame!$F:$F,0)-1,MATCH(I700,Rame!$F$1:$FF$1,0)-1)=TRUE),0,OFFSET(Rame!$F$1,MATCH(H700,Rame!$F:$F,0)-1,MATCH(I700,Rame!$F$1:$FF$1,0)-1))*IF(E700="Rame",1,0),4)</f>
        <v>0</v>
      </c>
      <c r="S700" s="446">
        <f ca="1">ROUND(IF(ISERROR(OFFSET(Bronzo!$A$1,MATCH(H700,Bronzo!$A:$A,0)-1,MATCH(I700,Bronzo!$A$1:$AA$1,0)-1)=TRUE),0,OFFSET(Bronzo!$A$1,MATCH(H700,Bronzo!$A:$A,0)-1,MATCH(I700,Bronzo!$A$1:$AA$1,0)-1)),4)</f>
        <v>0</v>
      </c>
      <c r="T700" s="446">
        <f t="shared" ca="1" si="200"/>
        <v>0</v>
      </c>
      <c r="U700" s="443"/>
      <c r="V700" s="446">
        <v>0</v>
      </c>
      <c r="W700" s="449">
        <f t="shared" ca="1" si="201"/>
        <v>0</v>
      </c>
      <c r="X700" s="452">
        <f t="shared" si="199"/>
        <v>0</v>
      </c>
      <c r="Y700" s="440"/>
      <c r="Z700" s="440">
        <f t="shared" ca="1" si="202"/>
        <v>0</v>
      </c>
      <c r="AA700" s="241"/>
      <c r="AH700" s="242"/>
    </row>
    <row r="701" spans="2:34" ht="15.75" x14ac:dyDescent="0.25">
      <c r="B701" s="229"/>
      <c r="C701" s="235"/>
      <c r="D701" s="243"/>
      <c r="E701" s="232"/>
      <c r="F701" s="435"/>
      <c r="G701" s="234"/>
      <c r="H701" s="235"/>
      <c r="I701" s="235"/>
      <c r="J701" s="440"/>
      <c r="K701" s="443">
        <f ca="1">ROUND(IF(ISERROR(OFFSET(Tabella!$A$1,MATCH(H701,Tabella!$A:$A,0)-1,MATCH(J701,Tabella!$A$1:$AC$1,0)-1)=TRUE),0,+OFFSET(Tabella!$A$1,MATCH(H701,Tabella!$A:$A,0)-1,MATCH(J701,Tabella!$A$1:$AC$1,0)-1)),4)</f>
        <v>0</v>
      </c>
      <c r="L701" s="446">
        <f ca="1">ROUND(IF(ISERROR(OFFSET(Ottone!$A$1,MATCH(H701,Ottone!$A:$A,0)-1,MATCH(J701,Ottone!$A$1:$Z$1,0)-1)=TRUE),0,OFFSET(Ottone!$A$1,MATCH(H701,Ottone!$A:$A,0)-1,MATCH(J701,Ottone!$A$1:$Z$1,0)-1))*IF(E701="Ottone",1,0),4)</f>
        <v>0</v>
      </c>
      <c r="M701" s="446">
        <f ca="1">ROUND(IF(ISERROR(OFFSET(Rame!$A$1,MATCH(H701,Rame!$A:$A,0)-1,MATCH(J701,Rame!$A$1:$AA$1,0)-1)=TRUE),0,OFFSET(Rame!$A$1,MATCH(H701,Rame!$A:$A,0)-1,MATCH(J701,Rame!$A$1:$AA$1,0)-1))*IF(E701="Rame",1,0),4)</f>
        <v>0</v>
      </c>
      <c r="N701" s="446">
        <v>0</v>
      </c>
      <c r="O701" s="446">
        <f t="shared" ca="1" si="203"/>
        <v>0</v>
      </c>
      <c r="P701" s="446">
        <f ca="1">ROUND(+IF(ISERROR(OFFSET(Tabella!$G$1,MATCH(H701,Tabella!$G:$G,0)-1,MATCH(I701,Tabella!$G$1:$FG$1,0)-1)=TRUE),0,OFFSET(Tabella!$G$1,MATCH(H701,Tabella!$G:$G,0)-1,MATCH(I701,Tabella!$G$1:$AB$1,0)-1)),4)</f>
        <v>0</v>
      </c>
      <c r="Q701" s="446">
        <f ca="1">ROUND(IF(ISERROR(OFFSET(Ottone!$F$1,MATCH(H701,Ottone!$A:$A,0)-1,MATCH(I701,Ottone!$F$1:$FF$1,0)-1)=TRUE),0,OFFSET(Ottone!$F$1,MATCH(H701,Ottone!$A:$A,0)-1,MATCH(I701,Ottone!$F$1:$FF$1,0)-1))*IF(E701="Ottone",1,0),4)</f>
        <v>0</v>
      </c>
      <c r="R701" s="446">
        <f ca="1">ROUND(IF(ISERROR(OFFSET(Rame!$F$1,MATCH(H701,Rame!$F:$F,0)-1,MATCH(I701,Rame!$F$1:$FF$1,0)-1)=TRUE),0,OFFSET(Rame!$F$1,MATCH(H701,Rame!$F:$F,0)-1,MATCH(I701,Rame!$F$1:$FF$1,0)-1))*IF(E701="Rame",1,0),4)</f>
        <v>0</v>
      </c>
      <c r="S701" s="446">
        <f ca="1">ROUND(IF(ISERROR(OFFSET(Bronzo!$A$1,MATCH(H701,Bronzo!$A:$A,0)-1,MATCH(I701,Bronzo!$A$1:$AA$1,0)-1)=TRUE),0,OFFSET(Bronzo!$A$1,MATCH(H701,Bronzo!$A:$A,0)-1,MATCH(I701,Bronzo!$A$1:$AA$1,0)-1)),4)</f>
        <v>0</v>
      </c>
      <c r="T701" s="446">
        <f t="shared" ca="1" si="200"/>
        <v>0</v>
      </c>
      <c r="U701" s="443"/>
      <c r="V701" s="446">
        <v>0</v>
      </c>
      <c r="W701" s="449">
        <f t="shared" ca="1" si="201"/>
        <v>0</v>
      </c>
      <c r="X701" s="452">
        <f t="shared" si="199"/>
        <v>0</v>
      </c>
      <c r="Y701" s="440"/>
      <c r="Z701" s="440">
        <f t="shared" ca="1" si="202"/>
        <v>0</v>
      </c>
      <c r="AA701" s="241"/>
      <c r="AH701" s="242"/>
    </row>
    <row r="702" spans="2:34" ht="15.75" x14ac:dyDescent="0.25">
      <c r="B702" s="229"/>
      <c r="C702" s="235"/>
      <c r="D702" s="243"/>
      <c r="E702" s="232"/>
      <c r="F702" s="435"/>
      <c r="G702" s="234"/>
      <c r="H702" s="235"/>
      <c r="I702" s="235"/>
      <c r="J702" s="440"/>
      <c r="K702" s="443">
        <f ca="1">ROUND(IF(ISERROR(OFFSET(Tabella!$A$1,MATCH(H702,Tabella!$A:$A,0)-1,MATCH(J702,Tabella!$A$1:$AC$1,0)-1)=TRUE),0,+OFFSET(Tabella!$A$1,MATCH(H702,Tabella!$A:$A,0)-1,MATCH(J702,Tabella!$A$1:$AC$1,0)-1)),4)</f>
        <v>0</v>
      </c>
      <c r="L702" s="446">
        <f ca="1">ROUND(IF(ISERROR(OFFSET(Ottone!$A$1,MATCH(H702,Ottone!$A:$A,0)-1,MATCH(J702,Ottone!$A$1:$Z$1,0)-1)=TRUE),0,OFFSET(Ottone!$A$1,MATCH(H702,Ottone!$A:$A,0)-1,MATCH(J702,Ottone!$A$1:$Z$1,0)-1))*IF(E702="Ottone",1,0),4)</f>
        <v>0</v>
      </c>
      <c r="M702" s="446">
        <f ca="1">ROUND(IF(ISERROR(OFFSET(Rame!$A$1,MATCH(H702,Rame!$A:$A,0)-1,MATCH(J702,Rame!$A$1:$AA$1,0)-1)=TRUE),0,OFFSET(Rame!$A$1,MATCH(H702,Rame!$A:$A,0)-1,MATCH(J702,Rame!$A$1:$AA$1,0)-1))*IF(E702="Rame",1,0),4)</f>
        <v>0</v>
      </c>
      <c r="N702" s="446">
        <v>0</v>
      </c>
      <c r="O702" s="446">
        <f t="shared" ca="1" si="203"/>
        <v>0</v>
      </c>
      <c r="P702" s="446">
        <f ca="1">ROUND(+IF(ISERROR(OFFSET(Tabella!$G$1,MATCH(H702,Tabella!$G:$G,0)-1,MATCH(I702,Tabella!$G$1:$FG$1,0)-1)=TRUE),0,OFFSET(Tabella!$G$1,MATCH(H702,Tabella!$G:$G,0)-1,MATCH(I702,Tabella!$G$1:$AB$1,0)-1)),4)</f>
        <v>0</v>
      </c>
      <c r="Q702" s="446">
        <f ca="1">ROUND(IF(ISERROR(OFFSET(Ottone!$F$1,MATCH(H702,Ottone!$A:$A,0)-1,MATCH(I702,Ottone!$F$1:$FF$1,0)-1)=TRUE),0,OFFSET(Ottone!$F$1,MATCH(H702,Ottone!$A:$A,0)-1,MATCH(I702,Ottone!$F$1:$FF$1,0)-1))*IF(E702="Ottone",1,0),4)</f>
        <v>0</v>
      </c>
      <c r="R702" s="446">
        <f ca="1">ROUND(IF(ISERROR(OFFSET(Rame!$F$1,MATCH(H702,Rame!$F:$F,0)-1,MATCH(I702,Rame!$F$1:$FF$1,0)-1)=TRUE),0,OFFSET(Rame!$F$1,MATCH(H702,Rame!$F:$F,0)-1,MATCH(I702,Rame!$F$1:$FF$1,0)-1))*IF(E702="Rame",1,0),4)</f>
        <v>0</v>
      </c>
      <c r="S702" s="446">
        <f ca="1">ROUND(IF(ISERROR(OFFSET(Bronzo!$A$1,MATCH(H702,Bronzo!$A:$A,0)-1,MATCH(I702,Bronzo!$A$1:$AA$1,0)-1)=TRUE),0,OFFSET(Bronzo!$A$1,MATCH(H702,Bronzo!$A:$A,0)-1,MATCH(I702,Bronzo!$A$1:$AA$1,0)-1)),4)</f>
        <v>0</v>
      </c>
      <c r="T702" s="446">
        <f t="shared" ca="1" si="200"/>
        <v>0</v>
      </c>
      <c r="U702" s="443"/>
      <c r="V702" s="446">
        <v>0</v>
      </c>
      <c r="W702" s="449">
        <f t="shared" ca="1" si="201"/>
        <v>0</v>
      </c>
      <c r="X702" s="452">
        <f t="shared" si="199"/>
        <v>0</v>
      </c>
      <c r="Y702" s="440"/>
      <c r="Z702" s="440">
        <f t="shared" ca="1" si="202"/>
        <v>0</v>
      </c>
      <c r="AA702" s="241"/>
      <c r="AH702" s="242"/>
    </row>
    <row r="703" spans="2:34" ht="15.75" x14ac:dyDescent="0.25">
      <c r="B703" s="229"/>
      <c r="C703" s="235"/>
      <c r="D703" s="243"/>
      <c r="E703" s="232"/>
      <c r="F703" s="435"/>
      <c r="G703" s="234"/>
      <c r="H703" s="235"/>
      <c r="I703" s="235"/>
      <c r="J703" s="440"/>
      <c r="K703" s="443">
        <f ca="1">ROUND(IF(ISERROR(OFFSET(Tabella!$A$1,MATCH(H703,Tabella!$A:$A,0)-1,MATCH(J703,Tabella!$A$1:$AC$1,0)-1)=TRUE),0,+OFFSET(Tabella!$A$1,MATCH(H703,Tabella!$A:$A,0)-1,MATCH(J703,Tabella!$A$1:$AC$1,0)-1)),4)</f>
        <v>0</v>
      </c>
      <c r="L703" s="446">
        <f ca="1">ROUND(IF(ISERROR(OFFSET(Ottone!$A$1,MATCH(H703,Ottone!$A:$A,0)-1,MATCH(J703,Ottone!$A$1:$Z$1,0)-1)=TRUE),0,OFFSET(Ottone!$A$1,MATCH(H703,Ottone!$A:$A,0)-1,MATCH(J703,Ottone!$A$1:$Z$1,0)-1))*IF(E703="Ottone",1,0),4)</f>
        <v>0</v>
      </c>
      <c r="M703" s="446">
        <f ca="1">ROUND(IF(ISERROR(OFFSET(Rame!$A$1,MATCH(H703,Rame!$A:$A,0)-1,MATCH(J703,Rame!$A$1:$AA$1,0)-1)=TRUE),0,OFFSET(Rame!$A$1,MATCH(H703,Rame!$A:$A,0)-1,MATCH(J703,Rame!$A$1:$AA$1,0)-1))*IF(E703="Rame",1,0),4)</f>
        <v>0</v>
      </c>
      <c r="N703" s="446">
        <v>0</v>
      </c>
      <c r="O703" s="446">
        <f t="shared" ca="1" si="203"/>
        <v>0</v>
      </c>
      <c r="P703" s="446">
        <f ca="1">ROUND(+IF(ISERROR(OFFSET(Tabella!$G$1,MATCH(H703,Tabella!$G:$G,0)-1,MATCH(I703,Tabella!$G$1:$FG$1,0)-1)=TRUE),0,OFFSET(Tabella!$G$1,MATCH(H703,Tabella!$G:$G,0)-1,MATCH(I703,Tabella!$G$1:$AB$1,0)-1)),4)</f>
        <v>0</v>
      </c>
      <c r="Q703" s="446">
        <f ca="1">ROUND(IF(ISERROR(OFFSET(Ottone!$F$1,MATCH(H703,Ottone!$A:$A,0)-1,MATCH(I703,Ottone!$F$1:$FF$1,0)-1)=TRUE),0,OFFSET(Ottone!$F$1,MATCH(H703,Ottone!$A:$A,0)-1,MATCH(I703,Ottone!$F$1:$FF$1,0)-1))*IF(E703="Ottone",1,0),4)</f>
        <v>0</v>
      </c>
      <c r="R703" s="446">
        <f ca="1">ROUND(IF(ISERROR(OFFSET(Rame!$F$1,MATCH(H703,Rame!$F:$F,0)-1,MATCH(I703,Rame!$F$1:$FF$1,0)-1)=TRUE),0,OFFSET(Rame!$F$1,MATCH(H703,Rame!$F:$F,0)-1,MATCH(I703,Rame!$F$1:$FF$1,0)-1))*IF(E703="Rame",1,0),4)</f>
        <v>0</v>
      </c>
      <c r="S703" s="446">
        <f ca="1">ROUND(IF(ISERROR(OFFSET(Bronzo!$A$1,MATCH(H703,Bronzo!$A:$A,0)-1,MATCH(I703,Bronzo!$A$1:$AA$1,0)-1)=TRUE),0,OFFSET(Bronzo!$A$1,MATCH(H703,Bronzo!$A:$A,0)-1,MATCH(I703,Bronzo!$A$1:$AA$1,0)-1)),4)</f>
        <v>0</v>
      </c>
      <c r="T703" s="446">
        <f t="shared" ca="1" si="200"/>
        <v>0</v>
      </c>
      <c r="U703" s="443"/>
      <c r="V703" s="446">
        <v>0</v>
      </c>
      <c r="W703" s="449">
        <f t="shared" ca="1" si="201"/>
        <v>0</v>
      </c>
      <c r="X703" s="452">
        <f t="shared" si="199"/>
        <v>0</v>
      </c>
      <c r="Y703" s="440"/>
      <c r="Z703" s="440">
        <f t="shared" ca="1" si="202"/>
        <v>0</v>
      </c>
      <c r="AA703" s="241"/>
      <c r="AH703" s="242"/>
    </row>
    <row r="704" spans="2:34" ht="15.75" x14ac:dyDescent="0.25">
      <c r="B704" s="229"/>
      <c r="C704" s="235"/>
      <c r="D704" s="243"/>
      <c r="E704" s="232"/>
      <c r="F704" s="435"/>
      <c r="G704" s="234"/>
      <c r="H704" s="235"/>
      <c r="I704" s="235"/>
      <c r="J704" s="440"/>
      <c r="K704" s="443">
        <f ca="1">ROUND(IF(ISERROR(OFFSET(Tabella!$A$1,MATCH(H704,Tabella!$A:$A,0)-1,MATCH(J704,Tabella!$A$1:$AC$1,0)-1)=TRUE),0,+OFFSET(Tabella!$A$1,MATCH(H704,Tabella!$A:$A,0)-1,MATCH(J704,Tabella!$A$1:$AC$1,0)-1)),4)</f>
        <v>0</v>
      </c>
      <c r="L704" s="446">
        <f ca="1">ROUND(IF(ISERROR(OFFSET(Ottone!$A$1,MATCH(H704,Ottone!$A:$A,0)-1,MATCH(J704,Ottone!$A$1:$Z$1,0)-1)=TRUE),0,OFFSET(Ottone!$A$1,MATCH(H704,Ottone!$A:$A,0)-1,MATCH(J704,Ottone!$A$1:$Z$1,0)-1))*IF(E704="Ottone",1,0),4)</f>
        <v>0</v>
      </c>
      <c r="M704" s="446">
        <f ca="1">ROUND(IF(ISERROR(OFFSET(Rame!$A$1,MATCH(H704,Rame!$A:$A,0)-1,MATCH(J704,Rame!$A$1:$AA$1,0)-1)=TRUE),0,OFFSET(Rame!$A$1,MATCH(H704,Rame!$A:$A,0)-1,MATCH(J704,Rame!$A$1:$AA$1,0)-1))*IF(E704="Rame",1,0),4)</f>
        <v>0</v>
      </c>
      <c r="N704" s="446">
        <v>0</v>
      </c>
      <c r="O704" s="446">
        <f t="shared" ca="1" si="203"/>
        <v>0</v>
      </c>
      <c r="P704" s="446">
        <f ca="1">ROUND(+IF(ISERROR(OFFSET(Tabella!$G$1,MATCH(H704,Tabella!$G:$G,0)-1,MATCH(I704,Tabella!$G$1:$FG$1,0)-1)=TRUE),0,OFFSET(Tabella!$G$1,MATCH(H704,Tabella!$G:$G,0)-1,MATCH(I704,Tabella!$G$1:$AB$1,0)-1)),4)</f>
        <v>0</v>
      </c>
      <c r="Q704" s="446">
        <f ca="1">ROUND(IF(ISERROR(OFFSET(Ottone!$F$1,MATCH(H704,Ottone!$A:$A,0)-1,MATCH(I704,Ottone!$F$1:$FF$1,0)-1)=TRUE),0,OFFSET(Ottone!$F$1,MATCH(H704,Ottone!$A:$A,0)-1,MATCH(I704,Ottone!$F$1:$FF$1,0)-1))*IF(E704="Ottone",1,0),4)</f>
        <v>0</v>
      </c>
      <c r="R704" s="446">
        <f ca="1">ROUND(IF(ISERROR(OFFSET(Rame!$F$1,MATCH(H704,Rame!$F:$F,0)-1,MATCH(I704,Rame!$F$1:$FF$1,0)-1)=TRUE),0,OFFSET(Rame!$F$1,MATCH(H704,Rame!$F:$F,0)-1,MATCH(I704,Rame!$F$1:$FF$1,0)-1))*IF(E704="Rame",1,0),4)</f>
        <v>0</v>
      </c>
      <c r="S704" s="446">
        <f ca="1">ROUND(IF(ISERROR(OFFSET(Bronzo!$A$1,MATCH(H704,Bronzo!$A:$A,0)-1,MATCH(I704,Bronzo!$A$1:$AA$1,0)-1)=TRUE),0,OFFSET(Bronzo!$A$1,MATCH(H704,Bronzo!$A:$A,0)-1,MATCH(I704,Bronzo!$A$1:$AA$1,0)-1)),4)</f>
        <v>0</v>
      </c>
      <c r="T704" s="446">
        <f t="shared" ca="1" si="200"/>
        <v>0</v>
      </c>
      <c r="U704" s="443"/>
      <c r="V704" s="446">
        <v>0</v>
      </c>
      <c r="W704" s="449">
        <f t="shared" ca="1" si="201"/>
        <v>0</v>
      </c>
      <c r="X704" s="452">
        <f t="shared" si="199"/>
        <v>0</v>
      </c>
      <c r="Y704" s="440"/>
      <c r="Z704" s="440">
        <f t="shared" ca="1" si="202"/>
        <v>0</v>
      </c>
      <c r="AA704" s="241"/>
      <c r="AH704" s="242"/>
    </row>
    <row r="705" spans="2:34" ht="15.75" x14ac:dyDescent="0.25">
      <c r="B705" s="229"/>
      <c r="C705" s="235"/>
      <c r="D705" s="243"/>
      <c r="E705" s="232"/>
      <c r="F705" s="435"/>
      <c r="G705" s="234"/>
      <c r="H705" s="235"/>
      <c r="I705" s="235"/>
      <c r="J705" s="440"/>
      <c r="K705" s="443">
        <f ca="1">ROUND(IF(ISERROR(OFFSET(Tabella!$A$1,MATCH(H705,Tabella!$A:$A,0)-1,MATCH(J705,Tabella!$A$1:$AC$1,0)-1)=TRUE),0,+OFFSET(Tabella!$A$1,MATCH(H705,Tabella!$A:$A,0)-1,MATCH(J705,Tabella!$A$1:$AC$1,0)-1)),4)</f>
        <v>0</v>
      </c>
      <c r="L705" s="446">
        <f ca="1">ROUND(IF(ISERROR(OFFSET(Ottone!$A$1,MATCH(H705,Ottone!$A:$A,0)-1,MATCH(J705,Ottone!$A$1:$Z$1,0)-1)=TRUE),0,OFFSET(Ottone!$A$1,MATCH(H705,Ottone!$A:$A,0)-1,MATCH(J705,Ottone!$A$1:$Z$1,0)-1))*IF(E705="Ottone",1,0),4)</f>
        <v>0</v>
      </c>
      <c r="M705" s="446">
        <f ca="1">ROUND(IF(ISERROR(OFFSET(Rame!$A$1,MATCH(H705,Rame!$A:$A,0)-1,MATCH(J705,Rame!$A$1:$AA$1,0)-1)=TRUE),0,OFFSET(Rame!$A$1,MATCH(H705,Rame!$A:$A,0)-1,MATCH(J705,Rame!$A$1:$AA$1,0)-1))*IF(E705="Rame",1,0),4)</f>
        <v>0</v>
      </c>
      <c r="N705" s="446">
        <v>0</v>
      </c>
      <c r="O705" s="446">
        <f t="shared" ca="1" si="203"/>
        <v>0</v>
      </c>
      <c r="P705" s="446">
        <f ca="1">ROUND(+IF(ISERROR(OFFSET(Tabella!$G$1,MATCH(H705,Tabella!$G:$G,0)-1,MATCH(I705,Tabella!$G$1:$FG$1,0)-1)=TRUE),0,OFFSET(Tabella!$G$1,MATCH(H705,Tabella!$G:$G,0)-1,MATCH(I705,Tabella!$G$1:$AB$1,0)-1)),4)</f>
        <v>0</v>
      </c>
      <c r="Q705" s="446">
        <f ca="1">ROUND(IF(ISERROR(OFFSET(Ottone!$F$1,MATCH(H705,Ottone!$A:$A,0)-1,MATCH(I705,Ottone!$F$1:$FF$1,0)-1)=TRUE),0,OFFSET(Ottone!$F$1,MATCH(H705,Ottone!$A:$A,0)-1,MATCH(I705,Ottone!$F$1:$FF$1,0)-1))*IF(E705="Ottone",1,0),4)</f>
        <v>0</v>
      </c>
      <c r="R705" s="446">
        <f ca="1">ROUND(IF(ISERROR(OFFSET(Rame!$F$1,MATCH(H705,Rame!$F:$F,0)-1,MATCH(I705,Rame!$F$1:$FF$1,0)-1)=TRUE),0,OFFSET(Rame!$F$1,MATCH(H705,Rame!$F:$F,0)-1,MATCH(I705,Rame!$F$1:$FF$1,0)-1))*IF(E705="Rame",1,0),4)</f>
        <v>0</v>
      </c>
      <c r="S705" s="446">
        <f ca="1">ROUND(IF(ISERROR(OFFSET(Bronzo!$A$1,MATCH(H705,Bronzo!$A:$A,0)-1,MATCH(I705,Bronzo!$A$1:$AA$1,0)-1)=TRUE),0,OFFSET(Bronzo!$A$1,MATCH(H705,Bronzo!$A:$A,0)-1,MATCH(I705,Bronzo!$A$1:$AA$1,0)-1)),4)</f>
        <v>0</v>
      </c>
      <c r="T705" s="446">
        <f t="shared" ca="1" si="200"/>
        <v>0</v>
      </c>
      <c r="U705" s="443"/>
      <c r="V705" s="446">
        <v>0</v>
      </c>
      <c r="W705" s="449">
        <f t="shared" ca="1" si="201"/>
        <v>0</v>
      </c>
      <c r="X705" s="452">
        <f t="shared" si="199"/>
        <v>0</v>
      </c>
      <c r="Y705" s="440"/>
      <c r="Z705" s="440">
        <f t="shared" ca="1" si="202"/>
        <v>0</v>
      </c>
      <c r="AA705" s="241"/>
      <c r="AH705" s="242"/>
    </row>
    <row r="706" spans="2:34" ht="15.75" x14ac:dyDescent="0.25">
      <c r="B706" s="229"/>
      <c r="C706" s="235"/>
      <c r="D706" s="243"/>
      <c r="E706" s="232"/>
      <c r="F706" s="435"/>
      <c r="G706" s="234"/>
      <c r="H706" s="235"/>
      <c r="I706" s="235"/>
      <c r="J706" s="440"/>
      <c r="K706" s="443">
        <f ca="1">ROUND(IF(ISERROR(OFFSET(Tabella!$A$1,MATCH(H706,Tabella!$A:$A,0)-1,MATCH(J706,Tabella!$A$1:$AC$1,0)-1)=TRUE),0,+OFFSET(Tabella!$A$1,MATCH(H706,Tabella!$A:$A,0)-1,MATCH(J706,Tabella!$A$1:$AC$1,0)-1)),4)</f>
        <v>0</v>
      </c>
      <c r="L706" s="446">
        <f ca="1">ROUND(IF(ISERROR(OFFSET(Ottone!$A$1,MATCH(H706,Ottone!$A:$A,0)-1,MATCH(J706,Ottone!$A$1:$Z$1,0)-1)=TRUE),0,OFFSET(Ottone!$A$1,MATCH(H706,Ottone!$A:$A,0)-1,MATCH(J706,Ottone!$A$1:$Z$1,0)-1))*IF(E706="Ottone",1,0),4)</f>
        <v>0</v>
      </c>
      <c r="M706" s="446">
        <f ca="1">ROUND(IF(ISERROR(OFFSET(Rame!$A$1,MATCH(H706,Rame!$A:$A,0)-1,MATCH(J706,Rame!$A$1:$AA$1,0)-1)=TRUE),0,OFFSET(Rame!$A$1,MATCH(H706,Rame!$A:$A,0)-1,MATCH(J706,Rame!$A$1:$AA$1,0)-1))*IF(E706="Rame",1,0),4)</f>
        <v>0</v>
      </c>
      <c r="N706" s="446">
        <v>0</v>
      </c>
      <c r="O706" s="446">
        <f t="shared" ca="1" si="203"/>
        <v>0</v>
      </c>
      <c r="P706" s="446">
        <f ca="1">ROUND(+IF(ISERROR(OFFSET(Tabella!$G$1,MATCH(H706,Tabella!$G:$G,0)-1,MATCH(I706,Tabella!$G$1:$FG$1,0)-1)=TRUE),0,OFFSET(Tabella!$G$1,MATCH(H706,Tabella!$G:$G,0)-1,MATCH(I706,Tabella!$G$1:$AB$1,0)-1)),4)</f>
        <v>0</v>
      </c>
      <c r="Q706" s="446">
        <f ca="1">ROUND(IF(ISERROR(OFFSET(Ottone!$F$1,MATCH(H706,Ottone!$A:$A,0)-1,MATCH(I706,Ottone!$F$1:$FF$1,0)-1)=TRUE),0,OFFSET(Ottone!$F$1,MATCH(H706,Ottone!$A:$A,0)-1,MATCH(I706,Ottone!$F$1:$FF$1,0)-1))*IF(E706="Ottone",1,0),4)</f>
        <v>0</v>
      </c>
      <c r="R706" s="446">
        <f ca="1">ROUND(IF(ISERROR(OFFSET(Rame!$F$1,MATCH(H706,Rame!$F:$F,0)-1,MATCH(I706,Rame!$F$1:$FF$1,0)-1)=TRUE),0,OFFSET(Rame!$F$1,MATCH(H706,Rame!$F:$F,0)-1,MATCH(I706,Rame!$F$1:$FF$1,0)-1))*IF(E706="Rame",1,0),4)</f>
        <v>0</v>
      </c>
      <c r="S706" s="446">
        <f ca="1">ROUND(IF(ISERROR(OFFSET(Bronzo!$A$1,MATCH(H706,Bronzo!$A:$A,0)-1,MATCH(I706,Bronzo!$A$1:$AA$1,0)-1)=TRUE),0,OFFSET(Bronzo!$A$1,MATCH(H706,Bronzo!$A:$A,0)-1,MATCH(I706,Bronzo!$A$1:$AA$1,0)-1)),4)</f>
        <v>0</v>
      </c>
      <c r="T706" s="446">
        <f t="shared" ca="1" si="200"/>
        <v>0</v>
      </c>
      <c r="U706" s="443"/>
      <c r="V706" s="446">
        <v>0</v>
      </c>
      <c r="W706" s="449">
        <f t="shared" ca="1" si="201"/>
        <v>0</v>
      </c>
      <c r="X706" s="452">
        <f t="shared" si="199"/>
        <v>0</v>
      </c>
      <c r="Y706" s="440"/>
      <c r="Z706" s="440">
        <f t="shared" ca="1" si="202"/>
        <v>0</v>
      </c>
      <c r="AA706" s="241"/>
      <c r="AH706" s="242"/>
    </row>
    <row r="707" spans="2:34" ht="15.75" x14ac:dyDescent="0.25">
      <c r="B707" s="229"/>
      <c r="C707" s="235"/>
      <c r="D707" s="243"/>
      <c r="E707" s="232"/>
      <c r="F707" s="435"/>
      <c r="G707" s="234"/>
      <c r="H707" s="235"/>
      <c r="I707" s="235"/>
      <c r="J707" s="440"/>
      <c r="K707" s="443">
        <f ca="1">ROUND(IF(ISERROR(OFFSET(Tabella!$A$1,MATCH(H707,Tabella!$A:$A,0)-1,MATCH(J707,Tabella!$A$1:$AC$1,0)-1)=TRUE),0,+OFFSET(Tabella!$A$1,MATCH(H707,Tabella!$A:$A,0)-1,MATCH(J707,Tabella!$A$1:$AC$1,0)-1)),4)</f>
        <v>0</v>
      </c>
      <c r="L707" s="446">
        <f ca="1">ROUND(IF(ISERROR(OFFSET(Ottone!$A$1,MATCH(H707,Ottone!$A:$A,0)-1,MATCH(J707,Ottone!$A$1:$Z$1,0)-1)=TRUE),0,OFFSET(Ottone!$A$1,MATCH(H707,Ottone!$A:$A,0)-1,MATCH(J707,Ottone!$A$1:$Z$1,0)-1))*IF(E707="Ottone",1,0),4)</f>
        <v>0</v>
      </c>
      <c r="M707" s="446">
        <f ca="1">ROUND(IF(ISERROR(OFFSET(Rame!$A$1,MATCH(H707,Rame!$A:$A,0)-1,MATCH(J707,Rame!$A$1:$AA$1,0)-1)=TRUE),0,OFFSET(Rame!$A$1,MATCH(H707,Rame!$A:$A,0)-1,MATCH(J707,Rame!$A$1:$AA$1,0)-1))*IF(E707="Rame",1,0),4)</f>
        <v>0</v>
      </c>
      <c r="N707" s="446">
        <v>0</v>
      </c>
      <c r="O707" s="446">
        <f t="shared" ca="1" si="203"/>
        <v>0</v>
      </c>
      <c r="P707" s="446">
        <f ca="1">ROUND(+IF(ISERROR(OFFSET(Tabella!$G$1,MATCH(H707,Tabella!$G:$G,0)-1,MATCH(I707,Tabella!$G$1:$FG$1,0)-1)=TRUE),0,OFFSET(Tabella!$G$1,MATCH(H707,Tabella!$G:$G,0)-1,MATCH(I707,Tabella!$G$1:$AB$1,0)-1)),4)</f>
        <v>0</v>
      </c>
      <c r="Q707" s="446">
        <f ca="1">ROUND(IF(ISERROR(OFFSET(Ottone!$F$1,MATCH(H707,Ottone!$A:$A,0)-1,MATCH(I707,Ottone!$F$1:$FF$1,0)-1)=TRUE),0,OFFSET(Ottone!$F$1,MATCH(H707,Ottone!$A:$A,0)-1,MATCH(I707,Ottone!$F$1:$FF$1,0)-1))*IF(E707="Ottone",1,0),4)</f>
        <v>0</v>
      </c>
      <c r="R707" s="446">
        <f ca="1">ROUND(IF(ISERROR(OFFSET(Rame!$F$1,MATCH(H707,Rame!$F:$F,0)-1,MATCH(I707,Rame!$F$1:$FF$1,0)-1)=TRUE),0,OFFSET(Rame!$F$1,MATCH(H707,Rame!$F:$F,0)-1,MATCH(I707,Rame!$F$1:$FF$1,0)-1))*IF(E707="Rame",1,0),4)</f>
        <v>0</v>
      </c>
      <c r="S707" s="446">
        <f ca="1">ROUND(IF(ISERROR(OFFSET(Bronzo!$A$1,MATCH(H707,Bronzo!$A:$A,0)-1,MATCH(I707,Bronzo!$A$1:$AA$1,0)-1)=TRUE),0,OFFSET(Bronzo!$A$1,MATCH(H707,Bronzo!$A:$A,0)-1,MATCH(I707,Bronzo!$A$1:$AA$1,0)-1)),4)</f>
        <v>0</v>
      </c>
      <c r="T707" s="446">
        <f t="shared" ca="1" si="200"/>
        <v>0</v>
      </c>
      <c r="U707" s="443"/>
      <c r="V707" s="446">
        <v>0</v>
      </c>
      <c r="W707" s="449">
        <f t="shared" ca="1" si="201"/>
        <v>0</v>
      </c>
      <c r="X707" s="452">
        <f t="shared" si="199"/>
        <v>0</v>
      </c>
      <c r="Y707" s="440"/>
      <c r="Z707" s="440">
        <f t="shared" ca="1" si="202"/>
        <v>0</v>
      </c>
      <c r="AA707" s="241"/>
      <c r="AH707" s="242"/>
    </row>
    <row r="708" spans="2:34" ht="15.75" x14ac:dyDescent="0.25">
      <c r="B708" s="229"/>
      <c r="C708" s="235"/>
      <c r="D708" s="243"/>
      <c r="E708" s="232"/>
      <c r="F708" s="435"/>
      <c r="G708" s="234"/>
      <c r="H708" s="235"/>
      <c r="I708" s="235"/>
      <c r="J708" s="440"/>
      <c r="K708" s="443">
        <f ca="1">ROUND(IF(ISERROR(OFFSET(Tabella!$A$1,MATCH(H708,Tabella!$A:$A,0)-1,MATCH(J708,Tabella!$A$1:$AC$1,0)-1)=TRUE),0,+OFFSET(Tabella!$A$1,MATCH(H708,Tabella!$A:$A,0)-1,MATCH(J708,Tabella!$A$1:$AC$1,0)-1)),4)</f>
        <v>0</v>
      </c>
      <c r="L708" s="446">
        <f ca="1">ROUND(IF(ISERROR(OFFSET(Ottone!$A$1,MATCH(H708,Ottone!$A:$A,0)-1,MATCH(J708,Ottone!$A$1:$Z$1,0)-1)=TRUE),0,OFFSET(Ottone!$A$1,MATCH(H708,Ottone!$A:$A,0)-1,MATCH(J708,Ottone!$A$1:$Z$1,0)-1))*IF(E708="Ottone",1,0),4)</f>
        <v>0</v>
      </c>
      <c r="M708" s="446">
        <f ca="1">ROUND(IF(ISERROR(OFFSET(Rame!$A$1,MATCH(H708,Rame!$A:$A,0)-1,MATCH(J708,Rame!$A$1:$AA$1,0)-1)=TRUE),0,OFFSET(Rame!$A$1,MATCH(H708,Rame!$A:$A,0)-1,MATCH(J708,Rame!$A$1:$AA$1,0)-1))*IF(E708="Rame",1,0),4)</f>
        <v>0</v>
      </c>
      <c r="N708" s="446">
        <v>0</v>
      </c>
      <c r="O708" s="446">
        <f t="shared" ca="1" si="203"/>
        <v>0</v>
      </c>
      <c r="P708" s="446">
        <f ca="1">ROUND(+IF(ISERROR(OFFSET(Tabella!$G$1,MATCH(H708,Tabella!$G:$G,0)-1,MATCH(I708,Tabella!$G$1:$FG$1,0)-1)=TRUE),0,OFFSET(Tabella!$G$1,MATCH(H708,Tabella!$G:$G,0)-1,MATCH(I708,Tabella!$G$1:$AB$1,0)-1)),4)</f>
        <v>0</v>
      </c>
      <c r="Q708" s="446">
        <f ca="1">ROUND(IF(ISERROR(OFFSET(Ottone!$F$1,MATCH(H708,Ottone!$A:$A,0)-1,MATCH(I708,Ottone!$F$1:$FF$1,0)-1)=TRUE),0,OFFSET(Ottone!$F$1,MATCH(H708,Ottone!$A:$A,0)-1,MATCH(I708,Ottone!$F$1:$FF$1,0)-1))*IF(E708="Ottone",1,0),4)</f>
        <v>0</v>
      </c>
      <c r="R708" s="446">
        <f ca="1">ROUND(IF(ISERROR(OFFSET(Rame!$F$1,MATCH(H708,Rame!$F:$F,0)-1,MATCH(I708,Rame!$F$1:$FF$1,0)-1)=TRUE),0,OFFSET(Rame!$F$1,MATCH(H708,Rame!$F:$F,0)-1,MATCH(I708,Rame!$F$1:$FF$1,0)-1))*IF(E708="Rame",1,0),4)</f>
        <v>0</v>
      </c>
      <c r="S708" s="446">
        <f ca="1">ROUND(IF(ISERROR(OFFSET(Bronzo!$A$1,MATCH(H708,Bronzo!$A:$A,0)-1,MATCH(I708,Bronzo!$A$1:$AA$1,0)-1)=TRUE),0,OFFSET(Bronzo!$A$1,MATCH(H708,Bronzo!$A:$A,0)-1,MATCH(I708,Bronzo!$A$1:$AA$1,0)-1)),4)</f>
        <v>0</v>
      </c>
      <c r="T708" s="446">
        <f t="shared" ca="1" si="200"/>
        <v>0</v>
      </c>
      <c r="U708" s="443"/>
      <c r="V708" s="446">
        <v>0</v>
      </c>
      <c r="W708" s="449">
        <f t="shared" ca="1" si="201"/>
        <v>0</v>
      </c>
      <c r="X708" s="452">
        <f t="shared" si="199"/>
        <v>0</v>
      </c>
      <c r="Y708" s="440"/>
      <c r="Z708" s="440">
        <f t="shared" ca="1" si="202"/>
        <v>0</v>
      </c>
      <c r="AA708" s="241"/>
      <c r="AH708" s="242"/>
    </row>
    <row r="709" spans="2:34" ht="15.75" x14ac:dyDescent="0.25">
      <c r="B709" s="229"/>
      <c r="C709" s="235"/>
      <c r="D709" s="243"/>
      <c r="E709" s="232"/>
      <c r="F709" s="435"/>
      <c r="G709" s="234"/>
      <c r="H709" s="235"/>
      <c r="I709" s="235"/>
      <c r="J709" s="440"/>
      <c r="K709" s="443">
        <f ca="1">ROUND(IF(ISERROR(OFFSET(Tabella!$A$1,MATCH(H709,Tabella!$A:$A,0)-1,MATCH(J709,Tabella!$A$1:$AC$1,0)-1)=TRUE),0,+OFFSET(Tabella!$A$1,MATCH(H709,Tabella!$A:$A,0)-1,MATCH(J709,Tabella!$A$1:$AC$1,0)-1)),4)</f>
        <v>0</v>
      </c>
      <c r="L709" s="446">
        <f ca="1">ROUND(IF(ISERROR(OFFSET(Ottone!$A$1,MATCH(H709,Ottone!$A:$A,0)-1,MATCH(J709,Ottone!$A$1:$Z$1,0)-1)=TRUE),0,OFFSET(Ottone!$A$1,MATCH(H709,Ottone!$A:$A,0)-1,MATCH(J709,Ottone!$A$1:$Z$1,0)-1))*IF(E709="Ottone",1,0),4)</f>
        <v>0</v>
      </c>
      <c r="M709" s="446">
        <f ca="1">ROUND(IF(ISERROR(OFFSET(Rame!$A$1,MATCH(H709,Rame!$A:$A,0)-1,MATCH(J709,Rame!$A$1:$AA$1,0)-1)=TRUE),0,OFFSET(Rame!$A$1,MATCH(H709,Rame!$A:$A,0)-1,MATCH(J709,Rame!$A$1:$AA$1,0)-1))*IF(E709="Rame",1,0),4)</f>
        <v>0</v>
      </c>
      <c r="N709" s="446">
        <v>0</v>
      </c>
      <c r="O709" s="446">
        <f t="shared" ca="1" si="203"/>
        <v>0</v>
      </c>
      <c r="P709" s="446">
        <f ca="1">ROUND(+IF(ISERROR(OFFSET(Tabella!$G$1,MATCH(H709,Tabella!$G:$G,0)-1,MATCH(I709,Tabella!$G$1:$FG$1,0)-1)=TRUE),0,OFFSET(Tabella!$G$1,MATCH(H709,Tabella!$G:$G,0)-1,MATCH(I709,Tabella!$G$1:$AB$1,0)-1)),4)</f>
        <v>0</v>
      </c>
      <c r="Q709" s="446">
        <f ca="1">ROUND(IF(ISERROR(OFFSET(Ottone!$F$1,MATCH(H709,Ottone!$A:$A,0)-1,MATCH(I709,Ottone!$F$1:$FF$1,0)-1)=TRUE),0,OFFSET(Ottone!$F$1,MATCH(H709,Ottone!$A:$A,0)-1,MATCH(I709,Ottone!$F$1:$FF$1,0)-1))*IF(E709="Ottone",1,0),4)</f>
        <v>0</v>
      </c>
      <c r="R709" s="446">
        <f ca="1">ROUND(IF(ISERROR(OFFSET(Rame!$F$1,MATCH(H709,Rame!$F:$F,0)-1,MATCH(I709,Rame!$F$1:$FF$1,0)-1)=TRUE),0,OFFSET(Rame!$F$1,MATCH(H709,Rame!$F:$F,0)-1,MATCH(I709,Rame!$F$1:$FF$1,0)-1))*IF(E709="Rame",1,0),4)</f>
        <v>0</v>
      </c>
      <c r="S709" s="446">
        <f ca="1">ROUND(IF(ISERROR(OFFSET(Bronzo!$A$1,MATCH(H709,Bronzo!$A:$A,0)-1,MATCH(I709,Bronzo!$A$1:$AA$1,0)-1)=TRUE),0,OFFSET(Bronzo!$A$1,MATCH(H709,Bronzo!$A:$A,0)-1,MATCH(I709,Bronzo!$A$1:$AA$1,0)-1)),4)</f>
        <v>0</v>
      </c>
      <c r="T709" s="446">
        <f t="shared" ca="1" si="200"/>
        <v>0</v>
      </c>
      <c r="U709" s="443"/>
      <c r="V709" s="446">
        <v>0</v>
      </c>
      <c r="W709" s="449">
        <f t="shared" ca="1" si="201"/>
        <v>0</v>
      </c>
      <c r="X709" s="452">
        <f t="shared" si="199"/>
        <v>0</v>
      </c>
      <c r="Y709" s="440"/>
      <c r="Z709" s="440">
        <f t="shared" ca="1" si="202"/>
        <v>0</v>
      </c>
      <c r="AA709" s="241"/>
      <c r="AH709" s="242"/>
    </row>
    <row r="710" spans="2:34" ht="15.75" x14ac:dyDescent="0.25">
      <c r="B710" s="229"/>
      <c r="C710" s="235"/>
      <c r="D710" s="243"/>
      <c r="E710" s="232"/>
      <c r="F710" s="435"/>
      <c r="G710" s="234"/>
      <c r="H710" s="235"/>
      <c r="I710" s="235"/>
      <c r="J710" s="440"/>
      <c r="K710" s="443">
        <f ca="1">ROUND(IF(ISERROR(OFFSET(Tabella!$A$1,MATCH(H710,Tabella!$A:$A,0)-1,MATCH(J710,Tabella!$A$1:$AC$1,0)-1)=TRUE),0,+OFFSET(Tabella!$A$1,MATCH(H710,Tabella!$A:$A,0)-1,MATCH(J710,Tabella!$A$1:$AC$1,0)-1)),4)</f>
        <v>0</v>
      </c>
      <c r="L710" s="446">
        <f ca="1">ROUND(IF(ISERROR(OFFSET(Ottone!$A$1,MATCH(H710,Ottone!$A:$A,0)-1,MATCH(J710,Ottone!$A$1:$Z$1,0)-1)=TRUE),0,OFFSET(Ottone!$A$1,MATCH(H710,Ottone!$A:$A,0)-1,MATCH(J710,Ottone!$A$1:$Z$1,0)-1))*IF(E710="Ottone",1,0),4)</f>
        <v>0</v>
      </c>
      <c r="M710" s="446">
        <f ca="1">ROUND(IF(ISERROR(OFFSET(Rame!$A$1,MATCH(H710,Rame!$A:$A,0)-1,MATCH(J710,Rame!$A$1:$AA$1,0)-1)=TRUE),0,OFFSET(Rame!$A$1,MATCH(H710,Rame!$A:$A,0)-1,MATCH(J710,Rame!$A$1:$AA$1,0)-1))*IF(E710="Rame",1,0),4)</f>
        <v>0</v>
      </c>
      <c r="N710" s="446">
        <v>0</v>
      </c>
      <c r="O710" s="446">
        <f t="shared" ca="1" si="203"/>
        <v>0</v>
      </c>
      <c r="P710" s="446">
        <f ca="1">ROUND(+IF(ISERROR(OFFSET(Tabella!$G$1,MATCH(H710,Tabella!$G:$G,0)-1,MATCH(I710,Tabella!$G$1:$FG$1,0)-1)=TRUE),0,OFFSET(Tabella!$G$1,MATCH(H710,Tabella!$G:$G,0)-1,MATCH(I710,Tabella!$G$1:$AB$1,0)-1)),4)</f>
        <v>0</v>
      </c>
      <c r="Q710" s="446">
        <f ca="1">ROUND(IF(ISERROR(OFFSET(Ottone!$F$1,MATCH(H710,Ottone!$A:$A,0)-1,MATCH(I710,Ottone!$F$1:$FF$1,0)-1)=TRUE),0,OFFSET(Ottone!$F$1,MATCH(H710,Ottone!$A:$A,0)-1,MATCH(I710,Ottone!$F$1:$FF$1,0)-1))*IF(E710="Ottone",1,0),4)</f>
        <v>0</v>
      </c>
      <c r="R710" s="446">
        <f ca="1">ROUND(IF(ISERROR(OFFSET(Rame!$F$1,MATCH(H710,Rame!$F:$F,0)-1,MATCH(I710,Rame!$F$1:$FF$1,0)-1)=TRUE),0,OFFSET(Rame!$F$1,MATCH(H710,Rame!$F:$F,0)-1,MATCH(I710,Rame!$F$1:$FF$1,0)-1))*IF(E710="Rame",1,0),4)</f>
        <v>0</v>
      </c>
      <c r="S710" s="446">
        <f ca="1">ROUND(IF(ISERROR(OFFSET(Bronzo!$A$1,MATCH(H710,Bronzo!$A:$A,0)-1,MATCH(I710,Bronzo!$A$1:$AA$1,0)-1)=TRUE),0,OFFSET(Bronzo!$A$1,MATCH(H710,Bronzo!$A:$A,0)-1,MATCH(I710,Bronzo!$A$1:$AA$1,0)-1)),4)</f>
        <v>0</v>
      </c>
      <c r="T710" s="446">
        <f t="shared" ca="1" si="200"/>
        <v>0</v>
      </c>
      <c r="U710" s="443"/>
      <c r="V710" s="446">
        <v>0</v>
      </c>
      <c r="W710" s="449">
        <f t="shared" ca="1" si="201"/>
        <v>0</v>
      </c>
      <c r="X710" s="452">
        <f t="shared" si="199"/>
        <v>0</v>
      </c>
      <c r="Y710" s="440"/>
      <c r="Z710" s="440">
        <f t="shared" ca="1" si="202"/>
        <v>0</v>
      </c>
      <c r="AA710" s="241"/>
      <c r="AH710" s="242"/>
    </row>
    <row r="711" spans="2:34" ht="15.75" x14ac:dyDescent="0.25">
      <c r="B711" s="229"/>
      <c r="C711" s="235"/>
      <c r="D711" s="243"/>
      <c r="E711" s="232"/>
      <c r="F711" s="435"/>
      <c r="G711" s="234"/>
      <c r="H711" s="235"/>
      <c r="I711" s="235"/>
      <c r="J711" s="440"/>
      <c r="K711" s="443">
        <f ca="1">ROUND(IF(ISERROR(OFFSET(Tabella!$A$1,MATCH(H711,Tabella!$A:$A,0)-1,MATCH(J711,Tabella!$A$1:$AC$1,0)-1)=TRUE),0,+OFFSET(Tabella!$A$1,MATCH(H711,Tabella!$A:$A,0)-1,MATCH(J711,Tabella!$A$1:$AC$1,0)-1)),4)</f>
        <v>0</v>
      </c>
      <c r="L711" s="446">
        <f ca="1">ROUND(IF(ISERROR(OFFSET(Ottone!$A$1,MATCH(H711,Ottone!$A:$A,0)-1,MATCH(J711,Ottone!$A$1:$Z$1,0)-1)=TRUE),0,OFFSET(Ottone!$A$1,MATCH(H711,Ottone!$A:$A,0)-1,MATCH(J711,Ottone!$A$1:$Z$1,0)-1))*IF(E711="Ottone",1,0),4)</f>
        <v>0</v>
      </c>
      <c r="M711" s="446">
        <f ca="1">ROUND(IF(ISERROR(OFFSET(Rame!$A$1,MATCH(H711,Rame!$A:$A,0)-1,MATCH(J711,Rame!$A$1:$AA$1,0)-1)=TRUE),0,OFFSET(Rame!$A$1,MATCH(H711,Rame!$A:$A,0)-1,MATCH(J711,Rame!$A$1:$AA$1,0)-1))*IF(E711="Rame",1,0),4)</f>
        <v>0</v>
      </c>
      <c r="N711" s="446">
        <v>0</v>
      </c>
      <c r="O711" s="446">
        <f t="shared" ca="1" si="203"/>
        <v>0</v>
      </c>
      <c r="P711" s="446">
        <f ca="1">ROUND(+IF(ISERROR(OFFSET(Tabella!$G$1,MATCH(H711,Tabella!$G:$G,0)-1,MATCH(I711,Tabella!$G$1:$FG$1,0)-1)=TRUE),0,OFFSET(Tabella!$G$1,MATCH(H711,Tabella!$G:$G,0)-1,MATCH(I711,Tabella!$G$1:$AB$1,0)-1)),4)</f>
        <v>0</v>
      </c>
      <c r="Q711" s="446">
        <f ca="1">ROUND(IF(ISERROR(OFFSET(Ottone!$F$1,MATCH(H711,Ottone!$A:$A,0)-1,MATCH(I711,Ottone!$F$1:$FF$1,0)-1)=TRUE),0,OFFSET(Ottone!$F$1,MATCH(H711,Ottone!$A:$A,0)-1,MATCH(I711,Ottone!$F$1:$FF$1,0)-1))*IF(E711="Ottone",1,0),4)</f>
        <v>0</v>
      </c>
      <c r="R711" s="446">
        <f ca="1">ROUND(IF(ISERROR(OFFSET(Rame!$F$1,MATCH(H711,Rame!$F:$F,0)-1,MATCH(I711,Rame!$F$1:$FF$1,0)-1)=TRUE),0,OFFSET(Rame!$F$1,MATCH(H711,Rame!$F:$F,0)-1,MATCH(I711,Rame!$F$1:$FF$1,0)-1))*IF(E711="Rame",1,0),4)</f>
        <v>0</v>
      </c>
      <c r="S711" s="446">
        <f ca="1">ROUND(IF(ISERROR(OFFSET(Bronzo!$A$1,MATCH(H711,Bronzo!$A:$A,0)-1,MATCH(I711,Bronzo!$A$1:$AA$1,0)-1)=TRUE),0,OFFSET(Bronzo!$A$1,MATCH(H711,Bronzo!$A:$A,0)-1,MATCH(I711,Bronzo!$A$1:$AA$1,0)-1)),4)</f>
        <v>0</v>
      </c>
      <c r="T711" s="446">
        <f t="shared" ca="1" si="200"/>
        <v>0</v>
      </c>
      <c r="U711" s="443"/>
      <c r="V711" s="446">
        <v>0</v>
      </c>
      <c r="W711" s="449">
        <f t="shared" ca="1" si="201"/>
        <v>0</v>
      </c>
      <c r="X711" s="452">
        <f t="shared" si="199"/>
        <v>0</v>
      </c>
      <c r="Y711" s="440"/>
      <c r="Z711" s="440">
        <f t="shared" ca="1" si="202"/>
        <v>0</v>
      </c>
      <c r="AA711" s="241"/>
      <c r="AH711" s="242"/>
    </row>
    <row r="712" spans="2:34" ht="15.75" x14ac:dyDescent="0.25">
      <c r="B712" s="229"/>
      <c r="C712" s="235"/>
      <c r="D712" s="243"/>
      <c r="E712" s="232"/>
      <c r="F712" s="435"/>
      <c r="G712" s="234"/>
      <c r="H712" s="235"/>
      <c r="I712" s="235"/>
      <c r="J712" s="440"/>
      <c r="K712" s="443">
        <f ca="1">ROUND(IF(ISERROR(OFFSET(Tabella!$A$1,MATCH(H712,Tabella!$A:$A,0)-1,MATCH(J712,Tabella!$A$1:$AC$1,0)-1)=TRUE),0,+OFFSET(Tabella!$A$1,MATCH(H712,Tabella!$A:$A,0)-1,MATCH(J712,Tabella!$A$1:$AC$1,0)-1)),4)</f>
        <v>0</v>
      </c>
      <c r="L712" s="446">
        <f ca="1">ROUND(IF(ISERROR(OFFSET(Ottone!$A$1,MATCH(H712,Ottone!$A:$A,0)-1,MATCH(J712,Ottone!$A$1:$Z$1,0)-1)=TRUE),0,OFFSET(Ottone!$A$1,MATCH(H712,Ottone!$A:$A,0)-1,MATCH(J712,Ottone!$A$1:$Z$1,0)-1))*IF(E712="Ottone",1,0),4)</f>
        <v>0</v>
      </c>
      <c r="M712" s="446">
        <f ca="1">ROUND(IF(ISERROR(OFFSET(Rame!$A$1,MATCH(H712,Rame!$A:$A,0)-1,MATCH(J712,Rame!$A$1:$AA$1,0)-1)=TRUE),0,OFFSET(Rame!$A$1,MATCH(H712,Rame!$A:$A,0)-1,MATCH(J712,Rame!$A$1:$AA$1,0)-1))*IF(E712="Rame",1,0),4)</f>
        <v>0</v>
      </c>
      <c r="N712" s="446">
        <v>0</v>
      </c>
      <c r="O712" s="446">
        <f t="shared" ca="1" si="203"/>
        <v>0</v>
      </c>
      <c r="P712" s="446">
        <f ca="1">ROUND(+IF(ISERROR(OFFSET(Tabella!$G$1,MATCH(H712,Tabella!$G:$G,0)-1,MATCH(I712,Tabella!$G$1:$FG$1,0)-1)=TRUE),0,OFFSET(Tabella!$G$1,MATCH(H712,Tabella!$G:$G,0)-1,MATCH(I712,Tabella!$G$1:$AB$1,0)-1)),4)</f>
        <v>0</v>
      </c>
      <c r="Q712" s="446">
        <f ca="1">ROUND(IF(ISERROR(OFFSET(Ottone!$F$1,MATCH(H712,Ottone!$A:$A,0)-1,MATCH(I712,Ottone!$F$1:$FF$1,0)-1)=TRUE),0,OFFSET(Ottone!$F$1,MATCH(H712,Ottone!$A:$A,0)-1,MATCH(I712,Ottone!$F$1:$FF$1,0)-1))*IF(E712="Ottone",1,0),4)</f>
        <v>0</v>
      </c>
      <c r="R712" s="446">
        <f ca="1">ROUND(IF(ISERROR(OFFSET(Rame!$F$1,MATCH(H712,Rame!$F:$F,0)-1,MATCH(I712,Rame!$F$1:$FF$1,0)-1)=TRUE),0,OFFSET(Rame!$F$1,MATCH(H712,Rame!$F:$F,0)-1,MATCH(I712,Rame!$F$1:$FF$1,0)-1))*IF(E712="Rame",1,0),4)</f>
        <v>0</v>
      </c>
      <c r="S712" s="446">
        <f ca="1">ROUND(IF(ISERROR(OFFSET(Bronzo!$A$1,MATCH(H712,Bronzo!$A:$A,0)-1,MATCH(I712,Bronzo!$A$1:$AA$1,0)-1)=TRUE),0,OFFSET(Bronzo!$A$1,MATCH(H712,Bronzo!$A:$A,0)-1,MATCH(I712,Bronzo!$A$1:$AA$1,0)-1)),4)</f>
        <v>0</v>
      </c>
      <c r="T712" s="446">
        <f t="shared" ca="1" si="200"/>
        <v>0</v>
      </c>
      <c r="U712" s="443"/>
      <c r="V712" s="446">
        <v>0</v>
      </c>
      <c r="W712" s="449">
        <f t="shared" ca="1" si="201"/>
        <v>0</v>
      </c>
      <c r="X712" s="452">
        <f t="shared" si="199"/>
        <v>0</v>
      </c>
      <c r="Y712" s="440"/>
      <c r="Z712" s="440">
        <f t="shared" ca="1" si="202"/>
        <v>0</v>
      </c>
      <c r="AA712" s="241"/>
      <c r="AH712" s="242"/>
    </row>
    <row r="713" spans="2:34" ht="15.75" x14ac:dyDescent="0.25">
      <c r="B713" s="229"/>
      <c r="C713" s="235"/>
      <c r="D713" s="243"/>
      <c r="E713" s="232"/>
      <c r="F713" s="435"/>
      <c r="G713" s="234"/>
      <c r="H713" s="235"/>
      <c r="I713" s="235"/>
      <c r="J713" s="440"/>
      <c r="K713" s="443">
        <f ca="1">ROUND(IF(ISERROR(OFFSET(Tabella!$A$1,MATCH(H713,Tabella!$A:$A,0)-1,MATCH(J713,Tabella!$A$1:$AC$1,0)-1)=TRUE),0,+OFFSET(Tabella!$A$1,MATCH(H713,Tabella!$A:$A,0)-1,MATCH(J713,Tabella!$A$1:$AC$1,0)-1)),4)</f>
        <v>0</v>
      </c>
      <c r="L713" s="446">
        <f ca="1">ROUND(IF(ISERROR(OFFSET(Ottone!$A$1,MATCH(H713,Ottone!$A:$A,0)-1,MATCH(J713,Ottone!$A$1:$Z$1,0)-1)=TRUE),0,OFFSET(Ottone!$A$1,MATCH(H713,Ottone!$A:$A,0)-1,MATCH(J713,Ottone!$A$1:$Z$1,0)-1))*IF(E713="Ottone",1,0),4)</f>
        <v>0</v>
      </c>
      <c r="M713" s="446">
        <f ca="1">ROUND(IF(ISERROR(OFFSET(Rame!$A$1,MATCH(H713,Rame!$A:$A,0)-1,MATCH(J713,Rame!$A$1:$AA$1,0)-1)=TRUE),0,OFFSET(Rame!$A$1,MATCH(H713,Rame!$A:$A,0)-1,MATCH(J713,Rame!$A$1:$AA$1,0)-1))*IF(E713="Rame",1,0),4)</f>
        <v>0</v>
      </c>
      <c r="N713" s="446">
        <v>0</v>
      </c>
      <c r="O713" s="446">
        <f t="shared" ca="1" si="203"/>
        <v>0</v>
      </c>
      <c r="P713" s="446">
        <f ca="1">ROUND(+IF(ISERROR(OFFSET(Tabella!$G$1,MATCH(H713,Tabella!$G:$G,0)-1,MATCH(I713,Tabella!$G$1:$FG$1,0)-1)=TRUE),0,OFFSET(Tabella!$G$1,MATCH(H713,Tabella!$G:$G,0)-1,MATCH(I713,Tabella!$G$1:$AB$1,0)-1)),4)</f>
        <v>0</v>
      </c>
      <c r="Q713" s="446">
        <f ca="1">ROUND(IF(ISERROR(OFFSET(Ottone!$F$1,MATCH(H713,Ottone!$A:$A,0)-1,MATCH(I713,Ottone!$F$1:$FF$1,0)-1)=TRUE),0,OFFSET(Ottone!$F$1,MATCH(H713,Ottone!$A:$A,0)-1,MATCH(I713,Ottone!$F$1:$FF$1,0)-1))*IF(E713="Ottone",1,0),4)</f>
        <v>0</v>
      </c>
      <c r="R713" s="446">
        <f ca="1">ROUND(IF(ISERROR(OFFSET(Rame!$F$1,MATCH(H713,Rame!$F:$F,0)-1,MATCH(I713,Rame!$F$1:$FF$1,0)-1)=TRUE),0,OFFSET(Rame!$F$1,MATCH(H713,Rame!$F:$F,0)-1,MATCH(I713,Rame!$F$1:$FF$1,0)-1))*IF(E713="Rame",1,0),4)</f>
        <v>0</v>
      </c>
      <c r="S713" s="446">
        <f ca="1">ROUND(IF(ISERROR(OFFSET(Bronzo!$A$1,MATCH(H713,Bronzo!$A:$A,0)-1,MATCH(I713,Bronzo!$A$1:$AA$1,0)-1)=TRUE),0,OFFSET(Bronzo!$A$1,MATCH(H713,Bronzo!$A:$A,0)-1,MATCH(I713,Bronzo!$A$1:$AA$1,0)-1)),4)</f>
        <v>0</v>
      </c>
      <c r="T713" s="446">
        <f t="shared" ca="1" si="200"/>
        <v>0</v>
      </c>
      <c r="U713" s="443"/>
      <c r="V713" s="446">
        <v>0</v>
      </c>
      <c r="W713" s="449">
        <f t="shared" ca="1" si="201"/>
        <v>0</v>
      </c>
      <c r="X713" s="452">
        <f t="shared" si="199"/>
        <v>0</v>
      </c>
      <c r="Y713" s="440"/>
      <c r="Z713" s="440">
        <f t="shared" ca="1" si="202"/>
        <v>0</v>
      </c>
      <c r="AA713" s="241"/>
      <c r="AH713" s="242"/>
    </row>
    <row r="714" spans="2:34" ht="15.75" x14ac:dyDescent="0.25">
      <c r="B714" s="229"/>
      <c r="C714" s="235"/>
      <c r="D714" s="243"/>
      <c r="E714" s="232"/>
      <c r="F714" s="435"/>
      <c r="G714" s="234"/>
      <c r="H714" s="235"/>
      <c r="I714" s="235"/>
      <c r="J714" s="440"/>
      <c r="K714" s="443">
        <f ca="1">ROUND(IF(ISERROR(OFFSET(Tabella!$A$1,MATCH(H714,Tabella!$A:$A,0)-1,MATCH(J714,Tabella!$A$1:$AC$1,0)-1)=TRUE),0,+OFFSET(Tabella!$A$1,MATCH(H714,Tabella!$A:$A,0)-1,MATCH(J714,Tabella!$A$1:$AC$1,0)-1)),4)</f>
        <v>0</v>
      </c>
      <c r="L714" s="446">
        <f ca="1">ROUND(IF(ISERROR(OFFSET(Ottone!$A$1,MATCH(H714,Ottone!$A:$A,0)-1,MATCH(J714,Ottone!$A$1:$Z$1,0)-1)=TRUE),0,OFFSET(Ottone!$A$1,MATCH(H714,Ottone!$A:$A,0)-1,MATCH(J714,Ottone!$A$1:$Z$1,0)-1))*IF(E714="Ottone",1,0),4)</f>
        <v>0</v>
      </c>
      <c r="M714" s="446">
        <f ca="1">ROUND(IF(ISERROR(OFFSET(Rame!$A$1,MATCH(H714,Rame!$A:$A,0)-1,MATCH(J714,Rame!$A$1:$AA$1,0)-1)=TRUE),0,OFFSET(Rame!$A$1,MATCH(H714,Rame!$A:$A,0)-1,MATCH(J714,Rame!$A$1:$AA$1,0)-1))*IF(E714="Rame",1,0),4)</f>
        <v>0</v>
      </c>
      <c r="N714" s="446">
        <v>0</v>
      </c>
      <c r="O714" s="446">
        <f t="shared" ca="1" si="203"/>
        <v>0</v>
      </c>
      <c r="P714" s="446">
        <f ca="1">ROUND(+IF(ISERROR(OFFSET(Tabella!$G$1,MATCH(H714,Tabella!$G:$G,0)-1,MATCH(I714,Tabella!$G$1:$FG$1,0)-1)=TRUE),0,OFFSET(Tabella!$G$1,MATCH(H714,Tabella!$G:$G,0)-1,MATCH(I714,Tabella!$G$1:$AB$1,0)-1)),4)</f>
        <v>0</v>
      </c>
      <c r="Q714" s="446">
        <f ca="1">ROUND(IF(ISERROR(OFFSET(Ottone!$F$1,MATCH(H714,Ottone!$A:$A,0)-1,MATCH(I714,Ottone!$F$1:$FF$1,0)-1)=TRUE),0,OFFSET(Ottone!$F$1,MATCH(H714,Ottone!$A:$A,0)-1,MATCH(I714,Ottone!$F$1:$FF$1,0)-1))*IF(E714="Ottone",1,0),4)</f>
        <v>0</v>
      </c>
      <c r="R714" s="446">
        <f ca="1">ROUND(IF(ISERROR(OFFSET(Rame!$F$1,MATCH(H714,Rame!$F:$F,0)-1,MATCH(I714,Rame!$F$1:$FF$1,0)-1)=TRUE),0,OFFSET(Rame!$F$1,MATCH(H714,Rame!$F:$F,0)-1,MATCH(I714,Rame!$F$1:$FF$1,0)-1))*IF(E714="Rame",1,0),4)</f>
        <v>0</v>
      </c>
      <c r="S714" s="446">
        <f ca="1">ROUND(IF(ISERROR(OFFSET(Bronzo!$A$1,MATCH(H714,Bronzo!$A:$A,0)-1,MATCH(I714,Bronzo!$A$1:$AA$1,0)-1)=TRUE),0,OFFSET(Bronzo!$A$1,MATCH(H714,Bronzo!$A:$A,0)-1,MATCH(I714,Bronzo!$A$1:$AA$1,0)-1)),4)</f>
        <v>0</v>
      </c>
      <c r="T714" s="446">
        <f t="shared" ca="1" si="200"/>
        <v>0</v>
      </c>
      <c r="U714" s="443"/>
      <c r="V714" s="446">
        <v>0</v>
      </c>
      <c r="W714" s="449">
        <f t="shared" ca="1" si="201"/>
        <v>0</v>
      </c>
      <c r="X714" s="452">
        <f t="shared" si="199"/>
        <v>0</v>
      </c>
      <c r="Y714" s="440"/>
      <c r="Z714" s="440">
        <f t="shared" ca="1" si="202"/>
        <v>0</v>
      </c>
      <c r="AA714" s="241"/>
      <c r="AH714" s="242"/>
    </row>
    <row r="715" spans="2:34" ht="15.75" x14ac:dyDescent="0.25">
      <c r="B715" s="229"/>
      <c r="C715" s="235"/>
      <c r="D715" s="243"/>
      <c r="E715" s="232"/>
      <c r="F715" s="435"/>
      <c r="G715" s="234"/>
      <c r="H715" s="235"/>
      <c r="I715" s="235"/>
      <c r="J715" s="440"/>
      <c r="K715" s="443">
        <f ca="1">ROUND(IF(ISERROR(OFFSET(Tabella!$A$1,MATCH(H715,Tabella!$A:$A,0)-1,MATCH(J715,Tabella!$A$1:$AC$1,0)-1)=TRUE),0,+OFFSET(Tabella!$A$1,MATCH(H715,Tabella!$A:$A,0)-1,MATCH(J715,Tabella!$A$1:$AC$1,0)-1)),4)</f>
        <v>0</v>
      </c>
      <c r="L715" s="446">
        <f ca="1">ROUND(IF(ISERROR(OFFSET(Ottone!$A$1,MATCH(H715,Ottone!$A:$A,0)-1,MATCH(J715,Ottone!$A$1:$Z$1,0)-1)=TRUE),0,OFFSET(Ottone!$A$1,MATCH(H715,Ottone!$A:$A,0)-1,MATCH(J715,Ottone!$A$1:$Z$1,0)-1))*IF(E715="Ottone",1,0),4)</f>
        <v>0</v>
      </c>
      <c r="M715" s="446">
        <f ca="1">ROUND(IF(ISERROR(OFFSET(Rame!$A$1,MATCH(H715,Rame!$A:$A,0)-1,MATCH(J715,Rame!$A$1:$AA$1,0)-1)=TRUE),0,OFFSET(Rame!$A$1,MATCH(H715,Rame!$A:$A,0)-1,MATCH(J715,Rame!$A$1:$AA$1,0)-1))*IF(E715="Rame",1,0),4)</f>
        <v>0</v>
      </c>
      <c r="N715" s="446">
        <v>0</v>
      </c>
      <c r="O715" s="446">
        <f t="shared" ca="1" si="203"/>
        <v>0</v>
      </c>
      <c r="P715" s="446">
        <f ca="1">ROUND(+IF(ISERROR(OFFSET(Tabella!$G$1,MATCH(H715,Tabella!$G:$G,0)-1,MATCH(I715,Tabella!$G$1:$FG$1,0)-1)=TRUE),0,OFFSET(Tabella!$G$1,MATCH(H715,Tabella!$G:$G,0)-1,MATCH(I715,Tabella!$G$1:$AB$1,0)-1)),4)</f>
        <v>0</v>
      </c>
      <c r="Q715" s="446">
        <f ca="1">ROUND(IF(ISERROR(OFFSET(Ottone!$F$1,MATCH(H715,Ottone!$A:$A,0)-1,MATCH(I715,Ottone!$F$1:$FF$1,0)-1)=TRUE),0,OFFSET(Ottone!$F$1,MATCH(H715,Ottone!$A:$A,0)-1,MATCH(I715,Ottone!$F$1:$FF$1,0)-1))*IF(E715="Ottone",1,0),4)</f>
        <v>0</v>
      </c>
      <c r="R715" s="446">
        <f ca="1">ROUND(IF(ISERROR(OFFSET(Rame!$F$1,MATCH(H715,Rame!$F:$F,0)-1,MATCH(I715,Rame!$F$1:$FF$1,0)-1)=TRUE),0,OFFSET(Rame!$F$1,MATCH(H715,Rame!$F:$F,0)-1,MATCH(I715,Rame!$F$1:$FF$1,0)-1))*IF(E715="Rame",1,0),4)</f>
        <v>0</v>
      </c>
      <c r="S715" s="446">
        <f ca="1">ROUND(IF(ISERROR(OFFSET(Bronzo!$A$1,MATCH(H715,Bronzo!$A:$A,0)-1,MATCH(I715,Bronzo!$A$1:$AA$1,0)-1)=TRUE),0,OFFSET(Bronzo!$A$1,MATCH(H715,Bronzo!$A:$A,0)-1,MATCH(I715,Bronzo!$A$1:$AA$1,0)-1)),4)</f>
        <v>0</v>
      </c>
      <c r="T715" s="446">
        <f t="shared" ca="1" si="200"/>
        <v>0</v>
      </c>
      <c r="U715" s="443"/>
      <c r="V715" s="446">
        <v>0</v>
      </c>
      <c r="W715" s="449">
        <f t="shared" ca="1" si="201"/>
        <v>0</v>
      </c>
      <c r="X715" s="452">
        <f t="shared" si="199"/>
        <v>0</v>
      </c>
      <c r="Y715" s="440"/>
      <c r="Z715" s="440">
        <f t="shared" ca="1" si="202"/>
        <v>0</v>
      </c>
      <c r="AA715" s="241"/>
      <c r="AH715" s="242"/>
    </row>
    <row r="716" spans="2:34" ht="15.75" x14ac:dyDescent="0.25">
      <c r="B716" s="229"/>
      <c r="C716" s="235"/>
      <c r="D716" s="243"/>
      <c r="E716" s="232"/>
      <c r="F716" s="435"/>
      <c r="G716" s="234"/>
      <c r="H716" s="235"/>
      <c r="I716" s="235"/>
      <c r="J716" s="440"/>
      <c r="K716" s="443">
        <f ca="1">ROUND(IF(ISERROR(OFFSET(Tabella!$A$1,MATCH(H716,Tabella!$A:$A,0)-1,MATCH(J716,Tabella!$A$1:$AC$1,0)-1)=TRUE),0,+OFFSET(Tabella!$A$1,MATCH(H716,Tabella!$A:$A,0)-1,MATCH(J716,Tabella!$A$1:$AC$1,0)-1)),4)</f>
        <v>0</v>
      </c>
      <c r="L716" s="446">
        <f ca="1">ROUND(IF(ISERROR(OFFSET(Ottone!$A$1,MATCH(H716,Ottone!$A:$A,0)-1,MATCH(J716,Ottone!$A$1:$Z$1,0)-1)=TRUE),0,OFFSET(Ottone!$A$1,MATCH(H716,Ottone!$A:$A,0)-1,MATCH(J716,Ottone!$A$1:$Z$1,0)-1))*IF(E716="Ottone",1,0),4)</f>
        <v>0</v>
      </c>
      <c r="M716" s="446">
        <f ca="1">ROUND(IF(ISERROR(OFFSET(Rame!$A$1,MATCH(H716,Rame!$A:$A,0)-1,MATCH(J716,Rame!$A$1:$AA$1,0)-1)=TRUE),0,OFFSET(Rame!$A$1,MATCH(H716,Rame!$A:$A,0)-1,MATCH(J716,Rame!$A$1:$AA$1,0)-1))*IF(E716="Rame",1,0),4)</f>
        <v>0</v>
      </c>
      <c r="N716" s="446">
        <v>0</v>
      </c>
      <c r="O716" s="446">
        <f t="shared" ca="1" si="203"/>
        <v>0</v>
      </c>
      <c r="P716" s="446">
        <f ca="1">ROUND(+IF(ISERROR(OFFSET(Tabella!$G$1,MATCH(H716,Tabella!$G:$G,0)-1,MATCH(I716,Tabella!$G$1:$FG$1,0)-1)=TRUE),0,OFFSET(Tabella!$G$1,MATCH(H716,Tabella!$G:$G,0)-1,MATCH(I716,Tabella!$G$1:$AB$1,0)-1)),4)</f>
        <v>0</v>
      </c>
      <c r="Q716" s="446">
        <f ca="1">ROUND(IF(ISERROR(OFFSET(Ottone!$F$1,MATCH(H716,Ottone!$A:$A,0)-1,MATCH(I716,Ottone!$F$1:$FF$1,0)-1)=TRUE),0,OFFSET(Ottone!$F$1,MATCH(H716,Ottone!$A:$A,0)-1,MATCH(I716,Ottone!$F$1:$FF$1,0)-1))*IF(E716="Ottone",1,0),4)</f>
        <v>0</v>
      </c>
      <c r="R716" s="446">
        <f ca="1">ROUND(IF(ISERROR(OFFSET(Rame!$F$1,MATCH(H716,Rame!$F:$F,0)-1,MATCH(I716,Rame!$F$1:$FF$1,0)-1)=TRUE),0,OFFSET(Rame!$F$1,MATCH(H716,Rame!$F:$F,0)-1,MATCH(I716,Rame!$F$1:$FF$1,0)-1))*IF(E716="Rame",1,0),4)</f>
        <v>0</v>
      </c>
      <c r="S716" s="446">
        <f ca="1">ROUND(IF(ISERROR(OFFSET(Bronzo!$A$1,MATCH(H716,Bronzo!$A:$A,0)-1,MATCH(I716,Bronzo!$A$1:$AA$1,0)-1)=TRUE),0,OFFSET(Bronzo!$A$1,MATCH(H716,Bronzo!$A:$A,0)-1,MATCH(I716,Bronzo!$A$1:$AA$1,0)-1)),4)</f>
        <v>0</v>
      </c>
      <c r="T716" s="446">
        <f t="shared" ca="1" si="200"/>
        <v>0</v>
      </c>
      <c r="U716" s="443"/>
      <c r="V716" s="446">
        <v>0</v>
      </c>
      <c r="W716" s="449">
        <f t="shared" ca="1" si="201"/>
        <v>0</v>
      </c>
      <c r="X716" s="452">
        <f t="shared" si="199"/>
        <v>0</v>
      </c>
      <c r="Y716" s="440"/>
      <c r="Z716" s="440">
        <f t="shared" ca="1" si="202"/>
        <v>0</v>
      </c>
      <c r="AA716" s="241"/>
      <c r="AH716" s="242"/>
    </row>
    <row r="717" spans="2:34" ht="15.75" x14ac:dyDescent="0.25">
      <c r="B717" s="229"/>
      <c r="C717" s="235"/>
      <c r="D717" s="243"/>
      <c r="E717" s="232"/>
      <c r="F717" s="435"/>
      <c r="G717" s="234"/>
      <c r="H717" s="235"/>
      <c r="I717" s="235"/>
      <c r="J717" s="440"/>
      <c r="K717" s="443">
        <f ca="1">ROUND(IF(ISERROR(OFFSET(Tabella!$A$1,MATCH(H717,Tabella!$A:$A,0)-1,MATCH(J717,Tabella!$A$1:$AC$1,0)-1)=TRUE),0,+OFFSET(Tabella!$A$1,MATCH(H717,Tabella!$A:$A,0)-1,MATCH(J717,Tabella!$A$1:$AC$1,0)-1)),4)</f>
        <v>0</v>
      </c>
      <c r="L717" s="446">
        <f ca="1">ROUND(IF(ISERROR(OFFSET(Ottone!$A$1,MATCH(H717,Ottone!$A:$A,0)-1,MATCH(J717,Ottone!$A$1:$Z$1,0)-1)=TRUE),0,OFFSET(Ottone!$A$1,MATCH(H717,Ottone!$A:$A,0)-1,MATCH(J717,Ottone!$A$1:$Z$1,0)-1))*IF(E717="Ottone",1,0),4)</f>
        <v>0</v>
      </c>
      <c r="M717" s="446">
        <f ca="1">ROUND(IF(ISERROR(OFFSET(Rame!$A$1,MATCH(H717,Rame!$A:$A,0)-1,MATCH(J717,Rame!$A$1:$AA$1,0)-1)=TRUE),0,OFFSET(Rame!$A$1,MATCH(H717,Rame!$A:$A,0)-1,MATCH(J717,Rame!$A$1:$AA$1,0)-1))*IF(E717="Rame",1,0),4)</f>
        <v>0</v>
      </c>
      <c r="N717" s="446">
        <v>0</v>
      </c>
      <c r="O717" s="446">
        <f t="shared" ca="1" si="203"/>
        <v>0</v>
      </c>
      <c r="P717" s="446">
        <f ca="1">ROUND(+IF(ISERROR(OFFSET(Tabella!$G$1,MATCH(H717,Tabella!$G:$G,0)-1,MATCH(I717,Tabella!$G$1:$FG$1,0)-1)=TRUE),0,OFFSET(Tabella!$G$1,MATCH(H717,Tabella!$G:$G,0)-1,MATCH(I717,Tabella!$G$1:$AB$1,0)-1)),4)</f>
        <v>0</v>
      </c>
      <c r="Q717" s="446">
        <f ca="1">ROUND(IF(ISERROR(OFFSET(Ottone!$F$1,MATCH(H717,Ottone!$A:$A,0)-1,MATCH(I717,Ottone!$F$1:$FF$1,0)-1)=TRUE),0,OFFSET(Ottone!$F$1,MATCH(H717,Ottone!$A:$A,0)-1,MATCH(I717,Ottone!$F$1:$FF$1,0)-1))*IF(E717="Ottone",1,0),4)</f>
        <v>0</v>
      </c>
      <c r="R717" s="446">
        <f ca="1">ROUND(IF(ISERROR(OFFSET(Rame!$F$1,MATCH(H717,Rame!$F:$F,0)-1,MATCH(I717,Rame!$F$1:$FF$1,0)-1)=TRUE),0,OFFSET(Rame!$F$1,MATCH(H717,Rame!$F:$F,0)-1,MATCH(I717,Rame!$F$1:$FF$1,0)-1))*IF(E717="Rame",1,0),4)</f>
        <v>0</v>
      </c>
      <c r="S717" s="446">
        <f ca="1">ROUND(IF(ISERROR(OFFSET(Bronzo!$A$1,MATCH(H717,Bronzo!$A:$A,0)-1,MATCH(I717,Bronzo!$A$1:$AA$1,0)-1)=TRUE),0,OFFSET(Bronzo!$A$1,MATCH(H717,Bronzo!$A:$A,0)-1,MATCH(I717,Bronzo!$A$1:$AA$1,0)-1)),4)</f>
        <v>0</v>
      </c>
      <c r="T717" s="446">
        <f t="shared" ca="1" si="200"/>
        <v>0</v>
      </c>
      <c r="U717" s="443"/>
      <c r="V717" s="446">
        <v>0</v>
      </c>
      <c r="W717" s="449">
        <f t="shared" ca="1" si="201"/>
        <v>0</v>
      </c>
      <c r="X717" s="452">
        <f t="shared" si="199"/>
        <v>0</v>
      </c>
      <c r="Y717" s="440"/>
      <c r="Z717" s="440">
        <f t="shared" ca="1" si="202"/>
        <v>0</v>
      </c>
      <c r="AA717" s="241"/>
      <c r="AH717" s="242"/>
    </row>
    <row r="718" spans="2:34" ht="15.75" x14ac:dyDescent="0.25">
      <c r="B718" s="229"/>
      <c r="C718" s="235"/>
      <c r="D718" s="243"/>
      <c r="E718" s="232"/>
      <c r="F718" s="435"/>
      <c r="G718" s="234"/>
      <c r="H718" s="235"/>
      <c r="I718" s="235"/>
      <c r="J718" s="440"/>
      <c r="K718" s="443">
        <f ca="1">ROUND(IF(ISERROR(OFFSET(Tabella!$A$1,MATCH(H718,Tabella!$A:$A,0)-1,MATCH(J718,Tabella!$A$1:$AC$1,0)-1)=TRUE),0,+OFFSET(Tabella!$A$1,MATCH(H718,Tabella!$A:$A,0)-1,MATCH(J718,Tabella!$A$1:$AC$1,0)-1)),4)</f>
        <v>0</v>
      </c>
      <c r="L718" s="446">
        <f ca="1">ROUND(IF(ISERROR(OFFSET(Ottone!$A$1,MATCH(H718,Ottone!$A:$A,0)-1,MATCH(J718,Ottone!$A$1:$Z$1,0)-1)=TRUE),0,OFFSET(Ottone!$A$1,MATCH(H718,Ottone!$A:$A,0)-1,MATCH(J718,Ottone!$A$1:$Z$1,0)-1))*IF(E718="Ottone",1,0),4)</f>
        <v>0</v>
      </c>
      <c r="M718" s="446">
        <f ca="1">ROUND(IF(ISERROR(OFFSET(Rame!$A$1,MATCH(H718,Rame!$A:$A,0)-1,MATCH(J718,Rame!$A$1:$AA$1,0)-1)=TRUE),0,OFFSET(Rame!$A$1,MATCH(H718,Rame!$A:$A,0)-1,MATCH(J718,Rame!$A$1:$AA$1,0)-1))*IF(E718="Rame",1,0),4)</f>
        <v>0</v>
      </c>
      <c r="N718" s="446">
        <v>0</v>
      </c>
      <c r="O718" s="446">
        <f t="shared" ca="1" si="203"/>
        <v>0</v>
      </c>
      <c r="P718" s="446">
        <f ca="1">ROUND(+IF(ISERROR(OFFSET(Tabella!$G$1,MATCH(H718,Tabella!$G:$G,0)-1,MATCH(I718,Tabella!$G$1:$FG$1,0)-1)=TRUE),0,OFFSET(Tabella!$G$1,MATCH(H718,Tabella!$G:$G,0)-1,MATCH(I718,Tabella!$G$1:$AB$1,0)-1)),4)</f>
        <v>0</v>
      </c>
      <c r="Q718" s="446">
        <f ca="1">ROUND(IF(ISERROR(OFFSET(Ottone!$F$1,MATCH(H718,Ottone!$A:$A,0)-1,MATCH(I718,Ottone!$F$1:$FF$1,0)-1)=TRUE),0,OFFSET(Ottone!$F$1,MATCH(H718,Ottone!$A:$A,0)-1,MATCH(I718,Ottone!$F$1:$FF$1,0)-1))*IF(E718="Ottone",1,0),4)</f>
        <v>0</v>
      </c>
      <c r="R718" s="446">
        <f ca="1">ROUND(IF(ISERROR(OFFSET(Rame!$F$1,MATCH(H718,Rame!$F:$F,0)-1,MATCH(I718,Rame!$F$1:$FF$1,0)-1)=TRUE),0,OFFSET(Rame!$F$1,MATCH(H718,Rame!$F:$F,0)-1,MATCH(I718,Rame!$F$1:$FF$1,0)-1))*IF(E718="Rame",1,0),4)</f>
        <v>0</v>
      </c>
      <c r="S718" s="446">
        <f ca="1">ROUND(IF(ISERROR(OFFSET(Bronzo!$A$1,MATCH(H718,Bronzo!$A:$A,0)-1,MATCH(I718,Bronzo!$A$1:$AA$1,0)-1)=TRUE),0,OFFSET(Bronzo!$A$1,MATCH(H718,Bronzo!$A:$A,0)-1,MATCH(I718,Bronzo!$A$1:$AA$1,0)-1)),4)</f>
        <v>0</v>
      </c>
      <c r="T718" s="446">
        <f t="shared" ca="1" si="200"/>
        <v>0</v>
      </c>
      <c r="U718" s="443"/>
      <c r="V718" s="446">
        <v>0</v>
      </c>
      <c r="W718" s="449">
        <f t="shared" ca="1" si="201"/>
        <v>0</v>
      </c>
      <c r="X718" s="452">
        <f t="shared" si="199"/>
        <v>0</v>
      </c>
      <c r="Y718" s="440"/>
      <c r="Z718" s="440">
        <f t="shared" ca="1" si="202"/>
        <v>0</v>
      </c>
      <c r="AA718" s="241"/>
      <c r="AH718" s="242"/>
    </row>
    <row r="719" spans="2:34" ht="15.75" x14ac:dyDescent="0.25">
      <c r="B719" s="229"/>
      <c r="C719" s="235"/>
      <c r="D719" s="243"/>
      <c r="E719" s="232"/>
      <c r="F719" s="435"/>
      <c r="G719" s="234"/>
      <c r="H719" s="235"/>
      <c r="I719" s="235"/>
      <c r="J719" s="440"/>
      <c r="K719" s="443">
        <f ca="1">ROUND(IF(ISERROR(OFFSET(Tabella!$A$1,MATCH(H719,Tabella!$A:$A,0)-1,MATCH(J719,Tabella!$A$1:$AC$1,0)-1)=TRUE),0,+OFFSET(Tabella!$A$1,MATCH(H719,Tabella!$A:$A,0)-1,MATCH(J719,Tabella!$A$1:$AC$1,0)-1)),4)</f>
        <v>0</v>
      </c>
      <c r="L719" s="446">
        <f ca="1">ROUND(IF(ISERROR(OFFSET(Ottone!$A$1,MATCH(H719,Ottone!$A:$A,0)-1,MATCH(J719,Ottone!$A$1:$Z$1,0)-1)=TRUE),0,OFFSET(Ottone!$A$1,MATCH(H719,Ottone!$A:$A,0)-1,MATCH(J719,Ottone!$A$1:$Z$1,0)-1))*IF(E719="Ottone",1,0),4)</f>
        <v>0</v>
      </c>
      <c r="M719" s="446">
        <f ca="1">ROUND(IF(ISERROR(OFFSET(Rame!$A$1,MATCH(H719,Rame!$A:$A,0)-1,MATCH(J719,Rame!$A$1:$AA$1,0)-1)=TRUE),0,OFFSET(Rame!$A$1,MATCH(H719,Rame!$A:$A,0)-1,MATCH(J719,Rame!$A$1:$AA$1,0)-1))*IF(E719="Rame",1,0),4)</f>
        <v>0</v>
      </c>
      <c r="N719" s="446">
        <v>0</v>
      </c>
      <c r="O719" s="446">
        <f t="shared" ca="1" si="203"/>
        <v>0</v>
      </c>
      <c r="P719" s="446">
        <f ca="1">ROUND(+IF(ISERROR(OFFSET(Tabella!$G$1,MATCH(H719,Tabella!$G:$G,0)-1,MATCH(I719,Tabella!$G$1:$FG$1,0)-1)=TRUE),0,OFFSET(Tabella!$G$1,MATCH(H719,Tabella!$G:$G,0)-1,MATCH(I719,Tabella!$G$1:$AB$1,0)-1)),4)</f>
        <v>0</v>
      </c>
      <c r="Q719" s="446">
        <f ca="1">ROUND(IF(ISERROR(OFFSET(Ottone!$F$1,MATCH(H719,Ottone!$A:$A,0)-1,MATCH(I719,Ottone!$F$1:$FF$1,0)-1)=TRUE),0,OFFSET(Ottone!$F$1,MATCH(H719,Ottone!$A:$A,0)-1,MATCH(I719,Ottone!$F$1:$FF$1,0)-1))*IF(E719="Ottone",1,0),4)</f>
        <v>0</v>
      </c>
      <c r="R719" s="446">
        <f ca="1">ROUND(IF(ISERROR(OFFSET(Rame!$F$1,MATCH(H719,Rame!$F:$F,0)-1,MATCH(I719,Rame!$F$1:$FF$1,0)-1)=TRUE),0,OFFSET(Rame!$F$1,MATCH(H719,Rame!$F:$F,0)-1,MATCH(I719,Rame!$F$1:$FF$1,0)-1))*IF(E719="Rame",1,0),4)</f>
        <v>0</v>
      </c>
      <c r="S719" s="446">
        <f ca="1">ROUND(IF(ISERROR(OFFSET(Bronzo!$A$1,MATCH(H719,Bronzo!$A:$A,0)-1,MATCH(I719,Bronzo!$A$1:$AA$1,0)-1)=TRUE),0,OFFSET(Bronzo!$A$1,MATCH(H719,Bronzo!$A:$A,0)-1,MATCH(I719,Bronzo!$A$1:$AA$1,0)-1)),4)</f>
        <v>0</v>
      </c>
      <c r="T719" s="446">
        <f t="shared" ca="1" si="200"/>
        <v>0</v>
      </c>
      <c r="U719" s="443"/>
      <c r="V719" s="446">
        <v>0</v>
      </c>
      <c r="W719" s="449">
        <f t="shared" ca="1" si="201"/>
        <v>0</v>
      </c>
      <c r="X719" s="452">
        <f t="shared" si="199"/>
        <v>0</v>
      </c>
      <c r="Y719" s="440"/>
      <c r="Z719" s="440">
        <f t="shared" ca="1" si="202"/>
        <v>0</v>
      </c>
      <c r="AA719" s="241"/>
      <c r="AH719" s="242"/>
    </row>
    <row r="720" spans="2:34" ht="15.75" x14ac:dyDescent="0.25">
      <c r="B720" s="229"/>
      <c r="C720" s="235"/>
      <c r="D720" s="243"/>
      <c r="E720" s="232"/>
      <c r="F720" s="435"/>
      <c r="G720" s="234"/>
      <c r="H720" s="235"/>
      <c r="I720" s="235"/>
      <c r="J720" s="440"/>
      <c r="K720" s="443">
        <f ca="1">ROUND(IF(ISERROR(OFFSET(Tabella!$A$1,MATCH(H720,Tabella!$A:$A,0)-1,MATCH(J720,Tabella!$A$1:$AC$1,0)-1)=TRUE),0,+OFFSET(Tabella!$A$1,MATCH(H720,Tabella!$A:$A,0)-1,MATCH(J720,Tabella!$A$1:$AC$1,0)-1)),4)</f>
        <v>0</v>
      </c>
      <c r="L720" s="446">
        <f ca="1">ROUND(IF(ISERROR(OFFSET(Ottone!$A$1,MATCH(H720,Ottone!$A:$A,0)-1,MATCH(J720,Ottone!$A$1:$Z$1,0)-1)=TRUE),0,OFFSET(Ottone!$A$1,MATCH(H720,Ottone!$A:$A,0)-1,MATCH(J720,Ottone!$A$1:$Z$1,0)-1))*IF(E720="Ottone",1,0),4)</f>
        <v>0</v>
      </c>
      <c r="M720" s="446">
        <f ca="1">ROUND(IF(ISERROR(OFFSET(Rame!$A$1,MATCH(H720,Rame!$A:$A,0)-1,MATCH(J720,Rame!$A$1:$AA$1,0)-1)=TRUE),0,OFFSET(Rame!$A$1,MATCH(H720,Rame!$A:$A,0)-1,MATCH(J720,Rame!$A$1:$AA$1,0)-1))*IF(E720="Rame",1,0),4)</f>
        <v>0</v>
      </c>
      <c r="N720" s="446">
        <v>0</v>
      </c>
      <c r="O720" s="446">
        <f t="shared" ca="1" si="203"/>
        <v>0</v>
      </c>
      <c r="P720" s="446">
        <f ca="1">ROUND(+IF(ISERROR(OFFSET(Tabella!$G$1,MATCH(H720,Tabella!$G:$G,0)-1,MATCH(I720,Tabella!$G$1:$FG$1,0)-1)=TRUE),0,OFFSET(Tabella!$G$1,MATCH(H720,Tabella!$G:$G,0)-1,MATCH(I720,Tabella!$G$1:$AB$1,0)-1)),4)</f>
        <v>0</v>
      </c>
      <c r="Q720" s="446">
        <f ca="1">ROUND(IF(ISERROR(OFFSET(Ottone!$F$1,MATCH(H720,Ottone!$A:$A,0)-1,MATCH(I720,Ottone!$F$1:$FF$1,0)-1)=TRUE),0,OFFSET(Ottone!$F$1,MATCH(H720,Ottone!$A:$A,0)-1,MATCH(I720,Ottone!$F$1:$FF$1,0)-1))*IF(E720="Ottone",1,0),4)</f>
        <v>0</v>
      </c>
      <c r="R720" s="446">
        <f ca="1">ROUND(IF(ISERROR(OFFSET(Rame!$F$1,MATCH(H720,Rame!$F:$F,0)-1,MATCH(I720,Rame!$F$1:$FF$1,0)-1)=TRUE),0,OFFSET(Rame!$F$1,MATCH(H720,Rame!$F:$F,0)-1,MATCH(I720,Rame!$F$1:$FF$1,0)-1))*IF(E720="Rame",1,0),4)</f>
        <v>0</v>
      </c>
      <c r="S720" s="446">
        <f ca="1">ROUND(IF(ISERROR(OFFSET(Bronzo!$A$1,MATCH(H720,Bronzo!$A:$A,0)-1,MATCH(I720,Bronzo!$A$1:$AA$1,0)-1)=TRUE),0,OFFSET(Bronzo!$A$1,MATCH(H720,Bronzo!$A:$A,0)-1,MATCH(I720,Bronzo!$A$1:$AA$1,0)-1)),4)</f>
        <v>0</v>
      </c>
      <c r="T720" s="446">
        <f t="shared" ca="1" si="200"/>
        <v>0</v>
      </c>
      <c r="U720" s="443"/>
      <c r="V720" s="446">
        <v>0</v>
      </c>
      <c r="W720" s="449">
        <f t="shared" ca="1" si="201"/>
        <v>0</v>
      </c>
      <c r="X720" s="452">
        <f t="shared" si="199"/>
        <v>0</v>
      </c>
      <c r="Y720" s="440"/>
      <c r="Z720" s="440">
        <f t="shared" ca="1" si="202"/>
        <v>0</v>
      </c>
      <c r="AA720" s="241"/>
      <c r="AH720" s="242"/>
    </row>
    <row r="721" spans="2:34" ht="15.75" x14ac:dyDescent="0.25">
      <c r="B721" s="229"/>
      <c r="C721" s="235"/>
      <c r="D721" s="243"/>
      <c r="E721" s="232"/>
      <c r="F721" s="435"/>
      <c r="G721" s="234"/>
      <c r="H721" s="235"/>
      <c r="I721" s="235"/>
      <c r="J721" s="440"/>
      <c r="K721" s="443">
        <f ca="1">ROUND(IF(ISERROR(OFFSET(Tabella!$A$1,MATCH(H721,Tabella!$A:$A,0)-1,MATCH(J721,Tabella!$A$1:$AC$1,0)-1)=TRUE),0,+OFFSET(Tabella!$A$1,MATCH(H721,Tabella!$A:$A,0)-1,MATCH(J721,Tabella!$A$1:$AC$1,0)-1)),4)</f>
        <v>0</v>
      </c>
      <c r="L721" s="446">
        <f ca="1">ROUND(IF(ISERROR(OFFSET(Ottone!$A$1,MATCH(H721,Ottone!$A:$A,0)-1,MATCH(J721,Ottone!$A$1:$Z$1,0)-1)=TRUE),0,OFFSET(Ottone!$A$1,MATCH(H721,Ottone!$A:$A,0)-1,MATCH(J721,Ottone!$A$1:$Z$1,0)-1))*IF(E721="Ottone",1,0),4)</f>
        <v>0</v>
      </c>
      <c r="M721" s="446">
        <f ca="1">ROUND(IF(ISERROR(OFFSET(Rame!$A$1,MATCH(H721,Rame!$A:$A,0)-1,MATCH(J721,Rame!$A$1:$AA$1,0)-1)=TRUE),0,OFFSET(Rame!$A$1,MATCH(H721,Rame!$A:$A,0)-1,MATCH(J721,Rame!$A$1:$AA$1,0)-1))*IF(E721="Rame",1,0),4)</f>
        <v>0</v>
      </c>
      <c r="N721" s="446">
        <v>0</v>
      </c>
      <c r="O721" s="446">
        <f t="shared" ca="1" si="203"/>
        <v>0</v>
      </c>
      <c r="P721" s="446">
        <f ca="1">ROUND(+IF(ISERROR(OFFSET(Tabella!$G$1,MATCH(H721,Tabella!$G:$G,0)-1,MATCH(I721,Tabella!$G$1:$FG$1,0)-1)=TRUE),0,OFFSET(Tabella!$G$1,MATCH(H721,Tabella!$G:$G,0)-1,MATCH(I721,Tabella!$G$1:$AB$1,0)-1)),4)</f>
        <v>0</v>
      </c>
      <c r="Q721" s="446">
        <f ca="1">ROUND(IF(ISERROR(OFFSET(Ottone!$F$1,MATCH(H721,Ottone!$A:$A,0)-1,MATCH(I721,Ottone!$F$1:$FF$1,0)-1)=TRUE),0,OFFSET(Ottone!$F$1,MATCH(H721,Ottone!$A:$A,0)-1,MATCH(I721,Ottone!$F$1:$FF$1,0)-1))*IF(E721="Ottone",1,0),4)</f>
        <v>0</v>
      </c>
      <c r="R721" s="446">
        <f ca="1">ROUND(IF(ISERROR(OFFSET(Rame!$F$1,MATCH(H721,Rame!$F:$F,0)-1,MATCH(I721,Rame!$F$1:$FF$1,0)-1)=TRUE),0,OFFSET(Rame!$F$1,MATCH(H721,Rame!$F:$F,0)-1,MATCH(I721,Rame!$F$1:$FF$1,0)-1))*IF(E721="Rame",1,0),4)</f>
        <v>0</v>
      </c>
      <c r="S721" s="446">
        <f ca="1">ROUND(IF(ISERROR(OFFSET(Bronzo!$A$1,MATCH(H721,Bronzo!$A:$A,0)-1,MATCH(I721,Bronzo!$A$1:$AA$1,0)-1)=TRUE),0,OFFSET(Bronzo!$A$1,MATCH(H721,Bronzo!$A:$A,0)-1,MATCH(I721,Bronzo!$A$1:$AA$1,0)-1)),4)</f>
        <v>0</v>
      </c>
      <c r="T721" s="446">
        <f t="shared" ca="1" si="200"/>
        <v>0</v>
      </c>
      <c r="U721" s="443"/>
      <c r="V721" s="446">
        <v>0</v>
      </c>
      <c r="W721" s="449">
        <f t="shared" ca="1" si="201"/>
        <v>0</v>
      </c>
      <c r="X721" s="452">
        <f t="shared" ref="X721:X784" si="204">ROUND(+J721*D721,4)</f>
        <v>0</v>
      </c>
      <c r="Y721" s="440"/>
      <c r="Z721" s="440">
        <f t="shared" ca="1" si="202"/>
        <v>0</v>
      </c>
      <c r="AA721" s="241"/>
      <c r="AH721" s="242"/>
    </row>
    <row r="722" spans="2:34" ht="15.75" x14ac:dyDescent="0.25">
      <c r="B722" s="229"/>
      <c r="C722" s="235"/>
      <c r="D722" s="243"/>
      <c r="E722" s="232"/>
      <c r="F722" s="435"/>
      <c r="G722" s="234"/>
      <c r="H722" s="235"/>
      <c r="I722" s="235"/>
      <c r="J722" s="440"/>
      <c r="K722" s="443">
        <f ca="1">ROUND(IF(ISERROR(OFFSET(Tabella!$A$1,MATCH(H722,Tabella!$A:$A,0)-1,MATCH(J722,Tabella!$A$1:$AC$1,0)-1)=TRUE),0,+OFFSET(Tabella!$A$1,MATCH(H722,Tabella!$A:$A,0)-1,MATCH(J722,Tabella!$A$1:$AC$1,0)-1)),4)</f>
        <v>0</v>
      </c>
      <c r="L722" s="446">
        <f ca="1">ROUND(IF(ISERROR(OFFSET(Ottone!$A$1,MATCH(H722,Ottone!$A:$A,0)-1,MATCH(J722,Ottone!$A$1:$Z$1,0)-1)=TRUE),0,OFFSET(Ottone!$A$1,MATCH(H722,Ottone!$A:$A,0)-1,MATCH(J722,Ottone!$A$1:$Z$1,0)-1))*IF(E722="Ottone",1,0),4)</f>
        <v>0</v>
      </c>
      <c r="M722" s="446">
        <f ca="1">ROUND(IF(ISERROR(OFFSET(Rame!$A$1,MATCH(H722,Rame!$A:$A,0)-1,MATCH(J722,Rame!$A$1:$AA$1,0)-1)=TRUE),0,OFFSET(Rame!$A$1,MATCH(H722,Rame!$A:$A,0)-1,MATCH(J722,Rame!$A$1:$AA$1,0)-1))*IF(E722="Rame",1,0),4)</f>
        <v>0</v>
      </c>
      <c r="N722" s="446">
        <v>0</v>
      </c>
      <c r="O722" s="446">
        <f t="shared" ca="1" si="203"/>
        <v>0</v>
      </c>
      <c r="P722" s="446">
        <f ca="1">ROUND(+IF(ISERROR(OFFSET(Tabella!$G$1,MATCH(H722,Tabella!$G:$G,0)-1,MATCH(I722,Tabella!$G$1:$FG$1,0)-1)=TRUE),0,OFFSET(Tabella!$G$1,MATCH(H722,Tabella!$G:$G,0)-1,MATCH(I722,Tabella!$G$1:$AB$1,0)-1)),4)</f>
        <v>0</v>
      </c>
      <c r="Q722" s="446">
        <f ca="1">ROUND(IF(ISERROR(OFFSET(Ottone!$F$1,MATCH(H722,Ottone!$A:$A,0)-1,MATCH(I722,Ottone!$F$1:$FF$1,0)-1)=TRUE),0,OFFSET(Ottone!$F$1,MATCH(H722,Ottone!$A:$A,0)-1,MATCH(I722,Ottone!$F$1:$FF$1,0)-1))*IF(E722="Ottone",1,0),4)</f>
        <v>0</v>
      </c>
      <c r="R722" s="446">
        <f ca="1">ROUND(IF(ISERROR(OFFSET(Rame!$F$1,MATCH(H722,Rame!$F:$F,0)-1,MATCH(I722,Rame!$F$1:$FF$1,0)-1)=TRUE),0,OFFSET(Rame!$F$1,MATCH(H722,Rame!$F:$F,0)-1,MATCH(I722,Rame!$F$1:$FF$1,0)-1))*IF(E722="Rame",1,0),4)</f>
        <v>0</v>
      </c>
      <c r="S722" s="446">
        <f ca="1">ROUND(IF(ISERROR(OFFSET(Bronzo!$A$1,MATCH(H722,Bronzo!$A:$A,0)-1,MATCH(I722,Bronzo!$A$1:$AA$1,0)-1)=TRUE),0,OFFSET(Bronzo!$A$1,MATCH(H722,Bronzo!$A:$A,0)-1,MATCH(I722,Bronzo!$A$1:$AA$1,0)-1)),4)</f>
        <v>0</v>
      </c>
      <c r="T722" s="446">
        <f t="shared" ca="1" si="200"/>
        <v>0</v>
      </c>
      <c r="U722" s="443"/>
      <c r="V722" s="446">
        <v>0</v>
      </c>
      <c r="W722" s="449">
        <f t="shared" ca="1" si="201"/>
        <v>0</v>
      </c>
      <c r="X722" s="452">
        <f t="shared" si="204"/>
        <v>0</v>
      </c>
      <c r="Y722" s="440"/>
      <c r="Z722" s="440">
        <f t="shared" ca="1" si="202"/>
        <v>0</v>
      </c>
      <c r="AA722" s="241"/>
      <c r="AH722" s="242"/>
    </row>
    <row r="723" spans="2:34" ht="15.75" x14ac:dyDescent="0.25">
      <c r="B723" s="229"/>
      <c r="C723" s="235"/>
      <c r="D723" s="243"/>
      <c r="E723" s="232"/>
      <c r="F723" s="435"/>
      <c r="G723" s="234"/>
      <c r="H723" s="235"/>
      <c r="I723" s="235"/>
      <c r="J723" s="440"/>
      <c r="K723" s="443">
        <f ca="1">ROUND(IF(ISERROR(OFFSET(Tabella!$A$1,MATCH(H723,Tabella!$A:$A,0)-1,MATCH(J723,Tabella!$A$1:$AC$1,0)-1)=TRUE),0,+OFFSET(Tabella!$A$1,MATCH(H723,Tabella!$A:$A,0)-1,MATCH(J723,Tabella!$A$1:$AC$1,0)-1)),4)</f>
        <v>0</v>
      </c>
      <c r="L723" s="446">
        <f ca="1">ROUND(IF(ISERROR(OFFSET(Ottone!$A$1,MATCH(H723,Ottone!$A:$A,0)-1,MATCH(J723,Ottone!$A$1:$Z$1,0)-1)=TRUE),0,OFFSET(Ottone!$A$1,MATCH(H723,Ottone!$A:$A,0)-1,MATCH(J723,Ottone!$A$1:$Z$1,0)-1))*IF(E723="Ottone",1,0),4)</f>
        <v>0</v>
      </c>
      <c r="M723" s="446">
        <f ca="1">ROUND(IF(ISERROR(OFFSET(Rame!$A$1,MATCH(H723,Rame!$A:$A,0)-1,MATCH(J723,Rame!$A$1:$AA$1,0)-1)=TRUE),0,OFFSET(Rame!$A$1,MATCH(H723,Rame!$A:$A,0)-1,MATCH(J723,Rame!$A$1:$AA$1,0)-1))*IF(E723="Rame",1,0),4)</f>
        <v>0</v>
      </c>
      <c r="N723" s="446">
        <v>0</v>
      </c>
      <c r="O723" s="446">
        <f t="shared" ca="1" si="203"/>
        <v>0</v>
      </c>
      <c r="P723" s="446">
        <f ca="1">ROUND(+IF(ISERROR(OFFSET(Tabella!$G$1,MATCH(H723,Tabella!$G:$G,0)-1,MATCH(I723,Tabella!$G$1:$FG$1,0)-1)=TRUE),0,OFFSET(Tabella!$G$1,MATCH(H723,Tabella!$G:$G,0)-1,MATCH(I723,Tabella!$G$1:$AB$1,0)-1)),4)</f>
        <v>0</v>
      </c>
      <c r="Q723" s="446">
        <f ca="1">ROUND(IF(ISERROR(OFFSET(Ottone!$F$1,MATCH(H723,Ottone!$A:$A,0)-1,MATCH(I723,Ottone!$F$1:$FF$1,0)-1)=TRUE),0,OFFSET(Ottone!$F$1,MATCH(H723,Ottone!$A:$A,0)-1,MATCH(I723,Ottone!$F$1:$FF$1,0)-1))*IF(E723="Ottone",1,0),4)</f>
        <v>0</v>
      </c>
      <c r="R723" s="446">
        <f ca="1">ROUND(IF(ISERROR(OFFSET(Rame!$F$1,MATCH(H723,Rame!$F:$F,0)-1,MATCH(I723,Rame!$F$1:$FF$1,0)-1)=TRUE),0,OFFSET(Rame!$F$1,MATCH(H723,Rame!$F:$F,0)-1,MATCH(I723,Rame!$F$1:$FF$1,0)-1))*IF(E723="Rame",1,0),4)</f>
        <v>0</v>
      </c>
      <c r="S723" s="446">
        <f ca="1">ROUND(IF(ISERROR(OFFSET(Bronzo!$A$1,MATCH(H723,Bronzo!$A:$A,0)-1,MATCH(I723,Bronzo!$A$1:$AA$1,0)-1)=TRUE),0,OFFSET(Bronzo!$A$1,MATCH(H723,Bronzo!$A:$A,0)-1,MATCH(I723,Bronzo!$A$1:$AA$1,0)-1)),4)</f>
        <v>0</v>
      </c>
      <c r="T723" s="446">
        <f t="shared" ca="1" si="200"/>
        <v>0</v>
      </c>
      <c r="U723" s="443"/>
      <c r="V723" s="446">
        <v>0</v>
      </c>
      <c r="W723" s="449">
        <f t="shared" ca="1" si="201"/>
        <v>0</v>
      </c>
      <c r="X723" s="452">
        <f t="shared" si="204"/>
        <v>0</v>
      </c>
      <c r="Y723" s="440"/>
      <c r="Z723" s="440">
        <f t="shared" ca="1" si="202"/>
        <v>0</v>
      </c>
      <c r="AA723" s="241"/>
      <c r="AH723" s="242"/>
    </row>
    <row r="724" spans="2:34" ht="15.75" x14ac:dyDescent="0.25">
      <c r="B724" s="229"/>
      <c r="C724" s="235"/>
      <c r="D724" s="243"/>
      <c r="E724" s="232"/>
      <c r="F724" s="435"/>
      <c r="G724" s="234"/>
      <c r="H724" s="235"/>
      <c r="I724" s="235"/>
      <c r="J724" s="440"/>
      <c r="K724" s="443">
        <f ca="1">ROUND(IF(ISERROR(OFFSET(Tabella!$A$1,MATCH(H724,Tabella!$A:$A,0)-1,MATCH(J724,Tabella!$A$1:$AC$1,0)-1)=TRUE),0,+OFFSET(Tabella!$A$1,MATCH(H724,Tabella!$A:$A,0)-1,MATCH(J724,Tabella!$A$1:$AC$1,0)-1)),4)</f>
        <v>0</v>
      </c>
      <c r="L724" s="446">
        <f ca="1">ROUND(IF(ISERROR(OFFSET(Ottone!$A$1,MATCH(H724,Ottone!$A:$A,0)-1,MATCH(J724,Ottone!$A$1:$Z$1,0)-1)=TRUE),0,OFFSET(Ottone!$A$1,MATCH(H724,Ottone!$A:$A,0)-1,MATCH(J724,Ottone!$A$1:$Z$1,0)-1))*IF(E724="Ottone",1,0),4)</f>
        <v>0</v>
      </c>
      <c r="M724" s="446">
        <f ca="1">ROUND(IF(ISERROR(OFFSET(Rame!$A$1,MATCH(H724,Rame!$A:$A,0)-1,MATCH(J724,Rame!$A$1:$AA$1,0)-1)=TRUE),0,OFFSET(Rame!$A$1,MATCH(H724,Rame!$A:$A,0)-1,MATCH(J724,Rame!$A$1:$AA$1,0)-1))*IF(E724="Rame",1,0),4)</f>
        <v>0</v>
      </c>
      <c r="N724" s="446">
        <v>0</v>
      </c>
      <c r="O724" s="446">
        <f t="shared" ca="1" si="203"/>
        <v>0</v>
      </c>
      <c r="P724" s="446">
        <f ca="1">ROUND(+IF(ISERROR(OFFSET(Tabella!$G$1,MATCH(H724,Tabella!$G:$G,0)-1,MATCH(I724,Tabella!$G$1:$FG$1,0)-1)=TRUE),0,OFFSET(Tabella!$G$1,MATCH(H724,Tabella!$G:$G,0)-1,MATCH(I724,Tabella!$G$1:$AB$1,0)-1)),4)</f>
        <v>0</v>
      </c>
      <c r="Q724" s="446">
        <f ca="1">ROUND(IF(ISERROR(OFFSET(Ottone!$F$1,MATCH(H724,Ottone!$A:$A,0)-1,MATCH(I724,Ottone!$F$1:$FF$1,0)-1)=TRUE),0,OFFSET(Ottone!$F$1,MATCH(H724,Ottone!$A:$A,0)-1,MATCH(I724,Ottone!$F$1:$FF$1,0)-1))*IF(E724="Ottone",1,0),4)</f>
        <v>0</v>
      </c>
      <c r="R724" s="446">
        <f ca="1">ROUND(IF(ISERROR(OFFSET(Rame!$F$1,MATCH(H724,Rame!$F:$F,0)-1,MATCH(I724,Rame!$F$1:$FF$1,0)-1)=TRUE),0,OFFSET(Rame!$F$1,MATCH(H724,Rame!$F:$F,0)-1,MATCH(I724,Rame!$F$1:$FF$1,0)-1))*IF(E724="Rame",1,0),4)</f>
        <v>0</v>
      </c>
      <c r="S724" s="446">
        <f ca="1">ROUND(IF(ISERROR(OFFSET(Bronzo!$A$1,MATCH(H724,Bronzo!$A:$A,0)-1,MATCH(I724,Bronzo!$A$1:$AA$1,0)-1)=TRUE),0,OFFSET(Bronzo!$A$1,MATCH(H724,Bronzo!$A:$A,0)-1,MATCH(I724,Bronzo!$A$1:$AA$1,0)-1)),4)</f>
        <v>0</v>
      </c>
      <c r="T724" s="446">
        <f t="shared" ca="1" si="200"/>
        <v>0</v>
      </c>
      <c r="U724" s="443"/>
      <c r="V724" s="446">
        <v>0</v>
      </c>
      <c r="W724" s="449">
        <f t="shared" ca="1" si="201"/>
        <v>0</v>
      </c>
      <c r="X724" s="452">
        <f t="shared" si="204"/>
        <v>0</v>
      </c>
      <c r="Y724" s="440"/>
      <c r="Z724" s="440">
        <f t="shared" ca="1" si="202"/>
        <v>0</v>
      </c>
      <c r="AA724" s="241"/>
      <c r="AH724" s="242"/>
    </row>
    <row r="725" spans="2:34" ht="15.75" x14ac:dyDescent="0.25">
      <c r="B725" s="229"/>
      <c r="C725" s="235"/>
      <c r="D725" s="243"/>
      <c r="E725" s="232"/>
      <c r="F725" s="435"/>
      <c r="G725" s="234"/>
      <c r="H725" s="235"/>
      <c r="I725" s="235"/>
      <c r="J725" s="440"/>
      <c r="K725" s="443">
        <f ca="1">ROUND(IF(ISERROR(OFFSET(Tabella!$A$1,MATCH(H725,Tabella!$A:$A,0)-1,MATCH(J725,Tabella!$A$1:$AC$1,0)-1)=TRUE),0,+OFFSET(Tabella!$A$1,MATCH(H725,Tabella!$A:$A,0)-1,MATCH(J725,Tabella!$A$1:$AC$1,0)-1)),4)</f>
        <v>0</v>
      </c>
      <c r="L725" s="446">
        <f ca="1">ROUND(IF(ISERROR(OFFSET(Ottone!$A$1,MATCH(H725,Ottone!$A:$A,0)-1,MATCH(J725,Ottone!$A$1:$Z$1,0)-1)=TRUE),0,OFFSET(Ottone!$A$1,MATCH(H725,Ottone!$A:$A,0)-1,MATCH(J725,Ottone!$A$1:$Z$1,0)-1))*IF(E725="Ottone",1,0),4)</f>
        <v>0</v>
      </c>
      <c r="M725" s="446">
        <f ca="1">ROUND(IF(ISERROR(OFFSET(Rame!$A$1,MATCH(H725,Rame!$A:$A,0)-1,MATCH(J725,Rame!$A$1:$AA$1,0)-1)=TRUE),0,OFFSET(Rame!$A$1,MATCH(H725,Rame!$A:$A,0)-1,MATCH(J725,Rame!$A$1:$AA$1,0)-1))*IF(E725="Rame",1,0),4)</f>
        <v>0</v>
      </c>
      <c r="N725" s="446">
        <v>0</v>
      </c>
      <c r="O725" s="446">
        <f t="shared" ca="1" si="203"/>
        <v>0</v>
      </c>
      <c r="P725" s="446">
        <f ca="1">ROUND(+IF(ISERROR(OFFSET(Tabella!$G$1,MATCH(H725,Tabella!$G:$G,0)-1,MATCH(I725,Tabella!$G$1:$FG$1,0)-1)=TRUE),0,OFFSET(Tabella!$G$1,MATCH(H725,Tabella!$G:$G,0)-1,MATCH(I725,Tabella!$G$1:$AB$1,0)-1)),4)</f>
        <v>0</v>
      </c>
      <c r="Q725" s="446">
        <f ca="1">ROUND(IF(ISERROR(OFFSET(Ottone!$F$1,MATCH(H725,Ottone!$A:$A,0)-1,MATCH(I725,Ottone!$F$1:$FF$1,0)-1)=TRUE),0,OFFSET(Ottone!$F$1,MATCH(H725,Ottone!$A:$A,0)-1,MATCH(I725,Ottone!$F$1:$FF$1,0)-1))*IF(E725="Ottone",1,0),4)</f>
        <v>0</v>
      </c>
      <c r="R725" s="446">
        <f ca="1">ROUND(IF(ISERROR(OFFSET(Rame!$F$1,MATCH(H725,Rame!$F:$F,0)-1,MATCH(I725,Rame!$F$1:$FF$1,0)-1)=TRUE),0,OFFSET(Rame!$F$1,MATCH(H725,Rame!$F:$F,0)-1,MATCH(I725,Rame!$F$1:$FF$1,0)-1))*IF(E725="Rame",1,0),4)</f>
        <v>0</v>
      </c>
      <c r="S725" s="446">
        <f ca="1">ROUND(IF(ISERROR(OFFSET(Bronzo!$A$1,MATCH(H725,Bronzo!$A:$A,0)-1,MATCH(I725,Bronzo!$A$1:$AA$1,0)-1)=TRUE),0,OFFSET(Bronzo!$A$1,MATCH(H725,Bronzo!$A:$A,0)-1,MATCH(I725,Bronzo!$A$1:$AA$1,0)-1)),4)</f>
        <v>0</v>
      </c>
      <c r="T725" s="446">
        <f t="shared" ca="1" si="200"/>
        <v>0</v>
      </c>
      <c r="U725" s="443"/>
      <c r="V725" s="446">
        <v>0</v>
      </c>
      <c r="W725" s="449">
        <f t="shared" ca="1" si="201"/>
        <v>0</v>
      </c>
      <c r="X725" s="452">
        <f t="shared" si="204"/>
        <v>0</v>
      </c>
      <c r="Y725" s="440"/>
      <c r="Z725" s="440">
        <f t="shared" ca="1" si="202"/>
        <v>0</v>
      </c>
      <c r="AA725" s="241"/>
      <c r="AH725" s="242"/>
    </row>
    <row r="726" spans="2:34" ht="15.75" x14ac:dyDescent="0.25">
      <c r="B726" s="229"/>
      <c r="C726" s="235"/>
      <c r="D726" s="243"/>
      <c r="E726" s="232"/>
      <c r="F726" s="435"/>
      <c r="G726" s="234"/>
      <c r="H726" s="235"/>
      <c r="I726" s="235"/>
      <c r="J726" s="440"/>
      <c r="K726" s="443">
        <f ca="1">ROUND(IF(ISERROR(OFFSET(Tabella!$A$1,MATCH(H726,Tabella!$A:$A,0)-1,MATCH(J726,Tabella!$A$1:$AC$1,0)-1)=TRUE),0,+OFFSET(Tabella!$A$1,MATCH(H726,Tabella!$A:$A,0)-1,MATCH(J726,Tabella!$A$1:$AC$1,0)-1)),4)</f>
        <v>0</v>
      </c>
      <c r="L726" s="446">
        <f ca="1">ROUND(IF(ISERROR(OFFSET(Ottone!$A$1,MATCH(H726,Ottone!$A:$A,0)-1,MATCH(J726,Ottone!$A$1:$Z$1,0)-1)=TRUE),0,OFFSET(Ottone!$A$1,MATCH(H726,Ottone!$A:$A,0)-1,MATCH(J726,Ottone!$A$1:$Z$1,0)-1))*IF(E726="Ottone",1,0),4)</f>
        <v>0</v>
      </c>
      <c r="M726" s="446">
        <f ca="1">ROUND(IF(ISERROR(OFFSET(Rame!$A$1,MATCH(H726,Rame!$A:$A,0)-1,MATCH(J726,Rame!$A$1:$AA$1,0)-1)=TRUE),0,OFFSET(Rame!$A$1,MATCH(H726,Rame!$A:$A,0)-1,MATCH(J726,Rame!$A$1:$AA$1,0)-1))*IF(E726="Rame",1,0),4)</f>
        <v>0</v>
      </c>
      <c r="N726" s="446">
        <v>0</v>
      </c>
      <c r="O726" s="446">
        <f t="shared" ca="1" si="203"/>
        <v>0</v>
      </c>
      <c r="P726" s="446">
        <f ca="1">ROUND(+IF(ISERROR(OFFSET(Tabella!$G$1,MATCH(H726,Tabella!$G:$G,0)-1,MATCH(I726,Tabella!$G$1:$FG$1,0)-1)=TRUE),0,OFFSET(Tabella!$G$1,MATCH(H726,Tabella!$G:$G,0)-1,MATCH(I726,Tabella!$G$1:$AB$1,0)-1)),4)</f>
        <v>0</v>
      </c>
      <c r="Q726" s="446">
        <f ca="1">ROUND(IF(ISERROR(OFFSET(Ottone!$F$1,MATCH(H726,Ottone!$A:$A,0)-1,MATCH(I726,Ottone!$F$1:$FF$1,0)-1)=TRUE),0,OFFSET(Ottone!$F$1,MATCH(H726,Ottone!$A:$A,0)-1,MATCH(I726,Ottone!$F$1:$FF$1,0)-1))*IF(E726="Ottone",1,0),4)</f>
        <v>0</v>
      </c>
      <c r="R726" s="446">
        <f ca="1">ROUND(IF(ISERROR(OFFSET(Rame!$F$1,MATCH(H726,Rame!$F:$F,0)-1,MATCH(I726,Rame!$F$1:$FF$1,0)-1)=TRUE),0,OFFSET(Rame!$F$1,MATCH(H726,Rame!$F:$F,0)-1,MATCH(I726,Rame!$F$1:$FF$1,0)-1))*IF(E726="Rame",1,0),4)</f>
        <v>0</v>
      </c>
      <c r="S726" s="446">
        <f ca="1">ROUND(IF(ISERROR(OFFSET(Bronzo!$A$1,MATCH(H726,Bronzo!$A:$A,0)-1,MATCH(I726,Bronzo!$A$1:$AA$1,0)-1)=TRUE),0,OFFSET(Bronzo!$A$1,MATCH(H726,Bronzo!$A:$A,0)-1,MATCH(I726,Bronzo!$A$1:$AA$1,0)-1)),4)</f>
        <v>0</v>
      </c>
      <c r="T726" s="446">
        <f t="shared" ca="1" si="200"/>
        <v>0</v>
      </c>
      <c r="U726" s="443"/>
      <c r="V726" s="446">
        <v>0</v>
      </c>
      <c r="W726" s="449">
        <f t="shared" ca="1" si="201"/>
        <v>0</v>
      </c>
      <c r="X726" s="452">
        <f t="shared" si="204"/>
        <v>0</v>
      </c>
      <c r="Y726" s="440"/>
      <c r="Z726" s="440">
        <f t="shared" ca="1" si="202"/>
        <v>0</v>
      </c>
      <c r="AA726" s="241"/>
      <c r="AH726" s="242"/>
    </row>
    <row r="727" spans="2:34" ht="15.75" x14ac:dyDescent="0.25">
      <c r="B727" s="229"/>
      <c r="C727" s="235"/>
      <c r="D727" s="243"/>
      <c r="E727" s="232"/>
      <c r="F727" s="435"/>
      <c r="G727" s="234"/>
      <c r="H727" s="235"/>
      <c r="I727" s="235"/>
      <c r="J727" s="440"/>
      <c r="K727" s="443">
        <f ca="1">ROUND(IF(ISERROR(OFFSET(Tabella!$A$1,MATCH(H727,Tabella!$A:$A,0)-1,MATCH(J727,Tabella!$A$1:$AC$1,0)-1)=TRUE),0,+OFFSET(Tabella!$A$1,MATCH(H727,Tabella!$A:$A,0)-1,MATCH(J727,Tabella!$A$1:$AC$1,0)-1)),4)</f>
        <v>0</v>
      </c>
      <c r="L727" s="446">
        <f ca="1">ROUND(IF(ISERROR(OFFSET(Ottone!$A$1,MATCH(H727,Ottone!$A:$A,0)-1,MATCH(J727,Ottone!$A$1:$Z$1,0)-1)=TRUE),0,OFFSET(Ottone!$A$1,MATCH(H727,Ottone!$A:$A,0)-1,MATCH(J727,Ottone!$A$1:$Z$1,0)-1))*IF(E727="Ottone",1,0),4)</f>
        <v>0</v>
      </c>
      <c r="M727" s="446">
        <f ca="1">ROUND(IF(ISERROR(OFFSET(Rame!$A$1,MATCH(H727,Rame!$A:$A,0)-1,MATCH(J727,Rame!$A$1:$AA$1,0)-1)=TRUE),0,OFFSET(Rame!$A$1,MATCH(H727,Rame!$A:$A,0)-1,MATCH(J727,Rame!$A$1:$AA$1,0)-1))*IF(E727="Rame",1,0),4)</f>
        <v>0</v>
      </c>
      <c r="N727" s="446">
        <v>0</v>
      </c>
      <c r="O727" s="446">
        <f t="shared" ca="1" si="203"/>
        <v>0</v>
      </c>
      <c r="P727" s="446">
        <f ca="1">ROUND(+IF(ISERROR(OFFSET(Tabella!$G$1,MATCH(H727,Tabella!$G:$G,0)-1,MATCH(I727,Tabella!$G$1:$FG$1,0)-1)=TRUE),0,OFFSET(Tabella!$G$1,MATCH(H727,Tabella!$G:$G,0)-1,MATCH(I727,Tabella!$G$1:$AB$1,0)-1)),4)</f>
        <v>0</v>
      </c>
      <c r="Q727" s="446">
        <f ca="1">ROUND(IF(ISERROR(OFFSET(Ottone!$F$1,MATCH(H727,Ottone!$A:$A,0)-1,MATCH(I727,Ottone!$F$1:$FF$1,0)-1)=TRUE),0,OFFSET(Ottone!$F$1,MATCH(H727,Ottone!$A:$A,0)-1,MATCH(I727,Ottone!$F$1:$FF$1,0)-1))*IF(E727="Ottone",1,0),4)</f>
        <v>0</v>
      </c>
      <c r="R727" s="446">
        <f ca="1">ROUND(IF(ISERROR(OFFSET(Rame!$F$1,MATCH(H727,Rame!$F:$F,0)-1,MATCH(I727,Rame!$F$1:$FF$1,0)-1)=TRUE),0,OFFSET(Rame!$F$1,MATCH(H727,Rame!$F:$F,0)-1,MATCH(I727,Rame!$F$1:$FF$1,0)-1))*IF(E727="Rame",1,0),4)</f>
        <v>0</v>
      </c>
      <c r="S727" s="446">
        <f ca="1">ROUND(IF(ISERROR(OFFSET(Bronzo!$A$1,MATCH(H727,Bronzo!$A:$A,0)-1,MATCH(I727,Bronzo!$A$1:$AA$1,0)-1)=TRUE),0,OFFSET(Bronzo!$A$1,MATCH(H727,Bronzo!$A:$A,0)-1,MATCH(I727,Bronzo!$A$1:$AA$1,0)-1)),4)</f>
        <v>0</v>
      </c>
      <c r="T727" s="446">
        <f t="shared" ref="T727:T790" ca="1" si="205">ROUND(SUM(P727:S727),4)</f>
        <v>0</v>
      </c>
      <c r="U727" s="443"/>
      <c r="V727" s="446">
        <v>0</v>
      </c>
      <c r="W727" s="449">
        <f t="shared" ref="W727:W790" ca="1" si="206">ROUND(+O727+T727+U727+V727,4)</f>
        <v>0</v>
      </c>
      <c r="X727" s="452">
        <f t="shared" si="204"/>
        <v>0</v>
      </c>
      <c r="Y727" s="440"/>
      <c r="Z727" s="440">
        <f t="shared" ref="Z727:Z790" ca="1" si="207">ROUND(+Y727-W727-F727,4)</f>
        <v>0</v>
      </c>
      <c r="AA727" s="241"/>
      <c r="AH727" s="242"/>
    </row>
    <row r="728" spans="2:34" ht="15.75" x14ac:dyDescent="0.25">
      <c r="B728" s="229"/>
      <c r="C728" s="235"/>
      <c r="D728" s="243"/>
      <c r="E728" s="232"/>
      <c r="F728" s="435"/>
      <c r="G728" s="234"/>
      <c r="H728" s="235"/>
      <c r="I728" s="235"/>
      <c r="J728" s="440"/>
      <c r="K728" s="443">
        <f ca="1">ROUND(IF(ISERROR(OFFSET(Tabella!$A$1,MATCH(H728,Tabella!$A:$A,0)-1,MATCH(J728,Tabella!$A$1:$AC$1,0)-1)=TRUE),0,+OFFSET(Tabella!$A$1,MATCH(H728,Tabella!$A:$A,0)-1,MATCH(J728,Tabella!$A$1:$AC$1,0)-1)),4)</f>
        <v>0</v>
      </c>
      <c r="L728" s="446">
        <f ca="1">ROUND(IF(ISERROR(OFFSET(Ottone!$A$1,MATCH(H728,Ottone!$A:$A,0)-1,MATCH(J728,Ottone!$A$1:$Z$1,0)-1)=TRUE),0,OFFSET(Ottone!$A$1,MATCH(H728,Ottone!$A:$A,0)-1,MATCH(J728,Ottone!$A$1:$Z$1,0)-1))*IF(E728="Ottone",1,0),4)</f>
        <v>0</v>
      </c>
      <c r="M728" s="446">
        <f ca="1">ROUND(IF(ISERROR(OFFSET(Rame!$A$1,MATCH(H728,Rame!$A:$A,0)-1,MATCH(J728,Rame!$A$1:$AA$1,0)-1)=TRUE),0,OFFSET(Rame!$A$1,MATCH(H728,Rame!$A:$A,0)-1,MATCH(J728,Rame!$A$1:$AA$1,0)-1))*IF(E728="Rame",1,0),4)</f>
        <v>0</v>
      </c>
      <c r="N728" s="446">
        <v>0</v>
      </c>
      <c r="O728" s="446">
        <f t="shared" ca="1" si="203"/>
        <v>0</v>
      </c>
      <c r="P728" s="446">
        <f ca="1">ROUND(+IF(ISERROR(OFFSET(Tabella!$G$1,MATCH(H728,Tabella!$G:$G,0)-1,MATCH(I728,Tabella!$G$1:$FG$1,0)-1)=TRUE),0,OFFSET(Tabella!$G$1,MATCH(H728,Tabella!$G:$G,0)-1,MATCH(I728,Tabella!$G$1:$AB$1,0)-1)),4)</f>
        <v>0</v>
      </c>
      <c r="Q728" s="446">
        <f ca="1">ROUND(IF(ISERROR(OFFSET(Ottone!$F$1,MATCH(H728,Ottone!$A:$A,0)-1,MATCH(I728,Ottone!$F$1:$FF$1,0)-1)=TRUE),0,OFFSET(Ottone!$F$1,MATCH(H728,Ottone!$A:$A,0)-1,MATCH(I728,Ottone!$F$1:$FF$1,0)-1))*IF(E728="Ottone",1,0),4)</f>
        <v>0</v>
      </c>
      <c r="R728" s="446">
        <f ca="1">ROUND(IF(ISERROR(OFFSET(Rame!$F$1,MATCH(H728,Rame!$F:$F,0)-1,MATCH(I728,Rame!$F$1:$FF$1,0)-1)=TRUE),0,OFFSET(Rame!$F$1,MATCH(H728,Rame!$F:$F,0)-1,MATCH(I728,Rame!$F$1:$FF$1,0)-1))*IF(E728="Rame",1,0),4)</f>
        <v>0</v>
      </c>
      <c r="S728" s="446">
        <f ca="1">ROUND(IF(ISERROR(OFFSET(Bronzo!$A$1,MATCH(H728,Bronzo!$A:$A,0)-1,MATCH(I728,Bronzo!$A$1:$AA$1,0)-1)=TRUE),0,OFFSET(Bronzo!$A$1,MATCH(H728,Bronzo!$A:$A,0)-1,MATCH(I728,Bronzo!$A$1:$AA$1,0)-1)),4)</f>
        <v>0</v>
      </c>
      <c r="T728" s="446">
        <f t="shared" ca="1" si="205"/>
        <v>0</v>
      </c>
      <c r="U728" s="443"/>
      <c r="V728" s="446">
        <v>0</v>
      </c>
      <c r="W728" s="449">
        <f t="shared" ca="1" si="206"/>
        <v>0</v>
      </c>
      <c r="X728" s="452">
        <f t="shared" si="204"/>
        <v>0</v>
      </c>
      <c r="Y728" s="440"/>
      <c r="Z728" s="440">
        <f t="shared" ca="1" si="207"/>
        <v>0</v>
      </c>
      <c r="AA728" s="241"/>
      <c r="AH728" s="242"/>
    </row>
    <row r="729" spans="2:34" ht="15.75" x14ac:dyDescent="0.25">
      <c r="B729" s="229"/>
      <c r="C729" s="235"/>
      <c r="D729" s="243"/>
      <c r="E729" s="232"/>
      <c r="F729" s="435"/>
      <c r="G729" s="234"/>
      <c r="H729" s="235"/>
      <c r="I729" s="235"/>
      <c r="J729" s="440"/>
      <c r="K729" s="443">
        <f ca="1">ROUND(IF(ISERROR(OFFSET(Tabella!$A$1,MATCH(H729,Tabella!$A:$A,0)-1,MATCH(J729,Tabella!$A$1:$AC$1,0)-1)=TRUE),0,+OFFSET(Tabella!$A$1,MATCH(H729,Tabella!$A:$A,0)-1,MATCH(J729,Tabella!$A$1:$AC$1,0)-1)),4)</f>
        <v>0</v>
      </c>
      <c r="L729" s="446">
        <f ca="1">ROUND(IF(ISERROR(OFFSET(Ottone!$A$1,MATCH(H729,Ottone!$A:$A,0)-1,MATCH(J729,Ottone!$A$1:$Z$1,0)-1)=TRUE),0,OFFSET(Ottone!$A$1,MATCH(H729,Ottone!$A:$A,0)-1,MATCH(J729,Ottone!$A$1:$Z$1,0)-1))*IF(E729="Ottone",1,0),4)</f>
        <v>0</v>
      </c>
      <c r="M729" s="446">
        <f ca="1">ROUND(IF(ISERROR(OFFSET(Rame!$A$1,MATCH(H729,Rame!$A:$A,0)-1,MATCH(J729,Rame!$A$1:$AA$1,0)-1)=TRUE),0,OFFSET(Rame!$A$1,MATCH(H729,Rame!$A:$A,0)-1,MATCH(J729,Rame!$A$1:$AA$1,0)-1))*IF(E729="Rame",1,0),4)</f>
        <v>0</v>
      </c>
      <c r="N729" s="446">
        <v>0</v>
      </c>
      <c r="O729" s="446">
        <f t="shared" ca="1" si="203"/>
        <v>0</v>
      </c>
      <c r="P729" s="446">
        <f ca="1">ROUND(+IF(ISERROR(OFFSET(Tabella!$G$1,MATCH(H729,Tabella!$G:$G,0)-1,MATCH(I729,Tabella!$G$1:$FG$1,0)-1)=TRUE),0,OFFSET(Tabella!$G$1,MATCH(H729,Tabella!$G:$G,0)-1,MATCH(I729,Tabella!$G$1:$AB$1,0)-1)),4)</f>
        <v>0</v>
      </c>
      <c r="Q729" s="446">
        <f ca="1">ROUND(IF(ISERROR(OFFSET(Ottone!$F$1,MATCH(H729,Ottone!$A:$A,0)-1,MATCH(I729,Ottone!$F$1:$FF$1,0)-1)=TRUE),0,OFFSET(Ottone!$F$1,MATCH(H729,Ottone!$A:$A,0)-1,MATCH(I729,Ottone!$F$1:$FF$1,0)-1))*IF(E729="Ottone",1,0),4)</f>
        <v>0</v>
      </c>
      <c r="R729" s="446">
        <f ca="1">ROUND(IF(ISERROR(OFFSET(Rame!$F$1,MATCH(H729,Rame!$F:$F,0)-1,MATCH(I729,Rame!$F$1:$FF$1,0)-1)=TRUE),0,OFFSET(Rame!$F$1,MATCH(H729,Rame!$F:$F,0)-1,MATCH(I729,Rame!$F$1:$FF$1,0)-1))*IF(E729="Rame",1,0),4)</f>
        <v>0</v>
      </c>
      <c r="S729" s="446">
        <f ca="1">ROUND(IF(ISERROR(OFFSET(Bronzo!$A$1,MATCH(H729,Bronzo!$A:$A,0)-1,MATCH(I729,Bronzo!$A$1:$AA$1,0)-1)=TRUE),0,OFFSET(Bronzo!$A$1,MATCH(H729,Bronzo!$A:$A,0)-1,MATCH(I729,Bronzo!$A$1:$AA$1,0)-1)),4)</f>
        <v>0</v>
      </c>
      <c r="T729" s="446">
        <f t="shared" ca="1" si="205"/>
        <v>0</v>
      </c>
      <c r="U729" s="443"/>
      <c r="V729" s="446">
        <v>0</v>
      </c>
      <c r="W729" s="449">
        <f t="shared" ca="1" si="206"/>
        <v>0</v>
      </c>
      <c r="X729" s="452">
        <f t="shared" si="204"/>
        <v>0</v>
      </c>
      <c r="Y729" s="440"/>
      <c r="Z729" s="440">
        <f t="shared" ca="1" si="207"/>
        <v>0</v>
      </c>
      <c r="AA729" s="241"/>
      <c r="AH729" s="242"/>
    </row>
    <row r="730" spans="2:34" ht="15.75" x14ac:dyDescent="0.25">
      <c r="B730" s="229"/>
      <c r="C730" s="235"/>
      <c r="D730" s="243"/>
      <c r="E730" s="232"/>
      <c r="F730" s="435"/>
      <c r="G730" s="234"/>
      <c r="H730" s="235"/>
      <c r="I730" s="235"/>
      <c r="J730" s="440"/>
      <c r="K730" s="443">
        <f ca="1">ROUND(IF(ISERROR(OFFSET(Tabella!$A$1,MATCH(H730,Tabella!$A:$A,0)-1,MATCH(J730,Tabella!$A$1:$AC$1,0)-1)=TRUE),0,+OFFSET(Tabella!$A$1,MATCH(H730,Tabella!$A:$A,0)-1,MATCH(J730,Tabella!$A$1:$AC$1,0)-1)),4)</f>
        <v>0</v>
      </c>
      <c r="L730" s="446">
        <f ca="1">ROUND(IF(ISERROR(OFFSET(Ottone!$A$1,MATCH(H730,Ottone!$A:$A,0)-1,MATCH(J730,Ottone!$A$1:$Z$1,0)-1)=TRUE),0,OFFSET(Ottone!$A$1,MATCH(H730,Ottone!$A:$A,0)-1,MATCH(J730,Ottone!$A$1:$Z$1,0)-1))*IF(E730="Ottone",1,0),4)</f>
        <v>0</v>
      </c>
      <c r="M730" s="446">
        <f ca="1">ROUND(IF(ISERROR(OFFSET(Rame!$A$1,MATCH(H730,Rame!$A:$A,0)-1,MATCH(J730,Rame!$A$1:$AA$1,0)-1)=TRUE),0,OFFSET(Rame!$A$1,MATCH(H730,Rame!$A:$A,0)-1,MATCH(J730,Rame!$A$1:$AA$1,0)-1))*IF(E730="Rame",1,0),4)</f>
        <v>0</v>
      </c>
      <c r="N730" s="446">
        <v>0</v>
      </c>
      <c r="O730" s="446">
        <f t="shared" ca="1" si="203"/>
        <v>0</v>
      </c>
      <c r="P730" s="446">
        <f ca="1">ROUND(+IF(ISERROR(OFFSET(Tabella!$G$1,MATCH(H730,Tabella!$G:$G,0)-1,MATCH(I730,Tabella!$G$1:$FG$1,0)-1)=TRUE),0,OFFSET(Tabella!$G$1,MATCH(H730,Tabella!$G:$G,0)-1,MATCH(I730,Tabella!$G$1:$AB$1,0)-1)),4)</f>
        <v>0</v>
      </c>
      <c r="Q730" s="446">
        <f ca="1">ROUND(IF(ISERROR(OFFSET(Ottone!$F$1,MATCH(H730,Ottone!$A:$A,0)-1,MATCH(I730,Ottone!$F$1:$FF$1,0)-1)=TRUE),0,OFFSET(Ottone!$F$1,MATCH(H730,Ottone!$A:$A,0)-1,MATCH(I730,Ottone!$F$1:$FF$1,0)-1))*IF(E730="Ottone",1,0),4)</f>
        <v>0</v>
      </c>
      <c r="R730" s="446">
        <f ca="1">ROUND(IF(ISERROR(OFFSET(Rame!$F$1,MATCH(H730,Rame!$F:$F,0)-1,MATCH(I730,Rame!$F$1:$FF$1,0)-1)=TRUE),0,OFFSET(Rame!$F$1,MATCH(H730,Rame!$F:$F,0)-1,MATCH(I730,Rame!$F$1:$FF$1,0)-1))*IF(E730="Rame",1,0),4)</f>
        <v>0</v>
      </c>
      <c r="S730" s="446">
        <f ca="1">ROUND(IF(ISERROR(OFFSET(Bronzo!$A$1,MATCH(H730,Bronzo!$A:$A,0)-1,MATCH(I730,Bronzo!$A$1:$AA$1,0)-1)=TRUE),0,OFFSET(Bronzo!$A$1,MATCH(H730,Bronzo!$A:$A,0)-1,MATCH(I730,Bronzo!$A$1:$AA$1,0)-1)),4)</f>
        <v>0</v>
      </c>
      <c r="T730" s="446">
        <f t="shared" ca="1" si="205"/>
        <v>0</v>
      </c>
      <c r="U730" s="443"/>
      <c r="V730" s="446">
        <v>0</v>
      </c>
      <c r="W730" s="449">
        <f t="shared" ca="1" si="206"/>
        <v>0</v>
      </c>
      <c r="X730" s="452">
        <f t="shared" si="204"/>
        <v>0</v>
      </c>
      <c r="Y730" s="440"/>
      <c r="Z730" s="440">
        <f t="shared" ca="1" si="207"/>
        <v>0</v>
      </c>
      <c r="AA730" s="241"/>
      <c r="AH730" s="242"/>
    </row>
    <row r="731" spans="2:34" ht="15.75" x14ac:dyDescent="0.25">
      <c r="B731" s="229"/>
      <c r="C731" s="235"/>
      <c r="D731" s="243"/>
      <c r="E731" s="232"/>
      <c r="F731" s="435"/>
      <c r="G731" s="234"/>
      <c r="H731" s="235"/>
      <c r="I731" s="235"/>
      <c r="J731" s="440"/>
      <c r="K731" s="443">
        <f ca="1">ROUND(IF(ISERROR(OFFSET(Tabella!$A$1,MATCH(H731,Tabella!$A:$A,0)-1,MATCH(J731,Tabella!$A$1:$AC$1,0)-1)=TRUE),0,+OFFSET(Tabella!$A$1,MATCH(H731,Tabella!$A:$A,0)-1,MATCH(J731,Tabella!$A$1:$AC$1,0)-1)),4)</f>
        <v>0</v>
      </c>
      <c r="L731" s="446">
        <f ca="1">ROUND(IF(ISERROR(OFFSET(Ottone!$A$1,MATCH(H731,Ottone!$A:$A,0)-1,MATCH(J731,Ottone!$A$1:$Z$1,0)-1)=TRUE),0,OFFSET(Ottone!$A$1,MATCH(H731,Ottone!$A:$A,0)-1,MATCH(J731,Ottone!$A$1:$Z$1,0)-1))*IF(E731="Ottone",1,0),4)</f>
        <v>0</v>
      </c>
      <c r="M731" s="446">
        <f ca="1">ROUND(IF(ISERROR(OFFSET(Rame!$A$1,MATCH(H731,Rame!$A:$A,0)-1,MATCH(J731,Rame!$A$1:$AA$1,0)-1)=TRUE),0,OFFSET(Rame!$A$1,MATCH(H731,Rame!$A:$A,0)-1,MATCH(J731,Rame!$A$1:$AA$1,0)-1))*IF(E731="Rame",1,0),4)</f>
        <v>0</v>
      </c>
      <c r="N731" s="446">
        <v>0</v>
      </c>
      <c r="O731" s="446">
        <f t="shared" ca="1" si="203"/>
        <v>0</v>
      </c>
      <c r="P731" s="446">
        <f ca="1">ROUND(+IF(ISERROR(OFFSET(Tabella!$G$1,MATCH(H731,Tabella!$G:$G,0)-1,MATCH(I731,Tabella!$G$1:$FG$1,0)-1)=TRUE),0,OFFSET(Tabella!$G$1,MATCH(H731,Tabella!$G:$G,0)-1,MATCH(I731,Tabella!$G$1:$AB$1,0)-1)),4)</f>
        <v>0</v>
      </c>
      <c r="Q731" s="446">
        <f ca="1">ROUND(IF(ISERROR(OFFSET(Ottone!$F$1,MATCH(H731,Ottone!$A:$A,0)-1,MATCH(I731,Ottone!$F$1:$FF$1,0)-1)=TRUE),0,OFFSET(Ottone!$F$1,MATCH(H731,Ottone!$A:$A,0)-1,MATCH(I731,Ottone!$F$1:$FF$1,0)-1))*IF(E731="Ottone",1,0),4)</f>
        <v>0</v>
      </c>
      <c r="R731" s="446">
        <f ca="1">ROUND(IF(ISERROR(OFFSET(Rame!$F$1,MATCH(H731,Rame!$F:$F,0)-1,MATCH(I731,Rame!$F$1:$FF$1,0)-1)=TRUE),0,OFFSET(Rame!$F$1,MATCH(H731,Rame!$F:$F,0)-1,MATCH(I731,Rame!$F$1:$FF$1,0)-1))*IF(E731="Rame",1,0),4)</f>
        <v>0</v>
      </c>
      <c r="S731" s="446">
        <f ca="1">ROUND(IF(ISERROR(OFFSET(Bronzo!$A$1,MATCH(H731,Bronzo!$A:$A,0)-1,MATCH(I731,Bronzo!$A$1:$AA$1,0)-1)=TRUE),0,OFFSET(Bronzo!$A$1,MATCH(H731,Bronzo!$A:$A,0)-1,MATCH(I731,Bronzo!$A$1:$AA$1,0)-1)),4)</f>
        <v>0</v>
      </c>
      <c r="T731" s="446">
        <f t="shared" ca="1" si="205"/>
        <v>0</v>
      </c>
      <c r="U731" s="443"/>
      <c r="V731" s="446">
        <v>0</v>
      </c>
      <c r="W731" s="449">
        <f t="shared" ca="1" si="206"/>
        <v>0</v>
      </c>
      <c r="X731" s="452">
        <f t="shared" si="204"/>
        <v>0</v>
      </c>
      <c r="Y731" s="440"/>
      <c r="Z731" s="440">
        <f t="shared" ca="1" si="207"/>
        <v>0</v>
      </c>
      <c r="AA731" s="241"/>
      <c r="AH731" s="242"/>
    </row>
    <row r="732" spans="2:34" ht="15.75" x14ac:dyDescent="0.25">
      <c r="B732" s="229"/>
      <c r="C732" s="235"/>
      <c r="D732" s="243"/>
      <c r="E732" s="232"/>
      <c r="F732" s="435"/>
      <c r="G732" s="234"/>
      <c r="H732" s="235"/>
      <c r="I732" s="235"/>
      <c r="J732" s="440"/>
      <c r="K732" s="443">
        <f ca="1">ROUND(IF(ISERROR(OFFSET(Tabella!$A$1,MATCH(H732,Tabella!$A:$A,0)-1,MATCH(J732,Tabella!$A$1:$AC$1,0)-1)=TRUE),0,+OFFSET(Tabella!$A$1,MATCH(H732,Tabella!$A:$A,0)-1,MATCH(J732,Tabella!$A$1:$AC$1,0)-1)),4)</f>
        <v>0</v>
      </c>
      <c r="L732" s="446">
        <f ca="1">ROUND(IF(ISERROR(OFFSET(Ottone!$A$1,MATCH(H732,Ottone!$A:$A,0)-1,MATCH(J732,Ottone!$A$1:$Z$1,0)-1)=TRUE),0,OFFSET(Ottone!$A$1,MATCH(H732,Ottone!$A:$A,0)-1,MATCH(J732,Ottone!$A$1:$Z$1,0)-1))*IF(E732="Ottone",1,0),4)</f>
        <v>0</v>
      </c>
      <c r="M732" s="446">
        <f ca="1">ROUND(IF(ISERROR(OFFSET(Rame!$A$1,MATCH(H732,Rame!$A:$A,0)-1,MATCH(J732,Rame!$A$1:$AA$1,0)-1)=TRUE),0,OFFSET(Rame!$A$1,MATCH(H732,Rame!$A:$A,0)-1,MATCH(J732,Rame!$A$1:$AA$1,0)-1))*IF(E732="Rame",1,0),4)</f>
        <v>0</v>
      </c>
      <c r="N732" s="446">
        <v>0</v>
      </c>
      <c r="O732" s="446">
        <f t="shared" ca="1" si="203"/>
        <v>0</v>
      </c>
      <c r="P732" s="446">
        <f ca="1">ROUND(+IF(ISERROR(OFFSET(Tabella!$G$1,MATCH(H732,Tabella!$G:$G,0)-1,MATCH(I732,Tabella!$G$1:$FG$1,0)-1)=TRUE),0,OFFSET(Tabella!$G$1,MATCH(H732,Tabella!$G:$G,0)-1,MATCH(I732,Tabella!$G$1:$AB$1,0)-1)),4)</f>
        <v>0</v>
      </c>
      <c r="Q732" s="446">
        <f ca="1">ROUND(IF(ISERROR(OFFSET(Ottone!$F$1,MATCH(H732,Ottone!$A:$A,0)-1,MATCH(I732,Ottone!$F$1:$FF$1,0)-1)=TRUE),0,OFFSET(Ottone!$F$1,MATCH(H732,Ottone!$A:$A,0)-1,MATCH(I732,Ottone!$F$1:$FF$1,0)-1))*IF(E732="Ottone",1,0),4)</f>
        <v>0</v>
      </c>
      <c r="R732" s="446">
        <f ca="1">ROUND(IF(ISERROR(OFFSET(Rame!$F$1,MATCH(H732,Rame!$F:$F,0)-1,MATCH(I732,Rame!$F$1:$FF$1,0)-1)=TRUE),0,OFFSET(Rame!$F$1,MATCH(H732,Rame!$F:$F,0)-1,MATCH(I732,Rame!$F$1:$FF$1,0)-1))*IF(E732="Rame",1,0),4)</f>
        <v>0</v>
      </c>
      <c r="S732" s="446">
        <f ca="1">ROUND(IF(ISERROR(OFFSET(Bronzo!$A$1,MATCH(H732,Bronzo!$A:$A,0)-1,MATCH(I732,Bronzo!$A$1:$AA$1,0)-1)=TRUE),0,OFFSET(Bronzo!$A$1,MATCH(H732,Bronzo!$A:$A,0)-1,MATCH(I732,Bronzo!$A$1:$AA$1,0)-1)),4)</f>
        <v>0</v>
      </c>
      <c r="T732" s="446">
        <f t="shared" ca="1" si="205"/>
        <v>0</v>
      </c>
      <c r="U732" s="443"/>
      <c r="V732" s="446">
        <v>0</v>
      </c>
      <c r="W732" s="449">
        <f t="shared" ca="1" si="206"/>
        <v>0</v>
      </c>
      <c r="X732" s="452">
        <f t="shared" si="204"/>
        <v>0</v>
      </c>
      <c r="Y732" s="440"/>
      <c r="Z732" s="440">
        <f t="shared" ca="1" si="207"/>
        <v>0</v>
      </c>
      <c r="AA732" s="241"/>
      <c r="AH732" s="242"/>
    </row>
    <row r="733" spans="2:34" ht="15.75" x14ac:dyDescent="0.25">
      <c r="B733" s="229"/>
      <c r="C733" s="235"/>
      <c r="D733" s="243"/>
      <c r="E733" s="232"/>
      <c r="F733" s="435"/>
      <c r="G733" s="234"/>
      <c r="H733" s="235"/>
      <c r="I733" s="235"/>
      <c r="J733" s="440"/>
      <c r="K733" s="443">
        <f ca="1">ROUND(IF(ISERROR(OFFSET(Tabella!$A$1,MATCH(H733,Tabella!$A:$A,0)-1,MATCH(J733,Tabella!$A$1:$AC$1,0)-1)=TRUE),0,+OFFSET(Tabella!$A$1,MATCH(H733,Tabella!$A:$A,0)-1,MATCH(J733,Tabella!$A$1:$AC$1,0)-1)),4)</f>
        <v>0</v>
      </c>
      <c r="L733" s="446">
        <f ca="1">ROUND(IF(ISERROR(OFFSET(Ottone!$A$1,MATCH(H733,Ottone!$A:$A,0)-1,MATCH(J733,Ottone!$A$1:$Z$1,0)-1)=TRUE),0,OFFSET(Ottone!$A$1,MATCH(H733,Ottone!$A:$A,0)-1,MATCH(J733,Ottone!$A$1:$Z$1,0)-1))*IF(E733="Ottone",1,0),4)</f>
        <v>0</v>
      </c>
      <c r="M733" s="446">
        <f ca="1">ROUND(IF(ISERROR(OFFSET(Rame!$A$1,MATCH(H733,Rame!$A:$A,0)-1,MATCH(J733,Rame!$A$1:$AA$1,0)-1)=TRUE),0,OFFSET(Rame!$A$1,MATCH(H733,Rame!$A:$A,0)-1,MATCH(J733,Rame!$A$1:$AA$1,0)-1))*IF(E733="Rame",1,0),4)</f>
        <v>0</v>
      </c>
      <c r="N733" s="446">
        <v>0</v>
      </c>
      <c r="O733" s="446">
        <f t="shared" ca="1" si="203"/>
        <v>0</v>
      </c>
      <c r="P733" s="446">
        <f ca="1">ROUND(+IF(ISERROR(OFFSET(Tabella!$G$1,MATCH(H733,Tabella!$G:$G,0)-1,MATCH(I733,Tabella!$G$1:$FG$1,0)-1)=TRUE),0,OFFSET(Tabella!$G$1,MATCH(H733,Tabella!$G:$G,0)-1,MATCH(I733,Tabella!$G$1:$AB$1,0)-1)),4)</f>
        <v>0</v>
      </c>
      <c r="Q733" s="446">
        <f ca="1">ROUND(IF(ISERROR(OFFSET(Ottone!$F$1,MATCH(H733,Ottone!$A:$A,0)-1,MATCH(I733,Ottone!$F$1:$FF$1,0)-1)=TRUE),0,OFFSET(Ottone!$F$1,MATCH(H733,Ottone!$A:$A,0)-1,MATCH(I733,Ottone!$F$1:$FF$1,0)-1))*IF(E733="Ottone",1,0),4)</f>
        <v>0</v>
      </c>
      <c r="R733" s="446">
        <f ca="1">ROUND(IF(ISERROR(OFFSET(Rame!$F$1,MATCH(H733,Rame!$F:$F,0)-1,MATCH(I733,Rame!$F$1:$FF$1,0)-1)=TRUE),0,OFFSET(Rame!$F$1,MATCH(H733,Rame!$F:$F,0)-1,MATCH(I733,Rame!$F$1:$FF$1,0)-1))*IF(E733="Rame",1,0),4)</f>
        <v>0</v>
      </c>
      <c r="S733" s="446">
        <f ca="1">ROUND(IF(ISERROR(OFFSET(Bronzo!$A$1,MATCH(H733,Bronzo!$A:$A,0)-1,MATCH(I733,Bronzo!$A$1:$AA$1,0)-1)=TRUE),0,OFFSET(Bronzo!$A$1,MATCH(H733,Bronzo!$A:$A,0)-1,MATCH(I733,Bronzo!$A$1:$AA$1,0)-1)),4)</f>
        <v>0</v>
      </c>
      <c r="T733" s="446">
        <f t="shared" ca="1" si="205"/>
        <v>0</v>
      </c>
      <c r="U733" s="443"/>
      <c r="V733" s="446">
        <v>0</v>
      </c>
      <c r="W733" s="449">
        <f t="shared" ca="1" si="206"/>
        <v>0</v>
      </c>
      <c r="X733" s="452">
        <f t="shared" si="204"/>
        <v>0</v>
      </c>
      <c r="Y733" s="440"/>
      <c r="Z733" s="440">
        <f t="shared" ca="1" si="207"/>
        <v>0</v>
      </c>
      <c r="AA733" s="241"/>
      <c r="AH733" s="242"/>
    </row>
    <row r="734" spans="2:34" ht="15.75" x14ac:dyDescent="0.25">
      <c r="B734" s="229"/>
      <c r="C734" s="235"/>
      <c r="D734" s="243"/>
      <c r="E734" s="232"/>
      <c r="F734" s="435"/>
      <c r="G734" s="234"/>
      <c r="H734" s="235"/>
      <c r="I734" s="235"/>
      <c r="J734" s="440"/>
      <c r="K734" s="443">
        <f ca="1">ROUND(IF(ISERROR(OFFSET(Tabella!$A$1,MATCH(H734,Tabella!$A:$A,0)-1,MATCH(J734,Tabella!$A$1:$AC$1,0)-1)=TRUE),0,+OFFSET(Tabella!$A$1,MATCH(H734,Tabella!$A:$A,0)-1,MATCH(J734,Tabella!$A$1:$AC$1,0)-1)),4)</f>
        <v>0</v>
      </c>
      <c r="L734" s="446">
        <f ca="1">ROUND(IF(ISERROR(OFFSET(Ottone!$A$1,MATCH(H734,Ottone!$A:$A,0)-1,MATCH(J734,Ottone!$A$1:$Z$1,0)-1)=TRUE),0,OFFSET(Ottone!$A$1,MATCH(H734,Ottone!$A:$A,0)-1,MATCH(J734,Ottone!$A$1:$Z$1,0)-1))*IF(E734="Ottone",1,0),4)</f>
        <v>0</v>
      </c>
      <c r="M734" s="446">
        <f ca="1">ROUND(IF(ISERROR(OFFSET(Rame!$A$1,MATCH(H734,Rame!$A:$A,0)-1,MATCH(J734,Rame!$A$1:$AA$1,0)-1)=TRUE),0,OFFSET(Rame!$A$1,MATCH(H734,Rame!$A:$A,0)-1,MATCH(J734,Rame!$A$1:$AA$1,0)-1))*IF(E734="Rame",1,0),4)</f>
        <v>0</v>
      </c>
      <c r="N734" s="446">
        <v>0</v>
      </c>
      <c r="O734" s="446">
        <f t="shared" ca="1" si="203"/>
        <v>0</v>
      </c>
      <c r="P734" s="446">
        <f ca="1">ROUND(+IF(ISERROR(OFFSET(Tabella!$G$1,MATCH(H734,Tabella!$G:$G,0)-1,MATCH(I734,Tabella!$G$1:$FG$1,0)-1)=TRUE),0,OFFSET(Tabella!$G$1,MATCH(H734,Tabella!$G:$G,0)-1,MATCH(I734,Tabella!$G$1:$AB$1,0)-1)),4)</f>
        <v>0</v>
      </c>
      <c r="Q734" s="446">
        <f ca="1">ROUND(IF(ISERROR(OFFSET(Ottone!$F$1,MATCH(H734,Ottone!$A:$A,0)-1,MATCH(I734,Ottone!$F$1:$FF$1,0)-1)=TRUE),0,OFFSET(Ottone!$F$1,MATCH(H734,Ottone!$A:$A,0)-1,MATCH(I734,Ottone!$F$1:$FF$1,0)-1))*IF(E734="Ottone",1,0),4)</f>
        <v>0</v>
      </c>
      <c r="R734" s="446">
        <f ca="1">ROUND(IF(ISERROR(OFFSET(Rame!$F$1,MATCH(H734,Rame!$F:$F,0)-1,MATCH(I734,Rame!$F$1:$FF$1,0)-1)=TRUE),0,OFFSET(Rame!$F$1,MATCH(H734,Rame!$F:$F,0)-1,MATCH(I734,Rame!$F$1:$FF$1,0)-1))*IF(E734="Rame",1,0),4)</f>
        <v>0</v>
      </c>
      <c r="S734" s="446">
        <f ca="1">ROUND(IF(ISERROR(OFFSET(Bronzo!$A$1,MATCH(H734,Bronzo!$A:$A,0)-1,MATCH(I734,Bronzo!$A$1:$AA$1,0)-1)=TRUE),0,OFFSET(Bronzo!$A$1,MATCH(H734,Bronzo!$A:$A,0)-1,MATCH(I734,Bronzo!$A$1:$AA$1,0)-1)),4)</f>
        <v>0</v>
      </c>
      <c r="T734" s="446">
        <f t="shared" ca="1" si="205"/>
        <v>0</v>
      </c>
      <c r="U734" s="443"/>
      <c r="V734" s="446">
        <v>0</v>
      </c>
      <c r="W734" s="449">
        <f t="shared" ca="1" si="206"/>
        <v>0</v>
      </c>
      <c r="X734" s="452">
        <f t="shared" si="204"/>
        <v>0</v>
      </c>
      <c r="Y734" s="440"/>
      <c r="Z734" s="440">
        <f t="shared" ca="1" si="207"/>
        <v>0</v>
      </c>
      <c r="AA734" s="241"/>
      <c r="AH734" s="242"/>
    </row>
    <row r="735" spans="2:34" ht="15.75" x14ac:dyDescent="0.25">
      <c r="B735" s="229"/>
      <c r="C735" s="235"/>
      <c r="D735" s="243"/>
      <c r="E735" s="232"/>
      <c r="F735" s="435"/>
      <c r="G735" s="234"/>
      <c r="H735" s="235"/>
      <c r="I735" s="235"/>
      <c r="J735" s="440"/>
      <c r="K735" s="443">
        <f ca="1">ROUND(IF(ISERROR(OFFSET(Tabella!$A$1,MATCH(H735,Tabella!$A:$A,0)-1,MATCH(J735,Tabella!$A$1:$AC$1,0)-1)=TRUE),0,+OFFSET(Tabella!$A$1,MATCH(H735,Tabella!$A:$A,0)-1,MATCH(J735,Tabella!$A$1:$AC$1,0)-1)),4)</f>
        <v>0</v>
      </c>
      <c r="L735" s="446">
        <f ca="1">ROUND(IF(ISERROR(OFFSET(Ottone!$A$1,MATCH(H735,Ottone!$A:$A,0)-1,MATCH(J735,Ottone!$A$1:$Z$1,0)-1)=TRUE),0,OFFSET(Ottone!$A$1,MATCH(H735,Ottone!$A:$A,0)-1,MATCH(J735,Ottone!$A$1:$Z$1,0)-1))*IF(E735="Ottone",1,0),4)</f>
        <v>0</v>
      </c>
      <c r="M735" s="446">
        <f ca="1">ROUND(IF(ISERROR(OFFSET(Rame!$A$1,MATCH(H735,Rame!$A:$A,0)-1,MATCH(J735,Rame!$A$1:$AA$1,0)-1)=TRUE),0,OFFSET(Rame!$A$1,MATCH(H735,Rame!$A:$A,0)-1,MATCH(J735,Rame!$A$1:$AA$1,0)-1))*IF(E735="Rame",1,0),4)</f>
        <v>0</v>
      </c>
      <c r="N735" s="446">
        <v>0</v>
      </c>
      <c r="O735" s="446">
        <f t="shared" ca="1" si="203"/>
        <v>0</v>
      </c>
      <c r="P735" s="446">
        <f ca="1">ROUND(+IF(ISERROR(OFFSET(Tabella!$G$1,MATCH(H735,Tabella!$G:$G,0)-1,MATCH(I735,Tabella!$G$1:$FG$1,0)-1)=TRUE),0,OFFSET(Tabella!$G$1,MATCH(H735,Tabella!$G:$G,0)-1,MATCH(I735,Tabella!$G$1:$AB$1,0)-1)),4)</f>
        <v>0</v>
      </c>
      <c r="Q735" s="446">
        <f ca="1">ROUND(IF(ISERROR(OFFSET(Ottone!$F$1,MATCH(H735,Ottone!$A:$A,0)-1,MATCH(I735,Ottone!$F$1:$FF$1,0)-1)=TRUE),0,OFFSET(Ottone!$F$1,MATCH(H735,Ottone!$A:$A,0)-1,MATCH(I735,Ottone!$F$1:$FF$1,0)-1))*IF(E735="Ottone",1,0),4)</f>
        <v>0</v>
      </c>
      <c r="R735" s="446">
        <f ca="1">ROUND(IF(ISERROR(OFFSET(Rame!$F$1,MATCH(H735,Rame!$F:$F,0)-1,MATCH(I735,Rame!$F$1:$FF$1,0)-1)=TRUE),0,OFFSET(Rame!$F$1,MATCH(H735,Rame!$F:$F,0)-1,MATCH(I735,Rame!$F$1:$FF$1,0)-1))*IF(E735="Rame",1,0),4)</f>
        <v>0</v>
      </c>
      <c r="S735" s="446">
        <f ca="1">ROUND(IF(ISERROR(OFFSET(Bronzo!$A$1,MATCH(H735,Bronzo!$A:$A,0)-1,MATCH(I735,Bronzo!$A$1:$AA$1,0)-1)=TRUE),0,OFFSET(Bronzo!$A$1,MATCH(H735,Bronzo!$A:$A,0)-1,MATCH(I735,Bronzo!$A$1:$AA$1,0)-1)),4)</f>
        <v>0</v>
      </c>
      <c r="T735" s="446">
        <f t="shared" ca="1" si="205"/>
        <v>0</v>
      </c>
      <c r="U735" s="443"/>
      <c r="V735" s="446">
        <v>0</v>
      </c>
      <c r="W735" s="449">
        <f t="shared" ca="1" si="206"/>
        <v>0</v>
      </c>
      <c r="X735" s="452">
        <f t="shared" si="204"/>
        <v>0</v>
      </c>
      <c r="Y735" s="440"/>
      <c r="Z735" s="440">
        <f t="shared" ca="1" si="207"/>
        <v>0</v>
      </c>
      <c r="AA735" s="241"/>
      <c r="AH735" s="242"/>
    </row>
    <row r="736" spans="2:34" ht="15.75" x14ac:dyDescent="0.25">
      <c r="B736" s="229"/>
      <c r="C736" s="235"/>
      <c r="D736" s="243"/>
      <c r="E736" s="232"/>
      <c r="F736" s="435"/>
      <c r="G736" s="234"/>
      <c r="H736" s="235"/>
      <c r="I736" s="235"/>
      <c r="J736" s="440"/>
      <c r="K736" s="443">
        <f ca="1">ROUND(IF(ISERROR(OFFSET(Tabella!$A$1,MATCH(H736,Tabella!$A:$A,0)-1,MATCH(J736,Tabella!$A$1:$AC$1,0)-1)=TRUE),0,+OFFSET(Tabella!$A$1,MATCH(H736,Tabella!$A:$A,0)-1,MATCH(J736,Tabella!$A$1:$AC$1,0)-1)),4)</f>
        <v>0</v>
      </c>
      <c r="L736" s="446">
        <f ca="1">ROUND(IF(ISERROR(OFFSET(Ottone!$A$1,MATCH(H736,Ottone!$A:$A,0)-1,MATCH(J736,Ottone!$A$1:$Z$1,0)-1)=TRUE),0,OFFSET(Ottone!$A$1,MATCH(H736,Ottone!$A:$A,0)-1,MATCH(J736,Ottone!$A$1:$Z$1,0)-1))*IF(E736="Ottone",1,0),4)</f>
        <v>0</v>
      </c>
      <c r="M736" s="446">
        <f ca="1">ROUND(IF(ISERROR(OFFSET(Rame!$A$1,MATCH(H736,Rame!$A:$A,0)-1,MATCH(J736,Rame!$A$1:$AA$1,0)-1)=TRUE),0,OFFSET(Rame!$A$1,MATCH(H736,Rame!$A:$A,0)-1,MATCH(J736,Rame!$A$1:$AA$1,0)-1))*IF(E736="Rame",1,0),4)</f>
        <v>0</v>
      </c>
      <c r="N736" s="446">
        <v>0</v>
      </c>
      <c r="O736" s="446">
        <f t="shared" ca="1" si="203"/>
        <v>0</v>
      </c>
      <c r="P736" s="446">
        <f ca="1">ROUND(+IF(ISERROR(OFFSET(Tabella!$G$1,MATCH(H736,Tabella!$G:$G,0)-1,MATCH(I736,Tabella!$G$1:$FG$1,0)-1)=TRUE),0,OFFSET(Tabella!$G$1,MATCH(H736,Tabella!$G:$G,0)-1,MATCH(I736,Tabella!$G$1:$AB$1,0)-1)),4)</f>
        <v>0</v>
      </c>
      <c r="Q736" s="446">
        <f ca="1">ROUND(IF(ISERROR(OFFSET(Ottone!$F$1,MATCH(H736,Ottone!$A:$A,0)-1,MATCH(I736,Ottone!$F$1:$FF$1,0)-1)=TRUE),0,OFFSET(Ottone!$F$1,MATCH(H736,Ottone!$A:$A,0)-1,MATCH(I736,Ottone!$F$1:$FF$1,0)-1))*IF(E736="Ottone",1,0),4)</f>
        <v>0</v>
      </c>
      <c r="R736" s="446">
        <f ca="1">ROUND(IF(ISERROR(OFFSET(Rame!$F$1,MATCH(H736,Rame!$F:$F,0)-1,MATCH(I736,Rame!$F$1:$FF$1,0)-1)=TRUE),0,OFFSET(Rame!$F$1,MATCH(H736,Rame!$F:$F,0)-1,MATCH(I736,Rame!$F$1:$FF$1,0)-1))*IF(E736="Rame",1,0),4)</f>
        <v>0</v>
      </c>
      <c r="S736" s="446">
        <f ca="1">ROUND(IF(ISERROR(OFFSET(Bronzo!$A$1,MATCH(H736,Bronzo!$A:$A,0)-1,MATCH(I736,Bronzo!$A$1:$AA$1,0)-1)=TRUE),0,OFFSET(Bronzo!$A$1,MATCH(H736,Bronzo!$A:$A,0)-1,MATCH(I736,Bronzo!$A$1:$AA$1,0)-1)),4)</f>
        <v>0</v>
      </c>
      <c r="T736" s="446">
        <f t="shared" ca="1" si="205"/>
        <v>0</v>
      </c>
      <c r="U736" s="443"/>
      <c r="V736" s="446">
        <v>0</v>
      </c>
      <c r="W736" s="449">
        <f t="shared" ca="1" si="206"/>
        <v>0</v>
      </c>
      <c r="X736" s="452">
        <f t="shared" si="204"/>
        <v>0</v>
      </c>
      <c r="Y736" s="440"/>
      <c r="Z736" s="440">
        <f t="shared" ca="1" si="207"/>
        <v>0</v>
      </c>
      <c r="AA736" s="241"/>
      <c r="AH736" s="242"/>
    </row>
    <row r="737" spans="2:34" ht="15.75" x14ac:dyDescent="0.25">
      <c r="B737" s="229"/>
      <c r="C737" s="235"/>
      <c r="D737" s="243"/>
      <c r="E737" s="232"/>
      <c r="F737" s="435"/>
      <c r="G737" s="234"/>
      <c r="H737" s="235"/>
      <c r="I737" s="235"/>
      <c r="J737" s="440"/>
      <c r="K737" s="443">
        <f ca="1">ROUND(IF(ISERROR(OFFSET(Tabella!$A$1,MATCH(H737,Tabella!$A:$A,0)-1,MATCH(J737,Tabella!$A$1:$AC$1,0)-1)=TRUE),0,+OFFSET(Tabella!$A$1,MATCH(H737,Tabella!$A:$A,0)-1,MATCH(J737,Tabella!$A$1:$AC$1,0)-1)),4)</f>
        <v>0</v>
      </c>
      <c r="L737" s="446">
        <f ca="1">ROUND(IF(ISERROR(OFFSET(Ottone!$A$1,MATCH(H737,Ottone!$A:$A,0)-1,MATCH(J737,Ottone!$A$1:$Z$1,0)-1)=TRUE),0,OFFSET(Ottone!$A$1,MATCH(H737,Ottone!$A:$A,0)-1,MATCH(J737,Ottone!$A$1:$Z$1,0)-1))*IF(E737="Ottone",1,0),4)</f>
        <v>0</v>
      </c>
      <c r="M737" s="446">
        <f ca="1">ROUND(IF(ISERROR(OFFSET(Rame!$A$1,MATCH(H737,Rame!$A:$A,0)-1,MATCH(J737,Rame!$A$1:$AA$1,0)-1)=TRUE),0,OFFSET(Rame!$A$1,MATCH(H737,Rame!$A:$A,0)-1,MATCH(J737,Rame!$A$1:$AA$1,0)-1))*IF(E737="Rame",1,0),4)</f>
        <v>0</v>
      </c>
      <c r="N737" s="446">
        <v>0</v>
      </c>
      <c r="O737" s="446">
        <f t="shared" ca="1" si="203"/>
        <v>0</v>
      </c>
      <c r="P737" s="446">
        <f ca="1">ROUND(+IF(ISERROR(OFFSET(Tabella!$G$1,MATCH(H737,Tabella!$G:$G,0)-1,MATCH(I737,Tabella!$G$1:$FG$1,0)-1)=TRUE),0,OFFSET(Tabella!$G$1,MATCH(H737,Tabella!$G:$G,0)-1,MATCH(I737,Tabella!$G$1:$AB$1,0)-1)),4)</f>
        <v>0</v>
      </c>
      <c r="Q737" s="446">
        <f ca="1">ROUND(IF(ISERROR(OFFSET(Ottone!$F$1,MATCH(H737,Ottone!$A:$A,0)-1,MATCH(I737,Ottone!$F$1:$FF$1,0)-1)=TRUE),0,OFFSET(Ottone!$F$1,MATCH(H737,Ottone!$A:$A,0)-1,MATCH(I737,Ottone!$F$1:$FF$1,0)-1))*IF(E737="Ottone",1,0),4)</f>
        <v>0</v>
      </c>
      <c r="R737" s="446">
        <f ca="1">ROUND(IF(ISERROR(OFFSET(Rame!$F$1,MATCH(H737,Rame!$F:$F,0)-1,MATCH(I737,Rame!$F$1:$FF$1,0)-1)=TRUE),0,OFFSET(Rame!$F$1,MATCH(H737,Rame!$F:$F,0)-1,MATCH(I737,Rame!$F$1:$FF$1,0)-1))*IF(E737="Rame",1,0),4)</f>
        <v>0</v>
      </c>
      <c r="S737" s="446">
        <f ca="1">ROUND(IF(ISERROR(OFFSET(Bronzo!$A$1,MATCH(H737,Bronzo!$A:$A,0)-1,MATCH(I737,Bronzo!$A$1:$AA$1,0)-1)=TRUE),0,OFFSET(Bronzo!$A$1,MATCH(H737,Bronzo!$A:$A,0)-1,MATCH(I737,Bronzo!$A$1:$AA$1,0)-1)),4)</f>
        <v>0</v>
      </c>
      <c r="T737" s="446">
        <f t="shared" ca="1" si="205"/>
        <v>0</v>
      </c>
      <c r="U737" s="443"/>
      <c r="V737" s="446">
        <v>0</v>
      </c>
      <c r="W737" s="449">
        <f t="shared" ca="1" si="206"/>
        <v>0</v>
      </c>
      <c r="X737" s="452">
        <f t="shared" si="204"/>
        <v>0</v>
      </c>
      <c r="Y737" s="440"/>
      <c r="Z737" s="440">
        <f t="shared" ca="1" si="207"/>
        <v>0</v>
      </c>
      <c r="AA737" s="241"/>
      <c r="AH737" s="242"/>
    </row>
    <row r="738" spans="2:34" ht="15.75" x14ac:dyDescent="0.25">
      <c r="B738" s="229"/>
      <c r="C738" s="235"/>
      <c r="D738" s="243"/>
      <c r="E738" s="232"/>
      <c r="F738" s="435"/>
      <c r="G738" s="234"/>
      <c r="H738" s="235"/>
      <c r="I738" s="235"/>
      <c r="J738" s="440"/>
      <c r="K738" s="443">
        <f ca="1">ROUND(IF(ISERROR(OFFSET(Tabella!$A$1,MATCH(H738,Tabella!$A:$A,0)-1,MATCH(J738,Tabella!$A$1:$AC$1,0)-1)=TRUE),0,+OFFSET(Tabella!$A$1,MATCH(H738,Tabella!$A:$A,0)-1,MATCH(J738,Tabella!$A$1:$AC$1,0)-1)),4)</f>
        <v>0</v>
      </c>
      <c r="L738" s="446">
        <f ca="1">ROUND(IF(ISERROR(OFFSET(Ottone!$A$1,MATCH(H738,Ottone!$A:$A,0)-1,MATCH(J738,Ottone!$A$1:$Z$1,0)-1)=TRUE),0,OFFSET(Ottone!$A$1,MATCH(H738,Ottone!$A:$A,0)-1,MATCH(J738,Ottone!$A$1:$Z$1,0)-1))*IF(E738="Ottone",1,0),4)</f>
        <v>0</v>
      </c>
      <c r="M738" s="446">
        <f ca="1">ROUND(IF(ISERROR(OFFSET(Rame!$A$1,MATCH(H738,Rame!$A:$A,0)-1,MATCH(J738,Rame!$A$1:$AA$1,0)-1)=TRUE),0,OFFSET(Rame!$A$1,MATCH(H738,Rame!$A:$A,0)-1,MATCH(J738,Rame!$A$1:$AA$1,0)-1))*IF(E738="Rame",1,0),4)</f>
        <v>0</v>
      </c>
      <c r="N738" s="446">
        <v>0</v>
      </c>
      <c r="O738" s="446">
        <f t="shared" ca="1" si="203"/>
        <v>0</v>
      </c>
      <c r="P738" s="446">
        <f ca="1">ROUND(+IF(ISERROR(OFFSET(Tabella!$G$1,MATCH(H738,Tabella!$G:$G,0)-1,MATCH(I738,Tabella!$G$1:$FG$1,0)-1)=TRUE),0,OFFSET(Tabella!$G$1,MATCH(H738,Tabella!$G:$G,0)-1,MATCH(I738,Tabella!$G$1:$AB$1,0)-1)),4)</f>
        <v>0</v>
      </c>
      <c r="Q738" s="446">
        <f ca="1">ROUND(IF(ISERROR(OFFSET(Ottone!$F$1,MATCH(H738,Ottone!$A:$A,0)-1,MATCH(I738,Ottone!$F$1:$FF$1,0)-1)=TRUE),0,OFFSET(Ottone!$F$1,MATCH(H738,Ottone!$A:$A,0)-1,MATCH(I738,Ottone!$F$1:$FF$1,0)-1))*IF(E738="Ottone",1,0),4)</f>
        <v>0</v>
      </c>
      <c r="R738" s="446">
        <f ca="1">ROUND(IF(ISERROR(OFFSET(Rame!$F$1,MATCH(H738,Rame!$F:$F,0)-1,MATCH(I738,Rame!$F$1:$FF$1,0)-1)=TRUE),0,OFFSET(Rame!$F$1,MATCH(H738,Rame!$F:$F,0)-1,MATCH(I738,Rame!$F$1:$FF$1,0)-1))*IF(E738="Rame",1,0),4)</f>
        <v>0</v>
      </c>
      <c r="S738" s="446">
        <f ca="1">ROUND(IF(ISERROR(OFFSET(Bronzo!$A$1,MATCH(H738,Bronzo!$A:$A,0)-1,MATCH(I738,Bronzo!$A$1:$AA$1,0)-1)=TRUE),0,OFFSET(Bronzo!$A$1,MATCH(H738,Bronzo!$A:$A,0)-1,MATCH(I738,Bronzo!$A$1:$AA$1,0)-1)),4)</f>
        <v>0</v>
      </c>
      <c r="T738" s="446">
        <f t="shared" ca="1" si="205"/>
        <v>0</v>
      </c>
      <c r="U738" s="443"/>
      <c r="V738" s="446">
        <v>0</v>
      </c>
      <c r="W738" s="449">
        <f t="shared" ca="1" si="206"/>
        <v>0</v>
      </c>
      <c r="X738" s="452">
        <f t="shared" si="204"/>
        <v>0</v>
      </c>
      <c r="Y738" s="440"/>
      <c r="Z738" s="440">
        <f t="shared" ca="1" si="207"/>
        <v>0</v>
      </c>
      <c r="AA738" s="241"/>
      <c r="AH738" s="242"/>
    </row>
    <row r="739" spans="2:34" ht="15.75" x14ac:dyDescent="0.25">
      <c r="B739" s="229"/>
      <c r="C739" s="235"/>
      <c r="D739" s="243"/>
      <c r="E739" s="232"/>
      <c r="F739" s="435"/>
      <c r="G739" s="234"/>
      <c r="H739" s="235"/>
      <c r="I739" s="235"/>
      <c r="J739" s="440"/>
      <c r="K739" s="443">
        <f ca="1">ROUND(IF(ISERROR(OFFSET(Tabella!$A$1,MATCH(H739,Tabella!$A:$A,0)-1,MATCH(J739,Tabella!$A$1:$AC$1,0)-1)=TRUE),0,+OFFSET(Tabella!$A$1,MATCH(H739,Tabella!$A:$A,0)-1,MATCH(J739,Tabella!$A$1:$AC$1,0)-1)),4)</f>
        <v>0</v>
      </c>
      <c r="L739" s="446">
        <f ca="1">ROUND(IF(ISERROR(OFFSET(Ottone!$A$1,MATCH(H739,Ottone!$A:$A,0)-1,MATCH(J739,Ottone!$A$1:$Z$1,0)-1)=TRUE),0,OFFSET(Ottone!$A$1,MATCH(H739,Ottone!$A:$A,0)-1,MATCH(J739,Ottone!$A$1:$Z$1,0)-1))*IF(E739="Ottone",1,0),4)</f>
        <v>0</v>
      </c>
      <c r="M739" s="446">
        <f ca="1">ROUND(IF(ISERROR(OFFSET(Rame!$A$1,MATCH(H739,Rame!$A:$A,0)-1,MATCH(J739,Rame!$A$1:$AA$1,0)-1)=TRUE),0,OFFSET(Rame!$A$1,MATCH(H739,Rame!$A:$A,0)-1,MATCH(J739,Rame!$A$1:$AA$1,0)-1))*IF(E739="Rame",1,0),4)</f>
        <v>0</v>
      </c>
      <c r="N739" s="446">
        <v>0</v>
      </c>
      <c r="O739" s="446">
        <f t="shared" ca="1" si="203"/>
        <v>0</v>
      </c>
      <c r="P739" s="446">
        <f ca="1">ROUND(+IF(ISERROR(OFFSET(Tabella!$G$1,MATCH(H739,Tabella!$G:$G,0)-1,MATCH(I739,Tabella!$G$1:$FG$1,0)-1)=TRUE),0,OFFSET(Tabella!$G$1,MATCH(H739,Tabella!$G:$G,0)-1,MATCH(I739,Tabella!$G$1:$AB$1,0)-1)),4)</f>
        <v>0</v>
      </c>
      <c r="Q739" s="446">
        <f ca="1">ROUND(IF(ISERROR(OFFSET(Ottone!$F$1,MATCH(H739,Ottone!$A:$A,0)-1,MATCH(I739,Ottone!$F$1:$FF$1,0)-1)=TRUE),0,OFFSET(Ottone!$F$1,MATCH(H739,Ottone!$A:$A,0)-1,MATCH(I739,Ottone!$F$1:$FF$1,0)-1))*IF(E739="Ottone",1,0),4)</f>
        <v>0</v>
      </c>
      <c r="R739" s="446">
        <f ca="1">ROUND(IF(ISERROR(OFFSET(Rame!$F$1,MATCH(H739,Rame!$F:$F,0)-1,MATCH(I739,Rame!$F$1:$FF$1,0)-1)=TRUE),0,OFFSET(Rame!$F$1,MATCH(H739,Rame!$F:$F,0)-1,MATCH(I739,Rame!$F$1:$FF$1,0)-1))*IF(E739="Rame",1,0),4)</f>
        <v>0</v>
      </c>
      <c r="S739" s="446">
        <f ca="1">ROUND(IF(ISERROR(OFFSET(Bronzo!$A$1,MATCH(H739,Bronzo!$A:$A,0)-1,MATCH(I739,Bronzo!$A$1:$AA$1,0)-1)=TRUE),0,OFFSET(Bronzo!$A$1,MATCH(H739,Bronzo!$A:$A,0)-1,MATCH(I739,Bronzo!$A$1:$AA$1,0)-1)),4)</f>
        <v>0</v>
      </c>
      <c r="T739" s="446">
        <f t="shared" ca="1" si="205"/>
        <v>0</v>
      </c>
      <c r="U739" s="443"/>
      <c r="V739" s="446">
        <v>0</v>
      </c>
      <c r="W739" s="449">
        <f t="shared" ca="1" si="206"/>
        <v>0</v>
      </c>
      <c r="X739" s="452">
        <f t="shared" si="204"/>
        <v>0</v>
      </c>
      <c r="Y739" s="440"/>
      <c r="Z739" s="440">
        <f t="shared" ca="1" si="207"/>
        <v>0</v>
      </c>
      <c r="AA739" s="241"/>
      <c r="AH739" s="242"/>
    </row>
    <row r="740" spans="2:34" ht="15.75" x14ac:dyDescent="0.25">
      <c r="B740" s="229"/>
      <c r="C740" s="235"/>
      <c r="D740" s="243"/>
      <c r="E740" s="232"/>
      <c r="F740" s="435"/>
      <c r="G740" s="234"/>
      <c r="H740" s="235"/>
      <c r="I740" s="235"/>
      <c r="J740" s="440"/>
      <c r="K740" s="443">
        <f ca="1">ROUND(IF(ISERROR(OFFSET(Tabella!$A$1,MATCH(H740,Tabella!$A:$A,0)-1,MATCH(J740,Tabella!$A$1:$AC$1,0)-1)=TRUE),0,+OFFSET(Tabella!$A$1,MATCH(H740,Tabella!$A:$A,0)-1,MATCH(J740,Tabella!$A$1:$AC$1,0)-1)),4)</f>
        <v>0</v>
      </c>
      <c r="L740" s="446">
        <f ca="1">ROUND(IF(ISERROR(OFFSET(Ottone!$A$1,MATCH(H740,Ottone!$A:$A,0)-1,MATCH(J740,Ottone!$A$1:$Z$1,0)-1)=TRUE),0,OFFSET(Ottone!$A$1,MATCH(H740,Ottone!$A:$A,0)-1,MATCH(J740,Ottone!$A$1:$Z$1,0)-1))*IF(E740="Ottone",1,0),4)</f>
        <v>0</v>
      </c>
      <c r="M740" s="446">
        <f ca="1">ROUND(IF(ISERROR(OFFSET(Rame!$A$1,MATCH(H740,Rame!$A:$A,0)-1,MATCH(J740,Rame!$A$1:$AA$1,0)-1)=TRUE),0,OFFSET(Rame!$A$1,MATCH(H740,Rame!$A:$A,0)-1,MATCH(J740,Rame!$A$1:$AA$1,0)-1))*IF(E740="Rame",1,0),4)</f>
        <v>0</v>
      </c>
      <c r="N740" s="446">
        <v>0</v>
      </c>
      <c r="O740" s="446">
        <f t="shared" ca="1" si="203"/>
        <v>0</v>
      </c>
      <c r="P740" s="446">
        <f ca="1">ROUND(+IF(ISERROR(OFFSET(Tabella!$G$1,MATCH(H740,Tabella!$G:$G,0)-1,MATCH(I740,Tabella!$G$1:$FG$1,0)-1)=TRUE),0,OFFSET(Tabella!$G$1,MATCH(H740,Tabella!$G:$G,0)-1,MATCH(I740,Tabella!$G$1:$AB$1,0)-1)),4)</f>
        <v>0</v>
      </c>
      <c r="Q740" s="446">
        <f ca="1">ROUND(IF(ISERROR(OFFSET(Ottone!$F$1,MATCH(H740,Ottone!$A:$A,0)-1,MATCH(I740,Ottone!$F$1:$FF$1,0)-1)=TRUE),0,OFFSET(Ottone!$F$1,MATCH(H740,Ottone!$A:$A,0)-1,MATCH(I740,Ottone!$F$1:$FF$1,0)-1))*IF(E740="Ottone",1,0),4)</f>
        <v>0</v>
      </c>
      <c r="R740" s="446">
        <f ca="1">ROUND(IF(ISERROR(OFFSET(Rame!$F$1,MATCH(H740,Rame!$F:$F,0)-1,MATCH(I740,Rame!$F$1:$FF$1,0)-1)=TRUE),0,OFFSET(Rame!$F$1,MATCH(H740,Rame!$F:$F,0)-1,MATCH(I740,Rame!$F$1:$FF$1,0)-1))*IF(E740="Rame",1,0),4)</f>
        <v>0</v>
      </c>
      <c r="S740" s="446">
        <f ca="1">ROUND(IF(ISERROR(OFFSET(Bronzo!$A$1,MATCH(H740,Bronzo!$A:$A,0)-1,MATCH(I740,Bronzo!$A$1:$AA$1,0)-1)=TRUE),0,OFFSET(Bronzo!$A$1,MATCH(H740,Bronzo!$A:$A,0)-1,MATCH(I740,Bronzo!$A$1:$AA$1,0)-1)),4)</f>
        <v>0</v>
      </c>
      <c r="T740" s="446">
        <f t="shared" ca="1" si="205"/>
        <v>0</v>
      </c>
      <c r="U740" s="443"/>
      <c r="V740" s="446">
        <v>0</v>
      </c>
      <c r="W740" s="449">
        <f t="shared" ca="1" si="206"/>
        <v>0</v>
      </c>
      <c r="X740" s="452">
        <f t="shared" si="204"/>
        <v>0</v>
      </c>
      <c r="Y740" s="440"/>
      <c r="Z740" s="440">
        <f t="shared" ca="1" si="207"/>
        <v>0</v>
      </c>
      <c r="AA740" s="241"/>
      <c r="AH740" s="242"/>
    </row>
    <row r="741" spans="2:34" ht="15.75" x14ac:dyDescent="0.25">
      <c r="B741" s="229"/>
      <c r="C741" s="235"/>
      <c r="D741" s="243"/>
      <c r="E741" s="232"/>
      <c r="F741" s="435"/>
      <c r="G741" s="234"/>
      <c r="H741" s="235"/>
      <c r="I741" s="235"/>
      <c r="J741" s="440"/>
      <c r="K741" s="443">
        <f ca="1">ROUND(IF(ISERROR(OFFSET(Tabella!$A$1,MATCH(H741,Tabella!$A:$A,0)-1,MATCH(J741,Tabella!$A$1:$AC$1,0)-1)=TRUE),0,+OFFSET(Tabella!$A$1,MATCH(H741,Tabella!$A:$A,0)-1,MATCH(J741,Tabella!$A$1:$AC$1,0)-1)),4)</f>
        <v>0</v>
      </c>
      <c r="L741" s="446">
        <f ca="1">ROUND(IF(ISERROR(OFFSET(Ottone!$A$1,MATCH(H741,Ottone!$A:$A,0)-1,MATCH(J741,Ottone!$A$1:$Z$1,0)-1)=TRUE),0,OFFSET(Ottone!$A$1,MATCH(H741,Ottone!$A:$A,0)-1,MATCH(J741,Ottone!$A$1:$Z$1,0)-1))*IF(E741="Ottone",1,0),4)</f>
        <v>0</v>
      </c>
      <c r="M741" s="446">
        <f ca="1">ROUND(IF(ISERROR(OFFSET(Rame!$A$1,MATCH(H741,Rame!$A:$A,0)-1,MATCH(J741,Rame!$A$1:$AA$1,0)-1)=TRUE),0,OFFSET(Rame!$A$1,MATCH(H741,Rame!$A:$A,0)-1,MATCH(J741,Rame!$A$1:$AA$1,0)-1))*IF(E741="Rame",1,0),4)</f>
        <v>0</v>
      </c>
      <c r="N741" s="446">
        <v>0</v>
      </c>
      <c r="O741" s="446">
        <f t="shared" ca="1" si="203"/>
        <v>0</v>
      </c>
      <c r="P741" s="446">
        <f ca="1">ROUND(+IF(ISERROR(OFFSET(Tabella!$G$1,MATCH(H741,Tabella!$G:$G,0)-1,MATCH(I741,Tabella!$G$1:$FG$1,0)-1)=TRUE),0,OFFSET(Tabella!$G$1,MATCH(H741,Tabella!$G:$G,0)-1,MATCH(I741,Tabella!$G$1:$AB$1,0)-1)),4)</f>
        <v>0</v>
      </c>
      <c r="Q741" s="446">
        <f ca="1">ROUND(IF(ISERROR(OFFSET(Ottone!$F$1,MATCH(H741,Ottone!$A:$A,0)-1,MATCH(I741,Ottone!$F$1:$FF$1,0)-1)=TRUE),0,OFFSET(Ottone!$F$1,MATCH(H741,Ottone!$A:$A,0)-1,MATCH(I741,Ottone!$F$1:$FF$1,0)-1))*IF(E741="Ottone",1,0),4)</f>
        <v>0</v>
      </c>
      <c r="R741" s="446">
        <f ca="1">ROUND(IF(ISERROR(OFFSET(Rame!$F$1,MATCH(H741,Rame!$F:$F,0)-1,MATCH(I741,Rame!$F$1:$FF$1,0)-1)=TRUE),0,OFFSET(Rame!$F$1,MATCH(H741,Rame!$F:$F,0)-1,MATCH(I741,Rame!$F$1:$FF$1,0)-1))*IF(E741="Rame",1,0),4)</f>
        <v>0</v>
      </c>
      <c r="S741" s="446">
        <f ca="1">ROUND(IF(ISERROR(OFFSET(Bronzo!$A$1,MATCH(H741,Bronzo!$A:$A,0)-1,MATCH(I741,Bronzo!$A$1:$AA$1,0)-1)=TRUE),0,OFFSET(Bronzo!$A$1,MATCH(H741,Bronzo!$A:$A,0)-1,MATCH(I741,Bronzo!$A$1:$AA$1,0)-1)),4)</f>
        <v>0</v>
      </c>
      <c r="T741" s="446">
        <f t="shared" ca="1" si="205"/>
        <v>0</v>
      </c>
      <c r="U741" s="443"/>
      <c r="V741" s="446">
        <v>0</v>
      </c>
      <c r="W741" s="449">
        <f t="shared" ca="1" si="206"/>
        <v>0</v>
      </c>
      <c r="X741" s="452">
        <f t="shared" si="204"/>
        <v>0</v>
      </c>
      <c r="Y741" s="440"/>
      <c r="Z741" s="440">
        <f t="shared" ca="1" si="207"/>
        <v>0</v>
      </c>
      <c r="AA741" s="241"/>
      <c r="AH741" s="242"/>
    </row>
    <row r="742" spans="2:34" ht="15.75" x14ac:dyDescent="0.25">
      <c r="B742" s="229"/>
      <c r="C742" s="235"/>
      <c r="D742" s="243"/>
      <c r="E742" s="232"/>
      <c r="F742" s="435"/>
      <c r="G742" s="234"/>
      <c r="H742" s="235"/>
      <c r="I742" s="235"/>
      <c r="J742" s="440"/>
      <c r="K742" s="443">
        <f ca="1">ROUND(IF(ISERROR(OFFSET(Tabella!$A$1,MATCH(H742,Tabella!$A:$A,0)-1,MATCH(J742,Tabella!$A$1:$AC$1,0)-1)=TRUE),0,+OFFSET(Tabella!$A$1,MATCH(H742,Tabella!$A:$A,0)-1,MATCH(J742,Tabella!$A$1:$AC$1,0)-1)),4)</f>
        <v>0</v>
      </c>
      <c r="L742" s="446">
        <f ca="1">ROUND(IF(ISERROR(OFFSET(Ottone!$A$1,MATCH(H742,Ottone!$A:$A,0)-1,MATCH(J742,Ottone!$A$1:$Z$1,0)-1)=TRUE),0,OFFSET(Ottone!$A$1,MATCH(H742,Ottone!$A:$A,0)-1,MATCH(J742,Ottone!$A$1:$Z$1,0)-1))*IF(E742="Ottone",1,0),4)</f>
        <v>0</v>
      </c>
      <c r="M742" s="446">
        <f ca="1">ROUND(IF(ISERROR(OFFSET(Rame!$A$1,MATCH(H742,Rame!$A:$A,0)-1,MATCH(J742,Rame!$A$1:$AA$1,0)-1)=TRUE),0,OFFSET(Rame!$A$1,MATCH(H742,Rame!$A:$A,0)-1,MATCH(J742,Rame!$A$1:$AA$1,0)-1))*IF(E742="Rame",1,0),4)</f>
        <v>0</v>
      </c>
      <c r="N742" s="446">
        <v>0</v>
      </c>
      <c r="O742" s="446">
        <f t="shared" ca="1" si="203"/>
        <v>0</v>
      </c>
      <c r="P742" s="446">
        <f ca="1">ROUND(+IF(ISERROR(OFFSET(Tabella!$G$1,MATCH(H742,Tabella!$G:$G,0)-1,MATCH(I742,Tabella!$G$1:$FG$1,0)-1)=TRUE),0,OFFSET(Tabella!$G$1,MATCH(H742,Tabella!$G:$G,0)-1,MATCH(I742,Tabella!$G$1:$AB$1,0)-1)),4)</f>
        <v>0</v>
      </c>
      <c r="Q742" s="446">
        <f ca="1">ROUND(IF(ISERROR(OFFSET(Ottone!$F$1,MATCH(H742,Ottone!$A:$A,0)-1,MATCH(I742,Ottone!$F$1:$FF$1,0)-1)=TRUE),0,OFFSET(Ottone!$F$1,MATCH(H742,Ottone!$A:$A,0)-1,MATCH(I742,Ottone!$F$1:$FF$1,0)-1))*IF(E742="Ottone",1,0),4)</f>
        <v>0</v>
      </c>
      <c r="R742" s="446">
        <f ca="1">ROUND(IF(ISERROR(OFFSET(Rame!$F$1,MATCH(H742,Rame!$F:$F,0)-1,MATCH(I742,Rame!$F$1:$FF$1,0)-1)=TRUE),0,OFFSET(Rame!$F$1,MATCH(H742,Rame!$F:$F,0)-1,MATCH(I742,Rame!$F$1:$FF$1,0)-1))*IF(E742="Rame",1,0),4)</f>
        <v>0</v>
      </c>
      <c r="S742" s="446">
        <f ca="1">ROUND(IF(ISERROR(OFFSET(Bronzo!$A$1,MATCH(H742,Bronzo!$A:$A,0)-1,MATCH(I742,Bronzo!$A$1:$AA$1,0)-1)=TRUE),0,OFFSET(Bronzo!$A$1,MATCH(H742,Bronzo!$A:$A,0)-1,MATCH(I742,Bronzo!$A$1:$AA$1,0)-1)),4)</f>
        <v>0</v>
      </c>
      <c r="T742" s="446">
        <f t="shared" ca="1" si="205"/>
        <v>0</v>
      </c>
      <c r="U742" s="443"/>
      <c r="V742" s="446">
        <v>0</v>
      </c>
      <c r="W742" s="449">
        <f t="shared" ca="1" si="206"/>
        <v>0</v>
      </c>
      <c r="X742" s="452">
        <f t="shared" si="204"/>
        <v>0</v>
      </c>
      <c r="Y742" s="440"/>
      <c r="Z742" s="440">
        <f t="shared" ca="1" si="207"/>
        <v>0</v>
      </c>
      <c r="AA742" s="241"/>
      <c r="AH742" s="242"/>
    </row>
    <row r="743" spans="2:34" ht="15.75" x14ac:dyDescent="0.25">
      <c r="B743" s="229"/>
      <c r="C743" s="235"/>
      <c r="D743" s="243"/>
      <c r="E743" s="232"/>
      <c r="F743" s="435"/>
      <c r="G743" s="234"/>
      <c r="H743" s="235"/>
      <c r="I743" s="235"/>
      <c r="J743" s="440"/>
      <c r="K743" s="443">
        <f ca="1">ROUND(IF(ISERROR(OFFSET(Tabella!$A$1,MATCH(H743,Tabella!$A:$A,0)-1,MATCH(J743,Tabella!$A$1:$AC$1,0)-1)=TRUE),0,+OFFSET(Tabella!$A$1,MATCH(H743,Tabella!$A:$A,0)-1,MATCH(J743,Tabella!$A$1:$AC$1,0)-1)),4)</f>
        <v>0</v>
      </c>
      <c r="L743" s="446">
        <f ca="1">ROUND(IF(ISERROR(OFFSET(Ottone!$A$1,MATCH(H743,Ottone!$A:$A,0)-1,MATCH(J743,Ottone!$A$1:$Z$1,0)-1)=TRUE),0,OFFSET(Ottone!$A$1,MATCH(H743,Ottone!$A:$A,0)-1,MATCH(J743,Ottone!$A$1:$Z$1,0)-1))*IF(E743="Ottone",1,0),4)</f>
        <v>0</v>
      </c>
      <c r="M743" s="446">
        <f ca="1">ROUND(IF(ISERROR(OFFSET(Rame!$A$1,MATCH(H743,Rame!$A:$A,0)-1,MATCH(J743,Rame!$A$1:$AA$1,0)-1)=TRUE),0,OFFSET(Rame!$A$1,MATCH(H743,Rame!$A:$A,0)-1,MATCH(J743,Rame!$A$1:$AA$1,0)-1))*IF(E743="Rame",1,0),4)</f>
        <v>0</v>
      </c>
      <c r="N743" s="446">
        <v>0</v>
      </c>
      <c r="O743" s="446">
        <f t="shared" ca="1" si="203"/>
        <v>0</v>
      </c>
      <c r="P743" s="446">
        <f ca="1">ROUND(+IF(ISERROR(OFFSET(Tabella!$G$1,MATCH(H743,Tabella!$G:$G,0)-1,MATCH(I743,Tabella!$G$1:$FG$1,0)-1)=TRUE),0,OFFSET(Tabella!$G$1,MATCH(H743,Tabella!$G:$G,0)-1,MATCH(I743,Tabella!$G$1:$AB$1,0)-1)),4)</f>
        <v>0</v>
      </c>
      <c r="Q743" s="446">
        <f ca="1">ROUND(IF(ISERROR(OFFSET(Ottone!$F$1,MATCH(H743,Ottone!$A:$A,0)-1,MATCH(I743,Ottone!$F$1:$FF$1,0)-1)=TRUE),0,OFFSET(Ottone!$F$1,MATCH(H743,Ottone!$A:$A,0)-1,MATCH(I743,Ottone!$F$1:$FF$1,0)-1))*IF(E743="Ottone",1,0),4)</f>
        <v>0</v>
      </c>
      <c r="R743" s="446">
        <f ca="1">ROUND(IF(ISERROR(OFFSET(Rame!$F$1,MATCH(H743,Rame!$F:$F,0)-1,MATCH(I743,Rame!$F$1:$FF$1,0)-1)=TRUE),0,OFFSET(Rame!$F$1,MATCH(H743,Rame!$F:$F,0)-1,MATCH(I743,Rame!$F$1:$FF$1,0)-1))*IF(E743="Rame",1,0),4)</f>
        <v>0</v>
      </c>
      <c r="S743" s="446">
        <f ca="1">ROUND(IF(ISERROR(OFFSET(Bronzo!$A$1,MATCH(H743,Bronzo!$A:$A,0)-1,MATCH(I743,Bronzo!$A$1:$AA$1,0)-1)=TRUE),0,OFFSET(Bronzo!$A$1,MATCH(H743,Bronzo!$A:$A,0)-1,MATCH(I743,Bronzo!$A$1:$AA$1,0)-1)),4)</f>
        <v>0</v>
      </c>
      <c r="T743" s="446">
        <f t="shared" ca="1" si="205"/>
        <v>0</v>
      </c>
      <c r="U743" s="443"/>
      <c r="V743" s="446">
        <v>0</v>
      </c>
      <c r="W743" s="449">
        <f t="shared" ca="1" si="206"/>
        <v>0</v>
      </c>
      <c r="X743" s="452">
        <f t="shared" si="204"/>
        <v>0</v>
      </c>
      <c r="Y743" s="440"/>
      <c r="Z743" s="440">
        <f t="shared" ca="1" si="207"/>
        <v>0</v>
      </c>
      <c r="AA743" s="241"/>
      <c r="AH743" s="242"/>
    </row>
    <row r="744" spans="2:34" ht="15.75" x14ac:dyDescent="0.25">
      <c r="B744" s="229"/>
      <c r="C744" s="235"/>
      <c r="D744" s="243"/>
      <c r="E744" s="232"/>
      <c r="F744" s="435"/>
      <c r="G744" s="234"/>
      <c r="H744" s="235"/>
      <c r="I744" s="235"/>
      <c r="J744" s="440"/>
      <c r="K744" s="443">
        <f ca="1">ROUND(IF(ISERROR(OFFSET(Tabella!$A$1,MATCH(H744,Tabella!$A:$A,0)-1,MATCH(J744,Tabella!$A$1:$AC$1,0)-1)=TRUE),0,+OFFSET(Tabella!$A$1,MATCH(H744,Tabella!$A:$A,0)-1,MATCH(J744,Tabella!$A$1:$AC$1,0)-1)),4)</f>
        <v>0</v>
      </c>
      <c r="L744" s="446">
        <f ca="1">ROUND(IF(ISERROR(OFFSET(Ottone!$A$1,MATCH(H744,Ottone!$A:$A,0)-1,MATCH(J744,Ottone!$A$1:$Z$1,0)-1)=TRUE),0,OFFSET(Ottone!$A$1,MATCH(H744,Ottone!$A:$A,0)-1,MATCH(J744,Ottone!$A$1:$Z$1,0)-1))*IF(E744="Ottone",1,0),4)</f>
        <v>0</v>
      </c>
      <c r="M744" s="446">
        <f ca="1">ROUND(IF(ISERROR(OFFSET(Rame!$A$1,MATCH(H744,Rame!$A:$A,0)-1,MATCH(J744,Rame!$A$1:$AA$1,0)-1)=TRUE),0,OFFSET(Rame!$A$1,MATCH(H744,Rame!$A:$A,0)-1,MATCH(J744,Rame!$A$1:$AA$1,0)-1))*IF(E744="Rame",1,0),4)</f>
        <v>0</v>
      </c>
      <c r="N744" s="446">
        <v>0</v>
      </c>
      <c r="O744" s="446">
        <f t="shared" ref="O744:O807" ca="1" si="208">ROUND(SUM(K744:N744),4)</f>
        <v>0</v>
      </c>
      <c r="P744" s="446">
        <f ca="1">ROUND(+IF(ISERROR(OFFSET(Tabella!$G$1,MATCH(H744,Tabella!$G:$G,0)-1,MATCH(I744,Tabella!$G$1:$FG$1,0)-1)=TRUE),0,OFFSET(Tabella!$G$1,MATCH(H744,Tabella!$G:$G,0)-1,MATCH(I744,Tabella!$G$1:$AB$1,0)-1)),4)</f>
        <v>0</v>
      </c>
      <c r="Q744" s="446">
        <f ca="1">ROUND(IF(ISERROR(OFFSET(Ottone!$F$1,MATCH(H744,Ottone!$A:$A,0)-1,MATCH(I744,Ottone!$F$1:$FF$1,0)-1)=TRUE),0,OFFSET(Ottone!$F$1,MATCH(H744,Ottone!$A:$A,0)-1,MATCH(I744,Ottone!$F$1:$FF$1,0)-1))*IF(E744="Ottone",1,0),4)</f>
        <v>0</v>
      </c>
      <c r="R744" s="446">
        <f ca="1">ROUND(IF(ISERROR(OFFSET(Rame!$F$1,MATCH(H744,Rame!$F:$F,0)-1,MATCH(I744,Rame!$F$1:$FF$1,0)-1)=TRUE),0,OFFSET(Rame!$F$1,MATCH(H744,Rame!$F:$F,0)-1,MATCH(I744,Rame!$F$1:$FF$1,0)-1))*IF(E744="Rame",1,0),4)</f>
        <v>0</v>
      </c>
      <c r="S744" s="446">
        <f ca="1">ROUND(IF(ISERROR(OFFSET(Bronzo!$A$1,MATCH(H744,Bronzo!$A:$A,0)-1,MATCH(I744,Bronzo!$A$1:$AA$1,0)-1)=TRUE),0,OFFSET(Bronzo!$A$1,MATCH(H744,Bronzo!$A:$A,0)-1,MATCH(I744,Bronzo!$A$1:$AA$1,0)-1)),4)</f>
        <v>0</v>
      </c>
      <c r="T744" s="446">
        <f t="shared" ca="1" si="205"/>
        <v>0</v>
      </c>
      <c r="U744" s="443"/>
      <c r="V744" s="446">
        <v>0</v>
      </c>
      <c r="W744" s="449">
        <f t="shared" ca="1" si="206"/>
        <v>0</v>
      </c>
      <c r="X744" s="452">
        <f t="shared" si="204"/>
        <v>0</v>
      </c>
      <c r="Y744" s="440"/>
      <c r="Z744" s="440">
        <f t="shared" ca="1" si="207"/>
        <v>0</v>
      </c>
      <c r="AA744" s="241"/>
      <c r="AH744" s="242"/>
    </row>
    <row r="745" spans="2:34" ht="15.75" x14ac:dyDescent="0.25">
      <c r="B745" s="229"/>
      <c r="C745" s="235"/>
      <c r="D745" s="243"/>
      <c r="E745" s="232"/>
      <c r="F745" s="435"/>
      <c r="G745" s="234"/>
      <c r="H745" s="235"/>
      <c r="I745" s="235"/>
      <c r="J745" s="440"/>
      <c r="K745" s="443">
        <f ca="1">ROUND(IF(ISERROR(OFFSET(Tabella!$A$1,MATCH(H745,Tabella!$A:$A,0)-1,MATCH(J745,Tabella!$A$1:$AC$1,0)-1)=TRUE),0,+OFFSET(Tabella!$A$1,MATCH(H745,Tabella!$A:$A,0)-1,MATCH(J745,Tabella!$A$1:$AC$1,0)-1)),4)</f>
        <v>0</v>
      </c>
      <c r="L745" s="446">
        <f ca="1">ROUND(IF(ISERROR(OFFSET(Ottone!$A$1,MATCH(H745,Ottone!$A:$A,0)-1,MATCH(J745,Ottone!$A$1:$Z$1,0)-1)=TRUE),0,OFFSET(Ottone!$A$1,MATCH(H745,Ottone!$A:$A,0)-1,MATCH(J745,Ottone!$A$1:$Z$1,0)-1))*IF(E745="Ottone",1,0),4)</f>
        <v>0</v>
      </c>
      <c r="M745" s="446">
        <f ca="1">ROUND(IF(ISERROR(OFFSET(Rame!$A$1,MATCH(H745,Rame!$A:$A,0)-1,MATCH(J745,Rame!$A$1:$AA$1,0)-1)=TRUE),0,OFFSET(Rame!$A$1,MATCH(H745,Rame!$A:$A,0)-1,MATCH(J745,Rame!$A$1:$AA$1,0)-1))*IF(E745="Rame",1,0),4)</f>
        <v>0</v>
      </c>
      <c r="N745" s="446">
        <v>0</v>
      </c>
      <c r="O745" s="446">
        <f t="shared" ca="1" si="208"/>
        <v>0</v>
      </c>
      <c r="P745" s="446">
        <f ca="1">ROUND(+IF(ISERROR(OFFSET(Tabella!$G$1,MATCH(H745,Tabella!$G:$G,0)-1,MATCH(I745,Tabella!$G$1:$FG$1,0)-1)=TRUE),0,OFFSET(Tabella!$G$1,MATCH(H745,Tabella!$G:$G,0)-1,MATCH(I745,Tabella!$G$1:$AB$1,0)-1)),4)</f>
        <v>0</v>
      </c>
      <c r="Q745" s="446">
        <f ca="1">ROUND(IF(ISERROR(OFFSET(Ottone!$F$1,MATCH(H745,Ottone!$A:$A,0)-1,MATCH(I745,Ottone!$F$1:$FF$1,0)-1)=TRUE),0,OFFSET(Ottone!$F$1,MATCH(H745,Ottone!$A:$A,0)-1,MATCH(I745,Ottone!$F$1:$FF$1,0)-1))*IF(E745="Ottone",1,0),4)</f>
        <v>0</v>
      </c>
      <c r="R745" s="446">
        <f ca="1">ROUND(IF(ISERROR(OFFSET(Rame!$F$1,MATCH(H745,Rame!$F:$F,0)-1,MATCH(I745,Rame!$F$1:$FF$1,0)-1)=TRUE),0,OFFSET(Rame!$F$1,MATCH(H745,Rame!$F:$F,0)-1,MATCH(I745,Rame!$F$1:$FF$1,0)-1))*IF(E745="Rame",1,0),4)</f>
        <v>0</v>
      </c>
      <c r="S745" s="446">
        <f ca="1">ROUND(IF(ISERROR(OFFSET(Bronzo!$A$1,MATCH(H745,Bronzo!$A:$A,0)-1,MATCH(I745,Bronzo!$A$1:$AA$1,0)-1)=TRUE),0,OFFSET(Bronzo!$A$1,MATCH(H745,Bronzo!$A:$A,0)-1,MATCH(I745,Bronzo!$A$1:$AA$1,0)-1)),4)</f>
        <v>0</v>
      </c>
      <c r="T745" s="446">
        <f t="shared" ca="1" si="205"/>
        <v>0</v>
      </c>
      <c r="U745" s="443"/>
      <c r="V745" s="446">
        <v>0</v>
      </c>
      <c r="W745" s="449">
        <f t="shared" ca="1" si="206"/>
        <v>0</v>
      </c>
      <c r="X745" s="452">
        <f t="shared" si="204"/>
        <v>0</v>
      </c>
      <c r="Y745" s="440"/>
      <c r="Z745" s="440">
        <f t="shared" ca="1" si="207"/>
        <v>0</v>
      </c>
      <c r="AA745" s="241"/>
      <c r="AH745" s="242"/>
    </row>
    <row r="746" spans="2:34" ht="15.75" x14ac:dyDescent="0.25">
      <c r="B746" s="229"/>
      <c r="C746" s="235"/>
      <c r="D746" s="243"/>
      <c r="E746" s="232"/>
      <c r="F746" s="435"/>
      <c r="G746" s="234"/>
      <c r="H746" s="235"/>
      <c r="I746" s="235"/>
      <c r="J746" s="440"/>
      <c r="K746" s="443">
        <f ca="1">ROUND(IF(ISERROR(OFFSET(Tabella!$A$1,MATCH(H746,Tabella!$A:$A,0)-1,MATCH(J746,Tabella!$A$1:$AC$1,0)-1)=TRUE),0,+OFFSET(Tabella!$A$1,MATCH(H746,Tabella!$A:$A,0)-1,MATCH(J746,Tabella!$A$1:$AC$1,0)-1)),4)</f>
        <v>0</v>
      </c>
      <c r="L746" s="446">
        <f ca="1">ROUND(IF(ISERROR(OFFSET(Ottone!$A$1,MATCH(H746,Ottone!$A:$A,0)-1,MATCH(J746,Ottone!$A$1:$Z$1,0)-1)=TRUE),0,OFFSET(Ottone!$A$1,MATCH(H746,Ottone!$A:$A,0)-1,MATCH(J746,Ottone!$A$1:$Z$1,0)-1))*IF(E746="Ottone",1,0),4)</f>
        <v>0</v>
      </c>
      <c r="M746" s="446">
        <f ca="1">ROUND(IF(ISERROR(OFFSET(Rame!$A$1,MATCH(H746,Rame!$A:$A,0)-1,MATCH(J746,Rame!$A$1:$AA$1,0)-1)=TRUE),0,OFFSET(Rame!$A$1,MATCH(H746,Rame!$A:$A,0)-1,MATCH(J746,Rame!$A$1:$AA$1,0)-1))*IF(E746="Rame",1,0),4)</f>
        <v>0</v>
      </c>
      <c r="N746" s="446">
        <v>0</v>
      </c>
      <c r="O746" s="446">
        <f t="shared" ca="1" si="208"/>
        <v>0</v>
      </c>
      <c r="P746" s="446">
        <f ca="1">ROUND(+IF(ISERROR(OFFSET(Tabella!$G$1,MATCH(H746,Tabella!$G:$G,0)-1,MATCH(I746,Tabella!$G$1:$FG$1,0)-1)=TRUE),0,OFFSET(Tabella!$G$1,MATCH(H746,Tabella!$G:$G,0)-1,MATCH(I746,Tabella!$G$1:$AB$1,0)-1)),4)</f>
        <v>0</v>
      </c>
      <c r="Q746" s="446">
        <f ca="1">ROUND(IF(ISERROR(OFFSET(Ottone!$F$1,MATCH(H746,Ottone!$A:$A,0)-1,MATCH(I746,Ottone!$F$1:$FF$1,0)-1)=TRUE),0,OFFSET(Ottone!$F$1,MATCH(H746,Ottone!$A:$A,0)-1,MATCH(I746,Ottone!$F$1:$FF$1,0)-1))*IF(E746="Ottone",1,0),4)</f>
        <v>0</v>
      </c>
      <c r="R746" s="446">
        <f ca="1">ROUND(IF(ISERROR(OFFSET(Rame!$F$1,MATCH(H746,Rame!$F:$F,0)-1,MATCH(I746,Rame!$F$1:$FF$1,0)-1)=TRUE),0,OFFSET(Rame!$F$1,MATCH(H746,Rame!$F:$F,0)-1,MATCH(I746,Rame!$F$1:$FF$1,0)-1))*IF(E746="Rame",1,0),4)</f>
        <v>0</v>
      </c>
      <c r="S746" s="446">
        <f ca="1">ROUND(IF(ISERROR(OFFSET(Bronzo!$A$1,MATCH(H746,Bronzo!$A:$A,0)-1,MATCH(I746,Bronzo!$A$1:$AA$1,0)-1)=TRUE),0,OFFSET(Bronzo!$A$1,MATCH(H746,Bronzo!$A:$A,0)-1,MATCH(I746,Bronzo!$A$1:$AA$1,0)-1)),4)</f>
        <v>0</v>
      </c>
      <c r="T746" s="446">
        <f t="shared" ca="1" si="205"/>
        <v>0</v>
      </c>
      <c r="U746" s="443"/>
      <c r="V746" s="446">
        <v>0</v>
      </c>
      <c r="W746" s="449">
        <f t="shared" ca="1" si="206"/>
        <v>0</v>
      </c>
      <c r="X746" s="452">
        <f t="shared" si="204"/>
        <v>0</v>
      </c>
      <c r="Y746" s="440"/>
      <c r="Z746" s="440">
        <f t="shared" ca="1" si="207"/>
        <v>0</v>
      </c>
      <c r="AA746" s="241"/>
      <c r="AH746" s="242"/>
    </row>
    <row r="747" spans="2:34" ht="15.75" x14ac:dyDescent="0.25">
      <c r="B747" s="229"/>
      <c r="C747" s="235"/>
      <c r="D747" s="243"/>
      <c r="E747" s="232"/>
      <c r="F747" s="435"/>
      <c r="G747" s="234"/>
      <c r="H747" s="235"/>
      <c r="I747" s="235"/>
      <c r="J747" s="440"/>
      <c r="K747" s="443">
        <f ca="1">ROUND(IF(ISERROR(OFFSET(Tabella!$A$1,MATCH(H747,Tabella!$A:$A,0)-1,MATCH(J747,Tabella!$A$1:$AC$1,0)-1)=TRUE),0,+OFFSET(Tabella!$A$1,MATCH(H747,Tabella!$A:$A,0)-1,MATCH(J747,Tabella!$A$1:$AC$1,0)-1)),4)</f>
        <v>0</v>
      </c>
      <c r="L747" s="446">
        <f ca="1">ROUND(IF(ISERROR(OFFSET(Ottone!$A$1,MATCH(H747,Ottone!$A:$A,0)-1,MATCH(J747,Ottone!$A$1:$Z$1,0)-1)=TRUE),0,OFFSET(Ottone!$A$1,MATCH(H747,Ottone!$A:$A,0)-1,MATCH(J747,Ottone!$A$1:$Z$1,0)-1))*IF(E747="Ottone",1,0),4)</f>
        <v>0</v>
      </c>
      <c r="M747" s="446">
        <f ca="1">ROUND(IF(ISERROR(OFFSET(Rame!$A$1,MATCH(H747,Rame!$A:$A,0)-1,MATCH(J747,Rame!$A$1:$AA$1,0)-1)=TRUE),0,OFFSET(Rame!$A$1,MATCH(H747,Rame!$A:$A,0)-1,MATCH(J747,Rame!$A$1:$AA$1,0)-1))*IF(E747="Rame",1,0),4)</f>
        <v>0</v>
      </c>
      <c r="N747" s="446">
        <v>0</v>
      </c>
      <c r="O747" s="446">
        <f t="shared" ca="1" si="208"/>
        <v>0</v>
      </c>
      <c r="P747" s="446">
        <f ca="1">ROUND(+IF(ISERROR(OFFSET(Tabella!$G$1,MATCH(H747,Tabella!$G:$G,0)-1,MATCH(I747,Tabella!$G$1:$FG$1,0)-1)=TRUE),0,OFFSET(Tabella!$G$1,MATCH(H747,Tabella!$G:$G,0)-1,MATCH(I747,Tabella!$G$1:$AB$1,0)-1)),4)</f>
        <v>0</v>
      </c>
      <c r="Q747" s="446">
        <f ca="1">ROUND(IF(ISERROR(OFFSET(Ottone!$F$1,MATCH(H747,Ottone!$A:$A,0)-1,MATCH(I747,Ottone!$F$1:$FF$1,0)-1)=TRUE),0,OFFSET(Ottone!$F$1,MATCH(H747,Ottone!$A:$A,0)-1,MATCH(I747,Ottone!$F$1:$FF$1,0)-1))*IF(E747="Ottone",1,0),4)</f>
        <v>0</v>
      </c>
      <c r="R747" s="446">
        <f ca="1">ROUND(IF(ISERROR(OFFSET(Rame!$F$1,MATCH(H747,Rame!$F:$F,0)-1,MATCH(I747,Rame!$F$1:$FF$1,0)-1)=TRUE),0,OFFSET(Rame!$F$1,MATCH(H747,Rame!$F:$F,0)-1,MATCH(I747,Rame!$F$1:$FF$1,0)-1))*IF(E747="Rame",1,0),4)</f>
        <v>0</v>
      </c>
      <c r="S747" s="446">
        <f ca="1">ROUND(IF(ISERROR(OFFSET(Bronzo!$A$1,MATCH(H747,Bronzo!$A:$A,0)-1,MATCH(I747,Bronzo!$A$1:$AA$1,0)-1)=TRUE),0,OFFSET(Bronzo!$A$1,MATCH(H747,Bronzo!$A:$A,0)-1,MATCH(I747,Bronzo!$A$1:$AA$1,0)-1)),4)</f>
        <v>0</v>
      </c>
      <c r="T747" s="446">
        <f t="shared" ca="1" si="205"/>
        <v>0</v>
      </c>
      <c r="U747" s="443"/>
      <c r="V747" s="446">
        <v>0</v>
      </c>
      <c r="W747" s="449">
        <f t="shared" ca="1" si="206"/>
        <v>0</v>
      </c>
      <c r="X747" s="452">
        <f t="shared" si="204"/>
        <v>0</v>
      </c>
      <c r="Y747" s="440"/>
      <c r="Z747" s="440">
        <f t="shared" ca="1" si="207"/>
        <v>0</v>
      </c>
      <c r="AA747" s="241"/>
      <c r="AH747" s="242"/>
    </row>
    <row r="748" spans="2:34" ht="15.75" x14ac:dyDescent="0.25">
      <c r="B748" s="229"/>
      <c r="C748" s="235"/>
      <c r="D748" s="243"/>
      <c r="E748" s="232"/>
      <c r="F748" s="435"/>
      <c r="G748" s="234"/>
      <c r="H748" s="235"/>
      <c r="I748" s="235"/>
      <c r="J748" s="440"/>
      <c r="K748" s="443">
        <f ca="1">ROUND(IF(ISERROR(OFFSET(Tabella!$A$1,MATCH(H748,Tabella!$A:$A,0)-1,MATCH(J748,Tabella!$A$1:$AC$1,0)-1)=TRUE),0,+OFFSET(Tabella!$A$1,MATCH(H748,Tabella!$A:$A,0)-1,MATCH(J748,Tabella!$A$1:$AC$1,0)-1)),4)</f>
        <v>0</v>
      </c>
      <c r="L748" s="446">
        <f ca="1">ROUND(IF(ISERROR(OFFSET(Ottone!$A$1,MATCH(H748,Ottone!$A:$A,0)-1,MATCH(J748,Ottone!$A$1:$Z$1,0)-1)=TRUE),0,OFFSET(Ottone!$A$1,MATCH(H748,Ottone!$A:$A,0)-1,MATCH(J748,Ottone!$A$1:$Z$1,0)-1))*IF(E748="Ottone",1,0),4)</f>
        <v>0</v>
      </c>
      <c r="M748" s="446">
        <f ca="1">ROUND(IF(ISERROR(OFFSET(Rame!$A$1,MATCH(H748,Rame!$A:$A,0)-1,MATCH(J748,Rame!$A$1:$AA$1,0)-1)=TRUE),0,OFFSET(Rame!$A$1,MATCH(H748,Rame!$A:$A,0)-1,MATCH(J748,Rame!$A$1:$AA$1,0)-1))*IF(E748="Rame",1,0),4)</f>
        <v>0</v>
      </c>
      <c r="N748" s="446">
        <v>0</v>
      </c>
      <c r="O748" s="446">
        <f t="shared" ca="1" si="208"/>
        <v>0</v>
      </c>
      <c r="P748" s="446">
        <f ca="1">ROUND(+IF(ISERROR(OFFSET(Tabella!$G$1,MATCH(H748,Tabella!$G:$G,0)-1,MATCH(I748,Tabella!$G$1:$FG$1,0)-1)=TRUE),0,OFFSET(Tabella!$G$1,MATCH(H748,Tabella!$G:$G,0)-1,MATCH(I748,Tabella!$G$1:$AB$1,0)-1)),4)</f>
        <v>0</v>
      </c>
      <c r="Q748" s="446">
        <f ca="1">ROUND(IF(ISERROR(OFFSET(Ottone!$F$1,MATCH(H748,Ottone!$A:$A,0)-1,MATCH(I748,Ottone!$F$1:$FF$1,0)-1)=TRUE),0,OFFSET(Ottone!$F$1,MATCH(H748,Ottone!$A:$A,0)-1,MATCH(I748,Ottone!$F$1:$FF$1,0)-1))*IF(E748="Ottone",1,0),4)</f>
        <v>0</v>
      </c>
      <c r="R748" s="446">
        <f ca="1">ROUND(IF(ISERROR(OFFSET(Rame!$F$1,MATCH(H748,Rame!$F:$F,0)-1,MATCH(I748,Rame!$F$1:$FF$1,0)-1)=TRUE),0,OFFSET(Rame!$F$1,MATCH(H748,Rame!$F:$F,0)-1,MATCH(I748,Rame!$F$1:$FF$1,0)-1))*IF(E748="Rame",1,0),4)</f>
        <v>0</v>
      </c>
      <c r="S748" s="446">
        <f ca="1">ROUND(IF(ISERROR(OFFSET(Bronzo!$A$1,MATCH(H748,Bronzo!$A:$A,0)-1,MATCH(I748,Bronzo!$A$1:$AA$1,0)-1)=TRUE),0,OFFSET(Bronzo!$A$1,MATCH(H748,Bronzo!$A:$A,0)-1,MATCH(I748,Bronzo!$A$1:$AA$1,0)-1)),4)</f>
        <v>0</v>
      </c>
      <c r="T748" s="446">
        <f t="shared" ca="1" si="205"/>
        <v>0</v>
      </c>
      <c r="U748" s="443"/>
      <c r="V748" s="446">
        <v>0</v>
      </c>
      <c r="W748" s="449">
        <f t="shared" ca="1" si="206"/>
        <v>0</v>
      </c>
      <c r="X748" s="452">
        <f t="shared" si="204"/>
        <v>0</v>
      </c>
      <c r="Y748" s="440"/>
      <c r="Z748" s="440">
        <f t="shared" ca="1" si="207"/>
        <v>0</v>
      </c>
      <c r="AA748" s="241"/>
      <c r="AH748" s="242"/>
    </row>
    <row r="749" spans="2:34" ht="15.75" x14ac:dyDescent="0.25">
      <c r="B749" s="229"/>
      <c r="C749" s="235"/>
      <c r="D749" s="243"/>
      <c r="E749" s="232"/>
      <c r="F749" s="435"/>
      <c r="G749" s="234"/>
      <c r="H749" s="235"/>
      <c r="I749" s="235"/>
      <c r="J749" s="440"/>
      <c r="K749" s="443">
        <f ca="1">ROUND(IF(ISERROR(OFFSET(Tabella!$A$1,MATCH(H749,Tabella!$A:$A,0)-1,MATCH(J749,Tabella!$A$1:$AC$1,0)-1)=TRUE),0,+OFFSET(Tabella!$A$1,MATCH(H749,Tabella!$A:$A,0)-1,MATCH(J749,Tabella!$A$1:$AC$1,0)-1)),4)</f>
        <v>0</v>
      </c>
      <c r="L749" s="446">
        <f ca="1">ROUND(IF(ISERROR(OFFSET(Ottone!$A$1,MATCH(H749,Ottone!$A:$A,0)-1,MATCH(J749,Ottone!$A$1:$Z$1,0)-1)=TRUE),0,OFFSET(Ottone!$A$1,MATCH(H749,Ottone!$A:$A,0)-1,MATCH(J749,Ottone!$A$1:$Z$1,0)-1))*IF(E749="Ottone",1,0),4)</f>
        <v>0</v>
      </c>
      <c r="M749" s="446">
        <f ca="1">ROUND(IF(ISERROR(OFFSET(Rame!$A$1,MATCH(H749,Rame!$A:$A,0)-1,MATCH(J749,Rame!$A$1:$AA$1,0)-1)=TRUE),0,OFFSET(Rame!$A$1,MATCH(H749,Rame!$A:$A,0)-1,MATCH(J749,Rame!$A$1:$AA$1,0)-1))*IF(E749="Rame",1,0),4)</f>
        <v>0</v>
      </c>
      <c r="N749" s="446">
        <v>0</v>
      </c>
      <c r="O749" s="446">
        <f t="shared" ca="1" si="208"/>
        <v>0</v>
      </c>
      <c r="P749" s="446">
        <f ca="1">ROUND(+IF(ISERROR(OFFSET(Tabella!$G$1,MATCH(H749,Tabella!$G:$G,0)-1,MATCH(I749,Tabella!$G$1:$FG$1,0)-1)=TRUE),0,OFFSET(Tabella!$G$1,MATCH(H749,Tabella!$G:$G,0)-1,MATCH(I749,Tabella!$G$1:$AB$1,0)-1)),4)</f>
        <v>0</v>
      </c>
      <c r="Q749" s="446">
        <f ca="1">ROUND(IF(ISERROR(OFFSET(Ottone!$F$1,MATCH(H749,Ottone!$A:$A,0)-1,MATCH(I749,Ottone!$F$1:$FF$1,0)-1)=TRUE),0,OFFSET(Ottone!$F$1,MATCH(H749,Ottone!$A:$A,0)-1,MATCH(I749,Ottone!$F$1:$FF$1,0)-1))*IF(E749="Ottone",1,0),4)</f>
        <v>0</v>
      </c>
      <c r="R749" s="446">
        <f ca="1">ROUND(IF(ISERROR(OFFSET(Rame!$F$1,MATCH(H749,Rame!$F:$F,0)-1,MATCH(I749,Rame!$F$1:$FF$1,0)-1)=TRUE),0,OFFSET(Rame!$F$1,MATCH(H749,Rame!$F:$F,0)-1,MATCH(I749,Rame!$F$1:$FF$1,0)-1))*IF(E749="Rame",1,0),4)</f>
        <v>0</v>
      </c>
      <c r="S749" s="446">
        <f ca="1">ROUND(IF(ISERROR(OFFSET(Bronzo!$A$1,MATCH(H749,Bronzo!$A:$A,0)-1,MATCH(I749,Bronzo!$A$1:$AA$1,0)-1)=TRUE),0,OFFSET(Bronzo!$A$1,MATCH(H749,Bronzo!$A:$A,0)-1,MATCH(I749,Bronzo!$A$1:$AA$1,0)-1)),4)</f>
        <v>0</v>
      </c>
      <c r="T749" s="446">
        <f t="shared" ca="1" si="205"/>
        <v>0</v>
      </c>
      <c r="U749" s="443"/>
      <c r="V749" s="446">
        <v>0</v>
      </c>
      <c r="W749" s="449">
        <f t="shared" ca="1" si="206"/>
        <v>0</v>
      </c>
      <c r="X749" s="452">
        <f t="shared" si="204"/>
        <v>0</v>
      </c>
      <c r="Y749" s="440"/>
      <c r="Z749" s="440">
        <f t="shared" ca="1" si="207"/>
        <v>0</v>
      </c>
      <c r="AA749" s="241"/>
      <c r="AH749" s="242"/>
    </row>
    <row r="750" spans="2:34" ht="15.75" x14ac:dyDescent="0.25">
      <c r="B750" s="229"/>
      <c r="C750" s="235"/>
      <c r="D750" s="243"/>
      <c r="E750" s="232"/>
      <c r="F750" s="435"/>
      <c r="G750" s="234"/>
      <c r="H750" s="235"/>
      <c r="I750" s="235"/>
      <c r="J750" s="440"/>
      <c r="K750" s="443">
        <f ca="1">ROUND(IF(ISERROR(OFFSET(Tabella!$A$1,MATCH(H750,Tabella!$A:$A,0)-1,MATCH(J750,Tabella!$A$1:$AC$1,0)-1)=TRUE),0,+OFFSET(Tabella!$A$1,MATCH(H750,Tabella!$A:$A,0)-1,MATCH(J750,Tabella!$A$1:$AC$1,0)-1)),4)</f>
        <v>0</v>
      </c>
      <c r="L750" s="446">
        <f ca="1">ROUND(IF(ISERROR(OFFSET(Ottone!$A$1,MATCH(H750,Ottone!$A:$A,0)-1,MATCH(J750,Ottone!$A$1:$Z$1,0)-1)=TRUE),0,OFFSET(Ottone!$A$1,MATCH(H750,Ottone!$A:$A,0)-1,MATCH(J750,Ottone!$A$1:$Z$1,0)-1))*IF(E750="Ottone",1,0),4)</f>
        <v>0</v>
      </c>
      <c r="M750" s="446">
        <f ca="1">ROUND(IF(ISERROR(OFFSET(Rame!$A$1,MATCH(H750,Rame!$A:$A,0)-1,MATCH(J750,Rame!$A$1:$AA$1,0)-1)=TRUE),0,OFFSET(Rame!$A$1,MATCH(H750,Rame!$A:$A,0)-1,MATCH(J750,Rame!$A$1:$AA$1,0)-1))*IF(E750="Rame",1,0),4)</f>
        <v>0</v>
      </c>
      <c r="N750" s="446">
        <v>0</v>
      </c>
      <c r="O750" s="446">
        <f t="shared" ca="1" si="208"/>
        <v>0</v>
      </c>
      <c r="P750" s="446">
        <f ca="1">ROUND(+IF(ISERROR(OFFSET(Tabella!$G$1,MATCH(H750,Tabella!$G:$G,0)-1,MATCH(I750,Tabella!$G$1:$FG$1,0)-1)=TRUE),0,OFFSET(Tabella!$G$1,MATCH(H750,Tabella!$G:$G,0)-1,MATCH(I750,Tabella!$G$1:$AB$1,0)-1)),4)</f>
        <v>0</v>
      </c>
      <c r="Q750" s="446">
        <f ca="1">ROUND(IF(ISERROR(OFFSET(Ottone!$F$1,MATCH(H750,Ottone!$A:$A,0)-1,MATCH(I750,Ottone!$F$1:$FF$1,0)-1)=TRUE),0,OFFSET(Ottone!$F$1,MATCH(H750,Ottone!$A:$A,0)-1,MATCH(I750,Ottone!$F$1:$FF$1,0)-1))*IF(E750="Ottone",1,0),4)</f>
        <v>0</v>
      </c>
      <c r="R750" s="446">
        <f ca="1">ROUND(IF(ISERROR(OFFSET(Rame!$F$1,MATCH(H750,Rame!$F:$F,0)-1,MATCH(I750,Rame!$F$1:$FF$1,0)-1)=TRUE),0,OFFSET(Rame!$F$1,MATCH(H750,Rame!$F:$F,0)-1,MATCH(I750,Rame!$F$1:$FF$1,0)-1))*IF(E750="Rame",1,0),4)</f>
        <v>0</v>
      </c>
      <c r="S750" s="446">
        <f ca="1">ROUND(IF(ISERROR(OFFSET(Bronzo!$A$1,MATCH(H750,Bronzo!$A:$A,0)-1,MATCH(I750,Bronzo!$A$1:$AA$1,0)-1)=TRUE),0,OFFSET(Bronzo!$A$1,MATCH(H750,Bronzo!$A:$A,0)-1,MATCH(I750,Bronzo!$A$1:$AA$1,0)-1)),4)</f>
        <v>0</v>
      </c>
      <c r="T750" s="446">
        <f t="shared" ca="1" si="205"/>
        <v>0</v>
      </c>
      <c r="U750" s="443"/>
      <c r="V750" s="446">
        <v>0</v>
      </c>
      <c r="W750" s="449">
        <f t="shared" ca="1" si="206"/>
        <v>0</v>
      </c>
      <c r="X750" s="452">
        <f t="shared" si="204"/>
        <v>0</v>
      </c>
      <c r="Y750" s="440"/>
      <c r="Z750" s="440">
        <f t="shared" ca="1" si="207"/>
        <v>0</v>
      </c>
      <c r="AA750" s="241"/>
      <c r="AH750" s="242"/>
    </row>
    <row r="751" spans="2:34" ht="15.75" x14ac:dyDescent="0.25">
      <c r="B751" s="229"/>
      <c r="C751" s="235"/>
      <c r="D751" s="243"/>
      <c r="E751" s="232"/>
      <c r="F751" s="435"/>
      <c r="G751" s="234"/>
      <c r="H751" s="235"/>
      <c r="I751" s="235"/>
      <c r="J751" s="440"/>
      <c r="K751" s="443">
        <f ca="1">ROUND(IF(ISERROR(OFFSET(Tabella!$A$1,MATCH(H751,Tabella!$A:$A,0)-1,MATCH(J751,Tabella!$A$1:$AC$1,0)-1)=TRUE),0,+OFFSET(Tabella!$A$1,MATCH(H751,Tabella!$A:$A,0)-1,MATCH(J751,Tabella!$A$1:$AC$1,0)-1)),4)</f>
        <v>0</v>
      </c>
      <c r="L751" s="446">
        <f ca="1">ROUND(IF(ISERROR(OFFSET(Ottone!$A$1,MATCH(H751,Ottone!$A:$A,0)-1,MATCH(J751,Ottone!$A$1:$Z$1,0)-1)=TRUE),0,OFFSET(Ottone!$A$1,MATCH(H751,Ottone!$A:$A,0)-1,MATCH(J751,Ottone!$A$1:$Z$1,0)-1))*IF(E751="Ottone",1,0),4)</f>
        <v>0</v>
      </c>
      <c r="M751" s="446">
        <f ca="1">ROUND(IF(ISERROR(OFFSET(Rame!$A$1,MATCH(H751,Rame!$A:$A,0)-1,MATCH(J751,Rame!$A$1:$AA$1,0)-1)=TRUE),0,OFFSET(Rame!$A$1,MATCH(H751,Rame!$A:$A,0)-1,MATCH(J751,Rame!$A$1:$AA$1,0)-1))*IF(E751="Rame",1,0),4)</f>
        <v>0</v>
      </c>
      <c r="N751" s="446">
        <v>0</v>
      </c>
      <c r="O751" s="446">
        <f t="shared" ca="1" si="208"/>
        <v>0</v>
      </c>
      <c r="P751" s="446">
        <f ca="1">ROUND(+IF(ISERROR(OFFSET(Tabella!$G$1,MATCH(H751,Tabella!$G:$G,0)-1,MATCH(I751,Tabella!$G$1:$FG$1,0)-1)=TRUE),0,OFFSET(Tabella!$G$1,MATCH(H751,Tabella!$G:$G,0)-1,MATCH(I751,Tabella!$G$1:$AB$1,0)-1)),4)</f>
        <v>0</v>
      </c>
      <c r="Q751" s="446">
        <f ca="1">ROUND(IF(ISERROR(OFFSET(Ottone!$F$1,MATCH(H751,Ottone!$A:$A,0)-1,MATCH(I751,Ottone!$F$1:$FF$1,0)-1)=TRUE),0,OFFSET(Ottone!$F$1,MATCH(H751,Ottone!$A:$A,0)-1,MATCH(I751,Ottone!$F$1:$FF$1,0)-1))*IF(E751="Ottone",1,0),4)</f>
        <v>0</v>
      </c>
      <c r="R751" s="446">
        <f ca="1">ROUND(IF(ISERROR(OFFSET(Rame!$F$1,MATCH(H751,Rame!$F:$F,0)-1,MATCH(I751,Rame!$F$1:$FF$1,0)-1)=TRUE),0,OFFSET(Rame!$F$1,MATCH(H751,Rame!$F:$F,0)-1,MATCH(I751,Rame!$F$1:$FF$1,0)-1))*IF(E751="Rame",1,0),4)</f>
        <v>0</v>
      </c>
      <c r="S751" s="446">
        <f ca="1">ROUND(IF(ISERROR(OFFSET(Bronzo!$A$1,MATCH(H751,Bronzo!$A:$A,0)-1,MATCH(I751,Bronzo!$A$1:$AA$1,0)-1)=TRUE),0,OFFSET(Bronzo!$A$1,MATCH(H751,Bronzo!$A:$A,0)-1,MATCH(I751,Bronzo!$A$1:$AA$1,0)-1)),4)</f>
        <v>0</v>
      </c>
      <c r="T751" s="446">
        <f t="shared" ca="1" si="205"/>
        <v>0</v>
      </c>
      <c r="U751" s="443"/>
      <c r="V751" s="446">
        <v>0</v>
      </c>
      <c r="W751" s="449">
        <f t="shared" ca="1" si="206"/>
        <v>0</v>
      </c>
      <c r="X751" s="452">
        <f t="shared" si="204"/>
        <v>0</v>
      </c>
      <c r="Y751" s="440"/>
      <c r="Z751" s="440">
        <f t="shared" ca="1" si="207"/>
        <v>0</v>
      </c>
      <c r="AA751" s="241"/>
      <c r="AH751" s="242"/>
    </row>
    <row r="752" spans="2:34" ht="15.75" x14ac:dyDescent="0.25">
      <c r="B752" s="229"/>
      <c r="C752" s="235"/>
      <c r="D752" s="243"/>
      <c r="E752" s="232"/>
      <c r="F752" s="435"/>
      <c r="G752" s="234"/>
      <c r="H752" s="235"/>
      <c r="I752" s="235"/>
      <c r="J752" s="440"/>
      <c r="K752" s="443">
        <f ca="1">ROUND(IF(ISERROR(OFFSET(Tabella!$A$1,MATCH(H752,Tabella!$A:$A,0)-1,MATCH(J752,Tabella!$A$1:$AC$1,0)-1)=TRUE),0,+OFFSET(Tabella!$A$1,MATCH(H752,Tabella!$A:$A,0)-1,MATCH(J752,Tabella!$A$1:$AC$1,0)-1)),4)</f>
        <v>0</v>
      </c>
      <c r="L752" s="446">
        <f ca="1">ROUND(IF(ISERROR(OFFSET(Ottone!$A$1,MATCH(H752,Ottone!$A:$A,0)-1,MATCH(J752,Ottone!$A$1:$Z$1,0)-1)=TRUE),0,OFFSET(Ottone!$A$1,MATCH(H752,Ottone!$A:$A,0)-1,MATCH(J752,Ottone!$A$1:$Z$1,0)-1))*IF(E752="Ottone",1,0),4)</f>
        <v>0</v>
      </c>
      <c r="M752" s="446">
        <f ca="1">ROUND(IF(ISERROR(OFFSET(Rame!$A$1,MATCH(H752,Rame!$A:$A,0)-1,MATCH(J752,Rame!$A$1:$AA$1,0)-1)=TRUE),0,OFFSET(Rame!$A$1,MATCH(H752,Rame!$A:$A,0)-1,MATCH(J752,Rame!$A$1:$AA$1,0)-1))*IF(E752="Rame",1,0),4)</f>
        <v>0</v>
      </c>
      <c r="N752" s="446">
        <v>0</v>
      </c>
      <c r="O752" s="446">
        <f t="shared" ca="1" si="208"/>
        <v>0</v>
      </c>
      <c r="P752" s="446">
        <f ca="1">ROUND(+IF(ISERROR(OFFSET(Tabella!$G$1,MATCH(H752,Tabella!$G:$G,0)-1,MATCH(I752,Tabella!$G$1:$FG$1,0)-1)=TRUE),0,OFFSET(Tabella!$G$1,MATCH(H752,Tabella!$G:$G,0)-1,MATCH(I752,Tabella!$G$1:$AB$1,0)-1)),4)</f>
        <v>0</v>
      </c>
      <c r="Q752" s="446">
        <f ca="1">ROUND(IF(ISERROR(OFFSET(Ottone!$F$1,MATCH(H752,Ottone!$A:$A,0)-1,MATCH(I752,Ottone!$F$1:$FF$1,0)-1)=TRUE),0,OFFSET(Ottone!$F$1,MATCH(H752,Ottone!$A:$A,0)-1,MATCH(I752,Ottone!$F$1:$FF$1,0)-1))*IF(E752="Ottone",1,0),4)</f>
        <v>0</v>
      </c>
      <c r="R752" s="446">
        <f ca="1">ROUND(IF(ISERROR(OFFSET(Rame!$F$1,MATCH(H752,Rame!$F:$F,0)-1,MATCH(I752,Rame!$F$1:$FF$1,0)-1)=TRUE),0,OFFSET(Rame!$F$1,MATCH(H752,Rame!$F:$F,0)-1,MATCH(I752,Rame!$F$1:$FF$1,0)-1))*IF(E752="Rame",1,0),4)</f>
        <v>0</v>
      </c>
      <c r="S752" s="446">
        <f ca="1">ROUND(IF(ISERROR(OFFSET(Bronzo!$A$1,MATCH(H752,Bronzo!$A:$A,0)-1,MATCH(I752,Bronzo!$A$1:$AA$1,0)-1)=TRUE),0,OFFSET(Bronzo!$A$1,MATCH(H752,Bronzo!$A:$A,0)-1,MATCH(I752,Bronzo!$A$1:$AA$1,0)-1)),4)</f>
        <v>0</v>
      </c>
      <c r="T752" s="446">
        <f t="shared" ca="1" si="205"/>
        <v>0</v>
      </c>
      <c r="U752" s="443"/>
      <c r="V752" s="446">
        <v>0</v>
      </c>
      <c r="W752" s="449">
        <f t="shared" ca="1" si="206"/>
        <v>0</v>
      </c>
      <c r="X752" s="452">
        <f t="shared" si="204"/>
        <v>0</v>
      </c>
      <c r="Y752" s="440"/>
      <c r="Z752" s="440">
        <f t="shared" ca="1" si="207"/>
        <v>0</v>
      </c>
      <c r="AA752" s="241"/>
      <c r="AH752" s="242"/>
    </row>
    <row r="753" spans="2:34" ht="15.75" x14ac:dyDescent="0.25">
      <c r="B753" s="229"/>
      <c r="C753" s="235"/>
      <c r="D753" s="243"/>
      <c r="E753" s="232"/>
      <c r="F753" s="435"/>
      <c r="G753" s="234"/>
      <c r="H753" s="235"/>
      <c r="I753" s="235"/>
      <c r="J753" s="440"/>
      <c r="K753" s="443">
        <f ca="1">ROUND(IF(ISERROR(OFFSET(Tabella!$A$1,MATCH(H753,Tabella!$A:$A,0)-1,MATCH(J753,Tabella!$A$1:$AC$1,0)-1)=TRUE),0,+OFFSET(Tabella!$A$1,MATCH(H753,Tabella!$A:$A,0)-1,MATCH(J753,Tabella!$A$1:$AC$1,0)-1)),4)</f>
        <v>0</v>
      </c>
      <c r="L753" s="446">
        <f ca="1">ROUND(IF(ISERROR(OFFSET(Ottone!$A$1,MATCH(H753,Ottone!$A:$A,0)-1,MATCH(J753,Ottone!$A$1:$Z$1,0)-1)=TRUE),0,OFFSET(Ottone!$A$1,MATCH(H753,Ottone!$A:$A,0)-1,MATCH(J753,Ottone!$A$1:$Z$1,0)-1))*IF(E753="Ottone",1,0),4)</f>
        <v>0</v>
      </c>
      <c r="M753" s="446">
        <f ca="1">ROUND(IF(ISERROR(OFFSET(Rame!$A$1,MATCH(H753,Rame!$A:$A,0)-1,MATCH(J753,Rame!$A$1:$AA$1,0)-1)=TRUE),0,OFFSET(Rame!$A$1,MATCH(H753,Rame!$A:$A,0)-1,MATCH(J753,Rame!$A$1:$AA$1,0)-1))*IF(E753="Rame",1,0),4)</f>
        <v>0</v>
      </c>
      <c r="N753" s="446">
        <v>0</v>
      </c>
      <c r="O753" s="446">
        <f t="shared" ca="1" si="208"/>
        <v>0</v>
      </c>
      <c r="P753" s="446">
        <f ca="1">ROUND(+IF(ISERROR(OFFSET(Tabella!$G$1,MATCH(H753,Tabella!$G:$G,0)-1,MATCH(I753,Tabella!$G$1:$FG$1,0)-1)=TRUE),0,OFFSET(Tabella!$G$1,MATCH(H753,Tabella!$G:$G,0)-1,MATCH(I753,Tabella!$G$1:$AB$1,0)-1)),4)</f>
        <v>0</v>
      </c>
      <c r="Q753" s="446">
        <f ca="1">ROUND(IF(ISERROR(OFFSET(Ottone!$F$1,MATCH(H753,Ottone!$A:$A,0)-1,MATCH(I753,Ottone!$F$1:$FF$1,0)-1)=TRUE),0,OFFSET(Ottone!$F$1,MATCH(H753,Ottone!$A:$A,0)-1,MATCH(I753,Ottone!$F$1:$FF$1,0)-1))*IF(E753="Ottone",1,0),4)</f>
        <v>0</v>
      </c>
      <c r="R753" s="446">
        <f ca="1">ROUND(IF(ISERROR(OFFSET(Rame!$F$1,MATCH(H753,Rame!$F:$F,0)-1,MATCH(I753,Rame!$F$1:$FF$1,0)-1)=TRUE),0,OFFSET(Rame!$F$1,MATCH(H753,Rame!$F:$F,0)-1,MATCH(I753,Rame!$F$1:$FF$1,0)-1))*IF(E753="Rame",1,0),4)</f>
        <v>0</v>
      </c>
      <c r="S753" s="446">
        <f ca="1">ROUND(IF(ISERROR(OFFSET(Bronzo!$A$1,MATCH(H753,Bronzo!$A:$A,0)-1,MATCH(I753,Bronzo!$A$1:$AA$1,0)-1)=TRUE),0,OFFSET(Bronzo!$A$1,MATCH(H753,Bronzo!$A:$A,0)-1,MATCH(I753,Bronzo!$A$1:$AA$1,0)-1)),4)</f>
        <v>0</v>
      </c>
      <c r="T753" s="446">
        <f t="shared" ca="1" si="205"/>
        <v>0</v>
      </c>
      <c r="U753" s="443"/>
      <c r="V753" s="446">
        <v>0</v>
      </c>
      <c r="W753" s="449">
        <f t="shared" ca="1" si="206"/>
        <v>0</v>
      </c>
      <c r="X753" s="452">
        <f t="shared" si="204"/>
        <v>0</v>
      </c>
      <c r="Y753" s="440"/>
      <c r="Z753" s="440">
        <f t="shared" ca="1" si="207"/>
        <v>0</v>
      </c>
      <c r="AA753" s="241"/>
      <c r="AH753" s="242"/>
    </row>
    <row r="754" spans="2:34" ht="15.75" x14ac:dyDescent="0.25">
      <c r="B754" s="229"/>
      <c r="C754" s="235"/>
      <c r="D754" s="243"/>
      <c r="E754" s="232"/>
      <c r="F754" s="435"/>
      <c r="G754" s="234"/>
      <c r="H754" s="235"/>
      <c r="I754" s="235"/>
      <c r="J754" s="440"/>
      <c r="K754" s="443">
        <f ca="1">ROUND(IF(ISERROR(OFFSET(Tabella!$A$1,MATCH(H754,Tabella!$A:$A,0)-1,MATCH(J754,Tabella!$A$1:$AC$1,0)-1)=TRUE),0,+OFFSET(Tabella!$A$1,MATCH(H754,Tabella!$A:$A,0)-1,MATCH(J754,Tabella!$A$1:$AC$1,0)-1)),4)</f>
        <v>0</v>
      </c>
      <c r="L754" s="446">
        <f ca="1">ROUND(IF(ISERROR(OFFSET(Ottone!$A$1,MATCH(H754,Ottone!$A:$A,0)-1,MATCH(J754,Ottone!$A$1:$Z$1,0)-1)=TRUE),0,OFFSET(Ottone!$A$1,MATCH(H754,Ottone!$A:$A,0)-1,MATCH(J754,Ottone!$A$1:$Z$1,0)-1))*IF(E754="Ottone",1,0),4)</f>
        <v>0</v>
      </c>
      <c r="M754" s="446">
        <f ca="1">ROUND(IF(ISERROR(OFFSET(Rame!$A$1,MATCH(H754,Rame!$A:$A,0)-1,MATCH(J754,Rame!$A$1:$AA$1,0)-1)=TRUE),0,OFFSET(Rame!$A$1,MATCH(H754,Rame!$A:$A,0)-1,MATCH(J754,Rame!$A$1:$AA$1,0)-1))*IF(E754="Rame",1,0),4)</f>
        <v>0</v>
      </c>
      <c r="N754" s="446">
        <v>0</v>
      </c>
      <c r="O754" s="446">
        <f t="shared" ca="1" si="208"/>
        <v>0</v>
      </c>
      <c r="P754" s="446">
        <f ca="1">ROUND(+IF(ISERROR(OFFSET(Tabella!$G$1,MATCH(H754,Tabella!$G:$G,0)-1,MATCH(I754,Tabella!$G$1:$FG$1,0)-1)=TRUE),0,OFFSET(Tabella!$G$1,MATCH(H754,Tabella!$G:$G,0)-1,MATCH(I754,Tabella!$G$1:$AB$1,0)-1)),4)</f>
        <v>0</v>
      </c>
      <c r="Q754" s="446">
        <f ca="1">ROUND(IF(ISERROR(OFFSET(Ottone!$F$1,MATCH(H754,Ottone!$A:$A,0)-1,MATCH(I754,Ottone!$F$1:$FF$1,0)-1)=TRUE),0,OFFSET(Ottone!$F$1,MATCH(H754,Ottone!$A:$A,0)-1,MATCH(I754,Ottone!$F$1:$FF$1,0)-1))*IF(E754="Ottone",1,0),4)</f>
        <v>0</v>
      </c>
      <c r="R754" s="446">
        <f ca="1">ROUND(IF(ISERROR(OFFSET(Rame!$F$1,MATCH(H754,Rame!$F:$F,0)-1,MATCH(I754,Rame!$F$1:$FF$1,0)-1)=TRUE),0,OFFSET(Rame!$F$1,MATCH(H754,Rame!$F:$F,0)-1,MATCH(I754,Rame!$F$1:$FF$1,0)-1))*IF(E754="Rame",1,0),4)</f>
        <v>0</v>
      </c>
      <c r="S754" s="446">
        <f ca="1">ROUND(IF(ISERROR(OFFSET(Bronzo!$A$1,MATCH(H754,Bronzo!$A:$A,0)-1,MATCH(I754,Bronzo!$A$1:$AA$1,0)-1)=TRUE),0,OFFSET(Bronzo!$A$1,MATCH(H754,Bronzo!$A:$A,0)-1,MATCH(I754,Bronzo!$A$1:$AA$1,0)-1)),4)</f>
        <v>0</v>
      </c>
      <c r="T754" s="446">
        <f t="shared" ca="1" si="205"/>
        <v>0</v>
      </c>
      <c r="U754" s="443"/>
      <c r="V754" s="446">
        <v>0</v>
      </c>
      <c r="W754" s="449">
        <f t="shared" ca="1" si="206"/>
        <v>0</v>
      </c>
      <c r="X754" s="452">
        <f t="shared" si="204"/>
        <v>0</v>
      </c>
      <c r="Y754" s="440"/>
      <c r="Z754" s="440">
        <f t="shared" ca="1" si="207"/>
        <v>0</v>
      </c>
      <c r="AA754" s="241"/>
      <c r="AH754" s="242"/>
    </row>
    <row r="755" spans="2:34" ht="15.75" x14ac:dyDescent="0.25">
      <c r="B755" s="229"/>
      <c r="C755" s="235"/>
      <c r="D755" s="243"/>
      <c r="E755" s="232"/>
      <c r="F755" s="435"/>
      <c r="G755" s="234"/>
      <c r="H755" s="235"/>
      <c r="I755" s="235"/>
      <c r="J755" s="440"/>
      <c r="K755" s="443">
        <f ca="1">ROUND(IF(ISERROR(OFFSET(Tabella!$A$1,MATCH(H755,Tabella!$A:$A,0)-1,MATCH(J755,Tabella!$A$1:$AC$1,0)-1)=TRUE),0,+OFFSET(Tabella!$A$1,MATCH(H755,Tabella!$A:$A,0)-1,MATCH(J755,Tabella!$A$1:$AC$1,0)-1)),4)</f>
        <v>0</v>
      </c>
      <c r="L755" s="446">
        <f ca="1">ROUND(IF(ISERROR(OFFSET(Ottone!$A$1,MATCH(H755,Ottone!$A:$A,0)-1,MATCH(J755,Ottone!$A$1:$Z$1,0)-1)=TRUE),0,OFFSET(Ottone!$A$1,MATCH(H755,Ottone!$A:$A,0)-1,MATCH(J755,Ottone!$A$1:$Z$1,0)-1))*IF(E755="Ottone",1,0),4)</f>
        <v>0</v>
      </c>
      <c r="M755" s="446">
        <f ca="1">ROUND(IF(ISERROR(OFFSET(Rame!$A$1,MATCH(H755,Rame!$A:$A,0)-1,MATCH(J755,Rame!$A$1:$AA$1,0)-1)=TRUE),0,OFFSET(Rame!$A$1,MATCH(H755,Rame!$A:$A,0)-1,MATCH(J755,Rame!$A$1:$AA$1,0)-1))*IF(E755="Rame",1,0),4)</f>
        <v>0</v>
      </c>
      <c r="N755" s="446">
        <v>0</v>
      </c>
      <c r="O755" s="446">
        <f t="shared" ca="1" si="208"/>
        <v>0</v>
      </c>
      <c r="P755" s="446">
        <f ca="1">ROUND(+IF(ISERROR(OFFSET(Tabella!$G$1,MATCH(H755,Tabella!$G:$G,0)-1,MATCH(I755,Tabella!$G$1:$FG$1,0)-1)=TRUE),0,OFFSET(Tabella!$G$1,MATCH(H755,Tabella!$G:$G,0)-1,MATCH(I755,Tabella!$G$1:$AB$1,0)-1)),4)</f>
        <v>0</v>
      </c>
      <c r="Q755" s="446">
        <f ca="1">ROUND(IF(ISERROR(OFFSET(Ottone!$F$1,MATCH(H755,Ottone!$A:$A,0)-1,MATCH(I755,Ottone!$F$1:$FF$1,0)-1)=TRUE),0,OFFSET(Ottone!$F$1,MATCH(H755,Ottone!$A:$A,0)-1,MATCH(I755,Ottone!$F$1:$FF$1,0)-1))*IF(E755="Ottone",1,0),4)</f>
        <v>0</v>
      </c>
      <c r="R755" s="446">
        <f ca="1">ROUND(IF(ISERROR(OFFSET(Rame!$F$1,MATCH(H755,Rame!$F:$F,0)-1,MATCH(I755,Rame!$F$1:$FF$1,0)-1)=TRUE),0,OFFSET(Rame!$F$1,MATCH(H755,Rame!$F:$F,0)-1,MATCH(I755,Rame!$F$1:$FF$1,0)-1))*IF(E755="Rame",1,0),4)</f>
        <v>0</v>
      </c>
      <c r="S755" s="446">
        <f ca="1">ROUND(IF(ISERROR(OFFSET(Bronzo!$A$1,MATCH(H755,Bronzo!$A:$A,0)-1,MATCH(I755,Bronzo!$A$1:$AA$1,0)-1)=TRUE),0,OFFSET(Bronzo!$A$1,MATCH(H755,Bronzo!$A:$A,0)-1,MATCH(I755,Bronzo!$A$1:$AA$1,0)-1)),4)</f>
        <v>0</v>
      </c>
      <c r="T755" s="446">
        <f t="shared" ca="1" si="205"/>
        <v>0</v>
      </c>
      <c r="U755" s="443"/>
      <c r="V755" s="446">
        <v>0</v>
      </c>
      <c r="W755" s="449">
        <f t="shared" ca="1" si="206"/>
        <v>0</v>
      </c>
      <c r="X755" s="452">
        <f t="shared" si="204"/>
        <v>0</v>
      </c>
      <c r="Y755" s="440"/>
      <c r="Z755" s="440">
        <f t="shared" ca="1" si="207"/>
        <v>0</v>
      </c>
      <c r="AA755" s="241"/>
      <c r="AH755" s="242"/>
    </row>
    <row r="756" spans="2:34" ht="15.75" x14ac:dyDescent="0.25">
      <c r="B756" s="229"/>
      <c r="C756" s="235"/>
      <c r="D756" s="243"/>
      <c r="E756" s="232"/>
      <c r="F756" s="435"/>
      <c r="G756" s="234"/>
      <c r="H756" s="235"/>
      <c r="I756" s="235"/>
      <c r="J756" s="440"/>
      <c r="K756" s="443">
        <f ca="1">ROUND(IF(ISERROR(OFFSET(Tabella!$A$1,MATCH(H756,Tabella!$A:$A,0)-1,MATCH(J756,Tabella!$A$1:$AC$1,0)-1)=TRUE),0,+OFFSET(Tabella!$A$1,MATCH(H756,Tabella!$A:$A,0)-1,MATCH(J756,Tabella!$A$1:$AC$1,0)-1)),4)</f>
        <v>0</v>
      </c>
      <c r="L756" s="446">
        <f ca="1">ROUND(IF(ISERROR(OFFSET(Ottone!$A$1,MATCH(H756,Ottone!$A:$A,0)-1,MATCH(J756,Ottone!$A$1:$Z$1,0)-1)=TRUE),0,OFFSET(Ottone!$A$1,MATCH(H756,Ottone!$A:$A,0)-1,MATCH(J756,Ottone!$A$1:$Z$1,0)-1))*IF(E756="Ottone",1,0),4)</f>
        <v>0</v>
      </c>
      <c r="M756" s="446">
        <f ca="1">ROUND(IF(ISERROR(OFFSET(Rame!$A$1,MATCH(H756,Rame!$A:$A,0)-1,MATCH(J756,Rame!$A$1:$AA$1,0)-1)=TRUE),0,OFFSET(Rame!$A$1,MATCH(H756,Rame!$A:$A,0)-1,MATCH(J756,Rame!$A$1:$AA$1,0)-1))*IF(E756="Rame",1,0),4)</f>
        <v>0</v>
      </c>
      <c r="N756" s="446">
        <v>0</v>
      </c>
      <c r="O756" s="446">
        <f t="shared" ca="1" si="208"/>
        <v>0</v>
      </c>
      <c r="P756" s="446">
        <f ca="1">ROUND(+IF(ISERROR(OFFSET(Tabella!$G$1,MATCH(H756,Tabella!$G:$G,0)-1,MATCH(I756,Tabella!$G$1:$FG$1,0)-1)=TRUE),0,OFFSET(Tabella!$G$1,MATCH(H756,Tabella!$G:$G,0)-1,MATCH(I756,Tabella!$G$1:$AB$1,0)-1)),4)</f>
        <v>0</v>
      </c>
      <c r="Q756" s="446">
        <f ca="1">ROUND(IF(ISERROR(OFFSET(Ottone!$F$1,MATCH(H756,Ottone!$A:$A,0)-1,MATCH(I756,Ottone!$F$1:$FF$1,0)-1)=TRUE),0,OFFSET(Ottone!$F$1,MATCH(H756,Ottone!$A:$A,0)-1,MATCH(I756,Ottone!$F$1:$FF$1,0)-1))*IF(E756="Ottone",1,0),4)</f>
        <v>0</v>
      </c>
      <c r="R756" s="446">
        <f ca="1">ROUND(IF(ISERROR(OFFSET(Rame!$F$1,MATCH(H756,Rame!$F:$F,0)-1,MATCH(I756,Rame!$F$1:$FF$1,0)-1)=TRUE),0,OFFSET(Rame!$F$1,MATCH(H756,Rame!$F:$F,0)-1,MATCH(I756,Rame!$F$1:$FF$1,0)-1))*IF(E756="Rame",1,0),4)</f>
        <v>0</v>
      </c>
      <c r="S756" s="446">
        <f ca="1">ROUND(IF(ISERROR(OFFSET(Bronzo!$A$1,MATCH(H756,Bronzo!$A:$A,0)-1,MATCH(I756,Bronzo!$A$1:$AA$1,0)-1)=TRUE),0,OFFSET(Bronzo!$A$1,MATCH(H756,Bronzo!$A:$A,0)-1,MATCH(I756,Bronzo!$A$1:$AA$1,0)-1)),4)</f>
        <v>0</v>
      </c>
      <c r="T756" s="446">
        <f t="shared" ca="1" si="205"/>
        <v>0</v>
      </c>
      <c r="U756" s="443"/>
      <c r="V756" s="446">
        <v>0</v>
      </c>
      <c r="W756" s="449">
        <f t="shared" ca="1" si="206"/>
        <v>0</v>
      </c>
      <c r="X756" s="452">
        <f t="shared" si="204"/>
        <v>0</v>
      </c>
      <c r="Y756" s="440"/>
      <c r="Z756" s="440">
        <f t="shared" ca="1" si="207"/>
        <v>0</v>
      </c>
      <c r="AA756" s="241"/>
      <c r="AH756" s="242"/>
    </row>
    <row r="757" spans="2:34" ht="15.75" x14ac:dyDescent="0.25">
      <c r="B757" s="229"/>
      <c r="C757" s="235"/>
      <c r="D757" s="243"/>
      <c r="E757" s="232"/>
      <c r="F757" s="435"/>
      <c r="G757" s="234"/>
      <c r="H757" s="235"/>
      <c r="I757" s="235"/>
      <c r="J757" s="440"/>
      <c r="K757" s="443">
        <f ca="1">ROUND(IF(ISERROR(OFFSET(Tabella!$A$1,MATCH(H757,Tabella!$A:$A,0)-1,MATCH(J757,Tabella!$A$1:$AC$1,0)-1)=TRUE),0,+OFFSET(Tabella!$A$1,MATCH(H757,Tabella!$A:$A,0)-1,MATCH(J757,Tabella!$A$1:$AC$1,0)-1)),4)</f>
        <v>0</v>
      </c>
      <c r="L757" s="446">
        <f ca="1">ROUND(IF(ISERROR(OFFSET(Ottone!$A$1,MATCH(H757,Ottone!$A:$A,0)-1,MATCH(J757,Ottone!$A$1:$Z$1,0)-1)=TRUE),0,OFFSET(Ottone!$A$1,MATCH(H757,Ottone!$A:$A,0)-1,MATCH(J757,Ottone!$A$1:$Z$1,0)-1))*IF(E757="Ottone",1,0),4)</f>
        <v>0</v>
      </c>
      <c r="M757" s="446">
        <f ca="1">ROUND(IF(ISERROR(OFFSET(Rame!$A$1,MATCH(H757,Rame!$A:$A,0)-1,MATCH(J757,Rame!$A$1:$AA$1,0)-1)=TRUE),0,OFFSET(Rame!$A$1,MATCH(H757,Rame!$A:$A,0)-1,MATCH(J757,Rame!$A$1:$AA$1,0)-1))*IF(E757="Rame",1,0),4)</f>
        <v>0</v>
      </c>
      <c r="N757" s="446">
        <v>0</v>
      </c>
      <c r="O757" s="446">
        <f t="shared" ca="1" si="208"/>
        <v>0</v>
      </c>
      <c r="P757" s="446">
        <f ca="1">ROUND(+IF(ISERROR(OFFSET(Tabella!$G$1,MATCH(H757,Tabella!$G:$G,0)-1,MATCH(I757,Tabella!$G$1:$FG$1,0)-1)=TRUE),0,OFFSET(Tabella!$G$1,MATCH(H757,Tabella!$G:$G,0)-1,MATCH(I757,Tabella!$G$1:$AB$1,0)-1)),4)</f>
        <v>0</v>
      </c>
      <c r="Q757" s="446">
        <f ca="1">ROUND(IF(ISERROR(OFFSET(Ottone!$F$1,MATCH(H757,Ottone!$A:$A,0)-1,MATCH(I757,Ottone!$F$1:$FF$1,0)-1)=TRUE),0,OFFSET(Ottone!$F$1,MATCH(H757,Ottone!$A:$A,0)-1,MATCH(I757,Ottone!$F$1:$FF$1,0)-1))*IF(E757="Ottone",1,0),4)</f>
        <v>0</v>
      </c>
      <c r="R757" s="446">
        <f ca="1">ROUND(IF(ISERROR(OFFSET(Rame!$F$1,MATCH(H757,Rame!$F:$F,0)-1,MATCH(I757,Rame!$F$1:$FF$1,0)-1)=TRUE),0,OFFSET(Rame!$F$1,MATCH(H757,Rame!$F:$F,0)-1,MATCH(I757,Rame!$F$1:$FF$1,0)-1))*IF(E757="Rame",1,0),4)</f>
        <v>0</v>
      </c>
      <c r="S757" s="446">
        <f ca="1">ROUND(IF(ISERROR(OFFSET(Bronzo!$A$1,MATCH(H757,Bronzo!$A:$A,0)-1,MATCH(I757,Bronzo!$A$1:$AA$1,0)-1)=TRUE),0,OFFSET(Bronzo!$A$1,MATCH(H757,Bronzo!$A:$A,0)-1,MATCH(I757,Bronzo!$A$1:$AA$1,0)-1)),4)</f>
        <v>0</v>
      </c>
      <c r="T757" s="446">
        <f t="shared" ca="1" si="205"/>
        <v>0</v>
      </c>
      <c r="U757" s="443"/>
      <c r="V757" s="446">
        <v>0</v>
      </c>
      <c r="W757" s="449">
        <f t="shared" ca="1" si="206"/>
        <v>0</v>
      </c>
      <c r="X757" s="452">
        <f t="shared" si="204"/>
        <v>0</v>
      </c>
      <c r="Y757" s="440"/>
      <c r="Z757" s="440">
        <f t="shared" ca="1" si="207"/>
        <v>0</v>
      </c>
      <c r="AA757" s="241"/>
      <c r="AH757" s="242"/>
    </row>
    <row r="758" spans="2:34" ht="15.75" x14ac:dyDescent="0.25">
      <c r="B758" s="229"/>
      <c r="C758" s="235"/>
      <c r="D758" s="243"/>
      <c r="E758" s="232"/>
      <c r="F758" s="435"/>
      <c r="G758" s="234"/>
      <c r="H758" s="235"/>
      <c r="I758" s="235"/>
      <c r="J758" s="440"/>
      <c r="K758" s="443">
        <f ca="1">ROUND(IF(ISERROR(OFFSET(Tabella!$A$1,MATCH(H758,Tabella!$A:$A,0)-1,MATCH(J758,Tabella!$A$1:$AC$1,0)-1)=TRUE),0,+OFFSET(Tabella!$A$1,MATCH(H758,Tabella!$A:$A,0)-1,MATCH(J758,Tabella!$A$1:$AC$1,0)-1)),4)</f>
        <v>0</v>
      </c>
      <c r="L758" s="446">
        <f ca="1">ROUND(IF(ISERROR(OFFSET(Ottone!$A$1,MATCH(H758,Ottone!$A:$A,0)-1,MATCH(J758,Ottone!$A$1:$Z$1,0)-1)=TRUE),0,OFFSET(Ottone!$A$1,MATCH(H758,Ottone!$A:$A,0)-1,MATCH(J758,Ottone!$A$1:$Z$1,0)-1))*IF(E758="Ottone",1,0),4)</f>
        <v>0</v>
      </c>
      <c r="M758" s="446">
        <f ca="1">ROUND(IF(ISERROR(OFFSET(Rame!$A$1,MATCH(H758,Rame!$A:$A,0)-1,MATCH(J758,Rame!$A$1:$AA$1,0)-1)=TRUE),0,OFFSET(Rame!$A$1,MATCH(H758,Rame!$A:$A,0)-1,MATCH(J758,Rame!$A$1:$AA$1,0)-1))*IF(E758="Rame",1,0),4)</f>
        <v>0</v>
      </c>
      <c r="N758" s="446">
        <v>0</v>
      </c>
      <c r="O758" s="446">
        <f t="shared" ca="1" si="208"/>
        <v>0</v>
      </c>
      <c r="P758" s="446">
        <f ca="1">ROUND(+IF(ISERROR(OFFSET(Tabella!$G$1,MATCH(H758,Tabella!$G:$G,0)-1,MATCH(I758,Tabella!$G$1:$FG$1,0)-1)=TRUE),0,OFFSET(Tabella!$G$1,MATCH(H758,Tabella!$G:$G,0)-1,MATCH(I758,Tabella!$G$1:$AB$1,0)-1)),4)</f>
        <v>0</v>
      </c>
      <c r="Q758" s="446">
        <f ca="1">ROUND(IF(ISERROR(OFFSET(Ottone!$F$1,MATCH(H758,Ottone!$A:$A,0)-1,MATCH(I758,Ottone!$F$1:$FF$1,0)-1)=TRUE),0,OFFSET(Ottone!$F$1,MATCH(H758,Ottone!$A:$A,0)-1,MATCH(I758,Ottone!$F$1:$FF$1,0)-1))*IF(E758="Ottone",1,0),4)</f>
        <v>0</v>
      </c>
      <c r="R758" s="446">
        <f ca="1">ROUND(IF(ISERROR(OFFSET(Rame!$F$1,MATCH(H758,Rame!$F:$F,0)-1,MATCH(I758,Rame!$F$1:$FF$1,0)-1)=TRUE),0,OFFSET(Rame!$F$1,MATCH(H758,Rame!$F:$F,0)-1,MATCH(I758,Rame!$F$1:$FF$1,0)-1))*IF(E758="Rame",1,0),4)</f>
        <v>0</v>
      </c>
      <c r="S758" s="446">
        <f ca="1">ROUND(IF(ISERROR(OFFSET(Bronzo!$A$1,MATCH(H758,Bronzo!$A:$A,0)-1,MATCH(I758,Bronzo!$A$1:$AA$1,0)-1)=TRUE),0,OFFSET(Bronzo!$A$1,MATCH(H758,Bronzo!$A:$A,0)-1,MATCH(I758,Bronzo!$A$1:$AA$1,0)-1)),4)</f>
        <v>0</v>
      </c>
      <c r="T758" s="446">
        <f t="shared" ca="1" si="205"/>
        <v>0</v>
      </c>
      <c r="U758" s="443"/>
      <c r="V758" s="446">
        <v>0</v>
      </c>
      <c r="W758" s="449">
        <f t="shared" ca="1" si="206"/>
        <v>0</v>
      </c>
      <c r="X758" s="452">
        <f t="shared" si="204"/>
        <v>0</v>
      </c>
      <c r="Y758" s="440"/>
      <c r="Z758" s="440">
        <f t="shared" ca="1" si="207"/>
        <v>0</v>
      </c>
      <c r="AA758" s="241"/>
      <c r="AH758" s="242"/>
    </row>
    <row r="759" spans="2:34" ht="15.75" x14ac:dyDescent="0.25">
      <c r="B759" s="229"/>
      <c r="C759" s="235"/>
      <c r="D759" s="243"/>
      <c r="E759" s="232"/>
      <c r="F759" s="435"/>
      <c r="G759" s="234"/>
      <c r="H759" s="235"/>
      <c r="I759" s="235"/>
      <c r="J759" s="440"/>
      <c r="K759" s="443">
        <f ca="1">ROUND(IF(ISERROR(OFFSET(Tabella!$A$1,MATCH(H759,Tabella!$A:$A,0)-1,MATCH(J759,Tabella!$A$1:$AC$1,0)-1)=TRUE),0,+OFFSET(Tabella!$A$1,MATCH(H759,Tabella!$A:$A,0)-1,MATCH(J759,Tabella!$A$1:$AC$1,0)-1)),4)</f>
        <v>0</v>
      </c>
      <c r="L759" s="446">
        <f ca="1">ROUND(IF(ISERROR(OFFSET(Ottone!$A$1,MATCH(H759,Ottone!$A:$A,0)-1,MATCH(J759,Ottone!$A$1:$Z$1,0)-1)=TRUE),0,OFFSET(Ottone!$A$1,MATCH(H759,Ottone!$A:$A,0)-1,MATCH(J759,Ottone!$A$1:$Z$1,0)-1))*IF(E759="Ottone",1,0),4)</f>
        <v>0</v>
      </c>
      <c r="M759" s="446">
        <f ca="1">ROUND(IF(ISERROR(OFFSET(Rame!$A$1,MATCH(H759,Rame!$A:$A,0)-1,MATCH(J759,Rame!$A$1:$AA$1,0)-1)=TRUE),0,OFFSET(Rame!$A$1,MATCH(H759,Rame!$A:$A,0)-1,MATCH(J759,Rame!$A$1:$AA$1,0)-1))*IF(E759="Rame",1,0),4)</f>
        <v>0</v>
      </c>
      <c r="N759" s="446">
        <v>0</v>
      </c>
      <c r="O759" s="446">
        <f t="shared" ca="1" si="208"/>
        <v>0</v>
      </c>
      <c r="P759" s="446">
        <f ca="1">ROUND(+IF(ISERROR(OFFSET(Tabella!$G$1,MATCH(H759,Tabella!$G:$G,0)-1,MATCH(I759,Tabella!$G$1:$FG$1,0)-1)=TRUE),0,OFFSET(Tabella!$G$1,MATCH(H759,Tabella!$G:$G,0)-1,MATCH(I759,Tabella!$G$1:$AB$1,0)-1)),4)</f>
        <v>0</v>
      </c>
      <c r="Q759" s="446">
        <f ca="1">ROUND(IF(ISERROR(OFFSET(Ottone!$F$1,MATCH(H759,Ottone!$A:$A,0)-1,MATCH(I759,Ottone!$F$1:$FF$1,0)-1)=TRUE),0,OFFSET(Ottone!$F$1,MATCH(H759,Ottone!$A:$A,0)-1,MATCH(I759,Ottone!$F$1:$FF$1,0)-1))*IF(E759="Ottone",1,0),4)</f>
        <v>0</v>
      </c>
      <c r="R759" s="446">
        <f ca="1">ROUND(IF(ISERROR(OFFSET(Rame!$F$1,MATCH(H759,Rame!$F:$F,0)-1,MATCH(I759,Rame!$F$1:$FF$1,0)-1)=TRUE),0,OFFSET(Rame!$F$1,MATCH(H759,Rame!$F:$F,0)-1,MATCH(I759,Rame!$F$1:$FF$1,0)-1))*IF(E759="Rame",1,0),4)</f>
        <v>0</v>
      </c>
      <c r="S759" s="446">
        <f ca="1">ROUND(IF(ISERROR(OFFSET(Bronzo!$A$1,MATCH(H759,Bronzo!$A:$A,0)-1,MATCH(I759,Bronzo!$A$1:$AA$1,0)-1)=TRUE),0,OFFSET(Bronzo!$A$1,MATCH(H759,Bronzo!$A:$A,0)-1,MATCH(I759,Bronzo!$A$1:$AA$1,0)-1)),4)</f>
        <v>0</v>
      </c>
      <c r="T759" s="446">
        <f t="shared" ca="1" si="205"/>
        <v>0</v>
      </c>
      <c r="U759" s="443"/>
      <c r="V759" s="446">
        <v>0</v>
      </c>
      <c r="W759" s="449">
        <f t="shared" ca="1" si="206"/>
        <v>0</v>
      </c>
      <c r="X759" s="452">
        <f t="shared" si="204"/>
        <v>0</v>
      </c>
      <c r="Y759" s="440"/>
      <c r="Z759" s="440">
        <f t="shared" ca="1" si="207"/>
        <v>0</v>
      </c>
      <c r="AA759" s="241"/>
      <c r="AH759" s="242"/>
    </row>
    <row r="760" spans="2:34" ht="15.75" x14ac:dyDescent="0.25">
      <c r="B760" s="229"/>
      <c r="C760" s="235"/>
      <c r="D760" s="243"/>
      <c r="E760" s="232"/>
      <c r="F760" s="435"/>
      <c r="G760" s="234"/>
      <c r="H760" s="235"/>
      <c r="I760" s="235"/>
      <c r="J760" s="440"/>
      <c r="K760" s="443">
        <f ca="1">ROUND(IF(ISERROR(OFFSET(Tabella!$A$1,MATCH(H760,Tabella!$A:$A,0)-1,MATCH(J760,Tabella!$A$1:$AC$1,0)-1)=TRUE),0,+OFFSET(Tabella!$A$1,MATCH(H760,Tabella!$A:$A,0)-1,MATCH(J760,Tabella!$A$1:$AC$1,0)-1)),4)</f>
        <v>0</v>
      </c>
      <c r="L760" s="446">
        <f ca="1">ROUND(IF(ISERROR(OFFSET(Ottone!$A$1,MATCH(H760,Ottone!$A:$A,0)-1,MATCH(J760,Ottone!$A$1:$Z$1,0)-1)=TRUE),0,OFFSET(Ottone!$A$1,MATCH(H760,Ottone!$A:$A,0)-1,MATCH(J760,Ottone!$A$1:$Z$1,0)-1))*IF(E760="Ottone",1,0),4)</f>
        <v>0</v>
      </c>
      <c r="M760" s="446">
        <f ca="1">ROUND(IF(ISERROR(OFFSET(Rame!$A$1,MATCH(H760,Rame!$A:$A,0)-1,MATCH(J760,Rame!$A$1:$AA$1,0)-1)=TRUE),0,OFFSET(Rame!$A$1,MATCH(H760,Rame!$A:$A,0)-1,MATCH(J760,Rame!$A$1:$AA$1,0)-1))*IF(E760="Rame",1,0),4)</f>
        <v>0</v>
      </c>
      <c r="N760" s="446">
        <v>0</v>
      </c>
      <c r="O760" s="446">
        <f t="shared" ca="1" si="208"/>
        <v>0</v>
      </c>
      <c r="P760" s="446">
        <f ca="1">ROUND(+IF(ISERROR(OFFSET(Tabella!$G$1,MATCH(H760,Tabella!$G:$G,0)-1,MATCH(I760,Tabella!$G$1:$FG$1,0)-1)=TRUE),0,OFFSET(Tabella!$G$1,MATCH(H760,Tabella!$G:$G,0)-1,MATCH(I760,Tabella!$G$1:$AB$1,0)-1)),4)</f>
        <v>0</v>
      </c>
      <c r="Q760" s="446">
        <f ca="1">ROUND(IF(ISERROR(OFFSET(Ottone!$F$1,MATCH(H760,Ottone!$A:$A,0)-1,MATCH(I760,Ottone!$F$1:$FF$1,0)-1)=TRUE),0,OFFSET(Ottone!$F$1,MATCH(H760,Ottone!$A:$A,0)-1,MATCH(I760,Ottone!$F$1:$FF$1,0)-1))*IF(E760="Ottone",1,0),4)</f>
        <v>0</v>
      </c>
      <c r="R760" s="446">
        <f ca="1">ROUND(IF(ISERROR(OFFSET(Rame!$F$1,MATCH(H760,Rame!$F:$F,0)-1,MATCH(I760,Rame!$F$1:$FF$1,0)-1)=TRUE),0,OFFSET(Rame!$F$1,MATCH(H760,Rame!$F:$F,0)-1,MATCH(I760,Rame!$F$1:$FF$1,0)-1))*IF(E760="Rame",1,0),4)</f>
        <v>0</v>
      </c>
      <c r="S760" s="446">
        <f ca="1">ROUND(IF(ISERROR(OFFSET(Bronzo!$A$1,MATCH(H760,Bronzo!$A:$A,0)-1,MATCH(I760,Bronzo!$A$1:$AA$1,0)-1)=TRUE),0,OFFSET(Bronzo!$A$1,MATCH(H760,Bronzo!$A:$A,0)-1,MATCH(I760,Bronzo!$A$1:$AA$1,0)-1)),4)</f>
        <v>0</v>
      </c>
      <c r="T760" s="446">
        <f t="shared" ca="1" si="205"/>
        <v>0</v>
      </c>
      <c r="U760" s="443"/>
      <c r="V760" s="446">
        <v>0</v>
      </c>
      <c r="W760" s="449">
        <f t="shared" ca="1" si="206"/>
        <v>0</v>
      </c>
      <c r="X760" s="452">
        <f t="shared" si="204"/>
        <v>0</v>
      </c>
      <c r="Y760" s="440"/>
      <c r="Z760" s="440">
        <f t="shared" ca="1" si="207"/>
        <v>0</v>
      </c>
      <c r="AA760" s="241"/>
      <c r="AH760" s="242"/>
    </row>
    <row r="761" spans="2:34" ht="15.75" x14ac:dyDescent="0.25">
      <c r="B761" s="229"/>
      <c r="C761" s="235"/>
      <c r="D761" s="243"/>
      <c r="E761" s="232"/>
      <c r="F761" s="435"/>
      <c r="G761" s="234"/>
      <c r="H761" s="235"/>
      <c r="I761" s="235"/>
      <c r="J761" s="440"/>
      <c r="K761" s="443">
        <f ca="1">ROUND(IF(ISERROR(OFFSET(Tabella!$A$1,MATCH(H761,Tabella!$A:$A,0)-1,MATCH(J761,Tabella!$A$1:$AC$1,0)-1)=TRUE),0,+OFFSET(Tabella!$A$1,MATCH(H761,Tabella!$A:$A,0)-1,MATCH(J761,Tabella!$A$1:$AC$1,0)-1)),4)</f>
        <v>0</v>
      </c>
      <c r="L761" s="446">
        <f ca="1">ROUND(IF(ISERROR(OFFSET(Ottone!$A$1,MATCH(H761,Ottone!$A:$A,0)-1,MATCH(J761,Ottone!$A$1:$Z$1,0)-1)=TRUE),0,OFFSET(Ottone!$A$1,MATCH(H761,Ottone!$A:$A,0)-1,MATCH(J761,Ottone!$A$1:$Z$1,0)-1))*IF(E761="Ottone",1,0),4)</f>
        <v>0</v>
      </c>
      <c r="M761" s="446">
        <f ca="1">ROUND(IF(ISERROR(OFFSET(Rame!$A$1,MATCH(H761,Rame!$A:$A,0)-1,MATCH(J761,Rame!$A$1:$AA$1,0)-1)=TRUE),0,OFFSET(Rame!$A$1,MATCH(H761,Rame!$A:$A,0)-1,MATCH(J761,Rame!$A$1:$AA$1,0)-1))*IF(E761="Rame",1,0),4)</f>
        <v>0</v>
      </c>
      <c r="N761" s="446">
        <v>0</v>
      </c>
      <c r="O761" s="446">
        <f t="shared" ca="1" si="208"/>
        <v>0</v>
      </c>
      <c r="P761" s="446">
        <f ca="1">ROUND(+IF(ISERROR(OFFSET(Tabella!$G$1,MATCH(H761,Tabella!$G:$G,0)-1,MATCH(I761,Tabella!$G$1:$FG$1,0)-1)=TRUE),0,OFFSET(Tabella!$G$1,MATCH(H761,Tabella!$G:$G,0)-1,MATCH(I761,Tabella!$G$1:$AB$1,0)-1)),4)</f>
        <v>0</v>
      </c>
      <c r="Q761" s="446">
        <f ca="1">ROUND(IF(ISERROR(OFFSET(Ottone!$F$1,MATCH(H761,Ottone!$A:$A,0)-1,MATCH(I761,Ottone!$F$1:$FF$1,0)-1)=TRUE),0,OFFSET(Ottone!$F$1,MATCH(H761,Ottone!$A:$A,0)-1,MATCH(I761,Ottone!$F$1:$FF$1,0)-1))*IF(E761="Ottone",1,0),4)</f>
        <v>0</v>
      </c>
      <c r="R761" s="446">
        <f ca="1">ROUND(IF(ISERROR(OFFSET(Rame!$F$1,MATCH(H761,Rame!$F:$F,0)-1,MATCH(I761,Rame!$F$1:$FF$1,0)-1)=TRUE),0,OFFSET(Rame!$F$1,MATCH(H761,Rame!$F:$F,0)-1,MATCH(I761,Rame!$F$1:$FF$1,0)-1))*IF(E761="Rame",1,0),4)</f>
        <v>0</v>
      </c>
      <c r="S761" s="446">
        <f ca="1">ROUND(IF(ISERROR(OFFSET(Bronzo!$A$1,MATCH(H761,Bronzo!$A:$A,0)-1,MATCH(I761,Bronzo!$A$1:$AA$1,0)-1)=TRUE),0,OFFSET(Bronzo!$A$1,MATCH(H761,Bronzo!$A:$A,0)-1,MATCH(I761,Bronzo!$A$1:$AA$1,0)-1)),4)</f>
        <v>0</v>
      </c>
      <c r="T761" s="446">
        <f t="shared" ca="1" si="205"/>
        <v>0</v>
      </c>
      <c r="U761" s="443"/>
      <c r="V761" s="446">
        <v>0</v>
      </c>
      <c r="W761" s="449">
        <f t="shared" ca="1" si="206"/>
        <v>0</v>
      </c>
      <c r="X761" s="452">
        <f t="shared" si="204"/>
        <v>0</v>
      </c>
      <c r="Y761" s="440"/>
      <c r="Z761" s="440">
        <f t="shared" ca="1" si="207"/>
        <v>0</v>
      </c>
      <c r="AA761" s="241"/>
      <c r="AH761" s="242"/>
    </row>
    <row r="762" spans="2:34" ht="15.75" x14ac:dyDescent="0.25">
      <c r="B762" s="229"/>
      <c r="C762" s="235"/>
      <c r="D762" s="243"/>
      <c r="E762" s="232"/>
      <c r="F762" s="435"/>
      <c r="G762" s="234"/>
      <c r="H762" s="235"/>
      <c r="I762" s="235"/>
      <c r="J762" s="440"/>
      <c r="K762" s="443">
        <f ca="1">ROUND(IF(ISERROR(OFFSET(Tabella!$A$1,MATCH(H762,Tabella!$A:$A,0)-1,MATCH(J762,Tabella!$A$1:$AC$1,0)-1)=TRUE),0,+OFFSET(Tabella!$A$1,MATCH(H762,Tabella!$A:$A,0)-1,MATCH(J762,Tabella!$A$1:$AC$1,0)-1)),4)</f>
        <v>0</v>
      </c>
      <c r="L762" s="446">
        <f ca="1">ROUND(IF(ISERROR(OFFSET(Ottone!$A$1,MATCH(H762,Ottone!$A:$A,0)-1,MATCH(J762,Ottone!$A$1:$Z$1,0)-1)=TRUE),0,OFFSET(Ottone!$A$1,MATCH(H762,Ottone!$A:$A,0)-1,MATCH(J762,Ottone!$A$1:$Z$1,0)-1))*IF(E762="Ottone",1,0),4)</f>
        <v>0</v>
      </c>
      <c r="M762" s="446">
        <f ca="1">ROUND(IF(ISERROR(OFFSET(Rame!$A$1,MATCH(H762,Rame!$A:$A,0)-1,MATCH(J762,Rame!$A$1:$AA$1,0)-1)=TRUE),0,OFFSET(Rame!$A$1,MATCH(H762,Rame!$A:$A,0)-1,MATCH(J762,Rame!$A$1:$AA$1,0)-1))*IF(E762="Rame",1,0),4)</f>
        <v>0</v>
      </c>
      <c r="N762" s="446">
        <v>0</v>
      </c>
      <c r="O762" s="446">
        <f t="shared" ca="1" si="208"/>
        <v>0</v>
      </c>
      <c r="P762" s="446">
        <f ca="1">ROUND(+IF(ISERROR(OFFSET(Tabella!$G$1,MATCH(H762,Tabella!$G:$G,0)-1,MATCH(I762,Tabella!$G$1:$FG$1,0)-1)=TRUE),0,OFFSET(Tabella!$G$1,MATCH(H762,Tabella!$G:$G,0)-1,MATCH(I762,Tabella!$G$1:$AB$1,0)-1)),4)</f>
        <v>0</v>
      </c>
      <c r="Q762" s="446">
        <f ca="1">ROUND(IF(ISERROR(OFFSET(Ottone!$F$1,MATCH(H762,Ottone!$A:$A,0)-1,MATCH(I762,Ottone!$F$1:$FF$1,0)-1)=TRUE),0,OFFSET(Ottone!$F$1,MATCH(H762,Ottone!$A:$A,0)-1,MATCH(I762,Ottone!$F$1:$FF$1,0)-1))*IF(E762="Ottone",1,0),4)</f>
        <v>0</v>
      </c>
      <c r="R762" s="446">
        <f ca="1">ROUND(IF(ISERROR(OFFSET(Rame!$F$1,MATCH(H762,Rame!$F:$F,0)-1,MATCH(I762,Rame!$F$1:$FF$1,0)-1)=TRUE),0,OFFSET(Rame!$F$1,MATCH(H762,Rame!$F:$F,0)-1,MATCH(I762,Rame!$F$1:$FF$1,0)-1))*IF(E762="Rame",1,0),4)</f>
        <v>0</v>
      </c>
      <c r="S762" s="446">
        <f ca="1">ROUND(IF(ISERROR(OFFSET(Bronzo!$A$1,MATCH(H762,Bronzo!$A:$A,0)-1,MATCH(I762,Bronzo!$A$1:$AA$1,0)-1)=TRUE),0,OFFSET(Bronzo!$A$1,MATCH(H762,Bronzo!$A:$A,0)-1,MATCH(I762,Bronzo!$A$1:$AA$1,0)-1)),4)</f>
        <v>0</v>
      </c>
      <c r="T762" s="446">
        <f t="shared" ca="1" si="205"/>
        <v>0</v>
      </c>
      <c r="U762" s="443"/>
      <c r="V762" s="446">
        <v>0</v>
      </c>
      <c r="W762" s="449">
        <f t="shared" ca="1" si="206"/>
        <v>0</v>
      </c>
      <c r="X762" s="452">
        <f t="shared" si="204"/>
        <v>0</v>
      </c>
      <c r="Y762" s="440"/>
      <c r="Z762" s="440">
        <f t="shared" ca="1" si="207"/>
        <v>0</v>
      </c>
      <c r="AA762" s="241"/>
      <c r="AH762" s="242"/>
    </row>
    <row r="763" spans="2:34" ht="15.75" x14ac:dyDescent="0.25">
      <c r="B763" s="229"/>
      <c r="C763" s="235"/>
      <c r="D763" s="243"/>
      <c r="E763" s="232"/>
      <c r="F763" s="435"/>
      <c r="G763" s="234"/>
      <c r="H763" s="235"/>
      <c r="I763" s="235"/>
      <c r="J763" s="440"/>
      <c r="K763" s="443">
        <f ca="1">ROUND(IF(ISERROR(OFFSET(Tabella!$A$1,MATCH(H763,Tabella!$A:$A,0)-1,MATCH(J763,Tabella!$A$1:$AC$1,0)-1)=TRUE),0,+OFFSET(Tabella!$A$1,MATCH(H763,Tabella!$A:$A,0)-1,MATCH(J763,Tabella!$A$1:$AC$1,0)-1)),4)</f>
        <v>0</v>
      </c>
      <c r="L763" s="446">
        <f ca="1">ROUND(IF(ISERROR(OFFSET(Ottone!$A$1,MATCH(H763,Ottone!$A:$A,0)-1,MATCH(J763,Ottone!$A$1:$Z$1,0)-1)=TRUE),0,OFFSET(Ottone!$A$1,MATCH(H763,Ottone!$A:$A,0)-1,MATCH(J763,Ottone!$A$1:$Z$1,0)-1))*IF(E763="Ottone",1,0),4)</f>
        <v>0</v>
      </c>
      <c r="M763" s="446">
        <f ca="1">ROUND(IF(ISERROR(OFFSET(Rame!$A$1,MATCH(H763,Rame!$A:$A,0)-1,MATCH(J763,Rame!$A$1:$AA$1,0)-1)=TRUE),0,OFFSET(Rame!$A$1,MATCH(H763,Rame!$A:$A,0)-1,MATCH(J763,Rame!$A$1:$AA$1,0)-1))*IF(E763="Rame",1,0),4)</f>
        <v>0</v>
      </c>
      <c r="N763" s="446">
        <v>0</v>
      </c>
      <c r="O763" s="446">
        <f t="shared" ca="1" si="208"/>
        <v>0</v>
      </c>
      <c r="P763" s="446">
        <f ca="1">ROUND(+IF(ISERROR(OFFSET(Tabella!$G$1,MATCH(H763,Tabella!$G:$G,0)-1,MATCH(I763,Tabella!$G$1:$FG$1,0)-1)=TRUE),0,OFFSET(Tabella!$G$1,MATCH(H763,Tabella!$G:$G,0)-1,MATCH(I763,Tabella!$G$1:$AB$1,0)-1)),4)</f>
        <v>0</v>
      </c>
      <c r="Q763" s="446">
        <f ca="1">ROUND(IF(ISERROR(OFFSET(Ottone!$F$1,MATCH(H763,Ottone!$A:$A,0)-1,MATCH(I763,Ottone!$F$1:$FF$1,0)-1)=TRUE),0,OFFSET(Ottone!$F$1,MATCH(H763,Ottone!$A:$A,0)-1,MATCH(I763,Ottone!$F$1:$FF$1,0)-1))*IF(E763="Ottone",1,0),4)</f>
        <v>0</v>
      </c>
      <c r="R763" s="446">
        <f ca="1">ROUND(IF(ISERROR(OFFSET(Rame!$F$1,MATCH(H763,Rame!$F:$F,0)-1,MATCH(I763,Rame!$F$1:$FF$1,0)-1)=TRUE),0,OFFSET(Rame!$F$1,MATCH(H763,Rame!$F:$F,0)-1,MATCH(I763,Rame!$F$1:$FF$1,0)-1))*IF(E763="Rame",1,0),4)</f>
        <v>0</v>
      </c>
      <c r="S763" s="446">
        <f ca="1">ROUND(IF(ISERROR(OFFSET(Bronzo!$A$1,MATCH(H763,Bronzo!$A:$A,0)-1,MATCH(I763,Bronzo!$A$1:$AA$1,0)-1)=TRUE),0,OFFSET(Bronzo!$A$1,MATCH(H763,Bronzo!$A:$A,0)-1,MATCH(I763,Bronzo!$A$1:$AA$1,0)-1)),4)</f>
        <v>0</v>
      </c>
      <c r="T763" s="446">
        <f t="shared" ca="1" si="205"/>
        <v>0</v>
      </c>
      <c r="U763" s="443"/>
      <c r="V763" s="446">
        <v>0</v>
      </c>
      <c r="W763" s="449">
        <f t="shared" ca="1" si="206"/>
        <v>0</v>
      </c>
      <c r="X763" s="452">
        <f t="shared" si="204"/>
        <v>0</v>
      </c>
      <c r="Y763" s="440"/>
      <c r="Z763" s="440">
        <f t="shared" ca="1" si="207"/>
        <v>0</v>
      </c>
      <c r="AA763" s="241"/>
      <c r="AH763" s="242"/>
    </row>
    <row r="764" spans="2:34" ht="15.75" x14ac:dyDescent="0.25">
      <c r="B764" s="229"/>
      <c r="C764" s="235"/>
      <c r="D764" s="243"/>
      <c r="E764" s="232"/>
      <c r="F764" s="435"/>
      <c r="G764" s="234"/>
      <c r="H764" s="235"/>
      <c r="I764" s="235"/>
      <c r="J764" s="440"/>
      <c r="K764" s="443">
        <f ca="1">ROUND(IF(ISERROR(OFFSET(Tabella!$A$1,MATCH(H764,Tabella!$A:$A,0)-1,MATCH(J764,Tabella!$A$1:$AC$1,0)-1)=TRUE),0,+OFFSET(Tabella!$A$1,MATCH(H764,Tabella!$A:$A,0)-1,MATCH(J764,Tabella!$A$1:$AC$1,0)-1)),4)</f>
        <v>0</v>
      </c>
      <c r="L764" s="446">
        <f ca="1">ROUND(IF(ISERROR(OFFSET(Ottone!$A$1,MATCH(H764,Ottone!$A:$A,0)-1,MATCH(J764,Ottone!$A$1:$Z$1,0)-1)=TRUE),0,OFFSET(Ottone!$A$1,MATCH(H764,Ottone!$A:$A,0)-1,MATCH(J764,Ottone!$A$1:$Z$1,0)-1))*IF(E764="Ottone",1,0),4)</f>
        <v>0</v>
      </c>
      <c r="M764" s="446">
        <f ca="1">ROUND(IF(ISERROR(OFFSET(Rame!$A$1,MATCH(H764,Rame!$A:$A,0)-1,MATCH(J764,Rame!$A$1:$AA$1,0)-1)=TRUE),0,OFFSET(Rame!$A$1,MATCH(H764,Rame!$A:$A,0)-1,MATCH(J764,Rame!$A$1:$AA$1,0)-1))*IF(E764="Rame",1,0),4)</f>
        <v>0</v>
      </c>
      <c r="N764" s="446">
        <v>0</v>
      </c>
      <c r="O764" s="446">
        <f t="shared" ca="1" si="208"/>
        <v>0</v>
      </c>
      <c r="P764" s="446">
        <f ca="1">ROUND(+IF(ISERROR(OFFSET(Tabella!$G$1,MATCH(H764,Tabella!$G:$G,0)-1,MATCH(I764,Tabella!$G$1:$FG$1,0)-1)=TRUE),0,OFFSET(Tabella!$G$1,MATCH(H764,Tabella!$G:$G,0)-1,MATCH(I764,Tabella!$G$1:$AB$1,0)-1)),4)</f>
        <v>0</v>
      </c>
      <c r="Q764" s="446">
        <f ca="1">ROUND(IF(ISERROR(OFFSET(Ottone!$F$1,MATCH(H764,Ottone!$A:$A,0)-1,MATCH(I764,Ottone!$F$1:$FF$1,0)-1)=TRUE),0,OFFSET(Ottone!$F$1,MATCH(H764,Ottone!$A:$A,0)-1,MATCH(I764,Ottone!$F$1:$FF$1,0)-1))*IF(E764="Ottone",1,0),4)</f>
        <v>0</v>
      </c>
      <c r="R764" s="446">
        <f ca="1">ROUND(IF(ISERROR(OFFSET(Rame!$F$1,MATCH(H764,Rame!$F:$F,0)-1,MATCH(I764,Rame!$F$1:$FF$1,0)-1)=TRUE),0,OFFSET(Rame!$F$1,MATCH(H764,Rame!$F:$F,0)-1,MATCH(I764,Rame!$F$1:$FF$1,0)-1))*IF(E764="Rame",1,0),4)</f>
        <v>0</v>
      </c>
      <c r="S764" s="446">
        <f ca="1">ROUND(IF(ISERROR(OFFSET(Bronzo!$A$1,MATCH(H764,Bronzo!$A:$A,0)-1,MATCH(I764,Bronzo!$A$1:$AA$1,0)-1)=TRUE),0,OFFSET(Bronzo!$A$1,MATCH(H764,Bronzo!$A:$A,0)-1,MATCH(I764,Bronzo!$A$1:$AA$1,0)-1)),4)</f>
        <v>0</v>
      </c>
      <c r="T764" s="446">
        <f t="shared" ca="1" si="205"/>
        <v>0</v>
      </c>
      <c r="U764" s="443"/>
      <c r="V764" s="446">
        <v>0</v>
      </c>
      <c r="W764" s="449">
        <f t="shared" ca="1" si="206"/>
        <v>0</v>
      </c>
      <c r="X764" s="452">
        <f t="shared" si="204"/>
        <v>0</v>
      </c>
      <c r="Y764" s="440"/>
      <c r="Z764" s="440">
        <f t="shared" ca="1" si="207"/>
        <v>0</v>
      </c>
      <c r="AA764" s="241"/>
      <c r="AH764" s="242"/>
    </row>
    <row r="765" spans="2:34" ht="15.75" x14ac:dyDescent="0.25">
      <c r="B765" s="229"/>
      <c r="C765" s="235"/>
      <c r="D765" s="243"/>
      <c r="E765" s="232"/>
      <c r="F765" s="435"/>
      <c r="G765" s="234"/>
      <c r="H765" s="235"/>
      <c r="I765" s="235"/>
      <c r="J765" s="440"/>
      <c r="K765" s="443">
        <f ca="1">ROUND(IF(ISERROR(OFFSET(Tabella!$A$1,MATCH(H765,Tabella!$A:$A,0)-1,MATCH(J765,Tabella!$A$1:$AC$1,0)-1)=TRUE),0,+OFFSET(Tabella!$A$1,MATCH(H765,Tabella!$A:$A,0)-1,MATCH(J765,Tabella!$A$1:$AC$1,0)-1)),4)</f>
        <v>0</v>
      </c>
      <c r="L765" s="446">
        <f ca="1">ROUND(IF(ISERROR(OFFSET(Ottone!$A$1,MATCH(H765,Ottone!$A:$A,0)-1,MATCH(J765,Ottone!$A$1:$Z$1,0)-1)=TRUE),0,OFFSET(Ottone!$A$1,MATCH(H765,Ottone!$A:$A,0)-1,MATCH(J765,Ottone!$A$1:$Z$1,0)-1))*IF(E765="Ottone",1,0),4)</f>
        <v>0</v>
      </c>
      <c r="M765" s="446">
        <f ca="1">ROUND(IF(ISERROR(OFFSET(Rame!$A$1,MATCH(H765,Rame!$A:$A,0)-1,MATCH(J765,Rame!$A$1:$AA$1,0)-1)=TRUE),0,OFFSET(Rame!$A$1,MATCH(H765,Rame!$A:$A,0)-1,MATCH(J765,Rame!$A$1:$AA$1,0)-1))*IF(E765="Rame",1,0),4)</f>
        <v>0</v>
      </c>
      <c r="N765" s="446">
        <v>0</v>
      </c>
      <c r="O765" s="446">
        <f t="shared" ca="1" si="208"/>
        <v>0</v>
      </c>
      <c r="P765" s="446">
        <f ca="1">ROUND(+IF(ISERROR(OFFSET(Tabella!$G$1,MATCH(H765,Tabella!$G:$G,0)-1,MATCH(I765,Tabella!$G$1:$FG$1,0)-1)=TRUE),0,OFFSET(Tabella!$G$1,MATCH(H765,Tabella!$G:$G,0)-1,MATCH(I765,Tabella!$G$1:$AB$1,0)-1)),4)</f>
        <v>0</v>
      </c>
      <c r="Q765" s="446">
        <f ca="1">ROUND(IF(ISERROR(OFFSET(Ottone!$F$1,MATCH(H765,Ottone!$A:$A,0)-1,MATCH(I765,Ottone!$F$1:$FF$1,0)-1)=TRUE),0,OFFSET(Ottone!$F$1,MATCH(H765,Ottone!$A:$A,0)-1,MATCH(I765,Ottone!$F$1:$FF$1,0)-1))*IF(E765="Ottone",1,0),4)</f>
        <v>0</v>
      </c>
      <c r="R765" s="446">
        <f ca="1">ROUND(IF(ISERROR(OFFSET(Rame!$F$1,MATCH(H765,Rame!$F:$F,0)-1,MATCH(I765,Rame!$F$1:$FF$1,0)-1)=TRUE),0,OFFSET(Rame!$F$1,MATCH(H765,Rame!$F:$F,0)-1,MATCH(I765,Rame!$F$1:$FF$1,0)-1))*IF(E765="Rame",1,0),4)</f>
        <v>0</v>
      </c>
      <c r="S765" s="446">
        <f ca="1">ROUND(IF(ISERROR(OFFSET(Bronzo!$A$1,MATCH(H765,Bronzo!$A:$A,0)-1,MATCH(I765,Bronzo!$A$1:$AA$1,0)-1)=TRUE),0,OFFSET(Bronzo!$A$1,MATCH(H765,Bronzo!$A:$A,0)-1,MATCH(I765,Bronzo!$A$1:$AA$1,0)-1)),4)</f>
        <v>0</v>
      </c>
      <c r="T765" s="446">
        <f t="shared" ca="1" si="205"/>
        <v>0</v>
      </c>
      <c r="U765" s="443"/>
      <c r="V765" s="446">
        <v>0</v>
      </c>
      <c r="W765" s="449">
        <f t="shared" ca="1" si="206"/>
        <v>0</v>
      </c>
      <c r="X765" s="452">
        <f t="shared" si="204"/>
        <v>0</v>
      </c>
      <c r="Y765" s="440"/>
      <c r="Z765" s="440">
        <f t="shared" ca="1" si="207"/>
        <v>0</v>
      </c>
      <c r="AA765" s="241"/>
      <c r="AH765" s="242"/>
    </row>
    <row r="766" spans="2:34" ht="15.75" x14ac:dyDescent="0.25">
      <c r="B766" s="229"/>
      <c r="C766" s="235"/>
      <c r="D766" s="243"/>
      <c r="E766" s="232"/>
      <c r="F766" s="435"/>
      <c r="G766" s="234"/>
      <c r="H766" s="235"/>
      <c r="I766" s="235"/>
      <c r="J766" s="440"/>
      <c r="K766" s="443">
        <f ca="1">ROUND(IF(ISERROR(OFFSET(Tabella!$A$1,MATCH(H766,Tabella!$A:$A,0)-1,MATCH(J766,Tabella!$A$1:$AC$1,0)-1)=TRUE),0,+OFFSET(Tabella!$A$1,MATCH(H766,Tabella!$A:$A,0)-1,MATCH(J766,Tabella!$A$1:$AC$1,0)-1)),4)</f>
        <v>0</v>
      </c>
      <c r="L766" s="446">
        <f ca="1">ROUND(IF(ISERROR(OFFSET(Ottone!$A$1,MATCH(H766,Ottone!$A:$A,0)-1,MATCH(J766,Ottone!$A$1:$Z$1,0)-1)=TRUE),0,OFFSET(Ottone!$A$1,MATCH(H766,Ottone!$A:$A,0)-1,MATCH(J766,Ottone!$A$1:$Z$1,0)-1))*IF(E766="Ottone",1,0),4)</f>
        <v>0</v>
      </c>
      <c r="M766" s="446">
        <f ca="1">ROUND(IF(ISERROR(OFFSET(Rame!$A$1,MATCH(H766,Rame!$A:$A,0)-1,MATCH(J766,Rame!$A$1:$AA$1,0)-1)=TRUE),0,OFFSET(Rame!$A$1,MATCH(H766,Rame!$A:$A,0)-1,MATCH(J766,Rame!$A$1:$AA$1,0)-1))*IF(E766="Rame",1,0),4)</f>
        <v>0</v>
      </c>
      <c r="N766" s="446">
        <v>0</v>
      </c>
      <c r="O766" s="446">
        <f t="shared" ca="1" si="208"/>
        <v>0</v>
      </c>
      <c r="P766" s="446">
        <f ca="1">ROUND(+IF(ISERROR(OFFSET(Tabella!$G$1,MATCH(H766,Tabella!$G:$G,0)-1,MATCH(I766,Tabella!$G$1:$FG$1,0)-1)=TRUE),0,OFFSET(Tabella!$G$1,MATCH(H766,Tabella!$G:$G,0)-1,MATCH(I766,Tabella!$G$1:$AB$1,0)-1)),4)</f>
        <v>0</v>
      </c>
      <c r="Q766" s="446">
        <f ca="1">ROUND(IF(ISERROR(OFFSET(Ottone!$F$1,MATCH(H766,Ottone!$A:$A,0)-1,MATCH(I766,Ottone!$F$1:$FF$1,0)-1)=TRUE),0,OFFSET(Ottone!$F$1,MATCH(H766,Ottone!$A:$A,0)-1,MATCH(I766,Ottone!$F$1:$FF$1,0)-1))*IF(E766="Ottone",1,0),4)</f>
        <v>0</v>
      </c>
      <c r="R766" s="446">
        <f ca="1">ROUND(IF(ISERROR(OFFSET(Rame!$F$1,MATCH(H766,Rame!$F:$F,0)-1,MATCH(I766,Rame!$F$1:$FF$1,0)-1)=TRUE),0,OFFSET(Rame!$F$1,MATCH(H766,Rame!$F:$F,0)-1,MATCH(I766,Rame!$F$1:$FF$1,0)-1))*IF(E766="Rame",1,0),4)</f>
        <v>0</v>
      </c>
      <c r="S766" s="446">
        <f ca="1">ROUND(IF(ISERROR(OFFSET(Bronzo!$A$1,MATCH(H766,Bronzo!$A:$A,0)-1,MATCH(I766,Bronzo!$A$1:$AA$1,0)-1)=TRUE),0,OFFSET(Bronzo!$A$1,MATCH(H766,Bronzo!$A:$A,0)-1,MATCH(I766,Bronzo!$A$1:$AA$1,0)-1)),4)</f>
        <v>0</v>
      </c>
      <c r="T766" s="446">
        <f t="shared" ca="1" si="205"/>
        <v>0</v>
      </c>
      <c r="U766" s="443"/>
      <c r="V766" s="446">
        <v>0</v>
      </c>
      <c r="W766" s="449">
        <f t="shared" ca="1" si="206"/>
        <v>0</v>
      </c>
      <c r="X766" s="452">
        <f t="shared" si="204"/>
        <v>0</v>
      </c>
      <c r="Y766" s="440"/>
      <c r="Z766" s="440">
        <f t="shared" ca="1" si="207"/>
        <v>0</v>
      </c>
      <c r="AA766" s="241"/>
      <c r="AH766" s="242"/>
    </row>
    <row r="767" spans="2:34" ht="15.75" x14ac:dyDescent="0.25">
      <c r="B767" s="229"/>
      <c r="C767" s="235"/>
      <c r="D767" s="243"/>
      <c r="E767" s="232"/>
      <c r="F767" s="435"/>
      <c r="G767" s="234"/>
      <c r="H767" s="235"/>
      <c r="I767" s="235"/>
      <c r="J767" s="440"/>
      <c r="K767" s="443">
        <f ca="1">ROUND(IF(ISERROR(OFFSET(Tabella!$A$1,MATCH(H767,Tabella!$A:$A,0)-1,MATCH(J767,Tabella!$A$1:$AC$1,0)-1)=TRUE),0,+OFFSET(Tabella!$A$1,MATCH(H767,Tabella!$A:$A,0)-1,MATCH(J767,Tabella!$A$1:$AC$1,0)-1)),4)</f>
        <v>0</v>
      </c>
      <c r="L767" s="446">
        <f ca="1">ROUND(IF(ISERROR(OFFSET(Ottone!$A$1,MATCH(H767,Ottone!$A:$A,0)-1,MATCH(J767,Ottone!$A$1:$Z$1,0)-1)=TRUE),0,OFFSET(Ottone!$A$1,MATCH(H767,Ottone!$A:$A,0)-1,MATCH(J767,Ottone!$A$1:$Z$1,0)-1))*IF(E767="Ottone",1,0),4)</f>
        <v>0</v>
      </c>
      <c r="M767" s="446">
        <f ca="1">ROUND(IF(ISERROR(OFFSET(Rame!$A$1,MATCH(H767,Rame!$A:$A,0)-1,MATCH(J767,Rame!$A$1:$AA$1,0)-1)=TRUE),0,OFFSET(Rame!$A$1,MATCH(H767,Rame!$A:$A,0)-1,MATCH(J767,Rame!$A$1:$AA$1,0)-1))*IF(E767="Rame",1,0),4)</f>
        <v>0</v>
      </c>
      <c r="N767" s="446">
        <v>0</v>
      </c>
      <c r="O767" s="446">
        <f t="shared" ca="1" si="208"/>
        <v>0</v>
      </c>
      <c r="P767" s="446">
        <f ca="1">ROUND(+IF(ISERROR(OFFSET(Tabella!$G$1,MATCH(H767,Tabella!$G:$G,0)-1,MATCH(I767,Tabella!$G$1:$FG$1,0)-1)=TRUE),0,OFFSET(Tabella!$G$1,MATCH(H767,Tabella!$G:$G,0)-1,MATCH(I767,Tabella!$G$1:$AB$1,0)-1)),4)</f>
        <v>0</v>
      </c>
      <c r="Q767" s="446">
        <f ca="1">ROUND(IF(ISERROR(OFFSET(Ottone!$F$1,MATCH(H767,Ottone!$A:$A,0)-1,MATCH(I767,Ottone!$F$1:$FF$1,0)-1)=TRUE),0,OFFSET(Ottone!$F$1,MATCH(H767,Ottone!$A:$A,0)-1,MATCH(I767,Ottone!$F$1:$FF$1,0)-1))*IF(E767="Ottone",1,0),4)</f>
        <v>0</v>
      </c>
      <c r="R767" s="446">
        <f ca="1">ROUND(IF(ISERROR(OFFSET(Rame!$F$1,MATCH(H767,Rame!$F:$F,0)-1,MATCH(I767,Rame!$F$1:$FF$1,0)-1)=TRUE),0,OFFSET(Rame!$F$1,MATCH(H767,Rame!$F:$F,0)-1,MATCH(I767,Rame!$F$1:$FF$1,0)-1))*IF(E767="Rame",1,0),4)</f>
        <v>0</v>
      </c>
      <c r="S767" s="446">
        <f ca="1">ROUND(IF(ISERROR(OFFSET(Bronzo!$A$1,MATCH(H767,Bronzo!$A:$A,0)-1,MATCH(I767,Bronzo!$A$1:$AA$1,0)-1)=TRUE),0,OFFSET(Bronzo!$A$1,MATCH(H767,Bronzo!$A:$A,0)-1,MATCH(I767,Bronzo!$A$1:$AA$1,0)-1)),4)</f>
        <v>0</v>
      </c>
      <c r="T767" s="446">
        <f t="shared" ca="1" si="205"/>
        <v>0</v>
      </c>
      <c r="U767" s="443"/>
      <c r="V767" s="446">
        <v>0</v>
      </c>
      <c r="W767" s="449">
        <f t="shared" ca="1" si="206"/>
        <v>0</v>
      </c>
      <c r="X767" s="452">
        <f t="shared" si="204"/>
        <v>0</v>
      </c>
      <c r="Y767" s="440"/>
      <c r="Z767" s="440">
        <f t="shared" ca="1" si="207"/>
        <v>0</v>
      </c>
      <c r="AA767" s="241"/>
      <c r="AH767" s="242"/>
    </row>
    <row r="768" spans="2:34" ht="15.75" x14ac:dyDescent="0.25">
      <c r="B768" s="229"/>
      <c r="C768" s="235"/>
      <c r="D768" s="243"/>
      <c r="E768" s="232"/>
      <c r="F768" s="435"/>
      <c r="G768" s="234"/>
      <c r="H768" s="235"/>
      <c r="I768" s="235"/>
      <c r="J768" s="440"/>
      <c r="K768" s="443">
        <f ca="1">ROUND(IF(ISERROR(OFFSET(Tabella!$A$1,MATCH(H768,Tabella!$A:$A,0)-1,MATCH(J768,Tabella!$A$1:$AC$1,0)-1)=TRUE),0,+OFFSET(Tabella!$A$1,MATCH(H768,Tabella!$A:$A,0)-1,MATCH(J768,Tabella!$A$1:$AC$1,0)-1)),4)</f>
        <v>0</v>
      </c>
      <c r="L768" s="446">
        <f ca="1">ROUND(IF(ISERROR(OFFSET(Ottone!$A$1,MATCH(H768,Ottone!$A:$A,0)-1,MATCH(J768,Ottone!$A$1:$Z$1,0)-1)=TRUE),0,OFFSET(Ottone!$A$1,MATCH(H768,Ottone!$A:$A,0)-1,MATCH(J768,Ottone!$A$1:$Z$1,0)-1))*IF(E768="Ottone",1,0),4)</f>
        <v>0</v>
      </c>
      <c r="M768" s="446">
        <f ca="1">ROUND(IF(ISERROR(OFFSET(Rame!$A$1,MATCH(H768,Rame!$A:$A,0)-1,MATCH(J768,Rame!$A$1:$AA$1,0)-1)=TRUE),0,OFFSET(Rame!$A$1,MATCH(H768,Rame!$A:$A,0)-1,MATCH(J768,Rame!$A$1:$AA$1,0)-1))*IF(E768="Rame",1,0),4)</f>
        <v>0</v>
      </c>
      <c r="N768" s="446">
        <v>0</v>
      </c>
      <c r="O768" s="446">
        <f t="shared" ca="1" si="208"/>
        <v>0</v>
      </c>
      <c r="P768" s="446">
        <f ca="1">ROUND(+IF(ISERROR(OFFSET(Tabella!$G$1,MATCH(H768,Tabella!$G:$G,0)-1,MATCH(I768,Tabella!$G$1:$FG$1,0)-1)=TRUE),0,OFFSET(Tabella!$G$1,MATCH(H768,Tabella!$G:$G,0)-1,MATCH(I768,Tabella!$G$1:$AB$1,0)-1)),4)</f>
        <v>0</v>
      </c>
      <c r="Q768" s="446">
        <f ca="1">ROUND(IF(ISERROR(OFFSET(Ottone!$F$1,MATCH(H768,Ottone!$A:$A,0)-1,MATCH(I768,Ottone!$F$1:$FF$1,0)-1)=TRUE),0,OFFSET(Ottone!$F$1,MATCH(H768,Ottone!$A:$A,0)-1,MATCH(I768,Ottone!$F$1:$FF$1,0)-1))*IF(E768="Ottone",1,0),4)</f>
        <v>0</v>
      </c>
      <c r="R768" s="446">
        <f ca="1">ROUND(IF(ISERROR(OFFSET(Rame!$F$1,MATCH(H768,Rame!$F:$F,0)-1,MATCH(I768,Rame!$F$1:$FF$1,0)-1)=TRUE),0,OFFSET(Rame!$F$1,MATCH(H768,Rame!$F:$F,0)-1,MATCH(I768,Rame!$F$1:$FF$1,0)-1))*IF(E768="Rame",1,0),4)</f>
        <v>0</v>
      </c>
      <c r="S768" s="446">
        <f ca="1">ROUND(IF(ISERROR(OFFSET(Bronzo!$A$1,MATCH(H768,Bronzo!$A:$A,0)-1,MATCH(I768,Bronzo!$A$1:$AA$1,0)-1)=TRUE),0,OFFSET(Bronzo!$A$1,MATCH(H768,Bronzo!$A:$A,0)-1,MATCH(I768,Bronzo!$A$1:$AA$1,0)-1)),4)</f>
        <v>0</v>
      </c>
      <c r="T768" s="446">
        <f t="shared" ca="1" si="205"/>
        <v>0</v>
      </c>
      <c r="U768" s="443"/>
      <c r="V768" s="446">
        <v>0</v>
      </c>
      <c r="W768" s="449">
        <f t="shared" ca="1" si="206"/>
        <v>0</v>
      </c>
      <c r="X768" s="452">
        <f t="shared" si="204"/>
        <v>0</v>
      </c>
      <c r="Y768" s="440"/>
      <c r="Z768" s="440">
        <f t="shared" ca="1" si="207"/>
        <v>0</v>
      </c>
      <c r="AA768" s="241"/>
      <c r="AH768" s="242"/>
    </row>
    <row r="769" spans="2:34" ht="15.75" x14ac:dyDescent="0.25">
      <c r="B769" s="229"/>
      <c r="C769" s="235"/>
      <c r="D769" s="243"/>
      <c r="E769" s="232"/>
      <c r="F769" s="435"/>
      <c r="G769" s="234"/>
      <c r="H769" s="235"/>
      <c r="I769" s="235"/>
      <c r="J769" s="440"/>
      <c r="K769" s="443">
        <f ca="1">ROUND(IF(ISERROR(OFFSET(Tabella!$A$1,MATCH(H769,Tabella!$A:$A,0)-1,MATCH(J769,Tabella!$A$1:$AC$1,0)-1)=TRUE),0,+OFFSET(Tabella!$A$1,MATCH(H769,Tabella!$A:$A,0)-1,MATCH(J769,Tabella!$A$1:$AC$1,0)-1)),4)</f>
        <v>0</v>
      </c>
      <c r="L769" s="446">
        <f ca="1">ROUND(IF(ISERROR(OFFSET(Ottone!$A$1,MATCH(H769,Ottone!$A:$A,0)-1,MATCH(J769,Ottone!$A$1:$Z$1,0)-1)=TRUE),0,OFFSET(Ottone!$A$1,MATCH(H769,Ottone!$A:$A,0)-1,MATCH(J769,Ottone!$A$1:$Z$1,0)-1))*IF(E769="Ottone",1,0),4)</f>
        <v>0</v>
      </c>
      <c r="M769" s="446">
        <f ca="1">ROUND(IF(ISERROR(OFFSET(Rame!$A$1,MATCH(H769,Rame!$A:$A,0)-1,MATCH(J769,Rame!$A$1:$AA$1,0)-1)=TRUE),0,OFFSET(Rame!$A$1,MATCH(H769,Rame!$A:$A,0)-1,MATCH(J769,Rame!$A$1:$AA$1,0)-1))*IF(E769="Rame",1,0),4)</f>
        <v>0</v>
      </c>
      <c r="N769" s="446">
        <v>0</v>
      </c>
      <c r="O769" s="446">
        <f t="shared" ca="1" si="208"/>
        <v>0</v>
      </c>
      <c r="P769" s="446">
        <f ca="1">ROUND(+IF(ISERROR(OFFSET(Tabella!$G$1,MATCH(H769,Tabella!$G:$G,0)-1,MATCH(I769,Tabella!$G$1:$FG$1,0)-1)=TRUE),0,OFFSET(Tabella!$G$1,MATCH(H769,Tabella!$G:$G,0)-1,MATCH(I769,Tabella!$G$1:$AB$1,0)-1)),4)</f>
        <v>0</v>
      </c>
      <c r="Q769" s="446">
        <f ca="1">ROUND(IF(ISERROR(OFFSET(Ottone!$F$1,MATCH(H769,Ottone!$A:$A,0)-1,MATCH(I769,Ottone!$F$1:$FF$1,0)-1)=TRUE),0,OFFSET(Ottone!$F$1,MATCH(H769,Ottone!$A:$A,0)-1,MATCH(I769,Ottone!$F$1:$FF$1,0)-1))*IF(E769="Ottone",1,0),4)</f>
        <v>0</v>
      </c>
      <c r="R769" s="446">
        <f ca="1">ROUND(IF(ISERROR(OFFSET(Rame!$F$1,MATCH(H769,Rame!$F:$F,0)-1,MATCH(I769,Rame!$F$1:$FF$1,0)-1)=TRUE),0,OFFSET(Rame!$F$1,MATCH(H769,Rame!$F:$F,0)-1,MATCH(I769,Rame!$F$1:$FF$1,0)-1))*IF(E769="Rame",1,0),4)</f>
        <v>0</v>
      </c>
      <c r="S769" s="446">
        <f ca="1">ROUND(IF(ISERROR(OFFSET(Bronzo!$A$1,MATCH(H769,Bronzo!$A:$A,0)-1,MATCH(I769,Bronzo!$A$1:$AA$1,0)-1)=TRUE),0,OFFSET(Bronzo!$A$1,MATCH(H769,Bronzo!$A:$A,0)-1,MATCH(I769,Bronzo!$A$1:$AA$1,0)-1)),4)</f>
        <v>0</v>
      </c>
      <c r="T769" s="446">
        <f t="shared" ca="1" si="205"/>
        <v>0</v>
      </c>
      <c r="U769" s="443"/>
      <c r="V769" s="446">
        <v>0</v>
      </c>
      <c r="W769" s="449">
        <f t="shared" ca="1" si="206"/>
        <v>0</v>
      </c>
      <c r="X769" s="452">
        <f t="shared" si="204"/>
        <v>0</v>
      </c>
      <c r="Y769" s="440"/>
      <c r="Z769" s="440">
        <f t="shared" ca="1" si="207"/>
        <v>0</v>
      </c>
      <c r="AA769" s="241"/>
      <c r="AH769" s="242"/>
    </row>
    <row r="770" spans="2:34" ht="15.75" x14ac:dyDescent="0.25">
      <c r="B770" s="229"/>
      <c r="C770" s="235"/>
      <c r="D770" s="243"/>
      <c r="E770" s="232"/>
      <c r="F770" s="435"/>
      <c r="G770" s="234"/>
      <c r="H770" s="235"/>
      <c r="I770" s="235"/>
      <c r="J770" s="440"/>
      <c r="K770" s="443">
        <f ca="1">ROUND(IF(ISERROR(OFFSET(Tabella!$A$1,MATCH(H770,Tabella!$A:$A,0)-1,MATCH(J770,Tabella!$A$1:$AC$1,0)-1)=TRUE),0,+OFFSET(Tabella!$A$1,MATCH(H770,Tabella!$A:$A,0)-1,MATCH(J770,Tabella!$A$1:$AC$1,0)-1)),4)</f>
        <v>0</v>
      </c>
      <c r="L770" s="446">
        <f ca="1">ROUND(IF(ISERROR(OFFSET(Ottone!$A$1,MATCH(H770,Ottone!$A:$A,0)-1,MATCH(J770,Ottone!$A$1:$Z$1,0)-1)=TRUE),0,OFFSET(Ottone!$A$1,MATCH(H770,Ottone!$A:$A,0)-1,MATCH(J770,Ottone!$A$1:$Z$1,0)-1))*IF(E770="Ottone",1,0),4)</f>
        <v>0</v>
      </c>
      <c r="M770" s="446">
        <f ca="1">ROUND(IF(ISERROR(OFFSET(Rame!$A$1,MATCH(H770,Rame!$A:$A,0)-1,MATCH(J770,Rame!$A$1:$AA$1,0)-1)=TRUE),0,OFFSET(Rame!$A$1,MATCH(H770,Rame!$A:$A,0)-1,MATCH(J770,Rame!$A$1:$AA$1,0)-1))*IF(E770="Rame",1,0),4)</f>
        <v>0</v>
      </c>
      <c r="N770" s="446">
        <v>0</v>
      </c>
      <c r="O770" s="446">
        <f t="shared" ca="1" si="208"/>
        <v>0</v>
      </c>
      <c r="P770" s="446">
        <f ca="1">ROUND(+IF(ISERROR(OFFSET(Tabella!$G$1,MATCH(H770,Tabella!$G:$G,0)-1,MATCH(I770,Tabella!$G$1:$FG$1,0)-1)=TRUE),0,OFFSET(Tabella!$G$1,MATCH(H770,Tabella!$G:$G,0)-1,MATCH(I770,Tabella!$G$1:$AB$1,0)-1)),4)</f>
        <v>0</v>
      </c>
      <c r="Q770" s="446">
        <f ca="1">ROUND(IF(ISERROR(OFFSET(Ottone!$F$1,MATCH(H770,Ottone!$A:$A,0)-1,MATCH(I770,Ottone!$F$1:$FF$1,0)-1)=TRUE),0,OFFSET(Ottone!$F$1,MATCH(H770,Ottone!$A:$A,0)-1,MATCH(I770,Ottone!$F$1:$FF$1,0)-1))*IF(E770="Ottone",1,0),4)</f>
        <v>0</v>
      </c>
      <c r="R770" s="446">
        <f ca="1">ROUND(IF(ISERROR(OFFSET(Rame!$F$1,MATCH(H770,Rame!$F:$F,0)-1,MATCH(I770,Rame!$F$1:$FF$1,0)-1)=TRUE),0,OFFSET(Rame!$F$1,MATCH(H770,Rame!$F:$F,0)-1,MATCH(I770,Rame!$F$1:$FF$1,0)-1))*IF(E770="Rame",1,0),4)</f>
        <v>0</v>
      </c>
      <c r="S770" s="446">
        <f ca="1">ROUND(IF(ISERROR(OFFSET(Bronzo!$A$1,MATCH(H770,Bronzo!$A:$A,0)-1,MATCH(I770,Bronzo!$A$1:$AA$1,0)-1)=TRUE),0,OFFSET(Bronzo!$A$1,MATCH(H770,Bronzo!$A:$A,0)-1,MATCH(I770,Bronzo!$A$1:$AA$1,0)-1)),4)</f>
        <v>0</v>
      </c>
      <c r="T770" s="446">
        <f t="shared" ca="1" si="205"/>
        <v>0</v>
      </c>
      <c r="U770" s="443"/>
      <c r="V770" s="446">
        <v>0</v>
      </c>
      <c r="W770" s="449">
        <f t="shared" ca="1" si="206"/>
        <v>0</v>
      </c>
      <c r="X770" s="452">
        <f t="shared" si="204"/>
        <v>0</v>
      </c>
      <c r="Y770" s="440"/>
      <c r="Z770" s="440">
        <f t="shared" ca="1" si="207"/>
        <v>0</v>
      </c>
      <c r="AA770" s="241"/>
      <c r="AH770" s="242"/>
    </row>
    <row r="771" spans="2:34" ht="15.75" x14ac:dyDescent="0.25">
      <c r="B771" s="229"/>
      <c r="C771" s="235"/>
      <c r="D771" s="243"/>
      <c r="E771" s="232"/>
      <c r="F771" s="435"/>
      <c r="G771" s="234"/>
      <c r="H771" s="235"/>
      <c r="I771" s="235"/>
      <c r="J771" s="440"/>
      <c r="K771" s="443">
        <f ca="1">ROUND(IF(ISERROR(OFFSET(Tabella!$A$1,MATCH(H771,Tabella!$A:$A,0)-1,MATCH(J771,Tabella!$A$1:$AC$1,0)-1)=TRUE),0,+OFFSET(Tabella!$A$1,MATCH(H771,Tabella!$A:$A,0)-1,MATCH(J771,Tabella!$A$1:$AC$1,0)-1)),4)</f>
        <v>0</v>
      </c>
      <c r="L771" s="446">
        <f ca="1">ROUND(IF(ISERROR(OFFSET(Ottone!$A$1,MATCH(H771,Ottone!$A:$A,0)-1,MATCH(J771,Ottone!$A$1:$Z$1,0)-1)=TRUE),0,OFFSET(Ottone!$A$1,MATCH(H771,Ottone!$A:$A,0)-1,MATCH(J771,Ottone!$A$1:$Z$1,0)-1))*IF(E771="Ottone",1,0),4)</f>
        <v>0</v>
      </c>
      <c r="M771" s="446">
        <f ca="1">ROUND(IF(ISERROR(OFFSET(Rame!$A$1,MATCH(H771,Rame!$A:$A,0)-1,MATCH(J771,Rame!$A$1:$AA$1,0)-1)=TRUE),0,OFFSET(Rame!$A$1,MATCH(H771,Rame!$A:$A,0)-1,MATCH(J771,Rame!$A$1:$AA$1,0)-1))*IF(E771="Rame",1,0),4)</f>
        <v>0</v>
      </c>
      <c r="N771" s="446">
        <v>0</v>
      </c>
      <c r="O771" s="446">
        <f t="shared" ca="1" si="208"/>
        <v>0</v>
      </c>
      <c r="P771" s="446">
        <f ca="1">ROUND(+IF(ISERROR(OFFSET(Tabella!$G$1,MATCH(H771,Tabella!$G:$G,0)-1,MATCH(I771,Tabella!$G$1:$FG$1,0)-1)=TRUE),0,OFFSET(Tabella!$G$1,MATCH(H771,Tabella!$G:$G,0)-1,MATCH(I771,Tabella!$G$1:$AB$1,0)-1)),4)</f>
        <v>0</v>
      </c>
      <c r="Q771" s="446">
        <f ca="1">ROUND(IF(ISERROR(OFFSET(Ottone!$F$1,MATCH(H771,Ottone!$A:$A,0)-1,MATCH(I771,Ottone!$F$1:$FF$1,0)-1)=TRUE),0,OFFSET(Ottone!$F$1,MATCH(H771,Ottone!$A:$A,0)-1,MATCH(I771,Ottone!$F$1:$FF$1,0)-1))*IF(E771="Ottone",1,0),4)</f>
        <v>0</v>
      </c>
      <c r="R771" s="446">
        <f ca="1">ROUND(IF(ISERROR(OFFSET(Rame!$F$1,MATCH(H771,Rame!$F:$F,0)-1,MATCH(I771,Rame!$F$1:$FF$1,0)-1)=TRUE),0,OFFSET(Rame!$F$1,MATCH(H771,Rame!$F:$F,0)-1,MATCH(I771,Rame!$F$1:$FF$1,0)-1))*IF(E771="Rame",1,0),4)</f>
        <v>0</v>
      </c>
      <c r="S771" s="446">
        <f ca="1">ROUND(IF(ISERROR(OFFSET(Bronzo!$A$1,MATCH(H771,Bronzo!$A:$A,0)-1,MATCH(I771,Bronzo!$A$1:$AA$1,0)-1)=TRUE),0,OFFSET(Bronzo!$A$1,MATCH(H771,Bronzo!$A:$A,0)-1,MATCH(I771,Bronzo!$A$1:$AA$1,0)-1)),4)</f>
        <v>0</v>
      </c>
      <c r="T771" s="446">
        <f t="shared" ca="1" si="205"/>
        <v>0</v>
      </c>
      <c r="U771" s="443"/>
      <c r="V771" s="446">
        <v>0</v>
      </c>
      <c r="W771" s="449">
        <f t="shared" ca="1" si="206"/>
        <v>0</v>
      </c>
      <c r="X771" s="452">
        <f t="shared" si="204"/>
        <v>0</v>
      </c>
      <c r="Y771" s="440"/>
      <c r="Z771" s="440">
        <f t="shared" ca="1" si="207"/>
        <v>0</v>
      </c>
      <c r="AA771" s="241"/>
      <c r="AH771" s="242"/>
    </row>
    <row r="772" spans="2:34" ht="15.75" x14ac:dyDescent="0.25">
      <c r="B772" s="229"/>
      <c r="C772" s="235"/>
      <c r="D772" s="243"/>
      <c r="E772" s="232"/>
      <c r="F772" s="435"/>
      <c r="G772" s="234"/>
      <c r="H772" s="235"/>
      <c r="I772" s="235"/>
      <c r="J772" s="440"/>
      <c r="K772" s="443">
        <f ca="1">ROUND(IF(ISERROR(OFFSET(Tabella!$A$1,MATCH(H772,Tabella!$A:$A,0)-1,MATCH(J772,Tabella!$A$1:$AC$1,0)-1)=TRUE),0,+OFFSET(Tabella!$A$1,MATCH(H772,Tabella!$A:$A,0)-1,MATCH(J772,Tabella!$A$1:$AC$1,0)-1)),4)</f>
        <v>0</v>
      </c>
      <c r="L772" s="446">
        <f ca="1">ROUND(IF(ISERROR(OFFSET(Ottone!$A$1,MATCH(H772,Ottone!$A:$A,0)-1,MATCH(J772,Ottone!$A$1:$Z$1,0)-1)=TRUE),0,OFFSET(Ottone!$A$1,MATCH(H772,Ottone!$A:$A,0)-1,MATCH(J772,Ottone!$A$1:$Z$1,0)-1))*IF(E772="Ottone",1,0),4)</f>
        <v>0</v>
      </c>
      <c r="M772" s="446">
        <f ca="1">ROUND(IF(ISERROR(OFFSET(Rame!$A$1,MATCH(H772,Rame!$A:$A,0)-1,MATCH(J772,Rame!$A$1:$AA$1,0)-1)=TRUE),0,OFFSET(Rame!$A$1,MATCH(H772,Rame!$A:$A,0)-1,MATCH(J772,Rame!$A$1:$AA$1,0)-1))*IF(E772="Rame",1,0),4)</f>
        <v>0</v>
      </c>
      <c r="N772" s="446">
        <v>0</v>
      </c>
      <c r="O772" s="446">
        <f t="shared" ca="1" si="208"/>
        <v>0</v>
      </c>
      <c r="P772" s="446">
        <f ca="1">ROUND(+IF(ISERROR(OFFSET(Tabella!$G$1,MATCH(H772,Tabella!$G:$G,0)-1,MATCH(I772,Tabella!$G$1:$FG$1,0)-1)=TRUE),0,OFFSET(Tabella!$G$1,MATCH(H772,Tabella!$G:$G,0)-1,MATCH(I772,Tabella!$G$1:$AB$1,0)-1)),4)</f>
        <v>0</v>
      </c>
      <c r="Q772" s="446">
        <f ca="1">ROUND(IF(ISERROR(OFFSET(Ottone!$F$1,MATCH(H772,Ottone!$A:$A,0)-1,MATCH(I772,Ottone!$F$1:$FF$1,0)-1)=TRUE),0,OFFSET(Ottone!$F$1,MATCH(H772,Ottone!$A:$A,0)-1,MATCH(I772,Ottone!$F$1:$FF$1,0)-1))*IF(E772="Ottone",1,0),4)</f>
        <v>0</v>
      </c>
      <c r="R772" s="446">
        <f ca="1">ROUND(IF(ISERROR(OFFSET(Rame!$F$1,MATCH(H772,Rame!$F:$F,0)-1,MATCH(I772,Rame!$F$1:$FF$1,0)-1)=TRUE),0,OFFSET(Rame!$F$1,MATCH(H772,Rame!$F:$F,0)-1,MATCH(I772,Rame!$F$1:$FF$1,0)-1))*IF(E772="Rame",1,0),4)</f>
        <v>0</v>
      </c>
      <c r="S772" s="446">
        <f ca="1">ROUND(IF(ISERROR(OFFSET(Bronzo!$A$1,MATCH(H772,Bronzo!$A:$A,0)-1,MATCH(I772,Bronzo!$A$1:$AA$1,0)-1)=TRUE),0,OFFSET(Bronzo!$A$1,MATCH(H772,Bronzo!$A:$A,0)-1,MATCH(I772,Bronzo!$A$1:$AA$1,0)-1)),4)</f>
        <v>0</v>
      </c>
      <c r="T772" s="446">
        <f t="shared" ca="1" si="205"/>
        <v>0</v>
      </c>
      <c r="U772" s="443"/>
      <c r="V772" s="446">
        <v>0</v>
      </c>
      <c r="W772" s="449">
        <f t="shared" ca="1" si="206"/>
        <v>0</v>
      </c>
      <c r="X772" s="452">
        <f t="shared" si="204"/>
        <v>0</v>
      </c>
      <c r="Y772" s="440"/>
      <c r="Z772" s="440">
        <f t="shared" ca="1" si="207"/>
        <v>0</v>
      </c>
      <c r="AA772" s="241"/>
      <c r="AH772" s="242"/>
    </row>
    <row r="773" spans="2:34" ht="15.75" x14ac:dyDescent="0.25">
      <c r="B773" s="229"/>
      <c r="C773" s="235"/>
      <c r="D773" s="243"/>
      <c r="E773" s="232"/>
      <c r="F773" s="435"/>
      <c r="G773" s="234"/>
      <c r="H773" s="235"/>
      <c r="I773" s="235"/>
      <c r="J773" s="440"/>
      <c r="K773" s="443">
        <f ca="1">ROUND(IF(ISERROR(OFFSET(Tabella!$A$1,MATCH(H773,Tabella!$A:$A,0)-1,MATCH(J773,Tabella!$A$1:$AC$1,0)-1)=TRUE),0,+OFFSET(Tabella!$A$1,MATCH(H773,Tabella!$A:$A,0)-1,MATCH(J773,Tabella!$A$1:$AC$1,0)-1)),4)</f>
        <v>0</v>
      </c>
      <c r="L773" s="446">
        <f ca="1">ROUND(IF(ISERROR(OFFSET(Ottone!$A$1,MATCH(H773,Ottone!$A:$A,0)-1,MATCH(J773,Ottone!$A$1:$Z$1,0)-1)=TRUE),0,OFFSET(Ottone!$A$1,MATCH(H773,Ottone!$A:$A,0)-1,MATCH(J773,Ottone!$A$1:$Z$1,0)-1))*IF(E773="Ottone",1,0),4)</f>
        <v>0</v>
      </c>
      <c r="M773" s="446">
        <f ca="1">ROUND(IF(ISERROR(OFFSET(Rame!$A$1,MATCH(H773,Rame!$A:$A,0)-1,MATCH(J773,Rame!$A$1:$AA$1,0)-1)=TRUE),0,OFFSET(Rame!$A$1,MATCH(H773,Rame!$A:$A,0)-1,MATCH(J773,Rame!$A$1:$AA$1,0)-1))*IF(E773="Rame",1,0),4)</f>
        <v>0</v>
      </c>
      <c r="N773" s="446">
        <v>0</v>
      </c>
      <c r="O773" s="446">
        <f t="shared" ca="1" si="208"/>
        <v>0</v>
      </c>
      <c r="P773" s="446">
        <f ca="1">ROUND(+IF(ISERROR(OFFSET(Tabella!$G$1,MATCH(H773,Tabella!$G:$G,0)-1,MATCH(I773,Tabella!$G$1:$FG$1,0)-1)=TRUE),0,OFFSET(Tabella!$G$1,MATCH(H773,Tabella!$G:$G,0)-1,MATCH(I773,Tabella!$G$1:$AB$1,0)-1)),4)</f>
        <v>0</v>
      </c>
      <c r="Q773" s="446">
        <f ca="1">ROUND(IF(ISERROR(OFFSET(Ottone!$F$1,MATCH(H773,Ottone!$A:$A,0)-1,MATCH(I773,Ottone!$F$1:$FF$1,0)-1)=TRUE),0,OFFSET(Ottone!$F$1,MATCH(H773,Ottone!$A:$A,0)-1,MATCH(I773,Ottone!$F$1:$FF$1,0)-1))*IF(E773="Ottone",1,0),4)</f>
        <v>0</v>
      </c>
      <c r="R773" s="446">
        <f ca="1">ROUND(IF(ISERROR(OFFSET(Rame!$F$1,MATCH(H773,Rame!$F:$F,0)-1,MATCH(I773,Rame!$F$1:$FF$1,0)-1)=TRUE),0,OFFSET(Rame!$F$1,MATCH(H773,Rame!$F:$F,0)-1,MATCH(I773,Rame!$F$1:$FF$1,0)-1))*IF(E773="Rame",1,0),4)</f>
        <v>0</v>
      </c>
      <c r="S773" s="446">
        <f ca="1">ROUND(IF(ISERROR(OFFSET(Bronzo!$A$1,MATCH(H773,Bronzo!$A:$A,0)-1,MATCH(I773,Bronzo!$A$1:$AA$1,0)-1)=TRUE),0,OFFSET(Bronzo!$A$1,MATCH(H773,Bronzo!$A:$A,0)-1,MATCH(I773,Bronzo!$A$1:$AA$1,0)-1)),4)</f>
        <v>0</v>
      </c>
      <c r="T773" s="446">
        <f t="shared" ca="1" si="205"/>
        <v>0</v>
      </c>
      <c r="U773" s="443"/>
      <c r="V773" s="446">
        <v>0</v>
      </c>
      <c r="W773" s="449">
        <f t="shared" ca="1" si="206"/>
        <v>0</v>
      </c>
      <c r="X773" s="452">
        <f t="shared" si="204"/>
        <v>0</v>
      </c>
      <c r="Y773" s="440"/>
      <c r="Z773" s="440">
        <f t="shared" ca="1" si="207"/>
        <v>0</v>
      </c>
      <c r="AA773" s="241"/>
      <c r="AH773" s="242"/>
    </row>
    <row r="774" spans="2:34" ht="15.75" x14ac:dyDescent="0.25">
      <c r="B774" s="229"/>
      <c r="C774" s="235"/>
      <c r="D774" s="243"/>
      <c r="E774" s="232"/>
      <c r="F774" s="435"/>
      <c r="G774" s="234"/>
      <c r="H774" s="235"/>
      <c r="I774" s="235"/>
      <c r="J774" s="440"/>
      <c r="K774" s="443">
        <f ca="1">ROUND(IF(ISERROR(OFFSET(Tabella!$A$1,MATCH(H774,Tabella!$A:$A,0)-1,MATCH(J774,Tabella!$A$1:$AC$1,0)-1)=TRUE),0,+OFFSET(Tabella!$A$1,MATCH(H774,Tabella!$A:$A,0)-1,MATCH(J774,Tabella!$A$1:$AC$1,0)-1)),4)</f>
        <v>0</v>
      </c>
      <c r="L774" s="446">
        <f ca="1">ROUND(IF(ISERROR(OFFSET(Ottone!$A$1,MATCH(H774,Ottone!$A:$A,0)-1,MATCH(J774,Ottone!$A$1:$Z$1,0)-1)=TRUE),0,OFFSET(Ottone!$A$1,MATCH(H774,Ottone!$A:$A,0)-1,MATCH(J774,Ottone!$A$1:$Z$1,0)-1))*IF(E774="Ottone",1,0),4)</f>
        <v>0</v>
      </c>
      <c r="M774" s="446">
        <f ca="1">ROUND(IF(ISERROR(OFFSET(Rame!$A$1,MATCH(H774,Rame!$A:$A,0)-1,MATCH(J774,Rame!$A$1:$AA$1,0)-1)=TRUE),0,OFFSET(Rame!$A$1,MATCH(H774,Rame!$A:$A,0)-1,MATCH(J774,Rame!$A$1:$AA$1,0)-1))*IF(E774="Rame",1,0),4)</f>
        <v>0</v>
      </c>
      <c r="N774" s="446">
        <v>0</v>
      </c>
      <c r="O774" s="446">
        <f t="shared" ca="1" si="208"/>
        <v>0</v>
      </c>
      <c r="P774" s="446">
        <f ca="1">ROUND(+IF(ISERROR(OFFSET(Tabella!$G$1,MATCH(H774,Tabella!$G:$G,0)-1,MATCH(I774,Tabella!$G$1:$FG$1,0)-1)=TRUE),0,OFFSET(Tabella!$G$1,MATCH(H774,Tabella!$G:$G,0)-1,MATCH(I774,Tabella!$G$1:$AB$1,0)-1)),4)</f>
        <v>0</v>
      </c>
      <c r="Q774" s="446">
        <f ca="1">ROUND(IF(ISERROR(OFFSET(Ottone!$F$1,MATCH(H774,Ottone!$A:$A,0)-1,MATCH(I774,Ottone!$F$1:$FF$1,0)-1)=TRUE),0,OFFSET(Ottone!$F$1,MATCH(H774,Ottone!$A:$A,0)-1,MATCH(I774,Ottone!$F$1:$FF$1,0)-1))*IF(E774="Ottone",1,0),4)</f>
        <v>0</v>
      </c>
      <c r="R774" s="446">
        <f ca="1">ROUND(IF(ISERROR(OFFSET(Rame!$F$1,MATCH(H774,Rame!$F:$F,0)-1,MATCH(I774,Rame!$F$1:$FF$1,0)-1)=TRUE),0,OFFSET(Rame!$F$1,MATCH(H774,Rame!$F:$F,0)-1,MATCH(I774,Rame!$F$1:$FF$1,0)-1))*IF(E774="Rame",1,0),4)</f>
        <v>0</v>
      </c>
      <c r="S774" s="446">
        <f ca="1">ROUND(IF(ISERROR(OFFSET(Bronzo!$A$1,MATCH(H774,Bronzo!$A:$A,0)-1,MATCH(I774,Bronzo!$A$1:$AA$1,0)-1)=TRUE),0,OFFSET(Bronzo!$A$1,MATCH(H774,Bronzo!$A:$A,0)-1,MATCH(I774,Bronzo!$A$1:$AA$1,0)-1)),4)</f>
        <v>0</v>
      </c>
      <c r="T774" s="446">
        <f t="shared" ca="1" si="205"/>
        <v>0</v>
      </c>
      <c r="U774" s="443"/>
      <c r="V774" s="446">
        <v>0</v>
      </c>
      <c r="W774" s="449">
        <f t="shared" ca="1" si="206"/>
        <v>0</v>
      </c>
      <c r="X774" s="452">
        <f t="shared" si="204"/>
        <v>0</v>
      </c>
      <c r="Y774" s="440"/>
      <c r="Z774" s="440">
        <f t="shared" ca="1" si="207"/>
        <v>0</v>
      </c>
      <c r="AA774" s="241"/>
      <c r="AH774" s="242"/>
    </row>
    <row r="775" spans="2:34" ht="15.75" x14ac:dyDescent="0.25">
      <c r="B775" s="229"/>
      <c r="C775" s="235"/>
      <c r="D775" s="243"/>
      <c r="E775" s="232"/>
      <c r="F775" s="435"/>
      <c r="G775" s="234"/>
      <c r="H775" s="235"/>
      <c r="I775" s="235"/>
      <c r="J775" s="440"/>
      <c r="K775" s="443">
        <f ca="1">ROUND(IF(ISERROR(OFFSET(Tabella!$A$1,MATCH(H775,Tabella!$A:$A,0)-1,MATCH(J775,Tabella!$A$1:$AC$1,0)-1)=TRUE),0,+OFFSET(Tabella!$A$1,MATCH(H775,Tabella!$A:$A,0)-1,MATCH(J775,Tabella!$A$1:$AC$1,0)-1)),4)</f>
        <v>0</v>
      </c>
      <c r="L775" s="446">
        <f ca="1">ROUND(IF(ISERROR(OFFSET(Ottone!$A$1,MATCH(H775,Ottone!$A:$A,0)-1,MATCH(J775,Ottone!$A$1:$Z$1,0)-1)=TRUE),0,OFFSET(Ottone!$A$1,MATCH(H775,Ottone!$A:$A,0)-1,MATCH(J775,Ottone!$A$1:$Z$1,0)-1))*IF(E775="Ottone",1,0),4)</f>
        <v>0</v>
      </c>
      <c r="M775" s="446">
        <f ca="1">ROUND(IF(ISERROR(OFFSET(Rame!$A$1,MATCH(H775,Rame!$A:$A,0)-1,MATCH(J775,Rame!$A$1:$AA$1,0)-1)=TRUE),0,OFFSET(Rame!$A$1,MATCH(H775,Rame!$A:$A,0)-1,MATCH(J775,Rame!$A$1:$AA$1,0)-1))*IF(E775="Rame",1,0),4)</f>
        <v>0</v>
      </c>
      <c r="N775" s="446">
        <v>0</v>
      </c>
      <c r="O775" s="446">
        <f t="shared" ca="1" si="208"/>
        <v>0</v>
      </c>
      <c r="P775" s="446">
        <f ca="1">ROUND(+IF(ISERROR(OFFSET(Tabella!$G$1,MATCH(H775,Tabella!$G:$G,0)-1,MATCH(I775,Tabella!$G$1:$FG$1,0)-1)=TRUE),0,OFFSET(Tabella!$G$1,MATCH(H775,Tabella!$G:$G,0)-1,MATCH(I775,Tabella!$G$1:$AB$1,0)-1)),4)</f>
        <v>0</v>
      </c>
      <c r="Q775" s="446">
        <f ca="1">ROUND(IF(ISERROR(OFFSET(Ottone!$F$1,MATCH(H775,Ottone!$A:$A,0)-1,MATCH(I775,Ottone!$F$1:$FF$1,0)-1)=TRUE),0,OFFSET(Ottone!$F$1,MATCH(H775,Ottone!$A:$A,0)-1,MATCH(I775,Ottone!$F$1:$FF$1,0)-1))*IF(E775="Ottone",1,0),4)</f>
        <v>0</v>
      </c>
      <c r="R775" s="446">
        <f ca="1">ROUND(IF(ISERROR(OFFSET(Rame!$F$1,MATCH(H775,Rame!$F:$F,0)-1,MATCH(I775,Rame!$F$1:$FF$1,0)-1)=TRUE),0,OFFSET(Rame!$F$1,MATCH(H775,Rame!$F:$F,0)-1,MATCH(I775,Rame!$F$1:$FF$1,0)-1))*IF(E775="Rame",1,0),4)</f>
        <v>0</v>
      </c>
      <c r="S775" s="446">
        <f ca="1">ROUND(IF(ISERROR(OFFSET(Bronzo!$A$1,MATCH(H775,Bronzo!$A:$A,0)-1,MATCH(I775,Bronzo!$A$1:$AA$1,0)-1)=TRUE),0,OFFSET(Bronzo!$A$1,MATCH(H775,Bronzo!$A:$A,0)-1,MATCH(I775,Bronzo!$A$1:$AA$1,0)-1)),4)</f>
        <v>0</v>
      </c>
      <c r="T775" s="446">
        <f t="shared" ca="1" si="205"/>
        <v>0</v>
      </c>
      <c r="U775" s="443"/>
      <c r="V775" s="446">
        <v>0</v>
      </c>
      <c r="W775" s="449">
        <f t="shared" ca="1" si="206"/>
        <v>0</v>
      </c>
      <c r="X775" s="452">
        <f t="shared" si="204"/>
        <v>0</v>
      </c>
      <c r="Y775" s="440"/>
      <c r="Z775" s="440">
        <f t="shared" ca="1" si="207"/>
        <v>0</v>
      </c>
      <c r="AA775" s="241"/>
      <c r="AH775" s="242"/>
    </row>
    <row r="776" spans="2:34" ht="15.75" x14ac:dyDescent="0.25">
      <c r="B776" s="229"/>
      <c r="C776" s="235"/>
      <c r="D776" s="243"/>
      <c r="E776" s="232"/>
      <c r="F776" s="435"/>
      <c r="G776" s="234"/>
      <c r="H776" s="235"/>
      <c r="I776" s="235"/>
      <c r="J776" s="440"/>
      <c r="K776" s="443">
        <f ca="1">ROUND(IF(ISERROR(OFFSET(Tabella!$A$1,MATCH(H776,Tabella!$A:$A,0)-1,MATCH(J776,Tabella!$A$1:$AC$1,0)-1)=TRUE),0,+OFFSET(Tabella!$A$1,MATCH(H776,Tabella!$A:$A,0)-1,MATCH(J776,Tabella!$A$1:$AC$1,0)-1)),4)</f>
        <v>0</v>
      </c>
      <c r="L776" s="446">
        <f ca="1">ROUND(IF(ISERROR(OFFSET(Ottone!$A$1,MATCH(H776,Ottone!$A:$A,0)-1,MATCH(J776,Ottone!$A$1:$Z$1,0)-1)=TRUE),0,OFFSET(Ottone!$A$1,MATCH(H776,Ottone!$A:$A,0)-1,MATCH(J776,Ottone!$A$1:$Z$1,0)-1))*IF(E776="Ottone",1,0),4)</f>
        <v>0</v>
      </c>
      <c r="M776" s="446">
        <f ca="1">ROUND(IF(ISERROR(OFFSET(Rame!$A$1,MATCH(H776,Rame!$A:$A,0)-1,MATCH(J776,Rame!$A$1:$AA$1,0)-1)=TRUE),0,OFFSET(Rame!$A$1,MATCH(H776,Rame!$A:$A,0)-1,MATCH(J776,Rame!$A$1:$AA$1,0)-1))*IF(E776="Rame",1,0),4)</f>
        <v>0</v>
      </c>
      <c r="N776" s="446">
        <v>0</v>
      </c>
      <c r="O776" s="446">
        <f t="shared" ca="1" si="208"/>
        <v>0</v>
      </c>
      <c r="P776" s="446">
        <f ca="1">ROUND(+IF(ISERROR(OFFSET(Tabella!$G$1,MATCH(H776,Tabella!$G:$G,0)-1,MATCH(I776,Tabella!$G$1:$FG$1,0)-1)=TRUE),0,OFFSET(Tabella!$G$1,MATCH(H776,Tabella!$G:$G,0)-1,MATCH(I776,Tabella!$G$1:$AB$1,0)-1)),4)</f>
        <v>0</v>
      </c>
      <c r="Q776" s="446">
        <f ca="1">ROUND(IF(ISERROR(OFFSET(Ottone!$F$1,MATCH(H776,Ottone!$A:$A,0)-1,MATCH(I776,Ottone!$F$1:$FF$1,0)-1)=TRUE),0,OFFSET(Ottone!$F$1,MATCH(H776,Ottone!$A:$A,0)-1,MATCH(I776,Ottone!$F$1:$FF$1,0)-1))*IF(E776="Ottone",1,0),4)</f>
        <v>0</v>
      </c>
      <c r="R776" s="446">
        <f ca="1">ROUND(IF(ISERROR(OFFSET(Rame!$F$1,MATCH(H776,Rame!$F:$F,0)-1,MATCH(I776,Rame!$F$1:$FF$1,0)-1)=TRUE),0,OFFSET(Rame!$F$1,MATCH(H776,Rame!$F:$F,0)-1,MATCH(I776,Rame!$F$1:$FF$1,0)-1))*IF(E776="Rame",1,0),4)</f>
        <v>0</v>
      </c>
      <c r="S776" s="446">
        <f ca="1">ROUND(IF(ISERROR(OFFSET(Bronzo!$A$1,MATCH(H776,Bronzo!$A:$A,0)-1,MATCH(I776,Bronzo!$A$1:$AA$1,0)-1)=TRUE),0,OFFSET(Bronzo!$A$1,MATCH(H776,Bronzo!$A:$A,0)-1,MATCH(I776,Bronzo!$A$1:$AA$1,0)-1)),4)</f>
        <v>0</v>
      </c>
      <c r="T776" s="446">
        <f t="shared" ca="1" si="205"/>
        <v>0</v>
      </c>
      <c r="U776" s="443"/>
      <c r="V776" s="446">
        <v>0</v>
      </c>
      <c r="W776" s="449">
        <f t="shared" ca="1" si="206"/>
        <v>0</v>
      </c>
      <c r="X776" s="452">
        <f t="shared" si="204"/>
        <v>0</v>
      </c>
      <c r="Y776" s="440"/>
      <c r="Z776" s="440">
        <f t="shared" ca="1" si="207"/>
        <v>0</v>
      </c>
      <c r="AA776" s="241"/>
      <c r="AH776" s="242"/>
    </row>
    <row r="777" spans="2:34" ht="15.75" x14ac:dyDescent="0.25">
      <c r="B777" s="229"/>
      <c r="C777" s="235"/>
      <c r="D777" s="243"/>
      <c r="E777" s="232"/>
      <c r="F777" s="435"/>
      <c r="G777" s="234"/>
      <c r="H777" s="235"/>
      <c r="I777" s="235"/>
      <c r="J777" s="440"/>
      <c r="K777" s="443">
        <f ca="1">ROUND(IF(ISERROR(OFFSET(Tabella!$A$1,MATCH(H777,Tabella!$A:$A,0)-1,MATCH(J777,Tabella!$A$1:$AC$1,0)-1)=TRUE),0,+OFFSET(Tabella!$A$1,MATCH(H777,Tabella!$A:$A,0)-1,MATCH(J777,Tabella!$A$1:$AC$1,0)-1)),4)</f>
        <v>0</v>
      </c>
      <c r="L777" s="446">
        <f ca="1">ROUND(IF(ISERROR(OFFSET(Ottone!$A$1,MATCH(H777,Ottone!$A:$A,0)-1,MATCH(J777,Ottone!$A$1:$Z$1,0)-1)=TRUE),0,OFFSET(Ottone!$A$1,MATCH(H777,Ottone!$A:$A,0)-1,MATCH(J777,Ottone!$A$1:$Z$1,0)-1))*IF(E777="Ottone",1,0),4)</f>
        <v>0</v>
      </c>
      <c r="M777" s="446">
        <f ca="1">ROUND(IF(ISERROR(OFFSET(Rame!$A$1,MATCH(H777,Rame!$A:$A,0)-1,MATCH(J777,Rame!$A$1:$AA$1,0)-1)=TRUE),0,OFFSET(Rame!$A$1,MATCH(H777,Rame!$A:$A,0)-1,MATCH(J777,Rame!$A$1:$AA$1,0)-1))*IF(E777="Rame",1,0),4)</f>
        <v>0</v>
      </c>
      <c r="N777" s="446">
        <v>0</v>
      </c>
      <c r="O777" s="446">
        <f t="shared" ca="1" si="208"/>
        <v>0</v>
      </c>
      <c r="P777" s="446">
        <f ca="1">ROUND(+IF(ISERROR(OFFSET(Tabella!$G$1,MATCH(H777,Tabella!$G:$G,0)-1,MATCH(I777,Tabella!$G$1:$FG$1,0)-1)=TRUE),0,OFFSET(Tabella!$G$1,MATCH(H777,Tabella!$G:$G,0)-1,MATCH(I777,Tabella!$G$1:$AB$1,0)-1)),4)</f>
        <v>0</v>
      </c>
      <c r="Q777" s="446">
        <f ca="1">ROUND(IF(ISERROR(OFFSET(Ottone!$F$1,MATCH(H777,Ottone!$A:$A,0)-1,MATCH(I777,Ottone!$F$1:$FF$1,0)-1)=TRUE),0,OFFSET(Ottone!$F$1,MATCH(H777,Ottone!$A:$A,0)-1,MATCH(I777,Ottone!$F$1:$FF$1,0)-1))*IF(E777="Ottone",1,0),4)</f>
        <v>0</v>
      </c>
      <c r="R777" s="446">
        <f ca="1">ROUND(IF(ISERROR(OFFSET(Rame!$F$1,MATCH(H777,Rame!$F:$F,0)-1,MATCH(I777,Rame!$F$1:$FF$1,0)-1)=TRUE),0,OFFSET(Rame!$F$1,MATCH(H777,Rame!$F:$F,0)-1,MATCH(I777,Rame!$F$1:$FF$1,0)-1))*IF(E777="Rame",1,0),4)</f>
        <v>0</v>
      </c>
      <c r="S777" s="446">
        <f ca="1">ROUND(IF(ISERROR(OFFSET(Bronzo!$A$1,MATCH(H777,Bronzo!$A:$A,0)-1,MATCH(I777,Bronzo!$A$1:$AA$1,0)-1)=TRUE),0,OFFSET(Bronzo!$A$1,MATCH(H777,Bronzo!$A:$A,0)-1,MATCH(I777,Bronzo!$A$1:$AA$1,0)-1)),4)</f>
        <v>0</v>
      </c>
      <c r="T777" s="446">
        <f t="shared" ca="1" si="205"/>
        <v>0</v>
      </c>
      <c r="U777" s="443"/>
      <c r="V777" s="446">
        <v>0</v>
      </c>
      <c r="W777" s="449">
        <f t="shared" ca="1" si="206"/>
        <v>0</v>
      </c>
      <c r="X777" s="452">
        <f t="shared" si="204"/>
        <v>0</v>
      </c>
      <c r="Y777" s="440"/>
      <c r="Z777" s="440">
        <f t="shared" ca="1" si="207"/>
        <v>0</v>
      </c>
      <c r="AA777" s="241"/>
      <c r="AH777" s="242"/>
    </row>
    <row r="778" spans="2:34" ht="15.75" x14ac:dyDescent="0.25">
      <c r="B778" s="229"/>
      <c r="C778" s="235"/>
      <c r="D778" s="243"/>
      <c r="E778" s="232"/>
      <c r="F778" s="435"/>
      <c r="G778" s="234"/>
      <c r="H778" s="235"/>
      <c r="I778" s="235"/>
      <c r="J778" s="440"/>
      <c r="K778" s="443">
        <f ca="1">ROUND(IF(ISERROR(OFFSET(Tabella!$A$1,MATCH(H778,Tabella!$A:$A,0)-1,MATCH(J778,Tabella!$A$1:$AC$1,0)-1)=TRUE),0,+OFFSET(Tabella!$A$1,MATCH(H778,Tabella!$A:$A,0)-1,MATCH(J778,Tabella!$A$1:$AC$1,0)-1)),4)</f>
        <v>0</v>
      </c>
      <c r="L778" s="446">
        <f ca="1">ROUND(IF(ISERROR(OFFSET(Ottone!$A$1,MATCH(H778,Ottone!$A:$A,0)-1,MATCH(J778,Ottone!$A$1:$Z$1,0)-1)=TRUE),0,OFFSET(Ottone!$A$1,MATCH(H778,Ottone!$A:$A,0)-1,MATCH(J778,Ottone!$A$1:$Z$1,0)-1))*IF(E778="Ottone",1,0),4)</f>
        <v>0</v>
      </c>
      <c r="M778" s="446">
        <f ca="1">ROUND(IF(ISERROR(OFFSET(Rame!$A$1,MATCH(H778,Rame!$A:$A,0)-1,MATCH(J778,Rame!$A$1:$AA$1,0)-1)=TRUE),0,OFFSET(Rame!$A$1,MATCH(H778,Rame!$A:$A,0)-1,MATCH(J778,Rame!$A$1:$AA$1,0)-1))*IF(E778="Rame",1,0),4)</f>
        <v>0</v>
      </c>
      <c r="N778" s="446">
        <v>0</v>
      </c>
      <c r="O778" s="446">
        <f t="shared" ca="1" si="208"/>
        <v>0</v>
      </c>
      <c r="P778" s="446">
        <f ca="1">ROUND(+IF(ISERROR(OFFSET(Tabella!$G$1,MATCH(H778,Tabella!$G:$G,0)-1,MATCH(I778,Tabella!$G$1:$FG$1,0)-1)=TRUE),0,OFFSET(Tabella!$G$1,MATCH(H778,Tabella!$G:$G,0)-1,MATCH(I778,Tabella!$G$1:$AB$1,0)-1)),4)</f>
        <v>0</v>
      </c>
      <c r="Q778" s="446">
        <f ca="1">ROUND(IF(ISERROR(OFFSET(Ottone!$F$1,MATCH(H778,Ottone!$A:$A,0)-1,MATCH(I778,Ottone!$F$1:$FF$1,0)-1)=TRUE),0,OFFSET(Ottone!$F$1,MATCH(H778,Ottone!$A:$A,0)-1,MATCH(I778,Ottone!$F$1:$FF$1,0)-1))*IF(E778="Ottone",1,0),4)</f>
        <v>0</v>
      </c>
      <c r="R778" s="446">
        <f ca="1">ROUND(IF(ISERROR(OFFSET(Rame!$F$1,MATCH(H778,Rame!$F:$F,0)-1,MATCH(I778,Rame!$F$1:$FF$1,0)-1)=TRUE),0,OFFSET(Rame!$F$1,MATCH(H778,Rame!$F:$F,0)-1,MATCH(I778,Rame!$F$1:$FF$1,0)-1))*IF(E778="Rame",1,0),4)</f>
        <v>0</v>
      </c>
      <c r="S778" s="446">
        <f ca="1">ROUND(IF(ISERROR(OFFSET(Bronzo!$A$1,MATCH(H778,Bronzo!$A:$A,0)-1,MATCH(I778,Bronzo!$A$1:$AA$1,0)-1)=TRUE),0,OFFSET(Bronzo!$A$1,MATCH(H778,Bronzo!$A:$A,0)-1,MATCH(I778,Bronzo!$A$1:$AA$1,0)-1)),4)</f>
        <v>0</v>
      </c>
      <c r="T778" s="446">
        <f t="shared" ca="1" si="205"/>
        <v>0</v>
      </c>
      <c r="U778" s="443"/>
      <c r="V778" s="446">
        <v>0</v>
      </c>
      <c r="W778" s="449">
        <f t="shared" ca="1" si="206"/>
        <v>0</v>
      </c>
      <c r="X778" s="452">
        <f t="shared" si="204"/>
        <v>0</v>
      </c>
      <c r="Y778" s="440"/>
      <c r="Z778" s="440">
        <f t="shared" ca="1" si="207"/>
        <v>0</v>
      </c>
      <c r="AA778" s="241"/>
      <c r="AH778" s="242"/>
    </row>
    <row r="779" spans="2:34" ht="15.75" x14ac:dyDescent="0.25">
      <c r="B779" s="229"/>
      <c r="C779" s="235"/>
      <c r="D779" s="243"/>
      <c r="E779" s="232"/>
      <c r="F779" s="435"/>
      <c r="G779" s="234"/>
      <c r="H779" s="235"/>
      <c r="I779" s="235"/>
      <c r="J779" s="440"/>
      <c r="K779" s="443">
        <f ca="1">ROUND(IF(ISERROR(OFFSET(Tabella!$A$1,MATCH(H779,Tabella!$A:$A,0)-1,MATCH(J779,Tabella!$A$1:$AC$1,0)-1)=TRUE),0,+OFFSET(Tabella!$A$1,MATCH(H779,Tabella!$A:$A,0)-1,MATCH(J779,Tabella!$A$1:$AC$1,0)-1)),4)</f>
        <v>0</v>
      </c>
      <c r="L779" s="446">
        <f ca="1">ROUND(IF(ISERROR(OFFSET(Ottone!$A$1,MATCH(H779,Ottone!$A:$A,0)-1,MATCH(J779,Ottone!$A$1:$Z$1,0)-1)=TRUE),0,OFFSET(Ottone!$A$1,MATCH(H779,Ottone!$A:$A,0)-1,MATCH(J779,Ottone!$A$1:$Z$1,0)-1))*IF(E779="Ottone",1,0),4)</f>
        <v>0</v>
      </c>
      <c r="M779" s="446">
        <f ca="1">ROUND(IF(ISERROR(OFFSET(Rame!$A$1,MATCH(H779,Rame!$A:$A,0)-1,MATCH(J779,Rame!$A$1:$AA$1,0)-1)=TRUE),0,OFFSET(Rame!$A$1,MATCH(H779,Rame!$A:$A,0)-1,MATCH(J779,Rame!$A$1:$AA$1,0)-1))*IF(E779="Rame",1,0),4)</f>
        <v>0</v>
      </c>
      <c r="N779" s="446">
        <v>0</v>
      </c>
      <c r="O779" s="446">
        <f t="shared" ca="1" si="208"/>
        <v>0</v>
      </c>
      <c r="P779" s="446">
        <f ca="1">ROUND(+IF(ISERROR(OFFSET(Tabella!$G$1,MATCH(H779,Tabella!$G:$G,0)-1,MATCH(I779,Tabella!$G$1:$FG$1,0)-1)=TRUE),0,OFFSET(Tabella!$G$1,MATCH(H779,Tabella!$G:$G,0)-1,MATCH(I779,Tabella!$G$1:$AB$1,0)-1)),4)</f>
        <v>0</v>
      </c>
      <c r="Q779" s="446">
        <f ca="1">ROUND(IF(ISERROR(OFFSET(Ottone!$F$1,MATCH(H779,Ottone!$A:$A,0)-1,MATCH(I779,Ottone!$F$1:$FF$1,0)-1)=TRUE),0,OFFSET(Ottone!$F$1,MATCH(H779,Ottone!$A:$A,0)-1,MATCH(I779,Ottone!$F$1:$FF$1,0)-1))*IF(E779="Ottone",1,0),4)</f>
        <v>0</v>
      </c>
      <c r="R779" s="446">
        <f ca="1">ROUND(IF(ISERROR(OFFSET(Rame!$F$1,MATCH(H779,Rame!$F:$F,0)-1,MATCH(I779,Rame!$F$1:$FF$1,0)-1)=TRUE),0,OFFSET(Rame!$F$1,MATCH(H779,Rame!$F:$F,0)-1,MATCH(I779,Rame!$F$1:$FF$1,0)-1))*IF(E779="Rame",1,0),4)</f>
        <v>0</v>
      </c>
      <c r="S779" s="446">
        <f ca="1">ROUND(IF(ISERROR(OFFSET(Bronzo!$A$1,MATCH(H779,Bronzo!$A:$A,0)-1,MATCH(I779,Bronzo!$A$1:$AA$1,0)-1)=TRUE),0,OFFSET(Bronzo!$A$1,MATCH(H779,Bronzo!$A:$A,0)-1,MATCH(I779,Bronzo!$A$1:$AA$1,0)-1)),4)</f>
        <v>0</v>
      </c>
      <c r="T779" s="446">
        <f t="shared" ca="1" si="205"/>
        <v>0</v>
      </c>
      <c r="U779" s="443"/>
      <c r="V779" s="446">
        <v>0</v>
      </c>
      <c r="W779" s="449">
        <f t="shared" ca="1" si="206"/>
        <v>0</v>
      </c>
      <c r="X779" s="452">
        <f t="shared" si="204"/>
        <v>0</v>
      </c>
      <c r="Y779" s="440"/>
      <c r="Z779" s="440">
        <f t="shared" ca="1" si="207"/>
        <v>0</v>
      </c>
      <c r="AA779" s="241"/>
      <c r="AH779" s="242"/>
    </row>
    <row r="780" spans="2:34" ht="15.75" x14ac:dyDescent="0.25">
      <c r="B780" s="229"/>
      <c r="C780" s="235"/>
      <c r="D780" s="243"/>
      <c r="E780" s="232"/>
      <c r="F780" s="435"/>
      <c r="G780" s="234"/>
      <c r="H780" s="235"/>
      <c r="I780" s="235"/>
      <c r="J780" s="440"/>
      <c r="K780" s="443">
        <f ca="1">ROUND(IF(ISERROR(OFFSET(Tabella!$A$1,MATCH(H780,Tabella!$A:$A,0)-1,MATCH(J780,Tabella!$A$1:$AC$1,0)-1)=TRUE),0,+OFFSET(Tabella!$A$1,MATCH(H780,Tabella!$A:$A,0)-1,MATCH(J780,Tabella!$A$1:$AC$1,0)-1)),4)</f>
        <v>0</v>
      </c>
      <c r="L780" s="446">
        <f ca="1">ROUND(IF(ISERROR(OFFSET(Ottone!$A$1,MATCH(H780,Ottone!$A:$A,0)-1,MATCH(J780,Ottone!$A$1:$Z$1,0)-1)=TRUE),0,OFFSET(Ottone!$A$1,MATCH(H780,Ottone!$A:$A,0)-1,MATCH(J780,Ottone!$A$1:$Z$1,0)-1))*IF(E780="Ottone",1,0),4)</f>
        <v>0</v>
      </c>
      <c r="M780" s="446">
        <f ca="1">ROUND(IF(ISERROR(OFFSET(Rame!$A$1,MATCH(H780,Rame!$A:$A,0)-1,MATCH(J780,Rame!$A$1:$AA$1,0)-1)=TRUE),0,OFFSET(Rame!$A$1,MATCH(H780,Rame!$A:$A,0)-1,MATCH(J780,Rame!$A$1:$AA$1,0)-1))*IF(E780="Rame",1,0),4)</f>
        <v>0</v>
      </c>
      <c r="N780" s="446">
        <v>0</v>
      </c>
      <c r="O780" s="446">
        <f t="shared" ca="1" si="208"/>
        <v>0</v>
      </c>
      <c r="P780" s="446">
        <f ca="1">ROUND(+IF(ISERROR(OFFSET(Tabella!$G$1,MATCH(H780,Tabella!$G:$G,0)-1,MATCH(I780,Tabella!$G$1:$FG$1,0)-1)=TRUE),0,OFFSET(Tabella!$G$1,MATCH(H780,Tabella!$G:$G,0)-1,MATCH(I780,Tabella!$G$1:$AB$1,0)-1)),4)</f>
        <v>0</v>
      </c>
      <c r="Q780" s="446">
        <f ca="1">ROUND(IF(ISERROR(OFFSET(Ottone!$F$1,MATCH(H780,Ottone!$A:$A,0)-1,MATCH(I780,Ottone!$F$1:$FF$1,0)-1)=TRUE),0,OFFSET(Ottone!$F$1,MATCH(H780,Ottone!$A:$A,0)-1,MATCH(I780,Ottone!$F$1:$FF$1,0)-1))*IF(E780="Ottone",1,0),4)</f>
        <v>0</v>
      </c>
      <c r="R780" s="446">
        <f ca="1">ROUND(IF(ISERROR(OFFSET(Rame!$F$1,MATCH(H780,Rame!$F:$F,0)-1,MATCH(I780,Rame!$F$1:$FF$1,0)-1)=TRUE),0,OFFSET(Rame!$F$1,MATCH(H780,Rame!$F:$F,0)-1,MATCH(I780,Rame!$F$1:$FF$1,0)-1))*IF(E780="Rame",1,0),4)</f>
        <v>0</v>
      </c>
      <c r="S780" s="446">
        <f ca="1">ROUND(IF(ISERROR(OFFSET(Bronzo!$A$1,MATCH(H780,Bronzo!$A:$A,0)-1,MATCH(I780,Bronzo!$A$1:$AA$1,0)-1)=TRUE),0,OFFSET(Bronzo!$A$1,MATCH(H780,Bronzo!$A:$A,0)-1,MATCH(I780,Bronzo!$A$1:$AA$1,0)-1)),4)</f>
        <v>0</v>
      </c>
      <c r="T780" s="446">
        <f t="shared" ca="1" si="205"/>
        <v>0</v>
      </c>
      <c r="U780" s="443"/>
      <c r="V780" s="446">
        <v>0</v>
      </c>
      <c r="W780" s="449">
        <f t="shared" ca="1" si="206"/>
        <v>0</v>
      </c>
      <c r="X780" s="452">
        <f t="shared" si="204"/>
        <v>0</v>
      </c>
      <c r="Y780" s="440"/>
      <c r="Z780" s="440">
        <f t="shared" ca="1" si="207"/>
        <v>0</v>
      </c>
      <c r="AA780" s="241"/>
      <c r="AH780" s="242"/>
    </row>
    <row r="781" spans="2:34" ht="15.75" x14ac:dyDescent="0.25">
      <c r="B781" s="229"/>
      <c r="C781" s="235"/>
      <c r="D781" s="243"/>
      <c r="E781" s="232"/>
      <c r="F781" s="435"/>
      <c r="G781" s="234"/>
      <c r="H781" s="235"/>
      <c r="I781" s="235"/>
      <c r="J781" s="440"/>
      <c r="K781" s="443">
        <f ca="1">ROUND(IF(ISERROR(OFFSET(Tabella!$A$1,MATCH(H781,Tabella!$A:$A,0)-1,MATCH(J781,Tabella!$A$1:$AC$1,0)-1)=TRUE),0,+OFFSET(Tabella!$A$1,MATCH(H781,Tabella!$A:$A,0)-1,MATCH(J781,Tabella!$A$1:$AC$1,0)-1)),4)</f>
        <v>0</v>
      </c>
      <c r="L781" s="446">
        <f ca="1">ROUND(IF(ISERROR(OFFSET(Ottone!$A$1,MATCH(H781,Ottone!$A:$A,0)-1,MATCH(J781,Ottone!$A$1:$Z$1,0)-1)=TRUE),0,OFFSET(Ottone!$A$1,MATCH(H781,Ottone!$A:$A,0)-1,MATCH(J781,Ottone!$A$1:$Z$1,0)-1))*IF(E781="Ottone",1,0),4)</f>
        <v>0</v>
      </c>
      <c r="M781" s="446">
        <f ca="1">ROUND(IF(ISERROR(OFFSET(Rame!$A$1,MATCH(H781,Rame!$A:$A,0)-1,MATCH(J781,Rame!$A$1:$AA$1,0)-1)=TRUE),0,OFFSET(Rame!$A$1,MATCH(H781,Rame!$A:$A,0)-1,MATCH(J781,Rame!$A$1:$AA$1,0)-1))*IF(E781="Rame",1,0),4)</f>
        <v>0</v>
      </c>
      <c r="N781" s="446">
        <v>0</v>
      </c>
      <c r="O781" s="446">
        <f t="shared" ca="1" si="208"/>
        <v>0</v>
      </c>
      <c r="P781" s="446">
        <f ca="1">ROUND(+IF(ISERROR(OFFSET(Tabella!$G$1,MATCH(H781,Tabella!$G:$G,0)-1,MATCH(I781,Tabella!$G$1:$FG$1,0)-1)=TRUE),0,OFFSET(Tabella!$G$1,MATCH(H781,Tabella!$G:$G,0)-1,MATCH(I781,Tabella!$G$1:$AB$1,0)-1)),4)</f>
        <v>0</v>
      </c>
      <c r="Q781" s="446">
        <f ca="1">ROUND(IF(ISERROR(OFFSET(Ottone!$F$1,MATCH(H781,Ottone!$A:$A,0)-1,MATCH(I781,Ottone!$F$1:$FF$1,0)-1)=TRUE),0,OFFSET(Ottone!$F$1,MATCH(H781,Ottone!$A:$A,0)-1,MATCH(I781,Ottone!$F$1:$FF$1,0)-1))*IF(E781="Ottone",1,0),4)</f>
        <v>0</v>
      </c>
      <c r="R781" s="446">
        <f ca="1">ROUND(IF(ISERROR(OFFSET(Rame!$F$1,MATCH(H781,Rame!$F:$F,0)-1,MATCH(I781,Rame!$F$1:$FF$1,0)-1)=TRUE),0,OFFSET(Rame!$F$1,MATCH(H781,Rame!$F:$F,0)-1,MATCH(I781,Rame!$F$1:$FF$1,0)-1))*IF(E781="Rame",1,0),4)</f>
        <v>0</v>
      </c>
      <c r="S781" s="446">
        <f ca="1">ROUND(IF(ISERROR(OFFSET(Bronzo!$A$1,MATCH(H781,Bronzo!$A:$A,0)-1,MATCH(I781,Bronzo!$A$1:$AA$1,0)-1)=TRUE),0,OFFSET(Bronzo!$A$1,MATCH(H781,Bronzo!$A:$A,0)-1,MATCH(I781,Bronzo!$A$1:$AA$1,0)-1)),4)</f>
        <v>0</v>
      </c>
      <c r="T781" s="446">
        <f t="shared" ca="1" si="205"/>
        <v>0</v>
      </c>
      <c r="U781" s="443"/>
      <c r="V781" s="446">
        <v>0</v>
      </c>
      <c r="W781" s="449">
        <f t="shared" ca="1" si="206"/>
        <v>0</v>
      </c>
      <c r="X781" s="452">
        <f t="shared" si="204"/>
        <v>0</v>
      </c>
      <c r="Y781" s="440"/>
      <c r="Z781" s="440">
        <f t="shared" ca="1" si="207"/>
        <v>0</v>
      </c>
      <c r="AA781" s="241"/>
      <c r="AH781" s="242"/>
    </row>
    <row r="782" spans="2:34" ht="15.75" x14ac:dyDescent="0.25">
      <c r="B782" s="229"/>
      <c r="C782" s="235"/>
      <c r="D782" s="243"/>
      <c r="E782" s="232"/>
      <c r="F782" s="435"/>
      <c r="G782" s="234"/>
      <c r="H782" s="235"/>
      <c r="I782" s="235"/>
      <c r="J782" s="440"/>
      <c r="K782" s="443">
        <f ca="1">ROUND(IF(ISERROR(OFFSET(Tabella!$A$1,MATCH(H782,Tabella!$A:$A,0)-1,MATCH(J782,Tabella!$A$1:$AC$1,0)-1)=TRUE),0,+OFFSET(Tabella!$A$1,MATCH(H782,Tabella!$A:$A,0)-1,MATCH(J782,Tabella!$A$1:$AC$1,0)-1)),4)</f>
        <v>0</v>
      </c>
      <c r="L782" s="446">
        <f ca="1">ROUND(IF(ISERROR(OFFSET(Ottone!$A$1,MATCH(H782,Ottone!$A:$A,0)-1,MATCH(J782,Ottone!$A$1:$Z$1,0)-1)=TRUE),0,OFFSET(Ottone!$A$1,MATCH(H782,Ottone!$A:$A,0)-1,MATCH(J782,Ottone!$A$1:$Z$1,0)-1))*IF(E782="Ottone",1,0),4)</f>
        <v>0</v>
      </c>
      <c r="M782" s="446">
        <f ca="1">ROUND(IF(ISERROR(OFFSET(Rame!$A$1,MATCH(H782,Rame!$A:$A,0)-1,MATCH(J782,Rame!$A$1:$AA$1,0)-1)=TRUE),0,OFFSET(Rame!$A$1,MATCH(H782,Rame!$A:$A,0)-1,MATCH(J782,Rame!$A$1:$AA$1,0)-1))*IF(E782="Rame",1,0),4)</f>
        <v>0</v>
      </c>
      <c r="N782" s="446">
        <v>0</v>
      </c>
      <c r="O782" s="446">
        <f t="shared" ca="1" si="208"/>
        <v>0</v>
      </c>
      <c r="P782" s="446">
        <f ca="1">ROUND(+IF(ISERROR(OFFSET(Tabella!$G$1,MATCH(H782,Tabella!$G:$G,0)-1,MATCH(I782,Tabella!$G$1:$FG$1,0)-1)=TRUE),0,OFFSET(Tabella!$G$1,MATCH(H782,Tabella!$G:$G,0)-1,MATCH(I782,Tabella!$G$1:$AB$1,0)-1)),4)</f>
        <v>0</v>
      </c>
      <c r="Q782" s="446">
        <f ca="1">ROUND(IF(ISERROR(OFFSET(Ottone!$F$1,MATCH(H782,Ottone!$A:$A,0)-1,MATCH(I782,Ottone!$F$1:$FF$1,0)-1)=TRUE),0,OFFSET(Ottone!$F$1,MATCH(H782,Ottone!$A:$A,0)-1,MATCH(I782,Ottone!$F$1:$FF$1,0)-1))*IF(E782="Ottone",1,0),4)</f>
        <v>0</v>
      </c>
      <c r="R782" s="446">
        <f ca="1">ROUND(IF(ISERROR(OFFSET(Rame!$F$1,MATCH(H782,Rame!$F:$F,0)-1,MATCH(I782,Rame!$F$1:$FF$1,0)-1)=TRUE),0,OFFSET(Rame!$F$1,MATCH(H782,Rame!$F:$F,0)-1,MATCH(I782,Rame!$F$1:$FF$1,0)-1))*IF(E782="Rame",1,0),4)</f>
        <v>0</v>
      </c>
      <c r="S782" s="446">
        <f ca="1">ROUND(IF(ISERROR(OFFSET(Bronzo!$A$1,MATCH(H782,Bronzo!$A:$A,0)-1,MATCH(I782,Bronzo!$A$1:$AA$1,0)-1)=TRUE),0,OFFSET(Bronzo!$A$1,MATCH(H782,Bronzo!$A:$A,0)-1,MATCH(I782,Bronzo!$A$1:$AA$1,0)-1)),4)</f>
        <v>0</v>
      </c>
      <c r="T782" s="446">
        <f t="shared" ca="1" si="205"/>
        <v>0</v>
      </c>
      <c r="U782" s="443"/>
      <c r="V782" s="446">
        <v>0</v>
      </c>
      <c r="W782" s="449">
        <f t="shared" ca="1" si="206"/>
        <v>0</v>
      </c>
      <c r="X782" s="452">
        <f t="shared" si="204"/>
        <v>0</v>
      </c>
      <c r="Y782" s="440"/>
      <c r="Z782" s="440">
        <f t="shared" ca="1" si="207"/>
        <v>0</v>
      </c>
      <c r="AA782" s="241"/>
      <c r="AH782" s="242"/>
    </row>
    <row r="783" spans="2:34" ht="15.75" x14ac:dyDescent="0.25">
      <c r="B783" s="229"/>
      <c r="C783" s="235"/>
      <c r="D783" s="243"/>
      <c r="E783" s="232"/>
      <c r="F783" s="435"/>
      <c r="G783" s="234"/>
      <c r="H783" s="235"/>
      <c r="I783" s="235"/>
      <c r="J783" s="440"/>
      <c r="K783" s="443">
        <f ca="1">ROUND(IF(ISERROR(OFFSET(Tabella!$A$1,MATCH(H783,Tabella!$A:$A,0)-1,MATCH(J783,Tabella!$A$1:$AC$1,0)-1)=TRUE),0,+OFFSET(Tabella!$A$1,MATCH(H783,Tabella!$A:$A,0)-1,MATCH(J783,Tabella!$A$1:$AC$1,0)-1)),4)</f>
        <v>0</v>
      </c>
      <c r="L783" s="446">
        <f ca="1">ROUND(IF(ISERROR(OFFSET(Ottone!$A$1,MATCH(H783,Ottone!$A:$A,0)-1,MATCH(J783,Ottone!$A$1:$Z$1,0)-1)=TRUE),0,OFFSET(Ottone!$A$1,MATCH(H783,Ottone!$A:$A,0)-1,MATCH(J783,Ottone!$A$1:$Z$1,0)-1))*IF(E783="Ottone",1,0),4)</f>
        <v>0</v>
      </c>
      <c r="M783" s="446">
        <f ca="1">ROUND(IF(ISERROR(OFFSET(Rame!$A$1,MATCH(H783,Rame!$A:$A,0)-1,MATCH(J783,Rame!$A$1:$AA$1,0)-1)=TRUE),0,OFFSET(Rame!$A$1,MATCH(H783,Rame!$A:$A,0)-1,MATCH(J783,Rame!$A$1:$AA$1,0)-1))*IF(E783="Rame",1,0),4)</f>
        <v>0</v>
      </c>
      <c r="N783" s="446">
        <v>0</v>
      </c>
      <c r="O783" s="446">
        <f t="shared" ca="1" si="208"/>
        <v>0</v>
      </c>
      <c r="P783" s="446">
        <f ca="1">ROUND(+IF(ISERROR(OFFSET(Tabella!$G$1,MATCH(H783,Tabella!$G:$G,0)-1,MATCH(I783,Tabella!$G$1:$FG$1,0)-1)=TRUE),0,OFFSET(Tabella!$G$1,MATCH(H783,Tabella!$G:$G,0)-1,MATCH(I783,Tabella!$G$1:$AB$1,0)-1)),4)</f>
        <v>0</v>
      </c>
      <c r="Q783" s="446">
        <f ca="1">ROUND(IF(ISERROR(OFFSET(Ottone!$F$1,MATCH(H783,Ottone!$A:$A,0)-1,MATCH(I783,Ottone!$F$1:$FF$1,0)-1)=TRUE),0,OFFSET(Ottone!$F$1,MATCH(H783,Ottone!$A:$A,0)-1,MATCH(I783,Ottone!$F$1:$FF$1,0)-1))*IF(E783="Ottone",1,0),4)</f>
        <v>0</v>
      </c>
      <c r="R783" s="446">
        <f ca="1">ROUND(IF(ISERROR(OFFSET(Rame!$F$1,MATCH(H783,Rame!$F:$F,0)-1,MATCH(I783,Rame!$F$1:$FF$1,0)-1)=TRUE),0,OFFSET(Rame!$F$1,MATCH(H783,Rame!$F:$F,0)-1,MATCH(I783,Rame!$F$1:$FF$1,0)-1))*IF(E783="Rame",1,0),4)</f>
        <v>0</v>
      </c>
      <c r="S783" s="446">
        <f ca="1">ROUND(IF(ISERROR(OFFSET(Bronzo!$A$1,MATCH(H783,Bronzo!$A:$A,0)-1,MATCH(I783,Bronzo!$A$1:$AA$1,0)-1)=TRUE),0,OFFSET(Bronzo!$A$1,MATCH(H783,Bronzo!$A:$A,0)-1,MATCH(I783,Bronzo!$A$1:$AA$1,0)-1)),4)</f>
        <v>0</v>
      </c>
      <c r="T783" s="446">
        <f t="shared" ca="1" si="205"/>
        <v>0</v>
      </c>
      <c r="U783" s="443"/>
      <c r="V783" s="446">
        <v>0</v>
      </c>
      <c r="W783" s="449">
        <f t="shared" ca="1" si="206"/>
        <v>0</v>
      </c>
      <c r="X783" s="452">
        <f t="shared" si="204"/>
        <v>0</v>
      </c>
      <c r="Y783" s="440"/>
      <c r="Z783" s="440">
        <f t="shared" ca="1" si="207"/>
        <v>0</v>
      </c>
      <c r="AA783" s="241"/>
      <c r="AH783" s="242"/>
    </row>
    <row r="784" spans="2:34" ht="15.75" x14ac:dyDescent="0.25">
      <c r="B784" s="229"/>
      <c r="C784" s="235"/>
      <c r="D784" s="243"/>
      <c r="E784" s="232"/>
      <c r="F784" s="435"/>
      <c r="G784" s="234"/>
      <c r="H784" s="235"/>
      <c r="I784" s="235"/>
      <c r="J784" s="440"/>
      <c r="K784" s="443">
        <f ca="1">ROUND(IF(ISERROR(OFFSET(Tabella!$A$1,MATCH(H784,Tabella!$A:$A,0)-1,MATCH(J784,Tabella!$A$1:$AC$1,0)-1)=TRUE),0,+OFFSET(Tabella!$A$1,MATCH(H784,Tabella!$A:$A,0)-1,MATCH(J784,Tabella!$A$1:$AC$1,0)-1)),4)</f>
        <v>0</v>
      </c>
      <c r="L784" s="446">
        <f ca="1">ROUND(IF(ISERROR(OFFSET(Ottone!$A$1,MATCH(H784,Ottone!$A:$A,0)-1,MATCH(J784,Ottone!$A$1:$Z$1,0)-1)=TRUE),0,OFFSET(Ottone!$A$1,MATCH(H784,Ottone!$A:$A,0)-1,MATCH(J784,Ottone!$A$1:$Z$1,0)-1))*IF(E784="Ottone",1,0),4)</f>
        <v>0</v>
      </c>
      <c r="M784" s="446">
        <f ca="1">ROUND(IF(ISERROR(OFFSET(Rame!$A$1,MATCH(H784,Rame!$A:$A,0)-1,MATCH(J784,Rame!$A$1:$AA$1,0)-1)=TRUE),0,OFFSET(Rame!$A$1,MATCH(H784,Rame!$A:$A,0)-1,MATCH(J784,Rame!$A$1:$AA$1,0)-1))*IF(E784="Rame",1,0),4)</f>
        <v>0</v>
      </c>
      <c r="N784" s="446">
        <v>0</v>
      </c>
      <c r="O784" s="446">
        <f t="shared" ca="1" si="208"/>
        <v>0</v>
      </c>
      <c r="P784" s="446">
        <f ca="1">ROUND(+IF(ISERROR(OFFSET(Tabella!$G$1,MATCH(H784,Tabella!$G:$G,0)-1,MATCH(I784,Tabella!$G$1:$FG$1,0)-1)=TRUE),0,OFFSET(Tabella!$G$1,MATCH(H784,Tabella!$G:$G,0)-1,MATCH(I784,Tabella!$G$1:$AB$1,0)-1)),4)</f>
        <v>0</v>
      </c>
      <c r="Q784" s="446">
        <f ca="1">ROUND(IF(ISERROR(OFFSET(Ottone!$F$1,MATCH(H784,Ottone!$A:$A,0)-1,MATCH(I784,Ottone!$F$1:$FF$1,0)-1)=TRUE),0,OFFSET(Ottone!$F$1,MATCH(H784,Ottone!$A:$A,0)-1,MATCH(I784,Ottone!$F$1:$FF$1,0)-1))*IF(E784="Ottone",1,0),4)</f>
        <v>0</v>
      </c>
      <c r="R784" s="446">
        <f ca="1">ROUND(IF(ISERROR(OFFSET(Rame!$F$1,MATCH(H784,Rame!$F:$F,0)-1,MATCH(I784,Rame!$F$1:$FF$1,0)-1)=TRUE),0,OFFSET(Rame!$F$1,MATCH(H784,Rame!$F:$F,0)-1,MATCH(I784,Rame!$F$1:$FF$1,0)-1))*IF(E784="Rame",1,0),4)</f>
        <v>0</v>
      </c>
      <c r="S784" s="446">
        <f ca="1">ROUND(IF(ISERROR(OFFSET(Bronzo!$A$1,MATCH(H784,Bronzo!$A:$A,0)-1,MATCH(I784,Bronzo!$A$1:$AA$1,0)-1)=TRUE),0,OFFSET(Bronzo!$A$1,MATCH(H784,Bronzo!$A:$A,0)-1,MATCH(I784,Bronzo!$A$1:$AA$1,0)-1)),4)</f>
        <v>0</v>
      </c>
      <c r="T784" s="446">
        <f t="shared" ca="1" si="205"/>
        <v>0</v>
      </c>
      <c r="U784" s="443"/>
      <c r="V784" s="446">
        <v>0</v>
      </c>
      <c r="W784" s="449">
        <f t="shared" ca="1" si="206"/>
        <v>0</v>
      </c>
      <c r="X784" s="452">
        <f t="shared" si="204"/>
        <v>0</v>
      </c>
      <c r="Y784" s="440"/>
      <c r="Z784" s="440">
        <f t="shared" ca="1" si="207"/>
        <v>0</v>
      </c>
      <c r="AA784" s="241"/>
      <c r="AH784" s="242"/>
    </row>
    <row r="785" spans="2:34" ht="15.75" x14ac:dyDescent="0.25">
      <c r="B785" s="229"/>
      <c r="C785" s="235"/>
      <c r="D785" s="243"/>
      <c r="E785" s="232"/>
      <c r="F785" s="435"/>
      <c r="G785" s="234"/>
      <c r="H785" s="235"/>
      <c r="I785" s="235"/>
      <c r="J785" s="440"/>
      <c r="K785" s="443">
        <f ca="1">ROUND(IF(ISERROR(OFFSET(Tabella!$A$1,MATCH(H785,Tabella!$A:$A,0)-1,MATCH(J785,Tabella!$A$1:$AC$1,0)-1)=TRUE),0,+OFFSET(Tabella!$A$1,MATCH(H785,Tabella!$A:$A,0)-1,MATCH(J785,Tabella!$A$1:$AC$1,0)-1)),4)</f>
        <v>0</v>
      </c>
      <c r="L785" s="446">
        <f ca="1">ROUND(IF(ISERROR(OFFSET(Ottone!$A$1,MATCH(H785,Ottone!$A:$A,0)-1,MATCH(J785,Ottone!$A$1:$Z$1,0)-1)=TRUE),0,OFFSET(Ottone!$A$1,MATCH(H785,Ottone!$A:$A,0)-1,MATCH(J785,Ottone!$A$1:$Z$1,0)-1))*IF(E785="Ottone",1,0),4)</f>
        <v>0</v>
      </c>
      <c r="M785" s="446">
        <f ca="1">ROUND(IF(ISERROR(OFFSET(Rame!$A$1,MATCH(H785,Rame!$A:$A,0)-1,MATCH(J785,Rame!$A$1:$AA$1,0)-1)=TRUE),0,OFFSET(Rame!$A$1,MATCH(H785,Rame!$A:$A,0)-1,MATCH(J785,Rame!$A$1:$AA$1,0)-1))*IF(E785="Rame",1,0),4)</f>
        <v>0</v>
      </c>
      <c r="N785" s="446">
        <v>0</v>
      </c>
      <c r="O785" s="446">
        <f t="shared" ca="1" si="208"/>
        <v>0</v>
      </c>
      <c r="P785" s="446">
        <f ca="1">ROUND(+IF(ISERROR(OFFSET(Tabella!$G$1,MATCH(H785,Tabella!$G:$G,0)-1,MATCH(I785,Tabella!$G$1:$FG$1,0)-1)=TRUE),0,OFFSET(Tabella!$G$1,MATCH(H785,Tabella!$G:$G,0)-1,MATCH(I785,Tabella!$G$1:$AB$1,0)-1)),4)</f>
        <v>0</v>
      </c>
      <c r="Q785" s="446">
        <f ca="1">ROUND(IF(ISERROR(OFFSET(Ottone!$F$1,MATCH(H785,Ottone!$A:$A,0)-1,MATCH(I785,Ottone!$F$1:$FF$1,0)-1)=TRUE),0,OFFSET(Ottone!$F$1,MATCH(H785,Ottone!$A:$A,0)-1,MATCH(I785,Ottone!$F$1:$FF$1,0)-1))*IF(E785="Ottone",1,0),4)</f>
        <v>0</v>
      </c>
      <c r="R785" s="446">
        <f ca="1">ROUND(IF(ISERROR(OFFSET(Rame!$F$1,MATCH(H785,Rame!$F:$F,0)-1,MATCH(I785,Rame!$F$1:$FF$1,0)-1)=TRUE),0,OFFSET(Rame!$F$1,MATCH(H785,Rame!$F:$F,0)-1,MATCH(I785,Rame!$F$1:$FF$1,0)-1))*IF(E785="Rame",1,0),4)</f>
        <v>0</v>
      </c>
      <c r="S785" s="446">
        <f ca="1">ROUND(IF(ISERROR(OFFSET(Bronzo!$A$1,MATCH(H785,Bronzo!$A:$A,0)-1,MATCH(I785,Bronzo!$A$1:$AA$1,0)-1)=TRUE),0,OFFSET(Bronzo!$A$1,MATCH(H785,Bronzo!$A:$A,0)-1,MATCH(I785,Bronzo!$A$1:$AA$1,0)-1)),4)</f>
        <v>0</v>
      </c>
      <c r="T785" s="446">
        <f t="shared" ca="1" si="205"/>
        <v>0</v>
      </c>
      <c r="U785" s="443"/>
      <c r="V785" s="446">
        <v>0</v>
      </c>
      <c r="W785" s="449">
        <f t="shared" ca="1" si="206"/>
        <v>0</v>
      </c>
      <c r="X785" s="452">
        <f t="shared" ref="X785:X848" si="209">ROUND(+J785*D785,4)</f>
        <v>0</v>
      </c>
      <c r="Y785" s="440"/>
      <c r="Z785" s="440">
        <f t="shared" ca="1" si="207"/>
        <v>0</v>
      </c>
      <c r="AA785" s="241"/>
      <c r="AH785" s="242"/>
    </row>
    <row r="786" spans="2:34" ht="15.75" x14ac:dyDescent="0.25">
      <c r="B786" s="229"/>
      <c r="C786" s="235"/>
      <c r="D786" s="243"/>
      <c r="E786" s="232"/>
      <c r="F786" s="435"/>
      <c r="G786" s="234"/>
      <c r="H786" s="235"/>
      <c r="I786" s="235"/>
      <c r="J786" s="440"/>
      <c r="K786" s="443">
        <f ca="1">ROUND(IF(ISERROR(OFFSET(Tabella!$A$1,MATCH(H786,Tabella!$A:$A,0)-1,MATCH(J786,Tabella!$A$1:$AC$1,0)-1)=TRUE),0,+OFFSET(Tabella!$A$1,MATCH(H786,Tabella!$A:$A,0)-1,MATCH(J786,Tabella!$A$1:$AC$1,0)-1)),4)</f>
        <v>0</v>
      </c>
      <c r="L786" s="446">
        <f ca="1">ROUND(IF(ISERROR(OFFSET(Ottone!$A$1,MATCH(H786,Ottone!$A:$A,0)-1,MATCH(J786,Ottone!$A$1:$Z$1,0)-1)=TRUE),0,OFFSET(Ottone!$A$1,MATCH(H786,Ottone!$A:$A,0)-1,MATCH(J786,Ottone!$A$1:$Z$1,0)-1))*IF(E786="Ottone",1,0),4)</f>
        <v>0</v>
      </c>
      <c r="M786" s="446">
        <f ca="1">ROUND(IF(ISERROR(OFFSET(Rame!$A$1,MATCH(H786,Rame!$A:$A,0)-1,MATCH(J786,Rame!$A$1:$AA$1,0)-1)=TRUE),0,OFFSET(Rame!$A$1,MATCH(H786,Rame!$A:$A,0)-1,MATCH(J786,Rame!$A$1:$AA$1,0)-1))*IF(E786="Rame",1,0),4)</f>
        <v>0</v>
      </c>
      <c r="N786" s="446">
        <v>0</v>
      </c>
      <c r="O786" s="446">
        <f t="shared" ca="1" si="208"/>
        <v>0</v>
      </c>
      <c r="P786" s="446">
        <f ca="1">ROUND(+IF(ISERROR(OFFSET(Tabella!$G$1,MATCH(H786,Tabella!$G:$G,0)-1,MATCH(I786,Tabella!$G$1:$FG$1,0)-1)=TRUE),0,OFFSET(Tabella!$G$1,MATCH(H786,Tabella!$G:$G,0)-1,MATCH(I786,Tabella!$G$1:$AB$1,0)-1)),4)</f>
        <v>0</v>
      </c>
      <c r="Q786" s="446">
        <f ca="1">ROUND(IF(ISERROR(OFFSET(Ottone!$F$1,MATCH(H786,Ottone!$A:$A,0)-1,MATCH(I786,Ottone!$F$1:$FF$1,0)-1)=TRUE),0,OFFSET(Ottone!$F$1,MATCH(H786,Ottone!$A:$A,0)-1,MATCH(I786,Ottone!$F$1:$FF$1,0)-1))*IF(E786="Ottone",1,0),4)</f>
        <v>0</v>
      </c>
      <c r="R786" s="446">
        <f ca="1">ROUND(IF(ISERROR(OFFSET(Rame!$F$1,MATCH(H786,Rame!$F:$F,0)-1,MATCH(I786,Rame!$F$1:$FF$1,0)-1)=TRUE),0,OFFSET(Rame!$F$1,MATCH(H786,Rame!$F:$F,0)-1,MATCH(I786,Rame!$F$1:$FF$1,0)-1))*IF(E786="Rame",1,0),4)</f>
        <v>0</v>
      </c>
      <c r="S786" s="446">
        <f ca="1">ROUND(IF(ISERROR(OFFSET(Bronzo!$A$1,MATCH(H786,Bronzo!$A:$A,0)-1,MATCH(I786,Bronzo!$A$1:$AA$1,0)-1)=TRUE),0,OFFSET(Bronzo!$A$1,MATCH(H786,Bronzo!$A:$A,0)-1,MATCH(I786,Bronzo!$A$1:$AA$1,0)-1)),4)</f>
        <v>0</v>
      </c>
      <c r="T786" s="446">
        <f t="shared" ca="1" si="205"/>
        <v>0</v>
      </c>
      <c r="U786" s="443"/>
      <c r="V786" s="446">
        <v>0</v>
      </c>
      <c r="W786" s="449">
        <f t="shared" ca="1" si="206"/>
        <v>0</v>
      </c>
      <c r="X786" s="452">
        <f t="shared" si="209"/>
        <v>0</v>
      </c>
      <c r="Y786" s="440"/>
      <c r="Z786" s="440">
        <f t="shared" ca="1" si="207"/>
        <v>0</v>
      </c>
      <c r="AA786" s="241"/>
      <c r="AH786" s="242"/>
    </row>
    <row r="787" spans="2:34" ht="15.75" x14ac:dyDescent="0.25">
      <c r="B787" s="229"/>
      <c r="C787" s="235"/>
      <c r="D787" s="243"/>
      <c r="E787" s="232"/>
      <c r="F787" s="435"/>
      <c r="G787" s="234"/>
      <c r="H787" s="235"/>
      <c r="I787" s="235"/>
      <c r="J787" s="440"/>
      <c r="K787" s="443">
        <f ca="1">ROUND(IF(ISERROR(OFFSET(Tabella!$A$1,MATCH(H787,Tabella!$A:$A,0)-1,MATCH(J787,Tabella!$A$1:$AC$1,0)-1)=TRUE),0,+OFFSET(Tabella!$A$1,MATCH(H787,Tabella!$A:$A,0)-1,MATCH(J787,Tabella!$A$1:$AC$1,0)-1)),4)</f>
        <v>0</v>
      </c>
      <c r="L787" s="446">
        <f ca="1">ROUND(IF(ISERROR(OFFSET(Ottone!$A$1,MATCH(H787,Ottone!$A:$A,0)-1,MATCH(J787,Ottone!$A$1:$Z$1,0)-1)=TRUE),0,OFFSET(Ottone!$A$1,MATCH(H787,Ottone!$A:$A,0)-1,MATCH(J787,Ottone!$A$1:$Z$1,0)-1))*IF(E787="Ottone",1,0),4)</f>
        <v>0</v>
      </c>
      <c r="M787" s="446">
        <f ca="1">ROUND(IF(ISERROR(OFFSET(Rame!$A$1,MATCH(H787,Rame!$A:$A,0)-1,MATCH(J787,Rame!$A$1:$AA$1,0)-1)=TRUE),0,OFFSET(Rame!$A$1,MATCH(H787,Rame!$A:$A,0)-1,MATCH(J787,Rame!$A$1:$AA$1,0)-1))*IF(E787="Rame",1,0),4)</f>
        <v>0</v>
      </c>
      <c r="N787" s="446">
        <v>0</v>
      </c>
      <c r="O787" s="446">
        <f t="shared" ca="1" si="208"/>
        <v>0</v>
      </c>
      <c r="P787" s="446">
        <f ca="1">ROUND(+IF(ISERROR(OFFSET(Tabella!$G$1,MATCH(H787,Tabella!$G:$G,0)-1,MATCH(I787,Tabella!$G$1:$FG$1,0)-1)=TRUE),0,OFFSET(Tabella!$G$1,MATCH(H787,Tabella!$G:$G,0)-1,MATCH(I787,Tabella!$G$1:$AB$1,0)-1)),4)</f>
        <v>0</v>
      </c>
      <c r="Q787" s="446">
        <f ca="1">ROUND(IF(ISERROR(OFFSET(Ottone!$F$1,MATCH(H787,Ottone!$A:$A,0)-1,MATCH(I787,Ottone!$F$1:$FF$1,0)-1)=TRUE),0,OFFSET(Ottone!$F$1,MATCH(H787,Ottone!$A:$A,0)-1,MATCH(I787,Ottone!$F$1:$FF$1,0)-1))*IF(E787="Ottone",1,0),4)</f>
        <v>0</v>
      </c>
      <c r="R787" s="446">
        <f ca="1">ROUND(IF(ISERROR(OFFSET(Rame!$F$1,MATCH(H787,Rame!$F:$F,0)-1,MATCH(I787,Rame!$F$1:$FF$1,0)-1)=TRUE),0,OFFSET(Rame!$F$1,MATCH(H787,Rame!$F:$F,0)-1,MATCH(I787,Rame!$F$1:$FF$1,0)-1))*IF(E787="Rame",1,0),4)</f>
        <v>0</v>
      </c>
      <c r="S787" s="446">
        <f ca="1">ROUND(IF(ISERROR(OFFSET(Bronzo!$A$1,MATCH(H787,Bronzo!$A:$A,0)-1,MATCH(I787,Bronzo!$A$1:$AA$1,0)-1)=TRUE),0,OFFSET(Bronzo!$A$1,MATCH(H787,Bronzo!$A:$A,0)-1,MATCH(I787,Bronzo!$A$1:$AA$1,0)-1)),4)</f>
        <v>0</v>
      </c>
      <c r="T787" s="446">
        <f t="shared" ca="1" si="205"/>
        <v>0</v>
      </c>
      <c r="U787" s="443"/>
      <c r="V787" s="446">
        <v>0</v>
      </c>
      <c r="W787" s="449">
        <f t="shared" ca="1" si="206"/>
        <v>0</v>
      </c>
      <c r="X787" s="452">
        <f t="shared" si="209"/>
        <v>0</v>
      </c>
      <c r="Y787" s="440"/>
      <c r="Z787" s="440">
        <f t="shared" ca="1" si="207"/>
        <v>0</v>
      </c>
      <c r="AA787" s="241"/>
      <c r="AH787" s="242"/>
    </row>
    <row r="788" spans="2:34" ht="15.75" x14ac:dyDescent="0.25">
      <c r="B788" s="229"/>
      <c r="C788" s="235"/>
      <c r="D788" s="243"/>
      <c r="E788" s="232"/>
      <c r="F788" s="435"/>
      <c r="G788" s="234"/>
      <c r="H788" s="235"/>
      <c r="I788" s="235"/>
      <c r="J788" s="440"/>
      <c r="K788" s="443">
        <f ca="1">ROUND(IF(ISERROR(OFFSET(Tabella!$A$1,MATCH(H788,Tabella!$A:$A,0)-1,MATCH(J788,Tabella!$A$1:$AC$1,0)-1)=TRUE),0,+OFFSET(Tabella!$A$1,MATCH(H788,Tabella!$A:$A,0)-1,MATCH(J788,Tabella!$A$1:$AC$1,0)-1)),4)</f>
        <v>0</v>
      </c>
      <c r="L788" s="446">
        <f ca="1">ROUND(IF(ISERROR(OFFSET(Ottone!$A$1,MATCH(H788,Ottone!$A:$A,0)-1,MATCH(J788,Ottone!$A$1:$Z$1,0)-1)=TRUE),0,OFFSET(Ottone!$A$1,MATCH(H788,Ottone!$A:$A,0)-1,MATCH(J788,Ottone!$A$1:$Z$1,0)-1))*IF(E788="Ottone",1,0),4)</f>
        <v>0</v>
      </c>
      <c r="M788" s="446">
        <f ca="1">ROUND(IF(ISERROR(OFFSET(Rame!$A$1,MATCH(H788,Rame!$A:$A,0)-1,MATCH(J788,Rame!$A$1:$AA$1,0)-1)=TRUE),0,OFFSET(Rame!$A$1,MATCH(H788,Rame!$A:$A,0)-1,MATCH(J788,Rame!$A$1:$AA$1,0)-1))*IF(E788="Rame",1,0),4)</f>
        <v>0</v>
      </c>
      <c r="N788" s="446">
        <v>0</v>
      </c>
      <c r="O788" s="446">
        <f t="shared" ca="1" si="208"/>
        <v>0</v>
      </c>
      <c r="P788" s="446">
        <f ca="1">ROUND(+IF(ISERROR(OFFSET(Tabella!$G$1,MATCH(H788,Tabella!$G:$G,0)-1,MATCH(I788,Tabella!$G$1:$FG$1,0)-1)=TRUE),0,OFFSET(Tabella!$G$1,MATCH(H788,Tabella!$G:$G,0)-1,MATCH(I788,Tabella!$G$1:$AB$1,0)-1)),4)</f>
        <v>0</v>
      </c>
      <c r="Q788" s="446">
        <f ca="1">ROUND(IF(ISERROR(OFFSET(Ottone!$F$1,MATCH(H788,Ottone!$A:$A,0)-1,MATCH(I788,Ottone!$F$1:$FF$1,0)-1)=TRUE),0,OFFSET(Ottone!$F$1,MATCH(H788,Ottone!$A:$A,0)-1,MATCH(I788,Ottone!$F$1:$FF$1,0)-1))*IF(E788="Ottone",1,0),4)</f>
        <v>0</v>
      </c>
      <c r="R788" s="446">
        <f ca="1">ROUND(IF(ISERROR(OFFSET(Rame!$F$1,MATCH(H788,Rame!$F:$F,0)-1,MATCH(I788,Rame!$F$1:$FF$1,0)-1)=TRUE),0,OFFSET(Rame!$F$1,MATCH(H788,Rame!$F:$F,0)-1,MATCH(I788,Rame!$F$1:$FF$1,0)-1))*IF(E788="Rame",1,0),4)</f>
        <v>0</v>
      </c>
      <c r="S788" s="446">
        <f ca="1">ROUND(IF(ISERROR(OFFSET(Bronzo!$A$1,MATCH(H788,Bronzo!$A:$A,0)-1,MATCH(I788,Bronzo!$A$1:$AA$1,0)-1)=TRUE),0,OFFSET(Bronzo!$A$1,MATCH(H788,Bronzo!$A:$A,0)-1,MATCH(I788,Bronzo!$A$1:$AA$1,0)-1)),4)</f>
        <v>0</v>
      </c>
      <c r="T788" s="446">
        <f t="shared" ca="1" si="205"/>
        <v>0</v>
      </c>
      <c r="U788" s="443"/>
      <c r="V788" s="446">
        <v>0</v>
      </c>
      <c r="W788" s="449">
        <f t="shared" ca="1" si="206"/>
        <v>0</v>
      </c>
      <c r="X788" s="452">
        <f t="shared" si="209"/>
        <v>0</v>
      </c>
      <c r="Y788" s="440"/>
      <c r="Z788" s="440">
        <f t="shared" ca="1" si="207"/>
        <v>0</v>
      </c>
      <c r="AA788" s="241"/>
      <c r="AH788" s="242"/>
    </row>
    <row r="789" spans="2:34" ht="15.75" x14ac:dyDescent="0.25">
      <c r="B789" s="229"/>
      <c r="C789" s="235"/>
      <c r="D789" s="243"/>
      <c r="E789" s="232"/>
      <c r="F789" s="435"/>
      <c r="G789" s="234"/>
      <c r="H789" s="235"/>
      <c r="I789" s="235"/>
      <c r="J789" s="440"/>
      <c r="K789" s="443">
        <f ca="1">ROUND(IF(ISERROR(OFFSET(Tabella!$A$1,MATCH(H789,Tabella!$A:$A,0)-1,MATCH(J789,Tabella!$A$1:$AC$1,0)-1)=TRUE),0,+OFFSET(Tabella!$A$1,MATCH(H789,Tabella!$A:$A,0)-1,MATCH(J789,Tabella!$A$1:$AC$1,0)-1)),4)</f>
        <v>0</v>
      </c>
      <c r="L789" s="446">
        <f ca="1">ROUND(IF(ISERROR(OFFSET(Ottone!$A$1,MATCH(H789,Ottone!$A:$A,0)-1,MATCH(J789,Ottone!$A$1:$Z$1,0)-1)=TRUE),0,OFFSET(Ottone!$A$1,MATCH(H789,Ottone!$A:$A,0)-1,MATCH(J789,Ottone!$A$1:$Z$1,0)-1))*IF(E789="Ottone",1,0),4)</f>
        <v>0</v>
      </c>
      <c r="M789" s="446">
        <f ca="1">ROUND(IF(ISERROR(OFFSET(Rame!$A$1,MATCH(H789,Rame!$A:$A,0)-1,MATCH(J789,Rame!$A$1:$AA$1,0)-1)=TRUE),0,OFFSET(Rame!$A$1,MATCH(H789,Rame!$A:$A,0)-1,MATCH(J789,Rame!$A$1:$AA$1,0)-1))*IF(E789="Rame",1,0),4)</f>
        <v>0</v>
      </c>
      <c r="N789" s="446">
        <v>0</v>
      </c>
      <c r="O789" s="446">
        <f t="shared" ca="1" si="208"/>
        <v>0</v>
      </c>
      <c r="P789" s="446">
        <f ca="1">ROUND(+IF(ISERROR(OFFSET(Tabella!$G$1,MATCH(H789,Tabella!$G:$G,0)-1,MATCH(I789,Tabella!$G$1:$FG$1,0)-1)=TRUE),0,OFFSET(Tabella!$G$1,MATCH(H789,Tabella!$G:$G,0)-1,MATCH(I789,Tabella!$G$1:$AB$1,0)-1)),4)</f>
        <v>0</v>
      </c>
      <c r="Q789" s="446">
        <f ca="1">ROUND(IF(ISERROR(OFFSET(Ottone!$F$1,MATCH(H789,Ottone!$A:$A,0)-1,MATCH(I789,Ottone!$F$1:$FF$1,0)-1)=TRUE),0,OFFSET(Ottone!$F$1,MATCH(H789,Ottone!$A:$A,0)-1,MATCH(I789,Ottone!$F$1:$FF$1,0)-1))*IF(E789="Ottone",1,0),4)</f>
        <v>0</v>
      </c>
      <c r="R789" s="446">
        <f ca="1">ROUND(IF(ISERROR(OFFSET(Rame!$F$1,MATCH(H789,Rame!$F:$F,0)-1,MATCH(I789,Rame!$F$1:$FF$1,0)-1)=TRUE),0,OFFSET(Rame!$F$1,MATCH(H789,Rame!$F:$F,0)-1,MATCH(I789,Rame!$F$1:$FF$1,0)-1))*IF(E789="Rame",1,0),4)</f>
        <v>0</v>
      </c>
      <c r="S789" s="446">
        <f ca="1">ROUND(IF(ISERROR(OFFSET(Bronzo!$A$1,MATCH(H789,Bronzo!$A:$A,0)-1,MATCH(I789,Bronzo!$A$1:$AA$1,0)-1)=TRUE),0,OFFSET(Bronzo!$A$1,MATCH(H789,Bronzo!$A:$A,0)-1,MATCH(I789,Bronzo!$A$1:$AA$1,0)-1)),4)</f>
        <v>0</v>
      </c>
      <c r="T789" s="446">
        <f t="shared" ca="1" si="205"/>
        <v>0</v>
      </c>
      <c r="U789" s="443"/>
      <c r="V789" s="446">
        <v>0</v>
      </c>
      <c r="W789" s="449">
        <f t="shared" ca="1" si="206"/>
        <v>0</v>
      </c>
      <c r="X789" s="452">
        <f t="shared" si="209"/>
        <v>0</v>
      </c>
      <c r="Y789" s="440"/>
      <c r="Z789" s="440">
        <f t="shared" ca="1" si="207"/>
        <v>0</v>
      </c>
      <c r="AA789" s="241"/>
      <c r="AH789" s="242"/>
    </row>
    <row r="790" spans="2:34" ht="15.75" x14ac:dyDescent="0.25">
      <c r="B790" s="229"/>
      <c r="C790" s="235"/>
      <c r="D790" s="243"/>
      <c r="E790" s="232"/>
      <c r="F790" s="435"/>
      <c r="G790" s="234"/>
      <c r="H790" s="235"/>
      <c r="I790" s="235"/>
      <c r="J790" s="440"/>
      <c r="K790" s="443">
        <f ca="1">ROUND(IF(ISERROR(OFFSET(Tabella!$A$1,MATCH(H790,Tabella!$A:$A,0)-1,MATCH(J790,Tabella!$A$1:$AC$1,0)-1)=TRUE),0,+OFFSET(Tabella!$A$1,MATCH(H790,Tabella!$A:$A,0)-1,MATCH(J790,Tabella!$A$1:$AC$1,0)-1)),4)</f>
        <v>0</v>
      </c>
      <c r="L790" s="446">
        <f ca="1">ROUND(IF(ISERROR(OFFSET(Ottone!$A$1,MATCH(H790,Ottone!$A:$A,0)-1,MATCH(J790,Ottone!$A$1:$Z$1,0)-1)=TRUE),0,OFFSET(Ottone!$A$1,MATCH(H790,Ottone!$A:$A,0)-1,MATCH(J790,Ottone!$A$1:$Z$1,0)-1))*IF(E790="Ottone",1,0),4)</f>
        <v>0</v>
      </c>
      <c r="M790" s="446">
        <f ca="1">ROUND(IF(ISERROR(OFFSET(Rame!$A$1,MATCH(H790,Rame!$A:$A,0)-1,MATCH(J790,Rame!$A$1:$AA$1,0)-1)=TRUE),0,OFFSET(Rame!$A$1,MATCH(H790,Rame!$A:$A,0)-1,MATCH(J790,Rame!$A$1:$AA$1,0)-1))*IF(E790="Rame",1,0),4)</f>
        <v>0</v>
      </c>
      <c r="N790" s="446">
        <v>0</v>
      </c>
      <c r="O790" s="446">
        <f t="shared" ca="1" si="208"/>
        <v>0</v>
      </c>
      <c r="P790" s="446">
        <f ca="1">ROUND(+IF(ISERROR(OFFSET(Tabella!$G$1,MATCH(H790,Tabella!$G:$G,0)-1,MATCH(I790,Tabella!$G$1:$FG$1,0)-1)=TRUE),0,OFFSET(Tabella!$G$1,MATCH(H790,Tabella!$G:$G,0)-1,MATCH(I790,Tabella!$G$1:$AB$1,0)-1)),4)</f>
        <v>0</v>
      </c>
      <c r="Q790" s="446">
        <f ca="1">ROUND(IF(ISERROR(OFFSET(Ottone!$F$1,MATCH(H790,Ottone!$A:$A,0)-1,MATCH(I790,Ottone!$F$1:$FF$1,0)-1)=TRUE),0,OFFSET(Ottone!$F$1,MATCH(H790,Ottone!$A:$A,0)-1,MATCH(I790,Ottone!$F$1:$FF$1,0)-1))*IF(E790="Ottone",1,0),4)</f>
        <v>0</v>
      </c>
      <c r="R790" s="446">
        <f ca="1">ROUND(IF(ISERROR(OFFSET(Rame!$F$1,MATCH(H790,Rame!$F:$F,0)-1,MATCH(I790,Rame!$F$1:$FF$1,0)-1)=TRUE),0,OFFSET(Rame!$F$1,MATCH(H790,Rame!$F:$F,0)-1,MATCH(I790,Rame!$F$1:$FF$1,0)-1))*IF(E790="Rame",1,0),4)</f>
        <v>0</v>
      </c>
      <c r="S790" s="446">
        <f ca="1">ROUND(IF(ISERROR(OFFSET(Bronzo!$A$1,MATCH(H790,Bronzo!$A:$A,0)-1,MATCH(I790,Bronzo!$A$1:$AA$1,0)-1)=TRUE),0,OFFSET(Bronzo!$A$1,MATCH(H790,Bronzo!$A:$A,0)-1,MATCH(I790,Bronzo!$A$1:$AA$1,0)-1)),4)</f>
        <v>0</v>
      </c>
      <c r="T790" s="446">
        <f t="shared" ca="1" si="205"/>
        <v>0</v>
      </c>
      <c r="U790" s="443"/>
      <c r="V790" s="446">
        <v>0</v>
      </c>
      <c r="W790" s="449">
        <f t="shared" ca="1" si="206"/>
        <v>0</v>
      </c>
      <c r="X790" s="452">
        <f t="shared" si="209"/>
        <v>0</v>
      </c>
      <c r="Y790" s="440"/>
      <c r="Z790" s="440">
        <f t="shared" ca="1" si="207"/>
        <v>0</v>
      </c>
      <c r="AA790" s="241"/>
      <c r="AH790" s="242"/>
    </row>
    <row r="791" spans="2:34" ht="15.75" x14ac:dyDescent="0.25">
      <c r="B791" s="229"/>
      <c r="C791" s="235"/>
      <c r="D791" s="243"/>
      <c r="E791" s="232"/>
      <c r="F791" s="435"/>
      <c r="G791" s="234"/>
      <c r="H791" s="235"/>
      <c r="I791" s="235"/>
      <c r="J791" s="440"/>
      <c r="K791" s="443">
        <f ca="1">ROUND(IF(ISERROR(OFFSET(Tabella!$A$1,MATCH(H791,Tabella!$A:$A,0)-1,MATCH(J791,Tabella!$A$1:$AC$1,0)-1)=TRUE),0,+OFFSET(Tabella!$A$1,MATCH(H791,Tabella!$A:$A,0)-1,MATCH(J791,Tabella!$A$1:$AC$1,0)-1)),4)</f>
        <v>0</v>
      </c>
      <c r="L791" s="446">
        <f ca="1">ROUND(IF(ISERROR(OFFSET(Ottone!$A$1,MATCH(H791,Ottone!$A:$A,0)-1,MATCH(J791,Ottone!$A$1:$Z$1,0)-1)=TRUE),0,OFFSET(Ottone!$A$1,MATCH(H791,Ottone!$A:$A,0)-1,MATCH(J791,Ottone!$A$1:$Z$1,0)-1))*IF(E791="Ottone",1,0),4)</f>
        <v>0</v>
      </c>
      <c r="M791" s="446">
        <f ca="1">ROUND(IF(ISERROR(OFFSET(Rame!$A$1,MATCH(H791,Rame!$A:$A,0)-1,MATCH(J791,Rame!$A$1:$AA$1,0)-1)=TRUE),0,OFFSET(Rame!$A$1,MATCH(H791,Rame!$A:$A,0)-1,MATCH(J791,Rame!$A$1:$AA$1,0)-1))*IF(E791="Rame",1,0),4)</f>
        <v>0</v>
      </c>
      <c r="N791" s="446">
        <v>0</v>
      </c>
      <c r="O791" s="446">
        <f t="shared" ca="1" si="208"/>
        <v>0</v>
      </c>
      <c r="P791" s="446">
        <f ca="1">ROUND(+IF(ISERROR(OFFSET(Tabella!$G$1,MATCH(H791,Tabella!$G:$G,0)-1,MATCH(I791,Tabella!$G$1:$FG$1,0)-1)=TRUE),0,OFFSET(Tabella!$G$1,MATCH(H791,Tabella!$G:$G,0)-1,MATCH(I791,Tabella!$G$1:$AB$1,0)-1)),4)</f>
        <v>0</v>
      </c>
      <c r="Q791" s="446">
        <f ca="1">ROUND(IF(ISERROR(OFFSET(Ottone!$F$1,MATCH(H791,Ottone!$A:$A,0)-1,MATCH(I791,Ottone!$F$1:$FF$1,0)-1)=TRUE),0,OFFSET(Ottone!$F$1,MATCH(H791,Ottone!$A:$A,0)-1,MATCH(I791,Ottone!$F$1:$FF$1,0)-1))*IF(E791="Ottone",1,0),4)</f>
        <v>0</v>
      </c>
      <c r="R791" s="446">
        <f ca="1">ROUND(IF(ISERROR(OFFSET(Rame!$F$1,MATCH(H791,Rame!$F:$F,0)-1,MATCH(I791,Rame!$F$1:$FF$1,0)-1)=TRUE),0,OFFSET(Rame!$F$1,MATCH(H791,Rame!$F:$F,0)-1,MATCH(I791,Rame!$F$1:$FF$1,0)-1))*IF(E791="Rame",1,0),4)</f>
        <v>0</v>
      </c>
      <c r="S791" s="446">
        <f ca="1">ROUND(IF(ISERROR(OFFSET(Bronzo!$A$1,MATCH(H791,Bronzo!$A:$A,0)-1,MATCH(I791,Bronzo!$A$1:$AA$1,0)-1)=TRUE),0,OFFSET(Bronzo!$A$1,MATCH(H791,Bronzo!$A:$A,0)-1,MATCH(I791,Bronzo!$A$1:$AA$1,0)-1)),4)</f>
        <v>0</v>
      </c>
      <c r="T791" s="446">
        <f t="shared" ref="T791:T854" ca="1" si="210">ROUND(SUM(P791:S791),4)</f>
        <v>0</v>
      </c>
      <c r="U791" s="443"/>
      <c r="V791" s="446">
        <v>0</v>
      </c>
      <c r="W791" s="449">
        <f t="shared" ref="W791:W854" ca="1" si="211">ROUND(+O791+T791+U791+V791,4)</f>
        <v>0</v>
      </c>
      <c r="X791" s="452">
        <f t="shared" si="209"/>
        <v>0</v>
      </c>
      <c r="Y791" s="440"/>
      <c r="Z791" s="440">
        <f t="shared" ref="Z791:Z854" ca="1" si="212">ROUND(+Y791-W791-F791,4)</f>
        <v>0</v>
      </c>
      <c r="AA791" s="241"/>
      <c r="AH791" s="242"/>
    </row>
    <row r="792" spans="2:34" ht="15.75" x14ac:dyDescent="0.25">
      <c r="B792" s="229"/>
      <c r="C792" s="235"/>
      <c r="D792" s="243"/>
      <c r="E792" s="232"/>
      <c r="F792" s="435"/>
      <c r="G792" s="234"/>
      <c r="H792" s="235"/>
      <c r="I792" s="235"/>
      <c r="J792" s="440"/>
      <c r="K792" s="443">
        <f ca="1">ROUND(IF(ISERROR(OFFSET(Tabella!$A$1,MATCH(H792,Tabella!$A:$A,0)-1,MATCH(J792,Tabella!$A$1:$AC$1,0)-1)=TRUE),0,+OFFSET(Tabella!$A$1,MATCH(H792,Tabella!$A:$A,0)-1,MATCH(J792,Tabella!$A$1:$AC$1,0)-1)),4)</f>
        <v>0</v>
      </c>
      <c r="L792" s="446">
        <f ca="1">ROUND(IF(ISERROR(OFFSET(Ottone!$A$1,MATCH(H792,Ottone!$A:$A,0)-1,MATCH(J792,Ottone!$A$1:$Z$1,0)-1)=TRUE),0,OFFSET(Ottone!$A$1,MATCH(H792,Ottone!$A:$A,0)-1,MATCH(J792,Ottone!$A$1:$Z$1,0)-1))*IF(E792="Ottone",1,0),4)</f>
        <v>0</v>
      </c>
      <c r="M792" s="446">
        <f ca="1">ROUND(IF(ISERROR(OFFSET(Rame!$A$1,MATCH(H792,Rame!$A:$A,0)-1,MATCH(J792,Rame!$A$1:$AA$1,0)-1)=TRUE),0,OFFSET(Rame!$A$1,MATCH(H792,Rame!$A:$A,0)-1,MATCH(J792,Rame!$A$1:$AA$1,0)-1))*IF(E792="Rame",1,0),4)</f>
        <v>0</v>
      </c>
      <c r="N792" s="446">
        <v>0</v>
      </c>
      <c r="O792" s="446">
        <f t="shared" ca="1" si="208"/>
        <v>0</v>
      </c>
      <c r="P792" s="446">
        <f ca="1">ROUND(+IF(ISERROR(OFFSET(Tabella!$G$1,MATCH(H792,Tabella!$G:$G,0)-1,MATCH(I792,Tabella!$G$1:$FG$1,0)-1)=TRUE),0,OFFSET(Tabella!$G$1,MATCH(H792,Tabella!$G:$G,0)-1,MATCH(I792,Tabella!$G$1:$AB$1,0)-1)),4)</f>
        <v>0</v>
      </c>
      <c r="Q792" s="446">
        <f ca="1">ROUND(IF(ISERROR(OFFSET(Ottone!$F$1,MATCH(H792,Ottone!$A:$A,0)-1,MATCH(I792,Ottone!$F$1:$FF$1,0)-1)=TRUE),0,OFFSET(Ottone!$F$1,MATCH(H792,Ottone!$A:$A,0)-1,MATCH(I792,Ottone!$F$1:$FF$1,0)-1))*IF(E792="Ottone",1,0),4)</f>
        <v>0</v>
      </c>
      <c r="R792" s="446">
        <f ca="1">ROUND(IF(ISERROR(OFFSET(Rame!$F$1,MATCH(H792,Rame!$F:$F,0)-1,MATCH(I792,Rame!$F$1:$FF$1,0)-1)=TRUE),0,OFFSET(Rame!$F$1,MATCH(H792,Rame!$F:$F,0)-1,MATCH(I792,Rame!$F$1:$FF$1,0)-1))*IF(E792="Rame",1,0),4)</f>
        <v>0</v>
      </c>
      <c r="S792" s="446">
        <f ca="1">ROUND(IF(ISERROR(OFFSET(Bronzo!$A$1,MATCH(H792,Bronzo!$A:$A,0)-1,MATCH(I792,Bronzo!$A$1:$AA$1,0)-1)=TRUE),0,OFFSET(Bronzo!$A$1,MATCH(H792,Bronzo!$A:$A,0)-1,MATCH(I792,Bronzo!$A$1:$AA$1,0)-1)),4)</f>
        <v>0</v>
      </c>
      <c r="T792" s="446">
        <f t="shared" ca="1" si="210"/>
        <v>0</v>
      </c>
      <c r="U792" s="443"/>
      <c r="V792" s="446">
        <v>0</v>
      </c>
      <c r="W792" s="449">
        <f t="shared" ca="1" si="211"/>
        <v>0</v>
      </c>
      <c r="X792" s="452">
        <f t="shared" si="209"/>
        <v>0</v>
      </c>
      <c r="Y792" s="440"/>
      <c r="Z792" s="440">
        <f t="shared" ca="1" si="212"/>
        <v>0</v>
      </c>
      <c r="AA792" s="241"/>
      <c r="AH792" s="242"/>
    </row>
    <row r="793" spans="2:34" ht="15.75" x14ac:dyDescent="0.25">
      <c r="B793" s="229"/>
      <c r="C793" s="235"/>
      <c r="D793" s="243"/>
      <c r="E793" s="232"/>
      <c r="F793" s="435"/>
      <c r="G793" s="234"/>
      <c r="H793" s="235"/>
      <c r="I793" s="235"/>
      <c r="J793" s="440"/>
      <c r="K793" s="443">
        <f ca="1">ROUND(IF(ISERROR(OFFSET(Tabella!$A$1,MATCH(H793,Tabella!$A:$A,0)-1,MATCH(J793,Tabella!$A$1:$AC$1,0)-1)=TRUE),0,+OFFSET(Tabella!$A$1,MATCH(H793,Tabella!$A:$A,0)-1,MATCH(J793,Tabella!$A$1:$AC$1,0)-1)),4)</f>
        <v>0</v>
      </c>
      <c r="L793" s="446">
        <f ca="1">ROUND(IF(ISERROR(OFFSET(Ottone!$A$1,MATCH(H793,Ottone!$A:$A,0)-1,MATCH(J793,Ottone!$A$1:$Z$1,0)-1)=TRUE),0,OFFSET(Ottone!$A$1,MATCH(H793,Ottone!$A:$A,0)-1,MATCH(J793,Ottone!$A$1:$Z$1,0)-1))*IF(E793="Ottone",1,0),4)</f>
        <v>0</v>
      </c>
      <c r="M793" s="446">
        <f ca="1">ROUND(IF(ISERROR(OFFSET(Rame!$A$1,MATCH(H793,Rame!$A:$A,0)-1,MATCH(J793,Rame!$A$1:$AA$1,0)-1)=TRUE),0,OFFSET(Rame!$A$1,MATCH(H793,Rame!$A:$A,0)-1,MATCH(J793,Rame!$A$1:$AA$1,0)-1))*IF(E793="Rame",1,0),4)</f>
        <v>0</v>
      </c>
      <c r="N793" s="446">
        <v>0</v>
      </c>
      <c r="O793" s="446">
        <f t="shared" ca="1" si="208"/>
        <v>0</v>
      </c>
      <c r="P793" s="446">
        <f ca="1">ROUND(+IF(ISERROR(OFFSET(Tabella!$G$1,MATCH(H793,Tabella!$G:$G,0)-1,MATCH(I793,Tabella!$G$1:$FG$1,0)-1)=TRUE),0,OFFSET(Tabella!$G$1,MATCH(H793,Tabella!$G:$G,0)-1,MATCH(I793,Tabella!$G$1:$AB$1,0)-1)),4)</f>
        <v>0</v>
      </c>
      <c r="Q793" s="446">
        <f ca="1">ROUND(IF(ISERROR(OFFSET(Ottone!$F$1,MATCH(H793,Ottone!$A:$A,0)-1,MATCH(I793,Ottone!$F$1:$FF$1,0)-1)=TRUE),0,OFFSET(Ottone!$F$1,MATCH(H793,Ottone!$A:$A,0)-1,MATCH(I793,Ottone!$F$1:$FF$1,0)-1))*IF(E793="Ottone",1,0),4)</f>
        <v>0</v>
      </c>
      <c r="R793" s="446">
        <f ca="1">ROUND(IF(ISERROR(OFFSET(Rame!$F$1,MATCH(H793,Rame!$F:$F,0)-1,MATCH(I793,Rame!$F$1:$FF$1,0)-1)=TRUE),0,OFFSET(Rame!$F$1,MATCH(H793,Rame!$F:$F,0)-1,MATCH(I793,Rame!$F$1:$FF$1,0)-1))*IF(E793="Rame",1,0),4)</f>
        <v>0</v>
      </c>
      <c r="S793" s="446">
        <f ca="1">ROUND(IF(ISERROR(OFFSET(Bronzo!$A$1,MATCH(H793,Bronzo!$A:$A,0)-1,MATCH(I793,Bronzo!$A$1:$AA$1,0)-1)=TRUE),0,OFFSET(Bronzo!$A$1,MATCH(H793,Bronzo!$A:$A,0)-1,MATCH(I793,Bronzo!$A$1:$AA$1,0)-1)),4)</f>
        <v>0</v>
      </c>
      <c r="T793" s="446">
        <f t="shared" ca="1" si="210"/>
        <v>0</v>
      </c>
      <c r="U793" s="443"/>
      <c r="V793" s="446">
        <v>0</v>
      </c>
      <c r="W793" s="449">
        <f t="shared" ca="1" si="211"/>
        <v>0</v>
      </c>
      <c r="X793" s="452">
        <f t="shared" si="209"/>
        <v>0</v>
      </c>
      <c r="Y793" s="440"/>
      <c r="Z793" s="440">
        <f t="shared" ca="1" si="212"/>
        <v>0</v>
      </c>
      <c r="AA793" s="241"/>
      <c r="AH793" s="242"/>
    </row>
    <row r="794" spans="2:34" ht="15.75" x14ac:dyDescent="0.25">
      <c r="B794" s="229"/>
      <c r="C794" s="235"/>
      <c r="D794" s="243"/>
      <c r="E794" s="232"/>
      <c r="F794" s="435"/>
      <c r="G794" s="234"/>
      <c r="H794" s="235"/>
      <c r="I794" s="235"/>
      <c r="J794" s="440"/>
      <c r="K794" s="443">
        <f ca="1">ROUND(IF(ISERROR(OFFSET(Tabella!$A$1,MATCH(H794,Tabella!$A:$A,0)-1,MATCH(J794,Tabella!$A$1:$AC$1,0)-1)=TRUE),0,+OFFSET(Tabella!$A$1,MATCH(H794,Tabella!$A:$A,0)-1,MATCH(J794,Tabella!$A$1:$AC$1,0)-1)),4)</f>
        <v>0</v>
      </c>
      <c r="L794" s="446">
        <f ca="1">ROUND(IF(ISERROR(OFFSET(Ottone!$A$1,MATCH(H794,Ottone!$A:$A,0)-1,MATCH(J794,Ottone!$A$1:$Z$1,0)-1)=TRUE),0,OFFSET(Ottone!$A$1,MATCH(H794,Ottone!$A:$A,0)-1,MATCH(J794,Ottone!$A$1:$Z$1,0)-1))*IF(E794="Ottone",1,0),4)</f>
        <v>0</v>
      </c>
      <c r="M794" s="446">
        <f ca="1">ROUND(IF(ISERROR(OFFSET(Rame!$A$1,MATCH(H794,Rame!$A:$A,0)-1,MATCH(J794,Rame!$A$1:$AA$1,0)-1)=TRUE),0,OFFSET(Rame!$A$1,MATCH(H794,Rame!$A:$A,0)-1,MATCH(J794,Rame!$A$1:$AA$1,0)-1))*IF(E794="Rame",1,0),4)</f>
        <v>0</v>
      </c>
      <c r="N794" s="446">
        <v>0</v>
      </c>
      <c r="O794" s="446">
        <f t="shared" ca="1" si="208"/>
        <v>0</v>
      </c>
      <c r="P794" s="446">
        <f ca="1">ROUND(+IF(ISERROR(OFFSET(Tabella!$G$1,MATCH(H794,Tabella!$G:$G,0)-1,MATCH(I794,Tabella!$G$1:$FG$1,0)-1)=TRUE),0,OFFSET(Tabella!$G$1,MATCH(H794,Tabella!$G:$G,0)-1,MATCH(I794,Tabella!$G$1:$AB$1,0)-1)),4)</f>
        <v>0</v>
      </c>
      <c r="Q794" s="446">
        <f ca="1">ROUND(IF(ISERROR(OFFSET(Ottone!$F$1,MATCH(H794,Ottone!$A:$A,0)-1,MATCH(I794,Ottone!$F$1:$FF$1,0)-1)=TRUE),0,OFFSET(Ottone!$F$1,MATCH(H794,Ottone!$A:$A,0)-1,MATCH(I794,Ottone!$F$1:$FF$1,0)-1))*IF(E794="Ottone",1,0),4)</f>
        <v>0</v>
      </c>
      <c r="R794" s="446">
        <f ca="1">ROUND(IF(ISERROR(OFFSET(Rame!$F$1,MATCH(H794,Rame!$F:$F,0)-1,MATCH(I794,Rame!$F$1:$FF$1,0)-1)=TRUE),0,OFFSET(Rame!$F$1,MATCH(H794,Rame!$F:$F,0)-1,MATCH(I794,Rame!$F$1:$FF$1,0)-1))*IF(E794="Rame",1,0),4)</f>
        <v>0</v>
      </c>
      <c r="S794" s="446">
        <f ca="1">ROUND(IF(ISERROR(OFFSET(Bronzo!$A$1,MATCH(H794,Bronzo!$A:$A,0)-1,MATCH(I794,Bronzo!$A$1:$AA$1,0)-1)=TRUE),0,OFFSET(Bronzo!$A$1,MATCH(H794,Bronzo!$A:$A,0)-1,MATCH(I794,Bronzo!$A$1:$AA$1,0)-1)),4)</f>
        <v>0</v>
      </c>
      <c r="T794" s="446">
        <f t="shared" ca="1" si="210"/>
        <v>0</v>
      </c>
      <c r="U794" s="443"/>
      <c r="V794" s="446">
        <v>0</v>
      </c>
      <c r="W794" s="449">
        <f t="shared" ca="1" si="211"/>
        <v>0</v>
      </c>
      <c r="X794" s="452">
        <f t="shared" si="209"/>
        <v>0</v>
      </c>
      <c r="Y794" s="440"/>
      <c r="Z794" s="440">
        <f t="shared" ca="1" si="212"/>
        <v>0</v>
      </c>
      <c r="AA794" s="241"/>
      <c r="AH794" s="242"/>
    </row>
    <row r="795" spans="2:34" ht="15.75" x14ac:dyDescent="0.25">
      <c r="B795" s="229"/>
      <c r="C795" s="235"/>
      <c r="D795" s="243"/>
      <c r="E795" s="232"/>
      <c r="F795" s="435"/>
      <c r="G795" s="234"/>
      <c r="H795" s="235"/>
      <c r="I795" s="235"/>
      <c r="J795" s="440"/>
      <c r="K795" s="443">
        <f ca="1">ROUND(IF(ISERROR(OFFSET(Tabella!$A$1,MATCH(H795,Tabella!$A:$A,0)-1,MATCH(J795,Tabella!$A$1:$AC$1,0)-1)=TRUE),0,+OFFSET(Tabella!$A$1,MATCH(H795,Tabella!$A:$A,0)-1,MATCH(J795,Tabella!$A$1:$AC$1,0)-1)),4)</f>
        <v>0</v>
      </c>
      <c r="L795" s="446">
        <f ca="1">ROUND(IF(ISERROR(OFFSET(Ottone!$A$1,MATCH(H795,Ottone!$A:$A,0)-1,MATCH(J795,Ottone!$A$1:$Z$1,0)-1)=TRUE),0,OFFSET(Ottone!$A$1,MATCH(H795,Ottone!$A:$A,0)-1,MATCH(J795,Ottone!$A$1:$Z$1,0)-1))*IF(E795="Ottone",1,0),4)</f>
        <v>0</v>
      </c>
      <c r="M795" s="446">
        <f ca="1">ROUND(IF(ISERROR(OFFSET(Rame!$A$1,MATCH(H795,Rame!$A:$A,0)-1,MATCH(J795,Rame!$A$1:$AA$1,0)-1)=TRUE),0,OFFSET(Rame!$A$1,MATCH(H795,Rame!$A:$A,0)-1,MATCH(J795,Rame!$A$1:$AA$1,0)-1))*IF(E795="Rame",1,0),4)</f>
        <v>0</v>
      </c>
      <c r="N795" s="446">
        <v>0</v>
      </c>
      <c r="O795" s="446">
        <f t="shared" ca="1" si="208"/>
        <v>0</v>
      </c>
      <c r="P795" s="446">
        <f ca="1">ROUND(+IF(ISERROR(OFFSET(Tabella!$G$1,MATCH(H795,Tabella!$G:$G,0)-1,MATCH(I795,Tabella!$G$1:$FG$1,0)-1)=TRUE),0,OFFSET(Tabella!$G$1,MATCH(H795,Tabella!$G:$G,0)-1,MATCH(I795,Tabella!$G$1:$AB$1,0)-1)),4)</f>
        <v>0</v>
      </c>
      <c r="Q795" s="446">
        <f ca="1">ROUND(IF(ISERROR(OFFSET(Ottone!$F$1,MATCH(H795,Ottone!$A:$A,0)-1,MATCH(I795,Ottone!$F$1:$FF$1,0)-1)=TRUE),0,OFFSET(Ottone!$F$1,MATCH(H795,Ottone!$A:$A,0)-1,MATCH(I795,Ottone!$F$1:$FF$1,0)-1))*IF(E795="Ottone",1,0),4)</f>
        <v>0</v>
      </c>
      <c r="R795" s="446">
        <f ca="1">ROUND(IF(ISERROR(OFFSET(Rame!$F$1,MATCH(H795,Rame!$F:$F,0)-1,MATCH(I795,Rame!$F$1:$FF$1,0)-1)=TRUE),0,OFFSET(Rame!$F$1,MATCH(H795,Rame!$F:$F,0)-1,MATCH(I795,Rame!$F$1:$FF$1,0)-1))*IF(E795="Rame",1,0),4)</f>
        <v>0</v>
      </c>
      <c r="S795" s="446">
        <f ca="1">ROUND(IF(ISERROR(OFFSET(Bronzo!$A$1,MATCH(H795,Bronzo!$A:$A,0)-1,MATCH(I795,Bronzo!$A$1:$AA$1,0)-1)=TRUE),0,OFFSET(Bronzo!$A$1,MATCH(H795,Bronzo!$A:$A,0)-1,MATCH(I795,Bronzo!$A$1:$AA$1,0)-1)),4)</f>
        <v>0</v>
      </c>
      <c r="T795" s="446">
        <f t="shared" ca="1" si="210"/>
        <v>0</v>
      </c>
      <c r="U795" s="443"/>
      <c r="V795" s="446">
        <v>0</v>
      </c>
      <c r="W795" s="449">
        <f t="shared" ca="1" si="211"/>
        <v>0</v>
      </c>
      <c r="X795" s="452">
        <f t="shared" si="209"/>
        <v>0</v>
      </c>
      <c r="Y795" s="440"/>
      <c r="Z795" s="440">
        <f t="shared" ca="1" si="212"/>
        <v>0</v>
      </c>
      <c r="AA795" s="241"/>
      <c r="AH795" s="242"/>
    </row>
    <row r="796" spans="2:34" ht="15.75" x14ac:dyDescent="0.25">
      <c r="B796" s="229"/>
      <c r="C796" s="235"/>
      <c r="D796" s="243"/>
      <c r="E796" s="232"/>
      <c r="F796" s="435"/>
      <c r="G796" s="234"/>
      <c r="H796" s="235"/>
      <c r="I796" s="235"/>
      <c r="J796" s="440"/>
      <c r="K796" s="443">
        <f ca="1">ROUND(IF(ISERROR(OFFSET(Tabella!$A$1,MATCH(H796,Tabella!$A:$A,0)-1,MATCH(J796,Tabella!$A$1:$AC$1,0)-1)=TRUE),0,+OFFSET(Tabella!$A$1,MATCH(H796,Tabella!$A:$A,0)-1,MATCH(J796,Tabella!$A$1:$AC$1,0)-1)),4)</f>
        <v>0</v>
      </c>
      <c r="L796" s="446">
        <f ca="1">ROUND(IF(ISERROR(OFFSET(Ottone!$A$1,MATCH(H796,Ottone!$A:$A,0)-1,MATCH(J796,Ottone!$A$1:$Z$1,0)-1)=TRUE),0,OFFSET(Ottone!$A$1,MATCH(H796,Ottone!$A:$A,0)-1,MATCH(J796,Ottone!$A$1:$Z$1,0)-1))*IF(E796="Ottone",1,0),4)</f>
        <v>0</v>
      </c>
      <c r="M796" s="446">
        <f ca="1">ROUND(IF(ISERROR(OFFSET(Rame!$A$1,MATCH(H796,Rame!$A:$A,0)-1,MATCH(J796,Rame!$A$1:$AA$1,0)-1)=TRUE),0,OFFSET(Rame!$A$1,MATCH(H796,Rame!$A:$A,0)-1,MATCH(J796,Rame!$A$1:$AA$1,0)-1))*IF(E796="Rame",1,0),4)</f>
        <v>0</v>
      </c>
      <c r="N796" s="446">
        <v>0</v>
      </c>
      <c r="O796" s="446">
        <f t="shared" ca="1" si="208"/>
        <v>0</v>
      </c>
      <c r="P796" s="446">
        <f ca="1">ROUND(+IF(ISERROR(OFFSET(Tabella!$G$1,MATCH(H796,Tabella!$G:$G,0)-1,MATCH(I796,Tabella!$G$1:$FG$1,0)-1)=TRUE),0,OFFSET(Tabella!$G$1,MATCH(H796,Tabella!$G:$G,0)-1,MATCH(I796,Tabella!$G$1:$AB$1,0)-1)),4)</f>
        <v>0</v>
      </c>
      <c r="Q796" s="446">
        <f ca="1">ROUND(IF(ISERROR(OFFSET(Ottone!$F$1,MATCH(H796,Ottone!$A:$A,0)-1,MATCH(I796,Ottone!$F$1:$FF$1,0)-1)=TRUE),0,OFFSET(Ottone!$F$1,MATCH(H796,Ottone!$A:$A,0)-1,MATCH(I796,Ottone!$F$1:$FF$1,0)-1))*IF(E796="Ottone",1,0),4)</f>
        <v>0</v>
      </c>
      <c r="R796" s="446">
        <f ca="1">ROUND(IF(ISERROR(OFFSET(Rame!$F$1,MATCH(H796,Rame!$F:$F,0)-1,MATCH(I796,Rame!$F$1:$FF$1,0)-1)=TRUE),0,OFFSET(Rame!$F$1,MATCH(H796,Rame!$F:$F,0)-1,MATCH(I796,Rame!$F$1:$FF$1,0)-1))*IF(E796="Rame",1,0),4)</f>
        <v>0</v>
      </c>
      <c r="S796" s="446">
        <f ca="1">ROUND(IF(ISERROR(OFFSET(Bronzo!$A$1,MATCH(H796,Bronzo!$A:$A,0)-1,MATCH(I796,Bronzo!$A$1:$AA$1,0)-1)=TRUE),0,OFFSET(Bronzo!$A$1,MATCH(H796,Bronzo!$A:$A,0)-1,MATCH(I796,Bronzo!$A$1:$AA$1,0)-1)),4)</f>
        <v>0</v>
      </c>
      <c r="T796" s="446">
        <f t="shared" ca="1" si="210"/>
        <v>0</v>
      </c>
      <c r="U796" s="443"/>
      <c r="V796" s="446">
        <v>0</v>
      </c>
      <c r="W796" s="449">
        <f t="shared" ca="1" si="211"/>
        <v>0</v>
      </c>
      <c r="X796" s="452">
        <f t="shared" si="209"/>
        <v>0</v>
      </c>
      <c r="Y796" s="440"/>
      <c r="Z796" s="440">
        <f t="shared" ca="1" si="212"/>
        <v>0</v>
      </c>
      <c r="AA796" s="241"/>
      <c r="AH796" s="242"/>
    </row>
    <row r="797" spans="2:34" ht="15.75" x14ac:dyDescent="0.25">
      <c r="B797" s="229"/>
      <c r="C797" s="235"/>
      <c r="D797" s="243"/>
      <c r="E797" s="232"/>
      <c r="F797" s="435"/>
      <c r="G797" s="234"/>
      <c r="H797" s="235"/>
      <c r="I797" s="235"/>
      <c r="J797" s="440"/>
      <c r="K797" s="443">
        <f ca="1">ROUND(IF(ISERROR(OFFSET(Tabella!$A$1,MATCH(H797,Tabella!$A:$A,0)-1,MATCH(J797,Tabella!$A$1:$AC$1,0)-1)=TRUE),0,+OFFSET(Tabella!$A$1,MATCH(H797,Tabella!$A:$A,0)-1,MATCH(J797,Tabella!$A$1:$AC$1,0)-1)),4)</f>
        <v>0</v>
      </c>
      <c r="L797" s="446">
        <f ca="1">ROUND(IF(ISERROR(OFFSET(Ottone!$A$1,MATCH(H797,Ottone!$A:$A,0)-1,MATCH(J797,Ottone!$A$1:$Z$1,0)-1)=TRUE),0,OFFSET(Ottone!$A$1,MATCH(H797,Ottone!$A:$A,0)-1,MATCH(J797,Ottone!$A$1:$Z$1,0)-1))*IF(E797="Ottone",1,0),4)</f>
        <v>0</v>
      </c>
      <c r="M797" s="446">
        <f ca="1">ROUND(IF(ISERROR(OFFSET(Rame!$A$1,MATCH(H797,Rame!$A:$A,0)-1,MATCH(J797,Rame!$A$1:$AA$1,0)-1)=TRUE),0,OFFSET(Rame!$A$1,MATCH(H797,Rame!$A:$A,0)-1,MATCH(J797,Rame!$A$1:$AA$1,0)-1))*IF(E797="Rame",1,0),4)</f>
        <v>0</v>
      </c>
      <c r="N797" s="446">
        <v>0</v>
      </c>
      <c r="O797" s="446">
        <f t="shared" ca="1" si="208"/>
        <v>0</v>
      </c>
      <c r="P797" s="446">
        <f ca="1">ROUND(+IF(ISERROR(OFFSET(Tabella!$G$1,MATCH(H797,Tabella!$G:$G,0)-1,MATCH(I797,Tabella!$G$1:$FG$1,0)-1)=TRUE),0,OFFSET(Tabella!$G$1,MATCH(H797,Tabella!$G:$G,0)-1,MATCH(I797,Tabella!$G$1:$AB$1,0)-1)),4)</f>
        <v>0</v>
      </c>
      <c r="Q797" s="446">
        <f ca="1">ROUND(IF(ISERROR(OFFSET(Ottone!$F$1,MATCH(H797,Ottone!$A:$A,0)-1,MATCH(I797,Ottone!$F$1:$FF$1,0)-1)=TRUE),0,OFFSET(Ottone!$F$1,MATCH(H797,Ottone!$A:$A,0)-1,MATCH(I797,Ottone!$F$1:$FF$1,0)-1))*IF(E797="Ottone",1,0),4)</f>
        <v>0</v>
      </c>
      <c r="R797" s="446">
        <f ca="1">ROUND(IF(ISERROR(OFFSET(Rame!$F$1,MATCH(H797,Rame!$F:$F,0)-1,MATCH(I797,Rame!$F$1:$FF$1,0)-1)=TRUE),0,OFFSET(Rame!$F$1,MATCH(H797,Rame!$F:$F,0)-1,MATCH(I797,Rame!$F$1:$FF$1,0)-1))*IF(E797="Rame",1,0),4)</f>
        <v>0</v>
      </c>
      <c r="S797" s="446">
        <f ca="1">ROUND(IF(ISERROR(OFFSET(Bronzo!$A$1,MATCH(H797,Bronzo!$A:$A,0)-1,MATCH(I797,Bronzo!$A$1:$AA$1,0)-1)=TRUE),0,OFFSET(Bronzo!$A$1,MATCH(H797,Bronzo!$A:$A,0)-1,MATCH(I797,Bronzo!$A$1:$AA$1,0)-1)),4)</f>
        <v>0</v>
      </c>
      <c r="T797" s="446">
        <f t="shared" ca="1" si="210"/>
        <v>0</v>
      </c>
      <c r="U797" s="443"/>
      <c r="V797" s="446">
        <v>0</v>
      </c>
      <c r="W797" s="449">
        <f t="shared" ca="1" si="211"/>
        <v>0</v>
      </c>
      <c r="X797" s="452">
        <f t="shared" si="209"/>
        <v>0</v>
      </c>
      <c r="Y797" s="440"/>
      <c r="Z797" s="440">
        <f t="shared" ca="1" si="212"/>
        <v>0</v>
      </c>
      <c r="AA797" s="241"/>
      <c r="AH797" s="242"/>
    </row>
    <row r="798" spans="2:34" ht="15.75" x14ac:dyDescent="0.25">
      <c r="B798" s="229"/>
      <c r="C798" s="235"/>
      <c r="D798" s="243"/>
      <c r="E798" s="232"/>
      <c r="F798" s="435"/>
      <c r="G798" s="234"/>
      <c r="H798" s="235"/>
      <c r="I798" s="235"/>
      <c r="J798" s="440"/>
      <c r="K798" s="443">
        <f ca="1">ROUND(IF(ISERROR(OFFSET(Tabella!$A$1,MATCH(H798,Tabella!$A:$A,0)-1,MATCH(J798,Tabella!$A$1:$AC$1,0)-1)=TRUE),0,+OFFSET(Tabella!$A$1,MATCH(H798,Tabella!$A:$A,0)-1,MATCH(J798,Tabella!$A$1:$AC$1,0)-1)),4)</f>
        <v>0</v>
      </c>
      <c r="L798" s="446">
        <f ca="1">ROUND(IF(ISERROR(OFFSET(Ottone!$A$1,MATCH(H798,Ottone!$A:$A,0)-1,MATCH(J798,Ottone!$A$1:$Z$1,0)-1)=TRUE),0,OFFSET(Ottone!$A$1,MATCH(H798,Ottone!$A:$A,0)-1,MATCH(J798,Ottone!$A$1:$Z$1,0)-1))*IF(E798="Ottone",1,0),4)</f>
        <v>0</v>
      </c>
      <c r="M798" s="446">
        <f ca="1">ROUND(IF(ISERROR(OFFSET(Rame!$A$1,MATCH(H798,Rame!$A:$A,0)-1,MATCH(J798,Rame!$A$1:$AA$1,0)-1)=TRUE),0,OFFSET(Rame!$A$1,MATCH(H798,Rame!$A:$A,0)-1,MATCH(J798,Rame!$A$1:$AA$1,0)-1))*IF(E798="Rame",1,0),4)</f>
        <v>0</v>
      </c>
      <c r="N798" s="446">
        <v>0</v>
      </c>
      <c r="O798" s="446">
        <f t="shared" ca="1" si="208"/>
        <v>0</v>
      </c>
      <c r="P798" s="446">
        <f ca="1">ROUND(+IF(ISERROR(OFFSET(Tabella!$G$1,MATCH(H798,Tabella!$G:$G,0)-1,MATCH(I798,Tabella!$G$1:$FG$1,0)-1)=TRUE),0,OFFSET(Tabella!$G$1,MATCH(H798,Tabella!$G:$G,0)-1,MATCH(I798,Tabella!$G$1:$AB$1,0)-1)),4)</f>
        <v>0</v>
      </c>
      <c r="Q798" s="446">
        <f ca="1">ROUND(IF(ISERROR(OFFSET(Ottone!$F$1,MATCH(H798,Ottone!$A:$A,0)-1,MATCH(I798,Ottone!$F$1:$FF$1,0)-1)=TRUE),0,OFFSET(Ottone!$F$1,MATCH(H798,Ottone!$A:$A,0)-1,MATCH(I798,Ottone!$F$1:$FF$1,0)-1))*IF(E798="Ottone",1,0),4)</f>
        <v>0</v>
      </c>
      <c r="R798" s="446">
        <f ca="1">ROUND(IF(ISERROR(OFFSET(Rame!$F$1,MATCH(H798,Rame!$F:$F,0)-1,MATCH(I798,Rame!$F$1:$FF$1,0)-1)=TRUE),0,OFFSET(Rame!$F$1,MATCH(H798,Rame!$F:$F,0)-1,MATCH(I798,Rame!$F$1:$FF$1,0)-1))*IF(E798="Rame",1,0),4)</f>
        <v>0</v>
      </c>
      <c r="S798" s="446">
        <f ca="1">ROUND(IF(ISERROR(OFFSET(Bronzo!$A$1,MATCH(H798,Bronzo!$A:$A,0)-1,MATCH(I798,Bronzo!$A$1:$AA$1,0)-1)=TRUE),0,OFFSET(Bronzo!$A$1,MATCH(H798,Bronzo!$A:$A,0)-1,MATCH(I798,Bronzo!$A$1:$AA$1,0)-1)),4)</f>
        <v>0</v>
      </c>
      <c r="T798" s="446">
        <f t="shared" ca="1" si="210"/>
        <v>0</v>
      </c>
      <c r="U798" s="443"/>
      <c r="V798" s="446">
        <v>0</v>
      </c>
      <c r="W798" s="449">
        <f t="shared" ca="1" si="211"/>
        <v>0</v>
      </c>
      <c r="X798" s="452">
        <f t="shared" si="209"/>
        <v>0</v>
      </c>
      <c r="Y798" s="440"/>
      <c r="Z798" s="440">
        <f t="shared" ca="1" si="212"/>
        <v>0</v>
      </c>
      <c r="AA798" s="241"/>
      <c r="AH798" s="242"/>
    </row>
    <row r="799" spans="2:34" ht="15.75" x14ac:dyDescent="0.25">
      <c r="B799" s="229"/>
      <c r="C799" s="235"/>
      <c r="D799" s="243"/>
      <c r="E799" s="232"/>
      <c r="F799" s="435"/>
      <c r="G799" s="234"/>
      <c r="H799" s="235"/>
      <c r="I799" s="235"/>
      <c r="J799" s="440"/>
      <c r="K799" s="443">
        <f ca="1">ROUND(IF(ISERROR(OFFSET(Tabella!$A$1,MATCH(H799,Tabella!$A:$A,0)-1,MATCH(J799,Tabella!$A$1:$AC$1,0)-1)=TRUE),0,+OFFSET(Tabella!$A$1,MATCH(H799,Tabella!$A:$A,0)-1,MATCH(J799,Tabella!$A$1:$AC$1,0)-1)),4)</f>
        <v>0</v>
      </c>
      <c r="L799" s="446">
        <f ca="1">ROUND(IF(ISERROR(OFFSET(Ottone!$A$1,MATCH(H799,Ottone!$A:$A,0)-1,MATCH(J799,Ottone!$A$1:$Z$1,0)-1)=TRUE),0,OFFSET(Ottone!$A$1,MATCH(H799,Ottone!$A:$A,0)-1,MATCH(J799,Ottone!$A$1:$Z$1,0)-1))*IF(E799="Ottone",1,0),4)</f>
        <v>0</v>
      </c>
      <c r="M799" s="446">
        <f ca="1">ROUND(IF(ISERROR(OFFSET(Rame!$A$1,MATCH(H799,Rame!$A:$A,0)-1,MATCH(J799,Rame!$A$1:$AA$1,0)-1)=TRUE),0,OFFSET(Rame!$A$1,MATCH(H799,Rame!$A:$A,0)-1,MATCH(J799,Rame!$A$1:$AA$1,0)-1))*IF(E799="Rame",1,0),4)</f>
        <v>0</v>
      </c>
      <c r="N799" s="446">
        <v>0</v>
      </c>
      <c r="O799" s="446">
        <f t="shared" ca="1" si="208"/>
        <v>0</v>
      </c>
      <c r="P799" s="446">
        <f ca="1">ROUND(+IF(ISERROR(OFFSET(Tabella!$G$1,MATCH(H799,Tabella!$G:$G,0)-1,MATCH(I799,Tabella!$G$1:$FG$1,0)-1)=TRUE),0,OFFSET(Tabella!$G$1,MATCH(H799,Tabella!$G:$G,0)-1,MATCH(I799,Tabella!$G$1:$AB$1,0)-1)),4)</f>
        <v>0</v>
      </c>
      <c r="Q799" s="446">
        <f ca="1">ROUND(IF(ISERROR(OFFSET(Ottone!$F$1,MATCH(H799,Ottone!$A:$A,0)-1,MATCH(I799,Ottone!$F$1:$FF$1,0)-1)=TRUE),0,OFFSET(Ottone!$F$1,MATCH(H799,Ottone!$A:$A,0)-1,MATCH(I799,Ottone!$F$1:$FF$1,0)-1))*IF(E799="Ottone",1,0),4)</f>
        <v>0</v>
      </c>
      <c r="R799" s="446">
        <f ca="1">ROUND(IF(ISERROR(OFFSET(Rame!$F$1,MATCH(H799,Rame!$F:$F,0)-1,MATCH(I799,Rame!$F$1:$FF$1,0)-1)=TRUE),0,OFFSET(Rame!$F$1,MATCH(H799,Rame!$F:$F,0)-1,MATCH(I799,Rame!$F$1:$FF$1,0)-1))*IF(E799="Rame",1,0),4)</f>
        <v>0</v>
      </c>
      <c r="S799" s="446">
        <f ca="1">ROUND(IF(ISERROR(OFFSET(Bronzo!$A$1,MATCH(H799,Bronzo!$A:$A,0)-1,MATCH(I799,Bronzo!$A$1:$AA$1,0)-1)=TRUE),0,OFFSET(Bronzo!$A$1,MATCH(H799,Bronzo!$A:$A,0)-1,MATCH(I799,Bronzo!$A$1:$AA$1,0)-1)),4)</f>
        <v>0</v>
      </c>
      <c r="T799" s="446">
        <f t="shared" ca="1" si="210"/>
        <v>0</v>
      </c>
      <c r="U799" s="443"/>
      <c r="V799" s="446">
        <v>0</v>
      </c>
      <c r="W799" s="449">
        <f t="shared" ca="1" si="211"/>
        <v>0</v>
      </c>
      <c r="X799" s="452">
        <f t="shared" si="209"/>
        <v>0</v>
      </c>
      <c r="Y799" s="440"/>
      <c r="Z799" s="440">
        <f t="shared" ca="1" si="212"/>
        <v>0</v>
      </c>
      <c r="AA799" s="241"/>
      <c r="AH799" s="242"/>
    </row>
    <row r="800" spans="2:34" ht="15.75" x14ac:dyDescent="0.25">
      <c r="B800" s="229"/>
      <c r="C800" s="235"/>
      <c r="D800" s="243"/>
      <c r="E800" s="232"/>
      <c r="F800" s="435"/>
      <c r="G800" s="234"/>
      <c r="H800" s="235"/>
      <c r="I800" s="235"/>
      <c r="J800" s="440"/>
      <c r="K800" s="443">
        <f ca="1">ROUND(IF(ISERROR(OFFSET(Tabella!$A$1,MATCH(H800,Tabella!$A:$A,0)-1,MATCH(J800,Tabella!$A$1:$AC$1,0)-1)=TRUE),0,+OFFSET(Tabella!$A$1,MATCH(H800,Tabella!$A:$A,0)-1,MATCH(J800,Tabella!$A$1:$AC$1,0)-1)),4)</f>
        <v>0</v>
      </c>
      <c r="L800" s="446">
        <f ca="1">ROUND(IF(ISERROR(OFFSET(Ottone!$A$1,MATCH(H800,Ottone!$A:$A,0)-1,MATCH(J800,Ottone!$A$1:$Z$1,0)-1)=TRUE),0,OFFSET(Ottone!$A$1,MATCH(H800,Ottone!$A:$A,0)-1,MATCH(J800,Ottone!$A$1:$Z$1,0)-1))*IF(E800="Ottone",1,0),4)</f>
        <v>0</v>
      </c>
      <c r="M800" s="446">
        <f ca="1">ROUND(IF(ISERROR(OFFSET(Rame!$A$1,MATCH(H800,Rame!$A:$A,0)-1,MATCH(J800,Rame!$A$1:$AA$1,0)-1)=TRUE),0,OFFSET(Rame!$A$1,MATCH(H800,Rame!$A:$A,0)-1,MATCH(J800,Rame!$A$1:$AA$1,0)-1))*IF(E800="Rame",1,0),4)</f>
        <v>0</v>
      </c>
      <c r="N800" s="446">
        <v>0</v>
      </c>
      <c r="O800" s="446">
        <f t="shared" ca="1" si="208"/>
        <v>0</v>
      </c>
      <c r="P800" s="446">
        <f ca="1">ROUND(+IF(ISERROR(OFFSET(Tabella!$G$1,MATCH(H800,Tabella!$G:$G,0)-1,MATCH(I800,Tabella!$G$1:$FG$1,0)-1)=TRUE),0,OFFSET(Tabella!$G$1,MATCH(H800,Tabella!$G:$G,0)-1,MATCH(I800,Tabella!$G$1:$AB$1,0)-1)),4)</f>
        <v>0</v>
      </c>
      <c r="Q800" s="446">
        <f ca="1">ROUND(IF(ISERROR(OFFSET(Ottone!$F$1,MATCH(H800,Ottone!$A:$A,0)-1,MATCH(I800,Ottone!$F$1:$FF$1,0)-1)=TRUE),0,OFFSET(Ottone!$F$1,MATCH(H800,Ottone!$A:$A,0)-1,MATCH(I800,Ottone!$F$1:$FF$1,0)-1))*IF(E800="Ottone",1,0),4)</f>
        <v>0</v>
      </c>
      <c r="R800" s="446">
        <f ca="1">ROUND(IF(ISERROR(OFFSET(Rame!$F$1,MATCH(H800,Rame!$F:$F,0)-1,MATCH(I800,Rame!$F$1:$FF$1,0)-1)=TRUE),0,OFFSET(Rame!$F$1,MATCH(H800,Rame!$F:$F,0)-1,MATCH(I800,Rame!$F$1:$FF$1,0)-1))*IF(E800="Rame",1,0),4)</f>
        <v>0</v>
      </c>
      <c r="S800" s="446">
        <f ca="1">ROUND(IF(ISERROR(OFFSET(Bronzo!$A$1,MATCH(H800,Bronzo!$A:$A,0)-1,MATCH(I800,Bronzo!$A$1:$AA$1,0)-1)=TRUE),0,OFFSET(Bronzo!$A$1,MATCH(H800,Bronzo!$A:$A,0)-1,MATCH(I800,Bronzo!$A$1:$AA$1,0)-1)),4)</f>
        <v>0</v>
      </c>
      <c r="T800" s="446">
        <f t="shared" ca="1" si="210"/>
        <v>0</v>
      </c>
      <c r="U800" s="443"/>
      <c r="V800" s="446">
        <v>0</v>
      </c>
      <c r="W800" s="449">
        <f t="shared" ca="1" si="211"/>
        <v>0</v>
      </c>
      <c r="X800" s="452">
        <f t="shared" si="209"/>
        <v>0</v>
      </c>
      <c r="Y800" s="440"/>
      <c r="Z800" s="440">
        <f t="shared" ca="1" si="212"/>
        <v>0</v>
      </c>
      <c r="AA800" s="241"/>
      <c r="AH800" s="242"/>
    </row>
    <row r="801" spans="2:34" ht="15.75" x14ac:dyDescent="0.25">
      <c r="B801" s="229"/>
      <c r="C801" s="235"/>
      <c r="D801" s="243"/>
      <c r="E801" s="232"/>
      <c r="F801" s="435"/>
      <c r="G801" s="234"/>
      <c r="H801" s="235"/>
      <c r="I801" s="235"/>
      <c r="J801" s="440"/>
      <c r="K801" s="443">
        <f ca="1">ROUND(IF(ISERROR(OFFSET(Tabella!$A$1,MATCH(H801,Tabella!$A:$A,0)-1,MATCH(J801,Tabella!$A$1:$AC$1,0)-1)=TRUE),0,+OFFSET(Tabella!$A$1,MATCH(H801,Tabella!$A:$A,0)-1,MATCH(J801,Tabella!$A$1:$AC$1,0)-1)),4)</f>
        <v>0</v>
      </c>
      <c r="L801" s="446">
        <f ca="1">ROUND(IF(ISERROR(OFFSET(Ottone!$A$1,MATCH(H801,Ottone!$A:$A,0)-1,MATCH(J801,Ottone!$A$1:$Z$1,0)-1)=TRUE),0,OFFSET(Ottone!$A$1,MATCH(H801,Ottone!$A:$A,0)-1,MATCH(J801,Ottone!$A$1:$Z$1,0)-1))*IF(E801="Ottone",1,0),4)</f>
        <v>0</v>
      </c>
      <c r="M801" s="446">
        <f ca="1">ROUND(IF(ISERROR(OFFSET(Rame!$A$1,MATCH(H801,Rame!$A:$A,0)-1,MATCH(J801,Rame!$A$1:$AA$1,0)-1)=TRUE),0,OFFSET(Rame!$A$1,MATCH(H801,Rame!$A:$A,0)-1,MATCH(J801,Rame!$A$1:$AA$1,0)-1))*IF(E801="Rame",1,0),4)</f>
        <v>0</v>
      </c>
      <c r="N801" s="446">
        <v>0</v>
      </c>
      <c r="O801" s="446">
        <f t="shared" ca="1" si="208"/>
        <v>0</v>
      </c>
      <c r="P801" s="446">
        <f ca="1">ROUND(+IF(ISERROR(OFFSET(Tabella!$G$1,MATCH(H801,Tabella!$G:$G,0)-1,MATCH(I801,Tabella!$G$1:$FG$1,0)-1)=TRUE),0,OFFSET(Tabella!$G$1,MATCH(H801,Tabella!$G:$G,0)-1,MATCH(I801,Tabella!$G$1:$AB$1,0)-1)),4)</f>
        <v>0</v>
      </c>
      <c r="Q801" s="446">
        <f ca="1">ROUND(IF(ISERROR(OFFSET(Ottone!$F$1,MATCH(H801,Ottone!$A:$A,0)-1,MATCH(I801,Ottone!$F$1:$FF$1,0)-1)=TRUE),0,OFFSET(Ottone!$F$1,MATCH(H801,Ottone!$A:$A,0)-1,MATCH(I801,Ottone!$F$1:$FF$1,0)-1))*IF(E801="Ottone",1,0),4)</f>
        <v>0</v>
      </c>
      <c r="R801" s="446">
        <f ca="1">ROUND(IF(ISERROR(OFFSET(Rame!$F$1,MATCH(H801,Rame!$F:$F,0)-1,MATCH(I801,Rame!$F$1:$FF$1,0)-1)=TRUE),0,OFFSET(Rame!$F$1,MATCH(H801,Rame!$F:$F,0)-1,MATCH(I801,Rame!$F$1:$FF$1,0)-1))*IF(E801="Rame",1,0),4)</f>
        <v>0</v>
      </c>
      <c r="S801" s="446">
        <f ca="1">ROUND(IF(ISERROR(OFFSET(Bronzo!$A$1,MATCH(H801,Bronzo!$A:$A,0)-1,MATCH(I801,Bronzo!$A$1:$AA$1,0)-1)=TRUE),0,OFFSET(Bronzo!$A$1,MATCH(H801,Bronzo!$A:$A,0)-1,MATCH(I801,Bronzo!$A$1:$AA$1,0)-1)),4)</f>
        <v>0</v>
      </c>
      <c r="T801" s="446">
        <f t="shared" ca="1" si="210"/>
        <v>0</v>
      </c>
      <c r="U801" s="443"/>
      <c r="V801" s="446">
        <v>0</v>
      </c>
      <c r="W801" s="449">
        <f t="shared" ca="1" si="211"/>
        <v>0</v>
      </c>
      <c r="X801" s="452">
        <f t="shared" si="209"/>
        <v>0</v>
      </c>
      <c r="Y801" s="440"/>
      <c r="Z801" s="440">
        <f t="shared" ca="1" si="212"/>
        <v>0</v>
      </c>
      <c r="AA801" s="241"/>
      <c r="AH801" s="242"/>
    </row>
    <row r="802" spans="2:34" ht="15.75" x14ac:dyDescent="0.25">
      <c r="B802" s="229"/>
      <c r="C802" s="235"/>
      <c r="D802" s="243"/>
      <c r="E802" s="232"/>
      <c r="F802" s="435"/>
      <c r="G802" s="234"/>
      <c r="H802" s="235"/>
      <c r="I802" s="235"/>
      <c r="J802" s="440"/>
      <c r="K802" s="443">
        <f ca="1">ROUND(IF(ISERROR(OFFSET(Tabella!$A$1,MATCH(H802,Tabella!$A:$A,0)-1,MATCH(J802,Tabella!$A$1:$AC$1,0)-1)=TRUE),0,+OFFSET(Tabella!$A$1,MATCH(H802,Tabella!$A:$A,0)-1,MATCH(J802,Tabella!$A$1:$AC$1,0)-1)),4)</f>
        <v>0</v>
      </c>
      <c r="L802" s="446">
        <f ca="1">ROUND(IF(ISERROR(OFFSET(Ottone!$A$1,MATCH(H802,Ottone!$A:$A,0)-1,MATCH(J802,Ottone!$A$1:$Z$1,0)-1)=TRUE),0,OFFSET(Ottone!$A$1,MATCH(H802,Ottone!$A:$A,0)-1,MATCH(J802,Ottone!$A$1:$Z$1,0)-1))*IF(E802="Ottone",1,0),4)</f>
        <v>0</v>
      </c>
      <c r="M802" s="446">
        <f ca="1">ROUND(IF(ISERROR(OFFSET(Rame!$A$1,MATCH(H802,Rame!$A:$A,0)-1,MATCH(J802,Rame!$A$1:$AA$1,0)-1)=TRUE),0,OFFSET(Rame!$A$1,MATCH(H802,Rame!$A:$A,0)-1,MATCH(J802,Rame!$A$1:$AA$1,0)-1))*IF(E802="Rame",1,0),4)</f>
        <v>0</v>
      </c>
      <c r="N802" s="446">
        <v>0</v>
      </c>
      <c r="O802" s="446">
        <f t="shared" ca="1" si="208"/>
        <v>0</v>
      </c>
      <c r="P802" s="446">
        <f ca="1">ROUND(+IF(ISERROR(OFFSET(Tabella!$G$1,MATCH(H802,Tabella!$G:$G,0)-1,MATCH(I802,Tabella!$G$1:$FG$1,0)-1)=TRUE),0,OFFSET(Tabella!$G$1,MATCH(H802,Tabella!$G:$G,0)-1,MATCH(I802,Tabella!$G$1:$AB$1,0)-1)),4)</f>
        <v>0</v>
      </c>
      <c r="Q802" s="446">
        <f ca="1">ROUND(IF(ISERROR(OFFSET(Ottone!$F$1,MATCH(H802,Ottone!$A:$A,0)-1,MATCH(I802,Ottone!$F$1:$FF$1,0)-1)=TRUE),0,OFFSET(Ottone!$F$1,MATCH(H802,Ottone!$A:$A,0)-1,MATCH(I802,Ottone!$F$1:$FF$1,0)-1))*IF(E802="Ottone",1,0),4)</f>
        <v>0</v>
      </c>
      <c r="R802" s="446">
        <f ca="1">ROUND(IF(ISERROR(OFFSET(Rame!$F$1,MATCH(H802,Rame!$F:$F,0)-1,MATCH(I802,Rame!$F$1:$FF$1,0)-1)=TRUE),0,OFFSET(Rame!$F$1,MATCH(H802,Rame!$F:$F,0)-1,MATCH(I802,Rame!$F$1:$FF$1,0)-1))*IF(E802="Rame",1,0),4)</f>
        <v>0</v>
      </c>
      <c r="S802" s="446">
        <f ca="1">ROUND(IF(ISERROR(OFFSET(Bronzo!$A$1,MATCH(H802,Bronzo!$A:$A,0)-1,MATCH(I802,Bronzo!$A$1:$AA$1,0)-1)=TRUE),0,OFFSET(Bronzo!$A$1,MATCH(H802,Bronzo!$A:$A,0)-1,MATCH(I802,Bronzo!$A$1:$AA$1,0)-1)),4)</f>
        <v>0</v>
      </c>
      <c r="T802" s="446">
        <f t="shared" ca="1" si="210"/>
        <v>0</v>
      </c>
      <c r="U802" s="443"/>
      <c r="V802" s="446">
        <v>0</v>
      </c>
      <c r="W802" s="449">
        <f t="shared" ca="1" si="211"/>
        <v>0</v>
      </c>
      <c r="X802" s="452">
        <f t="shared" si="209"/>
        <v>0</v>
      </c>
      <c r="Y802" s="440"/>
      <c r="Z802" s="440">
        <f t="shared" ca="1" si="212"/>
        <v>0</v>
      </c>
      <c r="AA802" s="241"/>
      <c r="AH802" s="242"/>
    </row>
    <row r="803" spans="2:34" ht="15.75" x14ac:dyDescent="0.25">
      <c r="B803" s="229"/>
      <c r="C803" s="235"/>
      <c r="D803" s="243"/>
      <c r="E803" s="232"/>
      <c r="F803" s="435"/>
      <c r="G803" s="234"/>
      <c r="H803" s="235"/>
      <c r="I803" s="235"/>
      <c r="J803" s="440"/>
      <c r="K803" s="443">
        <f ca="1">ROUND(IF(ISERROR(OFFSET(Tabella!$A$1,MATCH(H803,Tabella!$A:$A,0)-1,MATCH(J803,Tabella!$A$1:$AC$1,0)-1)=TRUE),0,+OFFSET(Tabella!$A$1,MATCH(H803,Tabella!$A:$A,0)-1,MATCH(J803,Tabella!$A$1:$AC$1,0)-1)),4)</f>
        <v>0</v>
      </c>
      <c r="L803" s="446">
        <f ca="1">ROUND(IF(ISERROR(OFFSET(Ottone!$A$1,MATCH(H803,Ottone!$A:$A,0)-1,MATCH(J803,Ottone!$A$1:$Z$1,0)-1)=TRUE),0,OFFSET(Ottone!$A$1,MATCH(H803,Ottone!$A:$A,0)-1,MATCH(J803,Ottone!$A$1:$Z$1,0)-1))*IF(E803="Ottone",1,0),4)</f>
        <v>0</v>
      </c>
      <c r="M803" s="446">
        <f ca="1">ROUND(IF(ISERROR(OFFSET(Rame!$A$1,MATCH(H803,Rame!$A:$A,0)-1,MATCH(J803,Rame!$A$1:$AA$1,0)-1)=TRUE),0,OFFSET(Rame!$A$1,MATCH(H803,Rame!$A:$A,0)-1,MATCH(J803,Rame!$A$1:$AA$1,0)-1))*IF(E803="Rame",1,0),4)</f>
        <v>0</v>
      </c>
      <c r="N803" s="446">
        <v>0</v>
      </c>
      <c r="O803" s="446">
        <f t="shared" ca="1" si="208"/>
        <v>0</v>
      </c>
      <c r="P803" s="446">
        <f ca="1">ROUND(+IF(ISERROR(OFFSET(Tabella!$G$1,MATCH(H803,Tabella!$G:$G,0)-1,MATCH(I803,Tabella!$G$1:$FG$1,0)-1)=TRUE),0,OFFSET(Tabella!$G$1,MATCH(H803,Tabella!$G:$G,0)-1,MATCH(I803,Tabella!$G$1:$AB$1,0)-1)),4)</f>
        <v>0</v>
      </c>
      <c r="Q803" s="446">
        <f ca="1">ROUND(IF(ISERROR(OFFSET(Ottone!$F$1,MATCH(H803,Ottone!$A:$A,0)-1,MATCH(I803,Ottone!$F$1:$FF$1,0)-1)=TRUE),0,OFFSET(Ottone!$F$1,MATCH(H803,Ottone!$A:$A,0)-1,MATCH(I803,Ottone!$F$1:$FF$1,0)-1))*IF(E803="Ottone",1,0),4)</f>
        <v>0</v>
      </c>
      <c r="R803" s="446">
        <f ca="1">ROUND(IF(ISERROR(OFFSET(Rame!$F$1,MATCH(H803,Rame!$F:$F,0)-1,MATCH(I803,Rame!$F$1:$FF$1,0)-1)=TRUE),0,OFFSET(Rame!$F$1,MATCH(H803,Rame!$F:$F,0)-1,MATCH(I803,Rame!$F$1:$FF$1,0)-1))*IF(E803="Rame",1,0),4)</f>
        <v>0</v>
      </c>
      <c r="S803" s="446">
        <f ca="1">ROUND(IF(ISERROR(OFFSET(Bronzo!$A$1,MATCH(H803,Bronzo!$A:$A,0)-1,MATCH(I803,Bronzo!$A$1:$AA$1,0)-1)=TRUE),0,OFFSET(Bronzo!$A$1,MATCH(H803,Bronzo!$A:$A,0)-1,MATCH(I803,Bronzo!$A$1:$AA$1,0)-1)),4)</f>
        <v>0</v>
      </c>
      <c r="T803" s="446">
        <f t="shared" ca="1" si="210"/>
        <v>0</v>
      </c>
      <c r="U803" s="443"/>
      <c r="V803" s="446">
        <v>0</v>
      </c>
      <c r="W803" s="449">
        <f t="shared" ca="1" si="211"/>
        <v>0</v>
      </c>
      <c r="X803" s="452">
        <f t="shared" si="209"/>
        <v>0</v>
      </c>
      <c r="Y803" s="440"/>
      <c r="Z803" s="440">
        <f t="shared" ca="1" si="212"/>
        <v>0</v>
      </c>
      <c r="AA803" s="241"/>
      <c r="AH803" s="242"/>
    </row>
    <row r="804" spans="2:34" ht="15.75" x14ac:dyDescent="0.25">
      <c r="B804" s="229"/>
      <c r="C804" s="235"/>
      <c r="D804" s="243"/>
      <c r="E804" s="232"/>
      <c r="F804" s="435"/>
      <c r="G804" s="234"/>
      <c r="H804" s="235"/>
      <c r="I804" s="235"/>
      <c r="J804" s="440"/>
      <c r="K804" s="443">
        <f ca="1">ROUND(IF(ISERROR(OFFSET(Tabella!$A$1,MATCH(H804,Tabella!$A:$A,0)-1,MATCH(J804,Tabella!$A$1:$AC$1,0)-1)=TRUE),0,+OFFSET(Tabella!$A$1,MATCH(H804,Tabella!$A:$A,0)-1,MATCH(J804,Tabella!$A$1:$AC$1,0)-1)),4)</f>
        <v>0</v>
      </c>
      <c r="L804" s="446">
        <f ca="1">ROUND(IF(ISERROR(OFFSET(Ottone!$A$1,MATCH(H804,Ottone!$A:$A,0)-1,MATCH(J804,Ottone!$A$1:$Z$1,0)-1)=TRUE),0,OFFSET(Ottone!$A$1,MATCH(H804,Ottone!$A:$A,0)-1,MATCH(J804,Ottone!$A$1:$Z$1,0)-1))*IF(E804="Ottone",1,0),4)</f>
        <v>0</v>
      </c>
      <c r="M804" s="446">
        <f ca="1">ROUND(IF(ISERROR(OFFSET(Rame!$A$1,MATCH(H804,Rame!$A:$A,0)-1,MATCH(J804,Rame!$A$1:$AA$1,0)-1)=TRUE),0,OFFSET(Rame!$A$1,MATCH(H804,Rame!$A:$A,0)-1,MATCH(J804,Rame!$A$1:$AA$1,0)-1))*IF(E804="Rame",1,0),4)</f>
        <v>0</v>
      </c>
      <c r="N804" s="446">
        <v>0</v>
      </c>
      <c r="O804" s="446">
        <f t="shared" ca="1" si="208"/>
        <v>0</v>
      </c>
      <c r="P804" s="446">
        <f ca="1">ROUND(+IF(ISERROR(OFFSET(Tabella!$G$1,MATCH(H804,Tabella!$G:$G,0)-1,MATCH(I804,Tabella!$G$1:$FG$1,0)-1)=TRUE),0,OFFSET(Tabella!$G$1,MATCH(H804,Tabella!$G:$G,0)-1,MATCH(I804,Tabella!$G$1:$AB$1,0)-1)),4)</f>
        <v>0</v>
      </c>
      <c r="Q804" s="446">
        <f ca="1">ROUND(IF(ISERROR(OFFSET(Ottone!$F$1,MATCH(H804,Ottone!$A:$A,0)-1,MATCH(I804,Ottone!$F$1:$FF$1,0)-1)=TRUE),0,OFFSET(Ottone!$F$1,MATCH(H804,Ottone!$A:$A,0)-1,MATCH(I804,Ottone!$F$1:$FF$1,0)-1))*IF(E804="Ottone",1,0),4)</f>
        <v>0</v>
      </c>
      <c r="R804" s="446">
        <f ca="1">ROUND(IF(ISERROR(OFFSET(Rame!$F$1,MATCH(H804,Rame!$F:$F,0)-1,MATCH(I804,Rame!$F$1:$FF$1,0)-1)=TRUE),0,OFFSET(Rame!$F$1,MATCH(H804,Rame!$F:$F,0)-1,MATCH(I804,Rame!$F$1:$FF$1,0)-1))*IF(E804="Rame",1,0),4)</f>
        <v>0</v>
      </c>
      <c r="S804" s="446">
        <f ca="1">ROUND(IF(ISERROR(OFFSET(Bronzo!$A$1,MATCH(H804,Bronzo!$A:$A,0)-1,MATCH(I804,Bronzo!$A$1:$AA$1,0)-1)=TRUE),0,OFFSET(Bronzo!$A$1,MATCH(H804,Bronzo!$A:$A,0)-1,MATCH(I804,Bronzo!$A$1:$AA$1,0)-1)),4)</f>
        <v>0</v>
      </c>
      <c r="T804" s="446">
        <f t="shared" ca="1" si="210"/>
        <v>0</v>
      </c>
      <c r="U804" s="443"/>
      <c r="V804" s="446">
        <v>0</v>
      </c>
      <c r="W804" s="449">
        <f t="shared" ca="1" si="211"/>
        <v>0</v>
      </c>
      <c r="X804" s="452">
        <f t="shared" si="209"/>
        <v>0</v>
      </c>
      <c r="Y804" s="440"/>
      <c r="Z804" s="440">
        <f t="shared" ca="1" si="212"/>
        <v>0</v>
      </c>
      <c r="AA804" s="241"/>
      <c r="AH804" s="242"/>
    </row>
    <row r="805" spans="2:34" ht="15.75" x14ac:dyDescent="0.25">
      <c r="B805" s="229"/>
      <c r="C805" s="235"/>
      <c r="D805" s="243"/>
      <c r="E805" s="232"/>
      <c r="F805" s="435"/>
      <c r="G805" s="234"/>
      <c r="H805" s="235"/>
      <c r="I805" s="235"/>
      <c r="J805" s="440"/>
      <c r="K805" s="443">
        <f ca="1">ROUND(IF(ISERROR(OFFSET(Tabella!$A$1,MATCH(H805,Tabella!$A:$A,0)-1,MATCH(J805,Tabella!$A$1:$AC$1,0)-1)=TRUE),0,+OFFSET(Tabella!$A$1,MATCH(H805,Tabella!$A:$A,0)-1,MATCH(J805,Tabella!$A$1:$AC$1,0)-1)),4)</f>
        <v>0</v>
      </c>
      <c r="L805" s="446">
        <f ca="1">ROUND(IF(ISERROR(OFFSET(Ottone!$A$1,MATCH(H805,Ottone!$A:$A,0)-1,MATCH(J805,Ottone!$A$1:$Z$1,0)-1)=TRUE),0,OFFSET(Ottone!$A$1,MATCH(H805,Ottone!$A:$A,0)-1,MATCH(J805,Ottone!$A$1:$Z$1,0)-1))*IF(E805="Ottone",1,0),4)</f>
        <v>0</v>
      </c>
      <c r="M805" s="446">
        <f ca="1">ROUND(IF(ISERROR(OFFSET(Rame!$A$1,MATCH(H805,Rame!$A:$A,0)-1,MATCH(J805,Rame!$A$1:$AA$1,0)-1)=TRUE),0,OFFSET(Rame!$A$1,MATCH(H805,Rame!$A:$A,0)-1,MATCH(J805,Rame!$A$1:$AA$1,0)-1))*IF(E805="Rame",1,0),4)</f>
        <v>0</v>
      </c>
      <c r="N805" s="446">
        <v>0</v>
      </c>
      <c r="O805" s="446">
        <f t="shared" ca="1" si="208"/>
        <v>0</v>
      </c>
      <c r="P805" s="446">
        <f ca="1">ROUND(+IF(ISERROR(OFFSET(Tabella!$G$1,MATCH(H805,Tabella!$G:$G,0)-1,MATCH(I805,Tabella!$G$1:$FG$1,0)-1)=TRUE),0,OFFSET(Tabella!$G$1,MATCH(H805,Tabella!$G:$G,0)-1,MATCH(I805,Tabella!$G$1:$AB$1,0)-1)),4)</f>
        <v>0</v>
      </c>
      <c r="Q805" s="446">
        <f ca="1">ROUND(IF(ISERROR(OFFSET(Ottone!$F$1,MATCH(H805,Ottone!$A:$A,0)-1,MATCH(I805,Ottone!$F$1:$FF$1,0)-1)=TRUE),0,OFFSET(Ottone!$F$1,MATCH(H805,Ottone!$A:$A,0)-1,MATCH(I805,Ottone!$F$1:$FF$1,0)-1))*IF(E805="Ottone",1,0),4)</f>
        <v>0</v>
      </c>
      <c r="R805" s="446">
        <f ca="1">ROUND(IF(ISERROR(OFFSET(Rame!$F$1,MATCH(H805,Rame!$F:$F,0)-1,MATCH(I805,Rame!$F$1:$FF$1,0)-1)=TRUE),0,OFFSET(Rame!$F$1,MATCH(H805,Rame!$F:$F,0)-1,MATCH(I805,Rame!$F$1:$FF$1,0)-1))*IF(E805="Rame",1,0),4)</f>
        <v>0</v>
      </c>
      <c r="S805" s="446">
        <f ca="1">ROUND(IF(ISERROR(OFFSET(Bronzo!$A$1,MATCH(H805,Bronzo!$A:$A,0)-1,MATCH(I805,Bronzo!$A$1:$AA$1,0)-1)=TRUE),0,OFFSET(Bronzo!$A$1,MATCH(H805,Bronzo!$A:$A,0)-1,MATCH(I805,Bronzo!$A$1:$AA$1,0)-1)),4)</f>
        <v>0</v>
      </c>
      <c r="T805" s="446">
        <f t="shared" ca="1" si="210"/>
        <v>0</v>
      </c>
      <c r="U805" s="443"/>
      <c r="V805" s="446">
        <v>0</v>
      </c>
      <c r="W805" s="449">
        <f t="shared" ca="1" si="211"/>
        <v>0</v>
      </c>
      <c r="X805" s="452">
        <f t="shared" si="209"/>
        <v>0</v>
      </c>
      <c r="Y805" s="440"/>
      <c r="Z805" s="440">
        <f t="shared" ca="1" si="212"/>
        <v>0</v>
      </c>
      <c r="AA805" s="241"/>
      <c r="AH805" s="242"/>
    </row>
    <row r="806" spans="2:34" ht="15.75" x14ac:dyDescent="0.25">
      <c r="B806" s="229"/>
      <c r="C806" s="235"/>
      <c r="D806" s="243"/>
      <c r="E806" s="232"/>
      <c r="F806" s="435"/>
      <c r="G806" s="234"/>
      <c r="H806" s="235"/>
      <c r="I806" s="235"/>
      <c r="J806" s="440"/>
      <c r="K806" s="443">
        <f ca="1">ROUND(IF(ISERROR(OFFSET(Tabella!$A$1,MATCH(H806,Tabella!$A:$A,0)-1,MATCH(J806,Tabella!$A$1:$AC$1,0)-1)=TRUE),0,+OFFSET(Tabella!$A$1,MATCH(H806,Tabella!$A:$A,0)-1,MATCH(J806,Tabella!$A$1:$AC$1,0)-1)),4)</f>
        <v>0</v>
      </c>
      <c r="L806" s="446">
        <f ca="1">ROUND(IF(ISERROR(OFFSET(Ottone!$A$1,MATCH(H806,Ottone!$A:$A,0)-1,MATCH(J806,Ottone!$A$1:$Z$1,0)-1)=TRUE),0,OFFSET(Ottone!$A$1,MATCH(H806,Ottone!$A:$A,0)-1,MATCH(J806,Ottone!$A$1:$Z$1,0)-1))*IF(E806="Ottone",1,0),4)</f>
        <v>0</v>
      </c>
      <c r="M806" s="446">
        <f ca="1">ROUND(IF(ISERROR(OFFSET(Rame!$A$1,MATCH(H806,Rame!$A:$A,0)-1,MATCH(J806,Rame!$A$1:$AA$1,0)-1)=TRUE),0,OFFSET(Rame!$A$1,MATCH(H806,Rame!$A:$A,0)-1,MATCH(J806,Rame!$A$1:$AA$1,0)-1))*IF(E806="Rame",1,0),4)</f>
        <v>0</v>
      </c>
      <c r="N806" s="446">
        <v>0</v>
      </c>
      <c r="O806" s="446">
        <f t="shared" ca="1" si="208"/>
        <v>0</v>
      </c>
      <c r="P806" s="446">
        <f ca="1">ROUND(+IF(ISERROR(OFFSET(Tabella!$G$1,MATCH(H806,Tabella!$G:$G,0)-1,MATCH(I806,Tabella!$G$1:$FG$1,0)-1)=TRUE),0,OFFSET(Tabella!$G$1,MATCH(H806,Tabella!$G:$G,0)-1,MATCH(I806,Tabella!$G$1:$AB$1,0)-1)),4)</f>
        <v>0</v>
      </c>
      <c r="Q806" s="446">
        <f ca="1">ROUND(IF(ISERROR(OFFSET(Ottone!$F$1,MATCH(H806,Ottone!$A:$A,0)-1,MATCH(I806,Ottone!$F$1:$FF$1,0)-1)=TRUE),0,OFFSET(Ottone!$F$1,MATCH(H806,Ottone!$A:$A,0)-1,MATCH(I806,Ottone!$F$1:$FF$1,0)-1))*IF(E806="Ottone",1,0),4)</f>
        <v>0</v>
      </c>
      <c r="R806" s="446">
        <f ca="1">ROUND(IF(ISERROR(OFFSET(Rame!$F$1,MATCH(H806,Rame!$F:$F,0)-1,MATCH(I806,Rame!$F$1:$FF$1,0)-1)=TRUE),0,OFFSET(Rame!$F$1,MATCH(H806,Rame!$F:$F,0)-1,MATCH(I806,Rame!$F$1:$FF$1,0)-1))*IF(E806="Rame",1,0),4)</f>
        <v>0</v>
      </c>
      <c r="S806" s="446">
        <f ca="1">ROUND(IF(ISERROR(OFFSET(Bronzo!$A$1,MATCH(H806,Bronzo!$A:$A,0)-1,MATCH(I806,Bronzo!$A$1:$AA$1,0)-1)=TRUE),0,OFFSET(Bronzo!$A$1,MATCH(H806,Bronzo!$A:$A,0)-1,MATCH(I806,Bronzo!$A$1:$AA$1,0)-1)),4)</f>
        <v>0</v>
      </c>
      <c r="T806" s="446">
        <f t="shared" ca="1" si="210"/>
        <v>0</v>
      </c>
      <c r="U806" s="443"/>
      <c r="V806" s="446">
        <v>0</v>
      </c>
      <c r="W806" s="449">
        <f t="shared" ca="1" si="211"/>
        <v>0</v>
      </c>
      <c r="X806" s="452">
        <f t="shared" si="209"/>
        <v>0</v>
      </c>
      <c r="Y806" s="440"/>
      <c r="Z806" s="440">
        <f t="shared" ca="1" si="212"/>
        <v>0</v>
      </c>
      <c r="AA806" s="241"/>
      <c r="AH806" s="242"/>
    </row>
    <row r="807" spans="2:34" ht="15.75" x14ac:dyDescent="0.25">
      <c r="B807" s="229"/>
      <c r="C807" s="235"/>
      <c r="D807" s="243"/>
      <c r="E807" s="232"/>
      <c r="F807" s="435"/>
      <c r="G807" s="234"/>
      <c r="H807" s="235"/>
      <c r="I807" s="235"/>
      <c r="J807" s="440"/>
      <c r="K807" s="443">
        <f ca="1">ROUND(IF(ISERROR(OFFSET(Tabella!$A$1,MATCH(H807,Tabella!$A:$A,0)-1,MATCH(J807,Tabella!$A$1:$AC$1,0)-1)=TRUE),0,+OFFSET(Tabella!$A$1,MATCH(H807,Tabella!$A:$A,0)-1,MATCH(J807,Tabella!$A$1:$AC$1,0)-1)),4)</f>
        <v>0</v>
      </c>
      <c r="L807" s="446">
        <f ca="1">ROUND(IF(ISERROR(OFFSET(Ottone!$A$1,MATCH(H807,Ottone!$A:$A,0)-1,MATCH(J807,Ottone!$A$1:$Z$1,0)-1)=TRUE),0,OFFSET(Ottone!$A$1,MATCH(H807,Ottone!$A:$A,0)-1,MATCH(J807,Ottone!$A$1:$Z$1,0)-1))*IF(E807="Ottone",1,0),4)</f>
        <v>0</v>
      </c>
      <c r="M807" s="446">
        <f ca="1">ROUND(IF(ISERROR(OFFSET(Rame!$A$1,MATCH(H807,Rame!$A:$A,0)-1,MATCH(J807,Rame!$A$1:$AA$1,0)-1)=TRUE),0,OFFSET(Rame!$A$1,MATCH(H807,Rame!$A:$A,0)-1,MATCH(J807,Rame!$A$1:$AA$1,0)-1))*IF(E807="Rame",1,0),4)</f>
        <v>0</v>
      </c>
      <c r="N807" s="446">
        <v>0</v>
      </c>
      <c r="O807" s="446">
        <f t="shared" ca="1" si="208"/>
        <v>0</v>
      </c>
      <c r="P807" s="446">
        <f ca="1">ROUND(+IF(ISERROR(OFFSET(Tabella!$G$1,MATCH(H807,Tabella!$G:$G,0)-1,MATCH(I807,Tabella!$G$1:$FG$1,0)-1)=TRUE),0,OFFSET(Tabella!$G$1,MATCH(H807,Tabella!$G:$G,0)-1,MATCH(I807,Tabella!$G$1:$AB$1,0)-1)),4)</f>
        <v>0</v>
      </c>
      <c r="Q807" s="446">
        <f ca="1">ROUND(IF(ISERROR(OFFSET(Ottone!$F$1,MATCH(H807,Ottone!$A:$A,0)-1,MATCH(I807,Ottone!$F$1:$FF$1,0)-1)=TRUE),0,OFFSET(Ottone!$F$1,MATCH(H807,Ottone!$A:$A,0)-1,MATCH(I807,Ottone!$F$1:$FF$1,0)-1))*IF(E807="Ottone",1,0),4)</f>
        <v>0</v>
      </c>
      <c r="R807" s="446">
        <f ca="1">ROUND(IF(ISERROR(OFFSET(Rame!$F$1,MATCH(H807,Rame!$F:$F,0)-1,MATCH(I807,Rame!$F$1:$FF$1,0)-1)=TRUE),0,OFFSET(Rame!$F$1,MATCH(H807,Rame!$F:$F,0)-1,MATCH(I807,Rame!$F$1:$FF$1,0)-1))*IF(E807="Rame",1,0),4)</f>
        <v>0</v>
      </c>
      <c r="S807" s="446">
        <f ca="1">ROUND(IF(ISERROR(OFFSET(Bronzo!$A$1,MATCH(H807,Bronzo!$A:$A,0)-1,MATCH(I807,Bronzo!$A$1:$AA$1,0)-1)=TRUE),0,OFFSET(Bronzo!$A$1,MATCH(H807,Bronzo!$A:$A,0)-1,MATCH(I807,Bronzo!$A$1:$AA$1,0)-1)),4)</f>
        <v>0</v>
      </c>
      <c r="T807" s="446">
        <f t="shared" ca="1" si="210"/>
        <v>0</v>
      </c>
      <c r="U807" s="443"/>
      <c r="V807" s="446">
        <v>0</v>
      </c>
      <c r="W807" s="449">
        <f t="shared" ca="1" si="211"/>
        <v>0</v>
      </c>
      <c r="X807" s="452">
        <f t="shared" si="209"/>
        <v>0</v>
      </c>
      <c r="Y807" s="440"/>
      <c r="Z807" s="440">
        <f t="shared" ca="1" si="212"/>
        <v>0</v>
      </c>
      <c r="AA807" s="241"/>
      <c r="AH807" s="242"/>
    </row>
    <row r="808" spans="2:34" ht="15.75" x14ac:dyDescent="0.25">
      <c r="B808" s="229"/>
      <c r="C808" s="235"/>
      <c r="D808" s="243"/>
      <c r="E808" s="232"/>
      <c r="F808" s="435"/>
      <c r="G808" s="234"/>
      <c r="H808" s="235"/>
      <c r="I808" s="235"/>
      <c r="J808" s="440"/>
      <c r="K808" s="443">
        <f ca="1">ROUND(IF(ISERROR(OFFSET(Tabella!$A$1,MATCH(H808,Tabella!$A:$A,0)-1,MATCH(J808,Tabella!$A$1:$AC$1,0)-1)=TRUE),0,+OFFSET(Tabella!$A$1,MATCH(H808,Tabella!$A:$A,0)-1,MATCH(J808,Tabella!$A$1:$AC$1,0)-1)),4)</f>
        <v>0</v>
      </c>
      <c r="L808" s="446">
        <f ca="1">ROUND(IF(ISERROR(OFFSET(Ottone!$A$1,MATCH(H808,Ottone!$A:$A,0)-1,MATCH(J808,Ottone!$A$1:$Z$1,0)-1)=TRUE),0,OFFSET(Ottone!$A$1,MATCH(H808,Ottone!$A:$A,0)-1,MATCH(J808,Ottone!$A$1:$Z$1,0)-1))*IF(E808="Ottone",1,0),4)</f>
        <v>0</v>
      </c>
      <c r="M808" s="446">
        <f ca="1">ROUND(IF(ISERROR(OFFSET(Rame!$A$1,MATCH(H808,Rame!$A:$A,0)-1,MATCH(J808,Rame!$A$1:$AA$1,0)-1)=TRUE),0,OFFSET(Rame!$A$1,MATCH(H808,Rame!$A:$A,0)-1,MATCH(J808,Rame!$A$1:$AA$1,0)-1))*IF(E808="Rame",1,0),4)</f>
        <v>0</v>
      </c>
      <c r="N808" s="446">
        <v>0</v>
      </c>
      <c r="O808" s="446">
        <f t="shared" ref="O808:O871" ca="1" si="213">ROUND(SUM(K808:N808),4)</f>
        <v>0</v>
      </c>
      <c r="P808" s="446">
        <f ca="1">ROUND(+IF(ISERROR(OFFSET(Tabella!$G$1,MATCH(H808,Tabella!$G:$G,0)-1,MATCH(I808,Tabella!$G$1:$FG$1,0)-1)=TRUE),0,OFFSET(Tabella!$G$1,MATCH(H808,Tabella!$G:$G,0)-1,MATCH(I808,Tabella!$G$1:$AB$1,0)-1)),4)</f>
        <v>0</v>
      </c>
      <c r="Q808" s="446">
        <f ca="1">ROUND(IF(ISERROR(OFFSET(Ottone!$F$1,MATCH(H808,Ottone!$A:$A,0)-1,MATCH(I808,Ottone!$F$1:$FF$1,0)-1)=TRUE),0,OFFSET(Ottone!$F$1,MATCH(H808,Ottone!$A:$A,0)-1,MATCH(I808,Ottone!$F$1:$FF$1,0)-1))*IF(E808="Ottone",1,0),4)</f>
        <v>0</v>
      </c>
      <c r="R808" s="446">
        <f ca="1">ROUND(IF(ISERROR(OFFSET(Rame!$F$1,MATCH(H808,Rame!$F:$F,0)-1,MATCH(I808,Rame!$F$1:$FF$1,0)-1)=TRUE),0,OFFSET(Rame!$F$1,MATCH(H808,Rame!$F:$F,0)-1,MATCH(I808,Rame!$F$1:$FF$1,0)-1))*IF(E808="Rame",1,0),4)</f>
        <v>0</v>
      </c>
      <c r="S808" s="446">
        <f ca="1">ROUND(IF(ISERROR(OFFSET(Bronzo!$A$1,MATCH(H808,Bronzo!$A:$A,0)-1,MATCH(I808,Bronzo!$A$1:$AA$1,0)-1)=TRUE),0,OFFSET(Bronzo!$A$1,MATCH(H808,Bronzo!$A:$A,0)-1,MATCH(I808,Bronzo!$A$1:$AA$1,0)-1)),4)</f>
        <v>0</v>
      </c>
      <c r="T808" s="446">
        <f t="shared" ca="1" si="210"/>
        <v>0</v>
      </c>
      <c r="U808" s="443"/>
      <c r="V808" s="446">
        <v>0</v>
      </c>
      <c r="W808" s="449">
        <f t="shared" ca="1" si="211"/>
        <v>0</v>
      </c>
      <c r="X808" s="452">
        <f t="shared" si="209"/>
        <v>0</v>
      </c>
      <c r="Y808" s="440"/>
      <c r="Z808" s="440">
        <f t="shared" ca="1" si="212"/>
        <v>0</v>
      </c>
      <c r="AA808" s="241"/>
      <c r="AH808" s="242"/>
    </row>
    <row r="809" spans="2:34" ht="15.75" x14ac:dyDescent="0.25">
      <c r="B809" s="229"/>
      <c r="C809" s="235"/>
      <c r="D809" s="243"/>
      <c r="E809" s="232"/>
      <c r="F809" s="435"/>
      <c r="G809" s="234"/>
      <c r="H809" s="235"/>
      <c r="I809" s="235"/>
      <c r="J809" s="440"/>
      <c r="K809" s="443">
        <f ca="1">ROUND(IF(ISERROR(OFFSET(Tabella!$A$1,MATCH(H809,Tabella!$A:$A,0)-1,MATCH(J809,Tabella!$A$1:$AC$1,0)-1)=TRUE),0,+OFFSET(Tabella!$A$1,MATCH(H809,Tabella!$A:$A,0)-1,MATCH(J809,Tabella!$A$1:$AC$1,0)-1)),4)</f>
        <v>0</v>
      </c>
      <c r="L809" s="446">
        <f ca="1">ROUND(IF(ISERROR(OFFSET(Ottone!$A$1,MATCH(H809,Ottone!$A:$A,0)-1,MATCH(J809,Ottone!$A$1:$Z$1,0)-1)=TRUE),0,OFFSET(Ottone!$A$1,MATCH(H809,Ottone!$A:$A,0)-1,MATCH(J809,Ottone!$A$1:$Z$1,0)-1))*IF(E809="Ottone",1,0),4)</f>
        <v>0</v>
      </c>
      <c r="M809" s="446">
        <f ca="1">ROUND(IF(ISERROR(OFFSET(Rame!$A$1,MATCH(H809,Rame!$A:$A,0)-1,MATCH(J809,Rame!$A$1:$AA$1,0)-1)=TRUE),0,OFFSET(Rame!$A$1,MATCH(H809,Rame!$A:$A,0)-1,MATCH(J809,Rame!$A$1:$AA$1,0)-1))*IF(E809="Rame",1,0),4)</f>
        <v>0</v>
      </c>
      <c r="N809" s="446">
        <v>0</v>
      </c>
      <c r="O809" s="446">
        <f t="shared" ca="1" si="213"/>
        <v>0</v>
      </c>
      <c r="P809" s="446">
        <f ca="1">ROUND(+IF(ISERROR(OFFSET(Tabella!$G$1,MATCH(H809,Tabella!$G:$G,0)-1,MATCH(I809,Tabella!$G$1:$FG$1,0)-1)=TRUE),0,OFFSET(Tabella!$G$1,MATCH(H809,Tabella!$G:$G,0)-1,MATCH(I809,Tabella!$G$1:$AB$1,0)-1)),4)</f>
        <v>0</v>
      </c>
      <c r="Q809" s="446">
        <f ca="1">ROUND(IF(ISERROR(OFFSET(Ottone!$F$1,MATCH(H809,Ottone!$A:$A,0)-1,MATCH(I809,Ottone!$F$1:$FF$1,0)-1)=TRUE),0,OFFSET(Ottone!$F$1,MATCH(H809,Ottone!$A:$A,0)-1,MATCH(I809,Ottone!$F$1:$FF$1,0)-1))*IF(E809="Ottone",1,0),4)</f>
        <v>0</v>
      </c>
      <c r="R809" s="446">
        <f ca="1">ROUND(IF(ISERROR(OFFSET(Rame!$F$1,MATCH(H809,Rame!$F:$F,0)-1,MATCH(I809,Rame!$F$1:$FF$1,0)-1)=TRUE),0,OFFSET(Rame!$F$1,MATCH(H809,Rame!$F:$F,0)-1,MATCH(I809,Rame!$F$1:$FF$1,0)-1))*IF(E809="Rame",1,0),4)</f>
        <v>0</v>
      </c>
      <c r="S809" s="446">
        <f ca="1">ROUND(IF(ISERROR(OFFSET(Bronzo!$A$1,MATCH(H809,Bronzo!$A:$A,0)-1,MATCH(I809,Bronzo!$A$1:$AA$1,0)-1)=TRUE),0,OFFSET(Bronzo!$A$1,MATCH(H809,Bronzo!$A:$A,0)-1,MATCH(I809,Bronzo!$A$1:$AA$1,0)-1)),4)</f>
        <v>0</v>
      </c>
      <c r="T809" s="446">
        <f t="shared" ca="1" si="210"/>
        <v>0</v>
      </c>
      <c r="U809" s="443"/>
      <c r="V809" s="446">
        <v>0</v>
      </c>
      <c r="W809" s="449">
        <f t="shared" ca="1" si="211"/>
        <v>0</v>
      </c>
      <c r="X809" s="452">
        <f t="shared" si="209"/>
        <v>0</v>
      </c>
      <c r="Y809" s="440"/>
      <c r="Z809" s="440">
        <f t="shared" ca="1" si="212"/>
        <v>0</v>
      </c>
      <c r="AA809" s="241"/>
      <c r="AH809" s="242"/>
    </row>
    <row r="810" spans="2:34" ht="15.75" x14ac:dyDescent="0.25">
      <c r="B810" s="229"/>
      <c r="C810" s="235"/>
      <c r="D810" s="243"/>
      <c r="E810" s="232"/>
      <c r="F810" s="435"/>
      <c r="G810" s="234"/>
      <c r="H810" s="235"/>
      <c r="I810" s="235"/>
      <c r="J810" s="440"/>
      <c r="K810" s="443">
        <f ca="1">ROUND(IF(ISERROR(OFFSET(Tabella!$A$1,MATCH(H810,Tabella!$A:$A,0)-1,MATCH(J810,Tabella!$A$1:$AC$1,0)-1)=TRUE),0,+OFFSET(Tabella!$A$1,MATCH(H810,Tabella!$A:$A,0)-1,MATCH(J810,Tabella!$A$1:$AC$1,0)-1)),4)</f>
        <v>0</v>
      </c>
      <c r="L810" s="446">
        <f ca="1">ROUND(IF(ISERROR(OFFSET(Ottone!$A$1,MATCH(H810,Ottone!$A:$A,0)-1,MATCH(J810,Ottone!$A$1:$Z$1,0)-1)=TRUE),0,OFFSET(Ottone!$A$1,MATCH(H810,Ottone!$A:$A,0)-1,MATCH(J810,Ottone!$A$1:$Z$1,0)-1))*IF(E810="Ottone",1,0),4)</f>
        <v>0</v>
      </c>
      <c r="M810" s="446">
        <f ca="1">ROUND(IF(ISERROR(OFFSET(Rame!$A$1,MATCH(H810,Rame!$A:$A,0)-1,MATCH(J810,Rame!$A$1:$AA$1,0)-1)=TRUE),0,OFFSET(Rame!$A$1,MATCH(H810,Rame!$A:$A,0)-1,MATCH(J810,Rame!$A$1:$AA$1,0)-1))*IF(E810="Rame",1,0),4)</f>
        <v>0</v>
      </c>
      <c r="N810" s="446">
        <v>0</v>
      </c>
      <c r="O810" s="446">
        <f t="shared" ca="1" si="213"/>
        <v>0</v>
      </c>
      <c r="P810" s="446">
        <f ca="1">ROUND(+IF(ISERROR(OFFSET(Tabella!$G$1,MATCH(H810,Tabella!$G:$G,0)-1,MATCH(I810,Tabella!$G$1:$FG$1,0)-1)=TRUE),0,OFFSET(Tabella!$G$1,MATCH(H810,Tabella!$G:$G,0)-1,MATCH(I810,Tabella!$G$1:$AB$1,0)-1)),4)</f>
        <v>0</v>
      </c>
      <c r="Q810" s="446">
        <f ca="1">ROUND(IF(ISERROR(OFFSET(Ottone!$F$1,MATCH(H810,Ottone!$A:$A,0)-1,MATCH(I810,Ottone!$F$1:$FF$1,0)-1)=TRUE),0,OFFSET(Ottone!$F$1,MATCH(H810,Ottone!$A:$A,0)-1,MATCH(I810,Ottone!$F$1:$FF$1,0)-1))*IF(E810="Ottone",1,0),4)</f>
        <v>0</v>
      </c>
      <c r="R810" s="446">
        <f ca="1">ROUND(IF(ISERROR(OFFSET(Rame!$F$1,MATCH(H810,Rame!$F:$F,0)-1,MATCH(I810,Rame!$F$1:$FF$1,0)-1)=TRUE),0,OFFSET(Rame!$F$1,MATCH(H810,Rame!$F:$F,0)-1,MATCH(I810,Rame!$F$1:$FF$1,0)-1))*IF(E810="Rame",1,0),4)</f>
        <v>0</v>
      </c>
      <c r="S810" s="446">
        <f ca="1">ROUND(IF(ISERROR(OFFSET(Bronzo!$A$1,MATCH(H810,Bronzo!$A:$A,0)-1,MATCH(I810,Bronzo!$A$1:$AA$1,0)-1)=TRUE),0,OFFSET(Bronzo!$A$1,MATCH(H810,Bronzo!$A:$A,0)-1,MATCH(I810,Bronzo!$A$1:$AA$1,0)-1)),4)</f>
        <v>0</v>
      </c>
      <c r="T810" s="446">
        <f t="shared" ca="1" si="210"/>
        <v>0</v>
      </c>
      <c r="U810" s="443"/>
      <c r="V810" s="446">
        <v>0</v>
      </c>
      <c r="W810" s="449">
        <f t="shared" ca="1" si="211"/>
        <v>0</v>
      </c>
      <c r="X810" s="452">
        <f t="shared" si="209"/>
        <v>0</v>
      </c>
      <c r="Y810" s="440"/>
      <c r="Z810" s="440">
        <f t="shared" ca="1" si="212"/>
        <v>0</v>
      </c>
      <c r="AA810" s="241"/>
      <c r="AH810" s="242"/>
    </row>
    <row r="811" spans="2:34" ht="15.75" x14ac:dyDescent="0.25">
      <c r="B811" s="229"/>
      <c r="C811" s="235"/>
      <c r="D811" s="243"/>
      <c r="E811" s="232"/>
      <c r="F811" s="435"/>
      <c r="G811" s="234"/>
      <c r="H811" s="235"/>
      <c r="I811" s="235"/>
      <c r="J811" s="440"/>
      <c r="K811" s="443">
        <f ca="1">ROUND(IF(ISERROR(OFFSET(Tabella!$A$1,MATCH(H811,Tabella!$A:$A,0)-1,MATCH(J811,Tabella!$A$1:$AC$1,0)-1)=TRUE),0,+OFFSET(Tabella!$A$1,MATCH(H811,Tabella!$A:$A,0)-1,MATCH(J811,Tabella!$A$1:$AC$1,0)-1)),4)</f>
        <v>0</v>
      </c>
      <c r="L811" s="446">
        <f ca="1">ROUND(IF(ISERROR(OFFSET(Ottone!$A$1,MATCH(H811,Ottone!$A:$A,0)-1,MATCH(J811,Ottone!$A$1:$Z$1,0)-1)=TRUE),0,OFFSET(Ottone!$A$1,MATCH(H811,Ottone!$A:$A,0)-1,MATCH(J811,Ottone!$A$1:$Z$1,0)-1))*IF(E811="Ottone",1,0),4)</f>
        <v>0</v>
      </c>
      <c r="M811" s="446">
        <f ca="1">ROUND(IF(ISERROR(OFFSET(Rame!$A$1,MATCH(H811,Rame!$A:$A,0)-1,MATCH(J811,Rame!$A$1:$AA$1,0)-1)=TRUE),0,OFFSET(Rame!$A$1,MATCH(H811,Rame!$A:$A,0)-1,MATCH(J811,Rame!$A$1:$AA$1,0)-1))*IF(E811="Rame",1,0),4)</f>
        <v>0</v>
      </c>
      <c r="N811" s="446">
        <v>0</v>
      </c>
      <c r="O811" s="446">
        <f t="shared" ca="1" si="213"/>
        <v>0</v>
      </c>
      <c r="P811" s="446">
        <f ca="1">ROUND(+IF(ISERROR(OFFSET(Tabella!$G$1,MATCH(H811,Tabella!$G:$G,0)-1,MATCH(I811,Tabella!$G$1:$FG$1,0)-1)=TRUE),0,OFFSET(Tabella!$G$1,MATCH(H811,Tabella!$G:$G,0)-1,MATCH(I811,Tabella!$G$1:$AB$1,0)-1)),4)</f>
        <v>0</v>
      </c>
      <c r="Q811" s="446">
        <f ca="1">ROUND(IF(ISERROR(OFFSET(Ottone!$F$1,MATCH(H811,Ottone!$A:$A,0)-1,MATCH(I811,Ottone!$F$1:$FF$1,0)-1)=TRUE),0,OFFSET(Ottone!$F$1,MATCH(H811,Ottone!$A:$A,0)-1,MATCH(I811,Ottone!$F$1:$FF$1,0)-1))*IF(E811="Ottone",1,0),4)</f>
        <v>0</v>
      </c>
      <c r="R811" s="446">
        <f ca="1">ROUND(IF(ISERROR(OFFSET(Rame!$F$1,MATCH(H811,Rame!$F:$F,0)-1,MATCH(I811,Rame!$F$1:$FF$1,0)-1)=TRUE),0,OFFSET(Rame!$F$1,MATCH(H811,Rame!$F:$F,0)-1,MATCH(I811,Rame!$F$1:$FF$1,0)-1))*IF(E811="Rame",1,0),4)</f>
        <v>0</v>
      </c>
      <c r="S811" s="446">
        <f ca="1">ROUND(IF(ISERROR(OFFSET(Bronzo!$A$1,MATCH(H811,Bronzo!$A:$A,0)-1,MATCH(I811,Bronzo!$A$1:$AA$1,0)-1)=TRUE),0,OFFSET(Bronzo!$A$1,MATCH(H811,Bronzo!$A:$A,0)-1,MATCH(I811,Bronzo!$A$1:$AA$1,0)-1)),4)</f>
        <v>0</v>
      </c>
      <c r="T811" s="446">
        <f t="shared" ca="1" si="210"/>
        <v>0</v>
      </c>
      <c r="U811" s="443"/>
      <c r="V811" s="446">
        <v>0</v>
      </c>
      <c r="W811" s="449">
        <f t="shared" ca="1" si="211"/>
        <v>0</v>
      </c>
      <c r="X811" s="452">
        <f t="shared" si="209"/>
        <v>0</v>
      </c>
      <c r="Y811" s="440"/>
      <c r="Z811" s="440">
        <f t="shared" ca="1" si="212"/>
        <v>0</v>
      </c>
      <c r="AA811" s="241"/>
      <c r="AH811" s="242"/>
    </row>
    <row r="812" spans="2:34" ht="15.75" x14ac:dyDescent="0.25">
      <c r="B812" s="229"/>
      <c r="C812" s="235"/>
      <c r="D812" s="243"/>
      <c r="E812" s="232"/>
      <c r="F812" s="435"/>
      <c r="G812" s="234"/>
      <c r="H812" s="235"/>
      <c r="I812" s="235"/>
      <c r="J812" s="440"/>
      <c r="K812" s="443">
        <f ca="1">ROUND(IF(ISERROR(OFFSET(Tabella!$A$1,MATCH(H812,Tabella!$A:$A,0)-1,MATCH(J812,Tabella!$A$1:$AC$1,0)-1)=TRUE),0,+OFFSET(Tabella!$A$1,MATCH(H812,Tabella!$A:$A,0)-1,MATCH(J812,Tabella!$A$1:$AC$1,0)-1)),4)</f>
        <v>0</v>
      </c>
      <c r="L812" s="446">
        <f ca="1">ROUND(IF(ISERROR(OFFSET(Ottone!$A$1,MATCH(H812,Ottone!$A:$A,0)-1,MATCH(J812,Ottone!$A$1:$Z$1,0)-1)=TRUE),0,OFFSET(Ottone!$A$1,MATCH(H812,Ottone!$A:$A,0)-1,MATCH(J812,Ottone!$A$1:$Z$1,0)-1))*IF(E812="Ottone",1,0),4)</f>
        <v>0</v>
      </c>
      <c r="M812" s="446">
        <f ca="1">ROUND(IF(ISERROR(OFFSET(Rame!$A$1,MATCH(H812,Rame!$A:$A,0)-1,MATCH(J812,Rame!$A$1:$AA$1,0)-1)=TRUE),0,OFFSET(Rame!$A$1,MATCH(H812,Rame!$A:$A,0)-1,MATCH(J812,Rame!$A$1:$AA$1,0)-1))*IF(E812="Rame",1,0),4)</f>
        <v>0</v>
      </c>
      <c r="N812" s="446">
        <v>0</v>
      </c>
      <c r="O812" s="446">
        <f t="shared" ca="1" si="213"/>
        <v>0</v>
      </c>
      <c r="P812" s="446">
        <f ca="1">ROUND(+IF(ISERROR(OFFSET(Tabella!$G$1,MATCH(H812,Tabella!$G:$G,0)-1,MATCH(I812,Tabella!$G$1:$FG$1,0)-1)=TRUE),0,OFFSET(Tabella!$G$1,MATCH(H812,Tabella!$G:$G,0)-1,MATCH(I812,Tabella!$G$1:$AB$1,0)-1)),4)</f>
        <v>0</v>
      </c>
      <c r="Q812" s="446">
        <f ca="1">ROUND(IF(ISERROR(OFFSET(Ottone!$F$1,MATCH(H812,Ottone!$A:$A,0)-1,MATCH(I812,Ottone!$F$1:$FF$1,0)-1)=TRUE),0,OFFSET(Ottone!$F$1,MATCH(H812,Ottone!$A:$A,0)-1,MATCH(I812,Ottone!$F$1:$FF$1,0)-1))*IF(E812="Ottone",1,0),4)</f>
        <v>0</v>
      </c>
      <c r="R812" s="446">
        <f ca="1">ROUND(IF(ISERROR(OFFSET(Rame!$F$1,MATCH(H812,Rame!$F:$F,0)-1,MATCH(I812,Rame!$F$1:$FF$1,0)-1)=TRUE),0,OFFSET(Rame!$F$1,MATCH(H812,Rame!$F:$F,0)-1,MATCH(I812,Rame!$F$1:$FF$1,0)-1))*IF(E812="Rame",1,0),4)</f>
        <v>0</v>
      </c>
      <c r="S812" s="446">
        <f ca="1">ROUND(IF(ISERROR(OFFSET(Bronzo!$A$1,MATCH(H812,Bronzo!$A:$A,0)-1,MATCH(I812,Bronzo!$A$1:$AA$1,0)-1)=TRUE),0,OFFSET(Bronzo!$A$1,MATCH(H812,Bronzo!$A:$A,0)-1,MATCH(I812,Bronzo!$A$1:$AA$1,0)-1)),4)</f>
        <v>0</v>
      </c>
      <c r="T812" s="446">
        <f t="shared" ca="1" si="210"/>
        <v>0</v>
      </c>
      <c r="U812" s="443"/>
      <c r="V812" s="446">
        <v>0</v>
      </c>
      <c r="W812" s="449">
        <f t="shared" ca="1" si="211"/>
        <v>0</v>
      </c>
      <c r="X812" s="452">
        <f t="shared" si="209"/>
        <v>0</v>
      </c>
      <c r="Y812" s="440"/>
      <c r="Z812" s="440">
        <f t="shared" ca="1" si="212"/>
        <v>0</v>
      </c>
      <c r="AA812" s="241"/>
      <c r="AH812" s="242"/>
    </row>
    <row r="813" spans="2:34" ht="15.75" x14ac:dyDescent="0.25">
      <c r="B813" s="229"/>
      <c r="C813" s="235"/>
      <c r="D813" s="243"/>
      <c r="E813" s="232"/>
      <c r="F813" s="435"/>
      <c r="G813" s="234"/>
      <c r="H813" s="235"/>
      <c r="I813" s="235"/>
      <c r="J813" s="440"/>
      <c r="K813" s="443">
        <f ca="1">ROUND(IF(ISERROR(OFFSET(Tabella!$A$1,MATCH(H813,Tabella!$A:$A,0)-1,MATCH(J813,Tabella!$A$1:$AC$1,0)-1)=TRUE),0,+OFFSET(Tabella!$A$1,MATCH(H813,Tabella!$A:$A,0)-1,MATCH(J813,Tabella!$A$1:$AC$1,0)-1)),4)</f>
        <v>0</v>
      </c>
      <c r="L813" s="446">
        <f ca="1">ROUND(IF(ISERROR(OFFSET(Ottone!$A$1,MATCH(H813,Ottone!$A:$A,0)-1,MATCH(J813,Ottone!$A$1:$Z$1,0)-1)=TRUE),0,OFFSET(Ottone!$A$1,MATCH(H813,Ottone!$A:$A,0)-1,MATCH(J813,Ottone!$A$1:$Z$1,0)-1))*IF(E813="Ottone",1,0),4)</f>
        <v>0</v>
      </c>
      <c r="M813" s="446">
        <f ca="1">ROUND(IF(ISERROR(OFFSET(Rame!$A$1,MATCH(H813,Rame!$A:$A,0)-1,MATCH(J813,Rame!$A$1:$AA$1,0)-1)=TRUE),0,OFFSET(Rame!$A$1,MATCH(H813,Rame!$A:$A,0)-1,MATCH(J813,Rame!$A$1:$AA$1,0)-1))*IF(E813="Rame",1,0),4)</f>
        <v>0</v>
      </c>
      <c r="N813" s="446">
        <v>0</v>
      </c>
      <c r="O813" s="446">
        <f t="shared" ca="1" si="213"/>
        <v>0</v>
      </c>
      <c r="P813" s="446">
        <f ca="1">ROUND(+IF(ISERROR(OFFSET(Tabella!$G$1,MATCH(H813,Tabella!$G:$G,0)-1,MATCH(I813,Tabella!$G$1:$FG$1,0)-1)=TRUE),0,OFFSET(Tabella!$G$1,MATCH(H813,Tabella!$G:$G,0)-1,MATCH(I813,Tabella!$G$1:$AB$1,0)-1)),4)</f>
        <v>0</v>
      </c>
      <c r="Q813" s="446">
        <f ca="1">ROUND(IF(ISERROR(OFFSET(Ottone!$F$1,MATCH(H813,Ottone!$A:$A,0)-1,MATCH(I813,Ottone!$F$1:$FF$1,0)-1)=TRUE),0,OFFSET(Ottone!$F$1,MATCH(H813,Ottone!$A:$A,0)-1,MATCH(I813,Ottone!$F$1:$FF$1,0)-1))*IF(E813="Ottone",1,0),4)</f>
        <v>0</v>
      </c>
      <c r="R813" s="446">
        <f ca="1">ROUND(IF(ISERROR(OFFSET(Rame!$F$1,MATCH(H813,Rame!$F:$F,0)-1,MATCH(I813,Rame!$F$1:$FF$1,0)-1)=TRUE),0,OFFSET(Rame!$F$1,MATCH(H813,Rame!$F:$F,0)-1,MATCH(I813,Rame!$F$1:$FF$1,0)-1))*IF(E813="Rame",1,0),4)</f>
        <v>0</v>
      </c>
      <c r="S813" s="446">
        <f ca="1">ROUND(IF(ISERROR(OFFSET(Bronzo!$A$1,MATCH(H813,Bronzo!$A:$A,0)-1,MATCH(I813,Bronzo!$A$1:$AA$1,0)-1)=TRUE),0,OFFSET(Bronzo!$A$1,MATCH(H813,Bronzo!$A:$A,0)-1,MATCH(I813,Bronzo!$A$1:$AA$1,0)-1)),4)</f>
        <v>0</v>
      </c>
      <c r="T813" s="446">
        <f t="shared" ca="1" si="210"/>
        <v>0</v>
      </c>
      <c r="U813" s="443"/>
      <c r="V813" s="446">
        <v>0</v>
      </c>
      <c r="W813" s="449">
        <f t="shared" ca="1" si="211"/>
        <v>0</v>
      </c>
      <c r="X813" s="452">
        <f t="shared" si="209"/>
        <v>0</v>
      </c>
      <c r="Y813" s="440"/>
      <c r="Z813" s="440">
        <f t="shared" ca="1" si="212"/>
        <v>0</v>
      </c>
      <c r="AA813" s="241"/>
      <c r="AH813" s="242"/>
    </row>
    <row r="814" spans="2:34" ht="15.75" x14ac:dyDescent="0.25">
      <c r="B814" s="229"/>
      <c r="C814" s="235"/>
      <c r="D814" s="243"/>
      <c r="E814" s="232"/>
      <c r="F814" s="435"/>
      <c r="G814" s="234"/>
      <c r="H814" s="235"/>
      <c r="I814" s="235"/>
      <c r="J814" s="440"/>
      <c r="K814" s="443">
        <f ca="1">ROUND(IF(ISERROR(OFFSET(Tabella!$A$1,MATCH(H814,Tabella!$A:$A,0)-1,MATCH(J814,Tabella!$A$1:$AC$1,0)-1)=TRUE),0,+OFFSET(Tabella!$A$1,MATCH(H814,Tabella!$A:$A,0)-1,MATCH(J814,Tabella!$A$1:$AC$1,0)-1)),4)</f>
        <v>0</v>
      </c>
      <c r="L814" s="446">
        <f ca="1">ROUND(IF(ISERROR(OFFSET(Ottone!$A$1,MATCH(H814,Ottone!$A:$A,0)-1,MATCH(J814,Ottone!$A$1:$Z$1,0)-1)=TRUE),0,OFFSET(Ottone!$A$1,MATCH(H814,Ottone!$A:$A,0)-1,MATCH(J814,Ottone!$A$1:$Z$1,0)-1))*IF(E814="Ottone",1,0),4)</f>
        <v>0</v>
      </c>
      <c r="M814" s="446">
        <f ca="1">ROUND(IF(ISERROR(OFFSET(Rame!$A$1,MATCH(H814,Rame!$A:$A,0)-1,MATCH(J814,Rame!$A$1:$AA$1,0)-1)=TRUE),0,OFFSET(Rame!$A$1,MATCH(H814,Rame!$A:$A,0)-1,MATCH(J814,Rame!$A$1:$AA$1,0)-1))*IF(E814="Rame",1,0),4)</f>
        <v>0</v>
      </c>
      <c r="N814" s="446">
        <v>0</v>
      </c>
      <c r="O814" s="446">
        <f t="shared" ca="1" si="213"/>
        <v>0</v>
      </c>
      <c r="P814" s="446">
        <f ca="1">ROUND(+IF(ISERROR(OFFSET(Tabella!$G$1,MATCH(H814,Tabella!$G:$G,0)-1,MATCH(I814,Tabella!$G$1:$FG$1,0)-1)=TRUE),0,OFFSET(Tabella!$G$1,MATCH(H814,Tabella!$G:$G,0)-1,MATCH(I814,Tabella!$G$1:$AB$1,0)-1)),4)</f>
        <v>0</v>
      </c>
      <c r="Q814" s="446">
        <f ca="1">ROUND(IF(ISERROR(OFFSET(Ottone!$F$1,MATCH(H814,Ottone!$A:$A,0)-1,MATCH(I814,Ottone!$F$1:$FF$1,0)-1)=TRUE),0,OFFSET(Ottone!$F$1,MATCH(H814,Ottone!$A:$A,0)-1,MATCH(I814,Ottone!$F$1:$FF$1,0)-1))*IF(E814="Ottone",1,0),4)</f>
        <v>0</v>
      </c>
      <c r="R814" s="446">
        <f ca="1">ROUND(IF(ISERROR(OFFSET(Rame!$F$1,MATCH(H814,Rame!$F:$F,0)-1,MATCH(I814,Rame!$F$1:$FF$1,0)-1)=TRUE),0,OFFSET(Rame!$F$1,MATCH(H814,Rame!$F:$F,0)-1,MATCH(I814,Rame!$F$1:$FF$1,0)-1))*IF(E814="Rame",1,0),4)</f>
        <v>0</v>
      </c>
      <c r="S814" s="446">
        <f ca="1">ROUND(IF(ISERROR(OFFSET(Bronzo!$A$1,MATCH(H814,Bronzo!$A:$A,0)-1,MATCH(I814,Bronzo!$A$1:$AA$1,0)-1)=TRUE),0,OFFSET(Bronzo!$A$1,MATCH(H814,Bronzo!$A:$A,0)-1,MATCH(I814,Bronzo!$A$1:$AA$1,0)-1)),4)</f>
        <v>0</v>
      </c>
      <c r="T814" s="446">
        <f t="shared" ca="1" si="210"/>
        <v>0</v>
      </c>
      <c r="U814" s="443"/>
      <c r="V814" s="446">
        <v>0</v>
      </c>
      <c r="W814" s="449">
        <f t="shared" ca="1" si="211"/>
        <v>0</v>
      </c>
      <c r="X814" s="452">
        <f t="shared" si="209"/>
        <v>0</v>
      </c>
      <c r="Y814" s="440"/>
      <c r="Z814" s="440">
        <f t="shared" ca="1" si="212"/>
        <v>0</v>
      </c>
      <c r="AA814" s="241"/>
      <c r="AH814" s="242"/>
    </row>
    <row r="815" spans="2:34" ht="15.75" x14ac:dyDescent="0.25">
      <c r="B815" s="229"/>
      <c r="C815" s="235"/>
      <c r="D815" s="243"/>
      <c r="E815" s="232"/>
      <c r="F815" s="435"/>
      <c r="G815" s="234"/>
      <c r="H815" s="235"/>
      <c r="I815" s="235"/>
      <c r="J815" s="440"/>
      <c r="K815" s="443">
        <f ca="1">ROUND(IF(ISERROR(OFFSET(Tabella!$A$1,MATCH(H815,Tabella!$A:$A,0)-1,MATCH(J815,Tabella!$A$1:$AC$1,0)-1)=TRUE),0,+OFFSET(Tabella!$A$1,MATCH(H815,Tabella!$A:$A,0)-1,MATCH(J815,Tabella!$A$1:$AC$1,0)-1)),4)</f>
        <v>0</v>
      </c>
      <c r="L815" s="446">
        <f ca="1">ROUND(IF(ISERROR(OFFSET(Ottone!$A$1,MATCH(H815,Ottone!$A:$A,0)-1,MATCH(J815,Ottone!$A$1:$Z$1,0)-1)=TRUE),0,OFFSET(Ottone!$A$1,MATCH(H815,Ottone!$A:$A,0)-1,MATCH(J815,Ottone!$A$1:$Z$1,0)-1))*IF(E815="Ottone",1,0),4)</f>
        <v>0</v>
      </c>
      <c r="M815" s="446">
        <f ca="1">ROUND(IF(ISERROR(OFFSET(Rame!$A$1,MATCH(H815,Rame!$A:$A,0)-1,MATCH(J815,Rame!$A$1:$AA$1,0)-1)=TRUE),0,OFFSET(Rame!$A$1,MATCH(H815,Rame!$A:$A,0)-1,MATCH(J815,Rame!$A$1:$AA$1,0)-1))*IF(E815="Rame",1,0),4)</f>
        <v>0</v>
      </c>
      <c r="N815" s="446">
        <v>0</v>
      </c>
      <c r="O815" s="446">
        <f t="shared" ca="1" si="213"/>
        <v>0</v>
      </c>
      <c r="P815" s="446">
        <f ca="1">ROUND(+IF(ISERROR(OFFSET(Tabella!$G$1,MATCH(H815,Tabella!$G:$G,0)-1,MATCH(I815,Tabella!$G$1:$FG$1,0)-1)=TRUE),0,OFFSET(Tabella!$G$1,MATCH(H815,Tabella!$G:$G,0)-1,MATCH(I815,Tabella!$G$1:$AB$1,0)-1)),4)</f>
        <v>0</v>
      </c>
      <c r="Q815" s="446">
        <f ca="1">ROUND(IF(ISERROR(OFFSET(Ottone!$F$1,MATCH(H815,Ottone!$A:$A,0)-1,MATCH(I815,Ottone!$F$1:$FF$1,0)-1)=TRUE),0,OFFSET(Ottone!$F$1,MATCH(H815,Ottone!$A:$A,0)-1,MATCH(I815,Ottone!$F$1:$FF$1,0)-1))*IF(E815="Ottone",1,0),4)</f>
        <v>0</v>
      </c>
      <c r="R815" s="446">
        <f ca="1">ROUND(IF(ISERROR(OFFSET(Rame!$F$1,MATCH(H815,Rame!$F:$F,0)-1,MATCH(I815,Rame!$F$1:$FF$1,0)-1)=TRUE),0,OFFSET(Rame!$F$1,MATCH(H815,Rame!$F:$F,0)-1,MATCH(I815,Rame!$F$1:$FF$1,0)-1))*IF(E815="Rame",1,0),4)</f>
        <v>0</v>
      </c>
      <c r="S815" s="446">
        <f ca="1">ROUND(IF(ISERROR(OFFSET(Bronzo!$A$1,MATCH(H815,Bronzo!$A:$A,0)-1,MATCH(I815,Bronzo!$A$1:$AA$1,0)-1)=TRUE),0,OFFSET(Bronzo!$A$1,MATCH(H815,Bronzo!$A:$A,0)-1,MATCH(I815,Bronzo!$A$1:$AA$1,0)-1)),4)</f>
        <v>0</v>
      </c>
      <c r="T815" s="446">
        <f t="shared" ca="1" si="210"/>
        <v>0</v>
      </c>
      <c r="U815" s="443"/>
      <c r="V815" s="446">
        <v>0</v>
      </c>
      <c r="W815" s="449">
        <f t="shared" ca="1" si="211"/>
        <v>0</v>
      </c>
      <c r="X815" s="452">
        <f t="shared" si="209"/>
        <v>0</v>
      </c>
      <c r="Y815" s="440"/>
      <c r="Z815" s="440">
        <f t="shared" ca="1" si="212"/>
        <v>0</v>
      </c>
      <c r="AA815" s="241"/>
      <c r="AH815" s="242"/>
    </row>
    <row r="816" spans="2:34" ht="15.75" x14ac:dyDescent="0.25">
      <c r="B816" s="229"/>
      <c r="C816" s="235"/>
      <c r="D816" s="243"/>
      <c r="E816" s="232"/>
      <c r="F816" s="435"/>
      <c r="G816" s="234"/>
      <c r="H816" s="235"/>
      <c r="I816" s="235"/>
      <c r="J816" s="440"/>
      <c r="K816" s="443">
        <f ca="1">ROUND(IF(ISERROR(OFFSET(Tabella!$A$1,MATCH(H816,Tabella!$A:$A,0)-1,MATCH(J816,Tabella!$A$1:$AC$1,0)-1)=TRUE),0,+OFFSET(Tabella!$A$1,MATCH(H816,Tabella!$A:$A,0)-1,MATCH(J816,Tabella!$A$1:$AC$1,0)-1)),4)</f>
        <v>0</v>
      </c>
      <c r="L816" s="446">
        <f ca="1">ROUND(IF(ISERROR(OFFSET(Ottone!$A$1,MATCH(H816,Ottone!$A:$A,0)-1,MATCH(J816,Ottone!$A$1:$Z$1,0)-1)=TRUE),0,OFFSET(Ottone!$A$1,MATCH(H816,Ottone!$A:$A,0)-1,MATCH(J816,Ottone!$A$1:$Z$1,0)-1))*IF(E816="Ottone",1,0),4)</f>
        <v>0</v>
      </c>
      <c r="M816" s="446">
        <f ca="1">ROUND(IF(ISERROR(OFFSET(Rame!$A$1,MATCH(H816,Rame!$A:$A,0)-1,MATCH(J816,Rame!$A$1:$AA$1,0)-1)=TRUE),0,OFFSET(Rame!$A$1,MATCH(H816,Rame!$A:$A,0)-1,MATCH(J816,Rame!$A$1:$AA$1,0)-1))*IF(E816="Rame",1,0),4)</f>
        <v>0</v>
      </c>
      <c r="N816" s="446">
        <v>0</v>
      </c>
      <c r="O816" s="446">
        <f t="shared" ca="1" si="213"/>
        <v>0</v>
      </c>
      <c r="P816" s="446">
        <f ca="1">ROUND(+IF(ISERROR(OFFSET(Tabella!$G$1,MATCH(H816,Tabella!$G:$G,0)-1,MATCH(I816,Tabella!$G$1:$FG$1,0)-1)=TRUE),0,OFFSET(Tabella!$G$1,MATCH(H816,Tabella!$G:$G,0)-1,MATCH(I816,Tabella!$G$1:$AB$1,0)-1)),4)</f>
        <v>0</v>
      </c>
      <c r="Q816" s="446">
        <f ca="1">ROUND(IF(ISERROR(OFFSET(Ottone!$F$1,MATCH(H816,Ottone!$A:$A,0)-1,MATCH(I816,Ottone!$F$1:$FF$1,0)-1)=TRUE),0,OFFSET(Ottone!$F$1,MATCH(H816,Ottone!$A:$A,0)-1,MATCH(I816,Ottone!$F$1:$FF$1,0)-1))*IF(E816="Ottone",1,0),4)</f>
        <v>0</v>
      </c>
      <c r="R816" s="446">
        <f ca="1">ROUND(IF(ISERROR(OFFSET(Rame!$F$1,MATCH(H816,Rame!$F:$F,0)-1,MATCH(I816,Rame!$F$1:$FF$1,0)-1)=TRUE),0,OFFSET(Rame!$F$1,MATCH(H816,Rame!$F:$F,0)-1,MATCH(I816,Rame!$F$1:$FF$1,0)-1))*IF(E816="Rame",1,0),4)</f>
        <v>0</v>
      </c>
      <c r="S816" s="446">
        <f ca="1">ROUND(IF(ISERROR(OFFSET(Bronzo!$A$1,MATCH(H816,Bronzo!$A:$A,0)-1,MATCH(I816,Bronzo!$A$1:$AA$1,0)-1)=TRUE),0,OFFSET(Bronzo!$A$1,MATCH(H816,Bronzo!$A:$A,0)-1,MATCH(I816,Bronzo!$A$1:$AA$1,0)-1)),4)</f>
        <v>0</v>
      </c>
      <c r="T816" s="446">
        <f t="shared" ca="1" si="210"/>
        <v>0</v>
      </c>
      <c r="U816" s="443"/>
      <c r="V816" s="446">
        <v>0</v>
      </c>
      <c r="W816" s="449">
        <f t="shared" ca="1" si="211"/>
        <v>0</v>
      </c>
      <c r="X816" s="452">
        <f t="shared" si="209"/>
        <v>0</v>
      </c>
      <c r="Y816" s="440"/>
      <c r="Z816" s="440">
        <f t="shared" ca="1" si="212"/>
        <v>0</v>
      </c>
      <c r="AA816" s="241"/>
      <c r="AH816" s="242"/>
    </row>
    <row r="817" spans="2:34" ht="15.75" x14ac:dyDescent="0.25">
      <c r="B817" s="229"/>
      <c r="C817" s="235"/>
      <c r="D817" s="243"/>
      <c r="E817" s="232"/>
      <c r="F817" s="435"/>
      <c r="G817" s="234"/>
      <c r="H817" s="235"/>
      <c r="I817" s="235"/>
      <c r="J817" s="440"/>
      <c r="K817" s="443">
        <f ca="1">ROUND(IF(ISERROR(OFFSET(Tabella!$A$1,MATCH(H817,Tabella!$A:$A,0)-1,MATCH(J817,Tabella!$A$1:$AC$1,0)-1)=TRUE),0,+OFFSET(Tabella!$A$1,MATCH(H817,Tabella!$A:$A,0)-1,MATCH(J817,Tabella!$A$1:$AC$1,0)-1)),4)</f>
        <v>0</v>
      </c>
      <c r="L817" s="446">
        <f ca="1">ROUND(IF(ISERROR(OFFSET(Ottone!$A$1,MATCH(H817,Ottone!$A:$A,0)-1,MATCH(J817,Ottone!$A$1:$Z$1,0)-1)=TRUE),0,OFFSET(Ottone!$A$1,MATCH(H817,Ottone!$A:$A,0)-1,MATCH(J817,Ottone!$A$1:$Z$1,0)-1))*IF(E817="Ottone",1,0),4)</f>
        <v>0</v>
      </c>
      <c r="M817" s="446">
        <f ca="1">ROUND(IF(ISERROR(OFFSET(Rame!$A$1,MATCH(H817,Rame!$A:$A,0)-1,MATCH(J817,Rame!$A$1:$AA$1,0)-1)=TRUE),0,OFFSET(Rame!$A$1,MATCH(H817,Rame!$A:$A,0)-1,MATCH(J817,Rame!$A$1:$AA$1,0)-1))*IF(E817="Rame",1,0),4)</f>
        <v>0</v>
      </c>
      <c r="N817" s="446">
        <v>0</v>
      </c>
      <c r="O817" s="446">
        <f t="shared" ca="1" si="213"/>
        <v>0</v>
      </c>
      <c r="P817" s="446">
        <f ca="1">ROUND(+IF(ISERROR(OFFSET(Tabella!$G$1,MATCH(H817,Tabella!$G:$G,0)-1,MATCH(I817,Tabella!$G$1:$FG$1,0)-1)=TRUE),0,OFFSET(Tabella!$G$1,MATCH(H817,Tabella!$G:$G,0)-1,MATCH(I817,Tabella!$G$1:$AB$1,0)-1)),4)</f>
        <v>0</v>
      </c>
      <c r="Q817" s="446">
        <f ca="1">ROUND(IF(ISERROR(OFFSET(Ottone!$F$1,MATCH(H817,Ottone!$A:$A,0)-1,MATCH(I817,Ottone!$F$1:$FF$1,0)-1)=TRUE),0,OFFSET(Ottone!$F$1,MATCH(H817,Ottone!$A:$A,0)-1,MATCH(I817,Ottone!$F$1:$FF$1,0)-1))*IF(E817="Ottone",1,0),4)</f>
        <v>0</v>
      </c>
      <c r="R817" s="446">
        <f ca="1">ROUND(IF(ISERROR(OFFSET(Rame!$F$1,MATCH(H817,Rame!$F:$F,0)-1,MATCH(I817,Rame!$F$1:$FF$1,0)-1)=TRUE),0,OFFSET(Rame!$F$1,MATCH(H817,Rame!$F:$F,0)-1,MATCH(I817,Rame!$F$1:$FF$1,0)-1))*IF(E817="Rame",1,0),4)</f>
        <v>0</v>
      </c>
      <c r="S817" s="446">
        <f ca="1">ROUND(IF(ISERROR(OFFSET(Bronzo!$A$1,MATCH(H817,Bronzo!$A:$A,0)-1,MATCH(I817,Bronzo!$A$1:$AA$1,0)-1)=TRUE),0,OFFSET(Bronzo!$A$1,MATCH(H817,Bronzo!$A:$A,0)-1,MATCH(I817,Bronzo!$A$1:$AA$1,0)-1)),4)</f>
        <v>0</v>
      </c>
      <c r="T817" s="446">
        <f t="shared" ca="1" si="210"/>
        <v>0</v>
      </c>
      <c r="U817" s="443"/>
      <c r="V817" s="446">
        <v>0</v>
      </c>
      <c r="W817" s="449">
        <f t="shared" ca="1" si="211"/>
        <v>0</v>
      </c>
      <c r="X817" s="452">
        <f t="shared" si="209"/>
        <v>0</v>
      </c>
      <c r="Y817" s="440"/>
      <c r="Z817" s="440">
        <f t="shared" ca="1" si="212"/>
        <v>0</v>
      </c>
      <c r="AA817" s="241"/>
      <c r="AH817" s="242"/>
    </row>
    <row r="818" spans="2:34" ht="15.75" x14ac:dyDescent="0.25">
      <c r="B818" s="229"/>
      <c r="C818" s="235"/>
      <c r="D818" s="243"/>
      <c r="E818" s="232"/>
      <c r="F818" s="435"/>
      <c r="G818" s="234"/>
      <c r="H818" s="235"/>
      <c r="I818" s="235"/>
      <c r="J818" s="440"/>
      <c r="K818" s="443">
        <f ca="1">ROUND(IF(ISERROR(OFFSET(Tabella!$A$1,MATCH(H818,Tabella!$A:$A,0)-1,MATCH(J818,Tabella!$A$1:$AC$1,0)-1)=TRUE),0,+OFFSET(Tabella!$A$1,MATCH(H818,Tabella!$A:$A,0)-1,MATCH(J818,Tabella!$A$1:$AC$1,0)-1)),4)</f>
        <v>0</v>
      </c>
      <c r="L818" s="446">
        <f ca="1">ROUND(IF(ISERROR(OFFSET(Ottone!$A$1,MATCH(H818,Ottone!$A:$A,0)-1,MATCH(J818,Ottone!$A$1:$Z$1,0)-1)=TRUE),0,OFFSET(Ottone!$A$1,MATCH(H818,Ottone!$A:$A,0)-1,MATCH(J818,Ottone!$A$1:$Z$1,0)-1))*IF(E818="Ottone",1,0),4)</f>
        <v>0</v>
      </c>
      <c r="M818" s="446">
        <f ca="1">ROUND(IF(ISERROR(OFFSET(Rame!$A$1,MATCH(H818,Rame!$A:$A,0)-1,MATCH(J818,Rame!$A$1:$AA$1,0)-1)=TRUE),0,OFFSET(Rame!$A$1,MATCH(H818,Rame!$A:$A,0)-1,MATCH(J818,Rame!$A$1:$AA$1,0)-1))*IF(E818="Rame",1,0),4)</f>
        <v>0</v>
      </c>
      <c r="N818" s="446">
        <v>0</v>
      </c>
      <c r="O818" s="446">
        <f t="shared" ca="1" si="213"/>
        <v>0</v>
      </c>
      <c r="P818" s="446">
        <f ca="1">ROUND(+IF(ISERROR(OFFSET(Tabella!$G$1,MATCH(H818,Tabella!$G:$G,0)-1,MATCH(I818,Tabella!$G$1:$FG$1,0)-1)=TRUE),0,OFFSET(Tabella!$G$1,MATCH(H818,Tabella!$G:$G,0)-1,MATCH(I818,Tabella!$G$1:$AB$1,0)-1)),4)</f>
        <v>0</v>
      </c>
      <c r="Q818" s="446">
        <f ca="1">ROUND(IF(ISERROR(OFFSET(Ottone!$F$1,MATCH(H818,Ottone!$A:$A,0)-1,MATCH(I818,Ottone!$F$1:$FF$1,0)-1)=TRUE),0,OFFSET(Ottone!$F$1,MATCH(H818,Ottone!$A:$A,0)-1,MATCH(I818,Ottone!$F$1:$FF$1,0)-1))*IF(E818="Ottone",1,0),4)</f>
        <v>0</v>
      </c>
      <c r="R818" s="446">
        <f ca="1">ROUND(IF(ISERROR(OFFSET(Rame!$F$1,MATCH(H818,Rame!$F:$F,0)-1,MATCH(I818,Rame!$F$1:$FF$1,0)-1)=TRUE),0,OFFSET(Rame!$F$1,MATCH(H818,Rame!$F:$F,0)-1,MATCH(I818,Rame!$F$1:$FF$1,0)-1))*IF(E818="Rame",1,0),4)</f>
        <v>0</v>
      </c>
      <c r="S818" s="446">
        <f ca="1">ROUND(IF(ISERROR(OFFSET(Bronzo!$A$1,MATCH(H818,Bronzo!$A:$A,0)-1,MATCH(I818,Bronzo!$A$1:$AA$1,0)-1)=TRUE),0,OFFSET(Bronzo!$A$1,MATCH(H818,Bronzo!$A:$A,0)-1,MATCH(I818,Bronzo!$A$1:$AA$1,0)-1)),4)</f>
        <v>0</v>
      </c>
      <c r="T818" s="446">
        <f t="shared" ca="1" si="210"/>
        <v>0</v>
      </c>
      <c r="U818" s="443"/>
      <c r="V818" s="446">
        <v>0</v>
      </c>
      <c r="W818" s="449">
        <f t="shared" ca="1" si="211"/>
        <v>0</v>
      </c>
      <c r="X818" s="452">
        <f t="shared" si="209"/>
        <v>0</v>
      </c>
      <c r="Y818" s="440"/>
      <c r="Z818" s="440">
        <f t="shared" ca="1" si="212"/>
        <v>0</v>
      </c>
      <c r="AA818" s="241"/>
      <c r="AH818" s="242"/>
    </row>
    <row r="819" spans="2:34" ht="15.75" x14ac:dyDescent="0.25">
      <c r="B819" s="229"/>
      <c r="C819" s="235"/>
      <c r="D819" s="243"/>
      <c r="E819" s="232"/>
      <c r="F819" s="435"/>
      <c r="G819" s="234"/>
      <c r="H819" s="235"/>
      <c r="I819" s="235"/>
      <c r="J819" s="440"/>
      <c r="K819" s="443">
        <f ca="1">ROUND(IF(ISERROR(OFFSET(Tabella!$A$1,MATCH(H819,Tabella!$A:$A,0)-1,MATCH(J819,Tabella!$A$1:$AC$1,0)-1)=TRUE),0,+OFFSET(Tabella!$A$1,MATCH(H819,Tabella!$A:$A,0)-1,MATCH(J819,Tabella!$A$1:$AC$1,0)-1)),4)</f>
        <v>0</v>
      </c>
      <c r="L819" s="446">
        <f ca="1">ROUND(IF(ISERROR(OFFSET(Ottone!$A$1,MATCH(H819,Ottone!$A:$A,0)-1,MATCH(J819,Ottone!$A$1:$Z$1,0)-1)=TRUE),0,OFFSET(Ottone!$A$1,MATCH(H819,Ottone!$A:$A,0)-1,MATCH(J819,Ottone!$A$1:$Z$1,0)-1))*IF(E819="Ottone",1,0),4)</f>
        <v>0</v>
      </c>
      <c r="M819" s="446">
        <f ca="1">ROUND(IF(ISERROR(OFFSET(Rame!$A$1,MATCH(H819,Rame!$A:$A,0)-1,MATCH(J819,Rame!$A$1:$AA$1,0)-1)=TRUE),0,OFFSET(Rame!$A$1,MATCH(H819,Rame!$A:$A,0)-1,MATCH(J819,Rame!$A$1:$AA$1,0)-1))*IF(E819="Rame",1,0),4)</f>
        <v>0</v>
      </c>
      <c r="N819" s="446">
        <v>0</v>
      </c>
      <c r="O819" s="446">
        <f t="shared" ca="1" si="213"/>
        <v>0</v>
      </c>
      <c r="P819" s="446">
        <f ca="1">ROUND(+IF(ISERROR(OFFSET(Tabella!$G$1,MATCH(H819,Tabella!$G:$G,0)-1,MATCH(I819,Tabella!$G$1:$FG$1,0)-1)=TRUE),0,OFFSET(Tabella!$G$1,MATCH(H819,Tabella!$G:$G,0)-1,MATCH(I819,Tabella!$G$1:$AB$1,0)-1)),4)</f>
        <v>0</v>
      </c>
      <c r="Q819" s="446">
        <f ca="1">ROUND(IF(ISERROR(OFFSET(Ottone!$F$1,MATCH(H819,Ottone!$A:$A,0)-1,MATCH(I819,Ottone!$F$1:$FF$1,0)-1)=TRUE),0,OFFSET(Ottone!$F$1,MATCH(H819,Ottone!$A:$A,0)-1,MATCH(I819,Ottone!$F$1:$FF$1,0)-1))*IF(E819="Ottone",1,0),4)</f>
        <v>0</v>
      </c>
      <c r="R819" s="446">
        <f ca="1">ROUND(IF(ISERROR(OFFSET(Rame!$F$1,MATCH(H819,Rame!$F:$F,0)-1,MATCH(I819,Rame!$F$1:$FF$1,0)-1)=TRUE),0,OFFSET(Rame!$F$1,MATCH(H819,Rame!$F:$F,0)-1,MATCH(I819,Rame!$F$1:$FF$1,0)-1))*IF(E819="Rame",1,0),4)</f>
        <v>0</v>
      </c>
      <c r="S819" s="446">
        <f ca="1">ROUND(IF(ISERROR(OFFSET(Bronzo!$A$1,MATCH(H819,Bronzo!$A:$A,0)-1,MATCH(I819,Bronzo!$A$1:$AA$1,0)-1)=TRUE),0,OFFSET(Bronzo!$A$1,MATCH(H819,Bronzo!$A:$A,0)-1,MATCH(I819,Bronzo!$A$1:$AA$1,0)-1)),4)</f>
        <v>0</v>
      </c>
      <c r="T819" s="446">
        <f t="shared" ca="1" si="210"/>
        <v>0</v>
      </c>
      <c r="U819" s="443"/>
      <c r="V819" s="446">
        <v>0</v>
      </c>
      <c r="W819" s="449">
        <f t="shared" ca="1" si="211"/>
        <v>0</v>
      </c>
      <c r="X819" s="452">
        <f t="shared" si="209"/>
        <v>0</v>
      </c>
      <c r="Y819" s="440"/>
      <c r="Z819" s="440">
        <f t="shared" ca="1" si="212"/>
        <v>0</v>
      </c>
      <c r="AA819" s="241"/>
      <c r="AH819" s="242"/>
    </row>
    <row r="820" spans="2:34" ht="15.75" x14ac:dyDescent="0.25">
      <c r="B820" s="229"/>
      <c r="C820" s="235"/>
      <c r="D820" s="243"/>
      <c r="E820" s="232"/>
      <c r="F820" s="435"/>
      <c r="G820" s="234"/>
      <c r="H820" s="235"/>
      <c r="I820" s="235"/>
      <c r="J820" s="440"/>
      <c r="K820" s="443">
        <f ca="1">ROUND(IF(ISERROR(OFFSET(Tabella!$A$1,MATCH(H820,Tabella!$A:$A,0)-1,MATCH(J820,Tabella!$A$1:$AC$1,0)-1)=TRUE),0,+OFFSET(Tabella!$A$1,MATCH(H820,Tabella!$A:$A,0)-1,MATCH(J820,Tabella!$A$1:$AC$1,0)-1)),4)</f>
        <v>0</v>
      </c>
      <c r="L820" s="446">
        <f ca="1">ROUND(IF(ISERROR(OFFSET(Ottone!$A$1,MATCH(H820,Ottone!$A:$A,0)-1,MATCH(J820,Ottone!$A$1:$Z$1,0)-1)=TRUE),0,OFFSET(Ottone!$A$1,MATCH(H820,Ottone!$A:$A,0)-1,MATCH(J820,Ottone!$A$1:$Z$1,0)-1))*IF(E820="Ottone",1,0),4)</f>
        <v>0</v>
      </c>
      <c r="M820" s="446">
        <f ca="1">ROUND(IF(ISERROR(OFFSET(Rame!$A$1,MATCH(H820,Rame!$A:$A,0)-1,MATCH(J820,Rame!$A$1:$AA$1,0)-1)=TRUE),0,OFFSET(Rame!$A$1,MATCH(H820,Rame!$A:$A,0)-1,MATCH(J820,Rame!$A$1:$AA$1,0)-1))*IF(E820="Rame",1,0),4)</f>
        <v>0</v>
      </c>
      <c r="N820" s="446">
        <v>0</v>
      </c>
      <c r="O820" s="446">
        <f t="shared" ca="1" si="213"/>
        <v>0</v>
      </c>
      <c r="P820" s="446">
        <f ca="1">ROUND(+IF(ISERROR(OFFSET(Tabella!$G$1,MATCH(H820,Tabella!$G:$G,0)-1,MATCH(I820,Tabella!$G$1:$FG$1,0)-1)=TRUE),0,OFFSET(Tabella!$G$1,MATCH(H820,Tabella!$G:$G,0)-1,MATCH(I820,Tabella!$G$1:$AB$1,0)-1)),4)</f>
        <v>0</v>
      </c>
      <c r="Q820" s="446">
        <f ca="1">ROUND(IF(ISERROR(OFFSET(Ottone!$F$1,MATCH(H820,Ottone!$A:$A,0)-1,MATCH(I820,Ottone!$F$1:$FF$1,0)-1)=TRUE),0,OFFSET(Ottone!$F$1,MATCH(H820,Ottone!$A:$A,0)-1,MATCH(I820,Ottone!$F$1:$FF$1,0)-1))*IF(E820="Ottone",1,0),4)</f>
        <v>0</v>
      </c>
      <c r="R820" s="446">
        <f ca="1">ROUND(IF(ISERROR(OFFSET(Rame!$F$1,MATCH(H820,Rame!$F:$F,0)-1,MATCH(I820,Rame!$F$1:$FF$1,0)-1)=TRUE),0,OFFSET(Rame!$F$1,MATCH(H820,Rame!$F:$F,0)-1,MATCH(I820,Rame!$F$1:$FF$1,0)-1))*IF(E820="Rame",1,0),4)</f>
        <v>0</v>
      </c>
      <c r="S820" s="446">
        <f ca="1">ROUND(IF(ISERROR(OFFSET(Bronzo!$A$1,MATCH(H820,Bronzo!$A:$A,0)-1,MATCH(I820,Bronzo!$A$1:$AA$1,0)-1)=TRUE),0,OFFSET(Bronzo!$A$1,MATCH(H820,Bronzo!$A:$A,0)-1,MATCH(I820,Bronzo!$A$1:$AA$1,0)-1)),4)</f>
        <v>0</v>
      </c>
      <c r="T820" s="446">
        <f t="shared" ca="1" si="210"/>
        <v>0</v>
      </c>
      <c r="U820" s="443"/>
      <c r="V820" s="446">
        <v>0</v>
      </c>
      <c r="W820" s="449">
        <f t="shared" ca="1" si="211"/>
        <v>0</v>
      </c>
      <c r="X820" s="452">
        <f t="shared" si="209"/>
        <v>0</v>
      </c>
      <c r="Y820" s="440"/>
      <c r="Z820" s="440">
        <f t="shared" ca="1" si="212"/>
        <v>0</v>
      </c>
      <c r="AA820" s="241"/>
      <c r="AH820" s="242"/>
    </row>
    <row r="821" spans="2:34" ht="15.75" x14ac:dyDescent="0.25">
      <c r="B821" s="229"/>
      <c r="C821" s="235"/>
      <c r="D821" s="243"/>
      <c r="E821" s="232"/>
      <c r="F821" s="435"/>
      <c r="G821" s="234"/>
      <c r="H821" s="235"/>
      <c r="I821" s="235"/>
      <c r="J821" s="440"/>
      <c r="K821" s="443">
        <f ca="1">ROUND(IF(ISERROR(OFFSET(Tabella!$A$1,MATCH(H821,Tabella!$A:$A,0)-1,MATCH(J821,Tabella!$A$1:$AC$1,0)-1)=TRUE),0,+OFFSET(Tabella!$A$1,MATCH(H821,Tabella!$A:$A,0)-1,MATCH(J821,Tabella!$A$1:$AC$1,0)-1)),4)</f>
        <v>0</v>
      </c>
      <c r="L821" s="446">
        <f ca="1">ROUND(IF(ISERROR(OFFSET(Ottone!$A$1,MATCH(H821,Ottone!$A:$A,0)-1,MATCH(J821,Ottone!$A$1:$Z$1,0)-1)=TRUE),0,OFFSET(Ottone!$A$1,MATCH(H821,Ottone!$A:$A,0)-1,MATCH(J821,Ottone!$A$1:$Z$1,0)-1))*IF(E821="Ottone",1,0),4)</f>
        <v>0</v>
      </c>
      <c r="M821" s="446">
        <f ca="1">ROUND(IF(ISERROR(OFFSET(Rame!$A$1,MATCH(H821,Rame!$A:$A,0)-1,MATCH(J821,Rame!$A$1:$AA$1,0)-1)=TRUE),0,OFFSET(Rame!$A$1,MATCH(H821,Rame!$A:$A,0)-1,MATCH(J821,Rame!$A$1:$AA$1,0)-1))*IF(E821="Rame",1,0),4)</f>
        <v>0</v>
      </c>
      <c r="N821" s="446">
        <v>0</v>
      </c>
      <c r="O821" s="446">
        <f t="shared" ca="1" si="213"/>
        <v>0</v>
      </c>
      <c r="P821" s="446">
        <f ca="1">ROUND(+IF(ISERROR(OFFSET(Tabella!$G$1,MATCH(H821,Tabella!$G:$G,0)-1,MATCH(I821,Tabella!$G$1:$FG$1,0)-1)=TRUE),0,OFFSET(Tabella!$G$1,MATCH(H821,Tabella!$G:$G,0)-1,MATCH(I821,Tabella!$G$1:$AB$1,0)-1)),4)</f>
        <v>0</v>
      </c>
      <c r="Q821" s="446">
        <f ca="1">ROUND(IF(ISERROR(OFFSET(Ottone!$F$1,MATCH(H821,Ottone!$A:$A,0)-1,MATCH(I821,Ottone!$F$1:$FF$1,0)-1)=TRUE),0,OFFSET(Ottone!$F$1,MATCH(H821,Ottone!$A:$A,0)-1,MATCH(I821,Ottone!$F$1:$FF$1,0)-1))*IF(E821="Ottone",1,0),4)</f>
        <v>0</v>
      </c>
      <c r="R821" s="446">
        <f ca="1">ROUND(IF(ISERROR(OFFSET(Rame!$F$1,MATCH(H821,Rame!$F:$F,0)-1,MATCH(I821,Rame!$F$1:$FF$1,0)-1)=TRUE),0,OFFSET(Rame!$F$1,MATCH(H821,Rame!$F:$F,0)-1,MATCH(I821,Rame!$F$1:$FF$1,0)-1))*IF(E821="Rame",1,0),4)</f>
        <v>0</v>
      </c>
      <c r="S821" s="446">
        <f ca="1">ROUND(IF(ISERROR(OFFSET(Bronzo!$A$1,MATCH(H821,Bronzo!$A:$A,0)-1,MATCH(I821,Bronzo!$A$1:$AA$1,0)-1)=TRUE),0,OFFSET(Bronzo!$A$1,MATCH(H821,Bronzo!$A:$A,0)-1,MATCH(I821,Bronzo!$A$1:$AA$1,0)-1)),4)</f>
        <v>0</v>
      </c>
      <c r="T821" s="446">
        <f t="shared" ca="1" si="210"/>
        <v>0</v>
      </c>
      <c r="U821" s="443"/>
      <c r="V821" s="446">
        <v>0</v>
      </c>
      <c r="W821" s="449">
        <f t="shared" ca="1" si="211"/>
        <v>0</v>
      </c>
      <c r="X821" s="452">
        <f t="shared" si="209"/>
        <v>0</v>
      </c>
      <c r="Y821" s="440"/>
      <c r="Z821" s="440">
        <f t="shared" ca="1" si="212"/>
        <v>0</v>
      </c>
      <c r="AA821" s="241"/>
      <c r="AH821" s="242"/>
    </row>
    <row r="822" spans="2:34" ht="15.75" x14ac:dyDescent="0.25">
      <c r="B822" s="229"/>
      <c r="C822" s="235"/>
      <c r="D822" s="243"/>
      <c r="E822" s="232"/>
      <c r="F822" s="435"/>
      <c r="G822" s="234"/>
      <c r="H822" s="235"/>
      <c r="I822" s="235"/>
      <c r="J822" s="440"/>
      <c r="K822" s="443">
        <f ca="1">ROUND(IF(ISERROR(OFFSET(Tabella!$A$1,MATCH(H822,Tabella!$A:$A,0)-1,MATCH(J822,Tabella!$A$1:$AC$1,0)-1)=TRUE),0,+OFFSET(Tabella!$A$1,MATCH(H822,Tabella!$A:$A,0)-1,MATCH(J822,Tabella!$A$1:$AC$1,0)-1)),4)</f>
        <v>0</v>
      </c>
      <c r="L822" s="446">
        <f ca="1">ROUND(IF(ISERROR(OFFSET(Ottone!$A$1,MATCH(H822,Ottone!$A:$A,0)-1,MATCH(J822,Ottone!$A$1:$Z$1,0)-1)=TRUE),0,OFFSET(Ottone!$A$1,MATCH(H822,Ottone!$A:$A,0)-1,MATCH(J822,Ottone!$A$1:$Z$1,0)-1))*IF(E822="Ottone",1,0),4)</f>
        <v>0</v>
      </c>
      <c r="M822" s="446">
        <f ca="1">ROUND(IF(ISERROR(OFFSET(Rame!$A$1,MATCH(H822,Rame!$A:$A,0)-1,MATCH(J822,Rame!$A$1:$AA$1,0)-1)=TRUE),0,OFFSET(Rame!$A$1,MATCH(H822,Rame!$A:$A,0)-1,MATCH(J822,Rame!$A$1:$AA$1,0)-1))*IF(E822="Rame",1,0),4)</f>
        <v>0</v>
      </c>
      <c r="N822" s="446">
        <v>0</v>
      </c>
      <c r="O822" s="446">
        <f t="shared" ca="1" si="213"/>
        <v>0</v>
      </c>
      <c r="P822" s="446">
        <f ca="1">ROUND(+IF(ISERROR(OFFSET(Tabella!$G$1,MATCH(H822,Tabella!$G:$G,0)-1,MATCH(I822,Tabella!$G$1:$FG$1,0)-1)=TRUE),0,OFFSET(Tabella!$G$1,MATCH(H822,Tabella!$G:$G,0)-1,MATCH(I822,Tabella!$G$1:$AB$1,0)-1)),4)</f>
        <v>0</v>
      </c>
      <c r="Q822" s="446">
        <f ca="1">ROUND(IF(ISERROR(OFFSET(Ottone!$F$1,MATCH(H822,Ottone!$A:$A,0)-1,MATCH(I822,Ottone!$F$1:$FF$1,0)-1)=TRUE),0,OFFSET(Ottone!$F$1,MATCH(H822,Ottone!$A:$A,0)-1,MATCH(I822,Ottone!$F$1:$FF$1,0)-1))*IF(E822="Ottone",1,0),4)</f>
        <v>0</v>
      </c>
      <c r="R822" s="446">
        <f ca="1">ROUND(IF(ISERROR(OFFSET(Rame!$F$1,MATCH(H822,Rame!$F:$F,0)-1,MATCH(I822,Rame!$F$1:$FF$1,0)-1)=TRUE),0,OFFSET(Rame!$F$1,MATCH(H822,Rame!$F:$F,0)-1,MATCH(I822,Rame!$F$1:$FF$1,0)-1))*IF(E822="Rame",1,0),4)</f>
        <v>0</v>
      </c>
      <c r="S822" s="446">
        <f ca="1">ROUND(IF(ISERROR(OFFSET(Bronzo!$A$1,MATCH(H822,Bronzo!$A:$A,0)-1,MATCH(I822,Bronzo!$A$1:$AA$1,0)-1)=TRUE),0,OFFSET(Bronzo!$A$1,MATCH(H822,Bronzo!$A:$A,0)-1,MATCH(I822,Bronzo!$A$1:$AA$1,0)-1)),4)</f>
        <v>0</v>
      </c>
      <c r="T822" s="446">
        <f t="shared" ca="1" si="210"/>
        <v>0</v>
      </c>
      <c r="U822" s="443"/>
      <c r="V822" s="446">
        <v>0</v>
      </c>
      <c r="W822" s="449">
        <f t="shared" ca="1" si="211"/>
        <v>0</v>
      </c>
      <c r="X822" s="452">
        <f t="shared" si="209"/>
        <v>0</v>
      </c>
      <c r="Y822" s="440"/>
      <c r="Z822" s="440">
        <f t="shared" ca="1" si="212"/>
        <v>0</v>
      </c>
      <c r="AA822" s="241"/>
      <c r="AH822" s="242"/>
    </row>
    <row r="823" spans="2:34" ht="15.75" x14ac:dyDescent="0.25">
      <c r="B823" s="229"/>
      <c r="C823" s="235"/>
      <c r="D823" s="243"/>
      <c r="E823" s="232"/>
      <c r="F823" s="435"/>
      <c r="G823" s="234"/>
      <c r="H823" s="235"/>
      <c r="I823" s="235"/>
      <c r="J823" s="440"/>
      <c r="K823" s="443">
        <f ca="1">ROUND(IF(ISERROR(OFFSET(Tabella!$A$1,MATCH(H823,Tabella!$A:$A,0)-1,MATCH(J823,Tabella!$A$1:$AC$1,0)-1)=TRUE),0,+OFFSET(Tabella!$A$1,MATCH(H823,Tabella!$A:$A,0)-1,MATCH(J823,Tabella!$A$1:$AC$1,0)-1)),4)</f>
        <v>0</v>
      </c>
      <c r="L823" s="446">
        <f ca="1">ROUND(IF(ISERROR(OFFSET(Ottone!$A$1,MATCH(H823,Ottone!$A:$A,0)-1,MATCH(J823,Ottone!$A$1:$Z$1,0)-1)=TRUE),0,OFFSET(Ottone!$A$1,MATCH(H823,Ottone!$A:$A,0)-1,MATCH(J823,Ottone!$A$1:$Z$1,0)-1))*IF(E823="Ottone",1,0),4)</f>
        <v>0</v>
      </c>
      <c r="M823" s="446">
        <f ca="1">ROUND(IF(ISERROR(OFFSET(Rame!$A$1,MATCH(H823,Rame!$A:$A,0)-1,MATCH(J823,Rame!$A$1:$AA$1,0)-1)=TRUE),0,OFFSET(Rame!$A$1,MATCH(H823,Rame!$A:$A,0)-1,MATCH(J823,Rame!$A$1:$AA$1,0)-1))*IF(E823="Rame",1,0),4)</f>
        <v>0</v>
      </c>
      <c r="N823" s="446">
        <v>0</v>
      </c>
      <c r="O823" s="446">
        <f t="shared" ca="1" si="213"/>
        <v>0</v>
      </c>
      <c r="P823" s="446">
        <f ca="1">ROUND(+IF(ISERROR(OFFSET(Tabella!$G$1,MATCH(H823,Tabella!$G:$G,0)-1,MATCH(I823,Tabella!$G$1:$FG$1,0)-1)=TRUE),0,OFFSET(Tabella!$G$1,MATCH(H823,Tabella!$G:$G,0)-1,MATCH(I823,Tabella!$G$1:$AB$1,0)-1)),4)</f>
        <v>0</v>
      </c>
      <c r="Q823" s="446">
        <f ca="1">ROUND(IF(ISERROR(OFFSET(Ottone!$F$1,MATCH(H823,Ottone!$A:$A,0)-1,MATCH(I823,Ottone!$F$1:$FF$1,0)-1)=TRUE),0,OFFSET(Ottone!$F$1,MATCH(H823,Ottone!$A:$A,0)-1,MATCH(I823,Ottone!$F$1:$FF$1,0)-1))*IF(E823="Ottone",1,0),4)</f>
        <v>0</v>
      </c>
      <c r="R823" s="446">
        <f ca="1">ROUND(IF(ISERROR(OFFSET(Rame!$F$1,MATCH(H823,Rame!$F:$F,0)-1,MATCH(I823,Rame!$F$1:$FF$1,0)-1)=TRUE),0,OFFSET(Rame!$F$1,MATCH(H823,Rame!$F:$F,0)-1,MATCH(I823,Rame!$F$1:$FF$1,0)-1))*IF(E823="Rame",1,0),4)</f>
        <v>0</v>
      </c>
      <c r="S823" s="446">
        <f ca="1">ROUND(IF(ISERROR(OFFSET(Bronzo!$A$1,MATCH(H823,Bronzo!$A:$A,0)-1,MATCH(I823,Bronzo!$A$1:$AA$1,0)-1)=TRUE),0,OFFSET(Bronzo!$A$1,MATCH(H823,Bronzo!$A:$A,0)-1,MATCH(I823,Bronzo!$A$1:$AA$1,0)-1)),4)</f>
        <v>0</v>
      </c>
      <c r="T823" s="446">
        <f t="shared" ca="1" si="210"/>
        <v>0</v>
      </c>
      <c r="U823" s="443"/>
      <c r="V823" s="446">
        <v>0</v>
      </c>
      <c r="W823" s="449">
        <f t="shared" ca="1" si="211"/>
        <v>0</v>
      </c>
      <c r="X823" s="452">
        <f t="shared" si="209"/>
        <v>0</v>
      </c>
      <c r="Y823" s="440"/>
      <c r="Z823" s="440">
        <f t="shared" ca="1" si="212"/>
        <v>0</v>
      </c>
      <c r="AA823" s="241"/>
      <c r="AH823" s="242"/>
    </row>
    <row r="824" spans="2:34" ht="15.75" x14ac:dyDescent="0.25">
      <c r="B824" s="229"/>
      <c r="C824" s="235"/>
      <c r="D824" s="243"/>
      <c r="E824" s="232"/>
      <c r="F824" s="435"/>
      <c r="G824" s="234"/>
      <c r="H824" s="235"/>
      <c r="I824" s="235"/>
      <c r="J824" s="440"/>
      <c r="K824" s="443">
        <f ca="1">ROUND(IF(ISERROR(OFFSET(Tabella!$A$1,MATCH(H824,Tabella!$A:$A,0)-1,MATCH(J824,Tabella!$A$1:$AC$1,0)-1)=TRUE),0,+OFFSET(Tabella!$A$1,MATCH(H824,Tabella!$A:$A,0)-1,MATCH(J824,Tabella!$A$1:$AC$1,0)-1)),4)</f>
        <v>0</v>
      </c>
      <c r="L824" s="446">
        <f ca="1">ROUND(IF(ISERROR(OFFSET(Ottone!$A$1,MATCH(H824,Ottone!$A:$A,0)-1,MATCH(J824,Ottone!$A$1:$Z$1,0)-1)=TRUE),0,OFFSET(Ottone!$A$1,MATCH(H824,Ottone!$A:$A,0)-1,MATCH(J824,Ottone!$A$1:$Z$1,0)-1))*IF(E824="Ottone",1,0),4)</f>
        <v>0</v>
      </c>
      <c r="M824" s="446">
        <f ca="1">ROUND(IF(ISERROR(OFFSET(Rame!$A$1,MATCH(H824,Rame!$A:$A,0)-1,MATCH(J824,Rame!$A$1:$AA$1,0)-1)=TRUE),0,OFFSET(Rame!$A$1,MATCH(H824,Rame!$A:$A,0)-1,MATCH(J824,Rame!$A$1:$AA$1,0)-1))*IF(E824="Rame",1,0),4)</f>
        <v>0</v>
      </c>
      <c r="N824" s="446">
        <v>0</v>
      </c>
      <c r="O824" s="446">
        <f t="shared" ca="1" si="213"/>
        <v>0</v>
      </c>
      <c r="P824" s="446">
        <f ca="1">ROUND(+IF(ISERROR(OFFSET(Tabella!$G$1,MATCH(H824,Tabella!$G:$G,0)-1,MATCH(I824,Tabella!$G$1:$FG$1,0)-1)=TRUE),0,OFFSET(Tabella!$G$1,MATCH(H824,Tabella!$G:$G,0)-1,MATCH(I824,Tabella!$G$1:$AB$1,0)-1)),4)</f>
        <v>0</v>
      </c>
      <c r="Q824" s="446">
        <f ca="1">ROUND(IF(ISERROR(OFFSET(Ottone!$F$1,MATCH(H824,Ottone!$A:$A,0)-1,MATCH(I824,Ottone!$F$1:$FF$1,0)-1)=TRUE),0,OFFSET(Ottone!$F$1,MATCH(H824,Ottone!$A:$A,0)-1,MATCH(I824,Ottone!$F$1:$FF$1,0)-1))*IF(E824="Ottone",1,0),4)</f>
        <v>0</v>
      </c>
      <c r="R824" s="446">
        <f ca="1">ROUND(IF(ISERROR(OFFSET(Rame!$F$1,MATCH(H824,Rame!$F:$F,0)-1,MATCH(I824,Rame!$F$1:$FF$1,0)-1)=TRUE),0,OFFSET(Rame!$F$1,MATCH(H824,Rame!$F:$F,0)-1,MATCH(I824,Rame!$F$1:$FF$1,0)-1))*IF(E824="Rame",1,0),4)</f>
        <v>0</v>
      </c>
      <c r="S824" s="446">
        <f ca="1">ROUND(IF(ISERROR(OFFSET(Bronzo!$A$1,MATCH(H824,Bronzo!$A:$A,0)-1,MATCH(I824,Bronzo!$A$1:$AA$1,0)-1)=TRUE),0,OFFSET(Bronzo!$A$1,MATCH(H824,Bronzo!$A:$A,0)-1,MATCH(I824,Bronzo!$A$1:$AA$1,0)-1)),4)</f>
        <v>0</v>
      </c>
      <c r="T824" s="446">
        <f t="shared" ca="1" si="210"/>
        <v>0</v>
      </c>
      <c r="U824" s="443"/>
      <c r="V824" s="446">
        <v>0</v>
      </c>
      <c r="W824" s="449">
        <f t="shared" ca="1" si="211"/>
        <v>0</v>
      </c>
      <c r="X824" s="452">
        <f t="shared" si="209"/>
        <v>0</v>
      </c>
      <c r="Y824" s="440"/>
      <c r="Z824" s="440">
        <f t="shared" ca="1" si="212"/>
        <v>0</v>
      </c>
      <c r="AA824" s="241"/>
      <c r="AH824" s="242"/>
    </row>
    <row r="825" spans="2:34" ht="15.75" x14ac:dyDescent="0.25">
      <c r="B825" s="229"/>
      <c r="C825" s="235"/>
      <c r="D825" s="243"/>
      <c r="E825" s="232"/>
      <c r="F825" s="435"/>
      <c r="G825" s="234"/>
      <c r="H825" s="235"/>
      <c r="I825" s="235"/>
      <c r="J825" s="440"/>
      <c r="K825" s="443">
        <f ca="1">ROUND(IF(ISERROR(OFFSET(Tabella!$A$1,MATCH(H825,Tabella!$A:$A,0)-1,MATCH(J825,Tabella!$A$1:$AC$1,0)-1)=TRUE),0,+OFFSET(Tabella!$A$1,MATCH(H825,Tabella!$A:$A,0)-1,MATCH(J825,Tabella!$A$1:$AC$1,0)-1)),4)</f>
        <v>0</v>
      </c>
      <c r="L825" s="446">
        <f ca="1">ROUND(IF(ISERROR(OFFSET(Ottone!$A$1,MATCH(H825,Ottone!$A:$A,0)-1,MATCH(J825,Ottone!$A$1:$Z$1,0)-1)=TRUE),0,OFFSET(Ottone!$A$1,MATCH(H825,Ottone!$A:$A,0)-1,MATCH(J825,Ottone!$A$1:$Z$1,0)-1))*IF(E825="Ottone",1,0),4)</f>
        <v>0</v>
      </c>
      <c r="M825" s="446">
        <f ca="1">ROUND(IF(ISERROR(OFFSET(Rame!$A$1,MATCH(H825,Rame!$A:$A,0)-1,MATCH(J825,Rame!$A$1:$AA$1,0)-1)=TRUE),0,OFFSET(Rame!$A$1,MATCH(H825,Rame!$A:$A,0)-1,MATCH(J825,Rame!$A$1:$AA$1,0)-1))*IF(E825="Rame",1,0),4)</f>
        <v>0</v>
      </c>
      <c r="N825" s="446">
        <v>0</v>
      </c>
      <c r="O825" s="446">
        <f t="shared" ca="1" si="213"/>
        <v>0</v>
      </c>
      <c r="P825" s="446">
        <f ca="1">ROUND(+IF(ISERROR(OFFSET(Tabella!$G$1,MATCH(H825,Tabella!$G:$G,0)-1,MATCH(I825,Tabella!$G$1:$FG$1,0)-1)=TRUE),0,OFFSET(Tabella!$G$1,MATCH(H825,Tabella!$G:$G,0)-1,MATCH(I825,Tabella!$G$1:$AB$1,0)-1)),4)</f>
        <v>0</v>
      </c>
      <c r="Q825" s="446">
        <f ca="1">ROUND(IF(ISERROR(OFFSET(Ottone!$F$1,MATCH(H825,Ottone!$A:$A,0)-1,MATCH(I825,Ottone!$F$1:$FF$1,0)-1)=TRUE),0,OFFSET(Ottone!$F$1,MATCH(H825,Ottone!$A:$A,0)-1,MATCH(I825,Ottone!$F$1:$FF$1,0)-1))*IF(E825="Ottone",1,0),4)</f>
        <v>0</v>
      </c>
      <c r="R825" s="446">
        <f ca="1">ROUND(IF(ISERROR(OFFSET(Rame!$F$1,MATCH(H825,Rame!$F:$F,0)-1,MATCH(I825,Rame!$F$1:$FF$1,0)-1)=TRUE),0,OFFSET(Rame!$F$1,MATCH(H825,Rame!$F:$F,0)-1,MATCH(I825,Rame!$F$1:$FF$1,0)-1))*IF(E825="Rame",1,0),4)</f>
        <v>0</v>
      </c>
      <c r="S825" s="446">
        <f ca="1">ROUND(IF(ISERROR(OFFSET(Bronzo!$A$1,MATCH(H825,Bronzo!$A:$A,0)-1,MATCH(I825,Bronzo!$A$1:$AA$1,0)-1)=TRUE),0,OFFSET(Bronzo!$A$1,MATCH(H825,Bronzo!$A:$A,0)-1,MATCH(I825,Bronzo!$A$1:$AA$1,0)-1)),4)</f>
        <v>0</v>
      </c>
      <c r="T825" s="446">
        <f t="shared" ca="1" si="210"/>
        <v>0</v>
      </c>
      <c r="U825" s="443"/>
      <c r="V825" s="446">
        <v>0</v>
      </c>
      <c r="W825" s="449">
        <f t="shared" ca="1" si="211"/>
        <v>0</v>
      </c>
      <c r="X825" s="452">
        <f t="shared" si="209"/>
        <v>0</v>
      </c>
      <c r="Y825" s="440"/>
      <c r="Z825" s="440">
        <f t="shared" ca="1" si="212"/>
        <v>0</v>
      </c>
      <c r="AA825" s="241"/>
      <c r="AH825" s="242"/>
    </row>
    <row r="826" spans="2:34" ht="15.75" x14ac:dyDescent="0.25">
      <c r="B826" s="229"/>
      <c r="C826" s="235"/>
      <c r="D826" s="243"/>
      <c r="E826" s="232"/>
      <c r="F826" s="435"/>
      <c r="G826" s="234"/>
      <c r="H826" s="235"/>
      <c r="I826" s="235"/>
      <c r="J826" s="440"/>
      <c r="K826" s="443">
        <f ca="1">ROUND(IF(ISERROR(OFFSET(Tabella!$A$1,MATCH(H826,Tabella!$A:$A,0)-1,MATCH(J826,Tabella!$A$1:$AC$1,0)-1)=TRUE),0,+OFFSET(Tabella!$A$1,MATCH(H826,Tabella!$A:$A,0)-1,MATCH(J826,Tabella!$A$1:$AC$1,0)-1)),4)</f>
        <v>0</v>
      </c>
      <c r="L826" s="446">
        <f ca="1">ROUND(IF(ISERROR(OFFSET(Ottone!$A$1,MATCH(H826,Ottone!$A:$A,0)-1,MATCH(J826,Ottone!$A$1:$Z$1,0)-1)=TRUE),0,OFFSET(Ottone!$A$1,MATCH(H826,Ottone!$A:$A,0)-1,MATCH(J826,Ottone!$A$1:$Z$1,0)-1))*IF(E826="Ottone",1,0),4)</f>
        <v>0</v>
      </c>
      <c r="M826" s="446">
        <f ca="1">ROUND(IF(ISERROR(OFFSET(Rame!$A$1,MATCH(H826,Rame!$A:$A,0)-1,MATCH(J826,Rame!$A$1:$AA$1,0)-1)=TRUE),0,OFFSET(Rame!$A$1,MATCH(H826,Rame!$A:$A,0)-1,MATCH(J826,Rame!$A$1:$AA$1,0)-1))*IF(E826="Rame",1,0),4)</f>
        <v>0</v>
      </c>
      <c r="N826" s="446">
        <v>0</v>
      </c>
      <c r="O826" s="446">
        <f t="shared" ca="1" si="213"/>
        <v>0</v>
      </c>
      <c r="P826" s="446">
        <f ca="1">ROUND(+IF(ISERROR(OFFSET(Tabella!$G$1,MATCH(H826,Tabella!$G:$G,0)-1,MATCH(I826,Tabella!$G$1:$FG$1,0)-1)=TRUE),0,OFFSET(Tabella!$G$1,MATCH(H826,Tabella!$G:$G,0)-1,MATCH(I826,Tabella!$G$1:$AB$1,0)-1)),4)</f>
        <v>0</v>
      </c>
      <c r="Q826" s="446">
        <f ca="1">ROUND(IF(ISERROR(OFFSET(Ottone!$F$1,MATCH(H826,Ottone!$A:$A,0)-1,MATCH(I826,Ottone!$F$1:$FF$1,0)-1)=TRUE),0,OFFSET(Ottone!$F$1,MATCH(H826,Ottone!$A:$A,0)-1,MATCH(I826,Ottone!$F$1:$FF$1,0)-1))*IF(E826="Ottone",1,0),4)</f>
        <v>0</v>
      </c>
      <c r="R826" s="446">
        <f ca="1">ROUND(IF(ISERROR(OFFSET(Rame!$F$1,MATCH(H826,Rame!$F:$F,0)-1,MATCH(I826,Rame!$F$1:$FF$1,0)-1)=TRUE),0,OFFSET(Rame!$F$1,MATCH(H826,Rame!$F:$F,0)-1,MATCH(I826,Rame!$F$1:$FF$1,0)-1))*IF(E826="Rame",1,0),4)</f>
        <v>0</v>
      </c>
      <c r="S826" s="446">
        <f ca="1">ROUND(IF(ISERROR(OFFSET(Bronzo!$A$1,MATCH(H826,Bronzo!$A:$A,0)-1,MATCH(I826,Bronzo!$A$1:$AA$1,0)-1)=TRUE),0,OFFSET(Bronzo!$A$1,MATCH(H826,Bronzo!$A:$A,0)-1,MATCH(I826,Bronzo!$A$1:$AA$1,0)-1)),4)</f>
        <v>0</v>
      </c>
      <c r="T826" s="446">
        <f t="shared" ca="1" si="210"/>
        <v>0</v>
      </c>
      <c r="U826" s="443"/>
      <c r="V826" s="446">
        <v>0</v>
      </c>
      <c r="W826" s="449">
        <f t="shared" ca="1" si="211"/>
        <v>0</v>
      </c>
      <c r="X826" s="452">
        <f t="shared" si="209"/>
        <v>0</v>
      </c>
      <c r="Y826" s="440"/>
      <c r="Z826" s="440">
        <f t="shared" ca="1" si="212"/>
        <v>0</v>
      </c>
      <c r="AA826" s="241"/>
      <c r="AH826" s="242"/>
    </row>
    <row r="827" spans="2:34" ht="15.75" x14ac:dyDescent="0.25">
      <c r="B827" s="229"/>
      <c r="C827" s="235"/>
      <c r="D827" s="243"/>
      <c r="E827" s="232"/>
      <c r="F827" s="435"/>
      <c r="G827" s="234"/>
      <c r="H827" s="235"/>
      <c r="I827" s="235"/>
      <c r="J827" s="440"/>
      <c r="K827" s="443">
        <f ca="1">ROUND(IF(ISERROR(OFFSET(Tabella!$A$1,MATCH(H827,Tabella!$A:$A,0)-1,MATCH(J827,Tabella!$A$1:$AC$1,0)-1)=TRUE),0,+OFFSET(Tabella!$A$1,MATCH(H827,Tabella!$A:$A,0)-1,MATCH(J827,Tabella!$A$1:$AC$1,0)-1)),4)</f>
        <v>0</v>
      </c>
      <c r="L827" s="446">
        <f ca="1">ROUND(IF(ISERROR(OFFSET(Ottone!$A$1,MATCH(H827,Ottone!$A:$A,0)-1,MATCH(J827,Ottone!$A$1:$Z$1,0)-1)=TRUE),0,OFFSET(Ottone!$A$1,MATCH(H827,Ottone!$A:$A,0)-1,MATCH(J827,Ottone!$A$1:$Z$1,0)-1))*IF(E827="Ottone",1,0),4)</f>
        <v>0</v>
      </c>
      <c r="M827" s="446">
        <f ca="1">ROUND(IF(ISERROR(OFFSET(Rame!$A$1,MATCH(H827,Rame!$A:$A,0)-1,MATCH(J827,Rame!$A$1:$AA$1,0)-1)=TRUE),0,OFFSET(Rame!$A$1,MATCH(H827,Rame!$A:$A,0)-1,MATCH(J827,Rame!$A$1:$AA$1,0)-1))*IF(E827="Rame",1,0),4)</f>
        <v>0</v>
      </c>
      <c r="N827" s="446">
        <v>0</v>
      </c>
      <c r="O827" s="446">
        <f t="shared" ca="1" si="213"/>
        <v>0</v>
      </c>
      <c r="P827" s="446">
        <f ca="1">ROUND(+IF(ISERROR(OFFSET(Tabella!$G$1,MATCH(H827,Tabella!$G:$G,0)-1,MATCH(I827,Tabella!$G$1:$FG$1,0)-1)=TRUE),0,OFFSET(Tabella!$G$1,MATCH(H827,Tabella!$G:$G,0)-1,MATCH(I827,Tabella!$G$1:$AB$1,0)-1)),4)</f>
        <v>0</v>
      </c>
      <c r="Q827" s="446">
        <f ca="1">ROUND(IF(ISERROR(OFFSET(Ottone!$F$1,MATCH(H827,Ottone!$A:$A,0)-1,MATCH(I827,Ottone!$F$1:$FF$1,0)-1)=TRUE),0,OFFSET(Ottone!$F$1,MATCH(H827,Ottone!$A:$A,0)-1,MATCH(I827,Ottone!$F$1:$FF$1,0)-1))*IF(E827="Ottone",1,0),4)</f>
        <v>0</v>
      </c>
      <c r="R827" s="446">
        <f ca="1">ROUND(IF(ISERROR(OFFSET(Rame!$F$1,MATCH(H827,Rame!$F:$F,0)-1,MATCH(I827,Rame!$F$1:$FF$1,0)-1)=TRUE),0,OFFSET(Rame!$F$1,MATCH(H827,Rame!$F:$F,0)-1,MATCH(I827,Rame!$F$1:$FF$1,0)-1))*IF(E827="Rame",1,0),4)</f>
        <v>0</v>
      </c>
      <c r="S827" s="446">
        <f ca="1">ROUND(IF(ISERROR(OFFSET(Bronzo!$A$1,MATCH(H827,Bronzo!$A:$A,0)-1,MATCH(I827,Bronzo!$A$1:$AA$1,0)-1)=TRUE),0,OFFSET(Bronzo!$A$1,MATCH(H827,Bronzo!$A:$A,0)-1,MATCH(I827,Bronzo!$A$1:$AA$1,0)-1)),4)</f>
        <v>0</v>
      </c>
      <c r="T827" s="446">
        <f t="shared" ca="1" si="210"/>
        <v>0</v>
      </c>
      <c r="U827" s="443"/>
      <c r="V827" s="446">
        <v>0</v>
      </c>
      <c r="W827" s="449">
        <f t="shared" ca="1" si="211"/>
        <v>0</v>
      </c>
      <c r="X827" s="452">
        <f t="shared" si="209"/>
        <v>0</v>
      </c>
      <c r="Y827" s="440"/>
      <c r="Z827" s="440">
        <f t="shared" ca="1" si="212"/>
        <v>0</v>
      </c>
      <c r="AA827" s="241"/>
      <c r="AH827" s="242"/>
    </row>
    <row r="828" spans="2:34" ht="15.75" x14ac:dyDescent="0.25">
      <c r="B828" s="229"/>
      <c r="C828" s="235"/>
      <c r="D828" s="243"/>
      <c r="E828" s="232"/>
      <c r="F828" s="435"/>
      <c r="G828" s="234"/>
      <c r="H828" s="235"/>
      <c r="I828" s="235"/>
      <c r="J828" s="440"/>
      <c r="K828" s="443">
        <f ca="1">ROUND(IF(ISERROR(OFFSET(Tabella!$A$1,MATCH(H828,Tabella!$A:$A,0)-1,MATCH(J828,Tabella!$A$1:$AC$1,0)-1)=TRUE),0,+OFFSET(Tabella!$A$1,MATCH(H828,Tabella!$A:$A,0)-1,MATCH(J828,Tabella!$A$1:$AC$1,0)-1)),4)</f>
        <v>0</v>
      </c>
      <c r="L828" s="446">
        <f ca="1">ROUND(IF(ISERROR(OFFSET(Ottone!$A$1,MATCH(H828,Ottone!$A:$A,0)-1,MATCH(J828,Ottone!$A$1:$Z$1,0)-1)=TRUE),0,OFFSET(Ottone!$A$1,MATCH(H828,Ottone!$A:$A,0)-1,MATCH(J828,Ottone!$A$1:$Z$1,0)-1))*IF(E828="Ottone",1,0),4)</f>
        <v>0</v>
      </c>
      <c r="M828" s="446">
        <f ca="1">ROUND(IF(ISERROR(OFFSET(Rame!$A$1,MATCH(H828,Rame!$A:$A,0)-1,MATCH(J828,Rame!$A$1:$AA$1,0)-1)=TRUE),0,OFFSET(Rame!$A$1,MATCH(H828,Rame!$A:$A,0)-1,MATCH(J828,Rame!$A$1:$AA$1,0)-1))*IF(E828="Rame",1,0),4)</f>
        <v>0</v>
      </c>
      <c r="N828" s="446">
        <v>0</v>
      </c>
      <c r="O828" s="446">
        <f t="shared" ca="1" si="213"/>
        <v>0</v>
      </c>
      <c r="P828" s="446">
        <f ca="1">ROUND(+IF(ISERROR(OFFSET(Tabella!$G$1,MATCH(H828,Tabella!$G:$G,0)-1,MATCH(I828,Tabella!$G$1:$FG$1,0)-1)=TRUE),0,OFFSET(Tabella!$G$1,MATCH(H828,Tabella!$G:$G,0)-1,MATCH(I828,Tabella!$G$1:$AB$1,0)-1)),4)</f>
        <v>0</v>
      </c>
      <c r="Q828" s="446">
        <f ca="1">ROUND(IF(ISERROR(OFFSET(Ottone!$F$1,MATCH(H828,Ottone!$A:$A,0)-1,MATCH(I828,Ottone!$F$1:$FF$1,0)-1)=TRUE),0,OFFSET(Ottone!$F$1,MATCH(H828,Ottone!$A:$A,0)-1,MATCH(I828,Ottone!$F$1:$FF$1,0)-1))*IF(E828="Ottone",1,0),4)</f>
        <v>0</v>
      </c>
      <c r="R828" s="446">
        <f ca="1">ROUND(IF(ISERROR(OFFSET(Rame!$F$1,MATCH(H828,Rame!$F:$F,0)-1,MATCH(I828,Rame!$F$1:$FF$1,0)-1)=TRUE),0,OFFSET(Rame!$F$1,MATCH(H828,Rame!$F:$F,0)-1,MATCH(I828,Rame!$F$1:$FF$1,0)-1))*IF(E828="Rame",1,0),4)</f>
        <v>0</v>
      </c>
      <c r="S828" s="446">
        <f ca="1">ROUND(IF(ISERROR(OFFSET(Bronzo!$A$1,MATCH(H828,Bronzo!$A:$A,0)-1,MATCH(I828,Bronzo!$A$1:$AA$1,0)-1)=TRUE),0,OFFSET(Bronzo!$A$1,MATCH(H828,Bronzo!$A:$A,0)-1,MATCH(I828,Bronzo!$A$1:$AA$1,0)-1)),4)</f>
        <v>0</v>
      </c>
      <c r="T828" s="446">
        <f t="shared" ca="1" si="210"/>
        <v>0</v>
      </c>
      <c r="U828" s="443"/>
      <c r="V828" s="446">
        <v>0</v>
      </c>
      <c r="W828" s="449">
        <f t="shared" ca="1" si="211"/>
        <v>0</v>
      </c>
      <c r="X828" s="452">
        <f t="shared" si="209"/>
        <v>0</v>
      </c>
      <c r="Y828" s="440"/>
      <c r="Z828" s="440">
        <f t="shared" ca="1" si="212"/>
        <v>0</v>
      </c>
      <c r="AA828" s="241"/>
      <c r="AH828" s="242"/>
    </row>
    <row r="829" spans="2:34" ht="15.75" x14ac:dyDescent="0.25">
      <c r="B829" s="229"/>
      <c r="C829" s="235"/>
      <c r="D829" s="243"/>
      <c r="E829" s="232"/>
      <c r="F829" s="435"/>
      <c r="G829" s="234"/>
      <c r="H829" s="235"/>
      <c r="I829" s="235"/>
      <c r="J829" s="440"/>
      <c r="K829" s="443">
        <f ca="1">ROUND(IF(ISERROR(OFFSET(Tabella!$A$1,MATCH(H829,Tabella!$A:$A,0)-1,MATCH(J829,Tabella!$A$1:$AC$1,0)-1)=TRUE),0,+OFFSET(Tabella!$A$1,MATCH(H829,Tabella!$A:$A,0)-1,MATCH(J829,Tabella!$A$1:$AC$1,0)-1)),4)</f>
        <v>0</v>
      </c>
      <c r="L829" s="446">
        <f ca="1">ROUND(IF(ISERROR(OFFSET(Ottone!$A$1,MATCH(H829,Ottone!$A:$A,0)-1,MATCH(J829,Ottone!$A$1:$Z$1,0)-1)=TRUE),0,OFFSET(Ottone!$A$1,MATCH(H829,Ottone!$A:$A,0)-1,MATCH(J829,Ottone!$A$1:$Z$1,0)-1))*IF(E829="Ottone",1,0),4)</f>
        <v>0</v>
      </c>
      <c r="M829" s="446">
        <f ca="1">ROUND(IF(ISERROR(OFFSET(Rame!$A$1,MATCH(H829,Rame!$A:$A,0)-1,MATCH(J829,Rame!$A$1:$AA$1,0)-1)=TRUE),0,OFFSET(Rame!$A$1,MATCH(H829,Rame!$A:$A,0)-1,MATCH(J829,Rame!$A$1:$AA$1,0)-1))*IF(E829="Rame",1,0),4)</f>
        <v>0</v>
      </c>
      <c r="N829" s="446">
        <v>0</v>
      </c>
      <c r="O829" s="446">
        <f t="shared" ca="1" si="213"/>
        <v>0</v>
      </c>
      <c r="P829" s="446">
        <f ca="1">ROUND(+IF(ISERROR(OFFSET(Tabella!$G$1,MATCH(H829,Tabella!$G:$G,0)-1,MATCH(I829,Tabella!$G$1:$FG$1,0)-1)=TRUE),0,OFFSET(Tabella!$G$1,MATCH(H829,Tabella!$G:$G,0)-1,MATCH(I829,Tabella!$G$1:$AB$1,0)-1)),4)</f>
        <v>0</v>
      </c>
      <c r="Q829" s="446">
        <f ca="1">ROUND(IF(ISERROR(OFFSET(Ottone!$F$1,MATCH(H829,Ottone!$A:$A,0)-1,MATCH(I829,Ottone!$F$1:$FF$1,0)-1)=TRUE),0,OFFSET(Ottone!$F$1,MATCH(H829,Ottone!$A:$A,0)-1,MATCH(I829,Ottone!$F$1:$FF$1,0)-1))*IF(E829="Ottone",1,0),4)</f>
        <v>0</v>
      </c>
      <c r="R829" s="446">
        <f ca="1">ROUND(IF(ISERROR(OFFSET(Rame!$F$1,MATCH(H829,Rame!$F:$F,0)-1,MATCH(I829,Rame!$F$1:$FF$1,0)-1)=TRUE),0,OFFSET(Rame!$F$1,MATCH(H829,Rame!$F:$F,0)-1,MATCH(I829,Rame!$F$1:$FF$1,0)-1))*IF(E829="Rame",1,0),4)</f>
        <v>0</v>
      </c>
      <c r="S829" s="446">
        <f ca="1">ROUND(IF(ISERROR(OFFSET(Bronzo!$A$1,MATCH(H829,Bronzo!$A:$A,0)-1,MATCH(I829,Bronzo!$A$1:$AA$1,0)-1)=TRUE),0,OFFSET(Bronzo!$A$1,MATCH(H829,Bronzo!$A:$A,0)-1,MATCH(I829,Bronzo!$A$1:$AA$1,0)-1)),4)</f>
        <v>0</v>
      </c>
      <c r="T829" s="446">
        <f t="shared" ca="1" si="210"/>
        <v>0</v>
      </c>
      <c r="U829" s="443"/>
      <c r="V829" s="446">
        <v>0</v>
      </c>
      <c r="W829" s="449">
        <f t="shared" ca="1" si="211"/>
        <v>0</v>
      </c>
      <c r="X829" s="452">
        <f t="shared" si="209"/>
        <v>0</v>
      </c>
      <c r="Y829" s="440"/>
      <c r="Z829" s="440">
        <f t="shared" ca="1" si="212"/>
        <v>0</v>
      </c>
      <c r="AA829" s="241"/>
      <c r="AH829" s="242"/>
    </row>
    <row r="830" spans="2:34" ht="15.75" x14ac:dyDescent="0.25">
      <c r="B830" s="229"/>
      <c r="C830" s="235"/>
      <c r="D830" s="243"/>
      <c r="E830" s="232"/>
      <c r="F830" s="435"/>
      <c r="G830" s="234"/>
      <c r="H830" s="235"/>
      <c r="I830" s="235"/>
      <c r="J830" s="440"/>
      <c r="K830" s="443">
        <f ca="1">ROUND(IF(ISERROR(OFFSET(Tabella!$A$1,MATCH(H830,Tabella!$A:$A,0)-1,MATCH(J830,Tabella!$A$1:$AC$1,0)-1)=TRUE),0,+OFFSET(Tabella!$A$1,MATCH(H830,Tabella!$A:$A,0)-1,MATCH(J830,Tabella!$A$1:$AC$1,0)-1)),4)</f>
        <v>0</v>
      </c>
      <c r="L830" s="446">
        <f ca="1">ROUND(IF(ISERROR(OFFSET(Ottone!$A$1,MATCH(H830,Ottone!$A:$A,0)-1,MATCH(J830,Ottone!$A$1:$Z$1,0)-1)=TRUE),0,OFFSET(Ottone!$A$1,MATCH(H830,Ottone!$A:$A,0)-1,MATCH(J830,Ottone!$A$1:$Z$1,0)-1))*IF(E830="Ottone",1,0),4)</f>
        <v>0</v>
      </c>
      <c r="M830" s="446">
        <f ca="1">ROUND(IF(ISERROR(OFFSET(Rame!$A$1,MATCH(H830,Rame!$A:$A,0)-1,MATCH(J830,Rame!$A$1:$AA$1,0)-1)=TRUE),0,OFFSET(Rame!$A$1,MATCH(H830,Rame!$A:$A,0)-1,MATCH(J830,Rame!$A$1:$AA$1,0)-1))*IF(E830="Rame",1,0),4)</f>
        <v>0</v>
      </c>
      <c r="N830" s="446">
        <v>0</v>
      </c>
      <c r="O830" s="446">
        <f t="shared" ca="1" si="213"/>
        <v>0</v>
      </c>
      <c r="P830" s="446">
        <f ca="1">ROUND(+IF(ISERROR(OFFSET(Tabella!$G$1,MATCH(H830,Tabella!$G:$G,0)-1,MATCH(I830,Tabella!$G$1:$FG$1,0)-1)=TRUE),0,OFFSET(Tabella!$G$1,MATCH(H830,Tabella!$G:$G,0)-1,MATCH(I830,Tabella!$G$1:$AB$1,0)-1)),4)</f>
        <v>0</v>
      </c>
      <c r="Q830" s="446">
        <f ca="1">ROUND(IF(ISERROR(OFFSET(Ottone!$F$1,MATCH(H830,Ottone!$A:$A,0)-1,MATCH(I830,Ottone!$F$1:$FF$1,0)-1)=TRUE),0,OFFSET(Ottone!$F$1,MATCH(H830,Ottone!$A:$A,0)-1,MATCH(I830,Ottone!$F$1:$FF$1,0)-1))*IF(E830="Ottone",1,0),4)</f>
        <v>0</v>
      </c>
      <c r="R830" s="446">
        <f ca="1">ROUND(IF(ISERROR(OFFSET(Rame!$F$1,MATCH(H830,Rame!$F:$F,0)-1,MATCH(I830,Rame!$F$1:$FF$1,0)-1)=TRUE),0,OFFSET(Rame!$F$1,MATCH(H830,Rame!$F:$F,0)-1,MATCH(I830,Rame!$F$1:$FF$1,0)-1))*IF(E830="Rame",1,0),4)</f>
        <v>0</v>
      </c>
      <c r="S830" s="446">
        <f ca="1">ROUND(IF(ISERROR(OFFSET(Bronzo!$A$1,MATCH(H830,Bronzo!$A:$A,0)-1,MATCH(I830,Bronzo!$A$1:$AA$1,0)-1)=TRUE),0,OFFSET(Bronzo!$A$1,MATCH(H830,Bronzo!$A:$A,0)-1,MATCH(I830,Bronzo!$A$1:$AA$1,0)-1)),4)</f>
        <v>0</v>
      </c>
      <c r="T830" s="446">
        <f t="shared" ca="1" si="210"/>
        <v>0</v>
      </c>
      <c r="U830" s="443"/>
      <c r="V830" s="446">
        <v>0</v>
      </c>
      <c r="W830" s="449">
        <f t="shared" ca="1" si="211"/>
        <v>0</v>
      </c>
      <c r="X830" s="452">
        <f t="shared" si="209"/>
        <v>0</v>
      </c>
      <c r="Y830" s="440"/>
      <c r="Z830" s="440">
        <f t="shared" ca="1" si="212"/>
        <v>0</v>
      </c>
      <c r="AA830" s="241"/>
      <c r="AH830" s="242"/>
    </row>
    <row r="831" spans="2:34" ht="15.75" x14ac:dyDescent="0.25">
      <c r="B831" s="229"/>
      <c r="C831" s="235"/>
      <c r="D831" s="243"/>
      <c r="E831" s="232"/>
      <c r="F831" s="435"/>
      <c r="G831" s="234"/>
      <c r="H831" s="235"/>
      <c r="I831" s="235"/>
      <c r="J831" s="440"/>
      <c r="K831" s="443">
        <f ca="1">ROUND(IF(ISERROR(OFFSET(Tabella!$A$1,MATCH(H831,Tabella!$A:$A,0)-1,MATCH(J831,Tabella!$A$1:$AC$1,0)-1)=TRUE),0,+OFFSET(Tabella!$A$1,MATCH(H831,Tabella!$A:$A,0)-1,MATCH(J831,Tabella!$A$1:$AC$1,0)-1)),4)</f>
        <v>0</v>
      </c>
      <c r="L831" s="446">
        <f ca="1">ROUND(IF(ISERROR(OFFSET(Ottone!$A$1,MATCH(H831,Ottone!$A:$A,0)-1,MATCH(J831,Ottone!$A$1:$Z$1,0)-1)=TRUE),0,OFFSET(Ottone!$A$1,MATCH(H831,Ottone!$A:$A,0)-1,MATCH(J831,Ottone!$A$1:$Z$1,0)-1))*IF(E831="Ottone",1,0),4)</f>
        <v>0</v>
      </c>
      <c r="M831" s="446">
        <f ca="1">ROUND(IF(ISERROR(OFFSET(Rame!$A$1,MATCH(H831,Rame!$A:$A,0)-1,MATCH(J831,Rame!$A$1:$AA$1,0)-1)=TRUE),0,OFFSET(Rame!$A$1,MATCH(H831,Rame!$A:$A,0)-1,MATCH(J831,Rame!$A$1:$AA$1,0)-1))*IF(E831="Rame",1,0),4)</f>
        <v>0</v>
      </c>
      <c r="N831" s="446">
        <v>0</v>
      </c>
      <c r="O831" s="446">
        <f t="shared" ca="1" si="213"/>
        <v>0</v>
      </c>
      <c r="P831" s="446">
        <f ca="1">ROUND(+IF(ISERROR(OFFSET(Tabella!$G$1,MATCH(H831,Tabella!$G:$G,0)-1,MATCH(I831,Tabella!$G$1:$FG$1,0)-1)=TRUE),0,OFFSET(Tabella!$G$1,MATCH(H831,Tabella!$G:$G,0)-1,MATCH(I831,Tabella!$G$1:$AB$1,0)-1)),4)</f>
        <v>0</v>
      </c>
      <c r="Q831" s="446">
        <f ca="1">ROUND(IF(ISERROR(OFFSET(Ottone!$F$1,MATCH(H831,Ottone!$A:$A,0)-1,MATCH(I831,Ottone!$F$1:$FF$1,0)-1)=TRUE),0,OFFSET(Ottone!$F$1,MATCH(H831,Ottone!$A:$A,0)-1,MATCH(I831,Ottone!$F$1:$FF$1,0)-1))*IF(E831="Ottone",1,0),4)</f>
        <v>0</v>
      </c>
      <c r="R831" s="446">
        <f ca="1">ROUND(IF(ISERROR(OFFSET(Rame!$F$1,MATCH(H831,Rame!$F:$F,0)-1,MATCH(I831,Rame!$F$1:$FF$1,0)-1)=TRUE),0,OFFSET(Rame!$F$1,MATCH(H831,Rame!$F:$F,0)-1,MATCH(I831,Rame!$F$1:$FF$1,0)-1))*IF(E831="Rame",1,0),4)</f>
        <v>0</v>
      </c>
      <c r="S831" s="446">
        <f ca="1">ROUND(IF(ISERROR(OFFSET(Bronzo!$A$1,MATCH(H831,Bronzo!$A:$A,0)-1,MATCH(I831,Bronzo!$A$1:$AA$1,0)-1)=TRUE),0,OFFSET(Bronzo!$A$1,MATCH(H831,Bronzo!$A:$A,0)-1,MATCH(I831,Bronzo!$A$1:$AA$1,0)-1)),4)</f>
        <v>0</v>
      </c>
      <c r="T831" s="446">
        <f t="shared" ca="1" si="210"/>
        <v>0</v>
      </c>
      <c r="U831" s="443"/>
      <c r="V831" s="446">
        <v>0</v>
      </c>
      <c r="W831" s="449">
        <f t="shared" ca="1" si="211"/>
        <v>0</v>
      </c>
      <c r="X831" s="452">
        <f t="shared" si="209"/>
        <v>0</v>
      </c>
      <c r="Y831" s="440"/>
      <c r="Z831" s="440">
        <f t="shared" ca="1" si="212"/>
        <v>0</v>
      </c>
      <c r="AA831" s="241"/>
      <c r="AH831" s="242"/>
    </row>
    <row r="832" spans="2:34" ht="15.75" x14ac:dyDescent="0.25">
      <c r="B832" s="229"/>
      <c r="C832" s="235"/>
      <c r="D832" s="243"/>
      <c r="E832" s="232"/>
      <c r="F832" s="435"/>
      <c r="G832" s="234"/>
      <c r="H832" s="235"/>
      <c r="I832" s="235"/>
      <c r="J832" s="440"/>
      <c r="K832" s="443">
        <f ca="1">ROUND(IF(ISERROR(OFFSET(Tabella!$A$1,MATCH(H832,Tabella!$A:$A,0)-1,MATCH(J832,Tabella!$A$1:$AC$1,0)-1)=TRUE),0,+OFFSET(Tabella!$A$1,MATCH(H832,Tabella!$A:$A,0)-1,MATCH(J832,Tabella!$A$1:$AC$1,0)-1)),4)</f>
        <v>0</v>
      </c>
      <c r="L832" s="446">
        <f ca="1">ROUND(IF(ISERROR(OFFSET(Ottone!$A$1,MATCH(H832,Ottone!$A:$A,0)-1,MATCH(J832,Ottone!$A$1:$Z$1,0)-1)=TRUE),0,OFFSET(Ottone!$A$1,MATCH(H832,Ottone!$A:$A,0)-1,MATCH(J832,Ottone!$A$1:$Z$1,0)-1))*IF(E832="Ottone",1,0),4)</f>
        <v>0</v>
      </c>
      <c r="M832" s="446">
        <f ca="1">ROUND(IF(ISERROR(OFFSET(Rame!$A$1,MATCH(H832,Rame!$A:$A,0)-1,MATCH(J832,Rame!$A$1:$AA$1,0)-1)=TRUE),0,OFFSET(Rame!$A$1,MATCH(H832,Rame!$A:$A,0)-1,MATCH(J832,Rame!$A$1:$AA$1,0)-1))*IF(E832="Rame",1,0),4)</f>
        <v>0</v>
      </c>
      <c r="N832" s="446">
        <v>0</v>
      </c>
      <c r="O832" s="446">
        <f t="shared" ca="1" si="213"/>
        <v>0</v>
      </c>
      <c r="P832" s="446">
        <f ca="1">ROUND(+IF(ISERROR(OFFSET(Tabella!$G$1,MATCH(H832,Tabella!$G:$G,0)-1,MATCH(I832,Tabella!$G$1:$FG$1,0)-1)=TRUE),0,OFFSET(Tabella!$G$1,MATCH(H832,Tabella!$G:$G,0)-1,MATCH(I832,Tabella!$G$1:$AB$1,0)-1)),4)</f>
        <v>0</v>
      </c>
      <c r="Q832" s="446">
        <f ca="1">ROUND(IF(ISERROR(OFFSET(Ottone!$F$1,MATCH(H832,Ottone!$A:$A,0)-1,MATCH(I832,Ottone!$F$1:$FF$1,0)-1)=TRUE),0,OFFSET(Ottone!$F$1,MATCH(H832,Ottone!$A:$A,0)-1,MATCH(I832,Ottone!$F$1:$FF$1,0)-1))*IF(E832="Ottone",1,0),4)</f>
        <v>0</v>
      </c>
      <c r="R832" s="446">
        <f ca="1">ROUND(IF(ISERROR(OFFSET(Rame!$F$1,MATCH(H832,Rame!$F:$F,0)-1,MATCH(I832,Rame!$F$1:$FF$1,0)-1)=TRUE),0,OFFSET(Rame!$F$1,MATCH(H832,Rame!$F:$F,0)-1,MATCH(I832,Rame!$F$1:$FF$1,0)-1))*IF(E832="Rame",1,0),4)</f>
        <v>0</v>
      </c>
      <c r="S832" s="446">
        <f ca="1">ROUND(IF(ISERROR(OFFSET(Bronzo!$A$1,MATCH(H832,Bronzo!$A:$A,0)-1,MATCH(I832,Bronzo!$A$1:$AA$1,0)-1)=TRUE),0,OFFSET(Bronzo!$A$1,MATCH(H832,Bronzo!$A:$A,0)-1,MATCH(I832,Bronzo!$A$1:$AA$1,0)-1)),4)</f>
        <v>0</v>
      </c>
      <c r="T832" s="446">
        <f t="shared" ca="1" si="210"/>
        <v>0</v>
      </c>
      <c r="U832" s="443"/>
      <c r="V832" s="446">
        <v>0</v>
      </c>
      <c r="W832" s="449">
        <f t="shared" ca="1" si="211"/>
        <v>0</v>
      </c>
      <c r="X832" s="452">
        <f t="shared" si="209"/>
        <v>0</v>
      </c>
      <c r="Y832" s="440"/>
      <c r="Z832" s="440">
        <f t="shared" ca="1" si="212"/>
        <v>0</v>
      </c>
      <c r="AA832" s="241"/>
      <c r="AH832" s="242"/>
    </row>
    <row r="833" spans="2:34" ht="15.75" x14ac:dyDescent="0.25">
      <c r="B833" s="229"/>
      <c r="C833" s="235"/>
      <c r="D833" s="243"/>
      <c r="E833" s="232"/>
      <c r="F833" s="435"/>
      <c r="G833" s="234"/>
      <c r="H833" s="235"/>
      <c r="I833" s="235"/>
      <c r="J833" s="440"/>
      <c r="K833" s="443">
        <f ca="1">ROUND(IF(ISERROR(OFFSET(Tabella!$A$1,MATCH(H833,Tabella!$A:$A,0)-1,MATCH(J833,Tabella!$A$1:$AC$1,0)-1)=TRUE),0,+OFFSET(Tabella!$A$1,MATCH(H833,Tabella!$A:$A,0)-1,MATCH(J833,Tabella!$A$1:$AC$1,0)-1)),4)</f>
        <v>0</v>
      </c>
      <c r="L833" s="446">
        <f ca="1">ROUND(IF(ISERROR(OFFSET(Ottone!$A$1,MATCH(H833,Ottone!$A:$A,0)-1,MATCH(J833,Ottone!$A$1:$Z$1,0)-1)=TRUE),0,OFFSET(Ottone!$A$1,MATCH(H833,Ottone!$A:$A,0)-1,MATCH(J833,Ottone!$A$1:$Z$1,0)-1))*IF(E833="Ottone",1,0),4)</f>
        <v>0</v>
      </c>
      <c r="M833" s="446">
        <f ca="1">ROUND(IF(ISERROR(OFFSET(Rame!$A$1,MATCH(H833,Rame!$A:$A,0)-1,MATCH(J833,Rame!$A$1:$AA$1,0)-1)=TRUE),0,OFFSET(Rame!$A$1,MATCH(H833,Rame!$A:$A,0)-1,MATCH(J833,Rame!$A$1:$AA$1,0)-1))*IF(E833="Rame",1,0),4)</f>
        <v>0</v>
      </c>
      <c r="N833" s="446">
        <v>0</v>
      </c>
      <c r="O833" s="446">
        <f t="shared" ca="1" si="213"/>
        <v>0</v>
      </c>
      <c r="P833" s="446">
        <f ca="1">ROUND(+IF(ISERROR(OFFSET(Tabella!$G$1,MATCH(H833,Tabella!$G:$G,0)-1,MATCH(I833,Tabella!$G$1:$FG$1,0)-1)=TRUE),0,OFFSET(Tabella!$G$1,MATCH(H833,Tabella!$G:$G,0)-1,MATCH(I833,Tabella!$G$1:$AB$1,0)-1)),4)</f>
        <v>0</v>
      </c>
      <c r="Q833" s="446">
        <f ca="1">ROUND(IF(ISERROR(OFFSET(Ottone!$F$1,MATCH(H833,Ottone!$A:$A,0)-1,MATCH(I833,Ottone!$F$1:$FF$1,0)-1)=TRUE),0,OFFSET(Ottone!$F$1,MATCH(H833,Ottone!$A:$A,0)-1,MATCH(I833,Ottone!$F$1:$FF$1,0)-1))*IF(E833="Ottone",1,0),4)</f>
        <v>0</v>
      </c>
      <c r="R833" s="446">
        <f ca="1">ROUND(IF(ISERROR(OFFSET(Rame!$F$1,MATCH(H833,Rame!$F:$F,0)-1,MATCH(I833,Rame!$F$1:$FF$1,0)-1)=TRUE),0,OFFSET(Rame!$F$1,MATCH(H833,Rame!$F:$F,0)-1,MATCH(I833,Rame!$F$1:$FF$1,0)-1))*IF(E833="Rame",1,0),4)</f>
        <v>0</v>
      </c>
      <c r="S833" s="446">
        <f ca="1">ROUND(IF(ISERROR(OFFSET(Bronzo!$A$1,MATCH(H833,Bronzo!$A:$A,0)-1,MATCH(I833,Bronzo!$A$1:$AA$1,0)-1)=TRUE),0,OFFSET(Bronzo!$A$1,MATCH(H833,Bronzo!$A:$A,0)-1,MATCH(I833,Bronzo!$A$1:$AA$1,0)-1)),4)</f>
        <v>0</v>
      </c>
      <c r="T833" s="446">
        <f t="shared" ca="1" si="210"/>
        <v>0</v>
      </c>
      <c r="U833" s="443"/>
      <c r="V833" s="446">
        <v>0</v>
      </c>
      <c r="W833" s="449">
        <f t="shared" ca="1" si="211"/>
        <v>0</v>
      </c>
      <c r="X833" s="452">
        <f t="shared" si="209"/>
        <v>0</v>
      </c>
      <c r="Y833" s="440"/>
      <c r="Z833" s="440">
        <f t="shared" ca="1" si="212"/>
        <v>0</v>
      </c>
      <c r="AA833" s="241"/>
      <c r="AH833" s="242"/>
    </row>
    <row r="834" spans="2:34" ht="15.75" x14ac:dyDescent="0.25">
      <c r="B834" s="229"/>
      <c r="C834" s="235"/>
      <c r="D834" s="243"/>
      <c r="E834" s="232"/>
      <c r="F834" s="435"/>
      <c r="G834" s="234"/>
      <c r="H834" s="235"/>
      <c r="I834" s="235"/>
      <c r="J834" s="440"/>
      <c r="K834" s="443">
        <f ca="1">ROUND(IF(ISERROR(OFFSET(Tabella!$A$1,MATCH(H834,Tabella!$A:$A,0)-1,MATCH(J834,Tabella!$A$1:$AC$1,0)-1)=TRUE),0,+OFFSET(Tabella!$A$1,MATCH(H834,Tabella!$A:$A,0)-1,MATCH(J834,Tabella!$A$1:$AC$1,0)-1)),4)</f>
        <v>0</v>
      </c>
      <c r="L834" s="446">
        <f ca="1">ROUND(IF(ISERROR(OFFSET(Ottone!$A$1,MATCH(H834,Ottone!$A:$A,0)-1,MATCH(J834,Ottone!$A$1:$Z$1,0)-1)=TRUE),0,OFFSET(Ottone!$A$1,MATCH(H834,Ottone!$A:$A,0)-1,MATCH(J834,Ottone!$A$1:$Z$1,0)-1))*IF(E834="Ottone",1,0),4)</f>
        <v>0</v>
      </c>
      <c r="M834" s="446">
        <f ca="1">ROUND(IF(ISERROR(OFFSET(Rame!$A$1,MATCH(H834,Rame!$A:$A,0)-1,MATCH(J834,Rame!$A$1:$AA$1,0)-1)=TRUE),0,OFFSET(Rame!$A$1,MATCH(H834,Rame!$A:$A,0)-1,MATCH(J834,Rame!$A$1:$AA$1,0)-1))*IF(E834="Rame",1,0),4)</f>
        <v>0</v>
      </c>
      <c r="N834" s="446">
        <v>0</v>
      </c>
      <c r="O834" s="446">
        <f t="shared" ca="1" si="213"/>
        <v>0</v>
      </c>
      <c r="P834" s="446">
        <f ca="1">ROUND(+IF(ISERROR(OFFSET(Tabella!$G$1,MATCH(H834,Tabella!$G:$G,0)-1,MATCH(I834,Tabella!$G$1:$FG$1,0)-1)=TRUE),0,OFFSET(Tabella!$G$1,MATCH(H834,Tabella!$G:$G,0)-1,MATCH(I834,Tabella!$G$1:$AB$1,0)-1)),4)</f>
        <v>0</v>
      </c>
      <c r="Q834" s="446">
        <f ca="1">ROUND(IF(ISERROR(OFFSET(Ottone!$F$1,MATCH(H834,Ottone!$A:$A,0)-1,MATCH(I834,Ottone!$F$1:$FF$1,0)-1)=TRUE),0,OFFSET(Ottone!$F$1,MATCH(H834,Ottone!$A:$A,0)-1,MATCH(I834,Ottone!$F$1:$FF$1,0)-1))*IF(E834="Ottone",1,0),4)</f>
        <v>0</v>
      </c>
      <c r="R834" s="446">
        <f ca="1">ROUND(IF(ISERROR(OFFSET(Rame!$F$1,MATCH(H834,Rame!$F:$F,0)-1,MATCH(I834,Rame!$F$1:$FF$1,0)-1)=TRUE),0,OFFSET(Rame!$F$1,MATCH(H834,Rame!$F:$F,0)-1,MATCH(I834,Rame!$F$1:$FF$1,0)-1))*IF(E834="Rame",1,0),4)</f>
        <v>0</v>
      </c>
      <c r="S834" s="446">
        <f ca="1">ROUND(IF(ISERROR(OFFSET(Bronzo!$A$1,MATCH(H834,Bronzo!$A:$A,0)-1,MATCH(I834,Bronzo!$A$1:$AA$1,0)-1)=TRUE),0,OFFSET(Bronzo!$A$1,MATCH(H834,Bronzo!$A:$A,0)-1,MATCH(I834,Bronzo!$A$1:$AA$1,0)-1)),4)</f>
        <v>0</v>
      </c>
      <c r="T834" s="446">
        <f t="shared" ca="1" si="210"/>
        <v>0</v>
      </c>
      <c r="U834" s="443"/>
      <c r="V834" s="446">
        <v>0</v>
      </c>
      <c r="W834" s="449">
        <f t="shared" ca="1" si="211"/>
        <v>0</v>
      </c>
      <c r="X834" s="452">
        <f t="shared" si="209"/>
        <v>0</v>
      </c>
      <c r="Y834" s="440"/>
      <c r="Z834" s="440">
        <f t="shared" ca="1" si="212"/>
        <v>0</v>
      </c>
      <c r="AA834" s="241"/>
      <c r="AH834" s="242"/>
    </row>
    <row r="835" spans="2:34" ht="15.75" x14ac:dyDescent="0.25">
      <c r="B835" s="229"/>
      <c r="C835" s="235"/>
      <c r="D835" s="243"/>
      <c r="E835" s="232"/>
      <c r="F835" s="435"/>
      <c r="G835" s="234"/>
      <c r="H835" s="235"/>
      <c r="I835" s="235"/>
      <c r="J835" s="440"/>
      <c r="K835" s="443">
        <f ca="1">ROUND(IF(ISERROR(OFFSET(Tabella!$A$1,MATCH(H835,Tabella!$A:$A,0)-1,MATCH(J835,Tabella!$A$1:$AC$1,0)-1)=TRUE),0,+OFFSET(Tabella!$A$1,MATCH(H835,Tabella!$A:$A,0)-1,MATCH(J835,Tabella!$A$1:$AC$1,0)-1)),4)</f>
        <v>0</v>
      </c>
      <c r="L835" s="446">
        <f ca="1">ROUND(IF(ISERROR(OFFSET(Ottone!$A$1,MATCH(H835,Ottone!$A:$A,0)-1,MATCH(J835,Ottone!$A$1:$Z$1,0)-1)=TRUE),0,OFFSET(Ottone!$A$1,MATCH(H835,Ottone!$A:$A,0)-1,MATCH(J835,Ottone!$A$1:$Z$1,0)-1))*IF(E835="Ottone",1,0),4)</f>
        <v>0</v>
      </c>
      <c r="M835" s="446">
        <f ca="1">ROUND(IF(ISERROR(OFFSET(Rame!$A$1,MATCH(H835,Rame!$A:$A,0)-1,MATCH(J835,Rame!$A$1:$AA$1,0)-1)=TRUE),0,OFFSET(Rame!$A$1,MATCH(H835,Rame!$A:$A,0)-1,MATCH(J835,Rame!$A$1:$AA$1,0)-1))*IF(E835="Rame",1,0),4)</f>
        <v>0</v>
      </c>
      <c r="N835" s="446">
        <v>0</v>
      </c>
      <c r="O835" s="446">
        <f t="shared" ca="1" si="213"/>
        <v>0</v>
      </c>
      <c r="P835" s="446">
        <f ca="1">ROUND(+IF(ISERROR(OFFSET(Tabella!$G$1,MATCH(H835,Tabella!$G:$G,0)-1,MATCH(I835,Tabella!$G$1:$FG$1,0)-1)=TRUE),0,OFFSET(Tabella!$G$1,MATCH(H835,Tabella!$G:$G,0)-1,MATCH(I835,Tabella!$G$1:$AB$1,0)-1)),4)</f>
        <v>0</v>
      </c>
      <c r="Q835" s="446">
        <f ca="1">ROUND(IF(ISERROR(OFFSET(Ottone!$F$1,MATCH(H835,Ottone!$A:$A,0)-1,MATCH(I835,Ottone!$F$1:$FF$1,0)-1)=TRUE),0,OFFSET(Ottone!$F$1,MATCH(H835,Ottone!$A:$A,0)-1,MATCH(I835,Ottone!$F$1:$FF$1,0)-1))*IF(E835="Ottone",1,0),4)</f>
        <v>0</v>
      </c>
      <c r="R835" s="446">
        <f ca="1">ROUND(IF(ISERROR(OFFSET(Rame!$F$1,MATCH(H835,Rame!$F:$F,0)-1,MATCH(I835,Rame!$F$1:$FF$1,0)-1)=TRUE),0,OFFSET(Rame!$F$1,MATCH(H835,Rame!$F:$F,0)-1,MATCH(I835,Rame!$F$1:$FF$1,0)-1))*IF(E835="Rame",1,0),4)</f>
        <v>0</v>
      </c>
      <c r="S835" s="446">
        <f ca="1">ROUND(IF(ISERROR(OFFSET(Bronzo!$A$1,MATCH(H835,Bronzo!$A:$A,0)-1,MATCH(I835,Bronzo!$A$1:$AA$1,0)-1)=TRUE),0,OFFSET(Bronzo!$A$1,MATCH(H835,Bronzo!$A:$A,0)-1,MATCH(I835,Bronzo!$A$1:$AA$1,0)-1)),4)</f>
        <v>0</v>
      </c>
      <c r="T835" s="446">
        <f t="shared" ca="1" si="210"/>
        <v>0</v>
      </c>
      <c r="U835" s="443"/>
      <c r="V835" s="446">
        <v>0</v>
      </c>
      <c r="W835" s="449">
        <f t="shared" ca="1" si="211"/>
        <v>0</v>
      </c>
      <c r="X835" s="452">
        <f t="shared" si="209"/>
        <v>0</v>
      </c>
      <c r="Y835" s="440"/>
      <c r="Z835" s="440">
        <f t="shared" ca="1" si="212"/>
        <v>0</v>
      </c>
      <c r="AA835" s="241"/>
      <c r="AH835" s="242"/>
    </row>
    <row r="836" spans="2:34" ht="15.75" x14ac:dyDescent="0.25">
      <c r="B836" s="229"/>
      <c r="C836" s="235"/>
      <c r="D836" s="243"/>
      <c r="E836" s="232"/>
      <c r="F836" s="435"/>
      <c r="G836" s="234"/>
      <c r="H836" s="235"/>
      <c r="I836" s="235"/>
      <c r="J836" s="440"/>
      <c r="K836" s="443">
        <f ca="1">ROUND(IF(ISERROR(OFFSET(Tabella!$A$1,MATCH(H836,Tabella!$A:$A,0)-1,MATCH(J836,Tabella!$A$1:$AC$1,0)-1)=TRUE),0,+OFFSET(Tabella!$A$1,MATCH(H836,Tabella!$A:$A,0)-1,MATCH(J836,Tabella!$A$1:$AC$1,0)-1)),4)</f>
        <v>0</v>
      </c>
      <c r="L836" s="446">
        <f ca="1">ROUND(IF(ISERROR(OFFSET(Ottone!$A$1,MATCH(H836,Ottone!$A:$A,0)-1,MATCH(J836,Ottone!$A$1:$Z$1,0)-1)=TRUE),0,OFFSET(Ottone!$A$1,MATCH(H836,Ottone!$A:$A,0)-1,MATCH(J836,Ottone!$A$1:$Z$1,0)-1))*IF(E836="Ottone",1,0),4)</f>
        <v>0</v>
      </c>
      <c r="M836" s="446">
        <f ca="1">ROUND(IF(ISERROR(OFFSET(Rame!$A$1,MATCH(H836,Rame!$A:$A,0)-1,MATCH(J836,Rame!$A$1:$AA$1,0)-1)=TRUE),0,OFFSET(Rame!$A$1,MATCH(H836,Rame!$A:$A,0)-1,MATCH(J836,Rame!$A$1:$AA$1,0)-1))*IF(E836="Rame",1,0),4)</f>
        <v>0</v>
      </c>
      <c r="N836" s="446">
        <v>0</v>
      </c>
      <c r="O836" s="446">
        <f t="shared" ca="1" si="213"/>
        <v>0</v>
      </c>
      <c r="P836" s="446">
        <f ca="1">ROUND(+IF(ISERROR(OFFSET(Tabella!$G$1,MATCH(H836,Tabella!$G:$G,0)-1,MATCH(I836,Tabella!$G$1:$FG$1,0)-1)=TRUE),0,OFFSET(Tabella!$G$1,MATCH(H836,Tabella!$G:$G,0)-1,MATCH(I836,Tabella!$G$1:$AB$1,0)-1)),4)</f>
        <v>0</v>
      </c>
      <c r="Q836" s="446">
        <f ca="1">ROUND(IF(ISERROR(OFFSET(Ottone!$F$1,MATCH(H836,Ottone!$A:$A,0)-1,MATCH(I836,Ottone!$F$1:$FF$1,0)-1)=TRUE),0,OFFSET(Ottone!$F$1,MATCH(H836,Ottone!$A:$A,0)-1,MATCH(I836,Ottone!$F$1:$FF$1,0)-1))*IF(E836="Ottone",1,0),4)</f>
        <v>0</v>
      </c>
      <c r="R836" s="446">
        <f ca="1">ROUND(IF(ISERROR(OFFSET(Rame!$F$1,MATCH(H836,Rame!$F:$F,0)-1,MATCH(I836,Rame!$F$1:$FF$1,0)-1)=TRUE),0,OFFSET(Rame!$F$1,MATCH(H836,Rame!$F:$F,0)-1,MATCH(I836,Rame!$F$1:$FF$1,0)-1))*IF(E836="Rame",1,0),4)</f>
        <v>0</v>
      </c>
      <c r="S836" s="446">
        <f ca="1">ROUND(IF(ISERROR(OFFSET(Bronzo!$A$1,MATCH(H836,Bronzo!$A:$A,0)-1,MATCH(I836,Bronzo!$A$1:$AA$1,0)-1)=TRUE),0,OFFSET(Bronzo!$A$1,MATCH(H836,Bronzo!$A:$A,0)-1,MATCH(I836,Bronzo!$A$1:$AA$1,0)-1)),4)</f>
        <v>0</v>
      </c>
      <c r="T836" s="446">
        <f t="shared" ca="1" si="210"/>
        <v>0</v>
      </c>
      <c r="U836" s="443"/>
      <c r="V836" s="446">
        <v>0</v>
      </c>
      <c r="W836" s="449">
        <f t="shared" ca="1" si="211"/>
        <v>0</v>
      </c>
      <c r="X836" s="452">
        <f t="shared" si="209"/>
        <v>0</v>
      </c>
      <c r="Y836" s="440"/>
      <c r="Z836" s="440">
        <f t="shared" ca="1" si="212"/>
        <v>0</v>
      </c>
      <c r="AA836" s="241"/>
      <c r="AH836" s="242"/>
    </row>
    <row r="837" spans="2:34" ht="15.75" x14ac:dyDescent="0.25">
      <c r="B837" s="229"/>
      <c r="C837" s="235"/>
      <c r="D837" s="243"/>
      <c r="E837" s="232"/>
      <c r="F837" s="435"/>
      <c r="G837" s="234"/>
      <c r="H837" s="235"/>
      <c r="I837" s="235"/>
      <c r="J837" s="440"/>
      <c r="K837" s="443">
        <f ca="1">ROUND(IF(ISERROR(OFFSET(Tabella!$A$1,MATCH(H837,Tabella!$A:$A,0)-1,MATCH(J837,Tabella!$A$1:$AC$1,0)-1)=TRUE),0,+OFFSET(Tabella!$A$1,MATCH(H837,Tabella!$A:$A,0)-1,MATCH(J837,Tabella!$A$1:$AC$1,0)-1)),4)</f>
        <v>0</v>
      </c>
      <c r="L837" s="446">
        <f ca="1">ROUND(IF(ISERROR(OFFSET(Ottone!$A$1,MATCH(H837,Ottone!$A:$A,0)-1,MATCH(J837,Ottone!$A$1:$Z$1,0)-1)=TRUE),0,OFFSET(Ottone!$A$1,MATCH(H837,Ottone!$A:$A,0)-1,MATCH(J837,Ottone!$A$1:$Z$1,0)-1))*IF(E837="Ottone",1,0),4)</f>
        <v>0</v>
      </c>
      <c r="M837" s="446">
        <f ca="1">ROUND(IF(ISERROR(OFFSET(Rame!$A$1,MATCH(H837,Rame!$A:$A,0)-1,MATCH(J837,Rame!$A$1:$AA$1,0)-1)=TRUE),0,OFFSET(Rame!$A$1,MATCH(H837,Rame!$A:$A,0)-1,MATCH(J837,Rame!$A$1:$AA$1,0)-1))*IF(E837="Rame",1,0),4)</f>
        <v>0</v>
      </c>
      <c r="N837" s="446">
        <v>0</v>
      </c>
      <c r="O837" s="446">
        <f t="shared" ca="1" si="213"/>
        <v>0</v>
      </c>
      <c r="P837" s="446">
        <f ca="1">ROUND(+IF(ISERROR(OFFSET(Tabella!$G$1,MATCH(H837,Tabella!$G:$G,0)-1,MATCH(I837,Tabella!$G$1:$FG$1,0)-1)=TRUE),0,OFFSET(Tabella!$G$1,MATCH(H837,Tabella!$G:$G,0)-1,MATCH(I837,Tabella!$G$1:$AB$1,0)-1)),4)</f>
        <v>0</v>
      </c>
      <c r="Q837" s="446">
        <f ca="1">ROUND(IF(ISERROR(OFFSET(Ottone!$F$1,MATCH(H837,Ottone!$A:$A,0)-1,MATCH(I837,Ottone!$F$1:$FF$1,0)-1)=TRUE),0,OFFSET(Ottone!$F$1,MATCH(H837,Ottone!$A:$A,0)-1,MATCH(I837,Ottone!$F$1:$FF$1,0)-1))*IF(E837="Ottone",1,0),4)</f>
        <v>0</v>
      </c>
      <c r="R837" s="446">
        <f ca="1">ROUND(IF(ISERROR(OFFSET(Rame!$F$1,MATCH(H837,Rame!$F:$F,0)-1,MATCH(I837,Rame!$F$1:$FF$1,0)-1)=TRUE),0,OFFSET(Rame!$F$1,MATCH(H837,Rame!$F:$F,0)-1,MATCH(I837,Rame!$F$1:$FF$1,0)-1))*IF(E837="Rame",1,0),4)</f>
        <v>0</v>
      </c>
      <c r="S837" s="446">
        <f ca="1">ROUND(IF(ISERROR(OFFSET(Bronzo!$A$1,MATCH(H837,Bronzo!$A:$A,0)-1,MATCH(I837,Bronzo!$A$1:$AA$1,0)-1)=TRUE),0,OFFSET(Bronzo!$A$1,MATCH(H837,Bronzo!$A:$A,0)-1,MATCH(I837,Bronzo!$A$1:$AA$1,0)-1)),4)</f>
        <v>0</v>
      </c>
      <c r="T837" s="446">
        <f t="shared" ca="1" si="210"/>
        <v>0</v>
      </c>
      <c r="U837" s="443"/>
      <c r="V837" s="446">
        <v>0</v>
      </c>
      <c r="W837" s="449">
        <f t="shared" ca="1" si="211"/>
        <v>0</v>
      </c>
      <c r="X837" s="452">
        <f t="shared" si="209"/>
        <v>0</v>
      </c>
      <c r="Y837" s="440"/>
      <c r="Z837" s="440">
        <f t="shared" ca="1" si="212"/>
        <v>0</v>
      </c>
      <c r="AA837" s="241"/>
      <c r="AH837" s="242"/>
    </row>
    <row r="838" spans="2:34" ht="15.75" x14ac:dyDescent="0.25">
      <c r="B838" s="229"/>
      <c r="C838" s="235"/>
      <c r="D838" s="243"/>
      <c r="E838" s="232"/>
      <c r="F838" s="435"/>
      <c r="G838" s="234"/>
      <c r="H838" s="235"/>
      <c r="I838" s="235"/>
      <c r="J838" s="440"/>
      <c r="K838" s="443">
        <f ca="1">ROUND(IF(ISERROR(OFFSET(Tabella!$A$1,MATCH(H838,Tabella!$A:$A,0)-1,MATCH(J838,Tabella!$A$1:$AC$1,0)-1)=TRUE),0,+OFFSET(Tabella!$A$1,MATCH(H838,Tabella!$A:$A,0)-1,MATCH(J838,Tabella!$A$1:$AC$1,0)-1)),4)</f>
        <v>0</v>
      </c>
      <c r="L838" s="446">
        <f ca="1">ROUND(IF(ISERROR(OFFSET(Ottone!$A$1,MATCH(H838,Ottone!$A:$A,0)-1,MATCH(J838,Ottone!$A$1:$Z$1,0)-1)=TRUE),0,OFFSET(Ottone!$A$1,MATCH(H838,Ottone!$A:$A,0)-1,MATCH(J838,Ottone!$A$1:$Z$1,0)-1))*IF(E838="Ottone",1,0),4)</f>
        <v>0</v>
      </c>
      <c r="M838" s="446">
        <f ca="1">ROUND(IF(ISERROR(OFFSET(Rame!$A$1,MATCH(H838,Rame!$A:$A,0)-1,MATCH(J838,Rame!$A$1:$AA$1,0)-1)=TRUE),0,OFFSET(Rame!$A$1,MATCH(H838,Rame!$A:$A,0)-1,MATCH(J838,Rame!$A$1:$AA$1,0)-1))*IF(E838="Rame",1,0),4)</f>
        <v>0</v>
      </c>
      <c r="N838" s="446">
        <v>0</v>
      </c>
      <c r="O838" s="446">
        <f t="shared" ca="1" si="213"/>
        <v>0</v>
      </c>
      <c r="P838" s="446">
        <f ca="1">ROUND(+IF(ISERROR(OFFSET(Tabella!$G$1,MATCH(H838,Tabella!$G:$G,0)-1,MATCH(I838,Tabella!$G$1:$FG$1,0)-1)=TRUE),0,OFFSET(Tabella!$G$1,MATCH(H838,Tabella!$G:$G,0)-1,MATCH(I838,Tabella!$G$1:$AB$1,0)-1)),4)</f>
        <v>0</v>
      </c>
      <c r="Q838" s="446">
        <f ca="1">ROUND(IF(ISERROR(OFFSET(Ottone!$F$1,MATCH(H838,Ottone!$A:$A,0)-1,MATCH(I838,Ottone!$F$1:$FF$1,0)-1)=TRUE),0,OFFSET(Ottone!$F$1,MATCH(H838,Ottone!$A:$A,0)-1,MATCH(I838,Ottone!$F$1:$FF$1,0)-1))*IF(E838="Ottone",1,0),4)</f>
        <v>0</v>
      </c>
      <c r="R838" s="446">
        <f ca="1">ROUND(IF(ISERROR(OFFSET(Rame!$F$1,MATCH(H838,Rame!$F:$F,0)-1,MATCH(I838,Rame!$F$1:$FF$1,0)-1)=TRUE),0,OFFSET(Rame!$F$1,MATCH(H838,Rame!$F:$F,0)-1,MATCH(I838,Rame!$F$1:$FF$1,0)-1))*IF(E838="Rame",1,0),4)</f>
        <v>0</v>
      </c>
      <c r="S838" s="446">
        <f ca="1">ROUND(IF(ISERROR(OFFSET(Bronzo!$A$1,MATCH(H838,Bronzo!$A:$A,0)-1,MATCH(I838,Bronzo!$A$1:$AA$1,0)-1)=TRUE),0,OFFSET(Bronzo!$A$1,MATCH(H838,Bronzo!$A:$A,0)-1,MATCH(I838,Bronzo!$A$1:$AA$1,0)-1)),4)</f>
        <v>0</v>
      </c>
      <c r="T838" s="446">
        <f t="shared" ca="1" si="210"/>
        <v>0</v>
      </c>
      <c r="U838" s="443"/>
      <c r="V838" s="446">
        <v>0</v>
      </c>
      <c r="W838" s="449">
        <f t="shared" ca="1" si="211"/>
        <v>0</v>
      </c>
      <c r="X838" s="452">
        <f t="shared" si="209"/>
        <v>0</v>
      </c>
      <c r="Y838" s="440"/>
      <c r="Z838" s="440">
        <f t="shared" ca="1" si="212"/>
        <v>0</v>
      </c>
      <c r="AA838" s="241"/>
      <c r="AH838" s="242"/>
    </row>
    <row r="839" spans="2:34" ht="15.75" x14ac:dyDescent="0.25">
      <c r="B839" s="229"/>
      <c r="C839" s="235"/>
      <c r="D839" s="243"/>
      <c r="E839" s="232"/>
      <c r="F839" s="435"/>
      <c r="G839" s="234"/>
      <c r="H839" s="235"/>
      <c r="I839" s="235"/>
      <c r="J839" s="440"/>
      <c r="K839" s="443">
        <f ca="1">ROUND(IF(ISERROR(OFFSET(Tabella!$A$1,MATCH(H839,Tabella!$A:$A,0)-1,MATCH(J839,Tabella!$A$1:$AC$1,0)-1)=TRUE),0,+OFFSET(Tabella!$A$1,MATCH(H839,Tabella!$A:$A,0)-1,MATCH(J839,Tabella!$A$1:$AC$1,0)-1)),4)</f>
        <v>0</v>
      </c>
      <c r="L839" s="446">
        <f ca="1">ROUND(IF(ISERROR(OFFSET(Ottone!$A$1,MATCH(H839,Ottone!$A:$A,0)-1,MATCH(J839,Ottone!$A$1:$Z$1,0)-1)=TRUE),0,OFFSET(Ottone!$A$1,MATCH(H839,Ottone!$A:$A,0)-1,MATCH(J839,Ottone!$A$1:$Z$1,0)-1))*IF(E839="Ottone",1,0),4)</f>
        <v>0</v>
      </c>
      <c r="M839" s="446">
        <f ca="1">ROUND(IF(ISERROR(OFFSET(Rame!$A$1,MATCH(H839,Rame!$A:$A,0)-1,MATCH(J839,Rame!$A$1:$AA$1,0)-1)=TRUE),0,OFFSET(Rame!$A$1,MATCH(H839,Rame!$A:$A,0)-1,MATCH(J839,Rame!$A$1:$AA$1,0)-1))*IF(E839="Rame",1,0),4)</f>
        <v>0</v>
      </c>
      <c r="N839" s="446">
        <v>0</v>
      </c>
      <c r="O839" s="446">
        <f t="shared" ca="1" si="213"/>
        <v>0</v>
      </c>
      <c r="P839" s="446">
        <f ca="1">ROUND(+IF(ISERROR(OFFSET(Tabella!$G$1,MATCH(H839,Tabella!$G:$G,0)-1,MATCH(I839,Tabella!$G$1:$FG$1,0)-1)=TRUE),0,OFFSET(Tabella!$G$1,MATCH(H839,Tabella!$G:$G,0)-1,MATCH(I839,Tabella!$G$1:$AB$1,0)-1)),4)</f>
        <v>0</v>
      </c>
      <c r="Q839" s="446">
        <f ca="1">ROUND(IF(ISERROR(OFFSET(Ottone!$F$1,MATCH(H839,Ottone!$A:$A,0)-1,MATCH(I839,Ottone!$F$1:$FF$1,0)-1)=TRUE),0,OFFSET(Ottone!$F$1,MATCH(H839,Ottone!$A:$A,0)-1,MATCH(I839,Ottone!$F$1:$FF$1,0)-1))*IF(E839="Ottone",1,0),4)</f>
        <v>0</v>
      </c>
      <c r="R839" s="446">
        <f ca="1">ROUND(IF(ISERROR(OFFSET(Rame!$F$1,MATCH(H839,Rame!$F:$F,0)-1,MATCH(I839,Rame!$F$1:$FF$1,0)-1)=TRUE),0,OFFSET(Rame!$F$1,MATCH(H839,Rame!$F:$F,0)-1,MATCH(I839,Rame!$F$1:$FF$1,0)-1))*IF(E839="Rame",1,0),4)</f>
        <v>0</v>
      </c>
      <c r="S839" s="446">
        <f ca="1">ROUND(IF(ISERROR(OFFSET(Bronzo!$A$1,MATCH(H839,Bronzo!$A:$A,0)-1,MATCH(I839,Bronzo!$A$1:$AA$1,0)-1)=TRUE),0,OFFSET(Bronzo!$A$1,MATCH(H839,Bronzo!$A:$A,0)-1,MATCH(I839,Bronzo!$A$1:$AA$1,0)-1)),4)</f>
        <v>0</v>
      </c>
      <c r="T839" s="446">
        <f t="shared" ca="1" si="210"/>
        <v>0</v>
      </c>
      <c r="U839" s="443"/>
      <c r="V839" s="446">
        <v>0</v>
      </c>
      <c r="W839" s="449">
        <f t="shared" ca="1" si="211"/>
        <v>0</v>
      </c>
      <c r="X839" s="452">
        <f t="shared" si="209"/>
        <v>0</v>
      </c>
      <c r="Y839" s="440"/>
      <c r="Z839" s="440">
        <f t="shared" ca="1" si="212"/>
        <v>0</v>
      </c>
      <c r="AA839" s="241"/>
      <c r="AH839" s="242"/>
    </row>
    <row r="840" spans="2:34" ht="15.75" x14ac:dyDescent="0.25">
      <c r="B840" s="229"/>
      <c r="C840" s="235"/>
      <c r="D840" s="243"/>
      <c r="E840" s="232"/>
      <c r="F840" s="435"/>
      <c r="G840" s="234"/>
      <c r="H840" s="235"/>
      <c r="I840" s="235"/>
      <c r="J840" s="440"/>
      <c r="K840" s="443">
        <f ca="1">ROUND(IF(ISERROR(OFFSET(Tabella!$A$1,MATCH(H840,Tabella!$A:$A,0)-1,MATCH(J840,Tabella!$A$1:$AC$1,0)-1)=TRUE),0,+OFFSET(Tabella!$A$1,MATCH(H840,Tabella!$A:$A,0)-1,MATCH(J840,Tabella!$A$1:$AC$1,0)-1)),4)</f>
        <v>0</v>
      </c>
      <c r="L840" s="446">
        <f ca="1">ROUND(IF(ISERROR(OFFSET(Ottone!$A$1,MATCH(H840,Ottone!$A:$A,0)-1,MATCH(J840,Ottone!$A$1:$Z$1,0)-1)=TRUE),0,OFFSET(Ottone!$A$1,MATCH(H840,Ottone!$A:$A,0)-1,MATCH(J840,Ottone!$A$1:$Z$1,0)-1))*IF(E840="Ottone",1,0),4)</f>
        <v>0</v>
      </c>
      <c r="M840" s="446">
        <f ca="1">ROUND(IF(ISERROR(OFFSET(Rame!$A$1,MATCH(H840,Rame!$A:$A,0)-1,MATCH(J840,Rame!$A$1:$AA$1,0)-1)=TRUE),0,OFFSET(Rame!$A$1,MATCH(H840,Rame!$A:$A,0)-1,MATCH(J840,Rame!$A$1:$AA$1,0)-1))*IF(E840="Rame",1,0),4)</f>
        <v>0</v>
      </c>
      <c r="N840" s="446">
        <v>0</v>
      </c>
      <c r="O840" s="446">
        <f t="shared" ca="1" si="213"/>
        <v>0</v>
      </c>
      <c r="P840" s="446">
        <f ca="1">ROUND(+IF(ISERROR(OFFSET(Tabella!$G$1,MATCH(H840,Tabella!$G:$G,0)-1,MATCH(I840,Tabella!$G$1:$FG$1,0)-1)=TRUE),0,OFFSET(Tabella!$G$1,MATCH(H840,Tabella!$G:$G,0)-1,MATCH(I840,Tabella!$G$1:$AB$1,0)-1)),4)</f>
        <v>0</v>
      </c>
      <c r="Q840" s="446">
        <f ca="1">ROUND(IF(ISERROR(OFFSET(Ottone!$F$1,MATCH(H840,Ottone!$A:$A,0)-1,MATCH(I840,Ottone!$F$1:$FF$1,0)-1)=TRUE),0,OFFSET(Ottone!$F$1,MATCH(H840,Ottone!$A:$A,0)-1,MATCH(I840,Ottone!$F$1:$FF$1,0)-1))*IF(E840="Ottone",1,0),4)</f>
        <v>0</v>
      </c>
      <c r="R840" s="446">
        <f ca="1">ROUND(IF(ISERROR(OFFSET(Rame!$F$1,MATCH(H840,Rame!$F:$F,0)-1,MATCH(I840,Rame!$F$1:$FF$1,0)-1)=TRUE),0,OFFSET(Rame!$F$1,MATCH(H840,Rame!$F:$F,0)-1,MATCH(I840,Rame!$F$1:$FF$1,0)-1))*IF(E840="Rame",1,0),4)</f>
        <v>0</v>
      </c>
      <c r="S840" s="446">
        <f ca="1">ROUND(IF(ISERROR(OFFSET(Bronzo!$A$1,MATCH(H840,Bronzo!$A:$A,0)-1,MATCH(I840,Bronzo!$A$1:$AA$1,0)-1)=TRUE),0,OFFSET(Bronzo!$A$1,MATCH(H840,Bronzo!$A:$A,0)-1,MATCH(I840,Bronzo!$A$1:$AA$1,0)-1)),4)</f>
        <v>0</v>
      </c>
      <c r="T840" s="446">
        <f t="shared" ca="1" si="210"/>
        <v>0</v>
      </c>
      <c r="U840" s="443"/>
      <c r="V840" s="446">
        <v>0</v>
      </c>
      <c r="W840" s="449">
        <f t="shared" ca="1" si="211"/>
        <v>0</v>
      </c>
      <c r="X840" s="452">
        <f t="shared" si="209"/>
        <v>0</v>
      </c>
      <c r="Y840" s="440"/>
      <c r="Z840" s="440">
        <f t="shared" ca="1" si="212"/>
        <v>0</v>
      </c>
      <c r="AA840" s="241"/>
      <c r="AH840" s="242"/>
    </row>
    <row r="841" spans="2:34" ht="15.75" x14ac:dyDescent="0.25">
      <c r="B841" s="229"/>
      <c r="C841" s="235"/>
      <c r="D841" s="243"/>
      <c r="E841" s="232"/>
      <c r="F841" s="435"/>
      <c r="G841" s="234"/>
      <c r="H841" s="235"/>
      <c r="I841" s="235"/>
      <c r="J841" s="440"/>
      <c r="K841" s="443">
        <f ca="1">ROUND(IF(ISERROR(OFFSET(Tabella!$A$1,MATCH(H841,Tabella!$A:$A,0)-1,MATCH(J841,Tabella!$A$1:$AC$1,0)-1)=TRUE),0,+OFFSET(Tabella!$A$1,MATCH(H841,Tabella!$A:$A,0)-1,MATCH(J841,Tabella!$A$1:$AC$1,0)-1)),4)</f>
        <v>0</v>
      </c>
      <c r="L841" s="446">
        <f ca="1">ROUND(IF(ISERROR(OFFSET(Ottone!$A$1,MATCH(H841,Ottone!$A:$A,0)-1,MATCH(J841,Ottone!$A$1:$Z$1,0)-1)=TRUE),0,OFFSET(Ottone!$A$1,MATCH(H841,Ottone!$A:$A,0)-1,MATCH(J841,Ottone!$A$1:$Z$1,0)-1))*IF(E841="Ottone",1,0),4)</f>
        <v>0</v>
      </c>
      <c r="M841" s="446">
        <f ca="1">ROUND(IF(ISERROR(OFFSET(Rame!$A$1,MATCH(H841,Rame!$A:$A,0)-1,MATCH(J841,Rame!$A$1:$AA$1,0)-1)=TRUE),0,OFFSET(Rame!$A$1,MATCH(H841,Rame!$A:$A,0)-1,MATCH(J841,Rame!$A$1:$AA$1,0)-1))*IF(E841="Rame",1,0),4)</f>
        <v>0</v>
      </c>
      <c r="N841" s="446">
        <v>0</v>
      </c>
      <c r="O841" s="446">
        <f t="shared" ca="1" si="213"/>
        <v>0</v>
      </c>
      <c r="P841" s="446">
        <f ca="1">ROUND(+IF(ISERROR(OFFSET(Tabella!$G$1,MATCH(H841,Tabella!$G:$G,0)-1,MATCH(I841,Tabella!$G$1:$FG$1,0)-1)=TRUE),0,OFFSET(Tabella!$G$1,MATCH(H841,Tabella!$G:$G,0)-1,MATCH(I841,Tabella!$G$1:$AB$1,0)-1)),4)</f>
        <v>0</v>
      </c>
      <c r="Q841" s="446">
        <f ca="1">ROUND(IF(ISERROR(OFFSET(Ottone!$F$1,MATCH(H841,Ottone!$A:$A,0)-1,MATCH(I841,Ottone!$F$1:$FF$1,0)-1)=TRUE),0,OFFSET(Ottone!$F$1,MATCH(H841,Ottone!$A:$A,0)-1,MATCH(I841,Ottone!$F$1:$FF$1,0)-1))*IF(E841="Ottone",1,0),4)</f>
        <v>0</v>
      </c>
      <c r="R841" s="446">
        <f ca="1">ROUND(IF(ISERROR(OFFSET(Rame!$F$1,MATCH(H841,Rame!$F:$F,0)-1,MATCH(I841,Rame!$F$1:$FF$1,0)-1)=TRUE),0,OFFSET(Rame!$F$1,MATCH(H841,Rame!$F:$F,0)-1,MATCH(I841,Rame!$F$1:$FF$1,0)-1))*IF(E841="Rame",1,0),4)</f>
        <v>0</v>
      </c>
      <c r="S841" s="446">
        <f ca="1">ROUND(IF(ISERROR(OFFSET(Bronzo!$A$1,MATCH(H841,Bronzo!$A:$A,0)-1,MATCH(I841,Bronzo!$A$1:$AA$1,0)-1)=TRUE),0,OFFSET(Bronzo!$A$1,MATCH(H841,Bronzo!$A:$A,0)-1,MATCH(I841,Bronzo!$A$1:$AA$1,0)-1)),4)</f>
        <v>0</v>
      </c>
      <c r="T841" s="446">
        <f t="shared" ca="1" si="210"/>
        <v>0</v>
      </c>
      <c r="U841" s="443"/>
      <c r="V841" s="446">
        <v>0</v>
      </c>
      <c r="W841" s="449">
        <f t="shared" ca="1" si="211"/>
        <v>0</v>
      </c>
      <c r="X841" s="452">
        <f t="shared" si="209"/>
        <v>0</v>
      </c>
      <c r="Y841" s="440"/>
      <c r="Z841" s="440">
        <f t="shared" ca="1" si="212"/>
        <v>0</v>
      </c>
      <c r="AA841" s="241"/>
      <c r="AH841" s="242"/>
    </row>
    <row r="842" spans="2:34" ht="15.75" x14ac:dyDescent="0.25">
      <c r="B842" s="229"/>
      <c r="C842" s="235"/>
      <c r="D842" s="243"/>
      <c r="E842" s="232"/>
      <c r="F842" s="435"/>
      <c r="G842" s="234"/>
      <c r="H842" s="235"/>
      <c r="I842" s="235"/>
      <c r="J842" s="440"/>
      <c r="K842" s="443">
        <f ca="1">ROUND(IF(ISERROR(OFFSET(Tabella!$A$1,MATCH(H842,Tabella!$A:$A,0)-1,MATCH(J842,Tabella!$A$1:$AC$1,0)-1)=TRUE),0,+OFFSET(Tabella!$A$1,MATCH(H842,Tabella!$A:$A,0)-1,MATCH(J842,Tabella!$A$1:$AC$1,0)-1)),4)</f>
        <v>0</v>
      </c>
      <c r="L842" s="446">
        <f ca="1">ROUND(IF(ISERROR(OFFSET(Ottone!$A$1,MATCH(H842,Ottone!$A:$A,0)-1,MATCH(J842,Ottone!$A$1:$Z$1,0)-1)=TRUE),0,OFFSET(Ottone!$A$1,MATCH(H842,Ottone!$A:$A,0)-1,MATCH(J842,Ottone!$A$1:$Z$1,0)-1))*IF(E842="Ottone",1,0),4)</f>
        <v>0</v>
      </c>
      <c r="M842" s="446">
        <f ca="1">ROUND(IF(ISERROR(OFFSET(Rame!$A$1,MATCH(H842,Rame!$A:$A,0)-1,MATCH(J842,Rame!$A$1:$AA$1,0)-1)=TRUE),0,OFFSET(Rame!$A$1,MATCH(H842,Rame!$A:$A,0)-1,MATCH(J842,Rame!$A$1:$AA$1,0)-1))*IF(E842="Rame",1,0),4)</f>
        <v>0</v>
      </c>
      <c r="N842" s="446">
        <v>0</v>
      </c>
      <c r="O842" s="446">
        <f t="shared" ca="1" si="213"/>
        <v>0</v>
      </c>
      <c r="P842" s="446">
        <f ca="1">ROUND(+IF(ISERROR(OFFSET(Tabella!$G$1,MATCH(H842,Tabella!$G:$G,0)-1,MATCH(I842,Tabella!$G$1:$FG$1,0)-1)=TRUE),0,OFFSET(Tabella!$G$1,MATCH(H842,Tabella!$G:$G,0)-1,MATCH(I842,Tabella!$G$1:$AB$1,0)-1)),4)</f>
        <v>0</v>
      </c>
      <c r="Q842" s="446">
        <f ca="1">ROUND(IF(ISERROR(OFFSET(Ottone!$F$1,MATCH(H842,Ottone!$A:$A,0)-1,MATCH(I842,Ottone!$F$1:$FF$1,0)-1)=TRUE),0,OFFSET(Ottone!$F$1,MATCH(H842,Ottone!$A:$A,0)-1,MATCH(I842,Ottone!$F$1:$FF$1,0)-1))*IF(E842="Ottone",1,0),4)</f>
        <v>0</v>
      </c>
      <c r="R842" s="446">
        <f ca="1">ROUND(IF(ISERROR(OFFSET(Rame!$F$1,MATCH(H842,Rame!$F:$F,0)-1,MATCH(I842,Rame!$F$1:$FF$1,0)-1)=TRUE),0,OFFSET(Rame!$F$1,MATCH(H842,Rame!$F:$F,0)-1,MATCH(I842,Rame!$F$1:$FF$1,0)-1))*IF(E842="Rame",1,0),4)</f>
        <v>0</v>
      </c>
      <c r="S842" s="446">
        <f ca="1">ROUND(IF(ISERROR(OFFSET(Bronzo!$A$1,MATCH(H842,Bronzo!$A:$A,0)-1,MATCH(I842,Bronzo!$A$1:$AA$1,0)-1)=TRUE),0,OFFSET(Bronzo!$A$1,MATCH(H842,Bronzo!$A:$A,0)-1,MATCH(I842,Bronzo!$A$1:$AA$1,0)-1)),4)</f>
        <v>0</v>
      </c>
      <c r="T842" s="446">
        <f t="shared" ca="1" si="210"/>
        <v>0</v>
      </c>
      <c r="U842" s="443"/>
      <c r="V842" s="446">
        <v>0</v>
      </c>
      <c r="W842" s="449">
        <f t="shared" ca="1" si="211"/>
        <v>0</v>
      </c>
      <c r="X842" s="452">
        <f t="shared" si="209"/>
        <v>0</v>
      </c>
      <c r="Y842" s="440"/>
      <c r="Z842" s="440">
        <f t="shared" ca="1" si="212"/>
        <v>0</v>
      </c>
      <c r="AA842" s="241"/>
      <c r="AH842" s="242"/>
    </row>
    <row r="843" spans="2:34" ht="15.75" x14ac:dyDescent="0.25">
      <c r="B843" s="229"/>
      <c r="C843" s="235"/>
      <c r="D843" s="243"/>
      <c r="E843" s="232"/>
      <c r="F843" s="435"/>
      <c r="G843" s="234"/>
      <c r="H843" s="235"/>
      <c r="I843" s="235"/>
      <c r="J843" s="440"/>
      <c r="K843" s="443">
        <f ca="1">ROUND(IF(ISERROR(OFFSET(Tabella!$A$1,MATCH(H843,Tabella!$A:$A,0)-1,MATCH(J843,Tabella!$A$1:$AC$1,0)-1)=TRUE),0,+OFFSET(Tabella!$A$1,MATCH(H843,Tabella!$A:$A,0)-1,MATCH(J843,Tabella!$A$1:$AC$1,0)-1)),4)</f>
        <v>0</v>
      </c>
      <c r="L843" s="446">
        <f ca="1">ROUND(IF(ISERROR(OFFSET(Ottone!$A$1,MATCH(H843,Ottone!$A:$A,0)-1,MATCH(J843,Ottone!$A$1:$Z$1,0)-1)=TRUE),0,OFFSET(Ottone!$A$1,MATCH(H843,Ottone!$A:$A,0)-1,MATCH(J843,Ottone!$A$1:$Z$1,0)-1))*IF(E843="Ottone",1,0),4)</f>
        <v>0</v>
      </c>
      <c r="M843" s="446">
        <f ca="1">ROUND(IF(ISERROR(OFFSET(Rame!$A$1,MATCH(H843,Rame!$A:$A,0)-1,MATCH(J843,Rame!$A$1:$AA$1,0)-1)=TRUE),0,OFFSET(Rame!$A$1,MATCH(H843,Rame!$A:$A,0)-1,MATCH(J843,Rame!$A$1:$AA$1,0)-1))*IF(E843="Rame",1,0),4)</f>
        <v>0</v>
      </c>
      <c r="N843" s="446">
        <v>0</v>
      </c>
      <c r="O843" s="446">
        <f t="shared" ca="1" si="213"/>
        <v>0</v>
      </c>
      <c r="P843" s="446">
        <f ca="1">ROUND(+IF(ISERROR(OFFSET(Tabella!$G$1,MATCH(H843,Tabella!$G:$G,0)-1,MATCH(I843,Tabella!$G$1:$FG$1,0)-1)=TRUE),0,OFFSET(Tabella!$G$1,MATCH(H843,Tabella!$G:$G,0)-1,MATCH(I843,Tabella!$G$1:$AB$1,0)-1)),4)</f>
        <v>0</v>
      </c>
      <c r="Q843" s="446">
        <f ca="1">ROUND(IF(ISERROR(OFFSET(Ottone!$F$1,MATCH(H843,Ottone!$A:$A,0)-1,MATCH(I843,Ottone!$F$1:$FF$1,0)-1)=TRUE),0,OFFSET(Ottone!$F$1,MATCH(H843,Ottone!$A:$A,0)-1,MATCH(I843,Ottone!$F$1:$FF$1,0)-1))*IF(E843="Ottone",1,0),4)</f>
        <v>0</v>
      </c>
      <c r="R843" s="446">
        <f ca="1">ROUND(IF(ISERROR(OFFSET(Rame!$F$1,MATCH(H843,Rame!$F:$F,0)-1,MATCH(I843,Rame!$F$1:$FF$1,0)-1)=TRUE),0,OFFSET(Rame!$F$1,MATCH(H843,Rame!$F:$F,0)-1,MATCH(I843,Rame!$F$1:$FF$1,0)-1))*IF(E843="Rame",1,0),4)</f>
        <v>0</v>
      </c>
      <c r="S843" s="446">
        <f ca="1">ROUND(IF(ISERROR(OFFSET(Bronzo!$A$1,MATCH(H843,Bronzo!$A:$A,0)-1,MATCH(I843,Bronzo!$A$1:$AA$1,0)-1)=TRUE),0,OFFSET(Bronzo!$A$1,MATCH(H843,Bronzo!$A:$A,0)-1,MATCH(I843,Bronzo!$A$1:$AA$1,0)-1)),4)</f>
        <v>0</v>
      </c>
      <c r="T843" s="446">
        <f t="shared" ca="1" si="210"/>
        <v>0</v>
      </c>
      <c r="U843" s="443"/>
      <c r="V843" s="446">
        <v>0</v>
      </c>
      <c r="W843" s="449">
        <f t="shared" ca="1" si="211"/>
        <v>0</v>
      </c>
      <c r="X843" s="452">
        <f t="shared" si="209"/>
        <v>0</v>
      </c>
      <c r="Y843" s="440"/>
      <c r="Z843" s="440">
        <f t="shared" ca="1" si="212"/>
        <v>0</v>
      </c>
      <c r="AA843" s="241"/>
      <c r="AH843" s="242"/>
    </row>
    <row r="844" spans="2:34" ht="15.75" x14ac:dyDescent="0.25">
      <c r="B844" s="229"/>
      <c r="C844" s="235"/>
      <c r="D844" s="243"/>
      <c r="E844" s="232"/>
      <c r="F844" s="435"/>
      <c r="G844" s="234"/>
      <c r="H844" s="235"/>
      <c r="I844" s="235"/>
      <c r="J844" s="440"/>
      <c r="K844" s="443">
        <f ca="1">ROUND(IF(ISERROR(OFFSET(Tabella!$A$1,MATCH(H844,Tabella!$A:$A,0)-1,MATCH(J844,Tabella!$A$1:$AC$1,0)-1)=TRUE),0,+OFFSET(Tabella!$A$1,MATCH(H844,Tabella!$A:$A,0)-1,MATCH(J844,Tabella!$A$1:$AC$1,0)-1)),4)</f>
        <v>0</v>
      </c>
      <c r="L844" s="446">
        <f ca="1">ROUND(IF(ISERROR(OFFSET(Ottone!$A$1,MATCH(H844,Ottone!$A:$A,0)-1,MATCH(J844,Ottone!$A$1:$Z$1,0)-1)=TRUE),0,OFFSET(Ottone!$A$1,MATCH(H844,Ottone!$A:$A,0)-1,MATCH(J844,Ottone!$A$1:$Z$1,0)-1))*IF(E844="Ottone",1,0),4)</f>
        <v>0</v>
      </c>
      <c r="M844" s="446">
        <f ca="1">ROUND(IF(ISERROR(OFFSET(Rame!$A$1,MATCH(H844,Rame!$A:$A,0)-1,MATCH(J844,Rame!$A$1:$AA$1,0)-1)=TRUE),0,OFFSET(Rame!$A$1,MATCH(H844,Rame!$A:$A,0)-1,MATCH(J844,Rame!$A$1:$AA$1,0)-1))*IF(E844="Rame",1,0),4)</f>
        <v>0</v>
      </c>
      <c r="N844" s="446">
        <v>0</v>
      </c>
      <c r="O844" s="446">
        <f t="shared" ca="1" si="213"/>
        <v>0</v>
      </c>
      <c r="P844" s="446">
        <f ca="1">ROUND(+IF(ISERROR(OFFSET(Tabella!$G$1,MATCH(H844,Tabella!$G:$G,0)-1,MATCH(I844,Tabella!$G$1:$FG$1,0)-1)=TRUE),0,OFFSET(Tabella!$G$1,MATCH(H844,Tabella!$G:$G,0)-1,MATCH(I844,Tabella!$G$1:$AB$1,0)-1)),4)</f>
        <v>0</v>
      </c>
      <c r="Q844" s="446">
        <f ca="1">ROUND(IF(ISERROR(OFFSET(Ottone!$F$1,MATCH(H844,Ottone!$A:$A,0)-1,MATCH(I844,Ottone!$F$1:$FF$1,0)-1)=TRUE),0,OFFSET(Ottone!$F$1,MATCH(H844,Ottone!$A:$A,0)-1,MATCH(I844,Ottone!$F$1:$FF$1,0)-1))*IF(E844="Ottone",1,0),4)</f>
        <v>0</v>
      </c>
      <c r="R844" s="446">
        <f ca="1">ROUND(IF(ISERROR(OFFSET(Rame!$F$1,MATCH(H844,Rame!$F:$F,0)-1,MATCH(I844,Rame!$F$1:$FF$1,0)-1)=TRUE),0,OFFSET(Rame!$F$1,MATCH(H844,Rame!$F:$F,0)-1,MATCH(I844,Rame!$F$1:$FF$1,0)-1))*IF(E844="Rame",1,0),4)</f>
        <v>0</v>
      </c>
      <c r="S844" s="446">
        <f ca="1">ROUND(IF(ISERROR(OFFSET(Bronzo!$A$1,MATCH(H844,Bronzo!$A:$A,0)-1,MATCH(I844,Bronzo!$A$1:$AA$1,0)-1)=TRUE),0,OFFSET(Bronzo!$A$1,MATCH(H844,Bronzo!$A:$A,0)-1,MATCH(I844,Bronzo!$A$1:$AA$1,0)-1)),4)</f>
        <v>0</v>
      </c>
      <c r="T844" s="446">
        <f t="shared" ca="1" si="210"/>
        <v>0</v>
      </c>
      <c r="U844" s="443"/>
      <c r="V844" s="446">
        <v>0</v>
      </c>
      <c r="W844" s="449">
        <f t="shared" ca="1" si="211"/>
        <v>0</v>
      </c>
      <c r="X844" s="452">
        <f t="shared" si="209"/>
        <v>0</v>
      </c>
      <c r="Y844" s="440"/>
      <c r="Z844" s="440">
        <f t="shared" ca="1" si="212"/>
        <v>0</v>
      </c>
      <c r="AA844" s="241"/>
      <c r="AH844" s="242"/>
    </row>
    <row r="845" spans="2:34" ht="15.75" x14ac:dyDescent="0.25">
      <c r="B845" s="229"/>
      <c r="C845" s="235"/>
      <c r="D845" s="243"/>
      <c r="E845" s="232"/>
      <c r="F845" s="435"/>
      <c r="G845" s="234"/>
      <c r="H845" s="235"/>
      <c r="I845" s="235"/>
      <c r="J845" s="440"/>
      <c r="K845" s="443">
        <f ca="1">ROUND(IF(ISERROR(OFFSET(Tabella!$A$1,MATCH(H845,Tabella!$A:$A,0)-1,MATCH(J845,Tabella!$A$1:$AC$1,0)-1)=TRUE),0,+OFFSET(Tabella!$A$1,MATCH(H845,Tabella!$A:$A,0)-1,MATCH(J845,Tabella!$A$1:$AC$1,0)-1)),4)</f>
        <v>0</v>
      </c>
      <c r="L845" s="446">
        <f ca="1">ROUND(IF(ISERROR(OFFSET(Ottone!$A$1,MATCH(H845,Ottone!$A:$A,0)-1,MATCH(J845,Ottone!$A$1:$Z$1,0)-1)=TRUE),0,OFFSET(Ottone!$A$1,MATCH(H845,Ottone!$A:$A,0)-1,MATCH(J845,Ottone!$A$1:$Z$1,0)-1))*IF(E845="Ottone",1,0),4)</f>
        <v>0</v>
      </c>
      <c r="M845" s="446">
        <f ca="1">ROUND(IF(ISERROR(OFFSET(Rame!$A$1,MATCH(H845,Rame!$A:$A,0)-1,MATCH(J845,Rame!$A$1:$AA$1,0)-1)=TRUE),0,OFFSET(Rame!$A$1,MATCH(H845,Rame!$A:$A,0)-1,MATCH(J845,Rame!$A$1:$AA$1,0)-1))*IF(E845="Rame",1,0),4)</f>
        <v>0</v>
      </c>
      <c r="N845" s="446">
        <v>0</v>
      </c>
      <c r="O845" s="446">
        <f t="shared" ca="1" si="213"/>
        <v>0</v>
      </c>
      <c r="P845" s="446">
        <f ca="1">ROUND(+IF(ISERROR(OFFSET(Tabella!$G$1,MATCH(H845,Tabella!$G:$G,0)-1,MATCH(I845,Tabella!$G$1:$FG$1,0)-1)=TRUE),0,OFFSET(Tabella!$G$1,MATCH(H845,Tabella!$G:$G,0)-1,MATCH(I845,Tabella!$G$1:$AB$1,0)-1)),4)</f>
        <v>0</v>
      </c>
      <c r="Q845" s="446">
        <f ca="1">ROUND(IF(ISERROR(OFFSET(Ottone!$F$1,MATCH(H845,Ottone!$A:$A,0)-1,MATCH(I845,Ottone!$F$1:$FF$1,0)-1)=TRUE),0,OFFSET(Ottone!$F$1,MATCH(H845,Ottone!$A:$A,0)-1,MATCH(I845,Ottone!$F$1:$FF$1,0)-1))*IF(E845="Ottone",1,0),4)</f>
        <v>0</v>
      </c>
      <c r="R845" s="446">
        <f ca="1">ROUND(IF(ISERROR(OFFSET(Rame!$F$1,MATCH(H845,Rame!$F:$F,0)-1,MATCH(I845,Rame!$F$1:$FF$1,0)-1)=TRUE),0,OFFSET(Rame!$F$1,MATCH(H845,Rame!$F:$F,0)-1,MATCH(I845,Rame!$F$1:$FF$1,0)-1))*IF(E845="Rame",1,0),4)</f>
        <v>0</v>
      </c>
      <c r="S845" s="446">
        <f ca="1">ROUND(IF(ISERROR(OFFSET(Bronzo!$A$1,MATCH(H845,Bronzo!$A:$A,0)-1,MATCH(I845,Bronzo!$A$1:$AA$1,0)-1)=TRUE),0,OFFSET(Bronzo!$A$1,MATCH(H845,Bronzo!$A:$A,0)-1,MATCH(I845,Bronzo!$A$1:$AA$1,0)-1)),4)</f>
        <v>0</v>
      </c>
      <c r="T845" s="446">
        <f t="shared" ca="1" si="210"/>
        <v>0</v>
      </c>
      <c r="U845" s="443"/>
      <c r="V845" s="446">
        <v>0</v>
      </c>
      <c r="W845" s="449">
        <f t="shared" ca="1" si="211"/>
        <v>0</v>
      </c>
      <c r="X845" s="452">
        <f t="shared" si="209"/>
        <v>0</v>
      </c>
      <c r="Y845" s="440"/>
      <c r="Z845" s="440">
        <f t="shared" ca="1" si="212"/>
        <v>0</v>
      </c>
      <c r="AA845" s="241"/>
      <c r="AH845" s="242"/>
    </row>
    <row r="846" spans="2:34" ht="15.75" x14ac:dyDescent="0.25">
      <c r="B846" s="229"/>
      <c r="C846" s="235"/>
      <c r="D846" s="243"/>
      <c r="E846" s="232"/>
      <c r="F846" s="435"/>
      <c r="G846" s="234"/>
      <c r="H846" s="235"/>
      <c r="I846" s="235"/>
      <c r="J846" s="440"/>
      <c r="K846" s="443">
        <f ca="1">ROUND(IF(ISERROR(OFFSET(Tabella!$A$1,MATCH(H846,Tabella!$A:$A,0)-1,MATCH(J846,Tabella!$A$1:$AC$1,0)-1)=TRUE),0,+OFFSET(Tabella!$A$1,MATCH(H846,Tabella!$A:$A,0)-1,MATCH(J846,Tabella!$A$1:$AC$1,0)-1)),4)</f>
        <v>0</v>
      </c>
      <c r="L846" s="446">
        <f ca="1">ROUND(IF(ISERROR(OFFSET(Ottone!$A$1,MATCH(H846,Ottone!$A:$A,0)-1,MATCH(J846,Ottone!$A$1:$Z$1,0)-1)=TRUE),0,OFFSET(Ottone!$A$1,MATCH(H846,Ottone!$A:$A,0)-1,MATCH(J846,Ottone!$A$1:$Z$1,0)-1))*IF(E846="Ottone",1,0),4)</f>
        <v>0</v>
      </c>
      <c r="M846" s="446">
        <f ca="1">ROUND(IF(ISERROR(OFFSET(Rame!$A$1,MATCH(H846,Rame!$A:$A,0)-1,MATCH(J846,Rame!$A$1:$AA$1,0)-1)=TRUE),0,OFFSET(Rame!$A$1,MATCH(H846,Rame!$A:$A,0)-1,MATCH(J846,Rame!$A$1:$AA$1,0)-1))*IF(E846="Rame",1,0),4)</f>
        <v>0</v>
      </c>
      <c r="N846" s="446">
        <v>0</v>
      </c>
      <c r="O846" s="446">
        <f t="shared" ca="1" si="213"/>
        <v>0</v>
      </c>
      <c r="P846" s="446">
        <f ca="1">ROUND(+IF(ISERROR(OFFSET(Tabella!$G$1,MATCH(H846,Tabella!$G:$G,0)-1,MATCH(I846,Tabella!$G$1:$FG$1,0)-1)=TRUE),0,OFFSET(Tabella!$G$1,MATCH(H846,Tabella!$G:$G,0)-1,MATCH(I846,Tabella!$G$1:$AB$1,0)-1)),4)</f>
        <v>0</v>
      </c>
      <c r="Q846" s="446">
        <f ca="1">ROUND(IF(ISERROR(OFFSET(Ottone!$F$1,MATCH(H846,Ottone!$A:$A,0)-1,MATCH(I846,Ottone!$F$1:$FF$1,0)-1)=TRUE),0,OFFSET(Ottone!$F$1,MATCH(H846,Ottone!$A:$A,0)-1,MATCH(I846,Ottone!$F$1:$FF$1,0)-1))*IF(E846="Ottone",1,0),4)</f>
        <v>0</v>
      </c>
      <c r="R846" s="446">
        <f ca="1">ROUND(IF(ISERROR(OFFSET(Rame!$F$1,MATCH(H846,Rame!$F:$F,0)-1,MATCH(I846,Rame!$F$1:$FF$1,0)-1)=TRUE),0,OFFSET(Rame!$F$1,MATCH(H846,Rame!$F:$F,0)-1,MATCH(I846,Rame!$F$1:$FF$1,0)-1))*IF(E846="Rame",1,0),4)</f>
        <v>0</v>
      </c>
      <c r="S846" s="446">
        <f ca="1">ROUND(IF(ISERROR(OFFSET(Bronzo!$A$1,MATCH(H846,Bronzo!$A:$A,0)-1,MATCH(I846,Bronzo!$A$1:$AA$1,0)-1)=TRUE),0,OFFSET(Bronzo!$A$1,MATCH(H846,Bronzo!$A:$A,0)-1,MATCH(I846,Bronzo!$A$1:$AA$1,0)-1)),4)</f>
        <v>0</v>
      </c>
      <c r="T846" s="446">
        <f t="shared" ca="1" si="210"/>
        <v>0</v>
      </c>
      <c r="U846" s="443"/>
      <c r="V846" s="446">
        <v>0</v>
      </c>
      <c r="W846" s="449">
        <f t="shared" ca="1" si="211"/>
        <v>0</v>
      </c>
      <c r="X846" s="452">
        <f t="shared" si="209"/>
        <v>0</v>
      </c>
      <c r="Y846" s="440"/>
      <c r="Z846" s="440">
        <f t="shared" ca="1" si="212"/>
        <v>0</v>
      </c>
      <c r="AA846" s="241"/>
      <c r="AH846" s="242"/>
    </row>
    <row r="847" spans="2:34" ht="15.75" x14ac:dyDescent="0.25">
      <c r="B847" s="229"/>
      <c r="C847" s="235"/>
      <c r="D847" s="243"/>
      <c r="E847" s="232"/>
      <c r="F847" s="435"/>
      <c r="G847" s="234"/>
      <c r="H847" s="235"/>
      <c r="I847" s="235"/>
      <c r="J847" s="440"/>
      <c r="K847" s="443">
        <f ca="1">ROUND(IF(ISERROR(OFFSET(Tabella!$A$1,MATCH(H847,Tabella!$A:$A,0)-1,MATCH(J847,Tabella!$A$1:$AC$1,0)-1)=TRUE),0,+OFFSET(Tabella!$A$1,MATCH(H847,Tabella!$A:$A,0)-1,MATCH(J847,Tabella!$A$1:$AC$1,0)-1)),4)</f>
        <v>0</v>
      </c>
      <c r="L847" s="446">
        <f ca="1">ROUND(IF(ISERROR(OFFSET(Ottone!$A$1,MATCH(H847,Ottone!$A:$A,0)-1,MATCH(J847,Ottone!$A$1:$Z$1,0)-1)=TRUE),0,OFFSET(Ottone!$A$1,MATCH(H847,Ottone!$A:$A,0)-1,MATCH(J847,Ottone!$A$1:$Z$1,0)-1))*IF(E847="Ottone",1,0),4)</f>
        <v>0</v>
      </c>
      <c r="M847" s="446">
        <f ca="1">ROUND(IF(ISERROR(OFFSET(Rame!$A$1,MATCH(H847,Rame!$A:$A,0)-1,MATCH(J847,Rame!$A$1:$AA$1,0)-1)=TRUE),0,OFFSET(Rame!$A$1,MATCH(H847,Rame!$A:$A,0)-1,MATCH(J847,Rame!$A$1:$AA$1,0)-1))*IF(E847="Rame",1,0),4)</f>
        <v>0</v>
      </c>
      <c r="N847" s="446">
        <v>0</v>
      </c>
      <c r="O847" s="446">
        <f t="shared" ca="1" si="213"/>
        <v>0</v>
      </c>
      <c r="P847" s="446">
        <f ca="1">ROUND(+IF(ISERROR(OFFSET(Tabella!$G$1,MATCH(H847,Tabella!$G:$G,0)-1,MATCH(I847,Tabella!$G$1:$FG$1,0)-1)=TRUE),0,OFFSET(Tabella!$G$1,MATCH(H847,Tabella!$G:$G,0)-1,MATCH(I847,Tabella!$G$1:$AB$1,0)-1)),4)</f>
        <v>0</v>
      </c>
      <c r="Q847" s="446">
        <f ca="1">ROUND(IF(ISERROR(OFFSET(Ottone!$F$1,MATCH(H847,Ottone!$A:$A,0)-1,MATCH(I847,Ottone!$F$1:$FF$1,0)-1)=TRUE),0,OFFSET(Ottone!$F$1,MATCH(H847,Ottone!$A:$A,0)-1,MATCH(I847,Ottone!$F$1:$FF$1,0)-1))*IF(E847="Ottone",1,0),4)</f>
        <v>0</v>
      </c>
      <c r="R847" s="446">
        <f ca="1">ROUND(IF(ISERROR(OFFSET(Rame!$F$1,MATCH(H847,Rame!$F:$F,0)-1,MATCH(I847,Rame!$F$1:$FF$1,0)-1)=TRUE),0,OFFSET(Rame!$F$1,MATCH(H847,Rame!$F:$F,0)-1,MATCH(I847,Rame!$F$1:$FF$1,0)-1))*IF(E847="Rame",1,0),4)</f>
        <v>0</v>
      </c>
      <c r="S847" s="446">
        <f ca="1">ROUND(IF(ISERROR(OFFSET(Bronzo!$A$1,MATCH(H847,Bronzo!$A:$A,0)-1,MATCH(I847,Bronzo!$A$1:$AA$1,0)-1)=TRUE),0,OFFSET(Bronzo!$A$1,MATCH(H847,Bronzo!$A:$A,0)-1,MATCH(I847,Bronzo!$A$1:$AA$1,0)-1)),4)</f>
        <v>0</v>
      </c>
      <c r="T847" s="446">
        <f t="shared" ca="1" si="210"/>
        <v>0</v>
      </c>
      <c r="U847" s="443"/>
      <c r="V847" s="446">
        <v>0</v>
      </c>
      <c r="W847" s="449">
        <f t="shared" ca="1" si="211"/>
        <v>0</v>
      </c>
      <c r="X847" s="452">
        <f t="shared" si="209"/>
        <v>0</v>
      </c>
      <c r="Y847" s="440"/>
      <c r="Z847" s="440">
        <f t="shared" ca="1" si="212"/>
        <v>0</v>
      </c>
      <c r="AA847" s="241"/>
      <c r="AH847" s="242"/>
    </row>
    <row r="848" spans="2:34" ht="15.75" x14ac:dyDescent="0.25">
      <c r="B848" s="229"/>
      <c r="C848" s="235"/>
      <c r="D848" s="243"/>
      <c r="E848" s="232"/>
      <c r="F848" s="435"/>
      <c r="G848" s="234"/>
      <c r="H848" s="235"/>
      <c r="I848" s="235"/>
      <c r="J848" s="440"/>
      <c r="K848" s="443">
        <f ca="1">ROUND(IF(ISERROR(OFFSET(Tabella!$A$1,MATCH(H848,Tabella!$A:$A,0)-1,MATCH(J848,Tabella!$A$1:$AC$1,0)-1)=TRUE),0,+OFFSET(Tabella!$A$1,MATCH(H848,Tabella!$A:$A,0)-1,MATCH(J848,Tabella!$A$1:$AC$1,0)-1)),4)</f>
        <v>0</v>
      </c>
      <c r="L848" s="446">
        <f ca="1">ROUND(IF(ISERROR(OFFSET(Ottone!$A$1,MATCH(H848,Ottone!$A:$A,0)-1,MATCH(J848,Ottone!$A$1:$Z$1,0)-1)=TRUE),0,OFFSET(Ottone!$A$1,MATCH(H848,Ottone!$A:$A,0)-1,MATCH(J848,Ottone!$A$1:$Z$1,0)-1))*IF(E848="Ottone",1,0),4)</f>
        <v>0</v>
      </c>
      <c r="M848" s="446">
        <f ca="1">ROUND(IF(ISERROR(OFFSET(Rame!$A$1,MATCH(H848,Rame!$A:$A,0)-1,MATCH(J848,Rame!$A$1:$AA$1,0)-1)=TRUE),0,OFFSET(Rame!$A$1,MATCH(H848,Rame!$A:$A,0)-1,MATCH(J848,Rame!$A$1:$AA$1,0)-1))*IF(E848="Rame",1,0),4)</f>
        <v>0</v>
      </c>
      <c r="N848" s="446">
        <v>0</v>
      </c>
      <c r="O848" s="446">
        <f t="shared" ca="1" si="213"/>
        <v>0</v>
      </c>
      <c r="P848" s="446">
        <f ca="1">ROUND(+IF(ISERROR(OFFSET(Tabella!$G$1,MATCH(H848,Tabella!$G:$G,0)-1,MATCH(I848,Tabella!$G$1:$FG$1,0)-1)=TRUE),0,OFFSET(Tabella!$G$1,MATCH(H848,Tabella!$G:$G,0)-1,MATCH(I848,Tabella!$G$1:$AB$1,0)-1)),4)</f>
        <v>0</v>
      </c>
      <c r="Q848" s="446">
        <f ca="1">ROUND(IF(ISERROR(OFFSET(Ottone!$F$1,MATCH(H848,Ottone!$A:$A,0)-1,MATCH(I848,Ottone!$F$1:$FF$1,0)-1)=TRUE),0,OFFSET(Ottone!$F$1,MATCH(H848,Ottone!$A:$A,0)-1,MATCH(I848,Ottone!$F$1:$FF$1,0)-1))*IF(E848="Ottone",1,0),4)</f>
        <v>0</v>
      </c>
      <c r="R848" s="446">
        <f ca="1">ROUND(IF(ISERROR(OFFSET(Rame!$F$1,MATCH(H848,Rame!$F:$F,0)-1,MATCH(I848,Rame!$F$1:$FF$1,0)-1)=TRUE),0,OFFSET(Rame!$F$1,MATCH(H848,Rame!$F:$F,0)-1,MATCH(I848,Rame!$F$1:$FF$1,0)-1))*IF(E848="Rame",1,0),4)</f>
        <v>0</v>
      </c>
      <c r="S848" s="446">
        <f ca="1">ROUND(IF(ISERROR(OFFSET(Bronzo!$A$1,MATCH(H848,Bronzo!$A:$A,0)-1,MATCH(I848,Bronzo!$A$1:$AA$1,0)-1)=TRUE),0,OFFSET(Bronzo!$A$1,MATCH(H848,Bronzo!$A:$A,0)-1,MATCH(I848,Bronzo!$A$1:$AA$1,0)-1)),4)</f>
        <v>0</v>
      </c>
      <c r="T848" s="446">
        <f t="shared" ca="1" si="210"/>
        <v>0</v>
      </c>
      <c r="U848" s="443"/>
      <c r="V848" s="446">
        <v>0</v>
      </c>
      <c r="W848" s="449">
        <f t="shared" ca="1" si="211"/>
        <v>0</v>
      </c>
      <c r="X848" s="452">
        <f t="shared" si="209"/>
        <v>0</v>
      </c>
      <c r="Y848" s="440"/>
      <c r="Z848" s="440">
        <f t="shared" ca="1" si="212"/>
        <v>0</v>
      </c>
      <c r="AA848" s="241"/>
      <c r="AH848" s="242"/>
    </row>
    <row r="849" spans="2:34" ht="15.75" x14ac:dyDescent="0.25">
      <c r="B849" s="229"/>
      <c r="C849" s="235"/>
      <c r="D849" s="243"/>
      <c r="E849" s="232"/>
      <c r="F849" s="435"/>
      <c r="G849" s="234"/>
      <c r="H849" s="235"/>
      <c r="I849" s="235"/>
      <c r="J849" s="440"/>
      <c r="K849" s="443">
        <f ca="1">ROUND(IF(ISERROR(OFFSET(Tabella!$A$1,MATCH(H849,Tabella!$A:$A,0)-1,MATCH(J849,Tabella!$A$1:$AC$1,0)-1)=TRUE),0,+OFFSET(Tabella!$A$1,MATCH(H849,Tabella!$A:$A,0)-1,MATCH(J849,Tabella!$A$1:$AC$1,0)-1)),4)</f>
        <v>0</v>
      </c>
      <c r="L849" s="446">
        <f ca="1">ROUND(IF(ISERROR(OFFSET(Ottone!$A$1,MATCH(H849,Ottone!$A:$A,0)-1,MATCH(J849,Ottone!$A$1:$Z$1,0)-1)=TRUE),0,OFFSET(Ottone!$A$1,MATCH(H849,Ottone!$A:$A,0)-1,MATCH(J849,Ottone!$A$1:$Z$1,0)-1))*IF(E849="Ottone",1,0),4)</f>
        <v>0</v>
      </c>
      <c r="M849" s="446">
        <f ca="1">ROUND(IF(ISERROR(OFFSET(Rame!$A$1,MATCH(H849,Rame!$A:$A,0)-1,MATCH(J849,Rame!$A$1:$AA$1,0)-1)=TRUE),0,OFFSET(Rame!$A$1,MATCH(H849,Rame!$A:$A,0)-1,MATCH(J849,Rame!$A$1:$AA$1,0)-1))*IF(E849="Rame",1,0),4)</f>
        <v>0</v>
      </c>
      <c r="N849" s="446">
        <v>0</v>
      </c>
      <c r="O849" s="446">
        <f t="shared" ca="1" si="213"/>
        <v>0</v>
      </c>
      <c r="P849" s="446">
        <f ca="1">ROUND(+IF(ISERROR(OFFSET(Tabella!$G$1,MATCH(H849,Tabella!$G:$G,0)-1,MATCH(I849,Tabella!$G$1:$FG$1,0)-1)=TRUE),0,OFFSET(Tabella!$G$1,MATCH(H849,Tabella!$G:$G,0)-1,MATCH(I849,Tabella!$G$1:$AB$1,0)-1)),4)</f>
        <v>0</v>
      </c>
      <c r="Q849" s="446">
        <f ca="1">ROUND(IF(ISERROR(OFFSET(Ottone!$F$1,MATCH(H849,Ottone!$A:$A,0)-1,MATCH(I849,Ottone!$F$1:$FF$1,0)-1)=TRUE),0,OFFSET(Ottone!$F$1,MATCH(H849,Ottone!$A:$A,0)-1,MATCH(I849,Ottone!$F$1:$FF$1,0)-1))*IF(E849="Ottone",1,0),4)</f>
        <v>0</v>
      </c>
      <c r="R849" s="446">
        <f ca="1">ROUND(IF(ISERROR(OFFSET(Rame!$F$1,MATCH(H849,Rame!$F:$F,0)-1,MATCH(I849,Rame!$F$1:$FF$1,0)-1)=TRUE),0,OFFSET(Rame!$F$1,MATCH(H849,Rame!$F:$F,0)-1,MATCH(I849,Rame!$F$1:$FF$1,0)-1))*IF(E849="Rame",1,0),4)</f>
        <v>0</v>
      </c>
      <c r="S849" s="446">
        <f ca="1">ROUND(IF(ISERROR(OFFSET(Bronzo!$A$1,MATCH(H849,Bronzo!$A:$A,0)-1,MATCH(I849,Bronzo!$A$1:$AA$1,0)-1)=TRUE),0,OFFSET(Bronzo!$A$1,MATCH(H849,Bronzo!$A:$A,0)-1,MATCH(I849,Bronzo!$A$1:$AA$1,0)-1)),4)</f>
        <v>0</v>
      </c>
      <c r="T849" s="446">
        <f t="shared" ca="1" si="210"/>
        <v>0</v>
      </c>
      <c r="U849" s="443"/>
      <c r="V849" s="446">
        <v>0</v>
      </c>
      <c r="W849" s="449">
        <f t="shared" ca="1" si="211"/>
        <v>0</v>
      </c>
      <c r="X849" s="452">
        <f t="shared" ref="X849:X912" si="214">ROUND(+J849*D849,4)</f>
        <v>0</v>
      </c>
      <c r="Y849" s="440"/>
      <c r="Z849" s="440">
        <f t="shared" ca="1" si="212"/>
        <v>0</v>
      </c>
      <c r="AA849" s="241"/>
      <c r="AH849" s="242"/>
    </row>
    <row r="850" spans="2:34" ht="15.75" x14ac:dyDescent="0.25">
      <c r="B850" s="229"/>
      <c r="C850" s="235"/>
      <c r="D850" s="243"/>
      <c r="E850" s="232"/>
      <c r="F850" s="435"/>
      <c r="G850" s="234"/>
      <c r="H850" s="235"/>
      <c r="I850" s="235"/>
      <c r="J850" s="440"/>
      <c r="K850" s="443">
        <f ca="1">ROUND(IF(ISERROR(OFFSET(Tabella!$A$1,MATCH(H850,Tabella!$A:$A,0)-1,MATCH(J850,Tabella!$A$1:$AC$1,0)-1)=TRUE),0,+OFFSET(Tabella!$A$1,MATCH(H850,Tabella!$A:$A,0)-1,MATCH(J850,Tabella!$A$1:$AC$1,0)-1)),4)</f>
        <v>0</v>
      </c>
      <c r="L850" s="446">
        <f ca="1">ROUND(IF(ISERROR(OFFSET(Ottone!$A$1,MATCH(H850,Ottone!$A:$A,0)-1,MATCH(J850,Ottone!$A$1:$Z$1,0)-1)=TRUE),0,OFFSET(Ottone!$A$1,MATCH(H850,Ottone!$A:$A,0)-1,MATCH(J850,Ottone!$A$1:$Z$1,0)-1))*IF(E850="Ottone",1,0),4)</f>
        <v>0</v>
      </c>
      <c r="M850" s="446">
        <f ca="1">ROUND(IF(ISERROR(OFFSET(Rame!$A$1,MATCH(H850,Rame!$A:$A,0)-1,MATCH(J850,Rame!$A$1:$AA$1,0)-1)=TRUE),0,OFFSET(Rame!$A$1,MATCH(H850,Rame!$A:$A,0)-1,MATCH(J850,Rame!$A$1:$AA$1,0)-1))*IF(E850="Rame",1,0),4)</f>
        <v>0</v>
      </c>
      <c r="N850" s="446">
        <v>0</v>
      </c>
      <c r="O850" s="446">
        <f t="shared" ca="1" si="213"/>
        <v>0</v>
      </c>
      <c r="P850" s="446">
        <f ca="1">ROUND(+IF(ISERROR(OFFSET(Tabella!$G$1,MATCH(H850,Tabella!$G:$G,0)-1,MATCH(I850,Tabella!$G$1:$FG$1,0)-1)=TRUE),0,OFFSET(Tabella!$G$1,MATCH(H850,Tabella!$G:$G,0)-1,MATCH(I850,Tabella!$G$1:$AB$1,0)-1)),4)</f>
        <v>0</v>
      </c>
      <c r="Q850" s="446">
        <f ca="1">ROUND(IF(ISERROR(OFFSET(Ottone!$F$1,MATCH(H850,Ottone!$A:$A,0)-1,MATCH(I850,Ottone!$F$1:$FF$1,0)-1)=TRUE),0,OFFSET(Ottone!$F$1,MATCH(H850,Ottone!$A:$A,0)-1,MATCH(I850,Ottone!$F$1:$FF$1,0)-1))*IF(E850="Ottone",1,0),4)</f>
        <v>0</v>
      </c>
      <c r="R850" s="446">
        <f ca="1">ROUND(IF(ISERROR(OFFSET(Rame!$F$1,MATCH(H850,Rame!$F:$F,0)-1,MATCH(I850,Rame!$F$1:$FF$1,0)-1)=TRUE),0,OFFSET(Rame!$F$1,MATCH(H850,Rame!$F:$F,0)-1,MATCH(I850,Rame!$F$1:$FF$1,0)-1))*IF(E850="Rame",1,0),4)</f>
        <v>0</v>
      </c>
      <c r="S850" s="446">
        <f ca="1">ROUND(IF(ISERROR(OFFSET(Bronzo!$A$1,MATCH(H850,Bronzo!$A:$A,0)-1,MATCH(I850,Bronzo!$A$1:$AA$1,0)-1)=TRUE),0,OFFSET(Bronzo!$A$1,MATCH(H850,Bronzo!$A:$A,0)-1,MATCH(I850,Bronzo!$A$1:$AA$1,0)-1)),4)</f>
        <v>0</v>
      </c>
      <c r="T850" s="446">
        <f t="shared" ca="1" si="210"/>
        <v>0</v>
      </c>
      <c r="U850" s="443"/>
      <c r="V850" s="446">
        <v>0</v>
      </c>
      <c r="W850" s="449">
        <f t="shared" ca="1" si="211"/>
        <v>0</v>
      </c>
      <c r="X850" s="452">
        <f t="shared" si="214"/>
        <v>0</v>
      </c>
      <c r="Y850" s="440"/>
      <c r="Z850" s="440">
        <f t="shared" ca="1" si="212"/>
        <v>0</v>
      </c>
      <c r="AA850" s="241"/>
      <c r="AH850" s="242"/>
    </row>
    <row r="851" spans="2:34" ht="15.75" x14ac:dyDescent="0.25">
      <c r="B851" s="229"/>
      <c r="C851" s="235"/>
      <c r="D851" s="243"/>
      <c r="E851" s="232"/>
      <c r="F851" s="435"/>
      <c r="G851" s="234"/>
      <c r="H851" s="235"/>
      <c r="I851" s="235"/>
      <c r="J851" s="440"/>
      <c r="K851" s="443">
        <f ca="1">ROUND(IF(ISERROR(OFFSET(Tabella!$A$1,MATCH(H851,Tabella!$A:$A,0)-1,MATCH(J851,Tabella!$A$1:$AC$1,0)-1)=TRUE),0,+OFFSET(Tabella!$A$1,MATCH(H851,Tabella!$A:$A,0)-1,MATCH(J851,Tabella!$A$1:$AC$1,0)-1)),4)</f>
        <v>0</v>
      </c>
      <c r="L851" s="446">
        <f ca="1">ROUND(IF(ISERROR(OFFSET(Ottone!$A$1,MATCH(H851,Ottone!$A:$A,0)-1,MATCH(J851,Ottone!$A$1:$Z$1,0)-1)=TRUE),0,OFFSET(Ottone!$A$1,MATCH(H851,Ottone!$A:$A,0)-1,MATCH(J851,Ottone!$A$1:$Z$1,0)-1))*IF(E851="Ottone",1,0),4)</f>
        <v>0</v>
      </c>
      <c r="M851" s="446">
        <f ca="1">ROUND(IF(ISERROR(OFFSET(Rame!$A$1,MATCH(H851,Rame!$A:$A,0)-1,MATCH(J851,Rame!$A$1:$AA$1,0)-1)=TRUE),0,OFFSET(Rame!$A$1,MATCH(H851,Rame!$A:$A,0)-1,MATCH(J851,Rame!$A$1:$AA$1,0)-1))*IF(E851="Rame",1,0),4)</f>
        <v>0</v>
      </c>
      <c r="N851" s="446">
        <v>0</v>
      </c>
      <c r="O851" s="446">
        <f t="shared" ca="1" si="213"/>
        <v>0</v>
      </c>
      <c r="P851" s="446">
        <f ca="1">ROUND(+IF(ISERROR(OFFSET(Tabella!$G$1,MATCH(H851,Tabella!$G:$G,0)-1,MATCH(I851,Tabella!$G$1:$FG$1,0)-1)=TRUE),0,OFFSET(Tabella!$G$1,MATCH(H851,Tabella!$G:$G,0)-1,MATCH(I851,Tabella!$G$1:$AB$1,0)-1)),4)</f>
        <v>0</v>
      </c>
      <c r="Q851" s="446">
        <f ca="1">ROUND(IF(ISERROR(OFFSET(Ottone!$F$1,MATCH(H851,Ottone!$A:$A,0)-1,MATCH(I851,Ottone!$F$1:$FF$1,0)-1)=TRUE),0,OFFSET(Ottone!$F$1,MATCH(H851,Ottone!$A:$A,0)-1,MATCH(I851,Ottone!$F$1:$FF$1,0)-1))*IF(E851="Ottone",1,0),4)</f>
        <v>0</v>
      </c>
      <c r="R851" s="446">
        <f ca="1">ROUND(IF(ISERROR(OFFSET(Rame!$F$1,MATCH(H851,Rame!$F:$F,0)-1,MATCH(I851,Rame!$F$1:$FF$1,0)-1)=TRUE),0,OFFSET(Rame!$F$1,MATCH(H851,Rame!$F:$F,0)-1,MATCH(I851,Rame!$F$1:$FF$1,0)-1))*IF(E851="Rame",1,0),4)</f>
        <v>0</v>
      </c>
      <c r="S851" s="446">
        <f ca="1">ROUND(IF(ISERROR(OFFSET(Bronzo!$A$1,MATCH(H851,Bronzo!$A:$A,0)-1,MATCH(I851,Bronzo!$A$1:$AA$1,0)-1)=TRUE),0,OFFSET(Bronzo!$A$1,MATCH(H851,Bronzo!$A:$A,0)-1,MATCH(I851,Bronzo!$A$1:$AA$1,0)-1)),4)</f>
        <v>0</v>
      </c>
      <c r="T851" s="446">
        <f t="shared" ca="1" si="210"/>
        <v>0</v>
      </c>
      <c r="U851" s="443"/>
      <c r="V851" s="446">
        <v>0</v>
      </c>
      <c r="W851" s="449">
        <f t="shared" ca="1" si="211"/>
        <v>0</v>
      </c>
      <c r="X851" s="452">
        <f t="shared" si="214"/>
        <v>0</v>
      </c>
      <c r="Y851" s="440"/>
      <c r="Z851" s="440">
        <f t="shared" ca="1" si="212"/>
        <v>0</v>
      </c>
      <c r="AA851" s="241"/>
      <c r="AH851" s="242"/>
    </row>
    <row r="852" spans="2:34" ht="15.75" x14ac:dyDescent="0.25">
      <c r="B852" s="229"/>
      <c r="C852" s="235"/>
      <c r="D852" s="243"/>
      <c r="E852" s="232"/>
      <c r="F852" s="435"/>
      <c r="G852" s="234"/>
      <c r="H852" s="235"/>
      <c r="I852" s="235"/>
      <c r="J852" s="440"/>
      <c r="K852" s="443">
        <f ca="1">ROUND(IF(ISERROR(OFFSET(Tabella!$A$1,MATCH(H852,Tabella!$A:$A,0)-1,MATCH(J852,Tabella!$A$1:$AC$1,0)-1)=TRUE),0,+OFFSET(Tabella!$A$1,MATCH(H852,Tabella!$A:$A,0)-1,MATCH(J852,Tabella!$A$1:$AC$1,0)-1)),4)</f>
        <v>0</v>
      </c>
      <c r="L852" s="446">
        <f ca="1">ROUND(IF(ISERROR(OFFSET(Ottone!$A$1,MATCH(H852,Ottone!$A:$A,0)-1,MATCH(J852,Ottone!$A$1:$Z$1,0)-1)=TRUE),0,OFFSET(Ottone!$A$1,MATCH(H852,Ottone!$A:$A,0)-1,MATCH(J852,Ottone!$A$1:$Z$1,0)-1))*IF(E852="Ottone",1,0),4)</f>
        <v>0</v>
      </c>
      <c r="M852" s="446">
        <f ca="1">ROUND(IF(ISERROR(OFFSET(Rame!$A$1,MATCH(H852,Rame!$A:$A,0)-1,MATCH(J852,Rame!$A$1:$AA$1,0)-1)=TRUE),0,OFFSET(Rame!$A$1,MATCH(H852,Rame!$A:$A,0)-1,MATCH(J852,Rame!$A$1:$AA$1,0)-1))*IF(E852="Rame",1,0),4)</f>
        <v>0</v>
      </c>
      <c r="N852" s="446">
        <v>0</v>
      </c>
      <c r="O852" s="446">
        <f t="shared" ca="1" si="213"/>
        <v>0</v>
      </c>
      <c r="P852" s="446">
        <f ca="1">ROUND(+IF(ISERROR(OFFSET(Tabella!$G$1,MATCH(H852,Tabella!$G:$G,0)-1,MATCH(I852,Tabella!$G$1:$FG$1,0)-1)=TRUE),0,OFFSET(Tabella!$G$1,MATCH(H852,Tabella!$G:$G,0)-1,MATCH(I852,Tabella!$G$1:$AB$1,0)-1)),4)</f>
        <v>0</v>
      </c>
      <c r="Q852" s="446">
        <f ca="1">ROUND(IF(ISERROR(OFFSET(Ottone!$F$1,MATCH(H852,Ottone!$A:$A,0)-1,MATCH(I852,Ottone!$F$1:$FF$1,0)-1)=TRUE),0,OFFSET(Ottone!$F$1,MATCH(H852,Ottone!$A:$A,0)-1,MATCH(I852,Ottone!$F$1:$FF$1,0)-1))*IF(E852="Ottone",1,0),4)</f>
        <v>0</v>
      </c>
      <c r="R852" s="446">
        <f ca="1">ROUND(IF(ISERROR(OFFSET(Rame!$F$1,MATCH(H852,Rame!$F:$F,0)-1,MATCH(I852,Rame!$F$1:$FF$1,0)-1)=TRUE),0,OFFSET(Rame!$F$1,MATCH(H852,Rame!$F:$F,0)-1,MATCH(I852,Rame!$F$1:$FF$1,0)-1))*IF(E852="Rame",1,0),4)</f>
        <v>0</v>
      </c>
      <c r="S852" s="446">
        <f ca="1">ROUND(IF(ISERROR(OFFSET(Bronzo!$A$1,MATCH(H852,Bronzo!$A:$A,0)-1,MATCH(I852,Bronzo!$A$1:$AA$1,0)-1)=TRUE),0,OFFSET(Bronzo!$A$1,MATCH(H852,Bronzo!$A:$A,0)-1,MATCH(I852,Bronzo!$A$1:$AA$1,0)-1)),4)</f>
        <v>0</v>
      </c>
      <c r="T852" s="446">
        <f t="shared" ca="1" si="210"/>
        <v>0</v>
      </c>
      <c r="U852" s="443"/>
      <c r="V852" s="446">
        <v>0</v>
      </c>
      <c r="W852" s="449">
        <f t="shared" ca="1" si="211"/>
        <v>0</v>
      </c>
      <c r="X852" s="452">
        <f t="shared" si="214"/>
        <v>0</v>
      </c>
      <c r="Y852" s="440"/>
      <c r="Z852" s="440">
        <f t="shared" ca="1" si="212"/>
        <v>0</v>
      </c>
      <c r="AA852" s="241"/>
      <c r="AH852" s="242"/>
    </row>
    <row r="853" spans="2:34" ht="15.75" x14ac:dyDescent="0.25">
      <c r="B853" s="229"/>
      <c r="C853" s="235"/>
      <c r="D853" s="243"/>
      <c r="E853" s="232"/>
      <c r="F853" s="435"/>
      <c r="G853" s="234"/>
      <c r="H853" s="235"/>
      <c r="I853" s="235"/>
      <c r="J853" s="440"/>
      <c r="K853" s="443">
        <f ca="1">ROUND(IF(ISERROR(OFFSET(Tabella!$A$1,MATCH(H853,Tabella!$A:$A,0)-1,MATCH(J853,Tabella!$A$1:$AC$1,0)-1)=TRUE),0,+OFFSET(Tabella!$A$1,MATCH(H853,Tabella!$A:$A,0)-1,MATCH(J853,Tabella!$A$1:$AC$1,0)-1)),4)</f>
        <v>0</v>
      </c>
      <c r="L853" s="446">
        <f ca="1">ROUND(IF(ISERROR(OFFSET(Ottone!$A$1,MATCH(H853,Ottone!$A:$A,0)-1,MATCH(J853,Ottone!$A$1:$Z$1,0)-1)=TRUE),0,OFFSET(Ottone!$A$1,MATCH(H853,Ottone!$A:$A,0)-1,MATCH(J853,Ottone!$A$1:$Z$1,0)-1))*IF(E853="Ottone",1,0),4)</f>
        <v>0</v>
      </c>
      <c r="M853" s="446">
        <f ca="1">ROUND(IF(ISERROR(OFFSET(Rame!$A$1,MATCH(H853,Rame!$A:$A,0)-1,MATCH(J853,Rame!$A$1:$AA$1,0)-1)=TRUE),0,OFFSET(Rame!$A$1,MATCH(H853,Rame!$A:$A,0)-1,MATCH(J853,Rame!$A$1:$AA$1,0)-1))*IF(E853="Rame",1,0),4)</f>
        <v>0</v>
      </c>
      <c r="N853" s="446">
        <v>0</v>
      </c>
      <c r="O853" s="446">
        <f t="shared" ca="1" si="213"/>
        <v>0</v>
      </c>
      <c r="P853" s="446">
        <f ca="1">ROUND(+IF(ISERROR(OFFSET(Tabella!$G$1,MATCH(H853,Tabella!$G:$G,0)-1,MATCH(I853,Tabella!$G$1:$FG$1,0)-1)=TRUE),0,OFFSET(Tabella!$G$1,MATCH(H853,Tabella!$G:$G,0)-1,MATCH(I853,Tabella!$G$1:$AB$1,0)-1)),4)</f>
        <v>0</v>
      </c>
      <c r="Q853" s="446">
        <f ca="1">ROUND(IF(ISERROR(OFFSET(Ottone!$F$1,MATCH(H853,Ottone!$A:$A,0)-1,MATCH(I853,Ottone!$F$1:$FF$1,0)-1)=TRUE),0,OFFSET(Ottone!$F$1,MATCH(H853,Ottone!$A:$A,0)-1,MATCH(I853,Ottone!$F$1:$FF$1,0)-1))*IF(E853="Ottone",1,0),4)</f>
        <v>0</v>
      </c>
      <c r="R853" s="446">
        <f ca="1">ROUND(IF(ISERROR(OFFSET(Rame!$F$1,MATCH(H853,Rame!$F:$F,0)-1,MATCH(I853,Rame!$F$1:$FF$1,0)-1)=TRUE),0,OFFSET(Rame!$F$1,MATCH(H853,Rame!$F:$F,0)-1,MATCH(I853,Rame!$F$1:$FF$1,0)-1))*IF(E853="Rame",1,0),4)</f>
        <v>0</v>
      </c>
      <c r="S853" s="446">
        <f ca="1">ROUND(IF(ISERROR(OFFSET(Bronzo!$A$1,MATCH(H853,Bronzo!$A:$A,0)-1,MATCH(I853,Bronzo!$A$1:$AA$1,0)-1)=TRUE),0,OFFSET(Bronzo!$A$1,MATCH(H853,Bronzo!$A:$A,0)-1,MATCH(I853,Bronzo!$A$1:$AA$1,0)-1)),4)</f>
        <v>0</v>
      </c>
      <c r="T853" s="446">
        <f t="shared" ca="1" si="210"/>
        <v>0</v>
      </c>
      <c r="U853" s="443"/>
      <c r="V853" s="446">
        <v>0</v>
      </c>
      <c r="W853" s="449">
        <f t="shared" ca="1" si="211"/>
        <v>0</v>
      </c>
      <c r="X853" s="452">
        <f t="shared" si="214"/>
        <v>0</v>
      </c>
      <c r="Y853" s="440"/>
      <c r="Z853" s="440">
        <f t="shared" ca="1" si="212"/>
        <v>0</v>
      </c>
      <c r="AA853" s="241"/>
      <c r="AH853" s="242"/>
    </row>
    <row r="854" spans="2:34" ht="15.75" x14ac:dyDescent="0.25">
      <c r="B854" s="229"/>
      <c r="C854" s="235"/>
      <c r="D854" s="243"/>
      <c r="E854" s="232"/>
      <c r="F854" s="435"/>
      <c r="G854" s="234"/>
      <c r="H854" s="235"/>
      <c r="I854" s="235"/>
      <c r="J854" s="440"/>
      <c r="K854" s="443">
        <f ca="1">ROUND(IF(ISERROR(OFFSET(Tabella!$A$1,MATCH(H854,Tabella!$A:$A,0)-1,MATCH(J854,Tabella!$A$1:$AC$1,0)-1)=TRUE),0,+OFFSET(Tabella!$A$1,MATCH(H854,Tabella!$A:$A,0)-1,MATCH(J854,Tabella!$A$1:$AC$1,0)-1)),4)</f>
        <v>0</v>
      </c>
      <c r="L854" s="446">
        <f ca="1">ROUND(IF(ISERROR(OFFSET(Ottone!$A$1,MATCH(H854,Ottone!$A:$A,0)-1,MATCH(J854,Ottone!$A$1:$Z$1,0)-1)=TRUE),0,OFFSET(Ottone!$A$1,MATCH(H854,Ottone!$A:$A,0)-1,MATCH(J854,Ottone!$A$1:$Z$1,0)-1))*IF(E854="Ottone",1,0),4)</f>
        <v>0</v>
      </c>
      <c r="M854" s="446">
        <f ca="1">ROUND(IF(ISERROR(OFFSET(Rame!$A$1,MATCH(H854,Rame!$A:$A,0)-1,MATCH(J854,Rame!$A$1:$AA$1,0)-1)=TRUE),0,OFFSET(Rame!$A$1,MATCH(H854,Rame!$A:$A,0)-1,MATCH(J854,Rame!$A$1:$AA$1,0)-1))*IF(E854="Rame",1,0),4)</f>
        <v>0</v>
      </c>
      <c r="N854" s="446">
        <v>0</v>
      </c>
      <c r="O854" s="446">
        <f t="shared" ca="1" si="213"/>
        <v>0</v>
      </c>
      <c r="P854" s="446">
        <f ca="1">ROUND(+IF(ISERROR(OFFSET(Tabella!$G$1,MATCH(H854,Tabella!$G:$G,0)-1,MATCH(I854,Tabella!$G$1:$FG$1,0)-1)=TRUE),0,OFFSET(Tabella!$G$1,MATCH(H854,Tabella!$G:$G,0)-1,MATCH(I854,Tabella!$G$1:$AB$1,0)-1)),4)</f>
        <v>0</v>
      </c>
      <c r="Q854" s="446">
        <f ca="1">ROUND(IF(ISERROR(OFFSET(Ottone!$F$1,MATCH(H854,Ottone!$A:$A,0)-1,MATCH(I854,Ottone!$F$1:$FF$1,0)-1)=TRUE),0,OFFSET(Ottone!$F$1,MATCH(H854,Ottone!$A:$A,0)-1,MATCH(I854,Ottone!$F$1:$FF$1,0)-1))*IF(E854="Ottone",1,0),4)</f>
        <v>0</v>
      </c>
      <c r="R854" s="446">
        <f ca="1">ROUND(IF(ISERROR(OFFSET(Rame!$F$1,MATCH(H854,Rame!$F:$F,0)-1,MATCH(I854,Rame!$F$1:$FF$1,0)-1)=TRUE),0,OFFSET(Rame!$F$1,MATCH(H854,Rame!$F:$F,0)-1,MATCH(I854,Rame!$F$1:$FF$1,0)-1))*IF(E854="Rame",1,0),4)</f>
        <v>0</v>
      </c>
      <c r="S854" s="446">
        <f ca="1">ROUND(IF(ISERROR(OFFSET(Bronzo!$A$1,MATCH(H854,Bronzo!$A:$A,0)-1,MATCH(I854,Bronzo!$A$1:$AA$1,0)-1)=TRUE),0,OFFSET(Bronzo!$A$1,MATCH(H854,Bronzo!$A:$A,0)-1,MATCH(I854,Bronzo!$A$1:$AA$1,0)-1)),4)</f>
        <v>0</v>
      </c>
      <c r="T854" s="446">
        <f t="shared" ca="1" si="210"/>
        <v>0</v>
      </c>
      <c r="U854" s="443"/>
      <c r="V854" s="446">
        <v>0</v>
      </c>
      <c r="W854" s="449">
        <f t="shared" ca="1" si="211"/>
        <v>0</v>
      </c>
      <c r="X854" s="452">
        <f t="shared" si="214"/>
        <v>0</v>
      </c>
      <c r="Y854" s="440"/>
      <c r="Z854" s="440">
        <f t="shared" ca="1" si="212"/>
        <v>0</v>
      </c>
      <c r="AA854" s="241"/>
      <c r="AH854" s="242"/>
    </row>
    <row r="855" spans="2:34" ht="15.75" x14ac:dyDescent="0.25">
      <c r="B855" s="229"/>
      <c r="C855" s="235"/>
      <c r="D855" s="243"/>
      <c r="E855" s="232"/>
      <c r="F855" s="435"/>
      <c r="G855" s="234"/>
      <c r="H855" s="235"/>
      <c r="I855" s="235"/>
      <c r="J855" s="440"/>
      <c r="K855" s="443">
        <f ca="1">ROUND(IF(ISERROR(OFFSET(Tabella!$A$1,MATCH(H855,Tabella!$A:$A,0)-1,MATCH(J855,Tabella!$A$1:$AC$1,0)-1)=TRUE),0,+OFFSET(Tabella!$A$1,MATCH(H855,Tabella!$A:$A,0)-1,MATCH(J855,Tabella!$A$1:$AC$1,0)-1)),4)</f>
        <v>0</v>
      </c>
      <c r="L855" s="446">
        <f ca="1">ROUND(IF(ISERROR(OFFSET(Ottone!$A$1,MATCH(H855,Ottone!$A:$A,0)-1,MATCH(J855,Ottone!$A$1:$Z$1,0)-1)=TRUE),0,OFFSET(Ottone!$A$1,MATCH(H855,Ottone!$A:$A,0)-1,MATCH(J855,Ottone!$A$1:$Z$1,0)-1))*IF(E855="Ottone",1,0),4)</f>
        <v>0</v>
      </c>
      <c r="M855" s="446">
        <f ca="1">ROUND(IF(ISERROR(OFFSET(Rame!$A$1,MATCH(H855,Rame!$A:$A,0)-1,MATCH(J855,Rame!$A$1:$AA$1,0)-1)=TRUE),0,OFFSET(Rame!$A$1,MATCH(H855,Rame!$A:$A,0)-1,MATCH(J855,Rame!$A$1:$AA$1,0)-1))*IF(E855="Rame",1,0),4)</f>
        <v>0</v>
      </c>
      <c r="N855" s="446">
        <v>0</v>
      </c>
      <c r="O855" s="446">
        <f t="shared" ca="1" si="213"/>
        <v>0</v>
      </c>
      <c r="P855" s="446">
        <f ca="1">ROUND(+IF(ISERROR(OFFSET(Tabella!$G$1,MATCH(H855,Tabella!$G:$G,0)-1,MATCH(I855,Tabella!$G$1:$FG$1,0)-1)=TRUE),0,OFFSET(Tabella!$G$1,MATCH(H855,Tabella!$G:$G,0)-1,MATCH(I855,Tabella!$G$1:$AB$1,0)-1)),4)</f>
        <v>0</v>
      </c>
      <c r="Q855" s="446">
        <f ca="1">ROUND(IF(ISERROR(OFFSET(Ottone!$F$1,MATCH(H855,Ottone!$A:$A,0)-1,MATCH(I855,Ottone!$F$1:$FF$1,0)-1)=TRUE),0,OFFSET(Ottone!$F$1,MATCH(H855,Ottone!$A:$A,0)-1,MATCH(I855,Ottone!$F$1:$FF$1,0)-1))*IF(E855="Ottone",1,0),4)</f>
        <v>0</v>
      </c>
      <c r="R855" s="446">
        <f ca="1">ROUND(IF(ISERROR(OFFSET(Rame!$F$1,MATCH(H855,Rame!$F:$F,0)-1,MATCH(I855,Rame!$F$1:$FF$1,0)-1)=TRUE),0,OFFSET(Rame!$F$1,MATCH(H855,Rame!$F:$F,0)-1,MATCH(I855,Rame!$F$1:$FF$1,0)-1))*IF(E855="Rame",1,0),4)</f>
        <v>0</v>
      </c>
      <c r="S855" s="446">
        <f ca="1">ROUND(IF(ISERROR(OFFSET(Bronzo!$A$1,MATCH(H855,Bronzo!$A:$A,0)-1,MATCH(I855,Bronzo!$A$1:$AA$1,0)-1)=TRUE),0,OFFSET(Bronzo!$A$1,MATCH(H855,Bronzo!$A:$A,0)-1,MATCH(I855,Bronzo!$A$1:$AA$1,0)-1)),4)</f>
        <v>0</v>
      </c>
      <c r="T855" s="446">
        <f t="shared" ref="T855:T918" ca="1" si="215">ROUND(SUM(P855:S855),4)</f>
        <v>0</v>
      </c>
      <c r="U855" s="443"/>
      <c r="V855" s="446">
        <v>0</v>
      </c>
      <c r="W855" s="449">
        <f t="shared" ref="W855:W918" ca="1" si="216">ROUND(+O855+T855+U855+V855,4)</f>
        <v>0</v>
      </c>
      <c r="X855" s="452">
        <f t="shared" si="214"/>
        <v>0</v>
      </c>
      <c r="Y855" s="440"/>
      <c r="Z855" s="440">
        <f t="shared" ref="Z855:Z918" ca="1" si="217">ROUND(+Y855-W855-F855,4)</f>
        <v>0</v>
      </c>
      <c r="AA855" s="241"/>
      <c r="AH855" s="242"/>
    </row>
    <row r="856" spans="2:34" ht="15.75" x14ac:dyDescent="0.25">
      <c r="B856" s="229"/>
      <c r="C856" s="235"/>
      <c r="D856" s="243"/>
      <c r="E856" s="232"/>
      <c r="F856" s="435"/>
      <c r="G856" s="234"/>
      <c r="H856" s="235"/>
      <c r="I856" s="235"/>
      <c r="J856" s="440"/>
      <c r="K856" s="443">
        <f ca="1">ROUND(IF(ISERROR(OFFSET(Tabella!$A$1,MATCH(H856,Tabella!$A:$A,0)-1,MATCH(J856,Tabella!$A$1:$AC$1,0)-1)=TRUE),0,+OFFSET(Tabella!$A$1,MATCH(H856,Tabella!$A:$A,0)-1,MATCH(J856,Tabella!$A$1:$AC$1,0)-1)),4)</f>
        <v>0</v>
      </c>
      <c r="L856" s="446">
        <f ca="1">ROUND(IF(ISERROR(OFFSET(Ottone!$A$1,MATCH(H856,Ottone!$A:$A,0)-1,MATCH(J856,Ottone!$A$1:$Z$1,0)-1)=TRUE),0,OFFSET(Ottone!$A$1,MATCH(H856,Ottone!$A:$A,0)-1,MATCH(J856,Ottone!$A$1:$Z$1,0)-1))*IF(E856="Ottone",1,0),4)</f>
        <v>0</v>
      </c>
      <c r="M856" s="446">
        <f ca="1">ROUND(IF(ISERROR(OFFSET(Rame!$A$1,MATCH(H856,Rame!$A:$A,0)-1,MATCH(J856,Rame!$A$1:$AA$1,0)-1)=TRUE),0,OFFSET(Rame!$A$1,MATCH(H856,Rame!$A:$A,0)-1,MATCH(J856,Rame!$A$1:$AA$1,0)-1))*IF(E856="Rame",1,0),4)</f>
        <v>0</v>
      </c>
      <c r="N856" s="446">
        <v>0</v>
      </c>
      <c r="O856" s="446">
        <f t="shared" ca="1" si="213"/>
        <v>0</v>
      </c>
      <c r="P856" s="446">
        <f ca="1">ROUND(+IF(ISERROR(OFFSET(Tabella!$G$1,MATCH(H856,Tabella!$G:$G,0)-1,MATCH(I856,Tabella!$G$1:$FG$1,0)-1)=TRUE),0,OFFSET(Tabella!$G$1,MATCH(H856,Tabella!$G:$G,0)-1,MATCH(I856,Tabella!$G$1:$AB$1,0)-1)),4)</f>
        <v>0</v>
      </c>
      <c r="Q856" s="446">
        <f ca="1">ROUND(IF(ISERROR(OFFSET(Ottone!$F$1,MATCH(H856,Ottone!$A:$A,0)-1,MATCH(I856,Ottone!$F$1:$FF$1,0)-1)=TRUE),0,OFFSET(Ottone!$F$1,MATCH(H856,Ottone!$A:$A,0)-1,MATCH(I856,Ottone!$F$1:$FF$1,0)-1))*IF(E856="Ottone",1,0),4)</f>
        <v>0</v>
      </c>
      <c r="R856" s="446">
        <f ca="1">ROUND(IF(ISERROR(OFFSET(Rame!$F$1,MATCH(H856,Rame!$F:$F,0)-1,MATCH(I856,Rame!$F$1:$FF$1,0)-1)=TRUE),0,OFFSET(Rame!$F$1,MATCH(H856,Rame!$F:$F,0)-1,MATCH(I856,Rame!$F$1:$FF$1,0)-1))*IF(E856="Rame",1,0),4)</f>
        <v>0</v>
      </c>
      <c r="S856" s="446">
        <f ca="1">ROUND(IF(ISERROR(OFFSET(Bronzo!$A$1,MATCH(H856,Bronzo!$A:$A,0)-1,MATCH(I856,Bronzo!$A$1:$AA$1,0)-1)=TRUE),0,OFFSET(Bronzo!$A$1,MATCH(H856,Bronzo!$A:$A,0)-1,MATCH(I856,Bronzo!$A$1:$AA$1,0)-1)),4)</f>
        <v>0</v>
      </c>
      <c r="T856" s="446">
        <f t="shared" ca="1" si="215"/>
        <v>0</v>
      </c>
      <c r="U856" s="443"/>
      <c r="V856" s="446">
        <v>0</v>
      </c>
      <c r="W856" s="449">
        <f t="shared" ca="1" si="216"/>
        <v>0</v>
      </c>
      <c r="X856" s="452">
        <f t="shared" si="214"/>
        <v>0</v>
      </c>
      <c r="Y856" s="440"/>
      <c r="Z856" s="440">
        <f t="shared" ca="1" si="217"/>
        <v>0</v>
      </c>
      <c r="AA856" s="241"/>
      <c r="AH856" s="242"/>
    </row>
    <row r="857" spans="2:34" ht="15.75" x14ac:dyDescent="0.25">
      <c r="B857" s="229"/>
      <c r="C857" s="235"/>
      <c r="D857" s="243"/>
      <c r="E857" s="232"/>
      <c r="F857" s="435"/>
      <c r="G857" s="234"/>
      <c r="H857" s="235"/>
      <c r="I857" s="235"/>
      <c r="J857" s="440"/>
      <c r="K857" s="443">
        <f ca="1">ROUND(IF(ISERROR(OFFSET(Tabella!$A$1,MATCH(H857,Tabella!$A:$A,0)-1,MATCH(J857,Tabella!$A$1:$AC$1,0)-1)=TRUE),0,+OFFSET(Tabella!$A$1,MATCH(H857,Tabella!$A:$A,0)-1,MATCH(J857,Tabella!$A$1:$AC$1,0)-1)),4)</f>
        <v>0</v>
      </c>
      <c r="L857" s="446">
        <f ca="1">ROUND(IF(ISERROR(OFFSET(Ottone!$A$1,MATCH(H857,Ottone!$A:$A,0)-1,MATCH(J857,Ottone!$A$1:$Z$1,0)-1)=TRUE),0,OFFSET(Ottone!$A$1,MATCH(H857,Ottone!$A:$A,0)-1,MATCH(J857,Ottone!$A$1:$Z$1,0)-1))*IF(E857="Ottone",1,0),4)</f>
        <v>0</v>
      </c>
      <c r="M857" s="446">
        <f ca="1">ROUND(IF(ISERROR(OFFSET(Rame!$A$1,MATCH(H857,Rame!$A:$A,0)-1,MATCH(J857,Rame!$A$1:$AA$1,0)-1)=TRUE),0,OFFSET(Rame!$A$1,MATCH(H857,Rame!$A:$A,0)-1,MATCH(J857,Rame!$A$1:$AA$1,0)-1))*IF(E857="Rame",1,0),4)</f>
        <v>0</v>
      </c>
      <c r="N857" s="446">
        <v>0</v>
      </c>
      <c r="O857" s="446">
        <f t="shared" ca="1" si="213"/>
        <v>0</v>
      </c>
      <c r="P857" s="446">
        <f ca="1">ROUND(+IF(ISERROR(OFFSET(Tabella!$G$1,MATCH(H857,Tabella!$G:$G,0)-1,MATCH(I857,Tabella!$G$1:$FG$1,0)-1)=TRUE),0,OFFSET(Tabella!$G$1,MATCH(H857,Tabella!$G:$G,0)-1,MATCH(I857,Tabella!$G$1:$AB$1,0)-1)),4)</f>
        <v>0</v>
      </c>
      <c r="Q857" s="446">
        <f ca="1">ROUND(IF(ISERROR(OFFSET(Ottone!$F$1,MATCH(H857,Ottone!$A:$A,0)-1,MATCH(I857,Ottone!$F$1:$FF$1,0)-1)=TRUE),0,OFFSET(Ottone!$F$1,MATCH(H857,Ottone!$A:$A,0)-1,MATCH(I857,Ottone!$F$1:$FF$1,0)-1))*IF(E857="Ottone",1,0),4)</f>
        <v>0</v>
      </c>
      <c r="R857" s="446">
        <f ca="1">ROUND(IF(ISERROR(OFFSET(Rame!$F$1,MATCH(H857,Rame!$F:$F,0)-1,MATCH(I857,Rame!$F$1:$FF$1,0)-1)=TRUE),0,OFFSET(Rame!$F$1,MATCH(H857,Rame!$F:$F,0)-1,MATCH(I857,Rame!$F$1:$FF$1,0)-1))*IF(E857="Rame",1,0),4)</f>
        <v>0</v>
      </c>
      <c r="S857" s="446">
        <f ca="1">ROUND(IF(ISERROR(OFFSET(Bronzo!$A$1,MATCH(H857,Bronzo!$A:$A,0)-1,MATCH(I857,Bronzo!$A$1:$AA$1,0)-1)=TRUE),0,OFFSET(Bronzo!$A$1,MATCH(H857,Bronzo!$A:$A,0)-1,MATCH(I857,Bronzo!$A$1:$AA$1,0)-1)),4)</f>
        <v>0</v>
      </c>
      <c r="T857" s="446">
        <f t="shared" ca="1" si="215"/>
        <v>0</v>
      </c>
      <c r="U857" s="443"/>
      <c r="V857" s="446">
        <v>0</v>
      </c>
      <c r="W857" s="449">
        <f t="shared" ca="1" si="216"/>
        <v>0</v>
      </c>
      <c r="X857" s="452">
        <f t="shared" si="214"/>
        <v>0</v>
      </c>
      <c r="Y857" s="440"/>
      <c r="Z857" s="440">
        <f t="shared" ca="1" si="217"/>
        <v>0</v>
      </c>
      <c r="AA857" s="241"/>
      <c r="AH857" s="242"/>
    </row>
    <row r="858" spans="2:34" ht="15.75" x14ac:dyDescent="0.25">
      <c r="B858" s="229"/>
      <c r="C858" s="235"/>
      <c r="D858" s="243"/>
      <c r="E858" s="232"/>
      <c r="F858" s="435"/>
      <c r="G858" s="234"/>
      <c r="H858" s="235"/>
      <c r="I858" s="235"/>
      <c r="J858" s="440"/>
      <c r="K858" s="443">
        <f ca="1">ROUND(IF(ISERROR(OFFSET(Tabella!$A$1,MATCH(H858,Tabella!$A:$A,0)-1,MATCH(J858,Tabella!$A$1:$AC$1,0)-1)=TRUE),0,+OFFSET(Tabella!$A$1,MATCH(H858,Tabella!$A:$A,0)-1,MATCH(J858,Tabella!$A$1:$AC$1,0)-1)),4)</f>
        <v>0</v>
      </c>
      <c r="L858" s="446">
        <f ca="1">ROUND(IF(ISERROR(OFFSET(Ottone!$A$1,MATCH(H858,Ottone!$A:$A,0)-1,MATCH(J858,Ottone!$A$1:$Z$1,0)-1)=TRUE),0,OFFSET(Ottone!$A$1,MATCH(H858,Ottone!$A:$A,0)-1,MATCH(J858,Ottone!$A$1:$Z$1,0)-1))*IF(E858="Ottone",1,0),4)</f>
        <v>0</v>
      </c>
      <c r="M858" s="446">
        <f ca="1">ROUND(IF(ISERROR(OFFSET(Rame!$A$1,MATCH(H858,Rame!$A:$A,0)-1,MATCH(J858,Rame!$A$1:$AA$1,0)-1)=TRUE),0,OFFSET(Rame!$A$1,MATCH(H858,Rame!$A:$A,0)-1,MATCH(J858,Rame!$A$1:$AA$1,0)-1))*IF(E858="Rame",1,0),4)</f>
        <v>0</v>
      </c>
      <c r="N858" s="446">
        <v>0</v>
      </c>
      <c r="O858" s="446">
        <f t="shared" ca="1" si="213"/>
        <v>0</v>
      </c>
      <c r="P858" s="446">
        <f ca="1">ROUND(+IF(ISERROR(OFFSET(Tabella!$G$1,MATCH(H858,Tabella!$G:$G,0)-1,MATCH(I858,Tabella!$G$1:$FG$1,0)-1)=TRUE),0,OFFSET(Tabella!$G$1,MATCH(H858,Tabella!$G:$G,0)-1,MATCH(I858,Tabella!$G$1:$AB$1,0)-1)),4)</f>
        <v>0</v>
      </c>
      <c r="Q858" s="446">
        <f ca="1">ROUND(IF(ISERROR(OFFSET(Ottone!$F$1,MATCH(H858,Ottone!$A:$A,0)-1,MATCH(I858,Ottone!$F$1:$FF$1,0)-1)=TRUE),0,OFFSET(Ottone!$F$1,MATCH(H858,Ottone!$A:$A,0)-1,MATCH(I858,Ottone!$F$1:$FF$1,0)-1))*IF(E858="Ottone",1,0),4)</f>
        <v>0</v>
      </c>
      <c r="R858" s="446">
        <f ca="1">ROUND(IF(ISERROR(OFFSET(Rame!$F$1,MATCH(H858,Rame!$F:$F,0)-1,MATCH(I858,Rame!$F$1:$FF$1,0)-1)=TRUE),0,OFFSET(Rame!$F$1,MATCH(H858,Rame!$F:$F,0)-1,MATCH(I858,Rame!$F$1:$FF$1,0)-1))*IF(E858="Rame",1,0),4)</f>
        <v>0</v>
      </c>
      <c r="S858" s="446">
        <f ca="1">ROUND(IF(ISERROR(OFFSET(Bronzo!$A$1,MATCH(H858,Bronzo!$A:$A,0)-1,MATCH(I858,Bronzo!$A$1:$AA$1,0)-1)=TRUE),0,OFFSET(Bronzo!$A$1,MATCH(H858,Bronzo!$A:$A,0)-1,MATCH(I858,Bronzo!$A$1:$AA$1,0)-1)),4)</f>
        <v>0</v>
      </c>
      <c r="T858" s="446">
        <f t="shared" ca="1" si="215"/>
        <v>0</v>
      </c>
      <c r="U858" s="443"/>
      <c r="V858" s="446">
        <v>0</v>
      </c>
      <c r="W858" s="449">
        <f t="shared" ca="1" si="216"/>
        <v>0</v>
      </c>
      <c r="X858" s="452">
        <f t="shared" si="214"/>
        <v>0</v>
      </c>
      <c r="Y858" s="440"/>
      <c r="Z858" s="440">
        <f t="shared" ca="1" si="217"/>
        <v>0</v>
      </c>
      <c r="AA858" s="241"/>
      <c r="AH858" s="242"/>
    </row>
    <row r="859" spans="2:34" ht="15.75" x14ac:dyDescent="0.25">
      <c r="B859" s="229"/>
      <c r="C859" s="235"/>
      <c r="D859" s="243"/>
      <c r="E859" s="232"/>
      <c r="F859" s="435"/>
      <c r="G859" s="234"/>
      <c r="H859" s="235"/>
      <c r="I859" s="235"/>
      <c r="J859" s="440"/>
      <c r="K859" s="443">
        <f ca="1">ROUND(IF(ISERROR(OFFSET(Tabella!$A$1,MATCH(H859,Tabella!$A:$A,0)-1,MATCH(J859,Tabella!$A$1:$AC$1,0)-1)=TRUE),0,+OFFSET(Tabella!$A$1,MATCH(H859,Tabella!$A:$A,0)-1,MATCH(J859,Tabella!$A$1:$AC$1,0)-1)),4)</f>
        <v>0</v>
      </c>
      <c r="L859" s="446">
        <f ca="1">ROUND(IF(ISERROR(OFFSET(Ottone!$A$1,MATCH(H859,Ottone!$A:$A,0)-1,MATCH(J859,Ottone!$A$1:$Z$1,0)-1)=TRUE),0,OFFSET(Ottone!$A$1,MATCH(H859,Ottone!$A:$A,0)-1,MATCH(J859,Ottone!$A$1:$Z$1,0)-1))*IF(E859="Ottone",1,0),4)</f>
        <v>0</v>
      </c>
      <c r="M859" s="446">
        <f ca="1">ROUND(IF(ISERROR(OFFSET(Rame!$A$1,MATCH(H859,Rame!$A:$A,0)-1,MATCH(J859,Rame!$A$1:$AA$1,0)-1)=TRUE),0,OFFSET(Rame!$A$1,MATCH(H859,Rame!$A:$A,0)-1,MATCH(J859,Rame!$A$1:$AA$1,0)-1))*IF(E859="Rame",1,0),4)</f>
        <v>0</v>
      </c>
      <c r="N859" s="446">
        <v>0</v>
      </c>
      <c r="O859" s="446">
        <f t="shared" ca="1" si="213"/>
        <v>0</v>
      </c>
      <c r="P859" s="446">
        <f ca="1">ROUND(+IF(ISERROR(OFFSET(Tabella!$G$1,MATCH(H859,Tabella!$G:$G,0)-1,MATCH(I859,Tabella!$G$1:$FG$1,0)-1)=TRUE),0,OFFSET(Tabella!$G$1,MATCH(H859,Tabella!$G:$G,0)-1,MATCH(I859,Tabella!$G$1:$AB$1,0)-1)),4)</f>
        <v>0</v>
      </c>
      <c r="Q859" s="446">
        <f ca="1">ROUND(IF(ISERROR(OFFSET(Ottone!$F$1,MATCH(H859,Ottone!$A:$A,0)-1,MATCH(I859,Ottone!$F$1:$FF$1,0)-1)=TRUE),0,OFFSET(Ottone!$F$1,MATCH(H859,Ottone!$A:$A,0)-1,MATCH(I859,Ottone!$F$1:$FF$1,0)-1))*IF(E859="Ottone",1,0),4)</f>
        <v>0</v>
      </c>
      <c r="R859" s="446">
        <f ca="1">ROUND(IF(ISERROR(OFFSET(Rame!$F$1,MATCH(H859,Rame!$F:$F,0)-1,MATCH(I859,Rame!$F$1:$FF$1,0)-1)=TRUE),0,OFFSET(Rame!$F$1,MATCH(H859,Rame!$F:$F,0)-1,MATCH(I859,Rame!$F$1:$FF$1,0)-1))*IF(E859="Rame",1,0),4)</f>
        <v>0</v>
      </c>
      <c r="S859" s="446">
        <f ca="1">ROUND(IF(ISERROR(OFFSET(Bronzo!$A$1,MATCH(H859,Bronzo!$A:$A,0)-1,MATCH(I859,Bronzo!$A$1:$AA$1,0)-1)=TRUE),0,OFFSET(Bronzo!$A$1,MATCH(H859,Bronzo!$A:$A,0)-1,MATCH(I859,Bronzo!$A$1:$AA$1,0)-1)),4)</f>
        <v>0</v>
      </c>
      <c r="T859" s="446">
        <f t="shared" ca="1" si="215"/>
        <v>0</v>
      </c>
      <c r="U859" s="443"/>
      <c r="V859" s="446">
        <v>0</v>
      </c>
      <c r="W859" s="449">
        <f t="shared" ca="1" si="216"/>
        <v>0</v>
      </c>
      <c r="X859" s="452">
        <f t="shared" si="214"/>
        <v>0</v>
      </c>
      <c r="Y859" s="440"/>
      <c r="Z859" s="440">
        <f t="shared" ca="1" si="217"/>
        <v>0</v>
      </c>
      <c r="AA859" s="241"/>
      <c r="AH859" s="242"/>
    </row>
    <row r="860" spans="2:34" ht="15.75" x14ac:dyDescent="0.25">
      <c r="B860" s="229"/>
      <c r="C860" s="235"/>
      <c r="D860" s="243"/>
      <c r="E860" s="232"/>
      <c r="F860" s="435"/>
      <c r="G860" s="234"/>
      <c r="H860" s="235"/>
      <c r="I860" s="235"/>
      <c r="J860" s="440"/>
      <c r="K860" s="443">
        <f ca="1">ROUND(IF(ISERROR(OFFSET(Tabella!$A$1,MATCH(H860,Tabella!$A:$A,0)-1,MATCH(J860,Tabella!$A$1:$AC$1,0)-1)=TRUE),0,+OFFSET(Tabella!$A$1,MATCH(H860,Tabella!$A:$A,0)-1,MATCH(J860,Tabella!$A$1:$AC$1,0)-1)),4)</f>
        <v>0</v>
      </c>
      <c r="L860" s="446">
        <f ca="1">ROUND(IF(ISERROR(OFFSET(Ottone!$A$1,MATCH(H860,Ottone!$A:$A,0)-1,MATCH(J860,Ottone!$A$1:$Z$1,0)-1)=TRUE),0,OFFSET(Ottone!$A$1,MATCH(H860,Ottone!$A:$A,0)-1,MATCH(J860,Ottone!$A$1:$Z$1,0)-1))*IF(E860="Ottone",1,0),4)</f>
        <v>0</v>
      </c>
      <c r="M860" s="446">
        <f ca="1">ROUND(IF(ISERROR(OFFSET(Rame!$A$1,MATCH(H860,Rame!$A:$A,0)-1,MATCH(J860,Rame!$A$1:$AA$1,0)-1)=TRUE),0,OFFSET(Rame!$A$1,MATCH(H860,Rame!$A:$A,0)-1,MATCH(J860,Rame!$A$1:$AA$1,0)-1))*IF(E860="Rame",1,0),4)</f>
        <v>0</v>
      </c>
      <c r="N860" s="446">
        <v>0</v>
      </c>
      <c r="O860" s="446">
        <f t="shared" ca="1" si="213"/>
        <v>0</v>
      </c>
      <c r="P860" s="446">
        <f ca="1">ROUND(+IF(ISERROR(OFFSET(Tabella!$G$1,MATCH(H860,Tabella!$G:$G,0)-1,MATCH(I860,Tabella!$G$1:$FG$1,0)-1)=TRUE),0,OFFSET(Tabella!$G$1,MATCH(H860,Tabella!$G:$G,0)-1,MATCH(I860,Tabella!$G$1:$AB$1,0)-1)),4)</f>
        <v>0</v>
      </c>
      <c r="Q860" s="446">
        <f ca="1">ROUND(IF(ISERROR(OFFSET(Ottone!$F$1,MATCH(H860,Ottone!$A:$A,0)-1,MATCH(I860,Ottone!$F$1:$FF$1,0)-1)=TRUE),0,OFFSET(Ottone!$F$1,MATCH(H860,Ottone!$A:$A,0)-1,MATCH(I860,Ottone!$F$1:$FF$1,0)-1))*IF(E860="Ottone",1,0),4)</f>
        <v>0</v>
      </c>
      <c r="R860" s="446">
        <f ca="1">ROUND(IF(ISERROR(OFFSET(Rame!$F$1,MATCH(H860,Rame!$F:$F,0)-1,MATCH(I860,Rame!$F$1:$FF$1,0)-1)=TRUE),0,OFFSET(Rame!$F$1,MATCH(H860,Rame!$F:$F,0)-1,MATCH(I860,Rame!$F$1:$FF$1,0)-1))*IF(E860="Rame",1,0),4)</f>
        <v>0</v>
      </c>
      <c r="S860" s="446">
        <f ca="1">ROUND(IF(ISERROR(OFFSET(Bronzo!$A$1,MATCH(H860,Bronzo!$A:$A,0)-1,MATCH(I860,Bronzo!$A$1:$AA$1,0)-1)=TRUE),0,OFFSET(Bronzo!$A$1,MATCH(H860,Bronzo!$A:$A,0)-1,MATCH(I860,Bronzo!$A$1:$AA$1,0)-1)),4)</f>
        <v>0</v>
      </c>
      <c r="T860" s="446">
        <f t="shared" ca="1" si="215"/>
        <v>0</v>
      </c>
      <c r="U860" s="443"/>
      <c r="V860" s="446">
        <v>0</v>
      </c>
      <c r="W860" s="449">
        <f t="shared" ca="1" si="216"/>
        <v>0</v>
      </c>
      <c r="X860" s="452">
        <f t="shared" si="214"/>
        <v>0</v>
      </c>
      <c r="Y860" s="440"/>
      <c r="Z860" s="440">
        <f t="shared" ca="1" si="217"/>
        <v>0</v>
      </c>
      <c r="AA860" s="241"/>
      <c r="AH860" s="242"/>
    </row>
    <row r="861" spans="2:34" ht="15.75" x14ac:dyDescent="0.25">
      <c r="B861" s="229"/>
      <c r="C861" s="235"/>
      <c r="D861" s="243"/>
      <c r="E861" s="232"/>
      <c r="F861" s="435"/>
      <c r="G861" s="234"/>
      <c r="H861" s="235"/>
      <c r="I861" s="235"/>
      <c r="J861" s="440"/>
      <c r="K861" s="443">
        <f ca="1">ROUND(IF(ISERROR(OFFSET(Tabella!$A$1,MATCH(H861,Tabella!$A:$A,0)-1,MATCH(J861,Tabella!$A$1:$AC$1,0)-1)=TRUE),0,+OFFSET(Tabella!$A$1,MATCH(H861,Tabella!$A:$A,0)-1,MATCH(J861,Tabella!$A$1:$AC$1,0)-1)),4)</f>
        <v>0</v>
      </c>
      <c r="L861" s="446">
        <f ca="1">ROUND(IF(ISERROR(OFFSET(Ottone!$A$1,MATCH(H861,Ottone!$A:$A,0)-1,MATCH(J861,Ottone!$A$1:$Z$1,0)-1)=TRUE),0,OFFSET(Ottone!$A$1,MATCH(H861,Ottone!$A:$A,0)-1,MATCH(J861,Ottone!$A$1:$Z$1,0)-1))*IF(E861="Ottone",1,0),4)</f>
        <v>0</v>
      </c>
      <c r="M861" s="446">
        <f ca="1">ROUND(IF(ISERROR(OFFSET(Rame!$A$1,MATCH(H861,Rame!$A:$A,0)-1,MATCH(J861,Rame!$A$1:$AA$1,0)-1)=TRUE),0,OFFSET(Rame!$A$1,MATCH(H861,Rame!$A:$A,0)-1,MATCH(J861,Rame!$A$1:$AA$1,0)-1))*IF(E861="Rame",1,0),4)</f>
        <v>0</v>
      </c>
      <c r="N861" s="446">
        <v>0</v>
      </c>
      <c r="O861" s="446">
        <f t="shared" ca="1" si="213"/>
        <v>0</v>
      </c>
      <c r="P861" s="446">
        <f ca="1">ROUND(+IF(ISERROR(OFFSET(Tabella!$G$1,MATCH(H861,Tabella!$G:$G,0)-1,MATCH(I861,Tabella!$G$1:$FG$1,0)-1)=TRUE),0,OFFSET(Tabella!$G$1,MATCH(H861,Tabella!$G:$G,0)-1,MATCH(I861,Tabella!$G$1:$AB$1,0)-1)),4)</f>
        <v>0</v>
      </c>
      <c r="Q861" s="446">
        <f ca="1">ROUND(IF(ISERROR(OFFSET(Ottone!$F$1,MATCH(H861,Ottone!$A:$A,0)-1,MATCH(I861,Ottone!$F$1:$FF$1,0)-1)=TRUE),0,OFFSET(Ottone!$F$1,MATCH(H861,Ottone!$A:$A,0)-1,MATCH(I861,Ottone!$F$1:$FF$1,0)-1))*IF(E861="Ottone",1,0),4)</f>
        <v>0</v>
      </c>
      <c r="R861" s="446">
        <f ca="1">ROUND(IF(ISERROR(OFFSET(Rame!$F$1,MATCH(H861,Rame!$F:$F,0)-1,MATCH(I861,Rame!$F$1:$FF$1,0)-1)=TRUE),0,OFFSET(Rame!$F$1,MATCH(H861,Rame!$F:$F,0)-1,MATCH(I861,Rame!$F$1:$FF$1,0)-1))*IF(E861="Rame",1,0),4)</f>
        <v>0</v>
      </c>
      <c r="S861" s="446">
        <f ca="1">ROUND(IF(ISERROR(OFFSET(Bronzo!$A$1,MATCH(H861,Bronzo!$A:$A,0)-1,MATCH(I861,Bronzo!$A$1:$AA$1,0)-1)=TRUE),0,OFFSET(Bronzo!$A$1,MATCH(H861,Bronzo!$A:$A,0)-1,MATCH(I861,Bronzo!$A$1:$AA$1,0)-1)),4)</f>
        <v>0</v>
      </c>
      <c r="T861" s="446">
        <f t="shared" ca="1" si="215"/>
        <v>0</v>
      </c>
      <c r="U861" s="443"/>
      <c r="V861" s="446">
        <v>0</v>
      </c>
      <c r="W861" s="449">
        <f t="shared" ca="1" si="216"/>
        <v>0</v>
      </c>
      <c r="X861" s="452">
        <f t="shared" si="214"/>
        <v>0</v>
      </c>
      <c r="Y861" s="440"/>
      <c r="Z861" s="440">
        <f t="shared" ca="1" si="217"/>
        <v>0</v>
      </c>
      <c r="AA861" s="241"/>
      <c r="AH861" s="242"/>
    </row>
    <row r="862" spans="2:34" ht="15.75" x14ac:dyDescent="0.25">
      <c r="B862" s="229"/>
      <c r="C862" s="235"/>
      <c r="D862" s="243"/>
      <c r="E862" s="232"/>
      <c r="F862" s="435"/>
      <c r="G862" s="234"/>
      <c r="H862" s="235"/>
      <c r="I862" s="235"/>
      <c r="J862" s="440"/>
      <c r="K862" s="443">
        <f ca="1">ROUND(IF(ISERROR(OFFSET(Tabella!$A$1,MATCH(H862,Tabella!$A:$A,0)-1,MATCH(J862,Tabella!$A$1:$AC$1,0)-1)=TRUE),0,+OFFSET(Tabella!$A$1,MATCH(H862,Tabella!$A:$A,0)-1,MATCH(J862,Tabella!$A$1:$AC$1,0)-1)),4)</f>
        <v>0</v>
      </c>
      <c r="L862" s="446">
        <f ca="1">ROUND(IF(ISERROR(OFFSET(Ottone!$A$1,MATCH(H862,Ottone!$A:$A,0)-1,MATCH(J862,Ottone!$A$1:$Z$1,0)-1)=TRUE),0,OFFSET(Ottone!$A$1,MATCH(H862,Ottone!$A:$A,0)-1,MATCH(J862,Ottone!$A$1:$Z$1,0)-1))*IF(E862="Ottone",1,0),4)</f>
        <v>0</v>
      </c>
      <c r="M862" s="446">
        <f ca="1">ROUND(IF(ISERROR(OFFSET(Rame!$A$1,MATCH(H862,Rame!$A:$A,0)-1,MATCH(J862,Rame!$A$1:$AA$1,0)-1)=TRUE),0,OFFSET(Rame!$A$1,MATCH(H862,Rame!$A:$A,0)-1,MATCH(J862,Rame!$A$1:$AA$1,0)-1))*IF(E862="Rame",1,0),4)</f>
        <v>0</v>
      </c>
      <c r="N862" s="446">
        <v>0</v>
      </c>
      <c r="O862" s="446">
        <f t="shared" ca="1" si="213"/>
        <v>0</v>
      </c>
      <c r="P862" s="446">
        <f ca="1">ROUND(+IF(ISERROR(OFFSET(Tabella!$G$1,MATCH(H862,Tabella!$G:$G,0)-1,MATCH(I862,Tabella!$G$1:$FG$1,0)-1)=TRUE),0,OFFSET(Tabella!$G$1,MATCH(H862,Tabella!$G:$G,0)-1,MATCH(I862,Tabella!$G$1:$AB$1,0)-1)),4)</f>
        <v>0</v>
      </c>
      <c r="Q862" s="446">
        <f ca="1">ROUND(IF(ISERROR(OFFSET(Ottone!$F$1,MATCH(H862,Ottone!$A:$A,0)-1,MATCH(I862,Ottone!$F$1:$FF$1,0)-1)=TRUE),0,OFFSET(Ottone!$F$1,MATCH(H862,Ottone!$A:$A,0)-1,MATCH(I862,Ottone!$F$1:$FF$1,0)-1))*IF(E862="Ottone",1,0),4)</f>
        <v>0</v>
      </c>
      <c r="R862" s="446">
        <f ca="1">ROUND(IF(ISERROR(OFFSET(Rame!$F$1,MATCH(H862,Rame!$F:$F,0)-1,MATCH(I862,Rame!$F$1:$FF$1,0)-1)=TRUE),0,OFFSET(Rame!$F$1,MATCH(H862,Rame!$F:$F,0)-1,MATCH(I862,Rame!$F$1:$FF$1,0)-1))*IF(E862="Rame",1,0),4)</f>
        <v>0</v>
      </c>
      <c r="S862" s="446">
        <f ca="1">ROUND(IF(ISERROR(OFFSET(Bronzo!$A$1,MATCH(H862,Bronzo!$A:$A,0)-1,MATCH(I862,Bronzo!$A$1:$AA$1,0)-1)=TRUE),0,OFFSET(Bronzo!$A$1,MATCH(H862,Bronzo!$A:$A,0)-1,MATCH(I862,Bronzo!$A$1:$AA$1,0)-1)),4)</f>
        <v>0</v>
      </c>
      <c r="T862" s="446">
        <f t="shared" ca="1" si="215"/>
        <v>0</v>
      </c>
      <c r="U862" s="443"/>
      <c r="V862" s="446">
        <v>0</v>
      </c>
      <c r="W862" s="449">
        <f t="shared" ca="1" si="216"/>
        <v>0</v>
      </c>
      <c r="X862" s="452">
        <f t="shared" si="214"/>
        <v>0</v>
      </c>
      <c r="Y862" s="440"/>
      <c r="Z862" s="440">
        <f t="shared" ca="1" si="217"/>
        <v>0</v>
      </c>
      <c r="AA862" s="241"/>
      <c r="AH862" s="242"/>
    </row>
    <row r="863" spans="2:34" ht="15.75" x14ac:dyDescent="0.25">
      <c r="B863" s="229"/>
      <c r="C863" s="235"/>
      <c r="D863" s="243"/>
      <c r="E863" s="232"/>
      <c r="F863" s="435"/>
      <c r="G863" s="234"/>
      <c r="H863" s="235"/>
      <c r="I863" s="235"/>
      <c r="J863" s="440"/>
      <c r="K863" s="443">
        <f ca="1">ROUND(IF(ISERROR(OFFSET(Tabella!$A$1,MATCH(H863,Tabella!$A:$A,0)-1,MATCH(J863,Tabella!$A$1:$AC$1,0)-1)=TRUE),0,+OFFSET(Tabella!$A$1,MATCH(H863,Tabella!$A:$A,0)-1,MATCH(J863,Tabella!$A$1:$AC$1,0)-1)),4)</f>
        <v>0</v>
      </c>
      <c r="L863" s="446">
        <f ca="1">ROUND(IF(ISERROR(OFFSET(Ottone!$A$1,MATCH(H863,Ottone!$A:$A,0)-1,MATCH(J863,Ottone!$A$1:$Z$1,0)-1)=TRUE),0,OFFSET(Ottone!$A$1,MATCH(H863,Ottone!$A:$A,0)-1,MATCH(J863,Ottone!$A$1:$Z$1,0)-1))*IF(E863="Ottone",1,0),4)</f>
        <v>0</v>
      </c>
      <c r="M863" s="446">
        <f ca="1">ROUND(IF(ISERROR(OFFSET(Rame!$A$1,MATCH(H863,Rame!$A:$A,0)-1,MATCH(J863,Rame!$A$1:$AA$1,0)-1)=TRUE),0,OFFSET(Rame!$A$1,MATCH(H863,Rame!$A:$A,0)-1,MATCH(J863,Rame!$A$1:$AA$1,0)-1))*IF(E863="Rame",1,0),4)</f>
        <v>0</v>
      </c>
      <c r="N863" s="446">
        <v>0</v>
      </c>
      <c r="O863" s="446">
        <f t="shared" ca="1" si="213"/>
        <v>0</v>
      </c>
      <c r="P863" s="446">
        <f ca="1">ROUND(+IF(ISERROR(OFFSET(Tabella!$G$1,MATCH(H863,Tabella!$G:$G,0)-1,MATCH(I863,Tabella!$G$1:$FG$1,0)-1)=TRUE),0,OFFSET(Tabella!$G$1,MATCH(H863,Tabella!$G:$G,0)-1,MATCH(I863,Tabella!$G$1:$AB$1,0)-1)),4)</f>
        <v>0</v>
      </c>
      <c r="Q863" s="446">
        <f ca="1">ROUND(IF(ISERROR(OFFSET(Ottone!$F$1,MATCH(H863,Ottone!$A:$A,0)-1,MATCH(I863,Ottone!$F$1:$FF$1,0)-1)=TRUE),0,OFFSET(Ottone!$F$1,MATCH(H863,Ottone!$A:$A,0)-1,MATCH(I863,Ottone!$F$1:$FF$1,0)-1))*IF(E863="Ottone",1,0),4)</f>
        <v>0</v>
      </c>
      <c r="R863" s="446">
        <f ca="1">ROUND(IF(ISERROR(OFFSET(Rame!$F$1,MATCH(H863,Rame!$F:$F,0)-1,MATCH(I863,Rame!$F$1:$FF$1,0)-1)=TRUE),0,OFFSET(Rame!$F$1,MATCH(H863,Rame!$F:$F,0)-1,MATCH(I863,Rame!$F$1:$FF$1,0)-1))*IF(E863="Rame",1,0),4)</f>
        <v>0</v>
      </c>
      <c r="S863" s="446">
        <f ca="1">ROUND(IF(ISERROR(OFFSET(Bronzo!$A$1,MATCH(H863,Bronzo!$A:$A,0)-1,MATCH(I863,Bronzo!$A$1:$AA$1,0)-1)=TRUE),0,OFFSET(Bronzo!$A$1,MATCH(H863,Bronzo!$A:$A,0)-1,MATCH(I863,Bronzo!$A$1:$AA$1,0)-1)),4)</f>
        <v>0</v>
      </c>
      <c r="T863" s="446">
        <f t="shared" ca="1" si="215"/>
        <v>0</v>
      </c>
      <c r="U863" s="443"/>
      <c r="V863" s="446">
        <v>0</v>
      </c>
      <c r="W863" s="449">
        <f t="shared" ca="1" si="216"/>
        <v>0</v>
      </c>
      <c r="X863" s="452">
        <f t="shared" si="214"/>
        <v>0</v>
      </c>
      <c r="Y863" s="440"/>
      <c r="Z863" s="440">
        <f t="shared" ca="1" si="217"/>
        <v>0</v>
      </c>
      <c r="AA863" s="241"/>
      <c r="AH863" s="242"/>
    </row>
    <row r="864" spans="2:34" ht="15.75" x14ac:dyDescent="0.25">
      <c r="B864" s="229"/>
      <c r="C864" s="235"/>
      <c r="D864" s="243"/>
      <c r="E864" s="232"/>
      <c r="F864" s="435"/>
      <c r="G864" s="234"/>
      <c r="H864" s="235"/>
      <c r="I864" s="235"/>
      <c r="J864" s="440"/>
      <c r="K864" s="443">
        <f ca="1">ROUND(IF(ISERROR(OFFSET(Tabella!$A$1,MATCH(H864,Tabella!$A:$A,0)-1,MATCH(J864,Tabella!$A$1:$AC$1,0)-1)=TRUE),0,+OFFSET(Tabella!$A$1,MATCH(H864,Tabella!$A:$A,0)-1,MATCH(J864,Tabella!$A$1:$AC$1,0)-1)),4)</f>
        <v>0</v>
      </c>
      <c r="L864" s="446">
        <f ca="1">ROUND(IF(ISERROR(OFFSET(Ottone!$A$1,MATCH(H864,Ottone!$A:$A,0)-1,MATCH(J864,Ottone!$A$1:$Z$1,0)-1)=TRUE),0,OFFSET(Ottone!$A$1,MATCH(H864,Ottone!$A:$A,0)-1,MATCH(J864,Ottone!$A$1:$Z$1,0)-1))*IF(E864="Ottone",1,0),4)</f>
        <v>0</v>
      </c>
      <c r="M864" s="446">
        <f ca="1">ROUND(IF(ISERROR(OFFSET(Rame!$A$1,MATCH(H864,Rame!$A:$A,0)-1,MATCH(J864,Rame!$A$1:$AA$1,0)-1)=TRUE),0,OFFSET(Rame!$A$1,MATCH(H864,Rame!$A:$A,0)-1,MATCH(J864,Rame!$A$1:$AA$1,0)-1))*IF(E864="Rame",1,0),4)</f>
        <v>0</v>
      </c>
      <c r="N864" s="446">
        <v>0</v>
      </c>
      <c r="O864" s="446">
        <f t="shared" ca="1" si="213"/>
        <v>0</v>
      </c>
      <c r="P864" s="446">
        <f ca="1">ROUND(+IF(ISERROR(OFFSET(Tabella!$G$1,MATCH(H864,Tabella!$G:$G,0)-1,MATCH(I864,Tabella!$G$1:$FG$1,0)-1)=TRUE),0,OFFSET(Tabella!$G$1,MATCH(H864,Tabella!$G:$G,0)-1,MATCH(I864,Tabella!$G$1:$AB$1,0)-1)),4)</f>
        <v>0</v>
      </c>
      <c r="Q864" s="446">
        <f ca="1">ROUND(IF(ISERROR(OFFSET(Ottone!$F$1,MATCH(H864,Ottone!$A:$A,0)-1,MATCH(I864,Ottone!$F$1:$FF$1,0)-1)=TRUE),0,OFFSET(Ottone!$F$1,MATCH(H864,Ottone!$A:$A,0)-1,MATCH(I864,Ottone!$F$1:$FF$1,0)-1))*IF(E864="Ottone",1,0),4)</f>
        <v>0</v>
      </c>
      <c r="R864" s="446">
        <f ca="1">ROUND(IF(ISERROR(OFFSET(Rame!$F$1,MATCH(H864,Rame!$F:$F,0)-1,MATCH(I864,Rame!$F$1:$FF$1,0)-1)=TRUE),0,OFFSET(Rame!$F$1,MATCH(H864,Rame!$F:$F,0)-1,MATCH(I864,Rame!$F$1:$FF$1,0)-1))*IF(E864="Rame",1,0),4)</f>
        <v>0</v>
      </c>
      <c r="S864" s="446">
        <f ca="1">ROUND(IF(ISERROR(OFFSET(Bronzo!$A$1,MATCH(H864,Bronzo!$A:$A,0)-1,MATCH(I864,Bronzo!$A$1:$AA$1,0)-1)=TRUE),0,OFFSET(Bronzo!$A$1,MATCH(H864,Bronzo!$A:$A,0)-1,MATCH(I864,Bronzo!$A$1:$AA$1,0)-1)),4)</f>
        <v>0</v>
      </c>
      <c r="T864" s="446">
        <f t="shared" ca="1" si="215"/>
        <v>0</v>
      </c>
      <c r="U864" s="443"/>
      <c r="V864" s="446">
        <v>0</v>
      </c>
      <c r="W864" s="449">
        <f t="shared" ca="1" si="216"/>
        <v>0</v>
      </c>
      <c r="X864" s="452">
        <f t="shared" si="214"/>
        <v>0</v>
      </c>
      <c r="Y864" s="440"/>
      <c r="Z864" s="440">
        <f t="shared" ca="1" si="217"/>
        <v>0</v>
      </c>
      <c r="AA864" s="241"/>
      <c r="AH864" s="242"/>
    </row>
    <row r="865" spans="2:46" ht="15.75" x14ac:dyDescent="0.25">
      <c r="B865" s="229"/>
      <c r="C865" s="235"/>
      <c r="D865" s="243"/>
      <c r="E865" s="232"/>
      <c r="F865" s="435"/>
      <c r="G865" s="234"/>
      <c r="H865" s="235"/>
      <c r="I865" s="235"/>
      <c r="J865" s="440"/>
      <c r="K865" s="443">
        <f ca="1">ROUND(IF(ISERROR(OFFSET(Tabella!$A$1,MATCH(H865,Tabella!$A:$A,0)-1,MATCH(J865,Tabella!$A$1:$AC$1,0)-1)=TRUE),0,+OFFSET(Tabella!$A$1,MATCH(H865,Tabella!$A:$A,0)-1,MATCH(J865,Tabella!$A$1:$AC$1,0)-1)),4)</f>
        <v>0</v>
      </c>
      <c r="L865" s="446">
        <f ca="1">ROUND(IF(ISERROR(OFFSET(Ottone!$A$1,MATCH(H865,Ottone!$A:$A,0)-1,MATCH(J865,Ottone!$A$1:$Z$1,0)-1)=TRUE),0,OFFSET(Ottone!$A$1,MATCH(H865,Ottone!$A:$A,0)-1,MATCH(J865,Ottone!$A$1:$Z$1,0)-1))*IF(E865="Ottone",1,0),4)</f>
        <v>0</v>
      </c>
      <c r="M865" s="446">
        <f ca="1">ROUND(IF(ISERROR(OFFSET(Rame!$A$1,MATCH(H865,Rame!$A:$A,0)-1,MATCH(J865,Rame!$A$1:$AA$1,0)-1)=TRUE),0,OFFSET(Rame!$A$1,MATCH(H865,Rame!$A:$A,0)-1,MATCH(J865,Rame!$A$1:$AA$1,0)-1))*IF(E865="Rame",1,0),4)</f>
        <v>0</v>
      </c>
      <c r="N865" s="446">
        <v>0</v>
      </c>
      <c r="O865" s="446">
        <f t="shared" ca="1" si="213"/>
        <v>0</v>
      </c>
      <c r="P865" s="446">
        <f ca="1">ROUND(+IF(ISERROR(OFFSET(Tabella!$G$1,MATCH(H865,Tabella!$G:$G,0)-1,MATCH(I865,Tabella!$G$1:$FG$1,0)-1)=TRUE),0,OFFSET(Tabella!$G$1,MATCH(H865,Tabella!$G:$G,0)-1,MATCH(I865,Tabella!$G$1:$AB$1,0)-1)),4)</f>
        <v>0</v>
      </c>
      <c r="Q865" s="446">
        <f ca="1">ROUND(IF(ISERROR(OFFSET(Ottone!$F$1,MATCH(H865,Ottone!$A:$A,0)-1,MATCH(I865,Ottone!$F$1:$FF$1,0)-1)=TRUE),0,OFFSET(Ottone!$F$1,MATCH(H865,Ottone!$A:$A,0)-1,MATCH(I865,Ottone!$F$1:$FF$1,0)-1))*IF(E865="Ottone",1,0),4)</f>
        <v>0</v>
      </c>
      <c r="R865" s="446">
        <f ca="1">ROUND(IF(ISERROR(OFFSET(Rame!$F$1,MATCH(H865,Rame!$F:$F,0)-1,MATCH(I865,Rame!$F$1:$FF$1,0)-1)=TRUE),0,OFFSET(Rame!$F$1,MATCH(H865,Rame!$F:$F,0)-1,MATCH(I865,Rame!$F$1:$FF$1,0)-1))*IF(E865="Rame",1,0),4)</f>
        <v>0</v>
      </c>
      <c r="S865" s="446">
        <f ca="1">ROUND(IF(ISERROR(OFFSET(Bronzo!$A$1,MATCH(H865,Bronzo!$A:$A,0)-1,MATCH(I865,Bronzo!$A$1:$AA$1,0)-1)=TRUE),0,OFFSET(Bronzo!$A$1,MATCH(H865,Bronzo!$A:$A,0)-1,MATCH(I865,Bronzo!$A$1:$AA$1,0)-1)),4)</f>
        <v>0</v>
      </c>
      <c r="T865" s="446">
        <f t="shared" ca="1" si="215"/>
        <v>0</v>
      </c>
      <c r="U865" s="443"/>
      <c r="V865" s="446">
        <v>0</v>
      </c>
      <c r="W865" s="449">
        <f t="shared" ca="1" si="216"/>
        <v>0</v>
      </c>
      <c r="X865" s="452">
        <f t="shared" si="214"/>
        <v>0</v>
      </c>
      <c r="Y865" s="440"/>
      <c r="Z865" s="440">
        <f t="shared" ca="1" si="217"/>
        <v>0</v>
      </c>
      <c r="AA865" s="241"/>
      <c r="AH865" s="242"/>
    </row>
    <row r="866" spans="2:46" ht="15.75" x14ac:dyDescent="0.25">
      <c r="B866" s="229"/>
      <c r="C866" s="235"/>
      <c r="D866" s="243"/>
      <c r="E866" s="232"/>
      <c r="F866" s="435"/>
      <c r="G866" s="234"/>
      <c r="H866" s="235"/>
      <c r="I866" s="235"/>
      <c r="J866" s="440"/>
      <c r="K866" s="443">
        <f ca="1">ROUND(IF(ISERROR(OFFSET(Tabella!$A$1,MATCH(H866,Tabella!$A:$A,0)-1,MATCH(J866,Tabella!$A$1:$AC$1,0)-1)=TRUE),0,+OFFSET(Tabella!$A$1,MATCH(H866,Tabella!$A:$A,0)-1,MATCH(J866,Tabella!$A$1:$AC$1,0)-1)),4)</f>
        <v>0</v>
      </c>
      <c r="L866" s="446">
        <f ca="1">ROUND(IF(ISERROR(OFFSET(Ottone!$A$1,MATCH(H866,Ottone!$A:$A,0)-1,MATCH(J866,Ottone!$A$1:$Z$1,0)-1)=TRUE),0,OFFSET(Ottone!$A$1,MATCH(H866,Ottone!$A:$A,0)-1,MATCH(J866,Ottone!$A$1:$Z$1,0)-1))*IF(E866="Ottone",1,0),4)</f>
        <v>0</v>
      </c>
      <c r="M866" s="446">
        <f ca="1">ROUND(IF(ISERROR(OFFSET(Rame!$A$1,MATCH(H866,Rame!$A:$A,0)-1,MATCH(J866,Rame!$A$1:$AA$1,0)-1)=TRUE),0,OFFSET(Rame!$A$1,MATCH(H866,Rame!$A:$A,0)-1,MATCH(J866,Rame!$A$1:$AA$1,0)-1))*IF(E866="Rame",1,0),4)</f>
        <v>0</v>
      </c>
      <c r="N866" s="446">
        <v>0</v>
      </c>
      <c r="O866" s="446">
        <f t="shared" ca="1" si="213"/>
        <v>0</v>
      </c>
      <c r="P866" s="446">
        <f ca="1">ROUND(+IF(ISERROR(OFFSET(Tabella!$G$1,MATCH(H866,Tabella!$G:$G,0)-1,MATCH(I866,Tabella!$G$1:$FG$1,0)-1)=TRUE),0,OFFSET(Tabella!$G$1,MATCH(H866,Tabella!$G:$G,0)-1,MATCH(I866,Tabella!$G$1:$AB$1,0)-1)),4)</f>
        <v>0</v>
      </c>
      <c r="Q866" s="446">
        <f ca="1">ROUND(IF(ISERROR(OFFSET(Ottone!$F$1,MATCH(H866,Ottone!$A:$A,0)-1,MATCH(I866,Ottone!$F$1:$FF$1,0)-1)=TRUE),0,OFFSET(Ottone!$F$1,MATCH(H866,Ottone!$A:$A,0)-1,MATCH(I866,Ottone!$F$1:$FF$1,0)-1))*IF(E866="Ottone",1,0),4)</f>
        <v>0</v>
      </c>
      <c r="R866" s="446">
        <f ca="1">ROUND(IF(ISERROR(OFFSET(Rame!$F$1,MATCH(H866,Rame!$F:$F,0)-1,MATCH(I866,Rame!$F$1:$FF$1,0)-1)=TRUE),0,OFFSET(Rame!$F$1,MATCH(H866,Rame!$F:$F,0)-1,MATCH(I866,Rame!$F$1:$FF$1,0)-1))*IF(E866="Rame",1,0),4)</f>
        <v>0</v>
      </c>
      <c r="S866" s="446">
        <f ca="1">ROUND(IF(ISERROR(OFFSET(Bronzo!$A$1,MATCH(H866,Bronzo!$A:$A,0)-1,MATCH(I866,Bronzo!$A$1:$AA$1,0)-1)=TRUE),0,OFFSET(Bronzo!$A$1,MATCH(H866,Bronzo!$A:$A,0)-1,MATCH(I866,Bronzo!$A$1:$AA$1,0)-1)),4)</f>
        <v>0</v>
      </c>
      <c r="T866" s="446">
        <f t="shared" ca="1" si="215"/>
        <v>0</v>
      </c>
      <c r="U866" s="443"/>
      <c r="V866" s="446">
        <v>0</v>
      </c>
      <c r="W866" s="449">
        <f t="shared" ca="1" si="216"/>
        <v>0</v>
      </c>
      <c r="X866" s="452">
        <f t="shared" si="214"/>
        <v>0</v>
      </c>
      <c r="Y866" s="440"/>
      <c r="Z866" s="440">
        <f t="shared" ca="1" si="217"/>
        <v>0</v>
      </c>
      <c r="AA866" s="241"/>
      <c r="AH866" s="242"/>
    </row>
    <row r="867" spans="2:46" ht="15.75" x14ac:dyDescent="0.25">
      <c r="B867" s="229"/>
      <c r="C867" s="235"/>
      <c r="D867" s="243"/>
      <c r="E867" s="232"/>
      <c r="F867" s="435"/>
      <c r="G867" s="234"/>
      <c r="H867" s="235"/>
      <c r="I867" s="235"/>
      <c r="J867" s="440"/>
      <c r="K867" s="443">
        <f ca="1">ROUND(IF(ISERROR(OFFSET(Tabella!$A$1,MATCH(H867,Tabella!$A:$A,0)-1,MATCH(J867,Tabella!$A$1:$AC$1,0)-1)=TRUE),0,+OFFSET(Tabella!$A$1,MATCH(H867,Tabella!$A:$A,0)-1,MATCH(J867,Tabella!$A$1:$AC$1,0)-1)),4)</f>
        <v>0</v>
      </c>
      <c r="L867" s="446">
        <f ca="1">ROUND(IF(ISERROR(OFFSET(Ottone!$A$1,MATCH(H867,Ottone!$A:$A,0)-1,MATCH(J867,Ottone!$A$1:$Z$1,0)-1)=TRUE),0,OFFSET(Ottone!$A$1,MATCH(H867,Ottone!$A:$A,0)-1,MATCH(J867,Ottone!$A$1:$Z$1,0)-1))*IF(E867="Ottone",1,0),4)</f>
        <v>0</v>
      </c>
      <c r="M867" s="446">
        <f ca="1">ROUND(IF(ISERROR(OFFSET(Rame!$A$1,MATCH(H867,Rame!$A:$A,0)-1,MATCH(J867,Rame!$A$1:$AA$1,0)-1)=TRUE),0,OFFSET(Rame!$A$1,MATCH(H867,Rame!$A:$A,0)-1,MATCH(J867,Rame!$A$1:$AA$1,0)-1))*IF(E867="Rame",1,0),4)</f>
        <v>0</v>
      </c>
      <c r="N867" s="446">
        <v>0</v>
      </c>
      <c r="O867" s="446">
        <f t="shared" ca="1" si="213"/>
        <v>0</v>
      </c>
      <c r="P867" s="446">
        <f ca="1">ROUND(+IF(ISERROR(OFFSET(Tabella!$G$1,MATCH(H867,Tabella!$G:$G,0)-1,MATCH(I867,Tabella!$G$1:$FG$1,0)-1)=TRUE),0,OFFSET(Tabella!$G$1,MATCH(H867,Tabella!$G:$G,0)-1,MATCH(I867,Tabella!$G$1:$AB$1,0)-1)),4)</f>
        <v>0</v>
      </c>
      <c r="Q867" s="446">
        <f ca="1">ROUND(IF(ISERROR(OFFSET(Ottone!$F$1,MATCH(H867,Ottone!$A:$A,0)-1,MATCH(I867,Ottone!$F$1:$FF$1,0)-1)=TRUE),0,OFFSET(Ottone!$F$1,MATCH(H867,Ottone!$A:$A,0)-1,MATCH(I867,Ottone!$F$1:$FF$1,0)-1))*IF(E867="Ottone",1,0),4)</f>
        <v>0</v>
      </c>
      <c r="R867" s="446">
        <f ca="1">ROUND(IF(ISERROR(OFFSET(Rame!$F$1,MATCH(H867,Rame!$F:$F,0)-1,MATCH(I867,Rame!$F$1:$FF$1,0)-1)=TRUE),0,OFFSET(Rame!$F$1,MATCH(H867,Rame!$F:$F,0)-1,MATCH(I867,Rame!$F$1:$FF$1,0)-1))*IF(E867="Rame",1,0),4)</f>
        <v>0</v>
      </c>
      <c r="S867" s="446">
        <f ca="1">ROUND(IF(ISERROR(OFFSET(Bronzo!$A$1,MATCH(H867,Bronzo!$A:$A,0)-1,MATCH(I867,Bronzo!$A$1:$AA$1,0)-1)=TRUE),0,OFFSET(Bronzo!$A$1,MATCH(H867,Bronzo!$A:$A,0)-1,MATCH(I867,Bronzo!$A$1:$AA$1,0)-1)),4)</f>
        <v>0</v>
      </c>
      <c r="T867" s="446">
        <f t="shared" ca="1" si="215"/>
        <v>0</v>
      </c>
      <c r="U867" s="443"/>
      <c r="V867" s="446">
        <v>0</v>
      </c>
      <c r="W867" s="449">
        <f t="shared" ca="1" si="216"/>
        <v>0</v>
      </c>
      <c r="X867" s="452">
        <f t="shared" si="214"/>
        <v>0</v>
      </c>
      <c r="Y867" s="440"/>
      <c r="Z867" s="440">
        <f t="shared" ca="1" si="217"/>
        <v>0</v>
      </c>
      <c r="AA867" s="241"/>
      <c r="AH867" s="242"/>
    </row>
    <row r="868" spans="2:46" ht="15.75" x14ac:dyDescent="0.25">
      <c r="B868" s="229"/>
      <c r="C868" s="235"/>
      <c r="D868" s="243"/>
      <c r="E868" s="232"/>
      <c r="F868" s="435"/>
      <c r="G868" s="234"/>
      <c r="H868" s="235"/>
      <c r="I868" s="235"/>
      <c r="J868" s="440"/>
      <c r="K868" s="443">
        <f ca="1">ROUND(IF(ISERROR(OFFSET(Tabella!$A$1,MATCH(H868,Tabella!$A:$A,0)-1,MATCH(J868,Tabella!$A$1:$AC$1,0)-1)=TRUE),0,+OFFSET(Tabella!$A$1,MATCH(H868,Tabella!$A:$A,0)-1,MATCH(J868,Tabella!$A$1:$AC$1,0)-1)),4)</f>
        <v>0</v>
      </c>
      <c r="L868" s="446">
        <f ca="1">ROUND(IF(ISERROR(OFFSET(Ottone!$A$1,MATCH(H868,Ottone!$A:$A,0)-1,MATCH(J868,Ottone!$A$1:$Z$1,0)-1)=TRUE),0,OFFSET(Ottone!$A$1,MATCH(H868,Ottone!$A:$A,0)-1,MATCH(J868,Ottone!$A$1:$Z$1,0)-1))*IF(E868="Ottone",1,0),4)</f>
        <v>0</v>
      </c>
      <c r="M868" s="446">
        <f ca="1">ROUND(IF(ISERROR(OFFSET(Rame!$A$1,MATCH(H868,Rame!$A:$A,0)-1,MATCH(J868,Rame!$A$1:$AA$1,0)-1)=TRUE),0,OFFSET(Rame!$A$1,MATCH(H868,Rame!$A:$A,0)-1,MATCH(J868,Rame!$A$1:$AA$1,0)-1))*IF(E868="Rame",1,0),4)</f>
        <v>0</v>
      </c>
      <c r="N868" s="446">
        <v>0</v>
      </c>
      <c r="O868" s="446">
        <f t="shared" ca="1" si="213"/>
        <v>0</v>
      </c>
      <c r="P868" s="446">
        <f ca="1">ROUND(+IF(ISERROR(OFFSET(Tabella!$G$1,MATCH(H868,Tabella!$G:$G,0)-1,MATCH(I868,Tabella!$G$1:$FG$1,0)-1)=TRUE),0,OFFSET(Tabella!$G$1,MATCH(H868,Tabella!$G:$G,0)-1,MATCH(I868,Tabella!$G$1:$AB$1,0)-1)),4)</f>
        <v>0</v>
      </c>
      <c r="Q868" s="446">
        <f ca="1">ROUND(IF(ISERROR(OFFSET(Ottone!$F$1,MATCH(H868,Ottone!$A:$A,0)-1,MATCH(I868,Ottone!$F$1:$FF$1,0)-1)=TRUE),0,OFFSET(Ottone!$F$1,MATCH(H868,Ottone!$A:$A,0)-1,MATCH(I868,Ottone!$F$1:$FF$1,0)-1))*IF(E868="Ottone",1,0),4)</f>
        <v>0</v>
      </c>
      <c r="R868" s="446">
        <f ca="1">ROUND(IF(ISERROR(OFFSET(Rame!$F$1,MATCH(H868,Rame!$F:$F,0)-1,MATCH(I868,Rame!$F$1:$FF$1,0)-1)=TRUE),0,OFFSET(Rame!$F$1,MATCH(H868,Rame!$F:$F,0)-1,MATCH(I868,Rame!$F$1:$FF$1,0)-1))*IF(E868="Rame",1,0),4)</f>
        <v>0</v>
      </c>
      <c r="S868" s="446">
        <f ca="1">ROUND(IF(ISERROR(OFFSET(Bronzo!$A$1,MATCH(H868,Bronzo!$A:$A,0)-1,MATCH(I868,Bronzo!$A$1:$AA$1,0)-1)=TRUE),0,OFFSET(Bronzo!$A$1,MATCH(H868,Bronzo!$A:$A,0)-1,MATCH(I868,Bronzo!$A$1:$AA$1,0)-1)),4)</f>
        <v>0</v>
      </c>
      <c r="T868" s="446">
        <f t="shared" ca="1" si="215"/>
        <v>0</v>
      </c>
      <c r="U868" s="443"/>
      <c r="V868" s="446">
        <v>0</v>
      </c>
      <c r="W868" s="449">
        <f t="shared" ca="1" si="216"/>
        <v>0</v>
      </c>
      <c r="X868" s="452">
        <f t="shared" si="214"/>
        <v>0</v>
      </c>
      <c r="Y868" s="440"/>
      <c r="Z868" s="440">
        <f t="shared" ca="1" si="217"/>
        <v>0</v>
      </c>
      <c r="AA868" s="241"/>
      <c r="AH868" s="242"/>
    </row>
    <row r="869" spans="2:46" ht="15.75" x14ac:dyDescent="0.25">
      <c r="B869" s="229"/>
      <c r="C869" s="235"/>
      <c r="D869" s="243"/>
      <c r="E869" s="232"/>
      <c r="F869" s="435"/>
      <c r="G869" s="234"/>
      <c r="H869" s="235"/>
      <c r="I869" s="235"/>
      <c r="J869" s="440"/>
      <c r="K869" s="443">
        <f ca="1">ROUND(IF(ISERROR(OFFSET(Tabella!$A$1,MATCH(H869,Tabella!$A:$A,0)-1,MATCH(J869,Tabella!$A$1:$AC$1,0)-1)=TRUE),0,+OFFSET(Tabella!$A$1,MATCH(H869,Tabella!$A:$A,0)-1,MATCH(J869,Tabella!$A$1:$AC$1,0)-1)),4)</f>
        <v>0</v>
      </c>
      <c r="L869" s="446">
        <f ca="1">ROUND(IF(ISERROR(OFFSET(Ottone!$A$1,MATCH(H869,Ottone!$A:$A,0)-1,MATCH(J869,Ottone!$A$1:$Z$1,0)-1)=TRUE),0,OFFSET(Ottone!$A$1,MATCH(H869,Ottone!$A:$A,0)-1,MATCH(J869,Ottone!$A$1:$Z$1,0)-1))*IF(E869="Ottone",1,0),4)</f>
        <v>0</v>
      </c>
      <c r="M869" s="446">
        <f ca="1">ROUND(IF(ISERROR(OFFSET(Rame!$A$1,MATCH(H869,Rame!$A:$A,0)-1,MATCH(J869,Rame!$A$1:$AA$1,0)-1)=TRUE),0,OFFSET(Rame!$A$1,MATCH(H869,Rame!$A:$A,0)-1,MATCH(J869,Rame!$A$1:$AA$1,0)-1))*IF(E869="Rame",1,0),4)</f>
        <v>0</v>
      </c>
      <c r="N869" s="446">
        <v>0</v>
      </c>
      <c r="O869" s="446">
        <f t="shared" ca="1" si="213"/>
        <v>0</v>
      </c>
      <c r="P869" s="446">
        <f ca="1">ROUND(+IF(ISERROR(OFFSET(Tabella!$G$1,MATCH(H869,Tabella!$G:$G,0)-1,MATCH(I869,Tabella!$G$1:$FG$1,0)-1)=TRUE),0,OFFSET(Tabella!$G$1,MATCH(H869,Tabella!$G:$G,0)-1,MATCH(I869,Tabella!$G$1:$AB$1,0)-1)),4)</f>
        <v>0</v>
      </c>
      <c r="Q869" s="446">
        <f ca="1">ROUND(IF(ISERROR(OFFSET(Ottone!$F$1,MATCH(H869,Ottone!$A:$A,0)-1,MATCH(I869,Ottone!$F$1:$FF$1,0)-1)=TRUE),0,OFFSET(Ottone!$F$1,MATCH(H869,Ottone!$A:$A,0)-1,MATCH(I869,Ottone!$F$1:$FF$1,0)-1))*IF(E869="Ottone",1,0),4)</f>
        <v>0</v>
      </c>
      <c r="R869" s="446">
        <f ca="1">ROUND(IF(ISERROR(OFFSET(Rame!$F$1,MATCH(H869,Rame!$F:$F,0)-1,MATCH(I869,Rame!$F$1:$FF$1,0)-1)=TRUE),0,OFFSET(Rame!$F$1,MATCH(H869,Rame!$F:$F,0)-1,MATCH(I869,Rame!$F$1:$FF$1,0)-1))*IF(E869="Rame",1,0),4)</f>
        <v>0</v>
      </c>
      <c r="S869" s="446">
        <f ca="1">ROUND(IF(ISERROR(OFFSET(Bronzo!$A$1,MATCH(H869,Bronzo!$A:$A,0)-1,MATCH(I869,Bronzo!$A$1:$AA$1,0)-1)=TRUE),0,OFFSET(Bronzo!$A$1,MATCH(H869,Bronzo!$A:$A,0)-1,MATCH(I869,Bronzo!$A$1:$AA$1,0)-1)),4)</f>
        <v>0</v>
      </c>
      <c r="T869" s="446">
        <f t="shared" ca="1" si="215"/>
        <v>0</v>
      </c>
      <c r="U869" s="443"/>
      <c r="V869" s="446">
        <v>0</v>
      </c>
      <c r="W869" s="449">
        <f t="shared" ca="1" si="216"/>
        <v>0</v>
      </c>
      <c r="X869" s="452">
        <f t="shared" si="214"/>
        <v>0</v>
      </c>
      <c r="Y869" s="440"/>
      <c r="Z869" s="440">
        <f t="shared" ca="1" si="217"/>
        <v>0</v>
      </c>
      <c r="AA869" s="241"/>
      <c r="AH869" s="242"/>
    </row>
    <row r="870" spans="2:46" ht="15.75" x14ac:dyDescent="0.25">
      <c r="B870" s="229"/>
      <c r="C870" s="235"/>
      <c r="D870" s="243"/>
      <c r="E870" s="232"/>
      <c r="F870" s="435"/>
      <c r="G870" s="234"/>
      <c r="H870" s="235"/>
      <c r="I870" s="235"/>
      <c r="J870" s="440"/>
      <c r="K870" s="443">
        <f ca="1">ROUND(IF(ISERROR(OFFSET(Tabella!$A$1,MATCH(H870,Tabella!$A:$A,0)-1,MATCH(J870,Tabella!$A$1:$AC$1,0)-1)=TRUE),0,+OFFSET(Tabella!$A$1,MATCH(H870,Tabella!$A:$A,0)-1,MATCH(J870,Tabella!$A$1:$AC$1,0)-1)),4)</f>
        <v>0</v>
      </c>
      <c r="L870" s="446">
        <f ca="1">ROUND(IF(ISERROR(OFFSET(Ottone!$A$1,MATCH(H870,Ottone!$A:$A,0)-1,MATCH(J870,Ottone!$A$1:$Z$1,0)-1)=TRUE),0,OFFSET(Ottone!$A$1,MATCH(H870,Ottone!$A:$A,0)-1,MATCH(J870,Ottone!$A$1:$Z$1,0)-1))*IF(E870="Ottone",1,0),4)</f>
        <v>0</v>
      </c>
      <c r="M870" s="446">
        <f ca="1">ROUND(IF(ISERROR(OFFSET(Rame!$A$1,MATCH(H870,Rame!$A:$A,0)-1,MATCH(J870,Rame!$A$1:$AA$1,0)-1)=TRUE),0,OFFSET(Rame!$A$1,MATCH(H870,Rame!$A:$A,0)-1,MATCH(J870,Rame!$A$1:$AA$1,0)-1))*IF(E870="Rame",1,0),4)</f>
        <v>0</v>
      </c>
      <c r="N870" s="446">
        <v>0</v>
      </c>
      <c r="O870" s="446">
        <f t="shared" ca="1" si="213"/>
        <v>0</v>
      </c>
      <c r="P870" s="446">
        <f ca="1">ROUND(+IF(ISERROR(OFFSET(Tabella!$G$1,MATCH(H870,Tabella!$G:$G,0)-1,MATCH(I870,Tabella!$G$1:$FG$1,0)-1)=TRUE),0,OFFSET(Tabella!$G$1,MATCH(H870,Tabella!$G:$G,0)-1,MATCH(I870,Tabella!$G$1:$AB$1,0)-1)),4)</f>
        <v>0</v>
      </c>
      <c r="Q870" s="446">
        <f ca="1">ROUND(IF(ISERROR(OFFSET(Ottone!$F$1,MATCH(H870,Ottone!$A:$A,0)-1,MATCH(I870,Ottone!$F$1:$FF$1,0)-1)=TRUE),0,OFFSET(Ottone!$F$1,MATCH(H870,Ottone!$A:$A,0)-1,MATCH(I870,Ottone!$F$1:$FF$1,0)-1))*IF(E870="Ottone",1,0),4)</f>
        <v>0</v>
      </c>
      <c r="R870" s="446">
        <f ca="1">ROUND(IF(ISERROR(OFFSET(Rame!$F$1,MATCH(H870,Rame!$F:$F,0)-1,MATCH(I870,Rame!$F$1:$FF$1,0)-1)=TRUE),0,OFFSET(Rame!$F$1,MATCH(H870,Rame!$F:$F,0)-1,MATCH(I870,Rame!$F$1:$FF$1,0)-1))*IF(E870="Rame",1,0),4)</f>
        <v>0</v>
      </c>
      <c r="S870" s="446">
        <f ca="1">ROUND(IF(ISERROR(OFFSET(Bronzo!$A$1,MATCH(H870,Bronzo!$A:$A,0)-1,MATCH(I870,Bronzo!$A$1:$AA$1,0)-1)=TRUE),0,OFFSET(Bronzo!$A$1,MATCH(H870,Bronzo!$A:$A,0)-1,MATCH(I870,Bronzo!$A$1:$AA$1,0)-1)),4)</f>
        <v>0</v>
      </c>
      <c r="T870" s="446">
        <f t="shared" ca="1" si="215"/>
        <v>0</v>
      </c>
      <c r="U870" s="443"/>
      <c r="V870" s="446">
        <v>0</v>
      </c>
      <c r="W870" s="449">
        <f t="shared" ca="1" si="216"/>
        <v>0</v>
      </c>
      <c r="X870" s="452">
        <f t="shared" si="214"/>
        <v>0</v>
      </c>
      <c r="Y870" s="440"/>
      <c r="Z870" s="440">
        <f t="shared" ca="1" si="217"/>
        <v>0</v>
      </c>
      <c r="AA870" s="241"/>
      <c r="AF870" s="225">
        <f t="shared" ca="1" si="115"/>
        <v>46156</v>
      </c>
      <c r="AG870" s="225" t="b">
        <f t="shared" si="122"/>
        <v>1</v>
      </c>
      <c r="AH870" s="242" t="str">
        <f t="shared" si="123"/>
        <v/>
      </c>
      <c r="AK870" s="223">
        <f t="shared" si="124"/>
        <v>0</v>
      </c>
      <c r="AL870" s="223">
        <f t="shared" si="125"/>
        <v>1900</v>
      </c>
      <c r="AS870" s="223">
        <f t="shared" ref="AS870:AS933" si="218">IF(AA870="",0,MONTH(AA870))</f>
        <v>0</v>
      </c>
      <c r="AT870" s="223">
        <f t="shared" ref="AT870:AT933" si="219">IF(AA870="",0,YEAR(AA870))</f>
        <v>0</v>
      </c>
    </row>
    <row r="871" spans="2:46" ht="15.75" x14ac:dyDescent="0.25">
      <c r="B871" s="229"/>
      <c r="C871" s="235"/>
      <c r="D871" s="243"/>
      <c r="E871" s="232"/>
      <c r="F871" s="435"/>
      <c r="G871" s="234"/>
      <c r="H871" s="235"/>
      <c r="I871" s="235"/>
      <c r="J871" s="440"/>
      <c r="K871" s="443">
        <f ca="1">ROUND(IF(ISERROR(OFFSET(Tabella!$A$1,MATCH(H871,Tabella!$A:$A,0)-1,MATCH(J871,Tabella!$A$1:$AC$1,0)-1)=TRUE),0,+OFFSET(Tabella!$A$1,MATCH(H871,Tabella!$A:$A,0)-1,MATCH(J871,Tabella!$A$1:$AC$1,0)-1)),4)</f>
        <v>0</v>
      </c>
      <c r="L871" s="446">
        <f ca="1">ROUND(IF(ISERROR(OFFSET(Ottone!$A$1,MATCH(H871,Ottone!$A:$A,0)-1,MATCH(J871,Ottone!$A$1:$Z$1,0)-1)=TRUE),0,OFFSET(Ottone!$A$1,MATCH(H871,Ottone!$A:$A,0)-1,MATCH(J871,Ottone!$A$1:$Z$1,0)-1))*IF(E871="Ottone",1,0),4)</f>
        <v>0</v>
      </c>
      <c r="M871" s="446">
        <f ca="1">ROUND(IF(ISERROR(OFFSET(Rame!$A$1,MATCH(H871,Rame!$A:$A,0)-1,MATCH(J871,Rame!$A$1:$AA$1,0)-1)=TRUE),0,OFFSET(Rame!$A$1,MATCH(H871,Rame!$A:$A,0)-1,MATCH(J871,Rame!$A$1:$AA$1,0)-1))*IF(E871="Rame",1,0),4)</f>
        <v>0</v>
      </c>
      <c r="N871" s="446">
        <v>0</v>
      </c>
      <c r="O871" s="446">
        <f t="shared" ca="1" si="213"/>
        <v>0</v>
      </c>
      <c r="P871" s="446">
        <f ca="1">ROUND(+IF(ISERROR(OFFSET(Tabella!$G$1,MATCH(H871,Tabella!$G:$G,0)-1,MATCH(I871,Tabella!$G$1:$FG$1,0)-1)=TRUE),0,OFFSET(Tabella!$G$1,MATCH(H871,Tabella!$G:$G,0)-1,MATCH(I871,Tabella!$G$1:$AB$1,0)-1)),4)</f>
        <v>0</v>
      </c>
      <c r="Q871" s="446">
        <f ca="1">ROUND(IF(ISERROR(OFFSET(Ottone!$F$1,MATCH(H871,Ottone!$A:$A,0)-1,MATCH(I871,Ottone!$F$1:$FF$1,0)-1)=TRUE),0,OFFSET(Ottone!$F$1,MATCH(H871,Ottone!$A:$A,0)-1,MATCH(I871,Ottone!$F$1:$FF$1,0)-1))*IF(E871="Ottone",1,0),4)</f>
        <v>0</v>
      </c>
      <c r="R871" s="446">
        <f ca="1">ROUND(IF(ISERROR(OFFSET(Rame!$F$1,MATCH(H871,Rame!$F:$F,0)-1,MATCH(I871,Rame!$F$1:$FF$1,0)-1)=TRUE),0,OFFSET(Rame!$F$1,MATCH(H871,Rame!$F:$F,0)-1,MATCH(I871,Rame!$F$1:$FF$1,0)-1))*IF(E871="Rame",1,0),4)</f>
        <v>0</v>
      </c>
      <c r="S871" s="446">
        <f ca="1">ROUND(IF(ISERROR(OFFSET(Bronzo!$A$1,MATCH(H871,Bronzo!$A:$A,0)-1,MATCH(I871,Bronzo!$A$1:$AA$1,0)-1)=TRUE),0,OFFSET(Bronzo!$A$1,MATCH(H871,Bronzo!$A:$A,0)-1,MATCH(I871,Bronzo!$A$1:$AA$1,0)-1)),4)</f>
        <v>0</v>
      </c>
      <c r="T871" s="446">
        <f t="shared" ca="1" si="215"/>
        <v>0</v>
      </c>
      <c r="U871" s="443"/>
      <c r="V871" s="446">
        <v>0</v>
      </c>
      <c r="W871" s="449">
        <f t="shared" ca="1" si="216"/>
        <v>0</v>
      </c>
      <c r="X871" s="452">
        <f t="shared" si="214"/>
        <v>0</v>
      </c>
      <c r="Y871" s="440"/>
      <c r="Z871" s="440">
        <f t="shared" ca="1" si="217"/>
        <v>0</v>
      </c>
      <c r="AA871" s="241"/>
      <c r="AF871" s="225">
        <f t="shared" ca="1" si="115"/>
        <v>46156</v>
      </c>
      <c r="AG871" s="225" t="b">
        <f t="shared" si="122"/>
        <v>1</v>
      </c>
      <c r="AH871" s="242" t="str">
        <f t="shared" si="123"/>
        <v/>
      </c>
      <c r="AK871" s="223">
        <f t="shared" si="124"/>
        <v>0</v>
      </c>
      <c r="AL871" s="223">
        <f t="shared" si="125"/>
        <v>1900</v>
      </c>
      <c r="AS871" s="223">
        <f t="shared" si="218"/>
        <v>0</v>
      </c>
      <c r="AT871" s="223">
        <f t="shared" si="219"/>
        <v>0</v>
      </c>
    </row>
    <row r="872" spans="2:46" ht="15.75" x14ac:dyDescent="0.25">
      <c r="B872" s="229"/>
      <c r="C872" s="235"/>
      <c r="D872" s="243"/>
      <c r="E872" s="232"/>
      <c r="F872" s="435"/>
      <c r="G872" s="234"/>
      <c r="H872" s="235"/>
      <c r="I872" s="235"/>
      <c r="J872" s="440"/>
      <c r="K872" s="443">
        <f ca="1">ROUND(IF(ISERROR(OFFSET(Tabella!$A$1,MATCH(H872,Tabella!$A:$A,0)-1,MATCH(J872,Tabella!$A$1:$AC$1,0)-1)=TRUE),0,+OFFSET(Tabella!$A$1,MATCH(H872,Tabella!$A:$A,0)-1,MATCH(J872,Tabella!$A$1:$AC$1,0)-1)),4)</f>
        <v>0</v>
      </c>
      <c r="L872" s="446">
        <f ca="1">ROUND(IF(ISERROR(OFFSET(Ottone!$A$1,MATCH(H872,Ottone!$A:$A,0)-1,MATCH(J872,Ottone!$A$1:$Z$1,0)-1)=TRUE),0,OFFSET(Ottone!$A$1,MATCH(H872,Ottone!$A:$A,0)-1,MATCH(J872,Ottone!$A$1:$Z$1,0)-1))*IF(E872="Ottone",1,0),4)</f>
        <v>0</v>
      </c>
      <c r="M872" s="446">
        <f ca="1">ROUND(IF(ISERROR(OFFSET(Rame!$A$1,MATCH(H872,Rame!$A:$A,0)-1,MATCH(J872,Rame!$A$1:$AA$1,0)-1)=TRUE),0,OFFSET(Rame!$A$1,MATCH(H872,Rame!$A:$A,0)-1,MATCH(J872,Rame!$A$1:$AA$1,0)-1))*IF(E872="Rame",1,0),4)</f>
        <v>0</v>
      </c>
      <c r="N872" s="446">
        <v>0</v>
      </c>
      <c r="O872" s="446">
        <f t="shared" ref="O872:O935" ca="1" si="220">ROUND(SUM(K872:N872),4)</f>
        <v>0</v>
      </c>
      <c r="P872" s="446">
        <f ca="1">ROUND(+IF(ISERROR(OFFSET(Tabella!$G$1,MATCH(H872,Tabella!$G:$G,0)-1,MATCH(I872,Tabella!$G$1:$FG$1,0)-1)=TRUE),0,OFFSET(Tabella!$G$1,MATCH(H872,Tabella!$G:$G,0)-1,MATCH(I872,Tabella!$G$1:$AB$1,0)-1)),4)</f>
        <v>0</v>
      </c>
      <c r="Q872" s="446">
        <f ca="1">ROUND(IF(ISERROR(OFFSET(Ottone!$F$1,MATCH(H872,Ottone!$A:$A,0)-1,MATCH(I872,Ottone!$F$1:$FF$1,0)-1)=TRUE),0,OFFSET(Ottone!$F$1,MATCH(H872,Ottone!$A:$A,0)-1,MATCH(I872,Ottone!$F$1:$FF$1,0)-1))*IF(E872="Ottone",1,0),4)</f>
        <v>0</v>
      </c>
      <c r="R872" s="446">
        <f ca="1">ROUND(IF(ISERROR(OFFSET(Rame!$F$1,MATCH(H872,Rame!$F:$F,0)-1,MATCH(I872,Rame!$F$1:$FF$1,0)-1)=TRUE),0,OFFSET(Rame!$F$1,MATCH(H872,Rame!$F:$F,0)-1,MATCH(I872,Rame!$F$1:$FF$1,0)-1))*IF(E872="Rame",1,0),4)</f>
        <v>0</v>
      </c>
      <c r="S872" s="446">
        <f ca="1">ROUND(IF(ISERROR(OFFSET(Bronzo!$A$1,MATCH(H872,Bronzo!$A:$A,0)-1,MATCH(I872,Bronzo!$A$1:$AA$1,0)-1)=TRUE),0,OFFSET(Bronzo!$A$1,MATCH(H872,Bronzo!$A:$A,0)-1,MATCH(I872,Bronzo!$A$1:$AA$1,0)-1)),4)</f>
        <v>0</v>
      </c>
      <c r="T872" s="446">
        <f t="shared" ca="1" si="215"/>
        <v>0</v>
      </c>
      <c r="U872" s="443"/>
      <c r="V872" s="446">
        <v>0</v>
      </c>
      <c r="W872" s="449">
        <f t="shared" ca="1" si="216"/>
        <v>0</v>
      </c>
      <c r="X872" s="452">
        <f t="shared" si="214"/>
        <v>0</v>
      </c>
      <c r="Y872" s="440"/>
      <c r="Z872" s="440">
        <f t="shared" ca="1" si="217"/>
        <v>0</v>
      </c>
      <c r="AA872" s="241"/>
      <c r="AF872" s="225">
        <f t="shared" ca="1" si="115"/>
        <v>46156</v>
      </c>
      <c r="AG872" s="225" t="b">
        <f t="shared" si="122"/>
        <v>1</v>
      </c>
      <c r="AH872" s="242" t="str">
        <f t="shared" si="123"/>
        <v/>
      </c>
      <c r="AK872" s="223">
        <f t="shared" si="124"/>
        <v>0</v>
      </c>
      <c r="AL872" s="223">
        <f t="shared" si="125"/>
        <v>1900</v>
      </c>
      <c r="AS872" s="223">
        <f t="shared" si="218"/>
        <v>0</v>
      </c>
      <c r="AT872" s="223">
        <f t="shared" si="219"/>
        <v>0</v>
      </c>
    </row>
    <row r="873" spans="2:46" ht="15.75" x14ac:dyDescent="0.25">
      <c r="B873" s="229"/>
      <c r="C873" s="235"/>
      <c r="D873" s="243"/>
      <c r="E873" s="232"/>
      <c r="F873" s="435"/>
      <c r="G873" s="234"/>
      <c r="H873" s="235"/>
      <c r="I873" s="235"/>
      <c r="J873" s="440"/>
      <c r="K873" s="443">
        <f ca="1">ROUND(IF(ISERROR(OFFSET(Tabella!$A$1,MATCH(H873,Tabella!$A:$A,0)-1,MATCH(J873,Tabella!$A$1:$AC$1,0)-1)=TRUE),0,+OFFSET(Tabella!$A$1,MATCH(H873,Tabella!$A:$A,0)-1,MATCH(J873,Tabella!$A$1:$AC$1,0)-1)),4)</f>
        <v>0</v>
      </c>
      <c r="L873" s="446">
        <f ca="1">ROUND(IF(ISERROR(OFFSET(Ottone!$A$1,MATCH(H873,Ottone!$A:$A,0)-1,MATCH(J873,Ottone!$A$1:$Z$1,0)-1)=TRUE),0,OFFSET(Ottone!$A$1,MATCH(H873,Ottone!$A:$A,0)-1,MATCH(J873,Ottone!$A$1:$Z$1,0)-1))*IF(E873="Ottone",1,0),4)</f>
        <v>0</v>
      </c>
      <c r="M873" s="446">
        <f ca="1">ROUND(IF(ISERROR(OFFSET(Rame!$A$1,MATCH(H873,Rame!$A:$A,0)-1,MATCH(J873,Rame!$A$1:$AA$1,0)-1)=TRUE),0,OFFSET(Rame!$A$1,MATCH(H873,Rame!$A:$A,0)-1,MATCH(J873,Rame!$A$1:$AA$1,0)-1))*IF(E873="Rame",1,0),4)</f>
        <v>0</v>
      </c>
      <c r="N873" s="446">
        <v>0</v>
      </c>
      <c r="O873" s="446">
        <f t="shared" ca="1" si="220"/>
        <v>0</v>
      </c>
      <c r="P873" s="446">
        <f ca="1">ROUND(+IF(ISERROR(OFFSET(Tabella!$G$1,MATCH(H873,Tabella!$G:$G,0)-1,MATCH(I873,Tabella!$G$1:$FG$1,0)-1)=TRUE),0,OFFSET(Tabella!$G$1,MATCH(H873,Tabella!$G:$G,0)-1,MATCH(I873,Tabella!$G$1:$AB$1,0)-1)),4)</f>
        <v>0</v>
      </c>
      <c r="Q873" s="446">
        <f ca="1">ROUND(IF(ISERROR(OFFSET(Ottone!$F$1,MATCH(H873,Ottone!$A:$A,0)-1,MATCH(I873,Ottone!$F$1:$FF$1,0)-1)=TRUE),0,OFFSET(Ottone!$F$1,MATCH(H873,Ottone!$A:$A,0)-1,MATCH(I873,Ottone!$F$1:$FF$1,0)-1))*IF(E873="Ottone",1,0),4)</f>
        <v>0</v>
      </c>
      <c r="R873" s="446">
        <f ca="1">ROUND(IF(ISERROR(OFFSET(Rame!$F$1,MATCH(H873,Rame!$F:$F,0)-1,MATCH(I873,Rame!$F$1:$FF$1,0)-1)=TRUE),0,OFFSET(Rame!$F$1,MATCH(H873,Rame!$F:$F,0)-1,MATCH(I873,Rame!$F$1:$FF$1,0)-1))*IF(E873="Rame",1,0),4)</f>
        <v>0</v>
      </c>
      <c r="S873" s="446">
        <f ca="1">ROUND(IF(ISERROR(OFFSET(Bronzo!$A$1,MATCH(H873,Bronzo!$A:$A,0)-1,MATCH(I873,Bronzo!$A$1:$AA$1,0)-1)=TRUE),0,OFFSET(Bronzo!$A$1,MATCH(H873,Bronzo!$A:$A,0)-1,MATCH(I873,Bronzo!$A$1:$AA$1,0)-1)),4)</f>
        <v>0</v>
      </c>
      <c r="T873" s="446">
        <f t="shared" ca="1" si="215"/>
        <v>0</v>
      </c>
      <c r="U873" s="443"/>
      <c r="V873" s="446">
        <v>0</v>
      </c>
      <c r="W873" s="449">
        <f t="shared" ca="1" si="216"/>
        <v>0</v>
      </c>
      <c r="X873" s="452">
        <f t="shared" si="214"/>
        <v>0</v>
      </c>
      <c r="Y873" s="440"/>
      <c r="Z873" s="440">
        <f t="shared" ca="1" si="217"/>
        <v>0</v>
      </c>
      <c r="AA873" s="241"/>
      <c r="AF873" s="225">
        <f t="shared" ca="1" si="115"/>
        <v>46156</v>
      </c>
      <c r="AG873" s="225" t="b">
        <f t="shared" si="122"/>
        <v>1</v>
      </c>
      <c r="AH873" s="242" t="str">
        <f t="shared" si="123"/>
        <v/>
      </c>
      <c r="AK873" s="223">
        <f t="shared" si="124"/>
        <v>0</v>
      </c>
      <c r="AL873" s="223">
        <f t="shared" si="125"/>
        <v>1900</v>
      </c>
      <c r="AS873" s="223">
        <f t="shared" si="218"/>
        <v>0</v>
      </c>
      <c r="AT873" s="223">
        <f t="shared" si="219"/>
        <v>0</v>
      </c>
    </row>
    <row r="874" spans="2:46" ht="15.75" x14ac:dyDescent="0.25">
      <c r="B874" s="229"/>
      <c r="C874" s="235"/>
      <c r="D874" s="243"/>
      <c r="E874" s="232"/>
      <c r="F874" s="435"/>
      <c r="G874" s="234"/>
      <c r="H874" s="235"/>
      <c r="I874" s="235"/>
      <c r="J874" s="440"/>
      <c r="K874" s="443">
        <f ca="1">ROUND(IF(ISERROR(OFFSET(Tabella!$A$1,MATCH(H874,Tabella!$A:$A,0)-1,MATCH(J874,Tabella!$A$1:$AC$1,0)-1)=TRUE),0,+OFFSET(Tabella!$A$1,MATCH(H874,Tabella!$A:$A,0)-1,MATCH(J874,Tabella!$A$1:$AC$1,0)-1)),4)</f>
        <v>0</v>
      </c>
      <c r="L874" s="446">
        <f ca="1">ROUND(IF(ISERROR(OFFSET(Ottone!$A$1,MATCH(H874,Ottone!$A:$A,0)-1,MATCH(J874,Ottone!$A$1:$Z$1,0)-1)=TRUE),0,OFFSET(Ottone!$A$1,MATCH(H874,Ottone!$A:$A,0)-1,MATCH(J874,Ottone!$A$1:$Z$1,0)-1))*IF(E874="Ottone",1,0),4)</f>
        <v>0</v>
      </c>
      <c r="M874" s="446">
        <f ca="1">ROUND(IF(ISERROR(OFFSET(Rame!$A$1,MATCH(H874,Rame!$A:$A,0)-1,MATCH(J874,Rame!$A$1:$AA$1,0)-1)=TRUE),0,OFFSET(Rame!$A$1,MATCH(H874,Rame!$A:$A,0)-1,MATCH(J874,Rame!$A$1:$AA$1,0)-1))*IF(E874="Rame",1,0),4)</f>
        <v>0</v>
      </c>
      <c r="N874" s="446">
        <v>0</v>
      </c>
      <c r="O874" s="446">
        <f t="shared" ca="1" si="220"/>
        <v>0</v>
      </c>
      <c r="P874" s="446">
        <f ca="1">ROUND(+IF(ISERROR(OFFSET(Tabella!$G$1,MATCH(H874,Tabella!$G:$G,0)-1,MATCH(I874,Tabella!$G$1:$FG$1,0)-1)=TRUE),0,OFFSET(Tabella!$G$1,MATCH(H874,Tabella!$G:$G,0)-1,MATCH(I874,Tabella!$G$1:$AB$1,0)-1)),4)</f>
        <v>0</v>
      </c>
      <c r="Q874" s="446">
        <f ca="1">ROUND(IF(ISERROR(OFFSET(Ottone!$F$1,MATCH(H874,Ottone!$A:$A,0)-1,MATCH(I874,Ottone!$F$1:$FF$1,0)-1)=TRUE),0,OFFSET(Ottone!$F$1,MATCH(H874,Ottone!$A:$A,0)-1,MATCH(I874,Ottone!$F$1:$FF$1,0)-1))*IF(E874="Ottone",1,0),4)</f>
        <v>0</v>
      </c>
      <c r="R874" s="446">
        <f ca="1">ROUND(IF(ISERROR(OFFSET(Rame!$F$1,MATCH(H874,Rame!$F:$F,0)-1,MATCH(I874,Rame!$F$1:$FF$1,0)-1)=TRUE),0,OFFSET(Rame!$F$1,MATCH(H874,Rame!$F:$F,0)-1,MATCH(I874,Rame!$F$1:$FF$1,0)-1))*IF(E874="Rame",1,0),4)</f>
        <v>0</v>
      </c>
      <c r="S874" s="446">
        <f ca="1">ROUND(IF(ISERROR(OFFSET(Bronzo!$A$1,MATCH(H874,Bronzo!$A:$A,0)-1,MATCH(I874,Bronzo!$A$1:$AA$1,0)-1)=TRUE),0,OFFSET(Bronzo!$A$1,MATCH(H874,Bronzo!$A:$A,0)-1,MATCH(I874,Bronzo!$A$1:$AA$1,0)-1)),4)</f>
        <v>0</v>
      </c>
      <c r="T874" s="446">
        <f t="shared" ca="1" si="215"/>
        <v>0</v>
      </c>
      <c r="U874" s="443"/>
      <c r="V874" s="446">
        <v>0</v>
      </c>
      <c r="W874" s="449">
        <f t="shared" ca="1" si="216"/>
        <v>0</v>
      </c>
      <c r="X874" s="452">
        <f t="shared" si="214"/>
        <v>0</v>
      </c>
      <c r="Y874" s="440"/>
      <c r="Z874" s="440">
        <f t="shared" ca="1" si="217"/>
        <v>0</v>
      </c>
      <c r="AA874" s="241"/>
      <c r="AF874" s="225">
        <f t="shared" ca="1" si="115"/>
        <v>46156</v>
      </c>
      <c r="AG874" s="225" t="b">
        <f t="shared" si="122"/>
        <v>1</v>
      </c>
      <c r="AH874" s="242" t="str">
        <f t="shared" si="123"/>
        <v/>
      </c>
      <c r="AK874" s="223">
        <f t="shared" si="124"/>
        <v>0</v>
      </c>
      <c r="AL874" s="223">
        <f t="shared" si="125"/>
        <v>1900</v>
      </c>
      <c r="AS874" s="223">
        <f t="shared" si="218"/>
        <v>0</v>
      </c>
      <c r="AT874" s="223">
        <f t="shared" si="219"/>
        <v>0</v>
      </c>
    </row>
    <row r="875" spans="2:46" ht="15.75" x14ac:dyDescent="0.25">
      <c r="B875" s="229"/>
      <c r="C875" s="235"/>
      <c r="D875" s="243"/>
      <c r="E875" s="232"/>
      <c r="F875" s="435"/>
      <c r="G875" s="234"/>
      <c r="H875" s="235"/>
      <c r="I875" s="235"/>
      <c r="J875" s="440"/>
      <c r="K875" s="443">
        <f ca="1">ROUND(IF(ISERROR(OFFSET(Tabella!$A$1,MATCH(H875,Tabella!$A:$A,0)-1,MATCH(J875,Tabella!$A$1:$AC$1,0)-1)=TRUE),0,+OFFSET(Tabella!$A$1,MATCH(H875,Tabella!$A:$A,0)-1,MATCH(J875,Tabella!$A$1:$AC$1,0)-1)),4)</f>
        <v>0</v>
      </c>
      <c r="L875" s="446">
        <f ca="1">ROUND(IF(ISERROR(OFFSET(Ottone!$A$1,MATCH(H875,Ottone!$A:$A,0)-1,MATCH(J875,Ottone!$A$1:$Z$1,0)-1)=TRUE),0,OFFSET(Ottone!$A$1,MATCH(H875,Ottone!$A:$A,0)-1,MATCH(J875,Ottone!$A$1:$Z$1,0)-1))*IF(E875="Ottone",1,0),4)</f>
        <v>0</v>
      </c>
      <c r="M875" s="446">
        <f ca="1">ROUND(IF(ISERROR(OFFSET(Rame!$A$1,MATCH(H875,Rame!$A:$A,0)-1,MATCH(J875,Rame!$A$1:$AA$1,0)-1)=TRUE),0,OFFSET(Rame!$A$1,MATCH(H875,Rame!$A:$A,0)-1,MATCH(J875,Rame!$A$1:$AA$1,0)-1))*IF(E875="Rame",1,0),4)</f>
        <v>0</v>
      </c>
      <c r="N875" s="446">
        <v>0</v>
      </c>
      <c r="O875" s="446">
        <f t="shared" ca="1" si="220"/>
        <v>0</v>
      </c>
      <c r="P875" s="446">
        <f ca="1">ROUND(+IF(ISERROR(OFFSET(Tabella!$G$1,MATCH(H875,Tabella!$G:$G,0)-1,MATCH(I875,Tabella!$G$1:$FG$1,0)-1)=TRUE),0,OFFSET(Tabella!$G$1,MATCH(H875,Tabella!$G:$G,0)-1,MATCH(I875,Tabella!$G$1:$AB$1,0)-1)),4)</f>
        <v>0</v>
      </c>
      <c r="Q875" s="446">
        <f ca="1">ROUND(IF(ISERROR(OFFSET(Ottone!$F$1,MATCH(H875,Ottone!$A:$A,0)-1,MATCH(I875,Ottone!$F$1:$FF$1,0)-1)=TRUE),0,OFFSET(Ottone!$F$1,MATCH(H875,Ottone!$A:$A,0)-1,MATCH(I875,Ottone!$F$1:$FF$1,0)-1))*IF(E875="Ottone",1,0),4)</f>
        <v>0</v>
      </c>
      <c r="R875" s="446">
        <f ca="1">ROUND(IF(ISERROR(OFFSET(Rame!$F$1,MATCH(H875,Rame!$F:$F,0)-1,MATCH(I875,Rame!$F$1:$FF$1,0)-1)=TRUE),0,OFFSET(Rame!$F$1,MATCH(H875,Rame!$F:$F,0)-1,MATCH(I875,Rame!$F$1:$FF$1,0)-1))*IF(E875="Rame",1,0),4)</f>
        <v>0</v>
      </c>
      <c r="S875" s="446">
        <f ca="1">ROUND(IF(ISERROR(OFFSET(Bronzo!$A$1,MATCH(H875,Bronzo!$A:$A,0)-1,MATCH(I875,Bronzo!$A$1:$AA$1,0)-1)=TRUE),0,OFFSET(Bronzo!$A$1,MATCH(H875,Bronzo!$A:$A,0)-1,MATCH(I875,Bronzo!$A$1:$AA$1,0)-1)),4)</f>
        <v>0</v>
      </c>
      <c r="T875" s="446">
        <f t="shared" ca="1" si="215"/>
        <v>0</v>
      </c>
      <c r="U875" s="443"/>
      <c r="V875" s="446">
        <v>0</v>
      </c>
      <c r="W875" s="449">
        <f t="shared" ca="1" si="216"/>
        <v>0</v>
      </c>
      <c r="X875" s="452">
        <f t="shared" si="214"/>
        <v>0</v>
      </c>
      <c r="Y875" s="440"/>
      <c r="Z875" s="440">
        <f t="shared" ca="1" si="217"/>
        <v>0</v>
      </c>
      <c r="AA875" s="241"/>
      <c r="AF875" s="225">
        <f t="shared" ca="1" si="115"/>
        <v>46156</v>
      </c>
      <c r="AG875" s="225" t="b">
        <f t="shared" si="122"/>
        <v>1</v>
      </c>
      <c r="AH875" s="242" t="str">
        <f t="shared" si="123"/>
        <v/>
      </c>
      <c r="AK875" s="223">
        <f t="shared" si="124"/>
        <v>0</v>
      </c>
      <c r="AL875" s="223">
        <f t="shared" si="125"/>
        <v>1900</v>
      </c>
      <c r="AS875" s="223">
        <f t="shared" si="218"/>
        <v>0</v>
      </c>
      <c r="AT875" s="223">
        <f t="shared" si="219"/>
        <v>0</v>
      </c>
    </row>
    <row r="876" spans="2:46" ht="15.75" x14ac:dyDescent="0.25">
      <c r="B876" s="229"/>
      <c r="C876" s="235"/>
      <c r="D876" s="243"/>
      <c r="E876" s="232"/>
      <c r="F876" s="435"/>
      <c r="G876" s="234"/>
      <c r="H876" s="235"/>
      <c r="I876" s="235"/>
      <c r="J876" s="440"/>
      <c r="K876" s="443">
        <f ca="1">ROUND(IF(ISERROR(OFFSET(Tabella!$A$1,MATCH(H876,Tabella!$A:$A,0)-1,MATCH(J876,Tabella!$A$1:$AC$1,0)-1)=TRUE),0,+OFFSET(Tabella!$A$1,MATCH(H876,Tabella!$A:$A,0)-1,MATCH(J876,Tabella!$A$1:$AC$1,0)-1)),4)</f>
        <v>0</v>
      </c>
      <c r="L876" s="446">
        <f ca="1">ROUND(IF(ISERROR(OFFSET(Ottone!$A$1,MATCH(H876,Ottone!$A:$A,0)-1,MATCH(J876,Ottone!$A$1:$Z$1,0)-1)=TRUE),0,OFFSET(Ottone!$A$1,MATCH(H876,Ottone!$A:$A,0)-1,MATCH(J876,Ottone!$A$1:$Z$1,0)-1))*IF(E876="Ottone",1,0),4)</f>
        <v>0</v>
      </c>
      <c r="M876" s="446">
        <f ca="1">ROUND(IF(ISERROR(OFFSET(Rame!$A$1,MATCH(H876,Rame!$A:$A,0)-1,MATCH(J876,Rame!$A$1:$AA$1,0)-1)=TRUE),0,OFFSET(Rame!$A$1,MATCH(H876,Rame!$A:$A,0)-1,MATCH(J876,Rame!$A$1:$AA$1,0)-1))*IF(E876="Rame",1,0),4)</f>
        <v>0</v>
      </c>
      <c r="N876" s="446">
        <v>0</v>
      </c>
      <c r="O876" s="446">
        <f t="shared" ca="1" si="220"/>
        <v>0</v>
      </c>
      <c r="P876" s="446">
        <f ca="1">ROUND(+IF(ISERROR(OFFSET(Tabella!$G$1,MATCH(H876,Tabella!$G:$G,0)-1,MATCH(I876,Tabella!$G$1:$FG$1,0)-1)=TRUE),0,OFFSET(Tabella!$G$1,MATCH(H876,Tabella!$G:$G,0)-1,MATCH(I876,Tabella!$G$1:$AB$1,0)-1)),4)</f>
        <v>0</v>
      </c>
      <c r="Q876" s="446">
        <f ca="1">ROUND(IF(ISERROR(OFFSET(Ottone!$F$1,MATCH(H876,Ottone!$A:$A,0)-1,MATCH(I876,Ottone!$F$1:$FF$1,0)-1)=TRUE),0,OFFSET(Ottone!$F$1,MATCH(H876,Ottone!$A:$A,0)-1,MATCH(I876,Ottone!$F$1:$FF$1,0)-1))*IF(E876="Ottone",1,0),4)</f>
        <v>0</v>
      </c>
      <c r="R876" s="446">
        <f ca="1">ROUND(IF(ISERROR(OFFSET(Rame!$F$1,MATCH(H876,Rame!$F:$F,0)-1,MATCH(I876,Rame!$F$1:$FF$1,0)-1)=TRUE),0,OFFSET(Rame!$F$1,MATCH(H876,Rame!$F:$F,0)-1,MATCH(I876,Rame!$F$1:$FF$1,0)-1))*IF(E876="Rame",1,0),4)</f>
        <v>0</v>
      </c>
      <c r="S876" s="446">
        <f ca="1">ROUND(IF(ISERROR(OFFSET(Bronzo!$A$1,MATCH(H876,Bronzo!$A:$A,0)-1,MATCH(I876,Bronzo!$A$1:$AA$1,0)-1)=TRUE),0,OFFSET(Bronzo!$A$1,MATCH(H876,Bronzo!$A:$A,0)-1,MATCH(I876,Bronzo!$A$1:$AA$1,0)-1)),4)</f>
        <v>0</v>
      </c>
      <c r="T876" s="446">
        <f t="shared" ca="1" si="215"/>
        <v>0</v>
      </c>
      <c r="U876" s="443"/>
      <c r="V876" s="446">
        <v>0</v>
      </c>
      <c r="W876" s="449">
        <f t="shared" ca="1" si="216"/>
        <v>0</v>
      </c>
      <c r="X876" s="452">
        <f t="shared" si="214"/>
        <v>0</v>
      </c>
      <c r="Y876" s="440"/>
      <c r="Z876" s="440">
        <f t="shared" ca="1" si="217"/>
        <v>0</v>
      </c>
      <c r="AA876" s="241"/>
      <c r="AF876" s="225">
        <f t="shared" ca="1" si="115"/>
        <v>46156</v>
      </c>
      <c r="AG876" s="225" t="b">
        <f t="shared" si="122"/>
        <v>1</v>
      </c>
      <c r="AH876" s="242" t="str">
        <f t="shared" si="123"/>
        <v/>
      </c>
      <c r="AK876" s="223">
        <f t="shared" si="124"/>
        <v>0</v>
      </c>
      <c r="AL876" s="223">
        <f t="shared" si="125"/>
        <v>1900</v>
      </c>
      <c r="AS876" s="223">
        <f t="shared" si="218"/>
        <v>0</v>
      </c>
      <c r="AT876" s="223">
        <f t="shared" si="219"/>
        <v>0</v>
      </c>
    </row>
    <row r="877" spans="2:46" ht="15.75" x14ac:dyDescent="0.25">
      <c r="B877" s="229"/>
      <c r="C877" s="235"/>
      <c r="D877" s="243"/>
      <c r="E877" s="232"/>
      <c r="F877" s="435"/>
      <c r="G877" s="234"/>
      <c r="H877" s="235"/>
      <c r="I877" s="235"/>
      <c r="J877" s="440"/>
      <c r="K877" s="443">
        <f ca="1">ROUND(IF(ISERROR(OFFSET(Tabella!$A$1,MATCH(H877,Tabella!$A:$A,0)-1,MATCH(J877,Tabella!$A$1:$AC$1,0)-1)=TRUE),0,+OFFSET(Tabella!$A$1,MATCH(H877,Tabella!$A:$A,0)-1,MATCH(J877,Tabella!$A$1:$AC$1,0)-1)),4)</f>
        <v>0</v>
      </c>
      <c r="L877" s="446">
        <f ca="1">ROUND(IF(ISERROR(OFFSET(Ottone!$A$1,MATCH(H877,Ottone!$A:$A,0)-1,MATCH(J877,Ottone!$A$1:$Z$1,0)-1)=TRUE),0,OFFSET(Ottone!$A$1,MATCH(H877,Ottone!$A:$A,0)-1,MATCH(J877,Ottone!$A$1:$Z$1,0)-1))*IF(E877="Ottone",1,0),4)</f>
        <v>0</v>
      </c>
      <c r="M877" s="446">
        <f ca="1">ROUND(IF(ISERROR(OFFSET(Rame!$A$1,MATCH(H877,Rame!$A:$A,0)-1,MATCH(J877,Rame!$A$1:$AA$1,0)-1)=TRUE),0,OFFSET(Rame!$A$1,MATCH(H877,Rame!$A:$A,0)-1,MATCH(J877,Rame!$A$1:$AA$1,0)-1))*IF(E877="Rame",1,0),4)</f>
        <v>0</v>
      </c>
      <c r="N877" s="446">
        <v>0</v>
      </c>
      <c r="O877" s="446">
        <f t="shared" ca="1" si="220"/>
        <v>0</v>
      </c>
      <c r="P877" s="446">
        <f ca="1">ROUND(+IF(ISERROR(OFFSET(Tabella!$G$1,MATCH(H877,Tabella!$G:$G,0)-1,MATCH(I877,Tabella!$G$1:$FG$1,0)-1)=TRUE),0,OFFSET(Tabella!$G$1,MATCH(H877,Tabella!$G:$G,0)-1,MATCH(I877,Tabella!$G$1:$AB$1,0)-1)),4)</f>
        <v>0</v>
      </c>
      <c r="Q877" s="446">
        <f ca="1">ROUND(IF(ISERROR(OFFSET(Ottone!$F$1,MATCH(H877,Ottone!$A:$A,0)-1,MATCH(I877,Ottone!$F$1:$FF$1,0)-1)=TRUE),0,OFFSET(Ottone!$F$1,MATCH(H877,Ottone!$A:$A,0)-1,MATCH(I877,Ottone!$F$1:$FF$1,0)-1))*IF(E877="Ottone",1,0),4)</f>
        <v>0</v>
      </c>
      <c r="R877" s="446">
        <f ca="1">ROUND(IF(ISERROR(OFFSET(Rame!$F$1,MATCH(H877,Rame!$F:$F,0)-1,MATCH(I877,Rame!$F$1:$FF$1,0)-1)=TRUE),0,OFFSET(Rame!$F$1,MATCH(H877,Rame!$F:$F,0)-1,MATCH(I877,Rame!$F$1:$FF$1,0)-1))*IF(E877="Rame",1,0),4)</f>
        <v>0</v>
      </c>
      <c r="S877" s="446">
        <f ca="1">ROUND(IF(ISERROR(OFFSET(Bronzo!$A$1,MATCH(H877,Bronzo!$A:$A,0)-1,MATCH(I877,Bronzo!$A$1:$AA$1,0)-1)=TRUE),0,OFFSET(Bronzo!$A$1,MATCH(H877,Bronzo!$A:$A,0)-1,MATCH(I877,Bronzo!$A$1:$AA$1,0)-1)),4)</f>
        <v>0</v>
      </c>
      <c r="T877" s="446">
        <f t="shared" ca="1" si="215"/>
        <v>0</v>
      </c>
      <c r="U877" s="443"/>
      <c r="V877" s="446">
        <v>0</v>
      </c>
      <c r="W877" s="449">
        <f t="shared" ca="1" si="216"/>
        <v>0</v>
      </c>
      <c r="X877" s="452">
        <f t="shared" si="214"/>
        <v>0</v>
      </c>
      <c r="Y877" s="440"/>
      <c r="Z877" s="440">
        <f t="shared" ca="1" si="217"/>
        <v>0</v>
      </c>
      <c r="AA877" s="241"/>
      <c r="AF877" s="225">
        <f t="shared" ca="1" si="115"/>
        <v>46156</v>
      </c>
      <c r="AG877" s="225" t="b">
        <f t="shared" si="122"/>
        <v>1</v>
      </c>
      <c r="AH877" s="242" t="str">
        <f t="shared" si="123"/>
        <v/>
      </c>
      <c r="AK877" s="223">
        <f t="shared" si="124"/>
        <v>0</v>
      </c>
      <c r="AL877" s="223">
        <f t="shared" si="125"/>
        <v>1900</v>
      </c>
      <c r="AS877" s="223">
        <f t="shared" si="218"/>
        <v>0</v>
      </c>
      <c r="AT877" s="223">
        <f t="shared" si="219"/>
        <v>0</v>
      </c>
    </row>
    <row r="878" spans="2:46" ht="15.75" x14ac:dyDescent="0.25">
      <c r="B878" s="229"/>
      <c r="C878" s="235"/>
      <c r="D878" s="243"/>
      <c r="E878" s="232"/>
      <c r="F878" s="435"/>
      <c r="G878" s="234"/>
      <c r="H878" s="235"/>
      <c r="I878" s="235"/>
      <c r="J878" s="440"/>
      <c r="K878" s="443">
        <f ca="1">ROUND(IF(ISERROR(OFFSET(Tabella!$A$1,MATCH(H878,Tabella!$A:$A,0)-1,MATCH(J878,Tabella!$A$1:$AC$1,0)-1)=TRUE),0,+OFFSET(Tabella!$A$1,MATCH(H878,Tabella!$A:$A,0)-1,MATCH(J878,Tabella!$A$1:$AC$1,0)-1)),4)</f>
        <v>0</v>
      </c>
      <c r="L878" s="446">
        <f ca="1">ROUND(IF(ISERROR(OFFSET(Ottone!$A$1,MATCH(H878,Ottone!$A:$A,0)-1,MATCH(J878,Ottone!$A$1:$Z$1,0)-1)=TRUE),0,OFFSET(Ottone!$A$1,MATCH(H878,Ottone!$A:$A,0)-1,MATCH(J878,Ottone!$A$1:$Z$1,0)-1))*IF(E878="Ottone",1,0),4)</f>
        <v>0</v>
      </c>
      <c r="M878" s="446">
        <f ca="1">ROUND(IF(ISERROR(OFFSET(Rame!$A$1,MATCH(H878,Rame!$A:$A,0)-1,MATCH(J878,Rame!$A$1:$AA$1,0)-1)=TRUE),0,OFFSET(Rame!$A$1,MATCH(H878,Rame!$A:$A,0)-1,MATCH(J878,Rame!$A$1:$AA$1,0)-1))*IF(E878="Rame",1,0),4)</f>
        <v>0</v>
      </c>
      <c r="N878" s="446">
        <v>0</v>
      </c>
      <c r="O878" s="446">
        <f t="shared" ca="1" si="220"/>
        <v>0</v>
      </c>
      <c r="P878" s="446">
        <f ca="1">ROUND(+IF(ISERROR(OFFSET(Tabella!$G$1,MATCH(H878,Tabella!$G:$G,0)-1,MATCH(I878,Tabella!$G$1:$FG$1,0)-1)=TRUE),0,OFFSET(Tabella!$G$1,MATCH(H878,Tabella!$G:$G,0)-1,MATCH(I878,Tabella!$G$1:$AB$1,0)-1)),4)</f>
        <v>0</v>
      </c>
      <c r="Q878" s="446">
        <f ca="1">ROUND(IF(ISERROR(OFFSET(Ottone!$F$1,MATCH(H878,Ottone!$A:$A,0)-1,MATCH(I878,Ottone!$F$1:$FF$1,0)-1)=TRUE),0,OFFSET(Ottone!$F$1,MATCH(H878,Ottone!$A:$A,0)-1,MATCH(I878,Ottone!$F$1:$FF$1,0)-1))*IF(E878="Ottone",1,0),4)</f>
        <v>0</v>
      </c>
      <c r="R878" s="446">
        <f ca="1">ROUND(IF(ISERROR(OFFSET(Rame!$F$1,MATCH(H878,Rame!$F:$F,0)-1,MATCH(I878,Rame!$F$1:$FF$1,0)-1)=TRUE),0,OFFSET(Rame!$F$1,MATCH(H878,Rame!$F:$F,0)-1,MATCH(I878,Rame!$F$1:$FF$1,0)-1))*IF(E878="Rame",1,0),4)</f>
        <v>0</v>
      </c>
      <c r="S878" s="446">
        <f ca="1">ROUND(IF(ISERROR(OFFSET(Bronzo!$A$1,MATCH(H878,Bronzo!$A:$A,0)-1,MATCH(I878,Bronzo!$A$1:$AA$1,0)-1)=TRUE),0,OFFSET(Bronzo!$A$1,MATCH(H878,Bronzo!$A:$A,0)-1,MATCH(I878,Bronzo!$A$1:$AA$1,0)-1)),4)</f>
        <v>0</v>
      </c>
      <c r="T878" s="446">
        <f t="shared" ca="1" si="215"/>
        <v>0</v>
      </c>
      <c r="U878" s="443"/>
      <c r="V878" s="446">
        <v>0</v>
      </c>
      <c r="W878" s="449">
        <f t="shared" ca="1" si="216"/>
        <v>0</v>
      </c>
      <c r="X878" s="452">
        <f t="shared" si="214"/>
        <v>0</v>
      </c>
      <c r="Y878" s="440"/>
      <c r="Z878" s="440">
        <f t="shared" ca="1" si="217"/>
        <v>0</v>
      </c>
      <c r="AA878" s="241"/>
      <c r="AF878" s="225">
        <f t="shared" ca="1" si="115"/>
        <v>46156</v>
      </c>
      <c r="AG878" s="225" t="b">
        <f t="shared" si="122"/>
        <v>1</v>
      </c>
      <c r="AH878" s="242" t="str">
        <f t="shared" si="123"/>
        <v/>
      </c>
      <c r="AK878" s="223">
        <f t="shared" si="124"/>
        <v>0</v>
      </c>
      <c r="AL878" s="223">
        <f t="shared" si="125"/>
        <v>1900</v>
      </c>
      <c r="AS878" s="223">
        <f t="shared" si="218"/>
        <v>0</v>
      </c>
      <c r="AT878" s="223">
        <f t="shared" si="219"/>
        <v>0</v>
      </c>
    </row>
    <row r="879" spans="2:46" ht="15.75" x14ac:dyDescent="0.25">
      <c r="B879" s="229"/>
      <c r="C879" s="235"/>
      <c r="D879" s="243"/>
      <c r="E879" s="232"/>
      <c r="F879" s="435"/>
      <c r="G879" s="234"/>
      <c r="H879" s="235"/>
      <c r="I879" s="235"/>
      <c r="J879" s="440"/>
      <c r="K879" s="443">
        <f ca="1">ROUND(IF(ISERROR(OFFSET(Tabella!$A$1,MATCH(H879,Tabella!$A:$A,0)-1,MATCH(J879,Tabella!$A$1:$AC$1,0)-1)=TRUE),0,+OFFSET(Tabella!$A$1,MATCH(H879,Tabella!$A:$A,0)-1,MATCH(J879,Tabella!$A$1:$AC$1,0)-1)),4)</f>
        <v>0</v>
      </c>
      <c r="L879" s="446">
        <f ca="1">ROUND(IF(ISERROR(OFFSET(Ottone!$A$1,MATCH(H879,Ottone!$A:$A,0)-1,MATCH(J879,Ottone!$A$1:$Z$1,0)-1)=TRUE),0,OFFSET(Ottone!$A$1,MATCH(H879,Ottone!$A:$A,0)-1,MATCH(J879,Ottone!$A$1:$Z$1,0)-1))*IF(E879="Ottone",1,0),4)</f>
        <v>0</v>
      </c>
      <c r="M879" s="446">
        <f ca="1">ROUND(IF(ISERROR(OFFSET(Rame!$A$1,MATCH(H879,Rame!$A:$A,0)-1,MATCH(J879,Rame!$A$1:$AA$1,0)-1)=TRUE),0,OFFSET(Rame!$A$1,MATCH(H879,Rame!$A:$A,0)-1,MATCH(J879,Rame!$A$1:$AA$1,0)-1))*IF(E879="Rame",1,0),4)</f>
        <v>0</v>
      </c>
      <c r="N879" s="446">
        <v>0</v>
      </c>
      <c r="O879" s="446">
        <f t="shared" ca="1" si="220"/>
        <v>0</v>
      </c>
      <c r="P879" s="446">
        <f ca="1">ROUND(+IF(ISERROR(OFFSET(Tabella!$G$1,MATCH(H879,Tabella!$G:$G,0)-1,MATCH(I879,Tabella!$G$1:$FG$1,0)-1)=TRUE),0,OFFSET(Tabella!$G$1,MATCH(H879,Tabella!$G:$G,0)-1,MATCH(I879,Tabella!$G$1:$AB$1,0)-1)),4)</f>
        <v>0</v>
      </c>
      <c r="Q879" s="446">
        <f ca="1">ROUND(IF(ISERROR(OFFSET(Ottone!$F$1,MATCH(H879,Ottone!$A:$A,0)-1,MATCH(I879,Ottone!$F$1:$FF$1,0)-1)=TRUE),0,OFFSET(Ottone!$F$1,MATCH(H879,Ottone!$A:$A,0)-1,MATCH(I879,Ottone!$F$1:$FF$1,0)-1))*IF(E879="Ottone",1,0),4)</f>
        <v>0</v>
      </c>
      <c r="R879" s="446">
        <f ca="1">ROUND(IF(ISERROR(OFFSET(Rame!$F$1,MATCH(H879,Rame!$F:$F,0)-1,MATCH(I879,Rame!$F$1:$FF$1,0)-1)=TRUE),0,OFFSET(Rame!$F$1,MATCH(H879,Rame!$F:$F,0)-1,MATCH(I879,Rame!$F$1:$FF$1,0)-1))*IF(E879="Rame",1,0),4)</f>
        <v>0</v>
      </c>
      <c r="S879" s="446">
        <f ca="1">ROUND(IF(ISERROR(OFFSET(Bronzo!$A$1,MATCH(H879,Bronzo!$A:$A,0)-1,MATCH(I879,Bronzo!$A$1:$AA$1,0)-1)=TRUE),0,OFFSET(Bronzo!$A$1,MATCH(H879,Bronzo!$A:$A,0)-1,MATCH(I879,Bronzo!$A$1:$AA$1,0)-1)),4)</f>
        <v>0</v>
      </c>
      <c r="T879" s="446">
        <f t="shared" ca="1" si="215"/>
        <v>0</v>
      </c>
      <c r="U879" s="443"/>
      <c r="V879" s="446">
        <v>0</v>
      </c>
      <c r="W879" s="449">
        <f t="shared" ca="1" si="216"/>
        <v>0</v>
      </c>
      <c r="X879" s="452">
        <f t="shared" si="214"/>
        <v>0</v>
      </c>
      <c r="Y879" s="440"/>
      <c r="Z879" s="440">
        <f t="shared" ca="1" si="217"/>
        <v>0</v>
      </c>
      <c r="AA879" s="241"/>
      <c r="AF879" s="225">
        <f t="shared" ca="1" si="115"/>
        <v>46156</v>
      </c>
      <c r="AG879" s="225" t="b">
        <f t="shared" si="122"/>
        <v>1</v>
      </c>
      <c r="AH879" s="242" t="str">
        <f t="shared" si="123"/>
        <v/>
      </c>
      <c r="AK879" s="223">
        <f t="shared" si="124"/>
        <v>0</v>
      </c>
      <c r="AL879" s="223">
        <f t="shared" si="125"/>
        <v>1900</v>
      </c>
      <c r="AS879" s="223">
        <f t="shared" si="218"/>
        <v>0</v>
      </c>
      <c r="AT879" s="223">
        <f t="shared" si="219"/>
        <v>0</v>
      </c>
    </row>
    <row r="880" spans="2:46" ht="15.75" x14ac:dyDescent="0.25">
      <c r="B880" s="229"/>
      <c r="C880" s="235"/>
      <c r="D880" s="243"/>
      <c r="E880" s="232"/>
      <c r="F880" s="435"/>
      <c r="G880" s="234"/>
      <c r="H880" s="235"/>
      <c r="I880" s="235"/>
      <c r="J880" s="440"/>
      <c r="K880" s="443">
        <f ca="1">ROUND(IF(ISERROR(OFFSET(Tabella!$A$1,MATCH(H880,Tabella!$A:$A,0)-1,MATCH(J880,Tabella!$A$1:$AC$1,0)-1)=TRUE),0,+OFFSET(Tabella!$A$1,MATCH(H880,Tabella!$A:$A,0)-1,MATCH(J880,Tabella!$A$1:$AC$1,0)-1)),4)</f>
        <v>0</v>
      </c>
      <c r="L880" s="446">
        <f ca="1">ROUND(IF(ISERROR(OFFSET(Ottone!$A$1,MATCH(H880,Ottone!$A:$A,0)-1,MATCH(J880,Ottone!$A$1:$Z$1,0)-1)=TRUE),0,OFFSET(Ottone!$A$1,MATCH(H880,Ottone!$A:$A,0)-1,MATCH(J880,Ottone!$A$1:$Z$1,0)-1))*IF(E880="Ottone",1,0),4)</f>
        <v>0</v>
      </c>
      <c r="M880" s="446">
        <f ca="1">ROUND(IF(ISERROR(OFFSET(Rame!$A$1,MATCH(H880,Rame!$A:$A,0)-1,MATCH(J880,Rame!$A$1:$AA$1,0)-1)=TRUE),0,OFFSET(Rame!$A$1,MATCH(H880,Rame!$A:$A,0)-1,MATCH(J880,Rame!$A$1:$AA$1,0)-1))*IF(E880="Rame",1,0),4)</f>
        <v>0</v>
      </c>
      <c r="N880" s="446">
        <v>0</v>
      </c>
      <c r="O880" s="446">
        <f t="shared" ca="1" si="220"/>
        <v>0</v>
      </c>
      <c r="P880" s="446">
        <f ca="1">ROUND(+IF(ISERROR(OFFSET(Tabella!$G$1,MATCH(H880,Tabella!$G:$G,0)-1,MATCH(I880,Tabella!$G$1:$FG$1,0)-1)=TRUE),0,OFFSET(Tabella!$G$1,MATCH(H880,Tabella!$G:$G,0)-1,MATCH(I880,Tabella!$G$1:$AB$1,0)-1)),4)</f>
        <v>0</v>
      </c>
      <c r="Q880" s="446">
        <f ca="1">ROUND(IF(ISERROR(OFFSET(Ottone!$F$1,MATCH(H880,Ottone!$A:$A,0)-1,MATCH(I880,Ottone!$F$1:$FF$1,0)-1)=TRUE),0,OFFSET(Ottone!$F$1,MATCH(H880,Ottone!$A:$A,0)-1,MATCH(I880,Ottone!$F$1:$FF$1,0)-1))*IF(E880="Ottone",1,0),4)</f>
        <v>0</v>
      </c>
      <c r="R880" s="446">
        <f ca="1">ROUND(IF(ISERROR(OFFSET(Rame!$F$1,MATCH(H880,Rame!$F:$F,0)-1,MATCH(I880,Rame!$F$1:$FF$1,0)-1)=TRUE),0,OFFSET(Rame!$F$1,MATCH(H880,Rame!$F:$F,0)-1,MATCH(I880,Rame!$F$1:$FF$1,0)-1))*IF(E880="Rame",1,0),4)</f>
        <v>0</v>
      </c>
      <c r="S880" s="446">
        <f ca="1">ROUND(IF(ISERROR(OFFSET(Bronzo!$A$1,MATCH(H880,Bronzo!$A:$A,0)-1,MATCH(I880,Bronzo!$A$1:$AA$1,0)-1)=TRUE),0,OFFSET(Bronzo!$A$1,MATCH(H880,Bronzo!$A:$A,0)-1,MATCH(I880,Bronzo!$A$1:$AA$1,0)-1)),4)</f>
        <v>0</v>
      </c>
      <c r="T880" s="446">
        <f t="shared" ca="1" si="215"/>
        <v>0</v>
      </c>
      <c r="U880" s="443"/>
      <c r="V880" s="446">
        <v>0</v>
      </c>
      <c r="W880" s="449">
        <f t="shared" ca="1" si="216"/>
        <v>0</v>
      </c>
      <c r="X880" s="452">
        <f t="shared" si="214"/>
        <v>0</v>
      </c>
      <c r="Y880" s="440"/>
      <c r="Z880" s="440">
        <f t="shared" ca="1" si="217"/>
        <v>0</v>
      </c>
      <c r="AA880" s="241"/>
      <c r="AF880" s="225">
        <f t="shared" ca="1" si="115"/>
        <v>46156</v>
      </c>
      <c r="AG880" s="225" t="b">
        <f t="shared" si="122"/>
        <v>1</v>
      </c>
      <c r="AH880" s="242" t="str">
        <f t="shared" si="123"/>
        <v/>
      </c>
      <c r="AK880" s="223">
        <f t="shared" si="124"/>
        <v>0</v>
      </c>
      <c r="AL880" s="223">
        <f t="shared" si="125"/>
        <v>1900</v>
      </c>
      <c r="AS880" s="223">
        <f t="shared" si="218"/>
        <v>0</v>
      </c>
      <c r="AT880" s="223">
        <f t="shared" si="219"/>
        <v>0</v>
      </c>
    </row>
    <row r="881" spans="2:46" ht="15.75" x14ac:dyDescent="0.25">
      <c r="B881" s="229"/>
      <c r="C881" s="235"/>
      <c r="D881" s="243"/>
      <c r="E881" s="232"/>
      <c r="F881" s="435"/>
      <c r="G881" s="234"/>
      <c r="H881" s="235"/>
      <c r="I881" s="235"/>
      <c r="J881" s="440"/>
      <c r="K881" s="443">
        <f ca="1">ROUND(IF(ISERROR(OFFSET(Tabella!$A$1,MATCH(H881,Tabella!$A:$A,0)-1,MATCH(J881,Tabella!$A$1:$AC$1,0)-1)=TRUE),0,+OFFSET(Tabella!$A$1,MATCH(H881,Tabella!$A:$A,0)-1,MATCH(J881,Tabella!$A$1:$AC$1,0)-1)),4)</f>
        <v>0</v>
      </c>
      <c r="L881" s="446">
        <f ca="1">ROUND(IF(ISERROR(OFFSET(Ottone!$A$1,MATCH(H881,Ottone!$A:$A,0)-1,MATCH(J881,Ottone!$A$1:$Z$1,0)-1)=TRUE),0,OFFSET(Ottone!$A$1,MATCH(H881,Ottone!$A:$A,0)-1,MATCH(J881,Ottone!$A$1:$Z$1,0)-1))*IF(E881="Ottone",1,0),4)</f>
        <v>0</v>
      </c>
      <c r="M881" s="446">
        <f ca="1">ROUND(IF(ISERROR(OFFSET(Rame!$A$1,MATCH(H881,Rame!$A:$A,0)-1,MATCH(J881,Rame!$A$1:$AA$1,0)-1)=TRUE),0,OFFSET(Rame!$A$1,MATCH(H881,Rame!$A:$A,0)-1,MATCH(J881,Rame!$A$1:$AA$1,0)-1))*IF(E881="Rame",1,0),4)</f>
        <v>0</v>
      </c>
      <c r="N881" s="446">
        <v>0</v>
      </c>
      <c r="O881" s="446">
        <f t="shared" ca="1" si="220"/>
        <v>0</v>
      </c>
      <c r="P881" s="446">
        <f ca="1">ROUND(+IF(ISERROR(OFFSET(Tabella!$G$1,MATCH(H881,Tabella!$G:$G,0)-1,MATCH(I881,Tabella!$G$1:$FG$1,0)-1)=TRUE),0,OFFSET(Tabella!$G$1,MATCH(H881,Tabella!$G:$G,0)-1,MATCH(I881,Tabella!$G$1:$AB$1,0)-1)),4)</f>
        <v>0</v>
      </c>
      <c r="Q881" s="446">
        <f ca="1">ROUND(IF(ISERROR(OFFSET(Ottone!$F$1,MATCH(H881,Ottone!$A:$A,0)-1,MATCH(I881,Ottone!$F$1:$FF$1,0)-1)=TRUE),0,OFFSET(Ottone!$F$1,MATCH(H881,Ottone!$A:$A,0)-1,MATCH(I881,Ottone!$F$1:$FF$1,0)-1))*IF(E881="Ottone",1,0),4)</f>
        <v>0</v>
      </c>
      <c r="R881" s="446">
        <f ca="1">ROUND(IF(ISERROR(OFFSET(Rame!$F$1,MATCH(H881,Rame!$F:$F,0)-1,MATCH(I881,Rame!$F$1:$FF$1,0)-1)=TRUE),0,OFFSET(Rame!$F$1,MATCH(H881,Rame!$F:$F,0)-1,MATCH(I881,Rame!$F$1:$FF$1,0)-1))*IF(E881="Rame",1,0),4)</f>
        <v>0</v>
      </c>
      <c r="S881" s="446">
        <f ca="1">ROUND(IF(ISERROR(OFFSET(Bronzo!$A$1,MATCH(H881,Bronzo!$A:$A,0)-1,MATCH(I881,Bronzo!$A$1:$AA$1,0)-1)=TRUE),0,OFFSET(Bronzo!$A$1,MATCH(H881,Bronzo!$A:$A,0)-1,MATCH(I881,Bronzo!$A$1:$AA$1,0)-1)),4)</f>
        <v>0</v>
      </c>
      <c r="T881" s="446">
        <f t="shared" ca="1" si="215"/>
        <v>0</v>
      </c>
      <c r="U881" s="443"/>
      <c r="V881" s="446">
        <v>0</v>
      </c>
      <c r="W881" s="449">
        <f t="shared" ca="1" si="216"/>
        <v>0</v>
      </c>
      <c r="X881" s="452">
        <f t="shared" si="214"/>
        <v>0</v>
      </c>
      <c r="Y881" s="440"/>
      <c r="Z881" s="440">
        <f t="shared" ca="1" si="217"/>
        <v>0</v>
      </c>
      <c r="AA881" s="241"/>
      <c r="AF881" s="225">
        <f t="shared" ca="1" si="115"/>
        <v>46156</v>
      </c>
      <c r="AG881" s="225" t="b">
        <f t="shared" si="122"/>
        <v>1</v>
      </c>
      <c r="AH881" s="242" t="str">
        <f t="shared" si="123"/>
        <v/>
      </c>
      <c r="AK881" s="223">
        <f t="shared" si="124"/>
        <v>0</v>
      </c>
      <c r="AL881" s="223">
        <f t="shared" si="125"/>
        <v>1900</v>
      </c>
      <c r="AS881" s="223">
        <f t="shared" si="218"/>
        <v>0</v>
      </c>
      <c r="AT881" s="223">
        <f t="shared" si="219"/>
        <v>0</v>
      </c>
    </row>
    <row r="882" spans="2:46" ht="15.75" x14ac:dyDescent="0.25">
      <c r="B882" s="229"/>
      <c r="C882" s="235"/>
      <c r="D882" s="243"/>
      <c r="E882" s="232"/>
      <c r="F882" s="435"/>
      <c r="G882" s="234"/>
      <c r="H882" s="235"/>
      <c r="I882" s="235"/>
      <c r="J882" s="440"/>
      <c r="K882" s="443">
        <f ca="1">ROUND(IF(ISERROR(OFFSET(Tabella!$A$1,MATCH(H882,Tabella!$A:$A,0)-1,MATCH(J882,Tabella!$A$1:$AC$1,0)-1)=TRUE),0,+OFFSET(Tabella!$A$1,MATCH(H882,Tabella!$A:$A,0)-1,MATCH(J882,Tabella!$A$1:$AC$1,0)-1)),4)</f>
        <v>0</v>
      </c>
      <c r="L882" s="446">
        <f ca="1">ROUND(IF(ISERROR(OFFSET(Ottone!$A$1,MATCH(H882,Ottone!$A:$A,0)-1,MATCH(J882,Ottone!$A$1:$Z$1,0)-1)=TRUE),0,OFFSET(Ottone!$A$1,MATCH(H882,Ottone!$A:$A,0)-1,MATCH(J882,Ottone!$A$1:$Z$1,0)-1))*IF(E882="Ottone",1,0),4)</f>
        <v>0</v>
      </c>
      <c r="M882" s="446">
        <f ca="1">ROUND(IF(ISERROR(OFFSET(Rame!$A$1,MATCH(H882,Rame!$A:$A,0)-1,MATCH(J882,Rame!$A$1:$AA$1,0)-1)=TRUE),0,OFFSET(Rame!$A$1,MATCH(H882,Rame!$A:$A,0)-1,MATCH(J882,Rame!$A$1:$AA$1,0)-1))*IF(E882="Rame",1,0),4)</f>
        <v>0</v>
      </c>
      <c r="N882" s="446">
        <v>0</v>
      </c>
      <c r="O882" s="446">
        <f t="shared" ca="1" si="220"/>
        <v>0</v>
      </c>
      <c r="P882" s="446">
        <f ca="1">ROUND(+IF(ISERROR(OFFSET(Tabella!$G$1,MATCH(H882,Tabella!$G:$G,0)-1,MATCH(I882,Tabella!$G$1:$FG$1,0)-1)=TRUE),0,OFFSET(Tabella!$G$1,MATCH(H882,Tabella!$G:$G,0)-1,MATCH(I882,Tabella!$G$1:$AB$1,0)-1)),4)</f>
        <v>0</v>
      </c>
      <c r="Q882" s="446">
        <f ca="1">ROUND(IF(ISERROR(OFFSET(Ottone!$F$1,MATCH(H882,Ottone!$A:$A,0)-1,MATCH(I882,Ottone!$F$1:$FF$1,0)-1)=TRUE),0,OFFSET(Ottone!$F$1,MATCH(H882,Ottone!$A:$A,0)-1,MATCH(I882,Ottone!$F$1:$FF$1,0)-1))*IF(E882="Ottone",1,0),4)</f>
        <v>0</v>
      </c>
      <c r="R882" s="446">
        <f ca="1">ROUND(IF(ISERROR(OFFSET(Rame!$F$1,MATCH(H882,Rame!$F:$F,0)-1,MATCH(I882,Rame!$F$1:$FF$1,0)-1)=TRUE),0,OFFSET(Rame!$F$1,MATCH(H882,Rame!$F:$F,0)-1,MATCH(I882,Rame!$F$1:$FF$1,0)-1))*IF(E882="Rame",1,0),4)</f>
        <v>0</v>
      </c>
      <c r="S882" s="446">
        <f ca="1">ROUND(IF(ISERROR(OFFSET(Bronzo!$A$1,MATCH(H882,Bronzo!$A:$A,0)-1,MATCH(I882,Bronzo!$A$1:$AA$1,0)-1)=TRUE),0,OFFSET(Bronzo!$A$1,MATCH(H882,Bronzo!$A:$A,0)-1,MATCH(I882,Bronzo!$A$1:$AA$1,0)-1)),4)</f>
        <v>0</v>
      </c>
      <c r="T882" s="446">
        <f t="shared" ca="1" si="215"/>
        <v>0</v>
      </c>
      <c r="U882" s="443"/>
      <c r="V882" s="446">
        <v>0</v>
      </c>
      <c r="W882" s="449">
        <f t="shared" ca="1" si="216"/>
        <v>0</v>
      </c>
      <c r="X882" s="452">
        <f t="shared" si="214"/>
        <v>0</v>
      </c>
      <c r="Y882" s="440"/>
      <c r="Z882" s="440">
        <f t="shared" ca="1" si="217"/>
        <v>0</v>
      </c>
      <c r="AA882" s="241"/>
      <c r="AF882" s="225">
        <f t="shared" ca="1" si="115"/>
        <v>46156</v>
      </c>
      <c r="AG882" s="225" t="b">
        <f t="shared" si="122"/>
        <v>1</v>
      </c>
      <c r="AH882" s="242" t="str">
        <f t="shared" si="123"/>
        <v/>
      </c>
      <c r="AK882" s="223">
        <f t="shared" si="124"/>
        <v>0</v>
      </c>
      <c r="AL882" s="223">
        <f t="shared" si="125"/>
        <v>1900</v>
      </c>
      <c r="AS882" s="223">
        <f t="shared" si="218"/>
        <v>0</v>
      </c>
      <c r="AT882" s="223">
        <f t="shared" si="219"/>
        <v>0</v>
      </c>
    </row>
    <row r="883" spans="2:46" ht="15.75" x14ac:dyDescent="0.25">
      <c r="B883" s="229"/>
      <c r="C883" s="235"/>
      <c r="D883" s="243"/>
      <c r="E883" s="232"/>
      <c r="F883" s="435"/>
      <c r="G883" s="234"/>
      <c r="H883" s="235"/>
      <c r="I883" s="235"/>
      <c r="J883" s="440"/>
      <c r="K883" s="443">
        <f ca="1">ROUND(IF(ISERROR(OFFSET(Tabella!$A$1,MATCH(H883,Tabella!$A:$A,0)-1,MATCH(J883,Tabella!$A$1:$AC$1,0)-1)=TRUE),0,+OFFSET(Tabella!$A$1,MATCH(H883,Tabella!$A:$A,0)-1,MATCH(J883,Tabella!$A$1:$AC$1,0)-1)),4)</f>
        <v>0</v>
      </c>
      <c r="L883" s="446">
        <f ca="1">ROUND(IF(ISERROR(OFFSET(Ottone!$A$1,MATCH(H883,Ottone!$A:$A,0)-1,MATCH(J883,Ottone!$A$1:$Z$1,0)-1)=TRUE),0,OFFSET(Ottone!$A$1,MATCH(H883,Ottone!$A:$A,0)-1,MATCH(J883,Ottone!$A$1:$Z$1,0)-1))*IF(E883="Ottone",1,0),4)</f>
        <v>0</v>
      </c>
      <c r="M883" s="446">
        <f ca="1">ROUND(IF(ISERROR(OFFSET(Rame!$A$1,MATCH(H883,Rame!$A:$A,0)-1,MATCH(J883,Rame!$A$1:$AA$1,0)-1)=TRUE),0,OFFSET(Rame!$A$1,MATCH(H883,Rame!$A:$A,0)-1,MATCH(J883,Rame!$A$1:$AA$1,0)-1))*IF(E883="Rame",1,0),4)</f>
        <v>0</v>
      </c>
      <c r="N883" s="446">
        <v>0</v>
      </c>
      <c r="O883" s="446">
        <f t="shared" ca="1" si="220"/>
        <v>0</v>
      </c>
      <c r="P883" s="446">
        <f ca="1">ROUND(+IF(ISERROR(OFFSET(Tabella!$G$1,MATCH(H883,Tabella!$G:$G,0)-1,MATCH(I883,Tabella!$G$1:$FG$1,0)-1)=TRUE),0,OFFSET(Tabella!$G$1,MATCH(H883,Tabella!$G:$G,0)-1,MATCH(I883,Tabella!$G$1:$AB$1,0)-1)),4)</f>
        <v>0</v>
      </c>
      <c r="Q883" s="446">
        <f ca="1">ROUND(IF(ISERROR(OFFSET(Ottone!$F$1,MATCH(H883,Ottone!$A:$A,0)-1,MATCH(I883,Ottone!$F$1:$FF$1,0)-1)=TRUE),0,OFFSET(Ottone!$F$1,MATCH(H883,Ottone!$A:$A,0)-1,MATCH(I883,Ottone!$F$1:$FF$1,0)-1))*IF(E883="Ottone",1,0),4)</f>
        <v>0</v>
      </c>
      <c r="R883" s="446">
        <f ca="1">ROUND(IF(ISERROR(OFFSET(Rame!$F$1,MATCH(H883,Rame!$F:$F,0)-1,MATCH(I883,Rame!$F$1:$FF$1,0)-1)=TRUE),0,OFFSET(Rame!$F$1,MATCH(H883,Rame!$F:$F,0)-1,MATCH(I883,Rame!$F$1:$FF$1,0)-1))*IF(E883="Rame",1,0),4)</f>
        <v>0</v>
      </c>
      <c r="S883" s="446">
        <f ca="1">ROUND(IF(ISERROR(OFFSET(Bronzo!$A$1,MATCH(H883,Bronzo!$A:$A,0)-1,MATCH(I883,Bronzo!$A$1:$AA$1,0)-1)=TRUE),0,OFFSET(Bronzo!$A$1,MATCH(H883,Bronzo!$A:$A,0)-1,MATCH(I883,Bronzo!$A$1:$AA$1,0)-1)),4)</f>
        <v>0</v>
      </c>
      <c r="T883" s="446">
        <f t="shared" ca="1" si="215"/>
        <v>0</v>
      </c>
      <c r="U883" s="443"/>
      <c r="V883" s="446">
        <v>0</v>
      </c>
      <c r="W883" s="449">
        <f t="shared" ca="1" si="216"/>
        <v>0</v>
      </c>
      <c r="X883" s="452">
        <f t="shared" si="214"/>
        <v>0</v>
      </c>
      <c r="Y883" s="440"/>
      <c r="Z883" s="440">
        <f t="shared" ca="1" si="217"/>
        <v>0</v>
      </c>
      <c r="AA883" s="241"/>
      <c r="AF883" s="225">
        <f t="shared" ca="1" si="115"/>
        <v>46156</v>
      </c>
      <c r="AG883" s="225" t="b">
        <f t="shared" si="122"/>
        <v>1</v>
      </c>
      <c r="AH883" s="242" t="str">
        <f t="shared" si="123"/>
        <v/>
      </c>
      <c r="AK883" s="223">
        <f t="shared" si="124"/>
        <v>0</v>
      </c>
      <c r="AL883" s="223">
        <f t="shared" si="125"/>
        <v>1900</v>
      </c>
      <c r="AS883" s="223">
        <f t="shared" si="218"/>
        <v>0</v>
      </c>
      <c r="AT883" s="223">
        <f t="shared" si="219"/>
        <v>0</v>
      </c>
    </row>
    <row r="884" spans="2:46" ht="15.75" x14ac:dyDescent="0.25">
      <c r="B884" s="229"/>
      <c r="C884" s="235"/>
      <c r="D884" s="243"/>
      <c r="E884" s="232"/>
      <c r="F884" s="435"/>
      <c r="G884" s="234"/>
      <c r="H884" s="235"/>
      <c r="I884" s="235"/>
      <c r="J884" s="440"/>
      <c r="K884" s="443">
        <f ca="1">ROUND(IF(ISERROR(OFFSET(Tabella!$A$1,MATCH(H884,Tabella!$A:$A,0)-1,MATCH(J884,Tabella!$A$1:$AC$1,0)-1)=TRUE),0,+OFFSET(Tabella!$A$1,MATCH(H884,Tabella!$A:$A,0)-1,MATCH(J884,Tabella!$A$1:$AC$1,0)-1)),4)</f>
        <v>0</v>
      </c>
      <c r="L884" s="446">
        <f ca="1">ROUND(IF(ISERROR(OFFSET(Ottone!$A$1,MATCH(H884,Ottone!$A:$A,0)-1,MATCH(J884,Ottone!$A$1:$Z$1,0)-1)=TRUE),0,OFFSET(Ottone!$A$1,MATCH(H884,Ottone!$A:$A,0)-1,MATCH(J884,Ottone!$A$1:$Z$1,0)-1))*IF(E884="Ottone",1,0),4)</f>
        <v>0</v>
      </c>
      <c r="M884" s="446">
        <f ca="1">ROUND(IF(ISERROR(OFFSET(Rame!$A$1,MATCH(H884,Rame!$A:$A,0)-1,MATCH(J884,Rame!$A$1:$AA$1,0)-1)=TRUE),0,OFFSET(Rame!$A$1,MATCH(H884,Rame!$A:$A,0)-1,MATCH(J884,Rame!$A$1:$AA$1,0)-1))*IF(E884="Rame",1,0),4)</f>
        <v>0</v>
      </c>
      <c r="N884" s="446">
        <v>0</v>
      </c>
      <c r="O884" s="446">
        <f t="shared" ca="1" si="220"/>
        <v>0</v>
      </c>
      <c r="P884" s="446">
        <f ca="1">ROUND(+IF(ISERROR(OFFSET(Tabella!$G$1,MATCH(H884,Tabella!$G:$G,0)-1,MATCH(I884,Tabella!$G$1:$FG$1,0)-1)=TRUE),0,OFFSET(Tabella!$G$1,MATCH(H884,Tabella!$G:$G,0)-1,MATCH(I884,Tabella!$G$1:$AB$1,0)-1)),4)</f>
        <v>0</v>
      </c>
      <c r="Q884" s="446">
        <f ca="1">ROUND(IF(ISERROR(OFFSET(Ottone!$F$1,MATCH(H884,Ottone!$A:$A,0)-1,MATCH(I884,Ottone!$F$1:$FF$1,0)-1)=TRUE),0,OFFSET(Ottone!$F$1,MATCH(H884,Ottone!$A:$A,0)-1,MATCH(I884,Ottone!$F$1:$FF$1,0)-1))*IF(E884="Ottone",1,0),4)</f>
        <v>0</v>
      </c>
      <c r="R884" s="446">
        <f ca="1">ROUND(IF(ISERROR(OFFSET(Rame!$F$1,MATCH(H884,Rame!$F:$F,0)-1,MATCH(I884,Rame!$F$1:$FF$1,0)-1)=TRUE),0,OFFSET(Rame!$F$1,MATCH(H884,Rame!$F:$F,0)-1,MATCH(I884,Rame!$F$1:$FF$1,0)-1))*IF(E884="Rame",1,0),4)</f>
        <v>0</v>
      </c>
      <c r="S884" s="446">
        <f ca="1">ROUND(IF(ISERROR(OFFSET(Bronzo!$A$1,MATCH(H884,Bronzo!$A:$A,0)-1,MATCH(I884,Bronzo!$A$1:$AA$1,0)-1)=TRUE),0,OFFSET(Bronzo!$A$1,MATCH(H884,Bronzo!$A:$A,0)-1,MATCH(I884,Bronzo!$A$1:$AA$1,0)-1)),4)</f>
        <v>0</v>
      </c>
      <c r="T884" s="446">
        <f t="shared" ca="1" si="215"/>
        <v>0</v>
      </c>
      <c r="U884" s="443"/>
      <c r="V884" s="446">
        <v>0</v>
      </c>
      <c r="W884" s="449">
        <f t="shared" ca="1" si="216"/>
        <v>0</v>
      </c>
      <c r="X884" s="452">
        <f t="shared" si="214"/>
        <v>0</v>
      </c>
      <c r="Y884" s="440"/>
      <c r="Z884" s="440">
        <f t="shared" ca="1" si="217"/>
        <v>0</v>
      </c>
      <c r="AA884" s="241"/>
      <c r="AF884" s="225">
        <f t="shared" ca="1" si="115"/>
        <v>46156</v>
      </c>
      <c r="AG884" s="225" t="b">
        <f t="shared" si="122"/>
        <v>1</v>
      </c>
      <c r="AH884" s="242" t="str">
        <f t="shared" si="123"/>
        <v/>
      </c>
      <c r="AK884" s="223">
        <f t="shared" si="124"/>
        <v>0</v>
      </c>
      <c r="AL884" s="223">
        <f t="shared" si="125"/>
        <v>1900</v>
      </c>
      <c r="AS884" s="223">
        <f t="shared" si="218"/>
        <v>0</v>
      </c>
      <c r="AT884" s="223">
        <f t="shared" si="219"/>
        <v>0</v>
      </c>
    </row>
    <row r="885" spans="2:46" ht="15.75" x14ac:dyDescent="0.25">
      <c r="B885" s="229"/>
      <c r="C885" s="235"/>
      <c r="D885" s="243"/>
      <c r="E885" s="232"/>
      <c r="F885" s="435"/>
      <c r="G885" s="234"/>
      <c r="H885" s="235"/>
      <c r="I885" s="235"/>
      <c r="J885" s="440"/>
      <c r="K885" s="443">
        <f ca="1">ROUND(IF(ISERROR(OFFSET(Tabella!$A$1,MATCH(H885,Tabella!$A:$A,0)-1,MATCH(J885,Tabella!$A$1:$AC$1,0)-1)=TRUE),0,+OFFSET(Tabella!$A$1,MATCH(H885,Tabella!$A:$A,0)-1,MATCH(J885,Tabella!$A$1:$AC$1,0)-1)),4)</f>
        <v>0</v>
      </c>
      <c r="L885" s="446">
        <f ca="1">ROUND(IF(ISERROR(OFFSET(Ottone!$A$1,MATCH(H885,Ottone!$A:$A,0)-1,MATCH(J885,Ottone!$A$1:$Z$1,0)-1)=TRUE),0,OFFSET(Ottone!$A$1,MATCH(H885,Ottone!$A:$A,0)-1,MATCH(J885,Ottone!$A$1:$Z$1,0)-1))*IF(E885="Ottone",1,0),4)</f>
        <v>0</v>
      </c>
      <c r="M885" s="446">
        <f ca="1">ROUND(IF(ISERROR(OFFSET(Rame!$A$1,MATCH(H885,Rame!$A:$A,0)-1,MATCH(J885,Rame!$A$1:$AA$1,0)-1)=TRUE),0,OFFSET(Rame!$A$1,MATCH(H885,Rame!$A:$A,0)-1,MATCH(J885,Rame!$A$1:$AA$1,0)-1))*IF(E885="Rame",1,0),4)</f>
        <v>0</v>
      </c>
      <c r="N885" s="446">
        <v>0</v>
      </c>
      <c r="O885" s="446">
        <f t="shared" ca="1" si="220"/>
        <v>0</v>
      </c>
      <c r="P885" s="446">
        <f ca="1">ROUND(+IF(ISERROR(OFFSET(Tabella!$G$1,MATCH(H885,Tabella!$G:$G,0)-1,MATCH(I885,Tabella!$G$1:$FG$1,0)-1)=TRUE),0,OFFSET(Tabella!$G$1,MATCH(H885,Tabella!$G:$G,0)-1,MATCH(I885,Tabella!$G$1:$AB$1,0)-1)),4)</f>
        <v>0</v>
      </c>
      <c r="Q885" s="446">
        <f ca="1">ROUND(IF(ISERROR(OFFSET(Ottone!$F$1,MATCH(H885,Ottone!$A:$A,0)-1,MATCH(I885,Ottone!$F$1:$FF$1,0)-1)=TRUE),0,OFFSET(Ottone!$F$1,MATCH(H885,Ottone!$A:$A,0)-1,MATCH(I885,Ottone!$F$1:$FF$1,0)-1))*IF(E885="Ottone",1,0),4)</f>
        <v>0</v>
      </c>
      <c r="R885" s="446">
        <f ca="1">ROUND(IF(ISERROR(OFFSET(Rame!$F$1,MATCH(H885,Rame!$F:$F,0)-1,MATCH(I885,Rame!$F$1:$FF$1,0)-1)=TRUE),0,OFFSET(Rame!$F$1,MATCH(H885,Rame!$F:$F,0)-1,MATCH(I885,Rame!$F$1:$FF$1,0)-1))*IF(E885="Rame",1,0),4)</f>
        <v>0</v>
      </c>
      <c r="S885" s="446">
        <f ca="1">ROUND(IF(ISERROR(OFFSET(Bronzo!$A$1,MATCH(H885,Bronzo!$A:$A,0)-1,MATCH(I885,Bronzo!$A$1:$AA$1,0)-1)=TRUE),0,OFFSET(Bronzo!$A$1,MATCH(H885,Bronzo!$A:$A,0)-1,MATCH(I885,Bronzo!$A$1:$AA$1,0)-1)),4)</f>
        <v>0</v>
      </c>
      <c r="T885" s="446">
        <f t="shared" ca="1" si="215"/>
        <v>0</v>
      </c>
      <c r="U885" s="443"/>
      <c r="V885" s="446">
        <v>0</v>
      </c>
      <c r="W885" s="449">
        <f t="shared" ca="1" si="216"/>
        <v>0</v>
      </c>
      <c r="X885" s="452">
        <f t="shared" si="214"/>
        <v>0</v>
      </c>
      <c r="Y885" s="440"/>
      <c r="Z885" s="440">
        <f t="shared" ca="1" si="217"/>
        <v>0</v>
      </c>
      <c r="AA885" s="241"/>
      <c r="AF885" s="225">
        <f t="shared" ca="1" si="115"/>
        <v>46156</v>
      </c>
      <c r="AG885" s="225" t="b">
        <f t="shared" si="122"/>
        <v>1</v>
      </c>
      <c r="AH885" s="242" t="str">
        <f t="shared" si="123"/>
        <v/>
      </c>
      <c r="AK885" s="223">
        <f t="shared" si="124"/>
        <v>0</v>
      </c>
      <c r="AL885" s="223">
        <f t="shared" si="125"/>
        <v>1900</v>
      </c>
      <c r="AS885" s="223">
        <f t="shared" si="218"/>
        <v>0</v>
      </c>
      <c r="AT885" s="223">
        <f t="shared" si="219"/>
        <v>0</v>
      </c>
    </row>
    <row r="886" spans="2:46" ht="15.75" x14ac:dyDescent="0.25">
      <c r="B886" s="229"/>
      <c r="C886" s="235"/>
      <c r="D886" s="243"/>
      <c r="E886" s="232"/>
      <c r="F886" s="435"/>
      <c r="G886" s="234"/>
      <c r="H886" s="235"/>
      <c r="I886" s="235"/>
      <c r="J886" s="440"/>
      <c r="K886" s="443">
        <f ca="1">ROUND(IF(ISERROR(OFFSET(Tabella!$A$1,MATCH(H886,Tabella!$A:$A,0)-1,MATCH(J886,Tabella!$A$1:$AC$1,0)-1)=TRUE),0,+OFFSET(Tabella!$A$1,MATCH(H886,Tabella!$A:$A,0)-1,MATCH(J886,Tabella!$A$1:$AC$1,0)-1)),4)</f>
        <v>0</v>
      </c>
      <c r="L886" s="446">
        <f ca="1">ROUND(IF(ISERROR(OFFSET(Ottone!$A$1,MATCH(H886,Ottone!$A:$A,0)-1,MATCH(J886,Ottone!$A$1:$Z$1,0)-1)=TRUE),0,OFFSET(Ottone!$A$1,MATCH(H886,Ottone!$A:$A,0)-1,MATCH(J886,Ottone!$A$1:$Z$1,0)-1))*IF(E886="Ottone",1,0),4)</f>
        <v>0</v>
      </c>
      <c r="M886" s="446">
        <f ca="1">ROUND(IF(ISERROR(OFFSET(Rame!$A$1,MATCH(H886,Rame!$A:$A,0)-1,MATCH(J886,Rame!$A$1:$AA$1,0)-1)=TRUE),0,OFFSET(Rame!$A$1,MATCH(H886,Rame!$A:$A,0)-1,MATCH(J886,Rame!$A$1:$AA$1,0)-1))*IF(E886="Rame",1,0),4)</f>
        <v>0</v>
      </c>
      <c r="N886" s="446">
        <v>0</v>
      </c>
      <c r="O886" s="446">
        <f t="shared" ca="1" si="220"/>
        <v>0</v>
      </c>
      <c r="P886" s="446">
        <f ca="1">ROUND(+IF(ISERROR(OFFSET(Tabella!$G$1,MATCH(H886,Tabella!$G:$G,0)-1,MATCH(I886,Tabella!$G$1:$FG$1,0)-1)=TRUE),0,OFFSET(Tabella!$G$1,MATCH(H886,Tabella!$G:$G,0)-1,MATCH(I886,Tabella!$G$1:$AB$1,0)-1)),4)</f>
        <v>0</v>
      </c>
      <c r="Q886" s="446">
        <f ca="1">ROUND(IF(ISERROR(OFFSET(Ottone!$F$1,MATCH(H886,Ottone!$A:$A,0)-1,MATCH(I886,Ottone!$F$1:$FF$1,0)-1)=TRUE),0,OFFSET(Ottone!$F$1,MATCH(H886,Ottone!$A:$A,0)-1,MATCH(I886,Ottone!$F$1:$FF$1,0)-1))*IF(E886="Ottone",1,0),4)</f>
        <v>0</v>
      </c>
      <c r="R886" s="446">
        <f ca="1">ROUND(IF(ISERROR(OFFSET(Rame!$F$1,MATCH(H886,Rame!$F:$F,0)-1,MATCH(I886,Rame!$F$1:$FF$1,0)-1)=TRUE),0,OFFSET(Rame!$F$1,MATCH(H886,Rame!$F:$F,0)-1,MATCH(I886,Rame!$F$1:$FF$1,0)-1))*IF(E886="Rame",1,0),4)</f>
        <v>0</v>
      </c>
      <c r="S886" s="446">
        <f ca="1">ROUND(IF(ISERROR(OFFSET(Bronzo!$A$1,MATCH(H886,Bronzo!$A:$A,0)-1,MATCH(I886,Bronzo!$A$1:$AA$1,0)-1)=TRUE),0,OFFSET(Bronzo!$A$1,MATCH(H886,Bronzo!$A:$A,0)-1,MATCH(I886,Bronzo!$A$1:$AA$1,0)-1)),4)</f>
        <v>0</v>
      </c>
      <c r="T886" s="446">
        <f t="shared" ca="1" si="215"/>
        <v>0</v>
      </c>
      <c r="U886" s="443"/>
      <c r="V886" s="446">
        <v>0</v>
      </c>
      <c r="W886" s="449">
        <f t="shared" ca="1" si="216"/>
        <v>0</v>
      </c>
      <c r="X886" s="452">
        <f t="shared" si="214"/>
        <v>0</v>
      </c>
      <c r="Y886" s="440"/>
      <c r="Z886" s="440">
        <f t="shared" ca="1" si="217"/>
        <v>0</v>
      </c>
      <c r="AA886" s="241"/>
      <c r="AF886" s="225">
        <f t="shared" ca="1" si="115"/>
        <v>46156</v>
      </c>
      <c r="AG886" s="225" t="b">
        <f t="shared" si="122"/>
        <v>1</v>
      </c>
      <c r="AH886" s="242" t="str">
        <f t="shared" si="123"/>
        <v/>
      </c>
      <c r="AK886" s="223">
        <f t="shared" si="124"/>
        <v>0</v>
      </c>
      <c r="AL886" s="223">
        <f t="shared" si="125"/>
        <v>1900</v>
      </c>
      <c r="AS886" s="223">
        <f t="shared" si="218"/>
        <v>0</v>
      </c>
      <c r="AT886" s="223">
        <f t="shared" si="219"/>
        <v>0</v>
      </c>
    </row>
    <row r="887" spans="2:46" ht="15.75" x14ac:dyDescent="0.25">
      <c r="B887" s="229"/>
      <c r="C887" s="235"/>
      <c r="D887" s="243"/>
      <c r="E887" s="232"/>
      <c r="F887" s="435"/>
      <c r="G887" s="234"/>
      <c r="H887" s="235"/>
      <c r="I887" s="235"/>
      <c r="J887" s="440"/>
      <c r="K887" s="443">
        <f ca="1">ROUND(IF(ISERROR(OFFSET(Tabella!$A$1,MATCH(H887,Tabella!$A:$A,0)-1,MATCH(J887,Tabella!$A$1:$AC$1,0)-1)=TRUE),0,+OFFSET(Tabella!$A$1,MATCH(H887,Tabella!$A:$A,0)-1,MATCH(J887,Tabella!$A$1:$AC$1,0)-1)),4)</f>
        <v>0</v>
      </c>
      <c r="L887" s="446">
        <f ca="1">ROUND(IF(ISERROR(OFFSET(Ottone!$A$1,MATCH(H887,Ottone!$A:$A,0)-1,MATCH(J887,Ottone!$A$1:$Z$1,0)-1)=TRUE),0,OFFSET(Ottone!$A$1,MATCH(H887,Ottone!$A:$A,0)-1,MATCH(J887,Ottone!$A$1:$Z$1,0)-1))*IF(E887="Ottone",1,0),4)</f>
        <v>0</v>
      </c>
      <c r="M887" s="446">
        <f ca="1">ROUND(IF(ISERROR(OFFSET(Rame!$A$1,MATCH(H887,Rame!$A:$A,0)-1,MATCH(J887,Rame!$A$1:$AA$1,0)-1)=TRUE),0,OFFSET(Rame!$A$1,MATCH(H887,Rame!$A:$A,0)-1,MATCH(J887,Rame!$A$1:$AA$1,0)-1))*IF(E887="Rame",1,0),4)</f>
        <v>0</v>
      </c>
      <c r="N887" s="446">
        <v>0</v>
      </c>
      <c r="O887" s="446">
        <f t="shared" ca="1" si="220"/>
        <v>0</v>
      </c>
      <c r="P887" s="446">
        <f ca="1">ROUND(+IF(ISERROR(OFFSET(Tabella!$G$1,MATCH(H887,Tabella!$G:$G,0)-1,MATCH(I887,Tabella!$G$1:$FG$1,0)-1)=TRUE),0,OFFSET(Tabella!$G$1,MATCH(H887,Tabella!$G:$G,0)-1,MATCH(I887,Tabella!$G$1:$AB$1,0)-1)),4)</f>
        <v>0</v>
      </c>
      <c r="Q887" s="446">
        <f ca="1">ROUND(IF(ISERROR(OFFSET(Ottone!$F$1,MATCH(H887,Ottone!$A:$A,0)-1,MATCH(I887,Ottone!$F$1:$FF$1,0)-1)=TRUE),0,OFFSET(Ottone!$F$1,MATCH(H887,Ottone!$A:$A,0)-1,MATCH(I887,Ottone!$F$1:$FF$1,0)-1))*IF(E887="Ottone",1,0),4)</f>
        <v>0</v>
      </c>
      <c r="R887" s="446">
        <f ca="1">ROUND(IF(ISERROR(OFFSET(Rame!$F$1,MATCH(H887,Rame!$F:$F,0)-1,MATCH(I887,Rame!$F$1:$FF$1,0)-1)=TRUE),0,OFFSET(Rame!$F$1,MATCH(H887,Rame!$F:$F,0)-1,MATCH(I887,Rame!$F$1:$FF$1,0)-1))*IF(E887="Rame",1,0),4)</f>
        <v>0</v>
      </c>
      <c r="S887" s="446">
        <f ca="1">ROUND(IF(ISERROR(OFFSET(Bronzo!$A$1,MATCH(H887,Bronzo!$A:$A,0)-1,MATCH(I887,Bronzo!$A$1:$AA$1,0)-1)=TRUE),0,OFFSET(Bronzo!$A$1,MATCH(H887,Bronzo!$A:$A,0)-1,MATCH(I887,Bronzo!$A$1:$AA$1,0)-1)),4)</f>
        <v>0</v>
      </c>
      <c r="T887" s="446">
        <f t="shared" ca="1" si="215"/>
        <v>0</v>
      </c>
      <c r="U887" s="443"/>
      <c r="V887" s="446">
        <v>0</v>
      </c>
      <c r="W887" s="449">
        <f t="shared" ca="1" si="216"/>
        <v>0</v>
      </c>
      <c r="X887" s="452">
        <f t="shared" si="214"/>
        <v>0</v>
      </c>
      <c r="Y887" s="440"/>
      <c r="Z887" s="440">
        <f t="shared" ca="1" si="217"/>
        <v>0</v>
      </c>
      <c r="AA887" s="241"/>
      <c r="AF887" s="225">
        <f t="shared" ca="1" si="115"/>
        <v>46156</v>
      </c>
      <c r="AG887" s="225" t="b">
        <f t="shared" si="122"/>
        <v>1</v>
      </c>
      <c r="AH887" s="242" t="str">
        <f t="shared" si="123"/>
        <v/>
      </c>
      <c r="AK887" s="223">
        <f t="shared" si="124"/>
        <v>0</v>
      </c>
      <c r="AL887" s="223">
        <f t="shared" si="125"/>
        <v>1900</v>
      </c>
      <c r="AS887" s="223">
        <f t="shared" si="218"/>
        <v>0</v>
      </c>
      <c r="AT887" s="223">
        <f t="shared" si="219"/>
        <v>0</v>
      </c>
    </row>
    <row r="888" spans="2:46" ht="15.75" x14ac:dyDescent="0.25">
      <c r="B888" s="229"/>
      <c r="C888" s="235"/>
      <c r="D888" s="243"/>
      <c r="E888" s="232"/>
      <c r="F888" s="435"/>
      <c r="G888" s="234"/>
      <c r="H888" s="235"/>
      <c r="I888" s="235"/>
      <c r="J888" s="440"/>
      <c r="K888" s="443">
        <f ca="1">ROUND(IF(ISERROR(OFFSET(Tabella!$A$1,MATCH(H888,Tabella!$A:$A,0)-1,MATCH(J888,Tabella!$A$1:$AC$1,0)-1)=TRUE),0,+OFFSET(Tabella!$A$1,MATCH(H888,Tabella!$A:$A,0)-1,MATCH(J888,Tabella!$A$1:$AC$1,0)-1)),4)</f>
        <v>0</v>
      </c>
      <c r="L888" s="446">
        <f ca="1">ROUND(IF(ISERROR(OFFSET(Ottone!$A$1,MATCH(H888,Ottone!$A:$A,0)-1,MATCH(J888,Ottone!$A$1:$Z$1,0)-1)=TRUE),0,OFFSET(Ottone!$A$1,MATCH(H888,Ottone!$A:$A,0)-1,MATCH(J888,Ottone!$A$1:$Z$1,0)-1))*IF(E888="Ottone",1,0),4)</f>
        <v>0</v>
      </c>
      <c r="M888" s="446">
        <f ca="1">ROUND(IF(ISERROR(OFFSET(Rame!$A$1,MATCH(H888,Rame!$A:$A,0)-1,MATCH(J888,Rame!$A$1:$AA$1,0)-1)=TRUE),0,OFFSET(Rame!$A$1,MATCH(H888,Rame!$A:$A,0)-1,MATCH(J888,Rame!$A$1:$AA$1,0)-1))*IF(E888="Rame",1,0),4)</f>
        <v>0</v>
      </c>
      <c r="N888" s="446">
        <v>0</v>
      </c>
      <c r="O888" s="446">
        <f t="shared" ca="1" si="220"/>
        <v>0</v>
      </c>
      <c r="P888" s="446">
        <f ca="1">ROUND(+IF(ISERROR(OFFSET(Tabella!$G$1,MATCH(H888,Tabella!$G:$G,0)-1,MATCH(I888,Tabella!$G$1:$FG$1,0)-1)=TRUE),0,OFFSET(Tabella!$G$1,MATCH(H888,Tabella!$G:$G,0)-1,MATCH(I888,Tabella!$G$1:$AB$1,0)-1)),4)</f>
        <v>0</v>
      </c>
      <c r="Q888" s="446">
        <f ca="1">ROUND(IF(ISERROR(OFFSET(Ottone!$F$1,MATCH(H888,Ottone!$A:$A,0)-1,MATCH(I888,Ottone!$F$1:$FF$1,0)-1)=TRUE),0,OFFSET(Ottone!$F$1,MATCH(H888,Ottone!$A:$A,0)-1,MATCH(I888,Ottone!$F$1:$FF$1,0)-1))*IF(E888="Ottone",1,0),4)</f>
        <v>0</v>
      </c>
      <c r="R888" s="446">
        <f ca="1">ROUND(IF(ISERROR(OFFSET(Rame!$F$1,MATCH(H888,Rame!$F:$F,0)-1,MATCH(I888,Rame!$F$1:$FF$1,0)-1)=TRUE),0,OFFSET(Rame!$F$1,MATCH(H888,Rame!$F:$F,0)-1,MATCH(I888,Rame!$F$1:$FF$1,0)-1))*IF(E888="Rame",1,0),4)</f>
        <v>0</v>
      </c>
      <c r="S888" s="446">
        <f ca="1">ROUND(IF(ISERROR(OFFSET(Bronzo!$A$1,MATCH(H888,Bronzo!$A:$A,0)-1,MATCH(I888,Bronzo!$A$1:$AA$1,0)-1)=TRUE),0,OFFSET(Bronzo!$A$1,MATCH(H888,Bronzo!$A:$A,0)-1,MATCH(I888,Bronzo!$A$1:$AA$1,0)-1)),4)</f>
        <v>0</v>
      </c>
      <c r="T888" s="446">
        <f t="shared" ca="1" si="215"/>
        <v>0</v>
      </c>
      <c r="U888" s="443"/>
      <c r="V888" s="446">
        <v>0</v>
      </c>
      <c r="W888" s="449">
        <f t="shared" ca="1" si="216"/>
        <v>0</v>
      </c>
      <c r="X888" s="452">
        <f t="shared" si="214"/>
        <v>0</v>
      </c>
      <c r="Y888" s="440"/>
      <c r="Z888" s="440">
        <f t="shared" ca="1" si="217"/>
        <v>0</v>
      </c>
      <c r="AA888" s="241"/>
      <c r="AF888" s="225">
        <f t="shared" ca="1" si="115"/>
        <v>46156</v>
      </c>
      <c r="AG888" s="225" t="b">
        <f t="shared" si="122"/>
        <v>1</v>
      </c>
      <c r="AH888" s="242" t="str">
        <f t="shared" si="123"/>
        <v/>
      </c>
      <c r="AK888" s="223">
        <f t="shared" si="124"/>
        <v>0</v>
      </c>
      <c r="AL888" s="223">
        <f t="shared" si="125"/>
        <v>1900</v>
      </c>
      <c r="AS888" s="223">
        <f t="shared" si="218"/>
        <v>0</v>
      </c>
      <c r="AT888" s="223">
        <f t="shared" si="219"/>
        <v>0</v>
      </c>
    </row>
    <row r="889" spans="2:46" ht="15.75" x14ac:dyDescent="0.25">
      <c r="B889" s="229"/>
      <c r="C889" s="235"/>
      <c r="D889" s="243"/>
      <c r="E889" s="232"/>
      <c r="F889" s="435"/>
      <c r="G889" s="234"/>
      <c r="H889" s="235"/>
      <c r="I889" s="235"/>
      <c r="J889" s="440"/>
      <c r="K889" s="443">
        <f ca="1">ROUND(IF(ISERROR(OFFSET(Tabella!$A$1,MATCH(H889,Tabella!$A:$A,0)-1,MATCH(J889,Tabella!$A$1:$AC$1,0)-1)=TRUE),0,+OFFSET(Tabella!$A$1,MATCH(H889,Tabella!$A:$A,0)-1,MATCH(J889,Tabella!$A$1:$AC$1,0)-1)),4)</f>
        <v>0</v>
      </c>
      <c r="L889" s="446">
        <f ca="1">ROUND(IF(ISERROR(OFFSET(Ottone!$A$1,MATCH(H889,Ottone!$A:$A,0)-1,MATCH(J889,Ottone!$A$1:$Z$1,0)-1)=TRUE),0,OFFSET(Ottone!$A$1,MATCH(H889,Ottone!$A:$A,0)-1,MATCH(J889,Ottone!$A$1:$Z$1,0)-1))*IF(E889="Ottone",1,0),4)</f>
        <v>0</v>
      </c>
      <c r="M889" s="446">
        <f ca="1">ROUND(IF(ISERROR(OFFSET(Rame!$A$1,MATCH(H889,Rame!$A:$A,0)-1,MATCH(J889,Rame!$A$1:$AA$1,0)-1)=TRUE),0,OFFSET(Rame!$A$1,MATCH(H889,Rame!$A:$A,0)-1,MATCH(J889,Rame!$A$1:$AA$1,0)-1))*IF(E889="Rame",1,0),4)</f>
        <v>0</v>
      </c>
      <c r="N889" s="446">
        <v>0</v>
      </c>
      <c r="O889" s="446">
        <f t="shared" ca="1" si="220"/>
        <v>0</v>
      </c>
      <c r="P889" s="446">
        <f ca="1">ROUND(+IF(ISERROR(OFFSET(Tabella!$G$1,MATCH(H889,Tabella!$G:$G,0)-1,MATCH(I889,Tabella!$G$1:$FG$1,0)-1)=TRUE),0,OFFSET(Tabella!$G$1,MATCH(H889,Tabella!$G:$G,0)-1,MATCH(I889,Tabella!$G$1:$AB$1,0)-1)),4)</f>
        <v>0</v>
      </c>
      <c r="Q889" s="446">
        <f ca="1">ROUND(IF(ISERROR(OFFSET(Ottone!$F$1,MATCH(H889,Ottone!$A:$A,0)-1,MATCH(I889,Ottone!$F$1:$FF$1,0)-1)=TRUE),0,OFFSET(Ottone!$F$1,MATCH(H889,Ottone!$A:$A,0)-1,MATCH(I889,Ottone!$F$1:$FF$1,0)-1))*IF(E889="Ottone",1,0),4)</f>
        <v>0</v>
      </c>
      <c r="R889" s="446">
        <f ca="1">ROUND(IF(ISERROR(OFFSET(Rame!$F$1,MATCH(H889,Rame!$F:$F,0)-1,MATCH(I889,Rame!$F$1:$FF$1,0)-1)=TRUE),0,OFFSET(Rame!$F$1,MATCH(H889,Rame!$F:$F,0)-1,MATCH(I889,Rame!$F$1:$FF$1,0)-1))*IF(E889="Rame",1,0),4)</f>
        <v>0</v>
      </c>
      <c r="S889" s="446">
        <f ca="1">ROUND(IF(ISERROR(OFFSET(Bronzo!$A$1,MATCH(H889,Bronzo!$A:$A,0)-1,MATCH(I889,Bronzo!$A$1:$AA$1,0)-1)=TRUE),0,OFFSET(Bronzo!$A$1,MATCH(H889,Bronzo!$A:$A,0)-1,MATCH(I889,Bronzo!$A$1:$AA$1,0)-1)),4)</f>
        <v>0</v>
      </c>
      <c r="T889" s="446">
        <f t="shared" ca="1" si="215"/>
        <v>0</v>
      </c>
      <c r="U889" s="443"/>
      <c r="V889" s="446">
        <v>0</v>
      </c>
      <c r="W889" s="449">
        <f t="shared" ca="1" si="216"/>
        <v>0</v>
      </c>
      <c r="X889" s="452">
        <f t="shared" si="214"/>
        <v>0</v>
      </c>
      <c r="Y889" s="440"/>
      <c r="Z889" s="440">
        <f t="shared" ca="1" si="217"/>
        <v>0</v>
      </c>
      <c r="AA889" s="241"/>
      <c r="AF889" s="225">
        <f t="shared" ca="1" si="115"/>
        <v>46156</v>
      </c>
      <c r="AG889" s="225" t="b">
        <f t="shared" si="122"/>
        <v>1</v>
      </c>
      <c r="AH889" s="242" t="str">
        <f t="shared" si="123"/>
        <v/>
      </c>
      <c r="AK889" s="223">
        <f t="shared" si="124"/>
        <v>0</v>
      </c>
      <c r="AL889" s="223">
        <f t="shared" si="125"/>
        <v>1900</v>
      </c>
      <c r="AS889" s="223">
        <f t="shared" si="218"/>
        <v>0</v>
      </c>
      <c r="AT889" s="223">
        <f t="shared" si="219"/>
        <v>0</v>
      </c>
    </row>
    <row r="890" spans="2:46" ht="15.75" x14ac:dyDescent="0.25">
      <c r="B890" s="229"/>
      <c r="C890" s="235"/>
      <c r="D890" s="243"/>
      <c r="E890" s="232"/>
      <c r="F890" s="435"/>
      <c r="G890" s="234"/>
      <c r="H890" s="235"/>
      <c r="I890" s="235"/>
      <c r="J890" s="440"/>
      <c r="K890" s="443">
        <f ca="1">ROUND(IF(ISERROR(OFFSET(Tabella!$A$1,MATCH(H890,Tabella!$A:$A,0)-1,MATCH(J890,Tabella!$A$1:$AC$1,0)-1)=TRUE),0,+OFFSET(Tabella!$A$1,MATCH(H890,Tabella!$A:$A,0)-1,MATCH(J890,Tabella!$A$1:$AC$1,0)-1)),4)</f>
        <v>0</v>
      </c>
      <c r="L890" s="446">
        <f ca="1">ROUND(IF(ISERROR(OFFSET(Ottone!$A$1,MATCH(H890,Ottone!$A:$A,0)-1,MATCH(J890,Ottone!$A$1:$Z$1,0)-1)=TRUE),0,OFFSET(Ottone!$A$1,MATCH(H890,Ottone!$A:$A,0)-1,MATCH(J890,Ottone!$A$1:$Z$1,0)-1))*IF(E890="Ottone",1,0),4)</f>
        <v>0</v>
      </c>
      <c r="M890" s="446">
        <f ca="1">ROUND(IF(ISERROR(OFFSET(Rame!$A$1,MATCH(H890,Rame!$A:$A,0)-1,MATCH(J890,Rame!$A$1:$AA$1,0)-1)=TRUE),0,OFFSET(Rame!$A$1,MATCH(H890,Rame!$A:$A,0)-1,MATCH(J890,Rame!$A$1:$AA$1,0)-1))*IF(E890="Rame",1,0),4)</f>
        <v>0</v>
      </c>
      <c r="N890" s="446">
        <v>0</v>
      </c>
      <c r="O890" s="446">
        <f t="shared" ca="1" si="220"/>
        <v>0</v>
      </c>
      <c r="P890" s="446">
        <f ca="1">ROUND(+IF(ISERROR(OFFSET(Tabella!$G$1,MATCH(H890,Tabella!$G:$G,0)-1,MATCH(I890,Tabella!$G$1:$FG$1,0)-1)=TRUE),0,OFFSET(Tabella!$G$1,MATCH(H890,Tabella!$G:$G,0)-1,MATCH(I890,Tabella!$G$1:$AB$1,0)-1)),4)</f>
        <v>0</v>
      </c>
      <c r="Q890" s="446">
        <f ca="1">ROUND(IF(ISERROR(OFFSET(Ottone!$F$1,MATCH(H890,Ottone!$A:$A,0)-1,MATCH(I890,Ottone!$F$1:$FF$1,0)-1)=TRUE),0,OFFSET(Ottone!$F$1,MATCH(H890,Ottone!$A:$A,0)-1,MATCH(I890,Ottone!$F$1:$FF$1,0)-1))*IF(E890="Ottone",1,0),4)</f>
        <v>0</v>
      </c>
      <c r="R890" s="446">
        <f ca="1">ROUND(IF(ISERROR(OFFSET(Rame!$F$1,MATCH(H890,Rame!$F:$F,0)-1,MATCH(I890,Rame!$F$1:$FF$1,0)-1)=TRUE),0,OFFSET(Rame!$F$1,MATCH(H890,Rame!$F:$F,0)-1,MATCH(I890,Rame!$F$1:$FF$1,0)-1))*IF(E890="Rame",1,0),4)</f>
        <v>0</v>
      </c>
      <c r="S890" s="446">
        <f ca="1">ROUND(IF(ISERROR(OFFSET(Bronzo!$A$1,MATCH(H890,Bronzo!$A:$A,0)-1,MATCH(I890,Bronzo!$A$1:$AA$1,0)-1)=TRUE),0,OFFSET(Bronzo!$A$1,MATCH(H890,Bronzo!$A:$A,0)-1,MATCH(I890,Bronzo!$A$1:$AA$1,0)-1)),4)</f>
        <v>0</v>
      </c>
      <c r="T890" s="446">
        <f t="shared" ca="1" si="215"/>
        <v>0</v>
      </c>
      <c r="U890" s="443"/>
      <c r="V890" s="446">
        <v>0</v>
      </c>
      <c r="W890" s="449">
        <f t="shared" ca="1" si="216"/>
        <v>0</v>
      </c>
      <c r="X890" s="452">
        <f t="shared" si="214"/>
        <v>0</v>
      </c>
      <c r="Y890" s="440"/>
      <c r="Z890" s="440">
        <f t="shared" ca="1" si="217"/>
        <v>0</v>
      </c>
      <c r="AA890" s="241"/>
      <c r="AF890" s="225">
        <f t="shared" ca="1" si="115"/>
        <v>46156</v>
      </c>
      <c r="AG890" s="225" t="b">
        <f t="shared" si="122"/>
        <v>1</v>
      </c>
      <c r="AH890" s="242" t="str">
        <f t="shared" si="123"/>
        <v/>
      </c>
      <c r="AK890" s="223">
        <f t="shared" si="124"/>
        <v>0</v>
      </c>
      <c r="AL890" s="223">
        <f t="shared" si="125"/>
        <v>1900</v>
      </c>
      <c r="AS890" s="223">
        <f t="shared" si="218"/>
        <v>0</v>
      </c>
      <c r="AT890" s="223">
        <f t="shared" si="219"/>
        <v>0</v>
      </c>
    </row>
    <row r="891" spans="2:46" ht="15.75" x14ac:dyDescent="0.25">
      <c r="B891" s="229"/>
      <c r="C891" s="235"/>
      <c r="D891" s="243"/>
      <c r="E891" s="232"/>
      <c r="F891" s="435"/>
      <c r="G891" s="234"/>
      <c r="H891" s="235"/>
      <c r="I891" s="235"/>
      <c r="J891" s="440"/>
      <c r="K891" s="443">
        <f ca="1">ROUND(IF(ISERROR(OFFSET(Tabella!$A$1,MATCH(H891,Tabella!$A:$A,0)-1,MATCH(J891,Tabella!$A$1:$AC$1,0)-1)=TRUE),0,+OFFSET(Tabella!$A$1,MATCH(H891,Tabella!$A:$A,0)-1,MATCH(J891,Tabella!$A$1:$AC$1,0)-1)),4)</f>
        <v>0</v>
      </c>
      <c r="L891" s="446">
        <f ca="1">ROUND(IF(ISERROR(OFFSET(Ottone!$A$1,MATCH(H891,Ottone!$A:$A,0)-1,MATCH(J891,Ottone!$A$1:$Z$1,0)-1)=TRUE),0,OFFSET(Ottone!$A$1,MATCH(H891,Ottone!$A:$A,0)-1,MATCH(J891,Ottone!$A$1:$Z$1,0)-1))*IF(E891="Ottone",1,0),4)</f>
        <v>0</v>
      </c>
      <c r="M891" s="446">
        <f ca="1">ROUND(IF(ISERROR(OFFSET(Rame!$A$1,MATCH(H891,Rame!$A:$A,0)-1,MATCH(J891,Rame!$A$1:$AA$1,0)-1)=TRUE),0,OFFSET(Rame!$A$1,MATCH(H891,Rame!$A:$A,0)-1,MATCH(J891,Rame!$A$1:$AA$1,0)-1))*IF(E891="Rame",1,0),4)</f>
        <v>0</v>
      </c>
      <c r="N891" s="446">
        <v>0</v>
      </c>
      <c r="O891" s="446">
        <f t="shared" ca="1" si="220"/>
        <v>0</v>
      </c>
      <c r="P891" s="446">
        <f ca="1">ROUND(+IF(ISERROR(OFFSET(Tabella!$G$1,MATCH(H891,Tabella!$G:$G,0)-1,MATCH(I891,Tabella!$G$1:$FG$1,0)-1)=TRUE),0,OFFSET(Tabella!$G$1,MATCH(H891,Tabella!$G:$G,0)-1,MATCH(I891,Tabella!$G$1:$AB$1,0)-1)),4)</f>
        <v>0</v>
      </c>
      <c r="Q891" s="446">
        <f ca="1">ROUND(IF(ISERROR(OFFSET(Ottone!$F$1,MATCH(H891,Ottone!$A:$A,0)-1,MATCH(I891,Ottone!$F$1:$FF$1,0)-1)=TRUE),0,OFFSET(Ottone!$F$1,MATCH(H891,Ottone!$A:$A,0)-1,MATCH(I891,Ottone!$F$1:$FF$1,0)-1))*IF(E891="Ottone",1,0),4)</f>
        <v>0</v>
      </c>
      <c r="R891" s="446">
        <f ca="1">ROUND(IF(ISERROR(OFFSET(Rame!$F$1,MATCH(H891,Rame!$F:$F,0)-1,MATCH(I891,Rame!$F$1:$FF$1,0)-1)=TRUE),0,OFFSET(Rame!$F$1,MATCH(H891,Rame!$F:$F,0)-1,MATCH(I891,Rame!$F$1:$FF$1,0)-1))*IF(E891="Rame",1,0),4)</f>
        <v>0</v>
      </c>
      <c r="S891" s="446">
        <f ca="1">ROUND(IF(ISERROR(OFFSET(Bronzo!$A$1,MATCH(H891,Bronzo!$A:$A,0)-1,MATCH(I891,Bronzo!$A$1:$AA$1,0)-1)=TRUE),0,OFFSET(Bronzo!$A$1,MATCH(H891,Bronzo!$A:$A,0)-1,MATCH(I891,Bronzo!$A$1:$AA$1,0)-1)),4)</f>
        <v>0</v>
      </c>
      <c r="T891" s="446">
        <f t="shared" ca="1" si="215"/>
        <v>0</v>
      </c>
      <c r="U891" s="443"/>
      <c r="V891" s="446">
        <v>0</v>
      </c>
      <c r="W891" s="449">
        <f t="shared" ca="1" si="216"/>
        <v>0</v>
      </c>
      <c r="X891" s="452">
        <f t="shared" si="214"/>
        <v>0</v>
      </c>
      <c r="Y891" s="440"/>
      <c r="Z891" s="440">
        <f t="shared" ca="1" si="217"/>
        <v>0</v>
      </c>
      <c r="AA891" s="241"/>
      <c r="AF891" s="225">
        <f t="shared" ca="1" si="115"/>
        <v>46156</v>
      </c>
      <c r="AG891" s="225" t="b">
        <f t="shared" si="122"/>
        <v>1</v>
      </c>
      <c r="AH891" s="242" t="str">
        <f t="shared" si="123"/>
        <v/>
      </c>
      <c r="AK891" s="223">
        <f t="shared" si="124"/>
        <v>0</v>
      </c>
      <c r="AL891" s="223">
        <f t="shared" si="125"/>
        <v>1900</v>
      </c>
      <c r="AS891" s="223">
        <f t="shared" si="218"/>
        <v>0</v>
      </c>
      <c r="AT891" s="223">
        <f t="shared" si="219"/>
        <v>0</v>
      </c>
    </row>
    <row r="892" spans="2:46" ht="15.75" x14ac:dyDescent="0.25">
      <c r="B892" s="229"/>
      <c r="C892" s="235"/>
      <c r="D892" s="243"/>
      <c r="E892" s="232"/>
      <c r="F892" s="435"/>
      <c r="G892" s="234"/>
      <c r="H892" s="235"/>
      <c r="I892" s="235"/>
      <c r="J892" s="440"/>
      <c r="K892" s="443">
        <f ca="1">ROUND(IF(ISERROR(OFFSET(Tabella!$A$1,MATCH(H892,Tabella!$A:$A,0)-1,MATCH(J892,Tabella!$A$1:$AC$1,0)-1)=TRUE),0,+OFFSET(Tabella!$A$1,MATCH(H892,Tabella!$A:$A,0)-1,MATCH(J892,Tabella!$A$1:$AC$1,0)-1)),4)</f>
        <v>0</v>
      </c>
      <c r="L892" s="446">
        <f ca="1">ROUND(IF(ISERROR(OFFSET(Ottone!$A$1,MATCH(H892,Ottone!$A:$A,0)-1,MATCH(J892,Ottone!$A$1:$Z$1,0)-1)=TRUE),0,OFFSET(Ottone!$A$1,MATCH(H892,Ottone!$A:$A,0)-1,MATCH(J892,Ottone!$A$1:$Z$1,0)-1))*IF(E892="Ottone",1,0),4)</f>
        <v>0</v>
      </c>
      <c r="M892" s="446">
        <f ca="1">ROUND(IF(ISERROR(OFFSET(Rame!$A$1,MATCH(H892,Rame!$A:$A,0)-1,MATCH(J892,Rame!$A$1:$AA$1,0)-1)=TRUE),0,OFFSET(Rame!$A$1,MATCH(H892,Rame!$A:$A,0)-1,MATCH(J892,Rame!$A$1:$AA$1,0)-1))*IF(E892="Rame",1,0),4)</f>
        <v>0</v>
      </c>
      <c r="N892" s="446">
        <v>0</v>
      </c>
      <c r="O892" s="446">
        <f t="shared" ca="1" si="220"/>
        <v>0</v>
      </c>
      <c r="P892" s="446">
        <f ca="1">ROUND(+IF(ISERROR(OFFSET(Tabella!$G$1,MATCH(H892,Tabella!$G:$G,0)-1,MATCH(I892,Tabella!$G$1:$FG$1,0)-1)=TRUE),0,OFFSET(Tabella!$G$1,MATCH(H892,Tabella!$G:$G,0)-1,MATCH(I892,Tabella!$G$1:$AB$1,0)-1)),4)</f>
        <v>0</v>
      </c>
      <c r="Q892" s="446">
        <f ca="1">ROUND(IF(ISERROR(OFFSET(Ottone!$F$1,MATCH(H892,Ottone!$A:$A,0)-1,MATCH(I892,Ottone!$F$1:$FF$1,0)-1)=TRUE),0,OFFSET(Ottone!$F$1,MATCH(H892,Ottone!$A:$A,0)-1,MATCH(I892,Ottone!$F$1:$FF$1,0)-1))*IF(E892="Ottone",1,0),4)</f>
        <v>0</v>
      </c>
      <c r="R892" s="446">
        <f ca="1">ROUND(IF(ISERROR(OFFSET(Rame!$F$1,MATCH(H892,Rame!$F:$F,0)-1,MATCH(I892,Rame!$F$1:$FF$1,0)-1)=TRUE),0,OFFSET(Rame!$F$1,MATCH(H892,Rame!$F:$F,0)-1,MATCH(I892,Rame!$F$1:$FF$1,0)-1))*IF(E892="Rame",1,0),4)</f>
        <v>0</v>
      </c>
      <c r="S892" s="446">
        <f ca="1">ROUND(IF(ISERROR(OFFSET(Bronzo!$A$1,MATCH(H892,Bronzo!$A:$A,0)-1,MATCH(I892,Bronzo!$A$1:$AA$1,0)-1)=TRUE),0,OFFSET(Bronzo!$A$1,MATCH(H892,Bronzo!$A:$A,0)-1,MATCH(I892,Bronzo!$A$1:$AA$1,0)-1)),4)</f>
        <v>0</v>
      </c>
      <c r="T892" s="446">
        <f t="shared" ca="1" si="215"/>
        <v>0</v>
      </c>
      <c r="U892" s="443"/>
      <c r="V892" s="446">
        <v>0</v>
      </c>
      <c r="W892" s="449">
        <f t="shared" ca="1" si="216"/>
        <v>0</v>
      </c>
      <c r="X892" s="452">
        <f t="shared" si="214"/>
        <v>0</v>
      </c>
      <c r="Y892" s="440"/>
      <c r="Z892" s="440">
        <f t="shared" ca="1" si="217"/>
        <v>0</v>
      </c>
      <c r="AA892" s="241"/>
      <c r="AF892" s="225">
        <f t="shared" ca="1" si="115"/>
        <v>46156</v>
      </c>
      <c r="AG892" s="225" t="b">
        <f t="shared" si="122"/>
        <v>1</v>
      </c>
      <c r="AH892" s="242" t="str">
        <f t="shared" si="123"/>
        <v/>
      </c>
      <c r="AK892" s="223">
        <f t="shared" si="124"/>
        <v>0</v>
      </c>
      <c r="AL892" s="223">
        <f t="shared" si="125"/>
        <v>1900</v>
      </c>
      <c r="AS892" s="223">
        <f t="shared" si="218"/>
        <v>0</v>
      </c>
      <c r="AT892" s="223">
        <f t="shared" si="219"/>
        <v>0</v>
      </c>
    </row>
    <row r="893" spans="2:46" ht="15.75" x14ac:dyDescent="0.25">
      <c r="B893" s="229"/>
      <c r="C893" s="235"/>
      <c r="D893" s="243"/>
      <c r="E893" s="232"/>
      <c r="F893" s="435"/>
      <c r="G893" s="234"/>
      <c r="H893" s="235"/>
      <c r="I893" s="235"/>
      <c r="J893" s="440"/>
      <c r="K893" s="443">
        <f ca="1">ROUND(IF(ISERROR(OFFSET(Tabella!$A$1,MATCH(H893,Tabella!$A:$A,0)-1,MATCH(J893,Tabella!$A$1:$AC$1,0)-1)=TRUE),0,+OFFSET(Tabella!$A$1,MATCH(H893,Tabella!$A:$A,0)-1,MATCH(J893,Tabella!$A$1:$AC$1,0)-1)),4)</f>
        <v>0</v>
      </c>
      <c r="L893" s="446">
        <f ca="1">ROUND(IF(ISERROR(OFFSET(Ottone!$A$1,MATCH(H893,Ottone!$A:$A,0)-1,MATCH(J893,Ottone!$A$1:$Z$1,0)-1)=TRUE),0,OFFSET(Ottone!$A$1,MATCH(H893,Ottone!$A:$A,0)-1,MATCH(J893,Ottone!$A$1:$Z$1,0)-1))*IF(E893="Ottone",1,0),4)</f>
        <v>0</v>
      </c>
      <c r="M893" s="446">
        <f ca="1">ROUND(IF(ISERROR(OFFSET(Rame!$A$1,MATCH(H893,Rame!$A:$A,0)-1,MATCH(J893,Rame!$A$1:$AA$1,0)-1)=TRUE),0,OFFSET(Rame!$A$1,MATCH(H893,Rame!$A:$A,0)-1,MATCH(J893,Rame!$A$1:$AA$1,0)-1))*IF(E893="Rame",1,0),4)</f>
        <v>0</v>
      </c>
      <c r="N893" s="446">
        <v>0</v>
      </c>
      <c r="O893" s="446">
        <f t="shared" ca="1" si="220"/>
        <v>0</v>
      </c>
      <c r="P893" s="446">
        <f ca="1">ROUND(+IF(ISERROR(OFFSET(Tabella!$G$1,MATCH(H893,Tabella!$G:$G,0)-1,MATCH(I893,Tabella!$G$1:$FG$1,0)-1)=TRUE),0,OFFSET(Tabella!$G$1,MATCH(H893,Tabella!$G:$G,0)-1,MATCH(I893,Tabella!$G$1:$AB$1,0)-1)),4)</f>
        <v>0</v>
      </c>
      <c r="Q893" s="446">
        <f ca="1">ROUND(IF(ISERROR(OFFSET(Ottone!$F$1,MATCH(H893,Ottone!$A:$A,0)-1,MATCH(I893,Ottone!$F$1:$FF$1,0)-1)=TRUE),0,OFFSET(Ottone!$F$1,MATCH(H893,Ottone!$A:$A,0)-1,MATCH(I893,Ottone!$F$1:$FF$1,0)-1))*IF(E893="Ottone",1,0),4)</f>
        <v>0</v>
      </c>
      <c r="R893" s="446">
        <f ca="1">ROUND(IF(ISERROR(OFFSET(Rame!$F$1,MATCH(H893,Rame!$F:$F,0)-1,MATCH(I893,Rame!$F$1:$FF$1,0)-1)=TRUE),0,OFFSET(Rame!$F$1,MATCH(H893,Rame!$F:$F,0)-1,MATCH(I893,Rame!$F$1:$FF$1,0)-1))*IF(E893="Rame",1,0),4)</f>
        <v>0</v>
      </c>
      <c r="S893" s="446">
        <f ca="1">ROUND(IF(ISERROR(OFFSET(Bronzo!$A$1,MATCH(H893,Bronzo!$A:$A,0)-1,MATCH(I893,Bronzo!$A$1:$AA$1,0)-1)=TRUE),0,OFFSET(Bronzo!$A$1,MATCH(H893,Bronzo!$A:$A,0)-1,MATCH(I893,Bronzo!$A$1:$AA$1,0)-1)),4)</f>
        <v>0</v>
      </c>
      <c r="T893" s="446">
        <f t="shared" ca="1" si="215"/>
        <v>0</v>
      </c>
      <c r="U893" s="443"/>
      <c r="V893" s="446">
        <v>0</v>
      </c>
      <c r="W893" s="449">
        <f t="shared" ca="1" si="216"/>
        <v>0</v>
      </c>
      <c r="X893" s="452">
        <f t="shared" si="214"/>
        <v>0</v>
      </c>
      <c r="Y893" s="440"/>
      <c r="Z893" s="440">
        <f t="shared" ca="1" si="217"/>
        <v>0</v>
      </c>
      <c r="AA893" s="241"/>
      <c r="AF893" s="225">
        <f t="shared" ca="1" si="115"/>
        <v>46156</v>
      </c>
      <c r="AG893" s="225" t="b">
        <f t="shared" si="122"/>
        <v>1</v>
      </c>
      <c r="AH893" s="242" t="str">
        <f t="shared" si="123"/>
        <v/>
      </c>
      <c r="AK893" s="223">
        <f t="shared" si="124"/>
        <v>0</v>
      </c>
      <c r="AL893" s="223">
        <f t="shared" si="125"/>
        <v>1900</v>
      </c>
      <c r="AS893" s="223">
        <f t="shared" si="218"/>
        <v>0</v>
      </c>
      <c r="AT893" s="223">
        <f t="shared" si="219"/>
        <v>0</v>
      </c>
    </row>
    <row r="894" spans="2:46" ht="15.75" x14ac:dyDescent="0.25">
      <c r="B894" s="229"/>
      <c r="C894" s="235"/>
      <c r="D894" s="243"/>
      <c r="E894" s="232"/>
      <c r="F894" s="435"/>
      <c r="G894" s="234"/>
      <c r="H894" s="235"/>
      <c r="I894" s="235"/>
      <c r="J894" s="440"/>
      <c r="K894" s="443">
        <f ca="1">ROUND(IF(ISERROR(OFFSET(Tabella!$A$1,MATCH(H894,Tabella!$A:$A,0)-1,MATCH(J894,Tabella!$A$1:$AC$1,0)-1)=TRUE),0,+OFFSET(Tabella!$A$1,MATCH(H894,Tabella!$A:$A,0)-1,MATCH(J894,Tabella!$A$1:$AC$1,0)-1)),4)</f>
        <v>0</v>
      </c>
      <c r="L894" s="446">
        <f ca="1">ROUND(IF(ISERROR(OFFSET(Ottone!$A$1,MATCH(H894,Ottone!$A:$A,0)-1,MATCH(J894,Ottone!$A$1:$Z$1,0)-1)=TRUE),0,OFFSET(Ottone!$A$1,MATCH(H894,Ottone!$A:$A,0)-1,MATCH(J894,Ottone!$A$1:$Z$1,0)-1))*IF(E894="Ottone",1,0),4)</f>
        <v>0</v>
      </c>
      <c r="M894" s="446">
        <f ca="1">ROUND(IF(ISERROR(OFFSET(Rame!$A$1,MATCH(H894,Rame!$A:$A,0)-1,MATCH(J894,Rame!$A$1:$AA$1,0)-1)=TRUE),0,OFFSET(Rame!$A$1,MATCH(H894,Rame!$A:$A,0)-1,MATCH(J894,Rame!$A$1:$AA$1,0)-1))*IF(E894="Rame",1,0),4)</f>
        <v>0</v>
      </c>
      <c r="N894" s="446">
        <v>0</v>
      </c>
      <c r="O894" s="446">
        <f t="shared" ca="1" si="220"/>
        <v>0</v>
      </c>
      <c r="P894" s="446">
        <f ca="1">ROUND(+IF(ISERROR(OFFSET(Tabella!$G$1,MATCH(H894,Tabella!$G:$G,0)-1,MATCH(I894,Tabella!$G$1:$FG$1,0)-1)=TRUE),0,OFFSET(Tabella!$G$1,MATCH(H894,Tabella!$G:$G,0)-1,MATCH(I894,Tabella!$G$1:$AB$1,0)-1)),4)</f>
        <v>0</v>
      </c>
      <c r="Q894" s="446">
        <f ca="1">ROUND(IF(ISERROR(OFFSET(Ottone!$F$1,MATCH(H894,Ottone!$A:$A,0)-1,MATCH(I894,Ottone!$F$1:$FF$1,0)-1)=TRUE),0,OFFSET(Ottone!$F$1,MATCH(H894,Ottone!$A:$A,0)-1,MATCH(I894,Ottone!$F$1:$FF$1,0)-1))*IF(E894="Ottone",1,0),4)</f>
        <v>0</v>
      </c>
      <c r="R894" s="446">
        <f ca="1">ROUND(IF(ISERROR(OFFSET(Rame!$F$1,MATCH(H894,Rame!$F:$F,0)-1,MATCH(I894,Rame!$F$1:$FF$1,0)-1)=TRUE),0,OFFSET(Rame!$F$1,MATCH(H894,Rame!$F:$F,0)-1,MATCH(I894,Rame!$F$1:$FF$1,0)-1))*IF(E894="Rame",1,0),4)</f>
        <v>0</v>
      </c>
      <c r="S894" s="446">
        <f ca="1">ROUND(IF(ISERROR(OFFSET(Bronzo!$A$1,MATCH(H894,Bronzo!$A:$A,0)-1,MATCH(I894,Bronzo!$A$1:$AA$1,0)-1)=TRUE),0,OFFSET(Bronzo!$A$1,MATCH(H894,Bronzo!$A:$A,0)-1,MATCH(I894,Bronzo!$A$1:$AA$1,0)-1)),4)</f>
        <v>0</v>
      </c>
      <c r="T894" s="446">
        <f t="shared" ca="1" si="215"/>
        <v>0</v>
      </c>
      <c r="U894" s="443"/>
      <c r="V894" s="446">
        <v>0</v>
      </c>
      <c r="W894" s="449">
        <f t="shared" ca="1" si="216"/>
        <v>0</v>
      </c>
      <c r="X894" s="452">
        <f t="shared" si="214"/>
        <v>0</v>
      </c>
      <c r="Y894" s="440"/>
      <c r="Z894" s="440">
        <f t="shared" ca="1" si="217"/>
        <v>0</v>
      </c>
      <c r="AA894" s="241"/>
      <c r="AF894" s="225">
        <f t="shared" ca="1" si="115"/>
        <v>46156</v>
      </c>
      <c r="AG894" s="225" t="b">
        <f t="shared" si="122"/>
        <v>1</v>
      </c>
      <c r="AH894" s="242" t="str">
        <f t="shared" si="123"/>
        <v/>
      </c>
      <c r="AK894" s="223">
        <f t="shared" si="124"/>
        <v>0</v>
      </c>
      <c r="AL894" s="223">
        <f t="shared" si="125"/>
        <v>1900</v>
      </c>
      <c r="AS894" s="223">
        <f t="shared" si="218"/>
        <v>0</v>
      </c>
      <c r="AT894" s="223">
        <f t="shared" si="219"/>
        <v>0</v>
      </c>
    </row>
    <row r="895" spans="2:46" ht="15.75" x14ac:dyDescent="0.25">
      <c r="B895" s="229"/>
      <c r="C895" s="235"/>
      <c r="D895" s="243"/>
      <c r="E895" s="232"/>
      <c r="F895" s="435"/>
      <c r="G895" s="234"/>
      <c r="H895" s="235"/>
      <c r="I895" s="235"/>
      <c r="J895" s="440"/>
      <c r="K895" s="443">
        <f ca="1">ROUND(IF(ISERROR(OFFSET(Tabella!$A$1,MATCH(H895,Tabella!$A:$A,0)-1,MATCH(J895,Tabella!$A$1:$AC$1,0)-1)=TRUE),0,+OFFSET(Tabella!$A$1,MATCH(H895,Tabella!$A:$A,0)-1,MATCH(J895,Tabella!$A$1:$AC$1,0)-1)),4)</f>
        <v>0</v>
      </c>
      <c r="L895" s="446">
        <f ca="1">ROUND(IF(ISERROR(OFFSET(Ottone!$A$1,MATCH(H895,Ottone!$A:$A,0)-1,MATCH(J895,Ottone!$A$1:$Z$1,0)-1)=TRUE),0,OFFSET(Ottone!$A$1,MATCH(H895,Ottone!$A:$A,0)-1,MATCH(J895,Ottone!$A$1:$Z$1,0)-1))*IF(E895="Ottone",1,0),4)</f>
        <v>0</v>
      </c>
      <c r="M895" s="446">
        <f ca="1">ROUND(IF(ISERROR(OFFSET(Rame!$A$1,MATCH(H895,Rame!$A:$A,0)-1,MATCH(J895,Rame!$A$1:$AA$1,0)-1)=TRUE),0,OFFSET(Rame!$A$1,MATCH(H895,Rame!$A:$A,0)-1,MATCH(J895,Rame!$A$1:$AA$1,0)-1))*IF(E895="Rame",1,0),4)</f>
        <v>0</v>
      </c>
      <c r="N895" s="446">
        <v>0</v>
      </c>
      <c r="O895" s="446">
        <f t="shared" ca="1" si="220"/>
        <v>0</v>
      </c>
      <c r="P895" s="446">
        <f ca="1">ROUND(+IF(ISERROR(OFFSET(Tabella!$G$1,MATCH(H895,Tabella!$G:$G,0)-1,MATCH(I895,Tabella!$G$1:$FG$1,0)-1)=TRUE),0,OFFSET(Tabella!$G$1,MATCH(H895,Tabella!$G:$G,0)-1,MATCH(I895,Tabella!$G$1:$AB$1,0)-1)),4)</f>
        <v>0</v>
      </c>
      <c r="Q895" s="446">
        <f ca="1">ROUND(IF(ISERROR(OFFSET(Ottone!$F$1,MATCH(H895,Ottone!$A:$A,0)-1,MATCH(I895,Ottone!$F$1:$FF$1,0)-1)=TRUE),0,OFFSET(Ottone!$F$1,MATCH(H895,Ottone!$A:$A,0)-1,MATCH(I895,Ottone!$F$1:$FF$1,0)-1))*IF(E895="Ottone",1,0),4)</f>
        <v>0</v>
      </c>
      <c r="R895" s="446">
        <f ca="1">ROUND(IF(ISERROR(OFFSET(Rame!$F$1,MATCH(H895,Rame!$F:$F,0)-1,MATCH(I895,Rame!$F$1:$FF$1,0)-1)=TRUE),0,OFFSET(Rame!$F$1,MATCH(H895,Rame!$F:$F,0)-1,MATCH(I895,Rame!$F$1:$FF$1,0)-1))*IF(E895="Rame",1,0),4)</f>
        <v>0</v>
      </c>
      <c r="S895" s="446">
        <f ca="1">ROUND(IF(ISERROR(OFFSET(Bronzo!$A$1,MATCH(H895,Bronzo!$A:$A,0)-1,MATCH(I895,Bronzo!$A$1:$AA$1,0)-1)=TRUE),0,OFFSET(Bronzo!$A$1,MATCH(H895,Bronzo!$A:$A,0)-1,MATCH(I895,Bronzo!$A$1:$AA$1,0)-1)),4)</f>
        <v>0</v>
      </c>
      <c r="T895" s="446">
        <f t="shared" ca="1" si="215"/>
        <v>0</v>
      </c>
      <c r="U895" s="443"/>
      <c r="V895" s="446">
        <v>0</v>
      </c>
      <c r="W895" s="449">
        <f t="shared" ca="1" si="216"/>
        <v>0</v>
      </c>
      <c r="X895" s="452">
        <f t="shared" si="214"/>
        <v>0</v>
      </c>
      <c r="Y895" s="440"/>
      <c r="Z895" s="440">
        <f t="shared" ca="1" si="217"/>
        <v>0</v>
      </c>
      <c r="AA895" s="241"/>
      <c r="AF895" s="225">
        <f t="shared" ca="1" si="115"/>
        <v>46156</v>
      </c>
      <c r="AG895" s="225" t="b">
        <f t="shared" si="122"/>
        <v>1</v>
      </c>
      <c r="AH895" s="242" t="str">
        <f t="shared" si="123"/>
        <v/>
      </c>
      <c r="AK895" s="223">
        <f t="shared" si="124"/>
        <v>0</v>
      </c>
      <c r="AL895" s="223">
        <f t="shared" si="125"/>
        <v>1900</v>
      </c>
      <c r="AS895" s="223">
        <f t="shared" si="218"/>
        <v>0</v>
      </c>
      <c r="AT895" s="223">
        <f t="shared" si="219"/>
        <v>0</v>
      </c>
    </row>
    <row r="896" spans="2:46" ht="15.75" x14ac:dyDescent="0.25">
      <c r="B896" s="229"/>
      <c r="C896" s="235"/>
      <c r="D896" s="243"/>
      <c r="E896" s="232"/>
      <c r="F896" s="435"/>
      <c r="G896" s="234"/>
      <c r="H896" s="235"/>
      <c r="I896" s="235"/>
      <c r="J896" s="440"/>
      <c r="K896" s="443">
        <f ca="1">ROUND(IF(ISERROR(OFFSET(Tabella!$A$1,MATCH(H896,Tabella!$A:$A,0)-1,MATCH(J896,Tabella!$A$1:$AC$1,0)-1)=TRUE),0,+OFFSET(Tabella!$A$1,MATCH(H896,Tabella!$A:$A,0)-1,MATCH(J896,Tabella!$A$1:$AC$1,0)-1)),4)</f>
        <v>0</v>
      </c>
      <c r="L896" s="446">
        <f ca="1">ROUND(IF(ISERROR(OFFSET(Ottone!$A$1,MATCH(H896,Ottone!$A:$A,0)-1,MATCH(J896,Ottone!$A$1:$Z$1,0)-1)=TRUE),0,OFFSET(Ottone!$A$1,MATCH(H896,Ottone!$A:$A,0)-1,MATCH(J896,Ottone!$A$1:$Z$1,0)-1))*IF(E896="Ottone",1,0),4)</f>
        <v>0</v>
      </c>
      <c r="M896" s="446">
        <f ca="1">ROUND(IF(ISERROR(OFFSET(Rame!$A$1,MATCH(H896,Rame!$A:$A,0)-1,MATCH(J896,Rame!$A$1:$AA$1,0)-1)=TRUE),0,OFFSET(Rame!$A$1,MATCH(H896,Rame!$A:$A,0)-1,MATCH(J896,Rame!$A$1:$AA$1,0)-1))*IF(E896="Rame",1,0),4)</f>
        <v>0</v>
      </c>
      <c r="N896" s="446">
        <v>0</v>
      </c>
      <c r="O896" s="446">
        <f t="shared" ca="1" si="220"/>
        <v>0</v>
      </c>
      <c r="P896" s="446">
        <f ca="1">ROUND(+IF(ISERROR(OFFSET(Tabella!$G$1,MATCH(H896,Tabella!$G:$G,0)-1,MATCH(I896,Tabella!$G$1:$FG$1,0)-1)=TRUE),0,OFFSET(Tabella!$G$1,MATCH(H896,Tabella!$G:$G,0)-1,MATCH(I896,Tabella!$G$1:$AB$1,0)-1)),4)</f>
        <v>0</v>
      </c>
      <c r="Q896" s="446">
        <f ca="1">ROUND(IF(ISERROR(OFFSET(Ottone!$F$1,MATCH(H896,Ottone!$A:$A,0)-1,MATCH(I896,Ottone!$F$1:$FF$1,0)-1)=TRUE),0,OFFSET(Ottone!$F$1,MATCH(H896,Ottone!$A:$A,0)-1,MATCH(I896,Ottone!$F$1:$FF$1,0)-1))*IF(E896="Ottone",1,0),4)</f>
        <v>0</v>
      </c>
      <c r="R896" s="446">
        <f ca="1">ROUND(IF(ISERROR(OFFSET(Rame!$F$1,MATCH(H896,Rame!$F:$F,0)-1,MATCH(I896,Rame!$F$1:$FF$1,0)-1)=TRUE),0,OFFSET(Rame!$F$1,MATCH(H896,Rame!$F:$F,0)-1,MATCH(I896,Rame!$F$1:$FF$1,0)-1))*IF(E896="Rame",1,0),4)</f>
        <v>0</v>
      </c>
      <c r="S896" s="446">
        <f ca="1">ROUND(IF(ISERROR(OFFSET(Bronzo!$A$1,MATCH(H896,Bronzo!$A:$A,0)-1,MATCH(I896,Bronzo!$A$1:$AA$1,0)-1)=TRUE),0,OFFSET(Bronzo!$A$1,MATCH(H896,Bronzo!$A:$A,0)-1,MATCH(I896,Bronzo!$A$1:$AA$1,0)-1)),4)</f>
        <v>0</v>
      </c>
      <c r="T896" s="446">
        <f t="shared" ca="1" si="215"/>
        <v>0</v>
      </c>
      <c r="U896" s="443"/>
      <c r="V896" s="446">
        <v>0</v>
      </c>
      <c r="W896" s="449">
        <f t="shared" ca="1" si="216"/>
        <v>0</v>
      </c>
      <c r="X896" s="452">
        <f t="shared" si="214"/>
        <v>0</v>
      </c>
      <c r="Y896" s="440"/>
      <c r="Z896" s="440">
        <f t="shared" ca="1" si="217"/>
        <v>0</v>
      </c>
      <c r="AA896" s="241"/>
      <c r="AF896" s="225">
        <f t="shared" ca="1" si="115"/>
        <v>46156</v>
      </c>
      <c r="AG896" s="225" t="b">
        <f t="shared" si="122"/>
        <v>1</v>
      </c>
      <c r="AH896" s="242" t="str">
        <f t="shared" si="123"/>
        <v/>
      </c>
      <c r="AK896" s="223">
        <f t="shared" si="124"/>
        <v>0</v>
      </c>
      <c r="AL896" s="223">
        <f t="shared" si="125"/>
        <v>1900</v>
      </c>
      <c r="AS896" s="223">
        <f t="shared" si="218"/>
        <v>0</v>
      </c>
      <c r="AT896" s="223">
        <f t="shared" si="219"/>
        <v>0</v>
      </c>
    </row>
    <row r="897" spans="2:46" ht="15.75" x14ac:dyDescent="0.25">
      <c r="B897" s="229"/>
      <c r="C897" s="235"/>
      <c r="D897" s="243"/>
      <c r="E897" s="232"/>
      <c r="F897" s="435"/>
      <c r="G897" s="234"/>
      <c r="H897" s="235"/>
      <c r="I897" s="235"/>
      <c r="J897" s="440"/>
      <c r="K897" s="443">
        <f ca="1">ROUND(IF(ISERROR(OFFSET(Tabella!$A$1,MATCH(H897,Tabella!$A:$A,0)-1,MATCH(J897,Tabella!$A$1:$AC$1,0)-1)=TRUE),0,+OFFSET(Tabella!$A$1,MATCH(H897,Tabella!$A:$A,0)-1,MATCH(J897,Tabella!$A$1:$AC$1,0)-1)),4)</f>
        <v>0</v>
      </c>
      <c r="L897" s="446">
        <f ca="1">ROUND(IF(ISERROR(OFFSET(Ottone!$A$1,MATCH(H897,Ottone!$A:$A,0)-1,MATCH(J897,Ottone!$A$1:$Z$1,0)-1)=TRUE),0,OFFSET(Ottone!$A$1,MATCH(H897,Ottone!$A:$A,0)-1,MATCH(J897,Ottone!$A$1:$Z$1,0)-1))*IF(E897="Ottone",1,0),4)</f>
        <v>0</v>
      </c>
      <c r="M897" s="446">
        <f ca="1">ROUND(IF(ISERROR(OFFSET(Rame!$A$1,MATCH(H897,Rame!$A:$A,0)-1,MATCH(J897,Rame!$A$1:$AA$1,0)-1)=TRUE),0,OFFSET(Rame!$A$1,MATCH(H897,Rame!$A:$A,0)-1,MATCH(J897,Rame!$A$1:$AA$1,0)-1))*IF(E897="Rame",1,0),4)</f>
        <v>0</v>
      </c>
      <c r="N897" s="446">
        <v>0</v>
      </c>
      <c r="O897" s="446">
        <f t="shared" ca="1" si="220"/>
        <v>0</v>
      </c>
      <c r="P897" s="446">
        <f ca="1">ROUND(+IF(ISERROR(OFFSET(Tabella!$G$1,MATCH(H897,Tabella!$G:$G,0)-1,MATCH(I897,Tabella!$G$1:$FG$1,0)-1)=TRUE),0,OFFSET(Tabella!$G$1,MATCH(H897,Tabella!$G:$G,0)-1,MATCH(I897,Tabella!$G$1:$AB$1,0)-1)),4)</f>
        <v>0</v>
      </c>
      <c r="Q897" s="446">
        <f ca="1">ROUND(IF(ISERROR(OFFSET(Ottone!$F$1,MATCH(H897,Ottone!$A:$A,0)-1,MATCH(I897,Ottone!$F$1:$FF$1,0)-1)=TRUE),0,OFFSET(Ottone!$F$1,MATCH(H897,Ottone!$A:$A,0)-1,MATCH(I897,Ottone!$F$1:$FF$1,0)-1))*IF(E897="Ottone",1,0),4)</f>
        <v>0</v>
      </c>
      <c r="R897" s="446">
        <f ca="1">ROUND(IF(ISERROR(OFFSET(Rame!$F$1,MATCH(H897,Rame!$F:$F,0)-1,MATCH(I897,Rame!$F$1:$FF$1,0)-1)=TRUE),0,OFFSET(Rame!$F$1,MATCH(H897,Rame!$F:$F,0)-1,MATCH(I897,Rame!$F$1:$FF$1,0)-1))*IF(E897="Rame",1,0),4)</f>
        <v>0</v>
      </c>
      <c r="S897" s="446">
        <f ca="1">ROUND(IF(ISERROR(OFFSET(Bronzo!$A$1,MATCH(H897,Bronzo!$A:$A,0)-1,MATCH(I897,Bronzo!$A$1:$AA$1,0)-1)=TRUE),0,OFFSET(Bronzo!$A$1,MATCH(H897,Bronzo!$A:$A,0)-1,MATCH(I897,Bronzo!$A$1:$AA$1,0)-1)),4)</f>
        <v>0</v>
      </c>
      <c r="T897" s="446">
        <f t="shared" ca="1" si="215"/>
        <v>0</v>
      </c>
      <c r="U897" s="443"/>
      <c r="V897" s="446">
        <v>0</v>
      </c>
      <c r="W897" s="449">
        <f t="shared" ca="1" si="216"/>
        <v>0</v>
      </c>
      <c r="X897" s="452">
        <f t="shared" si="214"/>
        <v>0</v>
      </c>
      <c r="Y897" s="440"/>
      <c r="Z897" s="440">
        <f t="shared" ca="1" si="217"/>
        <v>0</v>
      </c>
      <c r="AA897" s="241"/>
      <c r="AF897" s="225">
        <f t="shared" ref="AF897:AF960" ca="1" si="221">TODAY()</f>
        <v>46156</v>
      </c>
      <c r="AG897" s="225" t="b">
        <f t="shared" si="122"/>
        <v>1</v>
      </c>
      <c r="AH897" s="242" t="str">
        <f t="shared" si="123"/>
        <v/>
      </c>
      <c r="AK897" s="223">
        <f t="shared" si="124"/>
        <v>0</v>
      </c>
      <c r="AL897" s="223">
        <f t="shared" si="125"/>
        <v>1900</v>
      </c>
      <c r="AS897" s="223">
        <f t="shared" si="218"/>
        <v>0</v>
      </c>
      <c r="AT897" s="223">
        <f t="shared" si="219"/>
        <v>0</v>
      </c>
    </row>
    <row r="898" spans="2:46" ht="15.75" x14ac:dyDescent="0.25">
      <c r="B898" s="229"/>
      <c r="C898" s="235"/>
      <c r="D898" s="243"/>
      <c r="E898" s="232"/>
      <c r="F898" s="435"/>
      <c r="G898" s="234"/>
      <c r="H898" s="235"/>
      <c r="I898" s="235"/>
      <c r="J898" s="440"/>
      <c r="K898" s="443">
        <f ca="1">ROUND(IF(ISERROR(OFFSET(Tabella!$A$1,MATCH(H898,Tabella!$A:$A,0)-1,MATCH(J898,Tabella!$A$1:$AC$1,0)-1)=TRUE),0,+OFFSET(Tabella!$A$1,MATCH(H898,Tabella!$A:$A,0)-1,MATCH(J898,Tabella!$A$1:$AC$1,0)-1)),4)</f>
        <v>0</v>
      </c>
      <c r="L898" s="446">
        <f ca="1">ROUND(IF(ISERROR(OFFSET(Ottone!$A$1,MATCH(H898,Ottone!$A:$A,0)-1,MATCH(J898,Ottone!$A$1:$Z$1,0)-1)=TRUE),0,OFFSET(Ottone!$A$1,MATCH(H898,Ottone!$A:$A,0)-1,MATCH(J898,Ottone!$A$1:$Z$1,0)-1))*IF(E898="Ottone",1,0),4)</f>
        <v>0</v>
      </c>
      <c r="M898" s="446">
        <f ca="1">ROUND(IF(ISERROR(OFFSET(Rame!$A$1,MATCH(H898,Rame!$A:$A,0)-1,MATCH(J898,Rame!$A$1:$AA$1,0)-1)=TRUE),0,OFFSET(Rame!$A$1,MATCH(H898,Rame!$A:$A,0)-1,MATCH(J898,Rame!$A$1:$AA$1,0)-1))*IF(E898="Rame",1,0),4)</f>
        <v>0</v>
      </c>
      <c r="N898" s="446">
        <v>0</v>
      </c>
      <c r="O898" s="446">
        <f t="shared" ca="1" si="220"/>
        <v>0</v>
      </c>
      <c r="P898" s="446">
        <f ca="1">ROUND(+IF(ISERROR(OFFSET(Tabella!$G$1,MATCH(H898,Tabella!$G:$G,0)-1,MATCH(I898,Tabella!$G$1:$FG$1,0)-1)=TRUE),0,OFFSET(Tabella!$G$1,MATCH(H898,Tabella!$G:$G,0)-1,MATCH(I898,Tabella!$G$1:$AB$1,0)-1)),4)</f>
        <v>0</v>
      </c>
      <c r="Q898" s="446">
        <f ca="1">ROUND(IF(ISERROR(OFFSET(Ottone!$F$1,MATCH(H898,Ottone!$A:$A,0)-1,MATCH(I898,Ottone!$F$1:$FF$1,0)-1)=TRUE),0,OFFSET(Ottone!$F$1,MATCH(H898,Ottone!$A:$A,0)-1,MATCH(I898,Ottone!$F$1:$FF$1,0)-1))*IF(E898="Ottone",1,0),4)</f>
        <v>0</v>
      </c>
      <c r="R898" s="446">
        <f ca="1">ROUND(IF(ISERROR(OFFSET(Rame!$F$1,MATCH(H898,Rame!$F:$F,0)-1,MATCH(I898,Rame!$F$1:$FF$1,0)-1)=TRUE),0,OFFSET(Rame!$F$1,MATCH(H898,Rame!$F:$F,0)-1,MATCH(I898,Rame!$F$1:$FF$1,0)-1))*IF(E898="Rame",1,0),4)</f>
        <v>0</v>
      </c>
      <c r="S898" s="446">
        <f ca="1">ROUND(IF(ISERROR(OFFSET(Bronzo!$A$1,MATCH(H898,Bronzo!$A:$A,0)-1,MATCH(I898,Bronzo!$A$1:$AA$1,0)-1)=TRUE),0,OFFSET(Bronzo!$A$1,MATCH(H898,Bronzo!$A:$A,0)-1,MATCH(I898,Bronzo!$A$1:$AA$1,0)-1)),4)</f>
        <v>0</v>
      </c>
      <c r="T898" s="446">
        <f t="shared" ca="1" si="215"/>
        <v>0</v>
      </c>
      <c r="U898" s="443"/>
      <c r="V898" s="446">
        <v>0</v>
      </c>
      <c r="W898" s="449">
        <f t="shared" ca="1" si="216"/>
        <v>0</v>
      </c>
      <c r="X898" s="452">
        <f t="shared" si="214"/>
        <v>0</v>
      </c>
      <c r="Y898" s="440"/>
      <c r="Z898" s="440">
        <f t="shared" ca="1" si="217"/>
        <v>0</v>
      </c>
      <c r="AA898" s="241"/>
      <c r="AF898" s="225">
        <f t="shared" ca="1" si="221"/>
        <v>46156</v>
      </c>
      <c r="AG898" s="225" t="b">
        <f t="shared" si="122"/>
        <v>1</v>
      </c>
      <c r="AH898" s="242" t="str">
        <f t="shared" si="123"/>
        <v/>
      </c>
      <c r="AK898" s="223">
        <f t="shared" si="124"/>
        <v>0</v>
      </c>
      <c r="AL898" s="223">
        <f t="shared" si="125"/>
        <v>1900</v>
      </c>
      <c r="AS898" s="223">
        <f t="shared" si="218"/>
        <v>0</v>
      </c>
      <c r="AT898" s="223">
        <f t="shared" si="219"/>
        <v>0</v>
      </c>
    </row>
    <row r="899" spans="2:46" ht="15.75" x14ac:dyDescent="0.25">
      <c r="B899" s="229"/>
      <c r="C899" s="235"/>
      <c r="D899" s="243"/>
      <c r="E899" s="232"/>
      <c r="F899" s="435"/>
      <c r="G899" s="234"/>
      <c r="H899" s="235"/>
      <c r="I899" s="235"/>
      <c r="J899" s="440"/>
      <c r="K899" s="443">
        <f ca="1">ROUND(IF(ISERROR(OFFSET(Tabella!$A$1,MATCH(H899,Tabella!$A:$A,0)-1,MATCH(J899,Tabella!$A$1:$AC$1,0)-1)=TRUE),0,+OFFSET(Tabella!$A$1,MATCH(H899,Tabella!$A:$A,0)-1,MATCH(J899,Tabella!$A$1:$AC$1,0)-1)),4)</f>
        <v>0</v>
      </c>
      <c r="L899" s="446">
        <f ca="1">ROUND(IF(ISERROR(OFFSET(Ottone!$A$1,MATCH(H899,Ottone!$A:$A,0)-1,MATCH(J899,Ottone!$A$1:$Z$1,0)-1)=TRUE),0,OFFSET(Ottone!$A$1,MATCH(H899,Ottone!$A:$A,0)-1,MATCH(J899,Ottone!$A$1:$Z$1,0)-1))*IF(E899="Ottone",1,0),4)</f>
        <v>0</v>
      </c>
      <c r="M899" s="446">
        <f ca="1">ROUND(IF(ISERROR(OFFSET(Rame!$A$1,MATCH(H899,Rame!$A:$A,0)-1,MATCH(J899,Rame!$A$1:$AA$1,0)-1)=TRUE),0,OFFSET(Rame!$A$1,MATCH(H899,Rame!$A:$A,0)-1,MATCH(J899,Rame!$A$1:$AA$1,0)-1))*IF(E899="Rame",1,0),4)</f>
        <v>0</v>
      </c>
      <c r="N899" s="446">
        <v>0</v>
      </c>
      <c r="O899" s="446">
        <f t="shared" ca="1" si="220"/>
        <v>0</v>
      </c>
      <c r="P899" s="446">
        <f ca="1">ROUND(+IF(ISERROR(OFFSET(Tabella!$G$1,MATCH(H899,Tabella!$G:$G,0)-1,MATCH(I899,Tabella!$G$1:$FG$1,0)-1)=TRUE),0,OFFSET(Tabella!$G$1,MATCH(H899,Tabella!$G:$G,0)-1,MATCH(I899,Tabella!$G$1:$AB$1,0)-1)),4)</f>
        <v>0</v>
      </c>
      <c r="Q899" s="446">
        <f ca="1">ROUND(IF(ISERROR(OFFSET(Ottone!$F$1,MATCH(H899,Ottone!$A:$A,0)-1,MATCH(I899,Ottone!$F$1:$FF$1,0)-1)=TRUE),0,OFFSET(Ottone!$F$1,MATCH(H899,Ottone!$A:$A,0)-1,MATCH(I899,Ottone!$F$1:$FF$1,0)-1))*IF(E899="Ottone",1,0),4)</f>
        <v>0</v>
      </c>
      <c r="R899" s="446">
        <f ca="1">ROUND(IF(ISERROR(OFFSET(Rame!$F$1,MATCH(H899,Rame!$F:$F,0)-1,MATCH(I899,Rame!$F$1:$FF$1,0)-1)=TRUE),0,OFFSET(Rame!$F$1,MATCH(H899,Rame!$F:$F,0)-1,MATCH(I899,Rame!$F$1:$FF$1,0)-1))*IF(E899="Rame",1,0),4)</f>
        <v>0</v>
      </c>
      <c r="S899" s="446">
        <f ca="1">ROUND(IF(ISERROR(OFFSET(Bronzo!$A$1,MATCH(H899,Bronzo!$A:$A,0)-1,MATCH(I899,Bronzo!$A$1:$AA$1,0)-1)=TRUE),0,OFFSET(Bronzo!$A$1,MATCH(H899,Bronzo!$A:$A,0)-1,MATCH(I899,Bronzo!$A$1:$AA$1,0)-1)),4)</f>
        <v>0</v>
      </c>
      <c r="T899" s="446">
        <f t="shared" ca="1" si="215"/>
        <v>0</v>
      </c>
      <c r="U899" s="443"/>
      <c r="V899" s="446">
        <v>0</v>
      </c>
      <c r="W899" s="449">
        <f t="shared" ca="1" si="216"/>
        <v>0</v>
      </c>
      <c r="X899" s="452">
        <f t="shared" si="214"/>
        <v>0</v>
      </c>
      <c r="Y899" s="440"/>
      <c r="Z899" s="440">
        <f t="shared" ca="1" si="217"/>
        <v>0</v>
      </c>
      <c r="AA899" s="241"/>
      <c r="AF899" s="225">
        <f t="shared" ca="1" si="221"/>
        <v>46156</v>
      </c>
      <c r="AG899" s="225" t="b">
        <f t="shared" si="122"/>
        <v>1</v>
      </c>
      <c r="AH899" s="242" t="str">
        <f t="shared" si="123"/>
        <v/>
      </c>
      <c r="AK899" s="223">
        <f t="shared" si="124"/>
        <v>0</v>
      </c>
      <c r="AL899" s="223">
        <f t="shared" si="125"/>
        <v>1900</v>
      </c>
      <c r="AS899" s="223">
        <f t="shared" si="218"/>
        <v>0</v>
      </c>
      <c r="AT899" s="223">
        <f t="shared" si="219"/>
        <v>0</v>
      </c>
    </row>
    <row r="900" spans="2:46" ht="15.75" x14ac:dyDescent="0.25">
      <c r="B900" s="229"/>
      <c r="C900" s="235"/>
      <c r="D900" s="243"/>
      <c r="E900" s="232"/>
      <c r="F900" s="435"/>
      <c r="G900" s="234"/>
      <c r="H900" s="235"/>
      <c r="I900" s="235"/>
      <c r="J900" s="440"/>
      <c r="K900" s="443">
        <f ca="1">ROUND(IF(ISERROR(OFFSET(Tabella!$A$1,MATCH(H900,Tabella!$A:$A,0)-1,MATCH(J900,Tabella!$A$1:$AC$1,0)-1)=TRUE),0,+OFFSET(Tabella!$A$1,MATCH(H900,Tabella!$A:$A,0)-1,MATCH(J900,Tabella!$A$1:$AC$1,0)-1)),4)</f>
        <v>0</v>
      </c>
      <c r="L900" s="446">
        <f ca="1">ROUND(IF(ISERROR(OFFSET(Ottone!$A$1,MATCH(H900,Ottone!$A:$A,0)-1,MATCH(J900,Ottone!$A$1:$Z$1,0)-1)=TRUE),0,OFFSET(Ottone!$A$1,MATCH(H900,Ottone!$A:$A,0)-1,MATCH(J900,Ottone!$A$1:$Z$1,0)-1))*IF(E900="Ottone",1,0),4)</f>
        <v>0</v>
      </c>
      <c r="M900" s="446">
        <f ca="1">ROUND(IF(ISERROR(OFFSET(Rame!$A$1,MATCH(H900,Rame!$A:$A,0)-1,MATCH(J900,Rame!$A$1:$AA$1,0)-1)=TRUE),0,OFFSET(Rame!$A$1,MATCH(H900,Rame!$A:$A,0)-1,MATCH(J900,Rame!$A$1:$AA$1,0)-1))*IF(E900="Rame",1,0),4)</f>
        <v>0</v>
      </c>
      <c r="N900" s="446">
        <v>0</v>
      </c>
      <c r="O900" s="446">
        <f t="shared" ca="1" si="220"/>
        <v>0</v>
      </c>
      <c r="P900" s="446">
        <f ca="1">ROUND(+IF(ISERROR(OFFSET(Tabella!$G$1,MATCH(H900,Tabella!$G:$G,0)-1,MATCH(I900,Tabella!$G$1:$FG$1,0)-1)=TRUE),0,OFFSET(Tabella!$G$1,MATCH(H900,Tabella!$G:$G,0)-1,MATCH(I900,Tabella!$G$1:$AB$1,0)-1)),4)</f>
        <v>0</v>
      </c>
      <c r="Q900" s="446">
        <f ca="1">ROUND(IF(ISERROR(OFFSET(Ottone!$F$1,MATCH(H900,Ottone!$A:$A,0)-1,MATCH(I900,Ottone!$F$1:$FF$1,0)-1)=TRUE),0,OFFSET(Ottone!$F$1,MATCH(H900,Ottone!$A:$A,0)-1,MATCH(I900,Ottone!$F$1:$FF$1,0)-1))*IF(E900="Ottone",1,0),4)</f>
        <v>0</v>
      </c>
      <c r="R900" s="446">
        <f ca="1">ROUND(IF(ISERROR(OFFSET(Rame!$F$1,MATCH(H900,Rame!$F:$F,0)-1,MATCH(I900,Rame!$F$1:$FF$1,0)-1)=TRUE),0,OFFSET(Rame!$F$1,MATCH(H900,Rame!$F:$F,0)-1,MATCH(I900,Rame!$F$1:$FF$1,0)-1))*IF(E900="Rame",1,0),4)</f>
        <v>0</v>
      </c>
      <c r="S900" s="446">
        <f ca="1">ROUND(IF(ISERROR(OFFSET(Bronzo!$A$1,MATCH(H900,Bronzo!$A:$A,0)-1,MATCH(I900,Bronzo!$A$1:$AA$1,0)-1)=TRUE),0,OFFSET(Bronzo!$A$1,MATCH(H900,Bronzo!$A:$A,0)-1,MATCH(I900,Bronzo!$A$1:$AA$1,0)-1)),4)</f>
        <v>0</v>
      </c>
      <c r="T900" s="446">
        <f t="shared" ca="1" si="215"/>
        <v>0</v>
      </c>
      <c r="U900" s="443"/>
      <c r="V900" s="446">
        <v>0</v>
      </c>
      <c r="W900" s="449">
        <f t="shared" ca="1" si="216"/>
        <v>0</v>
      </c>
      <c r="X900" s="452">
        <f t="shared" si="214"/>
        <v>0</v>
      </c>
      <c r="Y900" s="440"/>
      <c r="Z900" s="440">
        <f t="shared" ca="1" si="217"/>
        <v>0</v>
      </c>
      <c r="AA900" s="241"/>
      <c r="AF900" s="225">
        <f t="shared" ca="1" si="221"/>
        <v>46156</v>
      </c>
      <c r="AG900" s="225" t="b">
        <f t="shared" si="122"/>
        <v>1</v>
      </c>
      <c r="AH900" s="242" t="str">
        <f t="shared" si="123"/>
        <v/>
      </c>
      <c r="AK900" s="223">
        <f t="shared" si="124"/>
        <v>0</v>
      </c>
      <c r="AL900" s="223">
        <f t="shared" si="125"/>
        <v>1900</v>
      </c>
      <c r="AS900" s="223">
        <f t="shared" si="218"/>
        <v>0</v>
      </c>
      <c r="AT900" s="223">
        <f t="shared" si="219"/>
        <v>0</v>
      </c>
    </row>
    <row r="901" spans="2:46" ht="15.75" x14ac:dyDescent="0.25">
      <c r="B901" s="229"/>
      <c r="C901" s="235"/>
      <c r="D901" s="243"/>
      <c r="E901" s="232"/>
      <c r="F901" s="435"/>
      <c r="G901" s="234"/>
      <c r="H901" s="235"/>
      <c r="I901" s="235"/>
      <c r="J901" s="440"/>
      <c r="K901" s="443">
        <f ca="1">ROUND(IF(ISERROR(OFFSET(Tabella!$A$1,MATCH(H901,Tabella!$A:$A,0)-1,MATCH(J901,Tabella!$A$1:$AC$1,0)-1)=TRUE),0,+OFFSET(Tabella!$A$1,MATCH(H901,Tabella!$A:$A,0)-1,MATCH(J901,Tabella!$A$1:$AC$1,0)-1)),4)</f>
        <v>0</v>
      </c>
      <c r="L901" s="446">
        <f ca="1">ROUND(IF(ISERROR(OFFSET(Ottone!$A$1,MATCH(H901,Ottone!$A:$A,0)-1,MATCH(J901,Ottone!$A$1:$Z$1,0)-1)=TRUE),0,OFFSET(Ottone!$A$1,MATCH(H901,Ottone!$A:$A,0)-1,MATCH(J901,Ottone!$A$1:$Z$1,0)-1))*IF(E901="Ottone",1,0),4)</f>
        <v>0</v>
      </c>
      <c r="M901" s="446">
        <f ca="1">ROUND(IF(ISERROR(OFFSET(Rame!$A$1,MATCH(H901,Rame!$A:$A,0)-1,MATCH(J901,Rame!$A$1:$AA$1,0)-1)=TRUE),0,OFFSET(Rame!$A$1,MATCH(H901,Rame!$A:$A,0)-1,MATCH(J901,Rame!$A$1:$AA$1,0)-1))*IF(E901="Rame",1,0),4)</f>
        <v>0</v>
      </c>
      <c r="N901" s="446">
        <v>0</v>
      </c>
      <c r="O901" s="446">
        <f t="shared" ca="1" si="220"/>
        <v>0</v>
      </c>
      <c r="P901" s="446">
        <f ca="1">ROUND(+IF(ISERROR(OFFSET(Tabella!$G$1,MATCH(H901,Tabella!$G:$G,0)-1,MATCH(I901,Tabella!$G$1:$FG$1,0)-1)=TRUE),0,OFFSET(Tabella!$G$1,MATCH(H901,Tabella!$G:$G,0)-1,MATCH(I901,Tabella!$G$1:$AB$1,0)-1)),4)</f>
        <v>0</v>
      </c>
      <c r="Q901" s="446">
        <f ca="1">ROUND(IF(ISERROR(OFFSET(Ottone!$F$1,MATCH(H901,Ottone!$A:$A,0)-1,MATCH(I901,Ottone!$F$1:$FF$1,0)-1)=TRUE),0,OFFSET(Ottone!$F$1,MATCH(H901,Ottone!$A:$A,0)-1,MATCH(I901,Ottone!$F$1:$FF$1,0)-1))*IF(E901="Ottone",1,0),4)</f>
        <v>0</v>
      </c>
      <c r="R901" s="446">
        <f ca="1">ROUND(IF(ISERROR(OFFSET(Rame!$F$1,MATCH(H901,Rame!$F:$F,0)-1,MATCH(I901,Rame!$F$1:$FF$1,0)-1)=TRUE),0,OFFSET(Rame!$F$1,MATCH(H901,Rame!$F:$F,0)-1,MATCH(I901,Rame!$F$1:$FF$1,0)-1))*IF(E901="Rame",1,0),4)</f>
        <v>0</v>
      </c>
      <c r="S901" s="446">
        <f ca="1">ROUND(IF(ISERROR(OFFSET(Bronzo!$A$1,MATCH(H901,Bronzo!$A:$A,0)-1,MATCH(I901,Bronzo!$A$1:$AA$1,0)-1)=TRUE),0,OFFSET(Bronzo!$A$1,MATCH(H901,Bronzo!$A:$A,0)-1,MATCH(I901,Bronzo!$A$1:$AA$1,0)-1)),4)</f>
        <v>0</v>
      </c>
      <c r="T901" s="446">
        <f t="shared" ca="1" si="215"/>
        <v>0</v>
      </c>
      <c r="U901" s="443"/>
      <c r="V901" s="446">
        <v>0</v>
      </c>
      <c r="W901" s="449">
        <f t="shared" ca="1" si="216"/>
        <v>0</v>
      </c>
      <c r="X901" s="452">
        <f t="shared" si="214"/>
        <v>0</v>
      </c>
      <c r="Y901" s="440"/>
      <c r="Z901" s="440">
        <f t="shared" ca="1" si="217"/>
        <v>0</v>
      </c>
      <c r="AA901" s="241"/>
      <c r="AF901" s="225">
        <f t="shared" ca="1" si="221"/>
        <v>46156</v>
      </c>
      <c r="AG901" s="225" t="b">
        <f t="shared" si="122"/>
        <v>1</v>
      </c>
      <c r="AH901" s="242" t="str">
        <f t="shared" si="123"/>
        <v/>
      </c>
      <c r="AK901" s="223">
        <f t="shared" si="124"/>
        <v>0</v>
      </c>
      <c r="AL901" s="223">
        <f t="shared" si="125"/>
        <v>1900</v>
      </c>
      <c r="AS901" s="223">
        <f t="shared" si="218"/>
        <v>0</v>
      </c>
      <c r="AT901" s="223">
        <f t="shared" si="219"/>
        <v>0</v>
      </c>
    </row>
    <row r="902" spans="2:46" ht="15.75" x14ac:dyDescent="0.25">
      <c r="B902" s="229"/>
      <c r="C902" s="235"/>
      <c r="D902" s="243"/>
      <c r="E902" s="232"/>
      <c r="F902" s="435"/>
      <c r="G902" s="234"/>
      <c r="H902" s="235"/>
      <c r="I902" s="235"/>
      <c r="J902" s="440"/>
      <c r="K902" s="443">
        <f ca="1">ROUND(IF(ISERROR(OFFSET(Tabella!$A$1,MATCH(H902,Tabella!$A:$A,0)-1,MATCH(J902,Tabella!$A$1:$AC$1,0)-1)=TRUE),0,+OFFSET(Tabella!$A$1,MATCH(H902,Tabella!$A:$A,0)-1,MATCH(J902,Tabella!$A$1:$AC$1,0)-1)),4)</f>
        <v>0</v>
      </c>
      <c r="L902" s="446">
        <f ca="1">ROUND(IF(ISERROR(OFFSET(Ottone!$A$1,MATCH(H902,Ottone!$A:$A,0)-1,MATCH(J902,Ottone!$A$1:$Z$1,0)-1)=TRUE),0,OFFSET(Ottone!$A$1,MATCH(H902,Ottone!$A:$A,0)-1,MATCH(J902,Ottone!$A$1:$Z$1,0)-1))*IF(E902="Ottone",1,0),4)</f>
        <v>0</v>
      </c>
      <c r="M902" s="446">
        <f ca="1">ROUND(IF(ISERROR(OFFSET(Rame!$A$1,MATCH(H902,Rame!$A:$A,0)-1,MATCH(J902,Rame!$A$1:$AA$1,0)-1)=TRUE),0,OFFSET(Rame!$A$1,MATCH(H902,Rame!$A:$A,0)-1,MATCH(J902,Rame!$A$1:$AA$1,0)-1))*IF(E902="Rame",1,0),4)</f>
        <v>0</v>
      </c>
      <c r="N902" s="446">
        <v>0</v>
      </c>
      <c r="O902" s="446">
        <f t="shared" ca="1" si="220"/>
        <v>0</v>
      </c>
      <c r="P902" s="446">
        <f ca="1">ROUND(+IF(ISERROR(OFFSET(Tabella!$G$1,MATCH(H902,Tabella!$G:$G,0)-1,MATCH(I902,Tabella!$G$1:$FG$1,0)-1)=TRUE),0,OFFSET(Tabella!$G$1,MATCH(H902,Tabella!$G:$G,0)-1,MATCH(I902,Tabella!$G$1:$AB$1,0)-1)),4)</f>
        <v>0</v>
      </c>
      <c r="Q902" s="446">
        <f ca="1">ROUND(IF(ISERROR(OFFSET(Ottone!$F$1,MATCH(H902,Ottone!$A:$A,0)-1,MATCH(I902,Ottone!$F$1:$FF$1,0)-1)=TRUE),0,OFFSET(Ottone!$F$1,MATCH(H902,Ottone!$A:$A,0)-1,MATCH(I902,Ottone!$F$1:$FF$1,0)-1))*IF(E902="Ottone",1,0),4)</f>
        <v>0</v>
      </c>
      <c r="R902" s="446">
        <f ca="1">ROUND(IF(ISERROR(OFFSET(Rame!$F$1,MATCH(H902,Rame!$F:$F,0)-1,MATCH(I902,Rame!$F$1:$FF$1,0)-1)=TRUE),0,OFFSET(Rame!$F$1,MATCH(H902,Rame!$F:$F,0)-1,MATCH(I902,Rame!$F$1:$FF$1,0)-1))*IF(E902="Rame",1,0),4)</f>
        <v>0</v>
      </c>
      <c r="S902" s="446">
        <f ca="1">ROUND(IF(ISERROR(OFFSET(Bronzo!$A$1,MATCH(H902,Bronzo!$A:$A,0)-1,MATCH(I902,Bronzo!$A$1:$AA$1,0)-1)=TRUE),0,OFFSET(Bronzo!$A$1,MATCH(H902,Bronzo!$A:$A,0)-1,MATCH(I902,Bronzo!$A$1:$AA$1,0)-1)),4)</f>
        <v>0</v>
      </c>
      <c r="T902" s="446">
        <f t="shared" ca="1" si="215"/>
        <v>0</v>
      </c>
      <c r="U902" s="443"/>
      <c r="V902" s="446">
        <v>0</v>
      </c>
      <c r="W902" s="449">
        <f t="shared" ca="1" si="216"/>
        <v>0</v>
      </c>
      <c r="X902" s="452">
        <f t="shared" si="214"/>
        <v>0</v>
      </c>
      <c r="Y902" s="440"/>
      <c r="Z902" s="440">
        <f t="shared" ca="1" si="217"/>
        <v>0</v>
      </c>
      <c r="AA902" s="241"/>
      <c r="AF902" s="225">
        <f t="shared" ca="1" si="221"/>
        <v>46156</v>
      </c>
      <c r="AG902" s="225" t="b">
        <f t="shared" si="122"/>
        <v>1</v>
      </c>
      <c r="AH902" s="242" t="str">
        <f t="shared" si="123"/>
        <v/>
      </c>
      <c r="AK902" s="223">
        <f t="shared" si="124"/>
        <v>0</v>
      </c>
      <c r="AL902" s="223">
        <f t="shared" si="125"/>
        <v>1900</v>
      </c>
      <c r="AS902" s="223">
        <f t="shared" si="218"/>
        <v>0</v>
      </c>
      <c r="AT902" s="223">
        <f t="shared" si="219"/>
        <v>0</v>
      </c>
    </row>
    <row r="903" spans="2:46" ht="15.75" x14ac:dyDescent="0.25">
      <c r="B903" s="229"/>
      <c r="C903" s="235"/>
      <c r="D903" s="243"/>
      <c r="E903" s="232"/>
      <c r="F903" s="435"/>
      <c r="G903" s="234"/>
      <c r="H903" s="235"/>
      <c r="I903" s="235"/>
      <c r="J903" s="440"/>
      <c r="K903" s="443">
        <f ca="1">ROUND(IF(ISERROR(OFFSET(Tabella!$A$1,MATCH(H903,Tabella!$A:$A,0)-1,MATCH(J903,Tabella!$A$1:$AC$1,0)-1)=TRUE),0,+OFFSET(Tabella!$A$1,MATCH(H903,Tabella!$A:$A,0)-1,MATCH(J903,Tabella!$A$1:$AC$1,0)-1)),4)</f>
        <v>0</v>
      </c>
      <c r="L903" s="446">
        <f ca="1">ROUND(IF(ISERROR(OFFSET(Ottone!$A$1,MATCH(H903,Ottone!$A:$A,0)-1,MATCH(J903,Ottone!$A$1:$Z$1,0)-1)=TRUE),0,OFFSET(Ottone!$A$1,MATCH(H903,Ottone!$A:$A,0)-1,MATCH(J903,Ottone!$A$1:$Z$1,0)-1))*IF(E903="Ottone",1,0),4)</f>
        <v>0</v>
      </c>
      <c r="M903" s="446">
        <f ca="1">ROUND(IF(ISERROR(OFFSET(Rame!$A$1,MATCH(H903,Rame!$A:$A,0)-1,MATCH(J903,Rame!$A$1:$AA$1,0)-1)=TRUE),0,OFFSET(Rame!$A$1,MATCH(H903,Rame!$A:$A,0)-1,MATCH(J903,Rame!$A$1:$AA$1,0)-1))*IF(E903="Rame",1,0),4)</f>
        <v>0</v>
      </c>
      <c r="N903" s="446">
        <v>0</v>
      </c>
      <c r="O903" s="446">
        <f t="shared" ca="1" si="220"/>
        <v>0</v>
      </c>
      <c r="P903" s="446">
        <f ca="1">ROUND(+IF(ISERROR(OFFSET(Tabella!$G$1,MATCH(H903,Tabella!$G:$G,0)-1,MATCH(I903,Tabella!$G$1:$FG$1,0)-1)=TRUE),0,OFFSET(Tabella!$G$1,MATCH(H903,Tabella!$G:$G,0)-1,MATCH(I903,Tabella!$G$1:$AB$1,0)-1)),4)</f>
        <v>0</v>
      </c>
      <c r="Q903" s="446">
        <f ca="1">ROUND(IF(ISERROR(OFFSET(Ottone!$F$1,MATCH(H903,Ottone!$A:$A,0)-1,MATCH(I903,Ottone!$F$1:$FF$1,0)-1)=TRUE),0,OFFSET(Ottone!$F$1,MATCH(H903,Ottone!$A:$A,0)-1,MATCH(I903,Ottone!$F$1:$FF$1,0)-1))*IF(E903="Ottone",1,0),4)</f>
        <v>0</v>
      </c>
      <c r="R903" s="446">
        <f ca="1">ROUND(IF(ISERROR(OFFSET(Rame!$F$1,MATCH(H903,Rame!$F:$F,0)-1,MATCH(I903,Rame!$F$1:$FF$1,0)-1)=TRUE),0,OFFSET(Rame!$F$1,MATCH(H903,Rame!$F:$F,0)-1,MATCH(I903,Rame!$F$1:$FF$1,0)-1))*IF(E903="Rame",1,0),4)</f>
        <v>0</v>
      </c>
      <c r="S903" s="446">
        <f ca="1">ROUND(IF(ISERROR(OFFSET(Bronzo!$A$1,MATCH(H903,Bronzo!$A:$A,0)-1,MATCH(I903,Bronzo!$A$1:$AA$1,0)-1)=TRUE),0,OFFSET(Bronzo!$A$1,MATCH(H903,Bronzo!$A:$A,0)-1,MATCH(I903,Bronzo!$A$1:$AA$1,0)-1)),4)</f>
        <v>0</v>
      </c>
      <c r="T903" s="446">
        <f t="shared" ca="1" si="215"/>
        <v>0</v>
      </c>
      <c r="U903" s="443"/>
      <c r="V903" s="446">
        <v>0</v>
      </c>
      <c r="W903" s="449">
        <f t="shared" ca="1" si="216"/>
        <v>0</v>
      </c>
      <c r="X903" s="452">
        <f t="shared" si="214"/>
        <v>0</v>
      </c>
      <c r="Y903" s="440"/>
      <c r="Z903" s="440">
        <f t="shared" ca="1" si="217"/>
        <v>0</v>
      </c>
      <c r="AA903" s="241"/>
      <c r="AF903" s="225">
        <f t="shared" ca="1" si="221"/>
        <v>46156</v>
      </c>
      <c r="AG903" s="225" t="b">
        <f t="shared" si="122"/>
        <v>1</v>
      </c>
      <c r="AH903" s="242" t="str">
        <f t="shared" si="123"/>
        <v/>
      </c>
      <c r="AK903" s="223">
        <f t="shared" si="124"/>
        <v>0</v>
      </c>
      <c r="AL903" s="223">
        <f t="shared" si="125"/>
        <v>1900</v>
      </c>
      <c r="AS903" s="223">
        <f t="shared" si="218"/>
        <v>0</v>
      </c>
      <c r="AT903" s="223">
        <f t="shared" si="219"/>
        <v>0</v>
      </c>
    </row>
    <row r="904" spans="2:46" ht="15.75" x14ac:dyDescent="0.25">
      <c r="B904" s="229"/>
      <c r="C904" s="235"/>
      <c r="D904" s="243"/>
      <c r="E904" s="232"/>
      <c r="F904" s="435"/>
      <c r="G904" s="234"/>
      <c r="H904" s="235"/>
      <c r="I904" s="235"/>
      <c r="J904" s="440"/>
      <c r="K904" s="443">
        <f ca="1">ROUND(IF(ISERROR(OFFSET(Tabella!$A$1,MATCH(H904,Tabella!$A:$A,0)-1,MATCH(J904,Tabella!$A$1:$AC$1,0)-1)=TRUE),0,+OFFSET(Tabella!$A$1,MATCH(H904,Tabella!$A:$A,0)-1,MATCH(J904,Tabella!$A$1:$AC$1,0)-1)),4)</f>
        <v>0</v>
      </c>
      <c r="L904" s="446">
        <f ca="1">ROUND(IF(ISERROR(OFFSET(Ottone!$A$1,MATCH(H904,Ottone!$A:$A,0)-1,MATCH(J904,Ottone!$A$1:$Z$1,0)-1)=TRUE),0,OFFSET(Ottone!$A$1,MATCH(H904,Ottone!$A:$A,0)-1,MATCH(J904,Ottone!$A$1:$Z$1,0)-1))*IF(E904="Ottone",1,0),4)</f>
        <v>0</v>
      </c>
      <c r="M904" s="446">
        <f ca="1">ROUND(IF(ISERROR(OFFSET(Rame!$A$1,MATCH(H904,Rame!$A:$A,0)-1,MATCH(J904,Rame!$A$1:$AA$1,0)-1)=TRUE),0,OFFSET(Rame!$A$1,MATCH(H904,Rame!$A:$A,0)-1,MATCH(J904,Rame!$A$1:$AA$1,0)-1))*IF(E904="Rame",1,0),4)</f>
        <v>0</v>
      </c>
      <c r="N904" s="446">
        <v>0</v>
      </c>
      <c r="O904" s="446">
        <f t="shared" ca="1" si="220"/>
        <v>0</v>
      </c>
      <c r="P904" s="446">
        <f ca="1">ROUND(+IF(ISERROR(OFFSET(Tabella!$G$1,MATCH(H904,Tabella!$G:$G,0)-1,MATCH(I904,Tabella!$G$1:$FG$1,0)-1)=TRUE),0,OFFSET(Tabella!$G$1,MATCH(H904,Tabella!$G:$G,0)-1,MATCH(I904,Tabella!$G$1:$AB$1,0)-1)),4)</f>
        <v>0</v>
      </c>
      <c r="Q904" s="446">
        <f ca="1">ROUND(IF(ISERROR(OFFSET(Ottone!$F$1,MATCH(H904,Ottone!$A:$A,0)-1,MATCH(I904,Ottone!$F$1:$FF$1,0)-1)=TRUE),0,OFFSET(Ottone!$F$1,MATCH(H904,Ottone!$A:$A,0)-1,MATCH(I904,Ottone!$F$1:$FF$1,0)-1))*IF(E904="Ottone",1,0),4)</f>
        <v>0</v>
      </c>
      <c r="R904" s="446">
        <f ca="1">ROUND(IF(ISERROR(OFFSET(Rame!$F$1,MATCH(H904,Rame!$F:$F,0)-1,MATCH(I904,Rame!$F$1:$FF$1,0)-1)=TRUE),0,OFFSET(Rame!$F$1,MATCH(H904,Rame!$F:$F,0)-1,MATCH(I904,Rame!$F$1:$FF$1,0)-1))*IF(E904="Rame",1,0),4)</f>
        <v>0</v>
      </c>
      <c r="S904" s="446">
        <f ca="1">ROUND(IF(ISERROR(OFFSET(Bronzo!$A$1,MATCH(H904,Bronzo!$A:$A,0)-1,MATCH(I904,Bronzo!$A$1:$AA$1,0)-1)=TRUE),0,OFFSET(Bronzo!$A$1,MATCH(H904,Bronzo!$A:$A,0)-1,MATCH(I904,Bronzo!$A$1:$AA$1,0)-1)),4)</f>
        <v>0</v>
      </c>
      <c r="T904" s="446">
        <f t="shared" ca="1" si="215"/>
        <v>0</v>
      </c>
      <c r="U904" s="443"/>
      <c r="V904" s="446">
        <v>0</v>
      </c>
      <c r="W904" s="449">
        <f t="shared" ca="1" si="216"/>
        <v>0</v>
      </c>
      <c r="X904" s="452">
        <f t="shared" si="214"/>
        <v>0</v>
      </c>
      <c r="Y904" s="440"/>
      <c r="Z904" s="440">
        <f t="shared" ca="1" si="217"/>
        <v>0</v>
      </c>
      <c r="AA904" s="241"/>
      <c r="AF904" s="225">
        <f t="shared" ca="1" si="221"/>
        <v>46156</v>
      </c>
      <c r="AG904" s="225" t="b">
        <f t="shared" si="122"/>
        <v>1</v>
      </c>
      <c r="AH904" s="242" t="str">
        <f t="shared" si="123"/>
        <v/>
      </c>
      <c r="AK904" s="223">
        <f t="shared" si="124"/>
        <v>0</v>
      </c>
      <c r="AL904" s="223">
        <f t="shared" si="125"/>
        <v>1900</v>
      </c>
      <c r="AS904" s="223">
        <f t="shared" si="218"/>
        <v>0</v>
      </c>
      <c r="AT904" s="223">
        <f t="shared" si="219"/>
        <v>0</v>
      </c>
    </row>
    <row r="905" spans="2:46" ht="15.75" x14ac:dyDescent="0.25">
      <c r="B905" s="229"/>
      <c r="C905" s="235"/>
      <c r="D905" s="243"/>
      <c r="E905" s="232"/>
      <c r="F905" s="435"/>
      <c r="G905" s="234"/>
      <c r="H905" s="235"/>
      <c r="I905" s="235"/>
      <c r="J905" s="440"/>
      <c r="K905" s="443">
        <f ca="1">ROUND(IF(ISERROR(OFFSET(Tabella!$A$1,MATCH(H905,Tabella!$A:$A,0)-1,MATCH(J905,Tabella!$A$1:$AC$1,0)-1)=TRUE),0,+OFFSET(Tabella!$A$1,MATCH(H905,Tabella!$A:$A,0)-1,MATCH(J905,Tabella!$A$1:$AC$1,0)-1)),4)</f>
        <v>0</v>
      </c>
      <c r="L905" s="446">
        <f ca="1">ROUND(IF(ISERROR(OFFSET(Ottone!$A$1,MATCH(H905,Ottone!$A:$A,0)-1,MATCH(J905,Ottone!$A$1:$Z$1,0)-1)=TRUE),0,OFFSET(Ottone!$A$1,MATCH(H905,Ottone!$A:$A,0)-1,MATCH(J905,Ottone!$A$1:$Z$1,0)-1))*IF(E905="Ottone",1,0),4)</f>
        <v>0</v>
      </c>
      <c r="M905" s="446">
        <f ca="1">ROUND(IF(ISERROR(OFFSET(Rame!$A$1,MATCH(H905,Rame!$A:$A,0)-1,MATCH(J905,Rame!$A$1:$AA$1,0)-1)=TRUE),0,OFFSET(Rame!$A$1,MATCH(H905,Rame!$A:$A,0)-1,MATCH(J905,Rame!$A$1:$AA$1,0)-1))*IF(E905="Rame",1,0),4)</f>
        <v>0</v>
      </c>
      <c r="N905" s="446">
        <v>0</v>
      </c>
      <c r="O905" s="446">
        <f t="shared" ca="1" si="220"/>
        <v>0</v>
      </c>
      <c r="P905" s="446">
        <f ca="1">ROUND(+IF(ISERROR(OFFSET(Tabella!$G$1,MATCH(H905,Tabella!$G:$G,0)-1,MATCH(I905,Tabella!$G$1:$FG$1,0)-1)=TRUE),0,OFFSET(Tabella!$G$1,MATCH(H905,Tabella!$G:$G,0)-1,MATCH(I905,Tabella!$G$1:$AB$1,0)-1)),4)</f>
        <v>0</v>
      </c>
      <c r="Q905" s="446">
        <f ca="1">ROUND(IF(ISERROR(OFFSET(Ottone!$F$1,MATCH(H905,Ottone!$A:$A,0)-1,MATCH(I905,Ottone!$F$1:$FF$1,0)-1)=TRUE),0,OFFSET(Ottone!$F$1,MATCH(H905,Ottone!$A:$A,0)-1,MATCH(I905,Ottone!$F$1:$FF$1,0)-1))*IF(E905="Ottone",1,0),4)</f>
        <v>0</v>
      </c>
      <c r="R905" s="446">
        <f ca="1">ROUND(IF(ISERROR(OFFSET(Rame!$F$1,MATCH(H905,Rame!$F:$F,0)-1,MATCH(I905,Rame!$F$1:$FF$1,0)-1)=TRUE),0,OFFSET(Rame!$F$1,MATCH(H905,Rame!$F:$F,0)-1,MATCH(I905,Rame!$F$1:$FF$1,0)-1))*IF(E905="Rame",1,0),4)</f>
        <v>0</v>
      </c>
      <c r="S905" s="446">
        <f ca="1">ROUND(IF(ISERROR(OFFSET(Bronzo!$A$1,MATCH(H905,Bronzo!$A:$A,0)-1,MATCH(I905,Bronzo!$A$1:$AA$1,0)-1)=TRUE),0,OFFSET(Bronzo!$A$1,MATCH(H905,Bronzo!$A:$A,0)-1,MATCH(I905,Bronzo!$A$1:$AA$1,0)-1)),4)</f>
        <v>0</v>
      </c>
      <c r="T905" s="446">
        <f t="shared" ca="1" si="215"/>
        <v>0</v>
      </c>
      <c r="U905" s="443"/>
      <c r="V905" s="446">
        <v>0</v>
      </c>
      <c r="W905" s="449">
        <f t="shared" ca="1" si="216"/>
        <v>0</v>
      </c>
      <c r="X905" s="452">
        <f t="shared" si="214"/>
        <v>0</v>
      </c>
      <c r="Y905" s="440"/>
      <c r="Z905" s="440">
        <f t="shared" ca="1" si="217"/>
        <v>0</v>
      </c>
      <c r="AA905" s="241"/>
      <c r="AF905" s="225">
        <f t="shared" ca="1" si="221"/>
        <v>46156</v>
      </c>
      <c r="AG905" s="225" t="b">
        <f t="shared" si="122"/>
        <v>1</v>
      </c>
      <c r="AH905" s="242" t="str">
        <f t="shared" si="123"/>
        <v/>
      </c>
      <c r="AK905" s="223">
        <f t="shared" si="124"/>
        <v>0</v>
      </c>
      <c r="AL905" s="223">
        <f t="shared" si="125"/>
        <v>1900</v>
      </c>
      <c r="AS905" s="223">
        <f t="shared" si="218"/>
        <v>0</v>
      </c>
      <c r="AT905" s="223">
        <f t="shared" si="219"/>
        <v>0</v>
      </c>
    </row>
    <row r="906" spans="2:46" ht="15.75" x14ac:dyDescent="0.25">
      <c r="B906" s="229"/>
      <c r="C906" s="235"/>
      <c r="D906" s="243"/>
      <c r="E906" s="232"/>
      <c r="F906" s="435"/>
      <c r="G906" s="234"/>
      <c r="H906" s="235"/>
      <c r="I906" s="235"/>
      <c r="J906" s="440"/>
      <c r="K906" s="443">
        <f ca="1">ROUND(IF(ISERROR(OFFSET(Tabella!$A$1,MATCH(H906,Tabella!$A:$A,0)-1,MATCH(J906,Tabella!$A$1:$AC$1,0)-1)=TRUE),0,+OFFSET(Tabella!$A$1,MATCH(H906,Tabella!$A:$A,0)-1,MATCH(J906,Tabella!$A$1:$AC$1,0)-1)),4)</f>
        <v>0</v>
      </c>
      <c r="L906" s="446">
        <f ca="1">ROUND(IF(ISERROR(OFFSET(Ottone!$A$1,MATCH(H906,Ottone!$A:$A,0)-1,MATCH(J906,Ottone!$A$1:$Z$1,0)-1)=TRUE),0,OFFSET(Ottone!$A$1,MATCH(H906,Ottone!$A:$A,0)-1,MATCH(J906,Ottone!$A$1:$Z$1,0)-1))*IF(E906="Ottone",1,0),4)</f>
        <v>0</v>
      </c>
      <c r="M906" s="446">
        <f ca="1">ROUND(IF(ISERROR(OFFSET(Rame!$A$1,MATCH(H906,Rame!$A:$A,0)-1,MATCH(J906,Rame!$A$1:$AA$1,0)-1)=TRUE),0,OFFSET(Rame!$A$1,MATCH(H906,Rame!$A:$A,0)-1,MATCH(J906,Rame!$A$1:$AA$1,0)-1))*IF(E906="Rame",1,0),4)</f>
        <v>0</v>
      </c>
      <c r="N906" s="446">
        <v>0</v>
      </c>
      <c r="O906" s="446">
        <f t="shared" ca="1" si="220"/>
        <v>0</v>
      </c>
      <c r="P906" s="446">
        <f ca="1">ROUND(+IF(ISERROR(OFFSET(Tabella!$G$1,MATCH(H906,Tabella!$G:$G,0)-1,MATCH(I906,Tabella!$G$1:$FG$1,0)-1)=TRUE),0,OFFSET(Tabella!$G$1,MATCH(H906,Tabella!$G:$G,0)-1,MATCH(I906,Tabella!$G$1:$AB$1,0)-1)),4)</f>
        <v>0</v>
      </c>
      <c r="Q906" s="446">
        <f ca="1">ROUND(IF(ISERROR(OFFSET(Ottone!$F$1,MATCH(H906,Ottone!$A:$A,0)-1,MATCH(I906,Ottone!$F$1:$FF$1,0)-1)=TRUE),0,OFFSET(Ottone!$F$1,MATCH(H906,Ottone!$A:$A,0)-1,MATCH(I906,Ottone!$F$1:$FF$1,0)-1))*IF(E906="Ottone",1,0),4)</f>
        <v>0</v>
      </c>
      <c r="R906" s="446">
        <f ca="1">ROUND(IF(ISERROR(OFFSET(Rame!$F$1,MATCH(H906,Rame!$F:$F,0)-1,MATCH(I906,Rame!$F$1:$FF$1,0)-1)=TRUE),0,OFFSET(Rame!$F$1,MATCH(H906,Rame!$F:$F,0)-1,MATCH(I906,Rame!$F$1:$FF$1,0)-1))*IF(E906="Rame",1,0),4)</f>
        <v>0</v>
      </c>
      <c r="S906" s="446">
        <f ca="1">ROUND(IF(ISERROR(OFFSET(Bronzo!$A$1,MATCH(H906,Bronzo!$A:$A,0)-1,MATCH(I906,Bronzo!$A$1:$AA$1,0)-1)=TRUE),0,OFFSET(Bronzo!$A$1,MATCH(H906,Bronzo!$A:$A,0)-1,MATCH(I906,Bronzo!$A$1:$AA$1,0)-1)),4)</f>
        <v>0</v>
      </c>
      <c r="T906" s="446">
        <f t="shared" ca="1" si="215"/>
        <v>0</v>
      </c>
      <c r="U906" s="443"/>
      <c r="V906" s="446">
        <v>0</v>
      </c>
      <c r="W906" s="449">
        <f t="shared" ca="1" si="216"/>
        <v>0</v>
      </c>
      <c r="X906" s="452">
        <f t="shared" si="214"/>
        <v>0</v>
      </c>
      <c r="Y906" s="440"/>
      <c r="Z906" s="440">
        <f t="shared" ca="1" si="217"/>
        <v>0</v>
      </c>
      <c r="AA906" s="241"/>
      <c r="AF906" s="225">
        <f t="shared" ca="1" si="221"/>
        <v>46156</v>
      </c>
      <c r="AG906" s="225" t="b">
        <f t="shared" si="122"/>
        <v>1</v>
      </c>
      <c r="AH906" s="242" t="str">
        <f t="shared" si="123"/>
        <v/>
      </c>
      <c r="AK906" s="223">
        <f t="shared" si="124"/>
        <v>0</v>
      </c>
      <c r="AL906" s="223">
        <f t="shared" si="125"/>
        <v>1900</v>
      </c>
      <c r="AS906" s="223">
        <f t="shared" si="218"/>
        <v>0</v>
      </c>
      <c r="AT906" s="223">
        <f t="shared" si="219"/>
        <v>0</v>
      </c>
    </row>
    <row r="907" spans="2:46" ht="15.75" x14ac:dyDescent="0.25">
      <c r="B907" s="229"/>
      <c r="C907" s="235"/>
      <c r="D907" s="243"/>
      <c r="E907" s="232"/>
      <c r="F907" s="435"/>
      <c r="G907" s="234"/>
      <c r="H907" s="235"/>
      <c r="I907" s="235"/>
      <c r="J907" s="440"/>
      <c r="K907" s="443">
        <f ca="1">ROUND(IF(ISERROR(OFFSET(Tabella!$A$1,MATCH(H907,Tabella!$A:$A,0)-1,MATCH(J907,Tabella!$A$1:$AC$1,0)-1)=TRUE),0,+OFFSET(Tabella!$A$1,MATCH(H907,Tabella!$A:$A,0)-1,MATCH(J907,Tabella!$A$1:$AC$1,0)-1)),4)</f>
        <v>0</v>
      </c>
      <c r="L907" s="446">
        <f ca="1">ROUND(IF(ISERROR(OFFSET(Ottone!$A$1,MATCH(H907,Ottone!$A:$A,0)-1,MATCH(J907,Ottone!$A$1:$Z$1,0)-1)=TRUE),0,OFFSET(Ottone!$A$1,MATCH(H907,Ottone!$A:$A,0)-1,MATCH(J907,Ottone!$A$1:$Z$1,0)-1))*IF(E907="Ottone",1,0),4)</f>
        <v>0</v>
      </c>
      <c r="M907" s="446">
        <f ca="1">ROUND(IF(ISERROR(OFFSET(Rame!$A$1,MATCH(H907,Rame!$A:$A,0)-1,MATCH(J907,Rame!$A$1:$AA$1,0)-1)=TRUE),0,OFFSET(Rame!$A$1,MATCH(H907,Rame!$A:$A,0)-1,MATCH(J907,Rame!$A$1:$AA$1,0)-1))*IF(E907="Rame",1,0),4)</f>
        <v>0</v>
      </c>
      <c r="N907" s="446">
        <v>0</v>
      </c>
      <c r="O907" s="446">
        <f t="shared" ca="1" si="220"/>
        <v>0</v>
      </c>
      <c r="P907" s="446">
        <f ca="1">ROUND(+IF(ISERROR(OFFSET(Tabella!$G$1,MATCH(H907,Tabella!$G:$G,0)-1,MATCH(I907,Tabella!$G$1:$FG$1,0)-1)=TRUE),0,OFFSET(Tabella!$G$1,MATCH(H907,Tabella!$G:$G,0)-1,MATCH(I907,Tabella!$G$1:$AB$1,0)-1)),4)</f>
        <v>0</v>
      </c>
      <c r="Q907" s="446">
        <f ca="1">ROUND(IF(ISERROR(OFFSET(Ottone!$F$1,MATCH(H907,Ottone!$A:$A,0)-1,MATCH(I907,Ottone!$F$1:$FF$1,0)-1)=TRUE),0,OFFSET(Ottone!$F$1,MATCH(H907,Ottone!$A:$A,0)-1,MATCH(I907,Ottone!$F$1:$FF$1,0)-1))*IF(E907="Ottone",1,0),4)</f>
        <v>0</v>
      </c>
      <c r="R907" s="446">
        <f ca="1">ROUND(IF(ISERROR(OFFSET(Rame!$F$1,MATCH(H907,Rame!$F:$F,0)-1,MATCH(I907,Rame!$F$1:$FF$1,0)-1)=TRUE),0,OFFSET(Rame!$F$1,MATCH(H907,Rame!$F:$F,0)-1,MATCH(I907,Rame!$F$1:$FF$1,0)-1))*IF(E907="Rame",1,0),4)</f>
        <v>0</v>
      </c>
      <c r="S907" s="446">
        <f ca="1">ROUND(IF(ISERROR(OFFSET(Bronzo!$A$1,MATCH(H907,Bronzo!$A:$A,0)-1,MATCH(I907,Bronzo!$A$1:$AA$1,0)-1)=TRUE),0,OFFSET(Bronzo!$A$1,MATCH(H907,Bronzo!$A:$A,0)-1,MATCH(I907,Bronzo!$A$1:$AA$1,0)-1)),4)</f>
        <v>0</v>
      </c>
      <c r="T907" s="446">
        <f t="shared" ca="1" si="215"/>
        <v>0</v>
      </c>
      <c r="U907" s="443"/>
      <c r="V907" s="446">
        <v>0</v>
      </c>
      <c r="W907" s="449">
        <f t="shared" ca="1" si="216"/>
        <v>0</v>
      </c>
      <c r="X907" s="452">
        <f t="shared" si="214"/>
        <v>0</v>
      </c>
      <c r="Y907" s="440"/>
      <c r="Z907" s="440">
        <f t="shared" ca="1" si="217"/>
        <v>0</v>
      </c>
      <c r="AA907" s="241"/>
      <c r="AF907" s="225">
        <f t="shared" ca="1" si="221"/>
        <v>46156</v>
      </c>
      <c r="AG907" s="225" t="b">
        <f t="shared" si="122"/>
        <v>1</v>
      </c>
      <c r="AH907" s="242" t="str">
        <f t="shared" si="123"/>
        <v/>
      </c>
      <c r="AK907" s="223">
        <f t="shared" si="124"/>
        <v>0</v>
      </c>
      <c r="AL907" s="223">
        <f t="shared" si="125"/>
        <v>1900</v>
      </c>
      <c r="AS907" s="223">
        <f t="shared" si="218"/>
        <v>0</v>
      </c>
      <c r="AT907" s="223">
        <f t="shared" si="219"/>
        <v>0</v>
      </c>
    </row>
    <row r="908" spans="2:46" ht="15.75" x14ac:dyDescent="0.25">
      <c r="B908" s="229"/>
      <c r="C908" s="235"/>
      <c r="D908" s="243"/>
      <c r="E908" s="232"/>
      <c r="F908" s="435"/>
      <c r="G908" s="234"/>
      <c r="H908" s="235"/>
      <c r="I908" s="235"/>
      <c r="J908" s="440"/>
      <c r="K908" s="443">
        <f ca="1">ROUND(IF(ISERROR(OFFSET(Tabella!$A$1,MATCH(H908,Tabella!$A:$A,0)-1,MATCH(J908,Tabella!$A$1:$AC$1,0)-1)=TRUE),0,+OFFSET(Tabella!$A$1,MATCH(H908,Tabella!$A:$A,0)-1,MATCH(J908,Tabella!$A$1:$AC$1,0)-1)),4)</f>
        <v>0</v>
      </c>
      <c r="L908" s="446">
        <f ca="1">ROUND(IF(ISERROR(OFFSET(Ottone!$A$1,MATCH(H908,Ottone!$A:$A,0)-1,MATCH(J908,Ottone!$A$1:$Z$1,0)-1)=TRUE),0,OFFSET(Ottone!$A$1,MATCH(H908,Ottone!$A:$A,0)-1,MATCH(J908,Ottone!$A$1:$Z$1,0)-1))*IF(E908="Ottone",1,0),4)</f>
        <v>0</v>
      </c>
      <c r="M908" s="446">
        <f ca="1">ROUND(IF(ISERROR(OFFSET(Rame!$A$1,MATCH(H908,Rame!$A:$A,0)-1,MATCH(J908,Rame!$A$1:$AA$1,0)-1)=TRUE),0,OFFSET(Rame!$A$1,MATCH(H908,Rame!$A:$A,0)-1,MATCH(J908,Rame!$A$1:$AA$1,0)-1))*IF(E908="Rame",1,0),4)</f>
        <v>0</v>
      </c>
      <c r="N908" s="446">
        <v>0</v>
      </c>
      <c r="O908" s="446">
        <f t="shared" ca="1" si="220"/>
        <v>0</v>
      </c>
      <c r="P908" s="446">
        <f ca="1">ROUND(+IF(ISERROR(OFFSET(Tabella!$G$1,MATCH(H908,Tabella!$G:$G,0)-1,MATCH(I908,Tabella!$G$1:$FG$1,0)-1)=TRUE),0,OFFSET(Tabella!$G$1,MATCH(H908,Tabella!$G:$G,0)-1,MATCH(I908,Tabella!$G$1:$AB$1,0)-1)),4)</f>
        <v>0</v>
      </c>
      <c r="Q908" s="446">
        <f ca="1">ROUND(IF(ISERROR(OFFSET(Ottone!$F$1,MATCH(H908,Ottone!$A:$A,0)-1,MATCH(I908,Ottone!$F$1:$FF$1,0)-1)=TRUE),0,OFFSET(Ottone!$F$1,MATCH(H908,Ottone!$A:$A,0)-1,MATCH(I908,Ottone!$F$1:$FF$1,0)-1))*IF(E908="Ottone",1,0),4)</f>
        <v>0</v>
      </c>
      <c r="R908" s="446">
        <f ca="1">ROUND(IF(ISERROR(OFFSET(Rame!$F$1,MATCH(H908,Rame!$F:$F,0)-1,MATCH(I908,Rame!$F$1:$FF$1,0)-1)=TRUE),0,OFFSET(Rame!$F$1,MATCH(H908,Rame!$F:$F,0)-1,MATCH(I908,Rame!$F$1:$FF$1,0)-1))*IF(E908="Rame",1,0),4)</f>
        <v>0</v>
      </c>
      <c r="S908" s="446">
        <f ca="1">ROUND(IF(ISERROR(OFFSET(Bronzo!$A$1,MATCH(H908,Bronzo!$A:$A,0)-1,MATCH(I908,Bronzo!$A$1:$AA$1,0)-1)=TRUE),0,OFFSET(Bronzo!$A$1,MATCH(H908,Bronzo!$A:$A,0)-1,MATCH(I908,Bronzo!$A$1:$AA$1,0)-1)),4)</f>
        <v>0</v>
      </c>
      <c r="T908" s="446">
        <f t="shared" ca="1" si="215"/>
        <v>0</v>
      </c>
      <c r="U908" s="443"/>
      <c r="V908" s="446">
        <v>0</v>
      </c>
      <c r="W908" s="449">
        <f t="shared" ca="1" si="216"/>
        <v>0</v>
      </c>
      <c r="X908" s="452">
        <f t="shared" si="214"/>
        <v>0</v>
      </c>
      <c r="Y908" s="440"/>
      <c r="Z908" s="440">
        <f t="shared" ca="1" si="217"/>
        <v>0</v>
      </c>
      <c r="AA908" s="241"/>
      <c r="AF908" s="225">
        <f t="shared" ca="1" si="221"/>
        <v>46156</v>
      </c>
      <c r="AG908" s="225" t="b">
        <f t="shared" si="122"/>
        <v>1</v>
      </c>
      <c r="AH908" s="242" t="str">
        <f t="shared" si="123"/>
        <v/>
      </c>
      <c r="AK908" s="223">
        <f t="shared" si="124"/>
        <v>0</v>
      </c>
      <c r="AL908" s="223">
        <f t="shared" si="125"/>
        <v>1900</v>
      </c>
      <c r="AS908" s="223">
        <f t="shared" si="218"/>
        <v>0</v>
      </c>
      <c r="AT908" s="223">
        <f t="shared" si="219"/>
        <v>0</v>
      </c>
    </row>
    <row r="909" spans="2:46" ht="15.75" x14ac:dyDescent="0.25">
      <c r="B909" s="229"/>
      <c r="C909" s="235"/>
      <c r="D909" s="243"/>
      <c r="E909" s="232"/>
      <c r="F909" s="435"/>
      <c r="G909" s="234"/>
      <c r="H909" s="235"/>
      <c r="I909" s="235"/>
      <c r="J909" s="440"/>
      <c r="K909" s="443">
        <f ca="1">ROUND(IF(ISERROR(OFFSET(Tabella!$A$1,MATCH(H909,Tabella!$A:$A,0)-1,MATCH(J909,Tabella!$A$1:$AC$1,0)-1)=TRUE),0,+OFFSET(Tabella!$A$1,MATCH(H909,Tabella!$A:$A,0)-1,MATCH(J909,Tabella!$A$1:$AC$1,0)-1)),4)</f>
        <v>0</v>
      </c>
      <c r="L909" s="446">
        <f ca="1">ROUND(IF(ISERROR(OFFSET(Ottone!$A$1,MATCH(H909,Ottone!$A:$A,0)-1,MATCH(J909,Ottone!$A$1:$Z$1,0)-1)=TRUE),0,OFFSET(Ottone!$A$1,MATCH(H909,Ottone!$A:$A,0)-1,MATCH(J909,Ottone!$A$1:$Z$1,0)-1))*IF(E909="Ottone",1,0),4)</f>
        <v>0</v>
      </c>
      <c r="M909" s="446">
        <f ca="1">ROUND(IF(ISERROR(OFFSET(Rame!$A$1,MATCH(H909,Rame!$A:$A,0)-1,MATCH(J909,Rame!$A$1:$AA$1,0)-1)=TRUE),0,OFFSET(Rame!$A$1,MATCH(H909,Rame!$A:$A,0)-1,MATCH(J909,Rame!$A$1:$AA$1,0)-1))*IF(E909="Rame",1,0),4)</f>
        <v>0</v>
      </c>
      <c r="N909" s="446">
        <v>0</v>
      </c>
      <c r="O909" s="446">
        <f t="shared" ca="1" si="220"/>
        <v>0</v>
      </c>
      <c r="P909" s="446">
        <f ca="1">ROUND(+IF(ISERROR(OFFSET(Tabella!$G$1,MATCH(H909,Tabella!$G:$G,0)-1,MATCH(I909,Tabella!$G$1:$FG$1,0)-1)=TRUE),0,OFFSET(Tabella!$G$1,MATCH(H909,Tabella!$G:$G,0)-1,MATCH(I909,Tabella!$G$1:$AB$1,0)-1)),4)</f>
        <v>0</v>
      </c>
      <c r="Q909" s="446">
        <f ca="1">ROUND(IF(ISERROR(OFFSET(Ottone!$F$1,MATCH(H909,Ottone!$A:$A,0)-1,MATCH(I909,Ottone!$F$1:$FF$1,0)-1)=TRUE),0,OFFSET(Ottone!$F$1,MATCH(H909,Ottone!$A:$A,0)-1,MATCH(I909,Ottone!$F$1:$FF$1,0)-1))*IF(E909="Ottone",1,0),4)</f>
        <v>0</v>
      </c>
      <c r="R909" s="446">
        <f ca="1">ROUND(IF(ISERROR(OFFSET(Rame!$F$1,MATCH(H909,Rame!$F:$F,0)-1,MATCH(I909,Rame!$F$1:$FF$1,0)-1)=TRUE),0,OFFSET(Rame!$F$1,MATCH(H909,Rame!$F:$F,0)-1,MATCH(I909,Rame!$F$1:$FF$1,0)-1))*IF(E909="Rame",1,0),4)</f>
        <v>0</v>
      </c>
      <c r="S909" s="446">
        <f ca="1">ROUND(IF(ISERROR(OFFSET(Bronzo!$A$1,MATCH(H909,Bronzo!$A:$A,0)-1,MATCH(I909,Bronzo!$A$1:$AA$1,0)-1)=TRUE),0,OFFSET(Bronzo!$A$1,MATCH(H909,Bronzo!$A:$A,0)-1,MATCH(I909,Bronzo!$A$1:$AA$1,0)-1)),4)</f>
        <v>0</v>
      </c>
      <c r="T909" s="446">
        <f t="shared" ca="1" si="215"/>
        <v>0</v>
      </c>
      <c r="U909" s="443"/>
      <c r="V909" s="446">
        <v>0</v>
      </c>
      <c r="W909" s="449">
        <f t="shared" ca="1" si="216"/>
        <v>0</v>
      </c>
      <c r="X909" s="452">
        <f t="shared" si="214"/>
        <v>0</v>
      </c>
      <c r="Y909" s="440"/>
      <c r="Z909" s="440">
        <f t="shared" ca="1" si="217"/>
        <v>0</v>
      </c>
      <c r="AA909" s="241"/>
      <c r="AF909" s="225">
        <f t="shared" ca="1" si="221"/>
        <v>46156</v>
      </c>
      <c r="AG909" s="225" t="b">
        <f t="shared" si="122"/>
        <v>1</v>
      </c>
      <c r="AH909" s="242" t="str">
        <f t="shared" si="123"/>
        <v/>
      </c>
      <c r="AK909" s="223">
        <f t="shared" si="124"/>
        <v>0</v>
      </c>
      <c r="AL909" s="223">
        <f t="shared" si="125"/>
        <v>1900</v>
      </c>
      <c r="AS909" s="223">
        <f t="shared" si="218"/>
        <v>0</v>
      </c>
      <c r="AT909" s="223">
        <f t="shared" si="219"/>
        <v>0</v>
      </c>
    </row>
    <row r="910" spans="2:46" ht="15.75" x14ac:dyDescent="0.25">
      <c r="B910" s="229"/>
      <c r="C910" s="235"/>
      <c r="D910" s="243"/>
      <c r="E910" s="232"/>
      <c r="F910" s="435"/>
      <c r="G910" s="234"/>
      <c r="H910" s="235"/>
      <c r="I910" s="235"/>
      <c r="J910" s="440"/>
      <c r="K910" s="443">
        <f ca="1">ROUND(IF(ISERROR(OFFSET(Tabella!$A$1,MATCH(H910,Tabella!$A:$A,0)-1,MATCH(J910,Tabella!$A$1:$AC$1,0)-1)=TRUE),0,+OFFSET(Tabella!$A$1,MATCH(H910,Tabella!$A:$A,0)-1,MATCH(J910,Tabella!$A$1:$AC$1,0)-1)),4)</f>
        <v>0</v>
      </c>
      <c r="L910" s="446">
        <f ca="1">ROUND(IF(ISERROR(OFFSET(Ottone!$A$1,MATCH(H910,Ottone!$A:$A,0)-1,MATCH(J910,Ottone!$A$1:$Z$1,0)-1)=TRUE),0,OFFSET(Ottone!$A$1,MATCH(H910,Ottone!$A:$A,0)-1,MATCH(J910,Ottone!$A$1:$Z$1,0)-1))*IF(E910="Ottone",1,0),4)</f>
        <v>0</v>
      </c>
      <c r="M910" s="446">
        <f ca="1">ROUND(IF(ISERROR(OFFSET(Rame!$A$1,MATCH(H910,Rame!$A:$A,0)-1,MATCH(J910,Rame!$A$1:$AA$1,0)-1)=TRUE),0,OFFSET(Rame!$A$1,MATCH(H910,Rame!$A:$A,0)-1,MATCH(J910,Rame!$A$1:$AA$1,0)-1))*IF(E910="Rame",1,0),4)</f>
        <v>0</v>
      </c>
      <c r="N910" s="446">
        <v>0</v>
      </c>
      <c r="O910" s="446">
        <f t="shared" ca="1" si="220"/>
        <v>0</v>
      </c>
      <c r="P910" s="446">
        <f ca="1">ROUND(+IF(ISERROR(OFFSET(Tabella!$G$1,MATCH(H910,Tabella!$G:$G,0)-1,MATCH(I910,Tabella!$G$1:$FG$1,0)-1)=TRUE),0,OFFSET(Tabella!$G$1,MATCH(H910,Tabella!$G:$G,0)-1,MATCH(I910,Tabella!$G$1:$AB$1,0)-1)),4)</f>
        <v>0</v>
      </c>
      <c r="Q910" s="446">
        <f ca="1">ROUND(IF(ISERROR(OFFSET(Ottone!$F$1,MATCH(H910,Ottone!$A:$A,0)-1,MATCH(I910,Ottone!$F$1:$FF$1,0)-1)=TRUE),0,OFFSET(Ottone!$F$1,MATCH(H910,Ottone!$A:$A,0)-1,MATCH(I910,Ottone!$F$1:$FF$1,0)-1))*IF(E910="Ottone",1,0),4)</f>
        <v>0</v>
      </c>
      <c r="R910" s="446">
        <f ca="1">ROUND(IF(ISERROR(OFFSET(Rame!$F$1,MATCH(H910,Rame!$F:$F,0)-1,MATCH(I910,Rame!$F$1:$FF$1,0)-1)=TRUE),0,OFFSET(Rame!$F$1,MATCH(H910,Rame!$F:$F,0)-1,MATCH(I910,Rame!$F$1:$FF$1,0)-1))*IF(E910="Rame",1,0),4)</f>
        <v>0</v>
      </c>
      <c r="S910" s="446">
        <f ca="1">ROUND(IF(ISERROR(OFFSET(Bronzo!$A$1,MATCH(H910,Bronzo!$A:$A,0)-1,MATCH(I910,Bronzo!$A$1:$AA$1,0)-1)=TRUE),0,OFFSET(Bronzo!$A$1,MATCH(H910,Bronzo!$A:$A,0)-1,MATCH(I910,Bronzo!$A$1:$AA$1,0)-1)),4)</f>
        <v>0</v>
      </c>
      <c r="T910" s="446">
        <f t="shared" ca="1" si="215"/>
        <v>0</v>
      </c>
      <c r="U910" s="443"/>
      <c r="V910" s="446">
        <v>0</v>
      </c>
      <c r="W910" s="449">
        <f t="shared" ca="1" si="216"/>
        <v>0</v>
      </c>
      <c r="X910" s="452">
        <f t="shared" si="214"/>
        <v>0</v>
      </c>
      <c r="Y910" s="440"/>
      <c r="Z910" s="440">
        <f t="shared" ca="1" si="217"/>
        <v>0</v>
      </c>
      <c r="AA910" s="241"/>
      <c r="AF910" s="225">
        <f t="shared" ca="1" si="221"/>
        <v>46156</v>
      </c>
      <c r="AG910" s="225" t="b">
        <f t="shared" si="122"/>
        <v>1</v>
      </c>
      <c r="AH910" s="242" t="str">
        <f t="shared" si="123"/>
        <v/>
      </c>
      <c r="AK910" s="223">
        <f t="shared" si="124"/>
        <v>0</v>
      </c>
      <c r="AL910" s="223">
        <f t="shared" si="125"/>
        <v>1900</v>
      </c>
      <c r="AS910" s="223">
        <f t="shared" si="218"/>
        <v>0</v>
      </c>
      <c r="AT910" s="223">
        <f t="shared" si="219"/>
        <v>0</v>
      </c>
    </row>
    <row r="911" spans="2:46" ht="15.75" x14ac:dyDescent="0.25">
      <c r="B911" s="229"/>
      <c r="C911" s="235"/>
      <c r="D911" s="243"/>
      <c r="E911" s="232"/>
      <c r="F911" s="435"/>
      <c r="G911" s="234"/>
      <c r="H911" s="235"/>
      <c r="I911" s="235"/>
      <c r="J911" s="440"/>
      <c r="K911" s="443">
        <f ca="1">ROUND(IF(ISERROR(OFFSET(Tabella!$A$1,MATCH(H911,Tabella!$A:$A,0)-1,MATCH(J911,Tabella!$A$1:$AC$1,0)-1)=TRUE),0,+OFFSET(Tabella!$A$1,MATCH(H911,Tabella!$A:$A,0)-1,MATCH(J911,Tabella!$A$1:$AC$1,0)-1)),4)</f>
        <v>0</v>
      </c>
      <c r="L911" s="446">
        <f ca="1">ROUND(IF(ISERROR(OFFSET(Ottone!$A$1,MATCH(H911,Ottone!$A:$A,0)-1,MATCH(J911,Ottone!$A$1:$Z$1,0)-1)=TRUE),0,OFFSET(Ottone!$A$1,MATCH(H911,Ottone!$A:$A,0)-1,MATCH(J911,Ottone!$A$1:$Z$1,0)-1))*IF(E911="Ottone",1,0),4)</f>
        <v>0</v>
      </c>
      <c r="M911" s="446">
        <f ca="1">ROUND(IF(ISERROR(OFFSET(Rame!$A$1,MATCH(H911,Rame!$A:$A,0)-1,MATCH(J911,Rame!$A$1:$AA$1,0)-1)=TRUE),0,OFFSET(Rame!$A$1,MATCH(H911,Rame!$A:$A,0)-1,MATCH(J911,Rame!$A$1:$AA$1,0)-1))*IF(E911="Rame",1,0),4)</f>
        <v>0</v>
      </c>
      <c r="N911" s="446">
        <v>0</v>
      </c>
      <c r="O911" s="446">
        <f t="shared" ca="1" si="220"/>
        <v>0</v>
      </c>
      <c r="P911" s="446">
        <f ca="1">ROUND(+IF(ISERROR(OFFSET(Tabella!$G$1,MATCH(H911,Tabella!$G:$G,0)-1,MATCH(I911,Tabella!$G$1:$FG$1,0)-1)=TRUE),0,OFFSET(Tabella!$G$1,MATCH(H911,Tabella!$G:$G,0)-1,MATCH(I911,Tabella!$G$1:$AB$1,0)-1)),4)</f>
        <v>0</v>
      </c>
      <c r="Q911" s="446">
        <f ca="1">ROUND(IF(ISERROR(OFFSET(Ottone!$F$1,MATCH(H911,Ottone!$A:$A,0)-1,MATCH(I911,Ottone!$F$1:$FF$1,0)-1)=TRUE),0,OFFSET(Ottone!$F$1,MATCH(H911,Ottone!$A:$A,0)-1,MATCH(I911,Ottone!$F$1:$FF$1,0)-1))*IF(E911="Ottone",1,0),4)</f>
        <v>0</v>
      </c>
      <c r="R911" s="446">
        <f ca="1">ROUND(IF(ISERROR(OFFSET(Rame!$F$1,MATCH(H911,Rame!$F:$F,0)-1,MATCH(I911,Rame!$F$1:$FF$1,0)-1)=TRUE),0,OFFSET(Rame!$F$1,MATCH(H911,Rame!$F:$F,0)-1,MATCH(I911,Rame!$F$1:$FF$1,0)-1))*IF(E911="Rame",1,0),4)</f>
        <v>0</v>
      </c>
      <c r="S911" s="446">
        <f ca="1">ROUND(IF(ISERROR(OFFSET(Bronzo!$A$1,MATCH(H911,Bronzo!$A:$A,0)-1,MATCH(I911,Bronzo!$A$1:$AA$1,0)-1)=TRUE),0,OFFSET(Bronzo!$A$1,MATCH(H911,Bronzo!$A:$A,0)-1,MATCH(I911,Bronzo!$A$1:$AA$1,0)-1)),4)</f>
        <v>0</v>
      </c>
      <c r="T911" s="446">
        <f t="shared" ca="1" si="215"/>
        <v>0</v>
      </c>
      <c r="U911" s="443"/>
      <c r="V911" s="446">
        <v>0</v>
      </c>
      <c r="W911" s="449">
        <f t="shared" ca="1" si="216"/>
        <v>0</v>
      </c>
      <c r="X911" s="452">
        <f t="shared" si="214"/>
        <v>0</v>
      </c>
      <c r="Y911" s="440"/>
      <c r="Z911" s="440">
        <f t="shared" ca="1" si="217"/>
        <v>0</v>
      </c>
      <c r="AA911" s="241"/>
      <c r="AF911" s="225">
        <f t="shared" ca="1" si="221"/>
        <v>46156</v>
      </c>
      <c r="AG911" s="225" t="b">
        <f t="shared" si="122"/>
        <v>1</v>
      </c>
      <c r="AH911" s="242" t="str">
        <f t="shared" si="123"/>
        <v/>
      </c>
      <c r="AK911" s="223">
        <f t="shared" si="124"/>
        <v>0</v>
      </c>
      <c r="AL911" s="223">
        <f t="shared" si="125"/>
        <v>1900</v>
      </c>
      <c r="AS911" s="223">
        <f t="shared" si="218"/>
        <v>0</v>
      </c>
      <c r="AT911" s="223">
        <f t="shared" si="219"/>
        <v>0</v>
      </c>
    </row>
    <row r="912" spans="2:46" ht="15.75" x14ac:dyDescent="0.25">
      <c r="B912" s="229"/>
      <c r="C912" s="235"/>
      <c r="D912" s="243"/>
      <c r="E912" s="232"/>
      <c r="F912" s="435"/>
      <c r="G912" s="234"/>
      <c r="H912" s="235"/>
      <c r="I912" s="235"/>
      <c r="J912" s="440"/>
      <c r="K912" s="443">
        <f ca="1">ROUND(IF(ISERROR(OFFSET(Tabella!$A$1,MATCH(H912,Tabella!$A:$A,0)-1,MATCH(J912,Tabella!$A$1:$AC$1,0)-1)=TRUE),0,+OFFSET(Tabella!$A$1,MATCH(H912,Tabella!$A:$A,0)-1,MATCH(J912,Tabella!$A$1:$AC$1,0)-1)),4)</f>
        <v>0</v>
      </c>
      <c r="L912" s="446">
        <f ca="1">ROUND(IF(ISERROR(OFFSET(Ottone!$A$1,MATCH(H912,Ottone!$A:$A,0)-1,MATCH(J912,Ottone!$A$1:$Z$1,0)-1)=TRUE),0,OFFSET(Ottone!$A$1,MATCH(H912,Ottone!$A:$A,0)-1,MATCH(J912,Ottone!$A$1:$Z$1,0)-1))*IF(E912="Ottone",1,0),4)</f>
        <v>0</v>
      </c>
      <c r="M912" s="446">
        <f ca="1">ROUND(IF(ISERROR(OFFSET(Rame!$A$1,MATCH(H912,Rame!$A:$A,0)-1,MATCH(J912,Rame!$A$1:$AA$1,0)-1)=TRUE),0,OFFSET(Rame!$A$1,MATCH(H912,Rame!$A:$A,0)-1,MATCH(J912,Rame!$A$1:$AA$1,0)-1))*IF(E912="Rame",1,0),4)</f>
        <v>0</v>
      </c>
      <c r="N912" s="446">
        <v>0</v>
      </c>
      <c r="O912" s="446">
        <f t="shared" ca="1" si="220"/>
        <v>0</v>
      </c>
      <c r="P912" s="446">
        <f ca="1">ROUND(+IF(ISERROR(OFFSET(Tabella!$G$1,MATCH(H912,Tabella!$G:$G,0)-1,MATCH(I912,Tabella!$G$1:$FG$1,0)-1)=TRUE),0,OFFSET(Tabella!$G$1,MATCH(H912,Tabella!$G:$G,0)-1,MATCH(I912,Tabella!$G$1:$AB$1,0)-1)),4)</f>
        <v>0</v>
      </c>
      <c r="Q912" s="446">
        <f ca="1">ROUND(IF(ISERROR(OFFSET(Ottone!$F$1,MATCH(H912,Ottone!$A:$A,0)-1,MATCH(I912,Ottone!$F$1:$FF$1,0)-1)=TRUE),0,OFFSET(Ottone!$F$1,MATCH(H912,Ottone!$A:$A,0)-1,MATCH(I912,Ottone!$F$1:$FF$1,0)-1))*IF(E912="Ottone",1,0),4)</f>
        <v>0</v>
      </c>
      <c r="R912" s="446">
        <f ca="1">ROUND(IF(ISERROR(OFFSET(Rame!$F$1,MATCH(H912,Rame!$F:$F,0)-1,MATCH(I912,Rame!$F$1:$FF$1,0)-1)=TRUE),0,OFFSET(Rame!$F$1,MATCH(H912,Rame!$F:$F,0)-1,MATCH(I912,Rame!$F$1:$FF$1,0)-1))*IF(E912="Rame",1,0),4)</f>
        <v>0</v>
      </c>
      <c r="S912" s="446">
        <f ca="1">ROUND(IF(ISERROR(OFFSET(Bronzo!$A$1,MATCH(H912,Bronzo!$A:$A,0)-1,MATCH(I912,Bronzo!$A$1:$AA$1,0)-1)=TRUE),0,OFFSET(Bronzo!$A$1,MATCH(H912,Bronzo!$A:$A,0)-1,MATCH(I912,Bronzo!$A$1:$AA$1,0)-1)),4)</f>
        <v>0</v>
      </c>
      <c r="T912" s="446">
        <f t="shared" ca="1" si="215"/>
        <v>0</v>
      </c>
      <c r="U912" s="443"/>
      <c r="V912" s="446">
        <v>0</v>
      </c>
      <c r="W912" s="449">
        <f t="shared" ca="1" si="216"/>
        <v>0</v>
      </c>
      <c r="X912" s="452">
        <f t="shared" si="214"/>
        <v>0</v>
      </c>
      <c r="Y912" s="440"/>
      <c r="Z912" s="440">
        <f t="shared" ca="1" si="217"/>
        <v>0</v>
      </c>
      <c r="AA912" s="241"/>
      <c r="AF912" s="225">
        <f t="shared" ca="1" si="221"/>
        <v>46156</v>
      </c>
      <c r="AG912" s="225" t="b">
        <f t="shared" si="122"/>
        <v>1</v>
      </c>
      <c r="AH912" s="242" t="str">
        <f t="shared" si="123"/>
        <v/>
      </c>
      <c r="AK912" s="223">
        <f t="shared" si="124"/>
        <v>0</v>
      </c>
      <c r="AL912" s="223">
        <f t="shared" si="125"/>
        <v>1900</v>
      </c>
      <c r="AS912" s="223">
        <f t="shared" si="218"/>
        <v>0</v>
      </c>
      <c r="AT912" s="223">
        <f t="shared" si="219"/>
        <v>0</v>
      </c>
    </row>
    <row r="913" spans="2:46" ht="15.75" x14ac:dyDescent="0.25">
      <c r="B913" s="229"/>
      <c r="C913" s="235"/>
      <c r="D913" s="243"/>
      <c r="E913" s="232"/>
      <c r="F913" s="435"/>
      <c r="G913" s="234"/>
      <c r="H913" s="235"/>
      <c r="I913" s="235"/>
      <c r="J913" s="440"/>
      <c r="K913" s="443">
        <f ca="1">ROUND(IF(ISERROR(OFFSET(Tabella!$A$1,MATCH(H913,Tabella!$A:$A,0)-1,MATCH(J913,Tabella!$A$1:$AC$1,0)-1)=TRUE),0,+OFFSET(Tabella!$A$1,MATCH(H913,Tabella!$A:$A,0)-1,MATCH(J913,Tabella!$A$1:$AC$1,0)-1)),4)</f>
        <v>0</v>
      </c>
      <c r="L913" s="446">
        <f ca="1">ROUND(IF(ISERROR(OFFSET(Ottone!$A$1,MATCH(H913,Ottone!$A:$A,0)-1,MATCH(J913,Ottone!$A$1:$Z$1,0)-1)=TRUE),0,OFFSET(Ottone!$A$1,MATCH(H913,Ottone!$A:$A,0)-1,MATCH(J913,Ottone!$A$1:$Z$1,0)-1))*IF(E913="Ottone",1,0),4)</f>
        <v>0</v>
      </c>
      <c r="M913" s="446">
        <f ca="1">ROUND(IF(ISERROR(OFFSET(Rame!$A$1,MATCH(H913,Rame!$A:$A,0)-1,MATCH(J913,Rame!$A$1:$AA$1,0)-1)=TRUE),0,OFFSET(Rame!$A$1,MATCH(H913,Rame!$A:$A,0)-1,MATCH(J913,Rame!$A$1:$AA$1,0)-1))*IF(E913="Rame",1,0),4)</f>
        <v>0</v>
      </c>
      <c r="N913" s="446">
        <v>0</v>
      </c>
      <c r="O913" s="446">
        <f t="shared" ca="1" si="220"/>
        <v>0</v>
      </c>
      <c r="P913" s="446">
        <f ca="1">ROUND(+IF(ISERROR(OFFSET(Tabella!$G$1,MATCH(H913,Tabella!$G:$G,0)-1,MATCH(I913,Tabella!$G$1:$FG$1,0)-1)=TRUE),0,OFFSET(Tabella!$G$1,MATCH(H913,Tabella!$G:$G,0)-1,MATCH(I913,Tabella!$G$1:$AB$1,0)-1)),4)</f>
        <v>0</v>
      </c>
      <c r="Q913" s="446">
        <f ca="1">ROUND(IF(ISERROR(OFFSET(Ottone!$F$1,MATCH(H913,Ottone!$A:$A,0)-1,MATCH(I913,Ottone!$F$1:$FF$1,0)-1)=TRUE),0,OFFSET(Ottone!$F$1,MATCH(H913,Ottone!$A:$A,0)-1,MATCH(I913,Ottone!$F$1:$FF$1,0)-1))*IF(E913="Ottone",1,0),4)</f>
        <v>0</v>
      </c>
      <c r="R913" s="446">
        <f ca="1">ROUND(IF(ISERROR(OFFSET(Rame!$F$1,MATCH(H913,Rame!$F:$F,0)-1,MATCH(I913,Rame!$F$1:$FF$1,0)-1)=TRUE),0,OFFSET(Rame!$F$1,MATCH(H913,Rame!$F:$F,0)-1,MATCH(I913,Rame!$F$1:$FF$1,0)-1))*IF(E913="Rame",1,0),4)</f>
        <v>0</v>
      </c>
      <c r="S913" s="446">
        <f ca="1">ROUND(IF(ISERROR(OFFSET(Bronzo!$A$1,MATCH(H913,Bronzo!$A:$A,0)-1,MATCH(I913,Bronzo!$A$1:$AA$1,0)-1)=TRUE),0,OFFSET(Bronzo!$A$1,MATCH(H913,Bronzo!$A:$A,0)-1,MATCH(I913,Bronzo!$A$1:$AA$1,0)-1)),4)</f>
        <v>0</v>
      </c>
      <c r="T913" s="446">
        <f t="shared" ca="1" si="215"/>
        <v>0</v>
      </c>
      <c r="U913" s="443"/>
      <c r="V913" s="446">
        <v>0</v>
      </c>
      <c r="W913" s="449">
        <f t="shared" ca="1" si="216"/>
        <v>0</v>
      </c>
      <c r="X913" s="452">
        <f t="shared" ref="X913:X976" si="222">ROUND(+J913*D913,4)</f>
        <v>0</v>
      </c>
      <c r="Y913" s="440"/>
      <c r="Z913" s="440">
        <f t="shared" ca="1" si="217"/>
        <v>0</v>
      </c>
      <c r="AA913" s="241"/>
      <c r="AF913" s="225">
        <f t="shared" ca="1" si="221"/>
        <v>46156</v>
      </c>
      <c r="AG913" s="225" t="b">
        <f t="shared" si="122"/>
        <v>1</v>
      </c>
      <c r="AH913" s="242" t="str">
        <f t="shared" si="123"/>
        <v/>
      </c>
      <c r="AK913" s="223">
        <f t="shared" si="124"/>
        <v>0</v>
      </c>
      <c r="AL913" s="223">
        <f t="shared" si="125"/>
        <v>1900</v>
      </c>
      <c r="AS913" s="223">
        <f t="shared" si="218"/>
        <v>0</v>
      </c>
      <c r="AT913" s="223">
        <f t="shared" si="219"/>
        <v>0</v>
      </c>
    </row>
    <row r="914" spans="2:46" ht="15.75" x14ac:dyDescent="0.25">
      <c r="B914" s="229"/>
      <c r="C914" s="235"/>
      <c r="D914" s="243"/>
      <c r="E914" s="232"/>
      <c r="F914" s="435"/>
      <c r="G914" s="234"/>
      <c r="H914" s="235"/>
      <c r="I914" s="235"/>
      <c r="J914" s="440"/>
      <c r="K914" s="443">
        <f ca="1">ROUND(IF(ISERROR(OFFSET(Tabella!$A$1,MATCH(H914,Tabella!$A:$A,0)-1,MATCH(J914,Tabella!$A$1:$AC$1,0)-1)=TRUE),0,+OFFSET(Tabella!$A$1,MATCH(H914,Tabella!$A:$A,0)-1,MATCH(J914,Tabella!$A$1:$AC$1,0)-1)),4)</f>
        <v>0</v>
      </c>
      <c r="L914" s="446">
        <f ca="1">ROUND(IF(ISERROR(OFFSET(Ottone!$A$1,MATCH(H914,Ottone!$A:$A,0)-1,MATCH(J914,Ottone!$A$1:$Z$1,0)-1)=TRUE),0,OFFSET(Ottone!$A$1,MATCH(H914,Ottone!$A:$A,0)-1,MATCH(J914,Ottone!$A$1:$Z$1,0)-1))*IF(E914="Ottone",1,0),4)</f>
        <v>0</v>
      </c>
      <c r="M914" s="446">
        <f ca="1">ROUND(IF(ISERROR(OFFSET(Rame!$A$1,MATCH(H914,Rame!$A:$A,0)-1,MATCH(J914,Rame!$A$1:$AA$1,0)-1)=TRUE),0,OFFSET(Rame!$A$1,MATCH(H914,Rame!$A:$A,0)-1,MATCH(J914,Rame!$A$1:$AA$1,0)-1))*IF(E914="Rame",1,0),4)</f>
        <v>0</v>
      </c>
      <c r="N914" s="446">
        <v>0</v>
      </c>
      <c r="O914" s="446">
        <f t="shared" ca="1" si="220"/>
        <v>0</v>
      </c>
      <c r="P914" s="446">
        <f ca="1">ROUND(+IF(ISERROR(OFFSET(Tabella!$G$1,MATCH(H914,Tabella!$G:$G,0)-1,MATCH(I914,Tabella!$G$1:$FG$1,0)-1)=TRUE),0,OFFSET(Tabella!$G$1,MATCH(H914,Tabella!$G:$G,0)-1,MATCH(I914,Tabella!$G$1:$AB$1,0)-1)),4)</f>
        <v>0</v>
      </c>
      <c r="Q914" s="446">
        <f ca="1">ROUND(IF(ISERROR(OFFSET(Ottone!$F$1,MATCH(H914,Ottone!$A:$A,0)-1,MATCH(I914,Ottone!$F$1:$FF$1,0)-1)=TRUE),0,OFFSET(Ottone!$F$1,MATCH(H914,Ottone!$A:$A,0)-1,MATCH(I914,Ottone!$F$1:$FF$1,0)-1))*IF(E914="Ottone",1,0),4)</f>
        <v>0</v>
      </c>
      <c r="R914" s="446">
        <f ca="1">ROUND(IF(ISERROR(OFFSET(Rame!$F$1,MATCH(H914,Rame!$F:$F,0)-1,MATCH(I914,Rame!$F$1:$FF$1,0)-1)=TRUE),0,OFFSET(Rame!$F$1,MATCH(H914,Rame!$F:$F,0)-1,MATCH(I914,Rame!$F$1:$FF$1,0)-1))*IF(E914="Rame",1,0),4)</f>
        <v>0</v>
      </c>
      <c r="S914" s="446">
        <f ca="1">ROUND(IF(ISERROR(OFFSET(Bronzo!$A$1,MATCH(H914,Bronzo!$A:$A,0)-1,MATCH(I914,Bronzo!$A$1:$AA$1,0)-1)=TRUE),0,OFFSET(Bronzo!$A$1,MATCH(H914,Bronzo!$A:$A,0)-1,MATCH(I914,Bronzo!$A$1:$AA$1,0)-1)),4)</f>
        <v>0</v>
      </c>
      <c r="T914" s="446">
        <f t="shared" ca="1" si="215"/>
        <v>0</v>
      </c>
      <c r="U914" s="443"/>
      <c r="V914" s="446">
        <v>0</v>
      </c>
      <c r="W914" s="449">
        <f t="shared" ca="1" si="216"/>
        <v>0</v>
      </c>
      <c r="X914" s="452">
        <f t="shared" si="222"/>
        <v>0</v>
      </c>
      <c r="Y914" s="440"/>
      <c r="Z914" s="440">
        <f t="shared" ca="1" si="217"/>
        <v>0</v>
      </c>
      <c r="AA914" s="241"/>
      <c r="AF914" s="225">
        <f t="shared" ca="1" si="221"/>
        <v>46156</v>
      </c>
      <c r="AG914" s="225" t="b">
        <f t="shared" si="122"/>
        <v>1</v>
      </c>
      <c r="AH914" s="242" t="str">
        <f t="shared" si="123"/>
        <v/>
      </c>
      <c r="AK914" s="223">
        <f t="shared" si="124"/>
        <v>0</v>
      </c>
      <c r="AL914" s="223">
        <f t="shared" si="125"/>
        <v>1900</v>
      </c>
      <c r="AS914" s="223">
        <f t="shared" si="218"/>
        <v>0</v>
      </c>
      <c r="AT914" s="223">
        <f t="shared" si="219"/>
        <v>0</v>
      </c>
    </row>
    <row r="915" spans="2:46" ht="15.75" x14ac:dyDescent="0.25">
      <c r="B915" s="229"/>
      <c r="C915" s="235"/>
      <c r="D915" s="243"/>
      <c r="E915" s="232"/>
      <c r="F915" s="435"/>
      <c r="G915" s="234"/>
      <c r="H915" s="235"/>
      <c r="I915" s="235"/>
      <c r="J915" s="440"/>
      <c r="K915" s="443">
        <f ca="1">ROUND(IF(ISERROR(OFFSET(Tabella!$A$1,MATCH(H915,Tabella!$A:$A,0)-1,MATCH(J915,Tabella!$A$1:$AC$1,0)-1)=TRUE),0,+OFFSET(Tabella!$A$1,MATCH(H915,Tabella!$A:$A,0)-1,MATCH(J915,Tabella!$A$1:$AC$1,0)-1)),4)</f>
        <v>0</v>
      </c>
      <c r="L915" s="446">
        <f ca="1">ROUND(IF(ISERROR(OFFSET(Ottone!$A$1,MATCH(H915,Ottone!$A:$A,0)-1,MATCH(J915,Ottone!$A$1:$Z$1,0)-1)=TRUE),0,OFFSET(Ottone!$A$1,MATCH(H915,Ottone!$A:$A,0)-1,MATCH(J915,Ottone!$A$1:$Z$1,0)-1))*IF(E915="Ottone",1,0),4)</f>
        <v>0</v>
      </c>
      <c r="M915" s="446">
        <f ca="1">ROUND(IF(ISERROR(OFFSET(Rame!$A$1,MATCH(H915,Rame!$A:$A,0)-1,MATCH(J915,Rame!$A$1:$AA$1,0)-1)=TRUE),0,OFFSET(Rame!$A$1,MATCH(H915,Rame!$A:$A,0)-1,MATCH(J915,Rame!$A$1:$AA$1,0)-1))*IF(E915="Rame",1,0),4)</f>
        <v>0</v>
      </c>
      <c r="N915" s="446">
        <v>0</v>
      </c>
      <c r="O915" s="446">
        <f t="shared" ca="1" si="220"/>
        <v>0</v>
      </c>
      <c r="P915" s="446">
        <f ca="1">ROUND(+IF(ISERROR(OFFSET(Tabella!$G$1,MATCH(H915,Tabella!$G:$G,0)-1,MATCH(I915,Tabella!$G$1:$FG$1,0)-1)=TRUE),0,OFFSET(Tabella!$G$1,MATCH(H915,Tabella!$G:$G,0)-1,MATCH(I915,Tabella!$G$1:$AB$1,0)-1)),4)</f>
        <v>0</v>
      </c>
      <c r="Q915" s="446">
        <f ca="1">ROUND(IF(ISERROR(OFFSET(Ottone!$F$1,MATCH(H915,Ottone!$A:$A,0)-1,MATCH(I915,Ottone!$F$1:$FF$1,0)-1)=TRUE),0,OFFSET(Ottone!$F$1,MATCH(H915,Ottone!$A:$A,0)-1,MATCH(I915,Ottone!$F$1:$FF$1,0)-1))*IF(E915="Ottone",1,0),4)</f>
        <v>0</v>
      </c>
      <c r="R915" s="446">
        <f ca="1">ROUND(IF(ISERROR(OFFSET(Rame!$F$1,MATCH(H915,Rame!$F:$F,0)-1,MATCH(I915,Rame!$F$1:$FF$1,0)-1)=TRUE),0,OFFSET(Rame!$F$1,MATCH(H915,Rame!$F:$F,0)-1,MATCH(I915,Rame!$F$1:$FF$1,0)-1))*IF(E915="Rame",1,0),4)</f>
        <v>0</v>
      </c>
      <c r="S915" s="446">
        <f ca="1">ROUND(IF(ISERROR(OFFSET(Bronzo!$A$1,MATCH(H915,Bronzo!$A:$A,0)-1,MATCH(I915,Bronzo!$A$1:$AA$1,0)-1)=TRUE),0,OFFSET(Bronzo!$A$1,MATCH(H915,Bronzo!$A:$A,0)-1,MATCH(I915,Bronzo!$A$1:$AA$1,0)-1)),4)</f>
        <v>0</v>
      </c>
      <c r="T915" s="446">
        <f t="shared" ca="1" si="215"/>
        <v>0</v>
      </c>
      <c r="U915" s="443"/>
      <c r="V915" s="446">
        <v>0</v>
      </c>
      <c r="W915" s="449">
        <f t="shared" ca="1" si="216"/>
        <v>0</v>
      </c>
      <c r="X915" s="452">
        <f t="shared" si="222"/>
        <v>0</v>
      </c>
      <c r="Y915" s="440"/>
      <c r="Z915" s="440">
        <f t="shared" ca="1" si="217"/>
        <v>0</v>
      </c>
      <c r="AA915" s="241"/>
      <c r="AF915" s="225">
        <f t="shared" ca="1" si="221"/>
        <v>46156</v>
      </c>
      <c r="AG915" s="225" t="b">
        <f t="shared" si="122"/>
        <v>1</v>
      </c>
      <c r="AH915" s="242" t="str">
        <f t="shared" si="123"/>
        <v/>
      </c>
      <c r="AK915" s="223">
        <f t="shared" si="124"/>
        <v>0</v>
      </c>
      <c r="AL915" s="223">
        <f t="shared" si="125"/>
        <v>1900</v>
      </c>
      <c r="AS915" s="223">
        <f t="shared" si="218"/>
        <v>0</v>
      </c>
      <c r="AT915" s="223">
        <f t="shared" si="219"/>
        <v>0</v>
      </c>
    </row>
    <row r="916" spans="2:46" ht="15.75" x14ac:dyDescent="0.25">
      <c r="B916" s="229"/>
      <c r="C916" s="235"/>
      <c r="D916" s="243"/>
      <c r="E916" s="232"/>
      <c r="F916" s="435"/>
      <c r="G916" s="234"/>
      <c r="H916" s="235"/>
      <c r="I916" s="235"/>
      <c r="J916" s="440"/>
      <c r="K916" s="443">
        <f ca="1">ROUND(IF(ISERROR(OFFSET(Tabella!$A$1,MATCH(H916,Tabella!$A:$A,0)-1,MATCH(J916,Tabella!$A$1:$AC$1,0)-1)=TRUE),0,+OFFSET(Tabella!$A$1,MATCH(H916,Tabella!$A:$A,0)-1,MATCH(J916,Tabella!$A$1:$AC$1,0)-1)),4)</f>
        <v>0</v>
      </c>
      <c r="L916" s="446">
        <f ca="1">ROUND(IF(ISERROR(OFFSET(Ottone!$A$1,MATCH(H916,Ottone!$A:$A,0)-1,MATCH(J916,Ottone!$A$1:$Z$1,0)-1)=TRUE),0,OFFSET(Ottone!$A$1,MATCH(H916,Ottone!$A:$A,0)-1,MATCH(J916,Ottone!$A$1:$Z$1,0)-1))*IF(E916="Ottone",1,0),4)</f>
        <v>0</v>
      </c>
      <c r="M916" s="446">
        <f ca="1">ROUND(IF(ISERROR(OFFSET(Rame!$A$1,MATCH(H916,Rame!$A:$A,0)-1,MATCH(J916,Rame!$A$1:$AA$1,0)-1)=TRUE),0,OFFSET(Rame!$A$1,MATCH(H916,Rame!$A:$A,0)-1,MATCH(J916,Rame!$A$1:$AA$1,0)-1))*IF(E916="Rame",1,0),4)</f>
        <v>0</v>
      </c>
      <c r="N916" s="446">
        <v>0</v>
      </c>
      <c r="O916" s="446">
        <f t="shared" ca="1" si="220"/>
        <v>0</v>
      </c>
      <c r="P916" s="446">
        <f ca="1">ROUND(+IF(ISERROR(OFFSET(Tabella!$G$1,MATCH(H916,Tabella!$G:$G,0)-1,MATCH(I916,Tabella!$G$1:$FG$1,0)-1)=TRUE),0,OFFSET(Tabella!$G$1,MATCH(H916,Tabella!$G:$G,0)-1,MATCH(I916,Tabella!$G$1:$AB$1,0)-1)),4)</f>
        <v>0</v>
      </c>
      <c r="Q916" s="446">
        <f ca="1">ROUND(IF(ISERROR(OFFSET(Ottone!$F$1,MATCH(H916,Ottone!$A:$A,0)-1,MATCH(I916,Ottone!$F$1:$FF$1,0)-1)=TRUE),0,OFFSET(Ottone!$F$1,MATCH(H916,Ottone!$A:$A,0)-1,MATCH(I916,Ottone!$F$1:$FF$1,0)-1))*IF(E916="Ottone",1,0),4)</f>
        <v>0</v>
      </c>
      <c r="R916" s="446">
        <f ca="1">ROUND(IF(ISERROR(OFFSET(Rame!$F$1,MATCH(H916,Rame!$F:$F,0)-1,MATCH(I916,Rame!$F$1:$FF$1,0)-1)=TRUE),0,OFFSET(Rame!$F$1,MATCH(H916,Rame!$F:$F,0)-1,MATCH(I916,Rame!$F$1:$FF$1,0)-1))*IF(E916="Rame",1,0),4)</f>
        <v>0</v>
      </c>
      <c r="S916" s="446">
        <f ca="1">ROUND(IF(ISERROR(OFFSET(Bronzo!$A$1,MATCH(H916,Bronzo!$A:$A,0)-1,MATCH(I916,Bronzo!$A$1:$AA$1,0)-1)=TRUE),0,OFFSET(Bronzo!$A$1,MATCH(H916,Bronzo!$A:$A,0)-1,MATCH(I916,Bronzo!$A$1:$AA$1,0)-1)),4)</f>
        <v>0</v>
      </c>
      <c r="T916" s="446">
        <f t="shared" ca="1" si="215"/>
        <v>0</v>
      </c>
      <c r="U916" s="443"/>
      <c r="V916" s="446">
        <v>0</v>
      </c>
      <c r="W916" s="449">
        <f t="shared" ca="1" si="216"/>
        <v>0</v>
      </c>
      <c r="X916" s="452">
        <f t="shared" si="222"/>
        <v>0</v>
      </c>
      <c r="Y916" s="440"/>
      <c r="Z916" s="440">
        <f t="shared" ca="1" si="217"/>
        <v>0</v>
      </c>
      <c r="AA916" s="241"/>
      <c r="AF916" s="225">
        <f t="shared" ca="1" si="221"/>
        <v>46156</v>
      </c>
      <c r="AG916" s="225" t="b">
        <f t="shared" si="122"/>
        <v>1</v>
      </c>
      <c r="AH916" s="242" t="str">
        <f t="shared" si="123"/>
        <v/>
      </c>
      <c r="AK916" s="223">
        <f t="shared" si="124"/>
        <v>0</v>
      </c>
      <c r="AL916" s="223">
        <f t="shared" si="125"/>
        <v>1900</v>
      </c>
      <c r="AS916" s="223">
        <f t="shared" si="218"/>
        <v>0</v>
      </c>
      <c r="AT916" s="223">
        <f t="shared" si="219"/>
        <v>0</v>
      </c>
    </row>
    <row r="917" spans="2:46" ht="15.75" x14ac:dyDescent="0.25">
      <c r="B917" s="229"/>
      <c r="C917" s="235"/>
      <c r="D917" s="243"/>
      <c r="E917" s="232"/>
      <c r="F917" s="435"/>
      <c r="G917" s="234"/>
      <c r="H917" s="235"/>
      <c r="I917" s="235"/>
      <c r="J917" s="440"/>
      <c r="K917" s="443">
        <f ca="1">ROUND(IF(ISERROR(OFFSET(Tabella!$A$1,MATCH(H917,Tabella!$A:$A,0)-1,MATCH(J917,Tabella!$A$1:$AC$1,0)-1)=TRUE),0,+OFFSET(Tabella!$A$1,MATCH(H917,Tabella!$A:$A,0)-1,MATCH(J917,Tabella!$A$1:$AC$1,0)-1)),4)</f>
        <v>0</v>
      </c>
      <c r="L917" s="446">
        <f ca="1">ROUND(IF(ISERROR(OFFSET(Ottone!$A$1,MATCH(H917,Ottone!$A:$A,0)-1,MATCH(J917,Ottone!$A$1:$Z$1,0)-1)=TRUE),0,OFFSET(Ottone!$A$1,MATCH(H917,Ottone!$A:$A,0)-1,MATCH(J917,Ottone!$A$1:$Z$1,0)-1))*IF(E917="Ottone",1,0),4)</f>
        <v>0</v>
      </c>
      <c r="M917" s="446">
        <f ca="1">ROUND(IF(ISERROR(OFFSET(Rame!$A$1,MATCH(H917,Rame!$A:$A,0)-1,MATCH(J917,Rame!$A$1:$AA$1,0)-1)=TRUE),0,OFFSET(Rame!$A$1,MATCH(H917,Rame!$A:$A,0)-1,MATCH(J917,Rame!$A$1:$AA$1,0)-1))*IF(E917="Rame",1,0),4)</f>
        <v>0</v>
      </c>
      <c r="N917" s="446">
        <v>0</v>
      </c>
      <c r="O917" s="446">
        <f t="shared" ca="1" si="220"/>
        <v>0</v>
      </c>
      <c r="P917" s="446">
        <f ca="1">ROUND(+IF(ISERROR(OFFSET(Tabella!$G$1,MATCH(H917,Tabella!$G:$G,0)-1,MATCH(I917,Tabella!$G$1:$FG$1,0)-1)=TRUE),0,OFFSET(Tabella!$G$1,MATCH(H917,Tabella!$G:$G,0)-1,MATCH(I917,Tabella!$G$1:$AB$1,0)-1)),4)</f>
        <v>0</v>
      </c>
      <c r="Q917" s="446">
        <f ca="1">ROUND(IF(ISERROR(OFFSET(Ottone!$F$1,MATCH(H917,Ottone!$A:$A,0)-1,MATCH(I917,Ottone!$F$1:$FF$1,0)-1)=TRUE),0,OFFSET(Ottone!$F$1,MATCH(H917,Ottone!$A:$A,0)-1,MATCH(I917,Ottone!$F$1:$FF$1,0)-1))*IF(E917="Ottone",1,0),4)</f>
        <v>0</v>
      </c>
      <c r="R917" s="446">
        <f ca="1">ROUND(IF(ISERROR(OFFSET(Rame!$F$1,MATCH(H917,Rame!$F:$F,0)-1,MATCH(I917,Rame!$F$1:$FF$1,0)-1)=TRUE),0,OFFSET(Rame!$F$1,MATCH(H917,Rame!$F:$F,0)-1,MATCH(I917,Rame!$F$1:$FF$1,0)-1))*IF(E917="Rame",1,0),4)</f>
        <v>0</v>
      </c>
      <c r="S917" s="446">
        <f ca="1">ROUND(IF(ISERROR(OFFSET(Bronzo!$A$1,MATCH(H917,Bronzo!$A:$A,0)-1,MATCH(I917,Bronzo!$A$1:$AA$1,0)-1)=TRUE),0,OFFSET(Bronzo!$A$1,MATCH(H917,Bronzo!$A:$A,0)-1,MATCH(I917,Bronzo!$A$1:$AA$1,0)-1)),4)</f>
        <v>0</v>
      </c>
      <c r="T917" s="446">
        <f t="shared" ca="1" si="215"/>
        <v>0</v>
      </c>
      <c r="U917" s="443"/>
      <c r="V917" s="446">
        <v>0</v>
      </c>
      <c r="W917" s="449">
        <f t="shared" ca="1" si="216"/>
        <v>0</v>
      </c>
      <c r="X917" s="452">
        <f t="shared" si="222"/>
        <v>0</v>
      </c>
      <c r="Y917" s="440"/>
      <c r="Z917" s="440">
        <f t="shared" ca="1" si="217"/>
        <v>0</v>
      </c>
      <c r="AA917" s="241"/>
      <c r="AF917" s="225">
        <f t="shared" ca="1" si="221"/>
        <v>46156</v>
      </c>
      <c r="AG917" s="225" t="b">
        <f t="shared" si="122"/>
        <v>1</v>
      </c>
      <c r="AH917" s="242" t="str">
        <f t="shared" si="123"/>
        <v/>
      </c>
      <c r="AK917" s="223">
        <f t="shared" si="124"/>
        <v>0</v>
      </c>
      <c r="AL917" s="223">
        <f t="shared" si="125"/>
        <v>1900</v>
      </c>
      <c r="AS917" s="223">
        <f t="shared" si="218"/>
        <v>0</v>
      </c>
      <c r="AT917" s="223">
        <f t="shared" si="219"/>
        <v>0</v>
      </c>
    </row>
    <row r="918" spans="2:46" ht="15.75" x14ac:dyDescent="0.25">
      <c r="B918" s="229"/>
      <c r="C918" s="235"/>
      <c r="D918" s="243"/>
      <c r="E918" s="232"/>
      <c r="F918" s="435"/>
      <c r="G918" s="234"/>
      <c r="H918" s="235"/>
      <c r="I918" s="235"/>
      <c r="J918" s="440"/>
      <c r="K918" s="443">
        <f ca="1">ROUND(IF(ISERROR(OFFSET(Tabella!$A$1,MATCH(H918,Tabella!$A:$A,0)-1,MATCH(J918,Tabella!$A$1:$AC$1,0)-1)=TRUE),0,+OFFSET(Tabella!$A$1,MATCH(H918,Tabella!$A:$A,0)-1,MATCH(J918,Tabella!$A$1:$AC$1,0)-1)),4)</f>
        <v>0</v>
      </c>
      <c r="L918" s="446">
        <f ca="1">ROUND(IF(ISERROR(OFFSET(Ottone!$A$1,MATCH(H918,Ottone!$A:$A,0)-1,MATCH(J918,Ottone!$A$1:$Z$1,0)-1)=TRUE),0,OFFSET(Ottone!$A$1,MATCH(H918,Ottone!$A:$A,0)-1,MATCH(J918,Ottone!$A$1:$Z$1,0)-1))*IF(E918="Ottone",1,0),4)</f>
        <v>0</v>
      </c>
      <c r="M918" s="446">
        <f ca="1">ROUND(IF(ISERROR(OFFSET(Rame!$A$1,MATCH(H918,Rame!$A:$A,0)-1,MATCH(J918,Rame!$A$1:$AA$1,0)-1)=TRUE),0,OFFSET(Rame!$A$1,MATCH(H918,Rame!$A:$A,0)-1,MATCH(J918,Rame!$A$1:$AA$1,0)-1))*IF(E918="Rame",1,0),4)</f>
        <v>0</v>
      </c>
      <c r="N918" s="446">
        <v>0</v>
      </c>
      <c r="O918" s="446">
        <f t="shared" ca="1" si="220"/>
        <v>0</v>
      </c>
      <c r="P918" s="446">
        <f ca="1">ROUND(+IF(ISERROR(OFFSET(Tabella!$G$1,MATCH(H918,Tabella!$G:$G,0)-1,MATCH(I918,Tabella!$G$1:$FG$1,0)-1)=TRUE),0,OFFSET(Tabella!$G$1,MATCH(H918,Tabella!$G:$G,0)-1,MATCH(I918,Tabella!$G$1:$AB$1,0)-1)),4)</f>
        <v>0</v>
      </c>
      <c r="Q918" s="446">
        <f ca="1">ROUND(IF(ISERROR(OFFSET(Ottone!$F$1,MATCH(H918,Ottone!$A:$A,0)-1,MATCH(I918,Ottone!$F$1:$FF$1,0)-1)=TRUE),0,OFFSET(Ottone!$F$1,MATCH(H918,Ottone!$A:$A,0)-1,MATCH(I918,Ottone!$F$1:$FF$1,0)-1))*IF(E918="Ottone",1,0),4)</f>
        <v>0</v>
      </c>
      <c r="R918" s="446">
        <f ca="1">ROUND(IF(ISERROR(OFFSET(Rame!$F$1,MATCH(H918,Rame!$F:$F,0)-1,MATCH(I918,Rame!$F$1:$FF$1,0)-1)=TRUE),0,OFFSET(Rame!$F$1,MATCH(H918,Rame!$F:$F,0)-1,MATCH(I918,Rame!$F$1:$FF$1,0)-1))*IF(E918="Rame",1,0),4)</f>
        <v>0</v>
      </c>
      <c r="S918" s="446">
        <f ca="1">ROUND(IF(ISERROR(OFFSET(Bronzo!$A$1,MATCH(H918,Bronzo!$A:$A,0)-1,MATCH(I918,Bronzo!$A$1:$AA$1,0)-1)=TRUE),0,OFFSET(Bronzo!$A$1,MATCH(H918,Bronzo!$A:$A,0)-1,MATCH(I918,Bronzo!$A$1:$AA$1,0)-1)),4)</f>
        <v>0</v>
      </c>
      <c r="T918" s="446">
        <f t="shared" ca="1" si="215"/>
        <v>0</v>
      </c>
      <c r="U918" s="443"/>
      <c r="V918" s="446">
        <v>0</v>
      </c>
      <c r="W918" s="449">
        <f t="shared" ca="1" si="216"/>
        <v>0</v>
      </c>
      <c r="X918" s="452">
        <f t="shared" si="222"/>
        <v>0</v>
      </c>
      <c r="Y918" s="440"/>
      <c r="Z918" s="440">
        <f t="shared" ca="1" si="217"/>
        <v>0</v>
      </c>
      <c r="AA918" s="241"/>
      <c r="AF918" s="225">
        <f t="shared" ca="1" si="221"/>
        <v>46156</v>
      </c>
      <c r="AG918" s="225" t="b">
        <f t="shared" si="122"/>
        <v>1</v>
      </c>
      <c r="AH918" s="242" t="str">
        <f t="shared" si="123"/>
        <v/>
      </c>
      <c r="AK918" s="223">
        <f t="shared" si="124"/>
        <v>0</v>
      </c>
      <c r="AL918" s="223">
        <f t="shared" si="125"/>
        <v>1900</v>
      </c>
      <c r="AS918" s="223">
        <f t="shared" si="218"/>
        <v>0</v>
      </c>
      <c r="AT918" s="223">
        <f t="shared" si="219"/>
        <v>0</v>
      </c>
    </row>
    <row r="919" spans="2:46" ht="15.75" x14ac:dyDescent="0.25">
      <c r="B919" s="229"/>
      <c r="C919" s="235"/>
      <c r="D919" s="243"/>
      <c r="E919" s="232"/>
      <c r="F919" s="435"/>
      <c r="G919" s="234"/>
      <c r="H919" s="235"/>
      <c r="I919" s="235"/>
      <c r="J919" s="440"/>
      <c r="K919" s="443">
        <f ca="1">ROUND(IF(ISERROR(OFFSET(Tabella!$A$1,MATCH(H919,Tabella!$A:$A,0)-1,MATCH(J919,Tabella!$A$1:$AC$1,0)-1)=TRUE),0,+OFFSET(Tabella!$A$1,MATCH(H919,Tabella!$A:$A,0)-1,MATCH(J919,Tabella!$A$1:$AC$1,0)-1)),4)</f>
        <v>0</v>
      </c>
      <c r="L919" s="446">
        <f ca="1">ROUND(IF(ISERROR(OFFSET(Ottone!$A$1,MATCH(H919,Ottone!$A:$A,0)-1,MATCH(J919,Ottone!$A$1:$Z$1,0)-1)=TRUE),0,OFFSET(Ottone!$A$1,MATCH(H919,Ottone!$A:$A,0)-1,MATCH(J919,Ottone!$A$1:$Z$1,0)-1))*IF(E919="Ottone",1,0),4)</f>
        <v>0</v>
      </c>
      <c r="M919" s="446">
        <f ca="1">ROUND(IF(ISERROR(OFFSET(Rame!$A$1,MATCH(H919,Rame!$A:$A,0)-1,MATCH(J919,Rame!$A$1:$AA$1,0)-1)=TRUE),0,OFFSET(Rame!$A$1,MATCH(H919,Rame!$A:$A,0)-1,MATCH(J919,Rame!$A$1:$AA$1,0)-1))*IF(E919="Rame",1,0),4)</f>
        <v>0</v>
      </c>
      <c r="N919" s="446">
        <v>0</v>
      </c>
      <c r="O919" s="446">
        <f t="shared" ca="1" si="220"/>
        <v>0</v>
      </c>
      <c r="P919" s="446">
        <f ca="1">ROUND(+IF(ISERROR(OFFSET(Tabella!$G$1,MATCH(H919,Tabella!$G:$G,0)-1,MATCH(I919,Tabella!$G$1:$FG$1,0)-1)=TRUE),0,OFFSET(Tabella!$G$1,MATCH(H919,Tabella!$G:$G,0)-1,MATCH(I919,Tabella!$G$1:$AB$1,0)-1)),4)</f>
        <v>0</v>
      </c>
      <c r="Q919" s="446">
        <f ca="1">ROUND(IF(ISERROR(OFFSET(Ottone!$F$1,MATCH(H919,Ottone!$A:$A,0)-1,MATCH(I919,Ottone!$F$1:$FF$1,0)-1)=TRUE),0,OFFSET(Ottone!$F$1,MATCH(H919,Ottone!$A:$A,0)-1,MATCH(I919,Ottone!$F$1:$FF$1,0)-1))*IF(E919="Ottone",1,0),4)</f>
        <v>0</v>
      </c>
      <c r="R919" s="446">
        <f ca="1">ROUND(IF(ISERROR(OFFSET(Rame!$F$1,MATCH(H919,Rame!$F:$F,0)-1,MATCH(I919,Rame!$F$1:$FF$1,0)-1)=TRUE),0,OFFSET(Rame!$F$1,MATCH(H919,Rame!$F:$F,0)-1,MATCH(I919,Rame!$F$1:$FF$1,0)-1))*IF(E919="Rame",1,0),4)</f>
        <v>0</v>
      </c>
      <c r="S919" s="446">
        <f ca="1">ROUND(IF(ISERROR(OFFSET(Bronzo!$A$1,MATCH(H919,Bronzo!$A:$A,0)-1,MATCH(I919,Bronzo!$A$1:$AA$1,0)-1)=TRUE),0,OFFSET(Bronzo!$A$1,MATCH(H919,Bronzo!$A:$A,0)-1,MATCH(I919,Bronzo!$A$1:$AA$1,0)-1)),4)</f>
        <v>0</v>
      </c>
      <c r="T919" s="446">
        <f t="shared" ref="T919:T982" ca="1" si="223">ROUND(SUM(P919:S919),4)</f>
        <v>0</v>
      </c>
      <c r="U919" s="443"/>
      <c r="V919" s="446">
        <v>0</v>
      </c>
      <c r="W919" s="449">
        <f t="shared" ref="W919:W982" ca="1" si="224">ROUND(+O919+T919+U919+V919,4)</f>
        <v>0</v>
      </c>
      <c r="X919" s="452">
        <f t="shared" si="222"/>
        <v>0</v>
      </c>
      <c r="Y919" s="440"/>
      <c r="Z919" s="440">
        <f t="shared" ref="Z919:Z982" ca="1" si="225">ROUND(+Y919-W919-F919,4)</f>
        <v>0</v>
      </c>
      <c r="AA919" s="241"/>
      <c r="AF919" s="225">
        <f t="shared" ca="1" si="221"/>
        <v>46156</v>
      </c>
      <c r="AG919" s="225" t="b">
        <f t="shared" si="122"/>
        <v>1</v>
      </c>
      <c r="AH919" s="242" t="str">
        <f t="shared" si="123"/>
        <v/>
      </c>
      <c r="AK919" s="223">
        <f t="shared" si="124"/>
        <v>0</v>
      </c>
      <c r="AL919" s="223">
        <f t="shared" si="125"/>
        <v>1900</v>
      </c>
      <c r="AS919" s="223">
        <f t="shared" si="218"/>
        <v>0</v>
      </c>
      <c r="AT919" s="223">
        <f t="shared" si="219"/>
        <v>0</v>
      </c>
    </row>
    <row r="920" spans="2:46" ht="15.75" x14ac:dyDescent="0.25">
      <c r="B920" s="229"/>
      <c r="C920" s="235"/>
      <c r="D920" s="243"/>
      <c r="E920" s="232"/>
      <c r="F920" s="435"/>
      <c r="G920" s="234"/>
      <c r="H920" s="235"/>
      <c r="I920" s="235"/>
      <c r="J920" s="440"/>
      <c r="K920" s="443">
        <f ca="1">ROUND(IF(ISERROR(OFFSET(Tabella!$A$1,MATCH(H920,Tabella!$A:$A,0)-1,MATCH(J920,Tabella!$A$1:$AC$1,0)-1)=TRUE),0,+OFFSET(Tabella!$A$1,MATCH(H920,Tabella!$A:$A,0)-1,MATCH(J920,Tabella!$A$1:$AC$1,0)-1)),4)</f>
        <v>0</v>
      </c>
      <c r="L920" s="446">
        <f ca="1">ROUND(IF(ISERROR(OFFSET(Ottone!$A$1,MATCH(H920,Ottone!$A:$A,0)-1,MATCH(J920,Ottone!$A$1:$Z$1,0)-1)=TRUE),0,OFFSET(Ottone!$A$1,MATCH(H920,Ottone!$A:$A,0)-1,MATCH(J920,Ottone!$A$1:$Z$1,0)-1))*IF(E920="Ottone",1,0),4)</f>
        <v>0</v>
      </c>
      <c r="M920" s="446">
        <f ca="1">ROUND(IF(ISERROR(OFFSET(Rame!$A$1,MATCH(H920,Rame!$A:$A,0)-1,MATCH(J920,Rame!$A$1:$AA$1,0)-1)=TRUE),0,OFFSET(Rame!$A$1,MATCH(H920,Rame!$A:$A,0)-1,MATCH(J920,Rame!$A$1:$AA$1,0)-1))*IF(E920="Rame",1,0),4)</f>
        <v>0</v>
      </c>
      <c r="N920" s="446">
        <v>0</v>
      </c>
      <c r="O920" s="446">
        <f t="shared" ca="1" si="220"/>
        <v>0</v>
      </c>
      <c r="P920" s="446">
        <f ca="1">ROUND(+IF(ISERROR(OFFSET(Tabella!$G$1,MATCH(H920,Tabella!$G:$G,0)-1,MATCH(I920,Tabella!$G$1:$FG$1,0)-1)=TRUE),0,OFFSET(Tabella!$G$1,MATCH(H920,Tabella!$G:$G,0)-1,MATCH(I920,Tabella!$G$1:$AB$1,0)-1)),4)</f>
        <v>0</v>
      </c>
      <c r="Q920" s="446">
        <f ca="1">ROUND(IF(ISERROR(OFFSET(Ottone!$F$1,MATCH(H920,Ottone!$A:$A,0)-1,MATCH(I920,Ottone!$F$1:$FF$1,0)-1)=TRUE),0,OFFSET(Ottone!$F$1,MATCH(H920,Ottone!$A:$A,0)-1,MATCH(I920,Ottone!$F$1:$FF$1,0)-1))*IF(E920="Ottone",1,0),4)</f>
        <v>0</v>
      </c>
      <c r="R920" s="446">
        <f ca="1">ROUND(IF(ISERROR(OFFSET(Rame!$F$1,MATCH(H920,Rame!$F:$F,0)-1,MATCH(I920,Rame!$F$1:$FF$1,0)-1)=TRUE),0,OFFSET(Rame!$F$1,MATCH(H920,Rame!$F:$F,0)-1,MATCH(I920,Rame!$F$1:$FF$1,0)-1))*IF(E920="Rame",1,0),4)</f>
        <v>0</v>
      </c>
      <c r="S920" s="446">
        <f ca="1">ROUND(IF(ISERROR(OFFSET(Bronzo!$A$1,MATCH(H920,Bronzo!$A:$A,0)-1,MATCH(I920,Bronzo!$A$1:$AA$1,0)-1)=TRUE),0,OFFSET(Bronzo!$A$1,MATCH(H920,Bronzo!$A:$A,0)-1,MATCH(I920,Bronzo!$A$1:$AA$1,0)-1)),4)</f>
        <v>0</v>
      </c>
      <c r="T920" s="446">
        <f t="shared" ca="1" si="223"/>
        <v>0</v>
      </c>
      <c r="U920" s="443"/>
      <c r="V920" s="446">
        <v>0</v>
      </c>
      <c r="W920" s="449">
        <f t="shared" ca="1" si="224"/>
        <v>0</v>
      </c>
      <c r="X920" s="452">
        <f t="shared" si="222"/>
        <v>0</v>
      </c>
      <c r="Y920" s="440"/>
      <c r="Z920" s="440">
        <f t="shared" ca="1" si="225"/>
        <v>0</v>
      </c>
      <c r="AA920" s="241"/>
      <c r="AF920" s="225">
        <f t="shared" ca="1" si="221"/>
        <v>46156</v>
      </c>
      <c r="AG920" s="225" t="b">
        <f t="shared" si="122"/>
        <v>1</v>
      </c>
      <c r="AH920" s="242" t="str">
        <f t="shared" si="123"/>
        <v/>
      </c>
      <c r="AK920" s="223">
        <f t="shared" si="124"/>
        <v>0</v>
      </c>
      <c r="AL920" s="223">
        <f t="shared" si="125"/>
        <v>1900</v>
      </c>
      <c r="AS920" s="223">
        <f t="shared" si="218"/>
        <v>0</v>
      </c>
      <c r="AT920" s="223">
        <f t="shared" si="219"/>
        <v>0</v>
      </c>
    </row>
    <row r="921" spans="2:46" ht="15.75" x14ac:dyDescent="0.25">
      <c r="B921" s="229"/>
      <c r="C921" s="235"/>
      <c r="D921" s="243"/>
      <c r="E921" s="232"/>
      <c r="F921" s="435"/>
      <c r="G921" s="234"/>
      <c r="H921" s="235"/>
      <c r="I921" s="235"/>
      <c r="J921" s="440"/>
      <c r="K921" s="443">
        <f ca="1">ROUND(IF(ISERROR(OFFSET(Tabella!$A$1,MATCH(H921,Tabella!$A:$A,0)-1,MATCH(J921,Tabella!$A$1:$AC$1,0)-1)=TRUE),0,+OFFSET(Tabella!$A$1,MATCH(H921,Tabella!$A:$A,0)-1,MATCH(J921,Tabella!$A$1:$AC$1,0)-1)),4)</f>
        <v>0</v>
      </c>
      <c r="L921" s="446">
        <f ca="1">ROUND(IF(ISERROR(OFFSET(Ottone!$A$1,MATCH(H921,Ottone!$A:$A,0)-1,MATCH(J921,Ottone!$A$1:$Z$1,0)-1)=TRUE),0,OFFSET(Ottone!$A$1,MATCH(H921,Ottone!$A:$A,0)-1,MATCH(J921,Ottone!$A$1:$Z$1,0)-1))*IF(E921="Ottone",1,0),4)</f>
        <v>0</v>
      </c>
      <c r="M921" s="446">
        <f ca="1">ROUND(IF(ISERROR(OFFSET(Rame!$A$1,MATCH(H921,Rame!$A:$A,0)-1,MATCH(J921,Rame!$A$1:$AA$1,0)-1)=TRUE),0,OFFSET(Rame!$A$1,MATCH(H921,Rame!$A:$A,0)-1,MATCH(J921,Rame!$A$1:$AA$1,0)-1))*IF(E921="Rame",1,0),4)</f>
        <v>0</v>
      </c>
      <c r="N921" s="446">
        <v>0</v>
      </c>
      <c r="O921" s="446">
        <f t="shared" ca="1" si="220"/>
        <v>0</v>
      </c>
      <c r="P921" s="446">
        <f ca="1">ROUND(+IF(ISERROR(OFFSET(Tabella!$G$1,MATCH(H921,Tabella!$G:$G,0)-1,MATCH(I921,Tabella!$G$1:$FG$1,0)-1)=TRUE),0,OFFSET(Tabella!$G$1,MATCH(H921,Tabella!$G:$G,0)-1,MATCH(I921,Tabella!$G$1:$AB$1,0)-1)),4)</f>
        <v>0</v>
      </c>
      <c r="Q921" s="446">
        <f ca="1">ROUND(IF(ISERROR(OFFSET(Ottone!$F$1,MATCH(H921,Ottone!$A:$A,0)-1,MATCH(I921,Ottone!$F$1:$FF$1,0)-1)=TRUE),0,OFFSET(Ottone!$F$1,MATCH(H921,Ottone!$A:$A,0)-1,MATCH(I921,Ottone!$F$1:$FF$1,0)-1))*IF(E921="Ottone",1,0),4)</f>
        <v>0</v>
      </c>
      <c r="R921" s="446">
        <f ca="1">ROUND(IF(ISERROR(OFFSET(Rame!$F$1,MATCH(H921,Rame!$F:$F,0)-1,MATCH(I921,Rame!$F$1:$FF$1,0)-1)=TRUE),0,OFFSET(Rame!$F$1,MATCH(H921,Rame!$F:$F,0)-1,MATCH(I921,Rame!$F$1:$FF$1,0)-1))*IF(E921="Rame",1,0),4)</f>
        <v>0</v>
      </c>
      <c r="S921" s="446">
        <f ca="1">ROUND(IF(ISERROR(OFFSET(Bronzo!$A$1,MATCH(H921,Bronzo!$A:$A,0)-1,MATCH(I921,Bronzo!$A$1:$AA$1,0)-1)=TRUE),0,OFFSET(Bronzo!$A$1,MATCH(H921,Bronzo!$A:$A,0)-1,MATCH(I921,Bronzo!$A$1:$AA$1,0)-1)),4)</f>
        <v>0</v>
      </c>
      <c r="T921" s="446">
        <f t="shared" ca="1" si="223"/>
        <v>0</v>
      </c>
      <c r="U921" s="443"/>
      <c r="V921" s="446">
        <v>0</v>
      </c>
      <c r="W921" s="449">
        <f t="shared" ca="1" si="224"/>
        <v>0</v>
      </c>
      <c r="X921" s="452">
        <f t="shared" si="222"/>
        <v>0</v>
      </c>
      <c r="Y921" s="440"/>
      <c r="Z921" s="440">
        <f t="shared" ca="1" si="225"/>
        <v>0</v>
      </c>
      <c r="AA921" s="241"/>
      <c r="AF921" s="225">
        <f t="shared" ca="1" si="221"/>
        <v>46156</v>
      </c>
      <c r="AG921" s="225" t="b">
        <f t="shared" si="122"/>
        <v>1</v>
      </c>
      <c r="AH921" s="242" t="str">
        <f t="shared" si="123"/>
        <v/>
      </c>
      <c r="AK921" s="223">
        <f t="shared" si="124"/>
        <v>0</v>
      </c>
      <c r="AL921" s="223">
        <f t="shared" si="125"/>
        <v>1900</v>
      </c>
      <c r="AS921" s="223">
        <f t="shared" si="218"/>
        <v>0</v>
      </c>
      <c r="AT921" s="223">
        <f t="shared" si="219"/>
        <v>0</v>
      </c>
    </row>
    <row r="922" spans="2:46" ht="15.75" x14ac:dyDescent="0.25">
      <c r="B922" s="229"/>
      <c r="C922" s="235"/>
      <c r="D922" s="243"/>
      <c r="E922" s="232"/>
      <c r="F922" s="435"/>
      <c r="G922" s="234"/>
      <c r="H922" s="235"/>
      <c r="I922" s="235"/>
      <c r="J922" s="440"/>
      <c r="K922" s="443">
        <f ca="1">ROUND(IF(ISERROR(OFFSET(Tabella!$A$1,MATCH(H922,Tabella!$A:$A,0)-1,MATCH(J922,Tabella!$A$1:$AC$1,0)-1)=TRUE),0,+OFFSET(Tabella!$A$1,MATCH(H922,Tabella!$A:$A,0)-1,MATCH(J922,Tabella!$A$1:$AC$1,0)-1)),4)</f>
        <v>0</v>
      </c>
      <c r="L922" s="446">
        <f ca="1">ROUND(IF(ISERROR(OFFSET(Ottone!$A$1,MATCH(H922,Ottone!$A:$A,0)-1,MATCH(J922,Ottone!$A$1:$Z$1,0)-1)=TRUE),0,OFFSET(Ottone!$A$1,MATCH(H922,Ottone!$A:$A,0)-1,MATCH(J922,Ottone!$A$1:$Z$1,0)-1))*IF(E922="Ottone",1,0),4)</f>
        <v>0</v>
      </c>
      <c r="M922" s="446">
        <f ca="1">ROUND(IF(ISERROR(OFFSET(Rame!$A$1,MATCH(H922,Rame!$A:$A,0)-1,MATCH(J922,Rame!$A$1:$AA$1,0)-1)=TRUE),0,OFFSET(Rame!$A$1,MATCH(H922,Rame!$A:$A,0)-1,MATCH(J922,Rame!$A$1:$AA$1,0)-1))*IF(E922="Rame",1,0),4)</f>
        <v>0</v>
      </c>
      <c r="N922" s="446">
        <v>0</v>
      </c>
      <c r="O922" s="446">
        <f t="shared" ca="1" si="220"/>
        <v>0</v>
      </c>
      <c r="P922" s="446">
        <f ca="1">ROUND(+IF(ISERROR(OFFSET(Tabella!$G$1,MATCH(H922,Tabella!$G:$G,0)-1,MATCH(I922,Tabella!$G$1:$FG$1,0)-1)=TRUE),0,OFFSET(Tabella!$G$1,MATCH(H922,Tabella!$G:$G,0)-1,MATCH(I922,Tabella!$G$1:$AB$1,0)-1)),4)</f>
        <v>0</v>
      </c>
      <c r="Q922" s="446">
        <f ca="1">ROUND(IF(ISERROR(OFFSET(Ottone!$F$1,MATCH(H922,Ottone!$A:$A,0)-1,MATCH(I922,Ottone!$F$1:$FF$1,0)-1)=TRUE),0,OFFSET(Ottone!$F$1,MATCH(H922,Ottone!$A:$A,0)-1,MATCH(I922,Ottone!$F$1:$FF$1,0)-1))*IF(E922="Ottone",1,0),4)</f>
        <v>0</v>
      </c>
      <c r="R922" s="446">
        <f ca="1">ROUND(IF(ISERROR(OFFSET(Rame!$F$1,MATCH(H922,Rame!$F:$F,0)-1,MATCH(I922,Rame!$F$1:$FF$1,0)-1)=TRUE),0,OFFSET(Rame!$F$1,MATCH(H922,Rame!$F:$F,0)-1,MATCH(I922,Rame!$F$1:$FF$1,0)-1))*IF(E922="Rame",1,0),4)</f>
        <v>0</v>
      </c>
      <c r="S922" s="446">
        <f ca="1">ROUND(IF(ISERROR(OFFSET(Bronzo!$A$1,MATCH(H922,Bronzo!$A:$A,0)-1,MATCH(I922,Bronzo!$A$1:$AA$1,0)-1)=TRUE),0,OFFSET(Bronzo!$A$1,MATCH(H922,Bronzo!$A:$A,0)-1,MATCH(I922,Bronzo!$A$1:$AA$1,0)-1)),4)</f>
        <v>0</v>
      </c>
      <c r="T922" s="446">
        <f t="shared" ca="1" si="223"/>
        <v>0</v>
      </c>
      <c r="U922" s="443"/>
      <c r="V922" s="446">
        <v>0</v>
      </c>
      <c r="W922" s="449">
        <f t="shared" ca="1" si="224"/>
        <v>0</v>
      </c>
      <c r="X922" s="452">
        <f t="shared" si="222"/>
        <v>0</v>
      </c>
      <c r="Y922" s="440"/>
      <c r="Z922" s="440">
        <f t="shared" ca="1" si="225"/>
        <v>0</v>
      </c>
      <c r="AA922" s="241"/>
      <c r="AF922" s="225">
        <f t="shared" ca="1" si="221"/>
        <v>46156</v>
      </c>
      <c r="AG922" s="225" t="b">
        <f t="shared" si="122"/>
        <v>1</v>
      </c>
      <c r="AH922" s="242" t="str">
        <f t="shared" si="123"/>
        <v/>
      </c>
      <c r="AK922" s="223">
        <f t="shared" si="124"/>
        <v>0</v>
      </c>
      <c r="AL922" s="223">
        <f t="shared" si="125"/>
        <v>1900</v>
      </c>
      <c r="AS922" s="223">
        <f t="shared" si="218"/>
        <v>0</v>
      </c>
      <c r="AT922" s="223">
        <f t="shared" si="219"/>
        <v>0</v>
      </c>
    </row>
    <row r="923" spans="2:46" ht="15.75" x14ac:dyDescent="0.25">
      <c r="B923" s="229"/>
      <c r="C923" s="235"/>
      <c r="D923" s="243"/>
      <c r="E923" s="232"/>
      <c r="F923" s="435"/>
      <c r="G923" s="234"/>
      <c r="H923" s="235"/>
      <c r="I923" s="235"/>
      <c r="J923" s="440"/>
      <c r="K923" s="443">
        <f ca="1">ROUND(IF(ISERROR(OFFSET(Tabella!$A$1,MATCH(H923,Tabella!$A:$A,0)-1,MATCH(J923,Tabella!$A$1:$AC$1,0)-1)=TRUE),0,+OFFSET(Tabella!$A$1,MATCH(H923,Tabella!$A:$A,0)-1,MATCH(J923,Tabella!$A$1:$AC$1,0)-1)),4)</f>
        <v>0</v>
      </c>
      <c r="L923" s="446">
        <f ca="1">ROUND(IF(ISERROR(OFFSET(Ottone!$A$1,MATCH(H923,Ottone!$A:$A,0)-1,MATCH(J923,Ottone!$A$1:$Z$1,0)-1)=TRUE),0,OFFSET(Ottone!$A$1,MATCH(H923,Ottone!$A:$A,0)-1,MATCH(J923,Ottone!$A$1:$Z$1,0)-1))*IF(E923="Ottone",1,0),4)</f>
        <v>0</v>
      </c>
      <c r="M923" s="446">
        <f ca="1">ROUND(IF(ISERROR(OFFSET(Rame!$A$1,MATCH(H923,Rame!$A:$A,0)-1,MATCH(J923,Rame!$A$1:$AA$1,0)-1)=TRUE),0,OFFSET(Rame!$A$1,MATCH(H923,Rame!$A:$A,0)-1,MATCH(J923,Rame!$A$1:$AA$1,0)-1))*IF(E923="Rame",1,0),4)</f>
        <v>0</v>
      </c>
      <c r="N923" s="446">
        <v>0</v>
      </c>
      <c r="O923" s="446">
        <f t="shared" ca="1" si="220"/>
        <v>0</v>
      </c>
      <c r="P923" s="446">
        <f ca="1">ROUND(+IF(ISERROR(OFFSET(Tabella!$G$1,MATCH(H923,Tabella!$G:$G,0)-1,MATCH(I923,Tabella!$G$1:$FG$1,0)-1)=TRUE),0,OFFSET(Tabella!$G$1,MATCH(H923,Tabella!$G:$G,0)-1,MATCH(I923,Tabella!$G$1:$AB$1,0)-1)),4)</f>
        <v>0</v>
      </c>
      <c r="Q923" s="446">
        <f ca="1">ROUND(IF(ISERROR(OFFSET(Ottone!$F$1,MATCH(H923,Ottone!$A:$A,0)-1,MATCH(I923,Ottone!$F$1:$FF$1,0)-1)=TRUE),0,OFFSET(Ottone!$F$1,MATCH(H923,Ottone!$A:$A,0)-1,MATCH(I923,Ottone!$F$1:$FF$1,0)-1))*IF(E923="Ottone",1,0),4)</f>
        <v>0</v>
      </c>
      <c r="R923" s="446">
        <f ca="1">ROUND(IF(ISERROR(OFFSET(Rame!$F$1,MATCH(H923,Rame!$F:$F,0)-1,MATCH(I923,Rame!$F$1:$FF$1,0)-1)=TRUE),0,OFFSET(Rame!$F$1,MATCH(H923,Rame!$F:$F,0)-1,MATCH(I923,Rame!$F$1:$FF$1,0)-1))*IF(E923="Rame",1,0),4)</f>
        <v>0</v>
      </c>
      <c r="S923" s="446">
        <f ca="1">ROUND(IF(ISERROR(OFFSET(Bronzo!$A$1,MATCH(H923,Bronzo!$A:$A,0)-1,MATCH(I923,Bronzo!$A$1:$AA$1,0)-1)=TRUE),0,OFFSET(Bronzo!$A$1,MATCH(H923,Bronzo!$A:$A,0)-1,MATCH(I923,Bronzo!$A$1:$AA$1,0)-1)),4)</f>
        <v>0</v>
      </c>
      <c r="T923" s="446">
        <f t="shared" ca="1" si="223"/>
        <v>0</v>
      </c>
      <c r="U923" s="443"/>
      <c r="V923" s="446">
        <v>0</v>
      </c>
      <c r="W923" s="449">
        <f t="shared" ca="1" si="224"/>
        <v>0</v>
      </c>
      <c r="X923" s="452">
        <f t="shared" si="222"/>
        <v>0</v>
      </c>
      <c r="Y923" s="440"/>
      <c r="Z923" s="440">
        <f t="shared" ca="1" si="225"/>
        <v>0</v>
      </c>
      <c r="AA923" s="241"/>
      <c r="AF923" s="225">
        <f t="shared" ca="1" si="221"/>
        <v>46156</v>
      </c>
      <c r="AG923" s="225" t="b">
        <f t="shared" si="122"/>
        <v>1</v>
      </c>
      <c r="AH923" s="242" t="str">
        <f t="shared" si="123"/>
        <v/>
      </c>
      <c r="AK923" s="223">
        <f t="shared" si="124"/>
        <v>0</v>
      </c>
      <c r="AL923" s="223">
        <f t="shared" si="125"/>
        <v>1900</v>
      </c>
      <c r="AS923" s="223">
        <f t="shared" si="218"/>
        <v>0</v>
      </c>
      <c r="AT923" s="223">
        <f t="shared" si="219"/>
        <v>0</v>
      </c>
    </row>
    <row r="924" spans="2:46" ht="15.75" x14ac:dyDescent="0.25">
      <c r="B924" s="229"/>
      <c r="C924" s="235"/>
      <c r="D924" s="243"/>
      <c r="E924" s="232"/>
      <c r="F924" s="435"/>
      <c r="G924" s="234"/>
      <c r="H924" s="235"/>
      <c r="I924" s="235"/>
      <c r="J924" s="440"/>
      <c r="K924" s="443">
        <f ca="1">ROUND(IF(ISERROR(OFFSET(Tabella!$A$1,MATCH(H924,Tabella!$A:$A,0)-1,MATCH(J924,Tabella!$A$1:$AC$1,0)-1)=TRUE),0,+OFFSET(Tabella!$A$1,MATCH(H924,Tabella!$A:$A,0)-1,MATCH(J924,Tabella!$A$1:$AC$1,0)-1)),4)</f>
        <v>0</v>
      </c>
      <c r="L924" s="446">
        <f ca="1">ROUND(IF(ISERROR(OFFSET(Ottone!$A$1,MATCH(H924,Ottone!$A:$A,0)-1,MATCH(J924,Ottone!$A$1:$Z$1,0)-1)=TRUE),0,OFFSET(Ottone!$A$1,MATCH(H924,Ottone!$A:$A,0)-1,MATCH(J924,Ottone!$A$1:$Z$1,0)-1))*IF(E924="Ottone",1,0),4)</f>
        <v>0</v>
      </c>
      <c r="M924" s="446">
        <f ca="1">ROUND(IF(ISERROR(OFFSET(Rame!$A$1,MATCH(H924,Rame!$A:$A,0)-1,MATCH(J924,Rame!$A$1:$AA$1,0)-1)=TRUE),0,OFFSET(Rame!$A$1,MATCH(H924,Rame!$A:$A,0)-1,MATCH(J924,Rame!$A$1:$AA$1,0)-1))*IF(E924="Rame",1,0),4)</f>
        <v>0</v>
      </c>
      <c r="N924" s="446">
        <v>0</v>
      </c>
      <c r="O924" s="446">
        <f t="shared" ca="1" si="220"/>
        <v>0</v>
      </c>
      <c r="P924" s="446">
        <f ca="1">ROUND(+IF(ISERROR(OFFSET(Tabella!$G$1,MATCH(H924,Tabella!$G:$G,0)-1,MATCH(I924,Tabella!$G$1:$FG$1,0)-1)=TRUE),0,OFFSET(Tabella!$G$1,MATCH(H924,Tabella!$G:$G,0)-1,MATCH(I924,Tabella!$G$1:$AB$1,0)-1)),4)</f>
        <v>0</v>
      </c>
      <c r="Q924" s="446">
        <f ca="1">ROUND(IF(ISERROR(OFFSET(Ottone!$F$1,MATCH(H924,Ottone!$A:$A,0)-1,MATCH(I924,Ottone!$F$1:$FF$1,0)-1)=TRUE),0,OFFSET(Ottone!$F$1,MATCH(H924,Ottone!$A:$A,0)-1,MATCH(I924,Ottone!$F$1:$FF$1,0)-1))*IF(E924="Ottone",1,0),4)</f>
        <v>0</v>
      </c>
      <c r="R924" s="446">
        <f ca="1">ROUND(IF(ISERROR(OFFSET(Rame!$F$1,MATCH(H924,Rame!$F:$F,0)-1,MATCH(I924,Rame!$F$1:$FF$1,0)-1)=TRUE),0,OFFSET(Rame!$F$1,MATCH(H924,Rame!$F:$F,0)-1,MATCH(I924,Rame!$F$1:$FF$1,0)-1))*IF(E924="Rame",1,0),4)</f>
        <v>0</v>
      </c>
      <c r="S924" s="446">
        <f ca="1">ROUND(IF(ISERROR(OFFSET(Bronzo!$A$1,MATCH(H924,Bronzo!$A:$A,0)-1,MATCH(I924,Bronzo!$A$1:$AA$1,0)-1)=TRUE),0,OFFSET(Bronzo!$A$1,MATCH(H924,Bronzo!$A:$A,0)-1,MATCH(I924,Bronzo!$A$1:$AA$1,0)-1)),4)</f>
        <v>0</v>
      </c>
      <c r="T924" s="446">
        <f t="shared" ca="1" si="223"/>
        <v>0</v>
      </c>
      <c r="U924" s="443"/>
      <c r="V924" s="446">
        <v>0</v>
      </c>
      <c r="W924" s="449">
        <f t="shared" ca="1" si="224"/>
        <v>0</v>
      </c>
      <c r="X924" s="452">
        <f t="shared" si="222"/>
        <v>0</v>
      </c>
      <c r="Y924" s="440"/>
      <c r="Z924" s="440">
        <f t="shared" ca="1" si="225"/>
        <v>0</v>
      </c>
      <c r="AA924" s="241"/>
      <c r="AF924" s="225">
        <f t="shared" ca="1" si="221"/>
        <v>46156</v>
      </c>
      <c r="AG924" s="225" t="b">
        <f t="shared" si="122"/>
        <v>1</v>
      </c>
      <c r="AH924" s="242" t="str">
        <f t="shared" si="123"/>
        <v/>
      </c>
      <c r="AK924" s="223">
        <f t="shared" si="124"/>
        <v>0</v>
      </c>
      <c r="AL924" s="223">
        <f t="shared" si="125"/>
        <v>1900</v>
      </c>
      <c r="AS924" s="223">
        <f t="shared" si="218"/>
        <v>0</v>
      </c>
      <c r="AT924" s="223">
        <f t="shared" si="219"/>
        <v>0</v>
      </c>
    </row>
    <row r="925" spans="2:46" ht="15.75" x14ac:dyDescent="0.25">
      <c r="B925" s="229"/>
      <c r="C925" s="235"/>
      <c r="D925" s="243"/>
      <c r="E925" s="232"/>
      <c r="F925" s="435"/>
      <c r="G925" s="234"/>
      <c r="H925" s="235"/>
      <c r="I925" s="235"/>
      <c r="J925" s="440"/>
      <c r="K925" s="443">
        <f ca="1">ROUND(IF(ISERROR(OFFSET(Tabella!$A$1,MATCH(H925,Tabella!$A:$A,0)-1,MATCH(J925,Tabella!$A$1:$AC$1,0)-1)=TRUE),0,+OFFSET(Tabella!$A$1,MATCH(H925,Tabella!$A:$A,0)-1,MATCH(J925,Tabella!$A$1:$AC$1,0)-1)),4)</f>
        <v>0</v>
      </c>
      <c r="L925" s="446">
        <f ca="1">ROUND(IF(ISERROR(OFFSET(Ottone!$A$1,MATCH(H925,Ottone!$A:$A,0)-1,MATCH(J925,Ottone!$A$1:$Z$1,0)-1)=TRUE),0,OFFSET(Ottone!$A$1,MATCH(H925,Ottone!$A:$A,0)-1,MATCH(J925,Ottone!$A$1:$Z$1,0)-1))*IF(E925="Ottone",1,0),4)</f>
        <v>0</v>
      </c>
      <c r="M925" s="446">
        <f ca="1">ROUND(IF(ISERROR(OFFSET(Rame!$A$1,MATCH(H925,Rame!$A:$A,0)-1,MATCH(J925,Rame!$A$1:$AA$1,0)-1)=TRUE),0,OFFSET(Rame!$A$1,MATCH(H925,Rame!$A:$A,0)-1,MATCH(J925,Rame!$A$1:$AA$1,0)-1))*IF(E925="Rame",1,0),4)</f>
        <v>0</v>
      </c>
      <c r="N925" s="446">
        <v>0</v>
      </c>
      <c r="O925" s="446">
        <f t="shared" ca="1" si="220"/>
        <v>0</v>
      </c>
      <c r="P925" s="446">
        <f ca="1">ROUND(+IF(ISERROR(OFFSET(Tabella!$G$1,MATCH(H925,Tabella!$G:$G,0)-1,MATCH(I925,Tabella!$G$1:$FG$1,0)-1)=TRUE),0,OFFSET(Tabella!$G$1,MATCH(H925,Tabella!$G:$G,0)-1,MATCH(I925,Tabella!$G$1:$AB$1,0)-1)),4)</f>
        <v>0</v>
      </c>
      <c r="Q925" s="446">
        <f ca="1">ROUND(IF(ISERROR(OFFSET(Ottone!$F$1,MATCH(H925,Ottone!$A:$A,0)-1,MATCH(I925,Ottone!$F$1:$FF$1,0)-1)=TRUE),0,OFFSET(Ottone!$F$1,MATCH(H925,Ottone!$A:$A,0)-1,MATCH(I925,Ottone!$F$1:$FF$1,0)-1))*IF(E925="Ottone",1,0),4)</f>
        <v>0</v>
      </c>
      <c r="R925" s="446">
        <f ca="1">ROUND(IF(ISERROR(OFFSET(Rame!$F$1,MATCH(H925,Rame!$F:$F,0)-1,MATCH(I925,Rame!$F$1:$FF$1,0)-1)=TRUE),0,OFFSET(Rame!$F$1,MATCH(H925,Rame!$F:$F,0)-1,MATCH(I925,Rame!$F$1:$FF$1,0)-1))*IF(E925="Rame",1,0),4)</f>
        <v>0</v>
      </c>
      <c r="S925" s="446">
        <f ca="1">ROUND(IF(ISERROR(OFFSET(Bronzo!$A$1,MATCH(H925,Bronzo!$A:$A,0)-1,MATCH(I925,Bronzo!$A$1:$AA$1,0)-1)=TRUE),0,OFFSET(Bronzo!$A$1,MATCH(H925,Bronzo!$A:$A,0)-1,MATCH(I925,Bronzo!$A$1:$AA$1,0)-1)),4)</f>
        <v>0</v>
      </c>
      <c r="T925" s="446">
        <f t="shared" ca="1" si="223"/>
        <v>0</v>
      </c>
      <c r="U925" s="443"/>
      <c r="V925" s="446">
        <v>0</v>
      </c>
      <c r="W925" s="449">
        <f t="shared" ca="1" si="224"/>
        <v>0</v>
      </c>
      <c r="X925" s="452">
        <f t="shared" si="222"/>
        <v>0</v>
      </c>
      <c r="Y925" s="440"/>
      <c r="Z925" s="440">
        <f t="shared" ca="1" si="225"/>
        <v>0</v>
      </c>
      <c r="AA925" s="241"/>
      <c r="AF925" s="225">
        <f t="shared" ca="1" si="221"/>
        <v>46156</v>
      </c>
      <c r="AG925" s="225" t="b">
        <f t="shared" si="122"/>
        <v>1</v>
      </c>
      <c r="AH925" s="242" t="str">
        <f t="shared" si="123"/>
        <v/>
      </c>
      <c r="AK925" s="223">
        <f t="shared" si="124"/>
        <v>0</v>
      </c>
      <c r="AL925" s="223">
        <f t="shared" si="125"/>
        <v>1900</v>
      </c>
      <c r="AS925" s="223">
        <f t="shared" si="218"/>
        <v>0</v>
      </c>
      <c r="AT925" s="223">
        <f t="shared" si="219"/>
        <v>0</v>
      </c>
    </row>
    <row r="926" spans="2:46" ht="15.75" x14ac:dyDescent="0.25">
      <c r="B926" s="229"/>
      <c r="C926" s="235"/>
      <c r="D926" s="243"/>
      <c r="E926" s="232"/>
      <c r="F926" s="435"/>
      <c r="G926" s="234"/>
      <c r="H926" s="235"/>
      <c r="I926" s="235"/>
      <c r="J926" s="440"/>
      <c r="K926" s="443">
        <f ca="1">ROUND(IF(ISERROR(OFFSET(Tabella!$A$1,MATCH(H926,Tabella!$A:$A,0)-1,MATCH(J926,Tabella!$A$1:$AC$1,0)-1)=TRUE),0,+OFFSET(Tabella!$A$1,MATCH(H926,Tabella!$A:$A,0)-1,MATCH(J926,Tabella!$A$1:$AC$1,0)-1)),4)</f>
        <v>0</v>
      </c>
      <c r="L926" s="446">
        <f ca="1">ROUND(IF(ISERROR(OFFSET(Ottone!$A$1,MATCH(H926,Ottone!$A:$A,0)-1,MATCH(J926,Ottone!$A$1:$Z$1,0)-1)=TRUE),0,OFFSET(Ottone!$A$1,MATCH(H926,Ottone!$A:$A,0)-1,MATCH(J926,Ottone!$A$1:$Z$1,0)-1))*IF(E926="Ottone",1,0),4)</f>
        <v>0</v>
      </c>
      <c r="M926" s="446">
        <f ca="1">ROUND(IF(ISERROR(OFFSET(Rame!$A$1,MATCH(H926,Rame!$A:$A,0)-1,MATCH(J926,Rame!$A$1:$AA$1,0)-1)=TRUE),0,OFFSET(Rame!$A$1,MATCH(H926,Rame!$A:$A,0)-1,MATCH(J926,Rame!$A$1:$AA$1,0)-1))*IF(E926="Rame",1,0),4)</f>
        <v>0</v>
      </c>
      <c r="N926" s="446">
        <v>0</v>
      </c>
      <c r="O926" s="446">
        <f t="shared" ca="1" si="220"/>
        <v>0</v>
      </c>
      <c r="P926" s="446">
        <f ca="1">ROUND(+IF(ISERROR(OFFSET(Tabella!$G$1,MATCH(H926,Tabella!$G:$G,0)-1,MATCH(I926,Tabella!$G$1:$FG$1,0)-1)=TRUE),0,OFFSET(Tabella!$G$1,MATCH(H926,Tabella!$G:$G,0)-1,MATCH(I926,Tabella!$G$1:$AB$1,0)-1)),4)</f>
        <v>0</v>
      </c>
      <c r="Q926" s="446">
        <f ca="1">ROUND(IF(ISERROR(OFFSET(Ottone!$F$1,MATCH(H926,Ottone!$A:$A,0)-1,MATCH(I926,Ottone!$F$1:$FF$1,0)-1)=TRUE),0,OFFSET(Ottone!$F$1,MATCH(H926,Ottone!$A:$A,0)-1,MATCH(I926,Ottone!$F$1:$FF$1,0)-1))*IF(E926="Ottone",1,0),4)</f>
        <v>0</v>
      </c>
      <c r="R926" s="446">
        <f ca="1">ROUND(IF(ISERROR(OFFSET(Rame!$F$1,MATCH(H926,Rame!$F:$F,0)-1,MATCH(I926,Rame!$F$1:$FF$1,0)-1)=TRUE),0,OFFSET(Rame!$F$1,MATCH(H926,Rame!$F:$F,0)-1,MATCH(I926,Rame!$F$1:$FF$1,0)-1))*IF(E926="Rame",1,0),4)</f>
        <v>0</v>
      </c>
      <c r="S926" s="446">
        <f ca="1">ROUND(IF(ISERROR(OFFSET(Bronzo!$A$1,MATCH(H926,Bronzo!$A:$A,0)-1,MATCH(I926,Bronzo!$A$1:$AA$1,0)-1)=TRUE),0,OFFSET(Bronzo!$A$1,MATCH(H926,Bronzo!$A:$A,0)-1,MATCH(I926,Bronzo!$A$1:$AA$1,0)-1)),4)</f>
        <v>0</v>
      </c>
      <c r="T926" s="446">
        <f t="shared" ca="1" si="223"/>
        <v>0</v>
      </c>
      <c r="U926" s="443"/>
      <c r="V926" s="446">
        <v>0</v>
      </c>
      <c r="W926" s="449">
        <f t="shared" ca="1" si="224"/>
        <v>0</v>
      </c>
      <c r="X926" s="452">
        <f t="shared" si="222"/>
        <v>0</v>
      </c>
      <c r="Y926" s="440"/>
      <c r="Z926" s="440">
        <f t="shared" ca="1" si="225"/>
        <v>0</v>
      </c>
      <c r="AA926" s="241"/>
      <c r="AF926" s="225">
        <f t="shared" ca="1" si="221"/>
        <v>46156</v>
      </c>
      <c r="AG926" s="225" t="b">
        <f t="shared" si="122"/>
        <v>1</v>
      </c>
      <c r="AH926" s="242" t="str">
        <f t="shared" si="123"/>
        <v/>
      </c>
      <c r="AK926" s="223">
        <f t="shared" si="124"/>
        <v>0</v>
      </c>
      <c r="AL926" s="223">
        <f t="shared" si="125"/>
        <v>1900</v>
      </c>
      <c r="AS926" s="223">
        <f t="shared" si="218"/>
        <v>0</v>
      </c>
      <c r="AT926" s="223">
        <f t="shared" si="219"/>
        <v>0</v>
      </c>
    </row>
    <row r="927" spans="2:46" ht="15.75" x14ac:dyDescent="0.25">
      <c r="B927" s="229"/>
      <c r="C927" s="235"/>
      <c r="D927" s="243"/>
      <c r="E927" s="232"/>
      <c r="F927" s="435"/>
      <c r="G927" s="234"/>
      <c r="H927" s="235"/>
      <c r="I927" s="235"/>
      <c r="J927" s="440"/>
      <c r="K927" s="443">
        <f ca="1">ROUND(IF(ISERROR(OFFSET(Tabella!$A$1,MATCH(H927,Tabella!$A:$A,0)-1,MATCH(J927,Tabella!$A$1:$AC$1,0)-1)=TRUE),0,+OFFSET(Tabella!$A$1,MATCH(H927,Tabella!$A:$A,0)-1,MATCH(J927,Tabella!$A$1:$AC$1,0)-1)),4)</f>
        <v>0</v>
      </c>
      <c r="L927" s="446">
        <f ca="1">ROUND(IF(ISERROR(OFFSET(Ottone!$A$1,MATCH(H927,Ottone!$A:$A,0)-1,MATCH(J927,Ottone!$A$1:$Z$1,0)-1)=TRUE),0,OFFSET(Ottone!$A$1,MATCH(H927,Ottone!$A:$A,0)-1,MATCH(J927,Ottone!$A$1:$Z$1,0)-1))*IF(E927="Ottone",1,0),4)</f>
        <v>0</v>
      </c>
      <c r="M927" s="446">
        <f ca="1">ROUND(IF(ISERROR(OFFSET(Rame!$A$1,MATCH(H927,Rame!$A:$A,0)-1,MATCH(J927,Rame!$A$1:$AA$1,0)-1)=TRUE),0,OFFSET(Rame!$A$1,MATCH(H927,Rame!$A:$A,0)-1,MATCH(J927,Rame!$A$1:$AA$1,0)-1))*IF(E927="Rame",1,0),4)</f>
        <v>0</v>
      </c>
      <c r="N927" s="446">
        <v>0</v>
      </c>
      <c r="O927" s="446">
        <f t="shared" ca="1" si="220"/>
        <v>0</v>
      </c>
      <c r="P927" s="446">
        <f ca="1">ROUND(+IF(ISERROR(OFFSET(Tabella!$G$1,MATCH(H927,Tabella!$G:$G,0)-1,MATCH(I927,Tabella!$G$1:$FG$1,0)-1)=TRUE),0,OFFSET(Tabella!$G$1,MATCH(H927,Tabella!$G:$G,0)-1,MATCH(I927,Tabella!$G$1:$AB$1,0)-1)),4)</f>
        <v>0</v>
      </c>
      <c r="Q927" s="446">
        <f ca="1">ROUND(IF(ISERROR(OFFSET(Ottone!$F$1,MATCH(H927,Ottone!$A:$A,0)-1,MATCH(I927,Ottone!$F$1:$FF$1,0)-1)=TRUE),0,OFFSET(Ottone!$F$1,MATCH(H927,Ottone!$A:$A,0)-1,MATCH(I927,Ottone!$F$1:$FF$1,0)-1))*IF(E927="Ottone",1,0),4)</f>
        <v>0</v>
      </c>
      <c r="R927" s="446">
        <f ca="1">ROUND(IF(ISERROR(OFFSET(Rame!$F$1,MATCH(H927,Rame!$F:$F,0)-1,MATCH(I927,Rame!$F$1:$FF$1,0)-1)=TRUE),0,OFFSET(Rame!$F$1,MATCH(H927,Rame!$F:$F,0)-1,MATCH(I927,Rame!$F$1:$FF$1,0)-1))*IF(E927="Rame",1,0),4)</f>
        <v>0</v>
      </c>
      <c r="S927" s="446">
        <f ca="1">ROUND(IF(ISERROR(OFFSET(Bronzo!$A$1,MATCH(H927,Bronzo!$A:$A,0)-1,MATCH(I927,Bronzo!$A$1:$AA$1,0)-1)=TRUE),0,OFFSET(Bronzo!$A$1,MATCH(H927,Bronzo!$A:$A,0)-1,MATCH(I927,Bronzo!$A$1:$AA$1,0)-1)),4)</f>
        <v>0</v>
      </c>
      <c r="T927" s="446">
        <f t="shared" ca="1" si="223"/>
        <v>0</v>
      </c>
      <c r="U927" s="443"/>
      <c r="V927" s="446">
        <v>0</v>
      </c>
      <c r="W927" s="449">
        <f t="shared" ca="1" si="224"/>
        <v>0</v>
      </c>
      <c r="X927" s="452">
        <f t="shared" si="222"/>
        <v>0</v>
      </c>
      <c r="Y927" s="440"/>
      <c r="Z927" s="440">
        <f t="shared" ca="1" si="225"/>
        <v>0</v>
      </c>
      <c r="AA927" s="241"/>
      <c r="AF927" s="225">
        <f t="shared" ca="1" si="221"/>
        <v>46156</v>
      </c>
      <c r="AG927" s="225" t="b">
        <f t="shared" si="122"/>
        <v>1</v>
      </c>
      <c r="AH927" s="242" t="str">
        <f t="shared" si="123"/>
        <v/>
      </c>
      <c r="AK927" s="223">
        <f t="shared" si="124"/>
        <v>0</v>
      </c>
      <c r="AL927" s="223">
        <f t="shared" si="125"/>
        <v>1900</v>
      </c>
      <c r="AS927" s="223">
        <f t="shared" si="218"/>
        <v>0</v>
      </c>
      <c r="AT927" s="223">
        <f t="shared" si="219"/>
        <v>0</v>
      </c>
    </row>
    <row r="928" spans="2:46" ht="15.75" x14ac:dyDescent="0.25">
      <c r="B928" s="229"/>
      <c r="C928" s="235"/>
      <c r="D928" s="243"/>
      <c r="E928" s="232"/>
      <c r="F928" s="435"/>
      <c r="G928" s="234"/>
      <c r="H928" s="235"/>
      <c r="I928" s="235"/>
      <c r="J928" s="440"/>
      <c r="K928" s="443">
        <f ca="1">ROUND(IF(ISERROR(OFFSET(Tabella!$A$1,MATCH(H928,Tabella!$A:$A,0)-1,MATCH(J928,Tabella!$A$1:$AC$1,0)-1)=TRUE),0,+OFFSET(Tabella!$A$1,MATCH(H928,Tabella!$A:$A,0)-1,MATCH(J928,Tabella!$A$1:$AC$1,0)-1)),4)</f>
        <v>0</v>
      </c>
      <c r="L928" s="446">
        <f ca="1">ROUND(IF(ISERROR(OFFSET(Ottone!$A$1,MATCH(H928,Ottone!$A:$A,0)-1,MATCH(J928,Ottone!$A$1:$Z$1,0)-1)=TRUE),0,OFFSET(Ottone!$A$1,MATCH(H928,Ottone!$A:$A,0)-1,MATCH(J928,Ottone!$A$1:$Z$1,0)-1))*IF(E928="Ottone",1,0),4)</f>
        <v>0</v>
      </c>
      <c r="M928" s="446">
        <f ca="1">ROUND(IF(ISERROR(OFFSET(Rame!$A$1,MATCH(H928,Rame!$A:$A,0)-1,MATCH(J928,Rame!$A$1:$AA$1,0)-1)=TRUE),0,OFFSET(Rame!$A$1,MATCH(H928,Rame!$A:$A,0)-1,MATCH(J928,Rame!$A$1:$AA$1,0)-1))*IF(E928="Rame",1,0),4)</f>
        <v>0</v>
      </c>
      <c r="N928" s="446">
        <v>0</v>
      </c>
      <c r="O928" s="446">
        <f t="shared" ca="1" si="220"/>
        <v>0</v>
      </c>
      <c r="P928" s="446">
        <f ca="1">ROUND(+IF(ISERROR(OFFSET(Tabella!$G$1,MATCH(H928,Tabella!$G:$G,0)-1,MATCH(I928,Tabella!$G$1:$FG$1,0)-1)=TRUE),0,OFFSET(Tabella!$G$1,MATCH(H928,Tabella!$G:$G,0)-1,MATCH(I928,Tabella!$G$1:$AB$1,0)-1)),4)</f>
        <v>0</v>
      </c>
      <c r="Q928" s="446">
        <f ca="1">ROUND(IF(ISERROR(OFFSET(Ottone!$F$1,MATCH(H928,Ottone!$A:$A,0)-1,MATCH(I928,Ottone!$F$1:$FF$1,0)-1)=TRUE),0,OFFSET(Ottone!$F$1,MATCH(H928,Ottone!$A:$A,0)-1,MATCH(I928,Ottone!$F$1:$FF$1,0)-1))*IF(E928="Ottone",1,0),4)</f>
        <v>0</v>
      </c>
      <c r="R928" s="446">
        <f ca="1">ROUND(IF(ISERROR(OFFSET(Rame!$F$1,MATCH(H928,Rame!$F:$F,0)-1,MATCH(I928,Rame!$F$1:$FF$1,0)-1)=TRUE),0,OFFSET(Rame!$F$1,MATCH(H928,Rame!$F:$F,0)-1,MATCH(I928,Rame!$F$1:$FF$1,0)-1))*IF(E928="Rame",1,0),4)</f>
        <v>0</v>
      </c>
      <c r="S928" s="446">
        <f ca="1">ROUND(IF(ISERROR(OFFSET(Bronzo!$A$1,MATCH(H928,Bronzo!$A:$A,0)-1,MATCH(I928,Bronzo!$A$1:$AA$1,0)-1)=TRUE),0,OFFSET(Bronzo!$A$1,MATCH(H928,Bronzo!$A:$A,0)-1,MATCH(I928,Bronzo!$A$1:$AA$1,0)-1)),4)</f>
        <v>0</v>
      </c>
      <c r="T928" s="446">
        <f t="shared" ca="1" si="223"/>
        <v>0</v>
      </c>
      <c r="U928" s="443"/>
      <c r="V928" s="446">
        <v>0</v>
      </c>
      <c r="W928" s="449">
        <f t="shared" ca="1" si="224"/>
        <v>0</v>
      </c>
      <c r="X928" s="452">
        <f t="shared" si="222"/>
        <v>0</v>
      </c>
      <c r="Y928" s="440"/>
      <c r="Z928" s="440">
        <f t="shared" ca="1" si="225"/>
        <v>0</v>
      </c>
      <c r="AA928" s="241"/>
      <c r="AF928" s="225">
        <f t="shared" ca="1" si="221"/>
        <v>46156</v>
      </c>
      <c r="AG928" s="225" t="b">
        <f t="shared" si="122"/>
        <v>1</v>
      </c>
      <c r="AH928" s="242" t="str">
        <f t="shared" si="123"/>
        <v/>
      </c>
      <c r="AK928" s="223">
        <f t="shared" si="124"/>
        <v>0</v>
      </c>
      <c r="AL928" s="223">
        <f t="shared" si="125"/>
        <v>1900</v>
      </c>
      <c r="AS928" s="223">
        <f t="shared" si="218"/>
        <v>0</v>
      </c>
      <c r="AT928" s="223">
        <f t="shared" si="219"/>
        <v>0</v>
      </c>
    </row>
    <row r="929" spans="2:46" ht="15.75" x14ac:dyDescent="0.25">
      <c r="B929" s="229"/>
      <c r="C929" s="235"/>
      <c r="D929" s="243"/>
      <c r="E929" s="232"/>
      <c r="F929" s="435"/>
      <c r="G929" s="234"/>
      <c r="H929" s="235"/>
      <c r="I929" s="235"/>
      <c r="J929" s="440"/>
      <c r="K929" s="443">
        <f ca="1">ROUND(IF(ISERROR(OFFSET(Tabella!$A$1,MATCH(H929,Tabella!$A:$A,0)-1,MATCH(J929,Tabella!$A$1:$AC$1,0)-1)=TRUE),0,+OFFSET(Tabella!$A$1,MATCH(H929,Tabella!$A:$A,0)-1,MATCH(J929,Tabella!$A$1:$AC$1,0)-1)),4)</f>
        <v>0</v>
      </c>
      <c r="L929" s="446">
        <f ca="1">ROUND(IF(ISERROR(OFFSET(Ottone!$A$1,MATCH(H929,Ottone!$A:$A,0)-1,MATCH(J929,Ottone!$A$1:$Z$1,0)-1)=TRUE),0,OFFSET(Ottone!$A$1,MATCH(H929,Ottone!$A:$A,0)-1,MATCH(J929,Ottone!$A$1:$Z$1,0)-1))*IF(E929="Ottone",1,0),4)</f>
        <v>0</v>
      </c>
      <c r="M929" s="446">
        <f ca="1">ROUND(IF(ISERROR(OFFSET(Rame!$A$1,MATCH(H929,Rame!$A:$A,0)-1,MATCH(J929,Rame!$A$1:$AA$1,0)-1)=TRUE),0,OFFSET(Rame!$A$1,MATCH(H929,Rame!$A:$A,0)-1,MATCH(J929,Rame!$A$1:$AA$1,0)-1))*IF(E929="Rame",1,0),4)</f>
        <v>0</v>
      </c>
      <c r="N929" s="446">
        <v>0</v>
      </c>
      <c r="O929" s="446">
        <f t="shared" ca="1" si="220"/>
        <v>0</v>
      </c>
      <c r="P929" s="446">
        <f ca="1">ROUND(+IF(ISERROR(OFFSET(Tabella!$G$1,MATCH(H929,Tabella!$G:$G,0)-1,MATCH(I929,Tabella!$G$1:$FG$1,0)-1)=TRUE),0,OFFSET(Tabella!$G$1,MATCH(H929,Tabella!$G:$G,0)-1,MATCH(I929,Tabella!$G$1:$AB$1,0)-1)),4)</f>
        <v>0</v>
      </c>
      <c r="Q929" s="446">
        <f ca="1">ROUND(IF(ISERROR(OFFSET(Ottone!$F$1,MATCH(H929,Ottone!$A:$A,0)-1,MATCH(I929,Ottone!$F$1:$FF$1,0)-1)=TRUE),0,OFFSET(Ottone!$F$1,MATCH(H929,Ottone!$A:$A,0)-1,MATCH(I929,Ottone!$F$1:$FF$1,0)-1))*IF(E929="Ottone",1,0),4)</f>
        <v>0</v>
      </c>
      <c r="R929" s="446">
        <f ca="1">ROUND(IF(ISERROR(OFFSET(Rame!$F$1,MATCH(H929,Rame!$F:$F,0)-1,MATCH(I929,Rame!$F$1:$FF$1,0)-1)=TRUE),0,OFFSET(Rame!$F$1,MATCH(H929,Rame!$F:$F,0)-1,MATCH(I929,Rame!$F$1:$FF$1,0)-1))*IF(E929="Rame",1,0),4)</f>
        <v>0</v>
      </c>
      <c r="S929" s="446">
        <f ca="1">ROUND(IF(ISERROR(OFFSET(Bronzo!$A$1,MATCH(H929,Bronzo!$A:$A,0)-1,MATCH(I929,Bronzo!$A$1:$AA$1,0)-1)=TRUE),0,OFFSET(Bronzo!$A$1,MATCH(H929,Bronzo!$A:$A,0)-1,MATCH(I929,Bronzo!$A$1:$AA$1,0)-1)),4)</f>
        <v>0</v>
      </c>
      <c r="T929" s="446">
        <f t="shared" ca="1" si="223"/>
        <v>0</v>
      </c>
      <c r="U929" s="443"/>
      <c r="V929" s="446">
        <v>0</v>
      </c>
      <c r="W929" s="449">
        <f t="shared" ca="1" si="224"/>
        <v>0</v>
      </c>
      <c r="X929" s="452">
        <f t="shared" si="222"/>
        <v>0</v>
      </c>
      <c r="Y929" s="440"/>
      <c r="Z929" s="440">
        <f t="shared" ca="1" si="225"/>
        <v>0</v>
      </c>
      <c r="AA929" s="241"/>
      <c r="AF929" s="225">
        <f t="shared" ca="1" si="221"/>
        <v>46156</v>
      </c>
      <c r="AG929" s="225" t="b">
        <f t="shared" ref="AG929:AG967" si="226">ISBLANK(AA929)</f>
        <v>1</v>
      </c>
      <c r="AH929" s="242" t="str">
        <f t="shared" ref="AH929:AH967" si="227">IF(AG929=FALSE,_xlfn.DAYS(AA929,AF929),"")</f>
        <v/>
      </c>
      <c r="AK929" s="223">
        <f t="shared" ref="AK929:AK967" si="228">WEEKNUM(AA929)</f>
        <v>0</v>
      </c>
      <c r="AL929" s="223">
        <f t="shared" ref="AL929:AL967" si="229">YEAR(AA929)</f>
        <v>1900</v>
      </c>
      <c r="AS929" s="223">
        <f t="shared" si="218"/>
        <v>0</v>
      </c>
      <c r="AT929" s="223">
        <f t="shared" si="219"/>
        <v>0</v>
      </c>
    </row>
    <row r="930" spans="2:46" ht="15.75" x14ac:dyDescent="0.25">
      <c r="B930" s="229"/>
      <c r="C930" s="235"/>
      <c r="D930" s="243"/>
      <c r="E930" s="232"/>
      <c r="F930" s="435"/>
      <c r="G930" s="234"/>
      <c r="H930" s="235"/>
      <c r="I930" s="235"/>
      <c r="J930" s="440"/>
      <c r="K930" s="443">
        <f ca="1">ROUND(IF(ISERROR(OFFSET(Tabella!$A$1,MATCH(H930,Tabella!$A:$A,0)-1,MATCH(J930,Tabella!$A$1:$AC$1,0)-1)=TRUE),0,+OFFSET(Tabella!$A$1,MATCH(H930,Tabella!$A:$A,0)-1,MATCH(J930,Tabella!$A$1:$AC$1,0)-1)),4)</f>
        <v>0</v>
      </c>
      <c r="L930" s="446">
        <f ca="1">ROUND(IF(ISERROR(OFFSET(Ottone!$A$1,MATCH(H930,Ottone!$A:$A,0)-1,MATCH(J930,Ottone!$A$1:$Z$1,0)-1)=TRUE),0,OFFSET(Ottone!$A$1,MATCH(H930,Ottone!$A:$A,0)-1,MATCH(J930,Ottone!$A$1:$Z$1,0)-1))*IF(E930="Ottone",1,0),4)</f>
        <v>0</v>
      </c>
      <c r="M930" s="446">
        <f ca="1">ROUND(IF(ISERROR(OFFSET(Rame!$A$1,MATCH(H930,Rame!$A:$A,0)-1,MATCH(J930,Rame!$A$1:$AA$1,0)-1)=TRUE),0,OFFSET(Rame!$A$1,MATCH(H930,Rame!$A:$A,0)-1,MATCH(J930,Rame!$A$1:$AA$1,0)-1))*IF(E930="Rame",1,0),4)</f>
        <v>0</v>
      </c>
      <c r="N930" s="446">
        <v>0</v>
      </c>
      <c r="O930" s="446">
        <f t="shared" ca="1" si="220"/>
        <v>0</v>
      </c>
      <c r="P930" s="446">
        <f ca="1">ROUND(+IF(ISERROR(OFFSET(Tabella!$G$1,MATCH(H930,Tabella!$G:$G,0)-1,MATCH(I930,Tabella!$G$1:$FG$1,0)-1)=TRUE),0,OFFSET(Tabella!$G$1,MATCH(H930,Tabella!$G:$G,0)-1,MATCH(I930,Tabella!$G$1:$AB$1,0)-1)),4)</f>
        <v>0</v>
      </c>
      <c r="Q930" s="446">
        <f ca="1">ROUND(IF(ISERROR(OFFSET(Ottone!$F$1,MATCH(H930,Ottone!$A:$A,0)-1,MATCH(I930,Ottone!$F$1:$FF$1,0)-1)=TRUE),0,OFFSET(Ottone!$F$1,MATCH(H930,Ottone!$A:$A,0)-1,MATCH(I930,Ottone!$F$1:$FF$1,0)-1))*IF(E930="Ottone",1,0),4)</f>
        <v>0</v>
      </c>
      <c r="R930" s="446">
        <f ca="1">ROUND(IF(ISERROR(OFFSET(Rame!$F$1,MATCH(H930,Rame!$F:$F,0)-1,MATCH(I930,Rame!$F$1:$FF$1,0)-1)=TRUE),0,OFFSET(Rame!$F$1,MATCH(H930,Rame!$F:$F,0)-1,MATCH(I930,Rame!$F$1:$FF$1,0)-1))*IF(E930="Rame",1,0),4)</f>
        <v>0</v>
      </c>
      <c r="S930" s="446">
        <f ca="1">ROUND(IF(ISERROR(OFFSET(Bronzo!$A$1,MATCH(H930,Bronzo!$A:$A,0)-1,MATCH(I930,Bronzo!$A$1:$AA$1,0)-1)=TRUE),0,OFFSET(Bronzo!$A$1,MATCH(H930,Bronzo!$A:$A,0)-1,MATCH(I930,Bronzo!$A$1:$AA$1,0)-1)),4)</f>
        <v>0</v>
      </c>
      <c r="T930" s="446">
        <f t="shared" ca="1" si="223"/>
        <v>0</v>
      </c>
      <c r="U930" s="443"/>
      <c r="V930" s="446">
        <v>0</v>
      </c>
      <c r="W930" s="449">
        <f t="shared" ca="1" si="224"/>
        <v>0</v>
      </c>
      <c r="X930" s="452">
        <f t="shared" si="222"/>
        <v>0</v>
      </c>
      <c r="Y930" s="440"/>
      <c r="Z930" s="440">
        <f t="shared" ca="1" si="225"/>
        <v>0</v>
      </c>
      <c r="AA930" s="241"/>
      <c r="AF930" s="225">
        <f t="shared" ca="1" si="221"/>
        <v>46156</v>
      </c>
      <c r="AG930" s="225" t="b">
        <f t="shared" si="226"/>
        <v>1</v>
      </c>
      <c r="AH930" s="242" t="str">
        <f t="shared" si="227"/>
        <v/>
      </c>
      <c r="AK930" s="223">
        <f t="shared" si="228"/>
        <v>0</v>
      </c>
      <c r="AL930" s="223">
        <f t="shared" si="229"/>
        <v>1900</v>
      </c>
      <c r="AS930" s="223">
        <f t="shared" si="218"/>
        <v>0</v>
      </c>
      <c r="AT930" s="223">
        <f t="shared" si="219"/>
        <v>0</v>
      </c>
    </row>
    <row r="931" spans="2:46" ht="15.75" x14ac:dyDescent="0.25">
      <c r="B931" s="229"/>
      <c r="C931" s="235"/>
      <c r="D931" s="243"/>
      <c r="E931" s="232"/>
      <c r="F931" s="435"/>
      <c r="G931" s="234"/>
      <c r="H931" s="235"/>
      <c r="I931" s="235"/>
      <c r="J931" s="440"/>
      <c r="K931" s="443">
        <f ca="1">ROUND(IF(ISERROR(OFFSET(Tabella!$A$1,MATCH(H931,Tabella!$A:$A,0)-1,MATCH(J931,Tabella!$A$1:$AC$1,0)-1)=TRUE),0,+OFFSET(Tabella!$A$1,MATCH(H931,Tabella!$A:$A,0)-1,MATCH(J931,Tabella!$A$1:$AC$1,0)-1)),4)</f>
        <v>0</v>
      </c>
      <c r="L931" s="446">
        <f ca="1">ROUND(IF(ISERROR(OFFSET(Ottone!$A$1,MATCH(H931,Ottone!$A:$A,0)-1,MATCH(J931,Ottone!$A$1:$Z$1,0)-1)=TRUE),0,OFFSET(Ottone!$A$1,MATCH(H931,Ottone!$A:$A,0)-1,MATCH(J931,Ottone!$A$1:$Z$1,0)-1))*IF(E931="Ottone",1,0),4)</f>
        <v>0</v>
      </c>
      <c r="M931" s="446">
        <f ca="1">ROUND(IF(ISERROR(OFFSET(Rame!$A$1,MATCH(H931,Rame!$A:$A,0)-1,MATCH(J931,Rame!$A$1:$AA$1,0)-1)=TRUE),0,OFFSET(Rame!$A$1,MATCH(H931,Rame!$A:$A,0)-1,MATCH(J931,Rame!$A$1:$AA$1,0)-1))*IF(E931="Rame",1,0),4)</f>
        <v>0</v>
      </c>
      <c r="N931" s="446">
        <v>0</v>
      </c>
      <c r="O931" s="446">
        <f t="shared" ca="1" si="220"/>
        <v>0</v>
      </c>
      <c r="P931" s="446">
        <f ca="1">ROUND(+IF(ISERROR(OFFSET(Tabella!$G$1,MATCH(H931,Tabella!$G:$G,0)-1,MATCH(I931,Tabella!$G$1:$FG$1,0)-1)=TRUE),0,OFFSET(Tabella!$G$1,MATCH(H931,Tabella!$G:$G,0)-1,MATCH(I931,Tabella!$G$1:$AB$1,0)-1)),4)</f>
        <v>0</v>
      </c>
      <c r="Q931" s="446">
        <f ca="1">ROUND(IF(ISERROR(OFFSET(Ottone!$F$1,MATCH(H931,Ottone!$A:$A,0)-1,MATCH(I931,Ottone!$F$1:$FF$1,0)-1)=TRUE),0,OFFSET(Ottone!$F$1,MATCH(H931,Ottone!$A:$A,0)-1,MATCH(I931,Ottone!$F$1:$FF$1,0)-1))*IF(E931="Ottone",1,0),4)</f>
        <v>0</v>
      </c>
      <c r="R931" s="446">
        <f ca="1">ROUND(IF(ISERROR(OFFSET(Rame!$F$1,MATCH(H931,Rame!$F:$F,0)-1,MATCH(I931,Rame!$F$1:$FF$1,0)-1)=TRUE),0,OFFSET(Rame!$F$1,MATCH(H931,Rame!$F:$F,0)-1,MATCH(I931,Rame!$F$1:$FF$1,0)-1))*IF(E931="Rame",1,0),4)</f>
        <v>0</v>
      </c>
      <c r="S931" s="446">
        <f ca="1">ROUND(IF(ISERROR(OFFSET(Bronzo!$A$1,MATCH(H931,Bronzo!$A:$A,0)-1,MATCH(I931,Bronzo!$A$1:$AA$1,0)-1)=TRUE),0,OFFSET(Bronzo!$A$1,MATCH(H931,Bronzo!$A:$A,0)-1,MATCH(I931,Bronzo!$A$1:$AA$1,0)-1)),4)</f>
        <v>0</v>
      </c>
      <c r="T931" s="446">
        <f t="shared" ca="1" si="223"/>
        <v>0</v>
      </c>
      <c r="U931" s="443"/>
      <c r="V931" s="446">
        <v>0</v>
      </c>
      <c r="W931" s="449">
        <f t="shared" ca="1" si="224"/>
        <v>0</v>
      </c>
      <c r="X931" s="452">
        <f t="shared" si="222"/>
        <v>0</v>
      </c>
      <c r="Y931" s="440"/>
      <c r="Z931" s="440">
        <f t="shared" ca="1" si="225"/>
        <v>0</v>
      </c>
      <c r="AA931" s="241"/>
      <c r="AF931" s="225">
        <f t="shared" ca="1" si="221"/>
        <v>46156</v>
      </c>
      <c r="AG931" s="225" t="b">
        <f t="shared" si="226"/>
        <v>1</v>
      </c>
      <c r="AH931" s="242" t="str">
        <f t="shared" si="227"/>
        <v/>
      </c>
      <c r="AK931" s="223">
        <f t="shared" si="228"/>
        <v>0</v>
      </c>
      <c r="AL931" s="223">
        <f t="shared" si="229"/>
        <v>1900</v>
      </c>
      <c r="AS931" s="223">
        <f t="shared" si="218"/>
        <v>0</v>
      </c>
      <c r="AT931" s="223">
        <f t="shared" si="219"/>
        <v>0</v>
      </c>
    </row>
    <row r="932" spans="2:46" ht="15.75" x14ac:dyDescent="0.25">
      <c r="B932" s="229"/>
      <c r="C932" s="235"/>
      <c r="D932" s="243"/>
      <c r="E932" s="232"/>
      <c r="F932" s="435"/>
      <c r="G932" s="234"/>
      <c r="H932" s="235"/>
      <c r="I932" s="235"/>
      <c r="J932" s="440"/>
      <c r="K932" s="443">
        <f ca="1">ROUND(IF(ISERROR(OFFSET(Tabella!$A$1,MATCH(H932,Tabella!$A:$A,0)-1,MATCH(J932,Tabella!$A$1:$AC$1,0)-1)=TRUE),0,+OFFSET(Tabella!$A$1,MATCH(H932,Tabella!$A:$A,0)-1,MATCH(J932,Tabella!$A$1:$AC$1,0)-1)),4)</f>
        <v>0</v>
      </c>
      <c r="L932" s="446">
        <f ca="1">ROUND(IF(ISERROR(OFFSET(Ottone!$A$1,MATCH(H932,Ottone!$A:$A,0)-1,MATCH(J932,Ottone!$A$1:$Z$1,0)-1)=TRUE),0,OFFSET(Ottone!$A$1,MATCH(H932,Ottone!$A:$A,0)-1,MATCH(J932,Ottone!$A$1:$Z$1,0)-1))*IF(E932="Ottone",1,0),4)</f>
        <v>0</v>
      </c>
      <c r="M932" s="446">
        <f ca="1">ROUND(IF(ISERROR(OFFSET(Rame!$A$1,MATCH(H932,Rame!$A:$A,0)-1,MATCH(J932,Rame!$A$1:$AA$1,0)-1)=TRUE),0,OFFSET(Rame!$A$1,MATCH(H932,Rame!$A:$A,0)-1,MATCH(J932,Rame!$A$1:$AA$1,0)-1))*IF(E932="Rame",1,0),4)</f>
        <v>0</v>
      </c>
      <c r="N932" s="446">
        <v>0</v>
      </c>
      <c r="O932" s="446">
        <f t="shared" ca="1" si="220"/>
        <v>0</v>
      </c>
      <c r="P932" s="446">
        <f ca="1">ROUND(+IF(ISERROR(OFFSET(Tabella!$G$1,MATCH(H932,Tabella!$G:$G,0)-1,MATCH(I932,Tabella!$G$1:$FG$1,0)-1)=TRUE),0,OFFSET(Tabella!$G$1,MATCH(H932,Tabella!$G:$G,0)-1,MATCH(I932,Tabella!$G$1:$AB$1,0)-1)),4)</f>
        <v>0</v>
      </c>
      <c r="Q932" s="446">
        <f ca="1">ROUND(IF(ISERROR(OFFSET(Ottone!$F$1,MATCH(H932,Ottone!$A:$A,0)-1,MATCH(I932,Ottone!$F$1:$FF$1,0)-1)=TRUE),0,OFFSET(Ottone!$F$1,MATCH(H932,Ottone!$A:$A,0)-1,MATCH(I932,Ottone!$F$1:$FF$1,0)-1))*IF(E932="Ottone",1,0),4)</f>
        <v>0</v>
      </c>
      <c r="R932" s="446">
        <f ca="1">ROUND(IF(ISERROR(OFFSET(Rame!$F$1,MATCH(H932,Rame!$F:$F,0)-1,MATCH(I932,Rame!$F$1:$FF$1,0)-1)=TRUE),0,OFFSET(Rame!$F$1,MATCH(H932,Rame!$F:$F,0)-1,MATCH(I932,Rame!$F$1:$FF$1,0)-1))*IF(E932="Rame",1,0),4)</f>
        <v>0</v>
      </c>
      <c r="S932" s="446">
        <f ca="1">ROUND(IF(ISERROR(OFFSET(Bronzo!$A$1,MATCH(H932,Bronzo!$A:$A,0)-1,MATCH(I932,Bronzo!$A$1:$AA$1,0)-1)=TRUE),0,OFFSET(Bronzo!$A$1,MATCH(H932,Bronzo!$A:$A,0)-1,MATCH(I932,Bronzo!$A$1:$AA$1,0)-1)),4)</f>
        <v>0</v>
      </c>
      <c r="T932" s="446">
        <f t="shared" ca="1" si="223"/>
        <v>0</v>
      </c>
      <c r="U932" s="443"/>
      <c r="V932" s="446">
        <v>0</v>
      </c>
      <c r="W932" s="449">
        <f t="shared" ca="1" si="224"/>
        <v>0</v>
      </c>
      <c r="X932" s="452">
        <f t="shared" si="222"/>
        <v>0</v>
      </c>
      <c r="Y932" s="440"/>
      <c r="Z932" s="440">
        <f t="shared" ca="1" si="225"/>
        <v>0</v>
      </c>
      <c r="AA932" s="241"/>
      <c r="AF932" s="225">
        <f t="shared" ca="1" si="221"/>
        <v>46156</v>
      </c>
      <c r="AG932" s="225" t="b">
        <f t="shared" si="226"/>
        <v>1</v>
      </c>
      <c r="AH932" s="242" t="str">
        <f t="shared" si="227"/>
        <v/>
      </c>
      <c r="AK932" s="223">
        <f t="shared" si="228"/>
        <v>0</v>
      </c>
      <c r="AL932" s="223">
        <f t="shared" si="229"/>
        <v>1900</v>
      </c>
      <c r="AS932" s="223">
        <f t="shared" si="218"/>
        <v>0</v>
      </c>
      <c r="AT932" s="223">
        <f t="shared" si="219"/>
        <v>0</v>
      </c>
    </row>
    <row r="933" spans="2:46" ht="15.75" x14ac:dyDescent="0.25">
      <c r="B933" s="229"/>
      <c r="C933" s="235"/>
      <c r="D933" s="243"/>
      <c r="E933" s="232"/>
      <c r="F933" s="435"/>
      <c r="G933" s="234"/>
      <c r="H933" s="235"/>
      <c r="I933" s="235"/>
      <c r="J933" s="440"/>
      <c r="K933" s="443">
        <f ca="1">ROUND(IF(ISERROR(OFFSET(Tabella!$A$1,MATCH(H933,Tabella!$A:$A,0)-1,MATCH(J933,Tabella!$A$1:$AC$1,0)-1)=TRUE),0,+OFFSET(Tabella!$A$1,MATCH(H933,Tabella!$A:$A,0)-1,MATCH(J933,Tabella!$A$1:$AC$1,0)-1)),4)</f>
        <v>0</v>
      </c>
      <c r="L933" s="446">
        <f ca="1">ROUND(IF(ISERROR(OFFSET(Ottone!$A$1,MATCH(H933,Ottone!$A:$A,0)-1,MATCH(J933,Ottone!$A$1:$Z$1,0)-1)=TRUE),0,OFFSET(Ottone!$A$1,MATCH(H933,Ottone!$A:$A,0)-1,MATCH(J933,Ottone!$A$1:$Z$1,0)-1))*IF(E933="Ottone",1,0),4)</f>
        <v>0</v>
      </c>
      <c r="M933" s="446">
        <f ca="1">ROUND(IF(ISERROR(OFFSET(Rame!$A$1,MATCH(H933,Rame!$A:$A,0)-1,MATCH(J933,Rame!$A$1:$AA$1,0)-1)=TRUE),0,OFFSET(Rame!$A$1,MATCH(H933,Rame!$A:$A,0)-1,MATCH(J933,Rame!$A$1:$AA$1,0)-1))*IF(E933="Rame",1,0),4)</f>
        <v>0</v>
      </c>
      <c r="N933" s="446">
        <v>0</v>
      </c>
      <c r="O933" s="446">
        <f t="shared" ca="1" si="220"/>
        <v>0</v>
      </c>
      <c r="P933" s="446">
        <f ca="1">ROUND(+IF(ISERROR(OFFSET(Tabella!$G$1,MATCH(H933,Tabella!$G:$G,0)-1,MATCH(I933,Tabella!$G$1:$FG$1,0)-1)=TRUE),0,OFFSET(Tabella!$G$1,MATCH(H933,Tabella!$G:$G,0)-1,MATCH(I933,Tabella!$G$1:$AB$1,0)-1)),4)</f>
        <v>0</v>
      </c>
      <c r="Q933" s="446">
        <f ca="1">ROUND(IF(ISERROR(OFFSET(Ottone!$F$1,MATCH(H933,Ottone!$A:$A,0)-1,MATCH(I933,Ottone!$F$1:$FF$1,0)-1)=TRUE),0,OFFSET(Ottone!$F$1,MATCH(H933,Ottone!$A:$A,0)-1,MATCH(I933,Ottone!$F$1:$FF$1,0)-1))*IF(E933="Ottone",1,0),4)</f>
        <v>0</v>
      </c>
      <c r="R933" s="446">
        <f ca="1">ROUND(IF(ISERROR(OFFSET(Rame!$F$1,MATCH(H933,Rame!$F:$F,0)-1,MATCH(I933,Rame!$F$1:$FF$1,0)-1)=TRUE),0,OFFSET(Rame!$F$1,MATCH(H933,Rame!$F:$F,0)-1,MATCH(I933,Rame!$F$1:$FF$1,0)-1))*IF(E933="Rame",1,0),4)</f>
        <v>0</v>
      </c>
      <c r="S933" s="446">
        <f ca="1">ROUND(IF(ISERROR(OFFSET(Bronzo!$A$1,MATCH(H933,Bronzo!$A:$A,0)-1,MATCH(I933,Bronzo!$A$1:$AA$1,0)-1)=TRUE),0,OFFSET(Bronzo!$A$1,MATCH(H933,Bronzo!$A:$A,0)-1,MATCH(I933,Bronzo!$A$1:$AA$1,0)-1)),4)</f>
        <v>0</v>
      </c>
      <c r="T933" s="446">
        <f t="shared" ca="1" si="223"/>
        <v>0</v>
      </c>
      <c r="U933" s="443"/>
      <c r="V933" s="446">
        <v>0</v>
      </c>
      <c r="W933" s="449">
        <f t="shared" ca="1" si="224"/>
        <v>0</v>
      </c>
      <c r="X933" s="452">
        <f t="shared" si="222"/>
        <v>0</v>
      </c>
      <c r="Y933" s="440"/>
      <c r="Z933" s="440">
        <f t="shared" ca="1" si="225"/>
        <v>0</v>
      </c>
      <c r="AA933" s="241"/>
      <c r="AF933" s="225">
        <f t="shared" ca="1" si="221"/>
        <v>46156</v>
      </c>
      <c r="AG933" s="225" t="b">
        <f t="shared" si="226"/>
        <v>1</v>
      </c>
      <c r="AH933" s="242" t="str">
        <f t="shared" si="227"/>
        <v/>
      </c>
      <c r="AK933" s="223">
        <f t="shared" si="228"/>
        <v>0</v>
      </c>
      <c r="AL933" s="223">
        <f t="shared" si="229"/>
        <v>1900</v>
      </c>
      <c r="AS933" s="223">
        <f t="shared" si="218"/>
        <v>0</v>
      </c>
      <c r="AT933" s="223">
        <f t="shared" si="219"/>
        <v>0</v>
      </c>
    </row>
    <row r="934" spans="2:46" ht="15.75" x14ac:dyDescent="0.25">
      <c r="B934" s="229"/>
      <c r="C934" s="235"/>
      <c r="D934" s="243"/>
      <c r="E934" s="232"/>
      <c r="F934" s="435"/>
      <c r="G934" s="234"/>
      <c r="H934" s="235"/>
      <c r="I934" s="235"/>
      <c r="J934" s="440"/>
      <c r="K934" s="443">
        <f ca="1">ROUND(IF(ISERROR(OFFSET(Tabella!$A$1,MATCH(H934,Tabella!$A:$A,0)-1,MATCH(J934,Tabella!$A$1:$AC$1,0)-1)=TRUE),0,+OFFSET(Tabella!$A$1,MATCH(H934,Tabella!$A:$A,0)-1,MATCH(J934,Tabella!$A$1:$AC$1,0)-1)),4)</f>
        <v>0</v>
      </c>
      <c r="L934" s="446">
        <f ca="1">ROUND(IF(ISERROR(OFFSET(Ottone!$A$1,MATCH(H934,Ottone!$A:$A,0)-1,MATCH(J934,Ottone!$A$1:$Z$1,0)-1)=TRUE),0,OFFSET(Ottone!$A$1,MATCH(H934,Ottone!$A:$A,0)-1,MATCH(J934,Ottone!$A$1:$Z$1,0)-1))*IF(E934="Ottone",1,0),4)</f>
        <v>0</v>
      </c>
      <c r="M934" s="446">
        <f ca="1">ROUND(IF(ISERROR(OFFSET(Rame!$A$1,MATCH(H934,Rame!$A:$A,0)-1,MATCH(J934,Rame!$A$1:$AA$1,0)-1)=TRUE),0,OFFSET(Rame!$A$1,MATCH(H934,Rame!$A:$A,0)-1,MATCH(J934,Rame!$A$1:$AA$1,0)-1))*IF(E934="Rame",1,0),4)</f>
        <v>0</v>
      </c>
      <c r="N934" s="446">
        <v>0</v>
      </c>
      <c r="O934" s="446">
        <f t="shared" ca="1" si="220"/>
        <v>0</v>
      </c>
      <c r="P934" s="446">
        <f ca="1">ROUND(+IF(ISERROR(OFFSET(Tabella!$G$1,MATCH(H934,Tabella!$G:$G,0)-1,MATCH(I934,Tabella!$G$1:$FG$1,0)-1)=TRUE),0,OFFSET(Tabella!$G$1,MATCH(H934,Tabella!$G:$G,0)-1,MATCH(I934,Tabella!$G$1:$AB$1,0)-1)),4)</f>
        <v>0</v>
      </c>
      <c r="Q934" s="446">
        <f ca="1">ROUND(IF(ISERROR(OFFSET(Ottone!$F$1,MATCH(H934,Ottone!$A:$A,0)-1,MATCH(I934,Ottone!$F$1:$FF$1,0)-1)=TRUE),0,OFFSET(Ottone!$F$1,MATCH(H934,Ottone!$A:$A,0)-1,MATCH(I934,Ottone!$F$1:$FF$1,0)-1))*IF(E934="Ottone",1,0),4)</f>
        <v>0</v>
      </c>
      <c r="R934" s="446">
        <f ca="1">ROUND(IF(ISERROR(OFFSET(Rame!$F$1,MATCH(H934,Rame!$F:$F,0)-1,MATCH(I934,Rame!$F$1:$FF$1,0)-1)=TRUE),0,OFFSET(Rame!$F$1,MATCH(H934,Rame!$F:$F,0)-1,MATCH(I934,Rame!$F$1:$FF$1,0)-1))*IF(E934="Rame",1,0),4)</f>
        <v>0</v>
      </c>
      <c r="S934" s="446">
        <f ca="1">ROUND(IF(ISERROR(OFFSET(Bronzo!$A$1,MATCH(H934,Bronzo!$A:$A,0)-1,MATCH(I934,Bronzo!$A$1:$AA$1,0)-1)=TRUE),0,OFFSET(Bronzo!$A$1,MATCH(H934,Bronzo!$A:$A,0)-1,MATCH(I934,Bronzo!$A$1:$AA$1,0)-1)),4)</f>
        <v>0</v>
      </c>
      <c r="T934" s="446">
        <f t="shared" ca="1" si="223"/>
        <v>0</v>
      </c>
      <c r="U934" s="443"/>
      <c r="V934" s="446">
        <v>0</v>
      </c>
      <c r="W934" s="449">
        <f t="shared" ca="1" si="224"/>
        <v>0</v>
      </c>
      <c r="X934" s="452">
        <f t="shared" si="222"/>
        <v>0</v>
      </c>
      <c r="Y934" s="440"/>
      <c r="Z934" s="440">
        <f t="shared" ca="1" si="225"/>
        <v>0</v>
      </c>
      <c r="AA934" s="241"/>
      <c r="AF934" s="225">
        <f t="shared" ca="1" si="221"/>
        <v>46156</v>
      </c>
      <c r="AG934" s="225" t="b">
        <f t="shared" si="226"/>
        <v>1</v>
      </c>
      <c r="AH934" s="242" t="str">
        <f t="shared" si="227"/>
        <v/>
      </c>
      <c r="AK934" s="223">
        <f t="shared" si="228"/>
        <v>0</v>
      </c>
      <c r="AL934" s="223">
        <f t="shared" si="229"/>
        <v>1900</v>
      </c>
      <c r="AS934" s="223">
        <f t="shared" ref="AS934:AS967" si="230">IF(AA934="",0,MONTH(AA934))</f>
        <v>0</v>
      </c>
      <c r="AT934" s="223">
        <f t="shared" ref="AT934:AT967" si="231">IF(AA934="",0,YEAR(AA934))</f>
        <v>0</v>
      </c>
    </row>
    <row r="935" spans="2:46" ht="15.75" x14ac:dyDescent="0.25">
      <c r="B935" s="229"/>
      <c r="C935" s="235"/>
      <c r="D935" s="243"/>
      <c r="E935" s="232"/>
      <c r="F935" s="435"/>
      <c r="G935" s="234"/>
      <c r="H935" s="235"/>
      <c r="I935" s="235"/>
      <c r="J935" s="440"/>
      <c r="K935" s="443">
        <f ca="1">ROUND(IF(ISERROR(OFFSET(Tabella!$A$1,MATCH(H935,Tabella!$A:$A,0)-1,MATCH(J935,Tabella!$A$1:$AC$1,0)-1)=TRUE),0,+OFFSET(Tabella!$A$1,MATCH(H935,Tabella!$A:$A,0)-1,MATCH(J935,Tabella!$A$1:$AC$1,0)-1)),4)</f>
        <v>0</v>
      </c>
      <c r="L935" s="446">
        <f ca="1">ROUND(IF(ISERROR(OFFSET(Ottone!$A$1,MATCH(H935,Ottone!$A:$A,0)-1,MATCH(J935,Ottone!$A$1:$Z$1,0)-1)=TRUE),0,OFFSET(Ottone!$A$1,MATCH(H935,Ottone!$A:$A,0)-1,MATCH(J935,Ottone!$A$1:$Z$1,0)-1))*IF(E935="Ottone",1,0),4)</f>
        <v>0</v>
      </c>
      <c r="M935" s="446">
        <f ca="1">ROUND(IF(ISERROR(OFFSET(Rame!$A$1,MATCH(H935,Rame!$A:$A,0)-1,MATCH(J935,Rame!$A$1:$AA$1,0)-1)=TRUE),0,OFFSET(Rame!$A$1,MATCH(H935,Rame!$A:$A,0)-1,MATCH(J935,Rame!$A$1:$AA$1,0)-1))*IF(E935="Rame",1,0),4)</f>
        <v>0</v>
      </c>
      <c r="N935" s="446">
        <v>0</v>
      </c>
      <c r="O935" s="446">
        <f t="shared" ca="1" si="220"/>
        <v>0</v>
      </c>
      <c r="P935" s="446">
        <f ca="1">ROUND(+IF(ISERROR(OFFSET(Tabella!$G$1,MATCH(H935,Tabella!$G:$G,0)-1,MATCH(I935,Tabella!$G$1:$FG$1,0)-1)=TRUE),0,OFFSET(Tabella!$G$1,MATCH(H935,Tabella!$G:$G,0)-1,MATCH(I935,Tabella!$G$1:$AB$1,0)-1)),4)</f>
        <v>0</v>
      </c>
      <c r="Q935" s="446">
        <f ca="1">ROUND(IF(ISERROR(OFFSET(Ottone!$F$1,MATCH(H935,Ottone!$A:$A,0)-1,MATCH(I935,Ottone!$F$1:$FF$1,0)-1)=TRUE),0,OFFSET(Ottone!$F$1,MATCH(H935,Ottone!$A:$A,0)-1,MATCH(I935,Ottone!$F$1:$FF$1,0)-1))*IF(E935="Ottone",1,0),4)</f>
        <v>0</v>
      </c>
      <c r="R935" s="446">
        <f ca="1">ROUND(IF(ISERROR(OFFSET(Rame!$F$1,MATCH(H935,Rame!$F:$F,0)-1,MATCH(I935,Rame!$F$1:$FF$1,0)-1)=TRUE),0,OFFSET(Rame!$F$1,MATCH(H935,Rame!$F:$F,0)-1,MATCH(I935,Rame!$F$1:$FF$1,0)-1))*IF(E935="Rame",1,0),4)</f>
        <v>0</v>
      </c>
      <c r="S935" s="446">
        <f ca="1">ROUND(IF(ISERROR(OFFSET(Bronzo!$A$1,MATCH(H935,Bronzo!$A:$A,0)-1,MATCH(I935,Bronzo!$A$1:$AA$1,0)-1)=TRUE),0,OFFSET(Bronzo!$A$1,MATCH(H935,Bronzo!$A:$A,0)-1,MATCH(I935,Bronzo!$A$1:$AA$1,0)-1)),4)</f>
        <v>0</v>
      </c>
      <c r="T935" s="446">
        <f t="shared" ca="1" si="223"/>
        <v>0</v>
      </c>
      <c r="U935" s="443"/>
      <c r="V935" s="446">
        <v>0</v>
      </c>
      <c r="W935" s="449">
        <f t="shared" ca="1" si="224"/>
        <v>0</v>
      </c>
      <c r="X935" s="452">
        <f t="shared" si="222"/>
        <v>0</v>
      </c>
      <c r="Y935" s="440"/>
      <c r="Z935" s="440">
        <f t="shared" ca="1" si="225"/>
        <v>0</v>
      </c>
      <c r="AA935" s="241"/>
      <c r="AF935" s="225">
        <f t="shared" ca="1" si="221"/>
        <v>46156</v>
      </c>
      <c r="AG935" s="225" t="b">
        <f t="shared" si="226"/>
        <v>1</v>
      </c>
      <c r="AH935" s="242" t="str">
        <f t="shared" si="227"/>
        <v/>
      </c>
      <c r="AK935" s="223">
        <f t="shared" si="228"/>
        <v>0</v>
      </c>
      <c r="AL935" s="223">
        <f t="shared" si="229"/>
        <v>1900</v>
      </c>
      <c r="AS935" s="223">
        <f t="shared" si="230"/>
        <v>0</v>
      </c>
      <c r="AT935" s="223">
        <f t="shared" si="231"/>
        <v>0</v>
      </c>
    </row>
    <row r="936" spans="2:46" ht="15.75" x14ac:dyDescent="0.25">
      <c r="B936" s="229"/>
      <c r="C936" s="235"/>
      <c r="D936" s="243"/>
      <c r="E936" s="232"/>
      <c r="F936" s="435"/>
      <c r="G936" s="234"/>
      <c r="H936" s="235"/>
      <c r="I936" s="235"/>
      <c r="J936" s="440"/>
      <c r="K936" s="443">
        <f ca="1">ROUND(IF(ISERROR(OFFSET(Tabella!$A$1,MATCH(H936,Tabella!$A:$A,0)-1,MATCH(J936,Tabella!$A$1:$AC$1,0)-1)=TRUE),0,+OFFSET(Tabella!$A$1,MATCH(H936,Tabella!$A:$A,0)-1,MATCH(J936,Tabella!$A$1:$AC$1,0)-1)),4)</f>
        <v>0</v>
      </c>
      <c r="L936" s="446">
        <f ca="1">ROUND(IF(ISERROR(OFFSET(Ottone!$A$1,MATCH(H936,Ottone!$A:$A,0)-1,MATCH(J936,Ottone!$A$1:$Z$1,0)-1)=TRUE),0,OFFSET(Ottone!$A$1,MATCH(H936,Ottone!$A:$A,0)-1,MATCH(J936,Ottone!$A$1:$Z$1,0)-1))*IF(E936="Ottone",1,0),4)</f>
        <v>0</v>
      </c>
      <c r="M936" s="446">
        <f ca="1">ROUND(IF(ISERROR(OFFSET(Rame!$A$1,MATCH(H936,Rame!$A:$A,0)-1,MATCH(J936,Rame!$A$1:$AA$1,0)-1)=TRUE),0,OFFSET(Rame!$A$1,MATCH(H936,Rame!$A:$A,0)-1,MATCH(J936,Rame!$A$1:$AA$1,0)-1))*IF(E936="Rame",1,0),4)</f>
        <v>0</v>
      </c>
      <c r="N936" s="446">
        <v>0</v>
      </c>
      <c r="O936" s="446">
        <f t="shared" ref="O936:O999" ca="1" si="232">ROUND(SUM(K936:N936),4)</f>
        <v>0</v>
      </c>
      <c r="P936" s="446">
        <f ca="1">ROUND(+IF(ISERROR(OFFSET(Tabella!$G$1,MATCH(H936,Tabella!$G:$G,0)-1,MATCH(I936,Tabella!$G$1:$FG$1,0)-1)=TRUE),0,OFFSET(Tabella!$G$1,MATCH(H936,Tabella!$G:$G,0)-1,MATCH(I936,Tabella!$G$1:$AB$1,0)-1)),4)</f>
        <v>0</v>
      </c>
      <c r="Q936" s="446">
        <f ca="1">ROUND(IF(ISERROR(OFFSET(Ottone!$F$1,MATCH(H936,Ottone!$A:$A,0)-1,MATCH(I936,Ottone!$F$1:$FF$1,0)-1)=TRUE),0,OFFSET(Ottone!$F$1,MATCH(H936,Ottone!$A:$A,0)-1,MATCH(I936,Ottone!$F$1:$FF$1,0)-1))*IF(E936="Ottone",1,0),4)</f>
        <v>0</v>
      </c>
      <c r="R936" s="446">
        <f ca="1">ROUND(IF(ISERROR(OFFSET(Rame!$F$1,MATCH(H936,Rame!$F:$F,0)-1,MATCH(I936,Rame!$F$1:$FF$1,0)-1)=TRUE),0,OFFSET(Rame!$F$1,MATCH(H936,Rame!$F:$F,0)-1,MATCH(I936,Rame!$F$1:$FF$1,0)-1))*IF(E936="Rame",1,0),4)</f>
        <v>0</v>
      </c>
      <c r="S936" s="446">
        <f ca="1">ROUND(IF(ISERROR(OFFSET(Bronzo!$A$1,MATCH(H936,Bronzo!$A:$A,0)-1,MATCH(I936,Bronzo!$A$1:$AA$1,0)-1)=TRUE),0,OFFSET(Bronzo!$A$1,MATCH(H936,Bronzo!$A:$A,0)-1,MATCH(I936,Bronzo!$A$1:$AA$1,0)-1)),4)</f>
        <v>0</v>
      </c>
      <c r="T936" s="446">
        <f t="shared" ca="1" si="223"/>
        <v>0</v>
      </c>
      <c r="U936" s="443"/>
      <c r="V936" s="446">
        <v>0</v>
      </c>
      <c r="W936" s="449">
        <f t="shared" ca="1" si="224"/>
        <v>0</v>
      </c>
      <c r="X936" s="452">
        <f t="shared" si="222"/>
        <v>0</v>
      </c>
      <c r="Y936" s="440"/>
      <c r="Z936" s="440">
        <f t="shared" ca="1" si="225"/>
        <v>0</v>
      </c>
      <c r="AA936" s="241"/>
      <c r="AF936" s="225">
        <f t="shared" ca="1" si="221"/>
        <v>46156</v>
      </c>
      <c r="AG936" s="225" t="b">
        <f t="shared" si="226"/>
        <v>1</v>
      </c>
      <c r="AH936" s="242" t="str">
        <f t="shared" si="227"/>
        <v/>
      </c>
      <c r="AK936" s="223">
        <f t="shared" si="228"/>
        <v>0</v>
      </c>
      <c r="AL936" s="223">
        <f t="shared" si="229"/>
        <v>1900</v>
      </c>
      <c r="AS936" s="223">
        <f t="shared" si="230"/>
        <v>0</v>
      </c>
      <c r="AT936" s="223">
        <f t="shared" si="231"/>
        <v>0</v>
      </c>
    </row>
    <row r="937" spans="2:46" ht="15.75" x14ac:dyDescent="0.25">
      <c r="B937" s="229"/>
      <c r="C937" s="235"/>
      <c r="D937" s="243"/>
      <c r="E937" s="232"/>
      <c r="F937" s="435"/>
      <c r="G937" s="234"/>
      <c r="H937" s="235"/>
      <c r="I937" s="235"/>
      <c r="J937" s="440"/>
      <c r="K937" s="443">
        <f ca="1">ROUND(IF(ISERROR(OFFSET(Tabella!$A$1,MATCH(H937,Tabella!$A:$A,0)-1,MATCH(J937,Tabella!$A$1:$AC$1,0)-1)=TRUE),0,+OFFSET(Tabella!$A$1,MATCH(H937,Tabella!$A:$A,0)-1,MATCH(J937,Tabella!$A$1:$AC$1,0)-1)),4)</f>
        <v>0</v>
      </c>
      <c r="L937" s="446">
        <f ca="1">ROUND(IF(ISERROR(OFFSET(Ottone!$A$1,MATCH(H937,Ottone!$A:$A,0)-1,MATCH(J937,Ottone!$A$1:$Z$1,0)-1)=TRUE),0,OFFSET(Ottone!$A$1,MATCH(H937,Ottone!$A:$A,0)-1,MATCH(J937,Ottone!$A$1:$Z$1,0)-1))*IF(E937="Ottone",1,0),4)</f>
        <v>0</v>
      </c>
      <c r="M937" s="446">
        <f ca="1">ROUND(IF(ISERROR(OFFSET(Rame!$A$1,MATCH(H937,Rame!$A:$A,0)-1,MATCH(J937,Rame!$A$1:$AA$1,0)-1)=TRUE),0,OFFSET(Rame!$A$1,MATCH(H937,Rame!$A:$A,0)-1,MATCH(J937,Rame!$A$1:$AA$1,0)-1))*IF(E937="Rame",1,0),4)</f>
        <v>0</v>
      </c>
      <c r="N937" s="446">
        <v>0</v>
      </c>
      <c r="O937" s="446">
        <f t="shared" ca="1" si="232"/>
        <v>0</v>
      </c>
      <c r="P937" s="446">
        <f ca="1">ROUND(+IF(ISERROR(OFFSET(Tabella!$G$1,MATCH(H937,Tabella!$G:$G,0)-1,MATCH(I937,Tabella!$G$1:$FG$1,0)-1)=TRUE),0,OFFSET(Tabella!$G$1,MATCH(H937,Tabella!$G:$G,0)-1,MATCH(I937,Tabella!$G$1:$AB$1,0)-1)),4)</f>
        <v>0</v>
      </c>
      <c r="Q937" s="446">
        <f ca="1">ROUND(IF(ISERROR(OFFSET(Ottone!$F$1,MATCH(H937,Ottone!$A:$A,0)-1,MATCH(I937,Ottone!$F$1:$FF$1,0)-1)=TRUE),0,OFFSET(Ottone!$F$1,MATCH(H937,Ottone!$A:$A,0)-1,MATCH(I937,Ottone!$F$1:$FF$1,0)-1))*IF(E937="Ottone",1,0),4)</f>
        <v>0</v>
      </c>
      <c r="R937" s="446">
        <f ca="1">ROUND(IF(ISERROR(OFFSET(Rame!$F$1,MATCH(H937,Rame!$F:$F,0)-1,MATCH(I937,Rame!$F$1:$FF$1,0)-1)=TRUE),0,OFFSET(Rame!$F$1,MATCH(H937,Rame!$F:$F,0)-1,MATCH(I937,Rame!$F$1:$FF$1,0)-1))*IF(E937="Rame",1,0),4)</f>
        <v>0</v>
      </c>
      <c r="S937" s="446">
        <f ca="1">ROUND(IF(ISERROR(OFFSET(Bronzo!$A$1,MATCH(H937,Bronzo!$A:$A,0)-1,MATCH(I937,Bronzo!$A$1:$AA$1,0)-1)=TRUE),0,OFFSET(Bronzo!$A$1,MATCH(H937,Bronzo!$A:$A,0)-1,MATCH(I937,Bronzo!$A$1:$AA$1,0)-1)),4)</f>
        <v>0</v>
      </c>
      <c r="T937" s="446">
        <f t="shared" ca="1" si="223"/>
        <v>0</v>
      </c>
      <c r="U937" s="443"/>
      <c r="V937" s="446">
        <v>0</v>
      </c>
      <c r="W937" s="449">
        <f t="shared" ca="1" si="224"/>
        <v>0</v>
      </c>
      <c r="X937" s="452">
        <f t="shared" si="222"/>
        <v>0</v>
      </c>
      <c r="Y937" s="440"/>
      <c r="Z937" s="440">
        <f t="shared" ca="1" si="225"/>
        <v>0</v>
      </c>
      <c r="AA937" s="241"/>
      <c r="AF937" s="225">
        <f t="shared" ca="1" si="221"/>
        <v>46156</v>
      </c>
      <c r="AG937" s="225" t="b">
        <f t="shared" si="226"/>
        <v>1</v>
      </c>
      <c r="AH937" s="242" t="str">
        <f t="shared" si="227"/>
        <v/>
      </c>
      <c r="AK937" s="223">
        <f t="shared" si="228"/>
        <v>0</v>
      </c>
      <c r="AL937" s="223">
        <f t="shared" si="229"/>
        <v>1900</v>
      </c>
      <c r="AS937" s="223">
        <f t="shared" si="230"/>
        <v>0</v>
      </c>
      <c r="AT937" s="223">
        <f t="shared" si="231"/>
        <v>0</v>
      </c>
    </row>
    <row r="938" spans="2:46" ht="15.75" x14ac:dyDescent="0.25">
      <c r="B938" s="229"/>
      <c r="C938" s="235"/>
      <c r="D938" s="243"/>
      <c r="E938" s="232"/>
      <c r="F938" s="435"/>
      <c r="G938" s="234"/>
      <c r="H938" s="235"/>
      <c r="I938" s="235"/>
      <c r="J938" s="440"/>
      <c r="K938" s="443">
        <f ca="1">ROUND(IF(ISERROR(OFFSET(Tabella!$A$1,MATCH(H938,Tabella!$A:$A,0)-1,MATCH(J938,Tabella!$A$1:$AC$1,0)-1)=TRUE),0,+OFFSET(Tabella!$A$1,MATCH(H938,Tabella!$A:$A,0)-1,MATCH(J938,Tabella!$A$1:$AC$1,0)-1)),4)</f>
        <v>0</v>
      </c>
      <c r="L938" s="446">
        <f ca="1">ROUND(IF(ISERROR(OFFSET(Ottone!$A$1,MATCH(H938,Ottone!$A:$A,0)-1,MATCH(J938,Ottone!$A$1:$Z$1,0)-1)=TRUE),0,OFFSET(Ottone!$A$1,MATCH(H938,Ottone!$A:$A,0)-1,MATCH(J938,Ottone!$A$1:$Z$1,0)-1))*IF(E938="Ottone",1,0),4)</f>
        <v>0</v>
      </c>
      <c r="M938" s="446">
        <f ca="1">ROUND(IF(ISERROR(OFFSET(Rame!$A$1,MATCH(H938,Rame!$A:$A,0)-1,MATCH(J938,Rame!$A$1:$AA$1,0)-1)=TRUE),0,OFFSET(Rame!$A$1,MATCH(H938,Rame!$A:$A,0)-1,MATCH(J938,Rame!$A$1:$AA$1,0)-1))*IF(E938="Rame",1,0),4)</f>
        <v>0</v>
      </c>
      <c r="N938" s="446">
        <v>0</v>
      </c>
      <c r="O938" s="446">
        <f t="shared" ca="1" si="232"/>
        <v>0</v>
      </c>
      <c r="P938" s="446">
        <f ca="1">ROUND(+IF(ISERROR(OFFSET(Tabella!$G$1,MATCH(H938,Tabella!$G:$G,0)-1,MATCH(I938,Tabella!$G$1:$FG$1,0)-1)=TRUE),0,OFFSET(Tabella!$G$1,MATCH(H938,Tabella!$G:$G,0)-1,MATCH(I938,Tabella!$G$1:$AB$1,0)-1)),4)</f>
        <v>0</v>
      </c>
      <c r="Q938" s="446">
        <f ca="1">ROUND(IF(ISERROR(OFFSET(Ottone!$F$1,MATCH(H938,Ottone!$A:$A,0)-1,MATCH(I938,Ottone!$F$1:$FF$1,0)-1)=TRUE),0,OFFSET(Ottone!$F$1,MATCH(H938,Ottone!$A:$A,0)-1,MATCH(I938,Ottone!$F$1:$FF$1,0)-1))*IF(E938="Ottone",1,0),4)</f>
        <v>0</v>
      </c>
      <c r="R938" s="446">
        <f ca="1">ROUND(IF(ISERROR(OFFSET(Rame!$F$1,MATCH(H938,Rame!$F:$F,0)-1,MATCH(I938,Rame!$F$1:$FF$1,0)-1)=TRUE),0,OFFSET(Rame!$F$1,MATCH(H938,Rame!$F:$F,0)-1,MATCH(I938,Rame!$F$1:$FF$1,0)-1))*IF(E938="Rame",1,0),4)</f>
        <v>0</v>
      </c>
      <c r="S938" s="446">
        <f ca="1">ROUND(IF(ISERROR(OFFSET(Bronzo!$A$1,MATCH(H938,Bronzo!$A:$A,0)-1,MATCH(I938,Bronzo!$A$1:$AA$1,0)-1)=TRUE),0,OFFSET(Bronzo!$A$1,MATCH(H938,Bronzo!$A:$A,0)-1,MATCH(I938,Bronzo!$A$1:$AA$1,0)-1)),4)</f>
        <v>0</v>
      </c>
      <c r="T938" s="446">
        <f t="shared" ca="1" si="223"/>
        <v>0</v>
      </c>
      <c r="U938" s="443"/>
      <c r="V938" s="446">
        <v>0</v>
      </c>
      <c r="W938" s="449">
        <f t="shared" ca="1" si="224"/>
        <v>0</v>
      </c>
      <c r="X938" s="452">
        <f t="shared" si="222"/>
        <v>0</v>
      </c>
      <c r="Y938" s="440"/>
      <c r="Z938" s="440">
        <f t="shared" ca="1" si="225"/>
        <v>0</v>
      </c>
      <c r="AA938" s="241"/>
      <c r="AF938" s="225">
        <f t="shared" ca="1" si="221"/>
        <v>46156</v>
      </c>
      <c r="AG938" s="225" t="b">
        <f t="shared" si="226"/>
        <v>1</v>
      </c>
      <c r="AH938" s="242" t="str">
        <f t="shared" si="227"/>
        <v/>
      </c>
      <c r="AK938" s="223">
        <f t="shared" si="228"/>
        <v>0</v>
      </c>
      <c r="AL938" s="223">
        <f t="shared" si="229"/>
        <v>1900</v>
      </c>
      <c r="AS938" s="223">
        <f t="shared" si="230"/>
        <v>0</v>
      </c>
      <c r="AT938" s="223">
        <f t="shared" si="231"/>
        <v>0</v>
      </c>
    </row>
    <row r="939" spans="2:46" ht="15.75" x14ac:dyDescent="0.25">
      <c r="B939" s="229"/>
      <c r="C939" s="235"/>
      <c r="D939" s="243"/>
      <c r="E939" s="232"/>
      <c r="F939" s="435"/>
      <c r="G939" s="234"/>
      <c r="H939" s="235"/>
      <c r="I939" s="235"/>
      <c r="J939" s="440"/>
      <c r="K939" s="443">
        <f ca="1">ROUND(IF(ISERROR(OFFSET(Tabella!$A$1,MATCH(H939,Tabella!$A:$A,0)-1,MATCH(J939,Tabella!$A$1:$AC$1,0)-1)=TRUE),0,+OFFSET(Tabella!$A$1,MATCH(H939,Tabella!$A:$A,0)-1,MATCH(J939,Tabella!$A$1:$AC$1,0)-1)),4)</f>
        <v>0</v>
      </c>
      <c r="L939" s="446">
        <f ca="1">ROUND(IF(ISERROR(OFFSET(Ottone!$A$1,MATCH(H939,Ottone!$A:$A,0)-1,MATCH(J939,Ottone!$A$1:$Z$1,0)-1)=TRUE),0,OFFSET(Ottone!$A$1,MATCH(H939,Ottone!$A:$A,0)-1,MATCH(J939,Ottone!$A$1:$Z$1,0)-1))*IF(E939="Ottone",1,0),4)</f>
        <v>0</v>
      </c>
      <c r="M939" s="446">
        <f ca="1">ROUND(IF(ISERROR(OFFSET(Rame!$A$1,MATCH(H939,Rame!$A:$A,0)-1,MATCH(J939,Rame!$A$1:$AA$1,0)-1)=TRUE),0,OFFSET(Rame!$A$1,MATCH(H939,Rame!$A:$A,0)-1,MATCH(J939,Rame!$A$1:$AA$1,0)-1))*IF(E939="Rame",1,0),4)</f>
        <v>0</v>
      </c>
      <c r="N939" s="446">
        <v>0</v>
      </c>
      <c r="O939" s="446">
        <f t="shared" ca="1" si="232"/>
        <v>0</v>
      </c>
      <c r="P939" s="446">
        <f ca="1">ROUND(+IF(ISERROR(OFFSET(Tabella!$G$1,MATCH(H939,Tabella!$G:$G,0)-1,MATCH(I939,Tabella!$G$1:$FG$1,0)-1)=TRUE),0,OFFSET(Tabella!$G$1,MATCH(H939,Tabella!$G:$G,0)-1,MATCH(I939,Tabella!$G$1:$AB$1,0)-1)),4)</f>
        <v>0</v>
      </c>
      <c r="Q939" s="446">
        <f ca="1">ROUND(IF(ISERROR(OFFSET(Ottone!$F$1,MATCH(H939,Ottone!$A:$A,0)-1,MATCH(I939,Ottone!$F$1:$FF$1,0)-1)=TRUE),0,OFFSET(Ottone!$F$1,MATCH(H939,Ottone!$A:$A,0)-1,MATCH(I939,Ottone!$F$1:$FF$1,0)-1))*IF(E939="Ottone",1,0),4)</f>
        <v>0</v>
      </c>
      <c r="R939" s="446">
        <f ca="1">ROUND(IF(ISERROR(OFFSET(Rame!$F$1,MATCH(H939,Rame!$F:$F,0)-1,MATCH(I939,Rame!$F$1:$FF$1,0)-1)=TRUE),0,OFFSET(Rame!$F$1,MATCH(H939,Rame!$F:$F,0)-1,MATCH(I939,Rame!$F$1:$FF$1,0)-1))*IF(E939="Rame",1,0),4)</f>
        <v>0</v>
      </c>
      <c r="S939" s="446">
        <f ca="1">ROUND(IF(ISERROR(OFFSET(Bronzo!$A$1,MATCH(H939,Bronzo!$A:$A,0)-1,MATCH(I939,Bronzo!$A$1:$AA$1,0)-1)=TRUE),0,OFFSET(Bronzo!$A$1,MATCH(H939,Bronzo!$A:$A,0)-1,MATCH(I939,Bronzo!$A$1:$AA$1,0)-1)),4)</f>
        <v>0</v>
      </c>
      <c r="T939" s="446">
        <f t="shared" ca="1" si="223"/>
        <v>0</v>
      </c>
      <c r="U939" s="443"/>
      <c r="V939" s="446">
        <v>0</v>
      </c>
      <c r="W939" s="449">
        <f t="shared" ca="1" si="224"/>
        <v>0</v>
      </c>
      <c r="X939" s="452">
        <f t="shared" si="222"/>
        <v>0</v>
      </c>
      <c r="Y939" s="440"/>
      <c r="Z939" s="440">
        <f t="shared" ca="1" si="225"/>
        <v>0</v>
      </c>
      <c r="AA939" s="241"/>
      <c r="AF939" s="225">
        <f t="shared" ca="1" si="221"/>
        <v>46156</v>
      </c>
      <c r="AG939" s="225" t="b">
        <f t="shared" si="226"/>
        <v>1</v>
      </c>
      <c r="AH939" s="242" t="str">
        <f t="shared" si="227"/>
        <v/>
      </c>
      <c r="AK939" s="223">
        <f t="shared" si="228"/>
        <v>0</v>
      </c>
      <c r="AL939" s="223">
        <f t="shared" si="229"/>
        <v>1900</v>
      </c>
      <c r="AS939" s="223">
        <f t="shared" si="230"/>
        <v>0</v>
      </c>
      <c r="AT939" s="223">
        <f t="shared" si="231"/>
        <v>0</v>
      </c>
    </row>
    <row r="940" spans="2:46" ht="15.75" x14ac:dyDescent="0.25">
      <c r="B940" s="229"/>
      <c r="C940" s="235"/>
      <c r="D940" s="243"/>
      <c r="E940" s="232"/>
      <c r="F940" s="435"/>
      <c r="G940" s="234"/>
      <c r="H940" s="235"/>
      <c r="I940" s="235"/>
      <c r="J940" s="440"/>
      <c r="K940" s="443">
        <f ca="1">ROUND(IF(ISERROR(OFFSET(Tabella!$A$1,MATCH(H940,Tabella!$A:$A,0)-1,MATCH(J940,Tabella!$A$1:$AC$1,0)-1)=TRUE),0,+OFFSET(Tabella!$A$1,MATCH(H940,Tabella!$A:$A,0)-1,MATCH(J940,Tabella!$A$1:$AC$1,0)-1)),4)</f>
        <v>0</v>
      </c>
      <c r="L940" s="446">
        <f ca="1">ROUND(IF(ISERROR(OFFSET(Ottone!$A$1,MATCH(H940,Ottone!$A:$A,0)-1,MATCH(J940,Ottone!$A$1:$Z$1,0)-1)=TRUE),0,OFFSET(Ottone!$A$1,MATCH(H940,Ottone!$A:$A,0)-1,MATCH(J940,Ottone!$A$1:$Z$1,0)-1))*IF(E940="Ottone",1,0),4)</f>
        <v>0</v>
      </c>
      <c r="M940" s="446">
        <f ca="1">ROUND(IF(ISERROR(OFFSET(Rame!$A$1,MATCH(H940,Rame!$A:$A,0)-1,MATCH(J940,Rame!$A$1:$AA$1,0)-1)=TRUE),0,OFFSET(Rame!$A$1,MATCH(H940,Rame!$A:$A,0)-1,MATCH(J940,Rame!$A$1:$AA$1,0)-1))*IF(E940="Rame",1,0),4)</f>
        <v>0</v>
      </c>
      <c r="N940" s="446">
        <v>0</v>
      </c>
      <c r="O940" s="446">
        <f t="shared" ca="1" si="232"/>
        <v>0</v>
      </c>
      <c r="P940" s="446">
        <f ca="1">ROUND(+IF(ISERROR(OFFSET(Tabella!$G$1,MATCH(H940,Tabella!$G:$G,0)-1,MATCH(I940,Tabella!$G$1:$FG$1,0)-1)=TRUE),0,OFFSET(Tabella!$G$1,MATCH(H940,Tabella!$G:$G,0)-1,MATCH(I940,Tabella!$G$1:$AB$1,0)-1)),4)</f>
        <v>0</v>
      </c>
      <c r="Q940" s="446">
        <f ca="1">ROUND(IF(ISERROR(OFFSET(Ottone!$F$1,MATCH(H940,Ottone!$A:$A,0)-1,MATCH(I940,Ottone!$F$1:$FF$1,0)-1)=TRUE),0,OFFSET(Ottone!$F$1,MATCH(H940,Ottone!$A:$A,0)-1,MATCH(I940,Ottone!$F$1:$FF$1,0)-1))*IF(E940="Ottone",1,0),4)</f>
        <v>0</v>
      </c>
      <c r="R940" s="446">
        <f ca="1">ROUND(IF(ISERROR(OFFSET(Rame!$F$1,MATCH(H940,Rame!$F:$F,0)-1,MATCH(I940,Rame!$F$1:$FF$1,0)-1)=TRUE),0,OFFSET(Rame!$F$1,MATCH(H940,Rame!$F:$F,0)-1,MATCH(I940,Rame!$F$1:$FF$1,0)-1))*IF(E940="Rame",1,0),4)</f>
        <v>0</v>
      </c>
      <c r="S940" s="446">
        <f ca="1">ROUND(IF(ISERROR(OFFSET(Bronzo!$A$1,MATCH(H940,Bronzo!$A:$A,0)-1,MATCH(I940,Bronzo!$A$1:$AA$1,0)-1)=TRUE),0,OFFSET(Bronzo!$A$1,MATCH(H940,Bronzo!$A:$A,0)-1,MATCH(I940,Bronzo!$A$1:$AA$1,0)-1)),4)</f>
        <v>0</v>
      </c>
      <c r="T940" s="446">
        <f t="shared" ca="1" si="223"/>
        <v>0</v>
      </c>
      <c r="U940" s="443"/>
      <c r="V940" s="446">
        <v>0</v>
      </c>
      <c r="W940" s="449">
        <f t="shared" ca="1" si="224"/>
        <v>0</v>
      </c>
      <c r="X940" s="452">
        <f t="shared" si="222"/>
        <v>0</v>
      </c>
      <c r="Y940" s="440"/>
      <c r="Z940" s="440">
        <f t="shared" ca="1" si="225"/>
        <v>0</v>
      </c>
      <c r="AA940" s="241"/>
      <c r="AF940" s="225">
        <f t="shared" ca="1" si="221"/>
        <v>46156</v>
      </c>
      <c r="AG940" s="225" t="b">
        <f t="shared" si="226"/>
        <v>1</v>
      </c>
      <c r="AH940" s="242" t="str">
        <f t="shared" si="227"/>
        <v/>
      </c>
      <c r="AK940" s="223">
        <f t="shared" si="228"/>
        <v>0</v>
      </c>
      <c r="AL940" s="223">
        <f t="shared" si="229"/>
        <v>1900</v>
      </c>
      <c r="AS940" s="223">
        <f t="shared" si="230"/>
        <v>0</v>
      </c>
      <c r="AT940" s="223">
        <f t="shared" si="231"/>
        <v>0</v>
      </c>
    </row>
    <row r="941" spans="2:46" ht="15.75" x14ac:dyDescent="0.25">
      <c r="B941" s="229"/>
      <c r="C941" s="235"/>
      <c r="D941" s="243"/>
      <c r="E941" s="232"/>
      <c r="F941" s="435"/>
      <c r="G941" s="234"/>
      <c r="H941" s="235"/>
      <c r="I941" s="235"/>
      <c r="J941" s="440"/>
      <c r="K941" s="443">
        <f ca="1">ROUND(IF(ISERROR(OFFSET(Tabella!$A$1,MATCH(H941,Tabella!$A:$A,0)-1,MATCH(J941,Tabella!$A$1:$AC$1,0)-1)=TRUE),0,+OFFSET(Tabella!$A$1,MATCH(H941,Tabella!$A:$A,0)-1,MATCH(J941,Tabella!$A$1:$AC$1,0)-1)),4)</f>
        <v>0</v>
      </c>
      <c r="L941" s="446">
        <f ca="1">ROUND(IF(ISERROR(OFFSET(Ottone!$A$1,MATCH(H941,Ottone!$A:$A,0)-1,MATCH(J941,Ottone!$A$1:$Z$1,0)-1)=TRUE),0,OFFSET(Ottone!$A$1,MATCH(H941,Ottone!$A:$A,0)-1,MATCH(J941,Ottone!$A$1:$Z$1,0)-1))*IF(E941="Ottone",1,0),4)</f>
        <v>0</v>
      </c>
      <c r="M941" s="446">
        <f ca="1">ROUND(IF(ISERROR(OFFSET(Rame!$A$1,MATCH(H941,Rame!$A:$A,0)-1,MATCH(J941,Rame!$A$1:$AA$1,0)-1)=TRUE),0,OFFSET(Rame!$A$1,MATCH(H941,Rame!$A:$A,0)-1,MATCH(J941,Rame!$A$1:$AA$1,0)-1))*IF(E941="Rame",1,0),4)</f>
        <v>0</v>
      </c>
      <c r="N941" s="446">
        <v>0</v>
      </c>
      <c r="O941" s="446">
        <f t="shared" ca="1" si="232"/>
        <v>0</v>
      </c>
      <c r="P941" s="446">
        <f ca="1">ROUND(+IF(ISERROR(OFFSET(Tabella!$G$1,MATCH(H941,Tabella!$G:$G,0)-1,MATCH(I941,Tabella!$G$1:$FG$1,0)-1)=TRUE),0,OFFSET(Tabella!$G$1,MATCH(H941,Tabella!$G:$G,0)-1,MATCH(I941,Tabella!$G$1:$AB$1,0)-1)),4)</f>
        <v>0</v>
      </c>
      <c r="Q941" s="446">
        <f ca="1">ROUND(IF(ISERROR(OFFSET(Ottone!$F$1,MATCH(H941,Ottone!$A:$A,0)-1,MATCH(I941,Ottone!$F$1:$FF$1,0)-1)=TRUE),0,OFFSET(Ottone!$F$1,MATCH(H941,Ottone!$A:$A,0)-1,MATCH(I941,Ottone!$F$1:$FF$1,0)-1))*IF(E941="Ottone",1,0),4)</f>
        <v>0</v>
      </c>
      <c r="R941" s="446">
        <f ca="1">ROUND(IF(ISERROR(OFFSET(Rame!$F$1,MATCH(H941,Rame!$F:$F,0)-1,MATCH(I941,Rame!$F$1:$FF$1,0)-1)=TRUE),0,OFFSET(Rame!$F$1,MATCH(H941,Rame!$F:$F,0)-1,MATCH(I941,Rame!$F$1:$FF$1,0)-1))*IF(E941="Rame",1,0),4)</f>
        <v>0</v>
      </c>
      <c r="S941" s="446">
        <f ca="1">ROUND(IF(ISERROR(OFFSET(Bronzo!$A$1,MATCH(H941,Bronzo!$A:$A,0)-1,MATCH(I941,Bronzo!$A$1:$AA$1,0)-1)=TRUE),0,OFFSET(Bronzo!$A$1,MATCH(H941,Bronzo!$A:$A,0)-1,MATCH(I941,Bronzo!$A$1:$AA$1,0)-1)),4)</f>
        <v>0</v>
      </c>
      <c r="T941" s="446">
        <f t="shared" ca="1" si="223"/>
        <v>0</v>
      </c>
      <c r="U941" s="443"/>
      <c r="V941" s="446">
        <v>0</v>
      </c>
      <c r="W941" s="449">
        <f t="shared" ca="1" si="224"/>
        <v>0</v>
      </c>
      <c r="X941" s="452">
        <f t="shared" si="222"/>
        <v>0</v>
      </c>
      <c r="Y941" s="440"/>
      <c r="Z941" s="440">
        <f t="shared" ca="1" si="225"/>
        <v>0</v>
      </c>
      <c r="AA941" s="241"/>
      <c r="AF941" s="225">
        <f t="shared" ca="1" si="221"/>
        <v>46156</v>
      </c>
      <c r="AG941" s="225" t="b">
        <f t="shared" si="226"/>
        <v>1</v>
      </c>
      <c r="AH941" s="242" t="str">
        <f t="shared" si="227"/>
        <v/>
      </c>
      <c r="AK941" s="223">
        <f t="shared" si="228"/>
        <v>0</v>
      </c>
      <c r="AL941" s="223">
        <f t="shared" si="229"/>
        <v>1900</v>
      </c>
      <c r="AS941" s="223">
        <f t="shared" si="230"/>
        <v>0</v>
      </c>
      <c r="AT941" s="223">
        <f t="shared" si="231"/>
        <v>0</v>
      </c>
    </row>
    <row r="942" spans="2:46" ht="15.75" x14ac:dyDescent="0.25">
      <c r="B942" s="229"/>
      <c r="C942" s="235"/>
      <c r="D942" s="243"/>
      <c r="E942" s="232"/>
      <c r="F942" s="435"/>
      <c r="G942" s="234"/>
      <c r="H942" s="235"/>
      <c r="I942" s="235"/>
      <c r="J942" s="440"/>
      <c r="K942" s="443">
        <f ca="1">ROUND(IF(ISERROR(OFFSET(Tabella!$A$1,MATCH(H942,Tabella!$A:$A,0)-1,MATCH(J942,Tabella!$A$1:$AC$1,0)-1)=TRUE),0,+OFFSET(Tabella!$A$1,MATCH(H942,Tabella!$A:$A,0)-1,MATCH(J942,Tabella!$A$1:$AC$1,0)-1)),4)</f>
        <v>0</v>
      </c>
      <c r="L942" s="446">
        <f ca="1">ROUND(IF(ISERROR(OFFSET(Ottone!$A$1,MATCH(H942,Ottone!$A:$A,0)-1,MATCH(J942,Ottone!$A$1:$Z$1,0)-1)=TRUE),0,OFFSET(Ottone!$A$1,MATCH(H942,Ottone!$A:$A,0)-1,MATCH(J942,Ottone!$A$1:$Z$1,0)-1))*IF(E942="Ottone",1,0),4)</f>
        <v>0</v>
      </c>
      <c r="M942" s="446">
        <f ca="1">ROUND(IF(ISERROR(OFFSET(Rame!$A$1,MATCH(H942,Rame!$A:$A,0)-1,MATCH(J942,Rame!$A$1:$AA$1,0)-1)=TRUE),0,OFFSET(Rame!$A$1,MATCH(H942,Rame!$A:$A,0)-1,MATCH(J942,Rame!$A$1:$AA$1,0)-1))*IF(E942="Rame",1,0),4)</f>
        <v>0</v>
      </c>
      <c r="N942" s="446">
        <v>0</v>
      </c>
      <c r="O942" s="446">
        <f t="shared" ca="1" si="232"/>
        <v>0</v>
      </c>
      <c r="P942" s="446">
        <f ca="1">ROUND(+IF(ISERROR(OFFSET(Tabella!$G$1,MATCH(H942,Tabella!$G:$G,0)-1,MATCH(I942,Tabella!$G$1:$FG$1,0)-1)=TRUE),0,OFFSET(Tabella!$G$1,MATCH(H942,Tabella!$G:$G,0)-1,MATCH(I942,Tabella!$G$1:$AB$1,0)-1)),4)</f>
        <v>0</v>
      </c>
      <c r="Q942" s="446">
        <f ca="1">ROUND(IF(ISERROR(OFFSET(Ottone!$F$1,MATCH(H942,Ottone!$A:$A,0)-1,MATCH(I942,Ottone!$F$1:$FF$1,0)-1)=TRUE),0,OFFSET(Ottone!$F$1,MATCH(H942,Ottone!$A:$A,0)-1,MATCH(I942,Ottone!$F$1:$FF$1,0)-1))*IF(E942="Ottone",1,0),4)</f>
        <v>0</v>
      </c>
      <c r="R942" s="446">
        <f ca="1">ROUND(IF(ISERROR(OFFSET(Rame!$F$1,MATCH(H942,Rame!$F:$F,0)-1,MATCH(I942,Rame!$F$1:$FF$1,0)-1)=TRUE),0,OFFSET(Rame!$F$1,MATCH(H942,Rame!$F:$F,0)-1,MATCH(I942,Rame!$F$1:$FF$1,0)-1))*IF(E942="Rame",1,0),4)</f>
        <v>0</v>
      </c>
      <c r="S942" s="446">
        <f ca="1">ROUND(IF(ISERROR(OFFSET(Bronzo!$A$1,MATCH(H942,Bronzo!$A:$A,0)-1,MATCH(I942,Bronzo!$A$1:$AA$1,0)-1)=TRUE),0,OFFSET(Bronzo!$A$1,MATCH(H942,Bronzo!$A:$A,0)-1,MATCH(I942,Bronzo!$A$1:$AA$1,0)-1)),4)</f>
        <v>0</v>
      </c>
      <c r="T942" s="446">
        <f t="shared" ca="1" si="223"/>
        <v>0</v>
      </c>
      <c r="U942" s="443"/>
      <c r="V942" s="446">
        <v>0</v>
      </c>
      <c r="W942" s="449">
        <f t="shared" ca="1" si="224"/>
        <v>0</v>
      </c>
      <c r="X942" s="452">
        <f t="shared" si="222"/>
        <v>0</v>
      </c>
      <c r="Y942" s="440"/>
      <c r="Z942" s="440">
        <f t="shared" ca="1" si="225"/>
        <v>0</v>
      </c>
      <c r="AA942" s="241"/>
      <c r="AF942" s="225">
        <f t="shared" ca="1" si="221"/>
        <v>46156</v>
      </c>
      <c r="AG942" s="225" t="b">
        <f t="shared" si="226"/>
        <v>1</v>
      </c>
      <c r="AH942" s="242" t="str">
        <f t="shared" si="227"/>
        <v/>
      </c>
      <c r="AK942" s="223">
        <f t="shared" si="228"/>
        <v>0</v>
      </c>
      <c r="AL942" s="223">
        <f t="shared" si="229"/>
        <v>1900</v>
      </c>
      <c r="AS942" s="223">
        <f t="shared" si="230"/>
        <v>0</v>
      </c>
      <c r="AT942" s="223">
        <f t="shared" si="231"/>
        <v>0</v>
      </c>
    </row>
    <row r="943" spans="2:46" ht="15.75" x14ac:dyDescent="0.25">
      <c r="B943" s="229"/>
      <c r="C943" s="235"/>
      <c r="D943" s="243"/>
      <c r="E943" s="232"/>
      <c r="F943" s="435"/>
      <c r="G943" s="234"/>
      <c r="H943" s="235"/>
      <c r="I943" s="235"/>
      <c r="J943" s="440"/>
      <c r="K943" s="443">
        <f ca="1">ROUND(IF(ISERROR(OFFSET(Tabella!$A$1,MATCH(H943,Tabella!$A:$A,0)-1,MATCH(J943,Tabella!$A$1:$AC$1,0)-1)=TRUE),0,+OFFSET(Tabella!$A$1,MATCH(H943,Tabella!$A:$A,0)-1,MATCH(J943,Tabella!$A$1:$AC$1,0)-1)),4)</f>
        <v>0</v>
      </c>
      <c r="L943" s="446">
        <f ca="1">ROUND(IF(ISERROR(OFFSET(Ottone!$A$1,MATCH(H943,Ottone!$A:$A,0)-1,MATCH(J943,Ottone!$A$1:$Z$1,0)-1)=TRUE),0,OFFSET(Ottone!$A$1,MATCH(H943,Ottone!$A:$A,0)-1,MATCH(J943,Ottone!$A$1:$Z$1,0)-1))*IF(E943="Ottone",1,0),4)</f>
        <v>0</v>
      </c>
      <c r="M943" s="446">
        <f ca="1">ROUND(IF(ISERROR(OFFSET(Rame!$A$1,MATCH(H943,Rame!$A:$A,0)-1,MATCH(J943,Rame!$A$1:$AA$1,0)-1)=TRUE),0,OFFSET(Rame!$A$1,MATCH(H943,Rame!$A:$A,0)-1,MATCH(J943,Rame!$A$1:$AA$1,0)-1))*IF(E943="Rame",1,0),4)</f>
        <v>0</v>
      </c>
      <c r="N943" s="446">
        <v>0</v>
      </c>
      <c r="O943" s="446">
        <f t="shared" ca="1" si="232"/>
        <v>0</v>
      </c>
      <c r="P943" s="446">
        <f ca="1">ROUND(+IF(ISERROR(OFFSET(Tabella!$G$1,MATCH(H943,Tabella!$G:$G,0)-1,MATCH(I943,Tabella!$G$1:$FG$1,0)-1)=TRUE),0,OFFSET(Tabella!$G$1,MATCH(H943,Tabella!$G:$G,0)-1,MATCH(I943,Tabella!$G$1:$AB$1,0)-1)),4)</f>
        <v>0</v>
      </c>
      <c r="Q943" s="446">
        <f ca="1">ROUND(IF(ISERROR(OFFSET(Ottone!$F$1,MATCH(H943,Ottone!$A:$A,0)-1,MATCH(I943,Ottone!$F$1:$FF$1,0)-1)=TRUE),0,OFFSET(Ottone!$F$1,MATCH(H943,Ottone!$A:$A,0)-1,MATCH(I943,Ottone!$F$1:$FF$1,0)-1))*IF(E943="Ottone",1,0),4)</f>
        <v>0</v>
      </c>
      <c r="R943" s="446">
        <f ca="1">ROUND(IF(ISERROR(OFFSET(Rame!$F$1,MATCH(H943,Rame!$F:$F,0)-1,MATCH(I943,Rame!$F$1:$FF$1,0)-1)=TRUE),0,OFFSET(Rame!$F$1,MATCH(H943,Rame!$F:$F,0)-1,MATCH(I943,Rame!$F$1:$FF$1,0)-1))*IF(E943="Rame",1,0),4)</f>
        <v>0</v>
      </c>
      <c r="S943" s="446">
        <f ca="1">ROUND(IF(ISERROR(OFFSET(Bronzo!$A$1,MATCH(H943,Bronzo!$A:$A,0)-1,MATCH(I943,Bronzo!$A$1:$AA$1,0)-1)=TRUE),0,OFFSET(Bronzo!$A$1,MATCH(H943,Bronzo!$A:$A,0)-1,MATCH(I943,Bronzo!$A$1:$AA$1,0)-1)),4)</f>
        <v>0</v>
      </c>
      <c r="T943" s="446">
        <f t="shared" ca="1" si="223"/>
        <v>0</v>
      </c>
      <c r="U943" s="443"/>
      <c r="V943" s="446">
        <v>0</v>
      </c>
      <c r="W943" s="449">
        <f t="shared" ca="1" si="224"/>
        <v>0</v>
      </c>
      <c r="X943" s="452">
        <f t="shared" si="222"/>
        <v>0</v>
      </c>
      <c r="Y943" s="440"/>
      <c r="Z943" s="440">
        <f t="shared" ca="1" si="225"/>
        <v>0</v>
      </c>
      <c r="AA943" s="241"/>
      <c r="AF943" s="225">
        <f t="shared" ca="1" si="221"/>
        <v>46156</v>
      </c>
      <c r="AG943" s="225" t="b">
        <f t="shared" si="226"/>
        <v>1</v>
      </c>
      <c r="AH943" s="242" t="str">
        <f t="shared" si="227"/>
        <v/>
      </c>
      <c r="AK943" s="223">
        <f t="shared" si="228"/>
        <v>0</v>
      </c>
      <c r="AL943" s="223">
        <f t="shared" si="229"/>
        <v>1900</v>
      </c>
      <c r="AS943" s="223">
        <f t="shared" si="230"/>
        <v>0</v>
      </c>
      <c r="AT943" s="223">
        <f t="shared" si="231"/>
        <v>0</v>
      </c>
    </row>
    <row r="944" spans="2:46" ht="15.75" x14ac:dyDescent="0.25">
      <c r="B944" s="229"/>
      <c r="C944" s="235"/>
      <c r="D944" s="243"/>
      <c r="E944" s="232"/>
      <c r="F944" s="435"/>
      <c r="G944" s="234"/>
      <c r="H944" s="235"/>
      <c r="I944" s="235"/>
      <c r="J944" s="440"/>
      <c r="K944" s="443">
        <f ca="1">ROUND(IF(ISERROR(OFFSET(Tabella!$A$1,MATCH(H944,Tabella!$A:$A,0)-1,MATCH(J944,Tabella!$A$1:$AC$1,0)-1)=TRUE),0,+OFFSET(Tabella!$A$1,MATCH(H944,Tabella!$A:$A,0)-1,MATCH(J944,Tabella!$A$1:$AC$1,0)-1)),4)</f>
        <v>0</v>
      </c>
      <c r="L944" s="446">
        <f ca="1">ROUND(IF(ISERROR(OFFSET(Ottone!$A$1,MATCH(H944,Ottone!$A:$A,0)-1,MATCH(J944,Ottone!$A$1:$Z$1,0)-1)=TRUE),0,OFFSET(Ottone!$A$1,MATCH(H944,Ottone!$A:$A,0)-1,MATCH(J944,Ottone!$A$1:$Z$1,0)-1))*IF(E944="Ottone",1,0),4)</f>
        <v>0</v>
      </c>
      <c r="M944" s="446">
        <f ca="1">ROUND(IF(ISERROR(OFFSET(Rame!$A$1,MATCH(H944,Rame!$A:$A,0)-1,MATCH(J944,Rame!$A$1:$AA$1,0)-1)=TRUE),0,OFFSET(Rame!$A$1,MATCH(H944,Rame!$A:$A,0)-1,MATCH(J944,Rame!$A$1:$AA$1,0)-1))*IF(E944="Rame",1,0),4)</f>
        <v>0</v>
      </c>
      <c r="N944" s="446">
        <v>0</v>
      </c>
      <c r="O944" s="446">
        <f t="shared" ca="1" si="232"/>
        <v>0</v>
      </c>
      <c r="P944" s="446">
        <f ca="1">ROUND(+IF(ISERROR(OFFSET(Tabella!$G$1,MATCH(H944,Tabella!$G:$G,0)-1,MATCH(I944,Tabella!$G$1:$FG$1,0)-1)=TRUE),0,OFFSET(Tabella!$G$1,MATCH(H944,Tabella!$G:$G,0)-1,MATCH(I944,Tabella!$G$1:$AB$1,0)-1)),4)</f>
        <v>0</v>
      </c>
      <c r="Q944" s="446">
        <f ca="1">ROUND(IF(ISERROR(OFFSET(Ottone!$F$1,MATCH(H944,Ottone!$A:$A,0)-1,MATCH(I944,Ottone!$F$1:$FF$1,0)-1)=TRUE),0,OFFSET(Ottone!$F$1,MATCH(H944,Ottone!$A:$A,0)-1,MATCH(I944,Ottone!$F$1:$FF$1,0)-1))*IF(E944="Ottone",1,0),4)</f>
        <v>0</v>
      </c>
      <c r="R944" s="446">
        <f ca="1">ROUND(IF(ISERROR(OFFSET(Rame!$F$1,MATCH(H944,Rame!$F:$F,0)-1,MATCH(I944,Rame!$F$1:$FF$1,0)-1)=TRUE),0,OFFSET(Rame!$F$1,MATCH(H944,Rame!$F:$F,0)-1,MATCH(I944,Rame!$F$1:$FF$1,0)-1))*IF(E944="Rame",1,0),4)</f>
        <v>0</v>
      </c>
      <c r="S944" s="446">
        <f ca="1">ROUND(IF(ISERROR(OFFSET(Bronzo!$A$1,MATCH(H944,Bronzo!$A:$A,0)-1,MATCH(I944,Bronzo!$A$1:$AA$1,0)-1)=TRUE),0,OFFSET(Bronzo!$A$1,MATCH(H944,Bronzo!$A:$A,0)-1,MATCH(I944,Bronzo!$A$1:$AA$1,0)-1)),4)</f>
        <v>0</v>
      </c>
      <c r="T944" s="446">
        <f t="shared" ca="1" si="223"/>
        <v>0</v>
      </c>
      <c r="U944" s="443"/>
      <c r="V944" s="446">
        <v>0</v>
      </c>
      <c r="W944" s="449">
        <f t="shared" ca="1" si="224"/>
        <v>0</v>
      </c>
      <c r="X944" s="452">
        <f t="shared" si="222"/>
        <v>0</v>
      </c>
      <c r="Y944" s="440"/>
      <c r="Z944" s="440">
        <f t="shared" ca="1" si="225"/>
        <v>0</v>
      </c>
      <c r="AA944" s="241"/>
      <c r="AF944" s="225">
        <f t="shared" ca="1" si="221"/>
        <v>46156</v>
      </c>
      <c r="AG944" s="225" t="b">
        <f t="shared" si="226"/>
        <v>1</v>
      </c>
      <c r="AH944" s="242" t="str">
        <f t="shared" si="227"/>
        <v/>
      </c>
      <c r="AK944" s="223">
        <f t="shared" si="228"/>
        <v>0</v>
      </c>
      <c r="AL944" s="223">
        <f t="shared" si="229"/>
        <v>1900</v>
      </c>
      <c r="AS944" s="223">
        <f t="shared" si="230"/>
        <v>0</v>
      </c>
      <c r="AT944" s="223">
        <f t="shared" si="231"/>
        <v>0</v>
      </c>
    </row>
    <row r="945" spans="2:46" ht="15.75" x14ac:dyDescent="0.25">
      <c r="B945" s="229"/>
      <c r="C945" s="235"/>
      <c r="D945" s="243"/>
      <c r="E945" s="232"/>
      <c r="F945" s="435"/>
      <c r="G945" s="234"/>
      <c r="H945" s="235"/>
      <c r="I945" s="235"/>
      <c r="J945" s="440"/>
      <c r="K945" s="443">
        <f ca="1">ROUND(IF(ISERROR(OFFSET(Tabella!$A$1,MATCH(H945,Tabella!$A:$A,0)-1,MATCH(J945,Tabella!$A$1:$AC$1,0)-1)=TRUE),0,+OFFSET(Tabella!$A$1,MATCH(H945,Tabella!$A:$A,0)-1,MATCH(J945,Tabella!$A$1:$AC$1,0)-1)),4)</f>
        <v>0</v>
      </c>
      <c r="L945" s="446">
        <f ca="1">ROUND(IF(ISERROR(OFFSET(Ottone!$A$1,MATCH(H945,Ottone!$A:$A,0)-1,MATCH(J945,Ottone!$A$1:$Z$1,0)-1)=TRUE),0,OFFSET(Ottone!$A$1,MATCH(H945,Ottone!$A:$A,0)-1,MATCH(J945,Ottone!$A$1:$Z$1,0)-1))*IF(E945="Ottone",1,0),4)</f>
        <v>0</v>
      </c>
      <c r="M945" s="446">
        <f ca="1">ROUND(IF(ISERROR(OFFSET(Rame!$A$1,MATCH(H945,Rame!$A:$A,0)-1,MATCH(J945,Rame!$A$1:$AA$1,0)-1)=TRUE),0,OFFSET(Rame!$A$1,MATCH(H945,Rame!$A:$A,0)-1,MATCH(J945,Rame!$A$1:$AA$1,0)-1))*IF(E945="Rame",1,0),4)</f>
        <v>0</v>
      </c>
      <c r="N945" s="446">
        <v>0</v>
      </c>
      <c r="O945" s="446">
        <f t="shared" ca="1" si="232"/>
        <v>0</v>
      </c>
      <c r="P945" s="446">
        <f ca="1">ROUND(+IF(ISERROR(OFFSET(Tabella!$G$1,MATCH(H945,Tabella!$G:$G,0)-1,MATCH(I945,Tabella!$G$1:$FG$1,0)-1)=TRUE),0,OFFSET(Tabella!$G$1,MATCH(H945,Tabella!$G:$G,0)-1,MATCH(I945,Tabella!$G$1:$AB$1,0)-1)),4)</f>
        <v>0</v>
      </c>
      <c r="Q945" s="446">
        <f ca="1">ROUND(IF(ISERROR(OFFSET(Ottone!$F$1,MATCH(H945,Ottone!$A:$A,0)-1,MATCH(I945,Ottone!$F$1:$FF$1,0)-1)=TRUE),0,OFFSET(Ottone!$F$1,MATCH(H945,Ottone!$A:$A,0)-1,MATCH(I945,Ottone!$F$1:$FF$1,0)-1))*IF(E945="Ottone",1,0),4)</f>
        <v>0</v>
      </c>
      <c r="R945" s="446">
        <f ca="1">ROUND(IF(ISERROR(OFFSET(Rame!$F$1,MATCH(H945,Rame!$F:$F,0)-1,MATCH(I945,Rame!$F$1:$FF$1,0)-1)=TRUE),0,OFFSET(Rame!$F$1,MATCH(H945,Rame!$F:$F,0)-1,MATCH(I945,Rame!$F$1:$FF$1,0)-1))*IF(E945="Rame",1,0),4)</f>
        <v>0</v>
      </c>
      <c r="S945" s="446">
        <f ca="1">ROUND(IF(ISERROR(OFFSET(Bronzo!$A$1,MATCH(H945,Bronzo!$A:$A,0)-1,MATCH(I945,Bronzo!$A$1:$AA$1,0)-1)=TRUE),0,OFFSET(Bronzo!$A$1,MATCH(H945,Bronzo!$A:$A,0)-1,MATCH(I945,Bronzo!$A$1:$AA$1,0)-1)),4)</f>
        <v>0</v>
      </c>
      <c r="T945" s="446">
        <f t="shared" ca="1" si="223"/>
        <v>0</v>
      </c>
      <c r="U945" s="443"/>
      <c r="V945" s="446">
        <v>0</v>
      </c>
      <c r="W945" s="449">
        <f t="shared" ca="1" si="224"/>
        <v>0</v>
      </c>
      <c r="X945" s="452">
        <f t="shared" si="222"/>
        <v>0</v>
      </c>
      <c r="Y945" s="440"/>
      <c r="Z945" s="440">
        <f t="shared" ca="1" si="225"/>
        <v>0</v>
      </c>
      <c r="AA945" s="241"/>
      <c r="AF945" s="225">
        <f t="shared" ca="1" si="221"/>
        <v>46156</v>
      </c>
      <c r="AG945" s="225" t="b">
        <f t="shared" si="226"/>
        <v>1</v>
      </c>
      <c r="AH945" s="242" t="str">
        <f t="shared" si="227"/>
        <v/>
      </c>
      <c r="AK945" s="223">
        <f t="shared" si="228"/>
        <v>0</v>
      </c>
      <c r="AL945" s="223">
        <f t="shared" si="229"/>
        <v>1900</v>
      </c>
      <c r="AS945" s="223">
        <f t="shared" si="230"/>
        <v>0</v>
      </c>
      <c r="AT945" s="223">
        <f t="shared" si="231"/>
        <v>0</v>
      </c>
    </row>
    <row r="946" spans="2:46" ht="15.75" x14ac:dyDescent="0.25">
      <c r="B946" s="229"/>
      <c r="C946" s="235"/>
      <c r="D946" s="243"/>
      <c r="E946" s="232"/>
      <c r="F946" s="435"/>
      <c r="G946" s="234"/>
      <c r="H946" s="235"/>
      <c r="I946" s="235"/>
      <c r="J946" s="440"/>
      <c r="K946" s="443">
        <f ca="1">ROUND(IF(ISERROR(OFFSET(Tabella!$A$1,MATCH(H946,Tabella!$A:$A,0)-1,MATCH(J946,Tabella!$A$1:$AC$1,0)-1)=TRUE),0,+OFFSET(Tabella!$A$1,MATCH(H946,Tabella!$A:$A,0)-1,MATCH(J946,Tabella!$A$1:$AC$1,0)-1)),4)</f>
        <v>0</v>
      </c>
      <c r="L946" s="446">
        <f ca="1">ROUND(IF(ISERROR(OFFSET(Ottone!$A$1,MATCH(H946,Ottone!$A:$A,0)-1,MATCH(J946,Ottone!$A$1:$Z$1,0)-1)=TRUE),0,OFFSET(Ottone!$A$1,MATCH(H946,Ottone!$A:$A,0)-1,MATCH(J946,Ottone!$A$1:$Z$1,0)-1))*IF(E946="Ottone",1,0),4)</f>
        <v>0</v>
      </c>
      <c r="M946" s="446">
        <f ca="1">ROUND(IF(ISERROR(OFFSET(Rame!$A$1,MATCH(H946,Rame!$A:$A,0)-1,MATCH(J946,Rame!$A$1:$AA$1,0)-1)=TRUE),0,OFFSET(Rame!$A$1,MATCH(H946,Rame!$A:$A,0)-1,MATCH(J946,Rame!$A$1:$AA$1,0)-1))*IF(E946="Rame",1,0),4)</f>
        <v>0</v>
      </c>
      <c r="N946" s="446">
        <v>0</v>
      </c>
      <c r="O946" s="446">
        <f t="shared" ca="1" si="232"/>
        <v>0</v>
      </c>
      <c r="P946" s="446">
        <f ca="1">ROUND(+IF(ISERROR(OFFSET(Tabella!$G$1,MATCH(H946,Tabella!$G:$G,0)-1,MATCH(I946,Tabella!$G$1:$FG$1,0)-1)=TRUE),0,OFFSET(Tabella!$G$1,MATCH(H946,Tabella!$G:$G,0)-1,MATCH(I946,Tabella!$G$1:$AB$1,0)-1)),4)</f>
        <v>0</v>
      </c>
      <c r="Q946" s="446">
        <f ca="1">ROUND(IF(ISERROR(OFFSET(Ottone!$F$1,MATCH(H946,Ottone!$A:$A,0)-1,MATCH(I946,Ottone!$F$1:$FF$1,0)-1)=TRUE),0,OFFSET(Ottone!$F$1,MATCH(H946,Ottone!$A:$A,0)-1,MATCH(I946,Ottone!$F$1:$FF$1,0)-1))*IF(E946="Ottone",1,0),4)</f>
        <v>0</v>
      </c>
      <c r="R946" s="446">
        <f ca="1">ROUND(IF(ISERROR(OFFSET(Rame!$F$1,MATCH(H946,Rame!$F:$F,0)-1,MATCH(I946,Rame!$F$1:$FF$1,0)-1)=TRUE),0,OFFSET(Rame!$F$1,MATCH(H946,Rame!$F:$F,0)-1,MATCH(I946,Rame!$F$1:$FF$1,0)-1))*IF(E946="Rame",1,0),4)</f>
        <v>0</v>
      </c>
      <c r="S946" s="446">
        <f ca="1">ROUND(IF(ISERROR(OFFSET(Bronzo!$A$1,MATCH(H946,Bronzo!$A:$A,0)-1,MATCH(I946,Bronzo!$A$1:$AA$1,0)-1)=TRUE),0,OFFSET(Bronzo!$A$1,MATCH(H946,Bronzo!$A:$A,0)-1,MATCH(I946,Bronzo!$A$1:$AA$1,0)-1)),4)</f>
        <v>0</v>
      </c>
      <c r="T946" s="446">
        <f t="shared" ca="1" si="223"/>
        <v>0</v>
      </c>
      <c r="U946" s="443"/>
      <c r="V946" s="446">
        <v>0</v>
      </c>
      <c r="W946" s="449">
        <f t="shared" ca="1" si="224"/>
        <v>0</v>
      </c>
      <c r="X946" s="452">
        <f t="shared" si="222"/>
        <v>0</v>
      </c>
      <c r="Y946" s="440"/>
      <c r="Z946" s="440">
        <f t="shared" ca="1" si="225"/>
        <v>0</v>
      </c>
      <c r="AA946" s="241"/>
      <c r="AF946" s="225">
        <f t="shared" ca="1" si="221"/>
        <v>46156</v>
      </c>
      <c r="AG946" s="225" t="b">
        <f t="shared" si="226"/>
        <v>1</v>
      </c>
      <c r="AH946" s="242" t="str">
        <f t="shared" si="227"/>
        <v/>
      </c>
      <c r="AK946" s="223">
        <f t="shared" si="228"/>
        <v>0</v>
      </c>
      <c r="AL946" s="223">
        <f t="shared" si="229"/>
        <v>1900</v>
      </c>
      <c r="AS946" s="223">
        <f t="shared" si="230"/>
        <v>0</v>
      </c>
      <c r="AT946" s="223">
        <f t="shared" si="231"/>
        <v>0</v>
      </c>
    </row>
    <row r="947" spans="2:46" ht="15.75" x14ac:dyDescent="0.25">
      <c r="B947" s="229"/>
      <c r="C947" s="235"/>
      <c r="D947" s="243"/>
      <c r="E947" s="232"/>
      <c r="F947" s="435"/>
      <c r="G947" s="234"/>
      <c r="H947" s="235"/>
      <c r="I947" s="235"/>
      <c r="J947" s="440"/>
      <c r="K947" s="443">
        <f ca="1">ROUND(IF(ISERROR(OFFSET(Tabella!$A$1,MATCH(H947,Tabella!$A:$A,0)-1,MATCH(J947,Tabella!$A$1:$AC$1,0)-1)=TRUE),0,+OFFSET(Tabella!$A$1,MATCH(H947,Tabella!$A:$A,0)-1,MATCH(J947,Tabella!$A$1:$AC$1,0)-1)),4)</f>
        <v>0</v>
      </c>
      <c r="L947" s="446">
        <f ca="1">ROUND(IF(ISERROR(OFFSET(Ottone!$A$1,MATCH(H947,Ottone!$A:$A,0)-1,MATCH(J947,Ottone!$A$1:$Z$1,0)-1)=TRUE),0,OFFSET(Ottone!$A$1,MATCH(H947,Ottone!$A:$A,0)-1,MATCH(J947,Ottone!$A$1:$Z$1,0)-1))*IF(E947="Ottone",1,0),4)</f>
        <v>0</v>
      </c>
      <c r="M947" s="446">
        <f ca="1">ROUND(IF(ISERROR(OFFSET(Rame!$A$1,MATCH(H947,Rame!$A:$A,0)-1,MATCH(J947,Rame!$A$1:$AA$1,0)-1)=TRUE),0,OFFSET(Rame!$A$1,MATCH(H947,Rame!$A:$A,0)-1,MATCH(J947,Rame!$A$1:$AA$1,0)-1))*IF(E947="Rame",1,0),4)</f>
        <v>0</v>
      </c>
      <c r="N947" s="446">
        <v>0</v>
      </c>
      <c r="O947" s="446">
        <f t="shared" ca="1" si="232"/>
        <v>0</v>
      </c>
      <c r="P947" s="446">
        <f ca="1">ROUND(+IF(ISERROR(OFFSET(Tabella!$G$1,MATCH(H947,Tabella!$G:$G,0)-1,MATCH(I947,Tabella!$G$1:$FG$1,0)-1)=TRUE),0,OFFSET(Tabella!$G$1,MATCH(H947,Tabella!$G:$G,0)-1,MATCH(I947,Tabella!$G$1:$AB$1,0)-1)),4)</f>
        <v>0</v>
      </c>
      <c r="Q947" s="446">
        <f ca="1">ROUND(IF(ISERROR(OFFSET(Ottone!$F$1,MATCH(H947,Ottone!$A:$A,0)-1,MATCH(I947,Ottone!$F$1:$FF$1,0)-1)=TRUE),0,OFFSET(Ottone!$F$1,MATCH(H947,Ottone!$A:$A,0)-1,MATCH(I947,Ottone!$F$1:$FF$1,0)-1))*IF(E947="Ottone",1,0),4)</f>
        <v>0</v>
      </c>
      <c r="R947" s="446">
        <f ca="1">ROUND(IF(ISERROR(OFFSET(Rame!$F$1,MATCH(H947,Rame!$F:$F,0)-1,MATCH(I947,Rame!$F$1:$FF$1,0)-1)=TRUE),0,OFFSET(Rame!$F$1,MATCH(H947,Rame!$F:$F,0)-1,MATCH(I947,Rame!$F$1:$FF$1,0)-1))*IF(E947="Rame",1,0),4)</f>
        <v>0</v>
      </c>
      <c r="S947" s="446">
        <f ca="1">ROUND(IF(ISERROR(OFFSET(Bronzo!$A$1,MATCH(H947,Bronzo!$A:$A,0)-1,MATCH(I947,Bronzo!$A$1:$AA$1,0)-1)=TRUE),0,OFFSET(Bronzo!$A$1,MATCH(H947,Bronzo!$A:$A,0)-1,MATCH(I947,Bronzo!$A$1:$AA$1,0)-1)),4)</f>
        <v>0</v>
      </c>
      <c r="T947" s="446">
        <f t="shared" ca="1" si="223"/>
        <v>0</v>
      </c>
      <c r="U947" s="443"/>
      <c r="V947" s="446">
        <v>0</v>
      </c>
      <c r="W947" s="449">
        <f t="shared" ca="1" si="224"/>
        <v>0</v>
      </c>
      <c r="X947" s="452">
        <f t="shared" si="222"/>
        <v>0</v>
      </c>
      <c r="Y947" s="440"/>
      <c r="Z947" s="440">
        <f t="shared" ca="1" si="225"/>
        <v>0</v>
      </c>
      <c r="AA947" s="241"/>
      <c r="AF947" s="225">
        <f t="shared" ca="1" si="221"/>
        <v>46156</v>
      </c>
      <c r="AG947" s="225" t="b">
        <f t="shared" si="226"/>
        <v>1</v>
      </c>
      <c r="AH947" s="242" t="str">
        <f t="shared" si="227"/>
        <v/>
      </c>
      <c r="AK947" s="223">
        <f t="shared" si="228"/>
        <v>0</v>
      </c>
      <c r="AL947" s="223">
        <f t="shared" si="229"/>
        <v>1900</v>
      </c>
      <c r="AS947" s="223">
        <f t="shared" si="230"/>
        <v>0</v>
      </c>
      <c r="AT947" s="223">
        <f t="shared" si="231"/>
        <v>0</v>
      </c>
    </row>
    <row r="948" spans="2:46" ht="15.75" x14ac:dyDescent="0.25">
      <c r="B948" s="229"/>
      <c r="C948" s="235"/>
      <c r="D948" s="243"/>
      <c r="E948" s="232"/>
      <c r="F948" s="435"/>
      <c r="G948" s="234"/>
      <c r="H948" s="235"/>
      <c r="I948" s="235"/>
      <c r="J948" s="440"/>
      <c r="K948" s="443">
        <f ca="1">ROUND(IF(ISERROR(OFFSET(Tabella!$A$1,MATCH(H948,Tabella!$A:$A,0)-1,MATCH(J948,Tabella!$A$1:$AC$1,0)-1)=TRUE),0,+OFFSET(Tabella!$A$1,MATCH(H948,Tabella!$A:$A,0)-1,MATCH(J948,Tabella!$A$1:$AC$1,0)-1)),4)</f>
        <v>0</v>
      </c>
      <c r="L948" s="446">
        <f ca="1">ROUND(IF(ISERROR(OFFSET(Ottone!$A$1,MATCH(H948,Ottone!$A:$A,0)-1,MATCH(J948,Ottone!$A$1:$Z$1,0)-1)=TRUE),0,OFFSET(Ottone!$A$1,MATCH(H948,Ottone!$A:$A,0)-1,MATCH(J948,Ottone!$A$1:$Z$1,0)-1))*IF(E948="Ottone",1,0),4)</f>
        <v>0</v>
      </c>
      <c r="M948" s="446">
        <f ca="1">ROUND(IF(ISERROR(OFFSET(Rame!$A$1,MATCH(H948,Rame!$A:$A,0)-1,MATCH(J948,Rame!$A$1:$AA$1,0)-1)=TRUE),0,OFFSET(Rame!$A$1,MATCH(H948,Rame!$A:$A,0)-1,MATCH(J948,Rame!$A$1:$AA$1,0)-1))*IF(E948="Rame",1,0),4)</f>
        <v>0</v>
      </c>
      <c r="N948" s="446">
        <v>0</v>
      </c>
      <c r="O948" s="446">
        <f t="shared" ca="1" si="232"/>
        <v>0</v>
      </c>
      <c r="P948" s="446">
        <f ca="1">ROUND(+IF(ISERROR(OFFSET(Tabella!$G$1,MATCH(H948,Tabella!$G:$G,0)-1,MATCH(I948,Tabella!$G$1:$FG$1,0)-1)=TRUE),0,OFFSET(Tabella!$G$1,MATCH(H948,Tabella!$G:$G,0)-1,MATCH(I948,Tabella!$G$1:$AB$1,0)-1)),4)</f>
        <v>0</v>
      </c>
      <c r="Q948" s="446">
        <f ca="1">ROUND(IF(ISERROR(OFFSET(Ottone!$F$1,MATCH(H948,Ottone!$A:$A,0)-1,MATCH(I948,Ottone!$F$1:$FF$1,0)-1)=TRUE),0,OFFSET(Ottone!$F$1,MATCH(H948,Ottone!$A:$A,0)-1,MATCH(I948,Ottone!$F$1:$FF$1,0)-1))*IF(E948="Ottone",1,0),4)</f>
        <v>0</v>
      </c>
      <c r="R948" s="446">
        <f ca="1">ROUND(IF(ISERROR(OFFSET(Rame!$F$1,MATCH(H948,Rame!$F:$F,0)-1,MATCH(I948,Rame!$F$1:$FF$1,0)-1)=TRUE),0,OFFSET(Rame!$F$1,MATCH(H948,Rame!$F:$F,0)-1,MATCH(I948,Rame!$F$1:$FF$1,0)-1))*IF(E948="Rame",1,0),4)</f>
        <v>0</v>
      </c>
      <c r="S948" s="446">
        <f ca="1">ROUND(IF(ISERROR(OFFSET(Bronzo!$A$1,MATCH(H948,Bronzo!$A:$A,0)-1,MATCH(I948,Bronzo!$A$1:$AA$1,0)-1)=TRUE),0,OFFSET(Bronzo!$A$1,MATCH(H948,Bronzo!$A:$A,0)-1,MATCH(I948,Bronzo!$A$1:$AA$1,0)-1)),4)</f>
        <v>0</v>
      </c>
      <c r="T948" s="446">
        <f t="shared" ca="1" si="223"/>
        <v>0</v>
      </c>
      <c r="U948" s="443"/>
      <c r="V948" s="446">
        <v>0</v>
      </c>
      <c r="W948" s="449">
        <f t="shared" ca="1" si="224"/>
        <v>0</v>
      </c>
      <c r="X948" s="452">
        <f t="shared" si="222"/>
        <v>0</v>
      </c>
      <c r="Y948" s="440"/>
      <c r="Z948" s="440">
        <f t="shared" ca="1" si="225"/>
        <v>0</v>
      </c>
      <c r="AA948" s="241"/>
      <c r="AF948" s="225">
        <f t="shared" ca="1" si="221"/>
        <v>46156</v>
      </c>
      <c r="AG948" s="225" t="b">
        <f t="shared" si="226"/>
        <v>1</v>
      </c>
      <c r="AH948" s="242" t="str">
        <f t="shared" si="227"/>
        <v/>
      </c>
      <c r="AK948" s="223">
        <f t="shared" si="228"/>
        <v>0</v>
      </c>
      <c r="AL948" s="223">
        <f t="shared" si="229"/>
        <v>1900</v>
      </c>
      <c r="AS948" s="223">
        <f t="shared" si="230"/>
        <v>0</v>
      </c>
      <c r="AT948" s="223">
        <f t="shared" si="231"/>
        <v>0</v>
      </c>
    </row>
    <row r="949" spans="2:46" ht="15.75" x14ac:dyDescent="0.25">
      <c r="B949" s="229"/>
      <c r="C949" s="235"/>
      <c r="D949" s="243"/>
      <c r="E949" s="232"/>
      <c r="F949" s="435"/>
      <c r="G949" s="234"/>
      <c r="H949" s="235"/>
      <c r="I949" s="235"/>
      <c r="J949" s="440"/>
      <c r="K949" s="443">
        <f ca="1">ROUND(IF(ISERROR(OFFSET(Tabella!$A$1,MATCH(H949,Tabella!$A:$A,0)-1,MATCH(J949,Tabella!$A$1:$AC$1,0)-1)=TRUE),0,+OFFSET(Tabella!$A$1,MATCH(H949,Tabella!$A:$A,0)-1,MATCH(J949,Tabella!$A$1:$AC$1,0)-1)),4)</f>
        <v>0</v>
      </c>
      <c r="L949" s="446">
        <f ca="1">ROUND(IF(ISERROR(OFFSET(Ottone!$A$1,MATCH(H949,Ottone!$A:$A,0)-1,MATCH(J949,Ottone!$A$1:$Z$1,0)-1)=TRUE),0,OFFSET(Ottone!$A$1,MATCH(H949,Ottone!$A:$A,0)-1,MATCH(J949,Ottone!$A$1:$Z$1,0)-1))*IF(E949="Ottone",1,0),4)</f>
        <v>0</v>
      </c>
      <c r="M949" s="446">
        <f ca="1">ROUND(IF(ISERROR(OFFSET(Rame!$A$1,MATCH(H949,Rame!$A:$A,0)-1,MATCH(J949,Rame!$A$1:$AA$1,0)-1)=TRUE),0,OFFSET(Rame!$A$1,MATCH(H949,Rame!$A:$A,0)-1,MATCH(J949,Rame!$A$1:$AA$1,0)-1))*IF(E949="Rame",1,0),4)</f>
        <v>0</v>
      </c>
      <c r="N949" s="446">
        <v>0</v>
      </c>
      <c r="O949" s="446">
        <f t="shared" ca="1" si="232"/>
        <v>0</v>
      </c>
      <c r="P949" s="446">
        <f ca="1">ROUND(+IF(ISERROR(OFFSET(Tabella!$G$1,MATCH(H949,Tabella!$G:$G,0)-1,MATCH(I949,Tabella!$G$1:$FG$1,0)-1)=TRUE),0,OFFSET(Tabella!$G$1,MATCH(H949,Tabella!$G:$G,0)-1,MATCH(I949,Tabella!$G$1:$AB$1,0)-1)),4)</f>
        <v>0</v>
      </c>
      <c r="Q949" s="446">
        <f ca="1">ROUND(IF(ISERROR(OFFSET(Ottone!$F$1,MATCH(H949,Ottone!$A:$A,0)-1,MATCH(I949,Ottone!$F$1:$FF$1,0)-1)=TRUE),0,OFFSET(Ottone!$F$1,MATCH(H949,Ottone!$A:$A,0)-1,MATCH(I949,Ottone!$F$1:$FF$1,0)-1))*IF(E949="Ottone",1,0),4)</f>
        <v>0</v>
      </c>
      <c r="R949" s="446">
        <f ca="1">ROUND(IF(ISERROR(OFFSET(Rame!$F$1,MATCH(H949,Rame!$F:$F,0)-1,MATCH(I949,Rame!$F$1:$FF$1,0)-1)=TRUE),0,OFFSET(Rame!$F$1,MATCH(H949,Rame!$F:$F,0)-1,MATCH(I949,Rame!$F$1:$FF$1,0)-1))*IF(E949="Rame",1,0),4)</f>
        <v>0</v>
      </c>
      <c r="S949" s="446">
        <f ca="1">ROUND(IF(ISERROR(OFFSET(Bronzo!$A$1,MATCH(H949,Bronzo!$A:$A,0)-1,MATCH(I949,Bronzo!$A$1:$AA$1,0)-1)=TRUE),0,OFFSET(Bronzo!$A$1,MATCH(H949,Bronzo!$A:$A,0)-1,MATCH(I949,Bronzo!$A$1:$AA$1,0)-1)),4)</f>
        <v>0</v>
      </c>
      <c r="T949" s="446">
        <f t="shared" ca="1" si="223"/>
        <v>0</v>
      </c>
      <c r="U949" s="443"/>
      <c r="V949" s="446">
        <v>0</v>
      </c>
      <c r="W949" s="449">
        <f t="shared" ca="1" si="224"/>
        <v>0</v>
      </c>
      <c r="X949" s="452">
        <f t="shared" si="222"/>
        <v>0</v>
      </c>
      <c r="Y949" s="440"/>
      <c r="Z949" s="440">
        <f t="shared" ca="1" si="225"/>
        <v>0</v>
      </c>
      <c r="AA949" s="241"/>
      <c r="AF949" s="225">
        <f t="shared" ca="1" si="221"/>
        <v>46156</v>
      </c>
      <c r="AG949" s="225" t="b">
        <f t="shared" si="226"/>
        <v>1</v>
      </c>
      <c r="AH949" s="242" t="str">
        <f t="shared" si="227"/>
        <v/>
      </c>
      <c r="AK949" s="223">
        <f t="shared" si="228"/>
        <v>0</v>
      </c>
      <c r="AL949" s="223">
        <f t="shared" si="229"/>
        <v>1900</v>
      </c>
      <c r="AS949" s="223">
        <f t="shared" si="230"/>
        <v>0</v>
      </c>
      <c r="AT949" s="223">
        <f t="shared" si="231"/>
        <v>0</v>
      </c>
    </row>
    <row r="950" spans="2:46" ht="15.75" x14ac:dyDescent="0.25">
      <c r="B950" s="229"/>
      <c r="C950" s="235"/>
      <c r="D950" s="243"/>
      <c r="E950" s="232"/>
      <c r="F950" s="435"/>
      <c r="G950" s="234"/>
      <c r="H950" s="235"/>
      <c r="I950" s="235"/>
      <c r="J950" s="440"/>
      <c r="K950" s="443">
        <f ca="1">ROUND(IF(ISERROR(OFFSET(Tabella!$A$1,MATCH(H950,Tabella!$A:$A,0)-1,MATCH(J950,Tabella!$A$1:$AC$1,0)-1)=TRUE),0,+OFFSET(Tabella!$A$1,MATCH(H950,Tabella!$A:$A,0)-1,MATCH(J950,Tabella!$A$1:$AC$1,0)-1)),4)</f>
        <v>0</v>
      </c>
      <c r="L950" s="446">
        <f ca="1">ROUND(IF(ISERROR(OFFSET(Ottone!$A$1,MATCH(H950,Ottone!$A:$A,0)-1,MATCH(J950,Ottone!$A$1:$Z$1,0)-1)=TRUE),0,OFFSET(Ottone!$A$1,MATCH(H950,Ottone!$A:$A,0)-1,MATCH(J950,Ottone!$A$1:$Z$1,0)-1))*IF(E950="Ottone",1,0),4)</f>
        <v>0</v>
      </c>
      <c r="M950" s="446">
        <f ca="1">ROUND(IF(ISERROR(OFFSET(Rame!$A$1,MATCH(H950,Rame!$A:$A,0)-1,MATCH(J950,Rame!$A$1:$AA$1,0)-1)=TRUE),0,OFFSET(Rame!$A$1,MATCH(H950,Rame!$A:$A,0)-1,MATCH(J950,Rame!$A$1:$AA$1,0)-1))*IF(E950="Rame",1,0),4)</f>
        <v>0</v>
      </c>
      <c r="N950" s="446">
        <v>0</v>
      </c>
      <c r="O950" s="446">
        <f t="shared" ca="1" si="232"/>
        <v>0</v>
      </c>
      <c r="P950" s="446">
        <f ca="1">ROUND(+IF(ISERROR(OFFSET(Tabella!$G$1,MATCH(H950,Tabella!$G:$G,0)-1,MATCH(I950,Tabella!$G$1:$FG$1,0)-1)=TRUE),0,OFFSET(Tabella!$G$1,MATCH(H950,Tabella!$G:$G,0)-1,MATCH(I950,Tabella!$G$1:$AB$1,0)-1)),4)</f>
        <v>0</v>
      </c>
      <c r="Q950" s="446">
        <f ca="1">ROUND(IF(ISERROR(OFFSET(Ottone!$F$1,MATCH(H950,Ottone!$A:$A,0)-1,MATCH(I950,Ottone!$F$1:$FF$1,0)-1)=TRUE),0,OFFSET(Ottone!$F$1,MATCH(H950,Ottone!$A:$A,0)-1,MATCH(I950,Ottone!$F$1:$FF$1,0)-1))*IF(E950="Ottone",1,0),4)</f>
        <v>0</v>
      </c>
      <c r="R950" s="446">
        <f ca="1">ROUND(IF(ISERROR(OFFSET(Rame!$F$1,MATCH(H950,Rame!$F:$F,0)-1,MATCH(I950,Rame!$F$1:$FF$1,0)-1)=TRUE),0,OFFSET(Rame!$F$1,MATCH(H950,Rame!$F:$F,0)-1,MATCH(I950,Rame!$F$1:$FF$1,0)-1))*IF(E950="Rame",1,0),4)</f>
        <v>0</v>
      </c>
      <c r="S950" s="446">
        <f ca="1">ROUND(IF(ISERROR(OFFSET(Bronzo!$A$1,MATCH(H950,Bronzo!$A:$A,0)-1,MATCH(I950,Bronzo!$A$1:$AA$1,0)-1)=TRUE),0,OFFSET(Bronzo!$A$1,MATCH(H950,Bronzo!$A:$A,0)-1,MATCH(I950,Bronzo!$A$1:$AA$1,0)-1)),4)</f>
        <v>0</v>
      </c>
      <c r="T950" s="446">
        <f t="shared" ca="1" si="223"/>
        <v>0</v>
      </c>
      <c r="U950" s="443"/>
      <c r="V950" s="446">
        <v>0</v>
      </c>
      <c r="W950" s="449">
        <f t="shared" ca="1" si="224"/>
        <v>0</v>
      </c>
      <c r="X950" s="452">
        <f t="shared" si="222"/>
        <v>0</v>
      </c>
      <c r="Y950" s="440"/>
      <c r="Z950" s="440">
        <f t="shared" ca="1" si="225"/>
        <v>0</v>
      </c>
      <c r="AA950" s="241"/>
      <c r="AF950" s="225">
        <f t="shared" ca="1" si="221"/>
        <v>46156</v>
      </c>
      <c r="AG950" s="225" t="b">
        <f t="shared" si="226"/>
        <v>1</v>
      </c>
      <c r="AH950" s="242" t="str">
        <f t="shared" si="227"/>
        <v/>
      </c>
      <c r="AK950" s="223">
        <f t="shared" si="228"/>
        <v>0</v>
      </c>
      <c r="AL950" s="223">
        <f t="shared" si="229"/>
        <v>1900</v>
      </c>
      <c r="AS950" s="223">
        <f t="shared" si="230"/>
        <v>0</v>
      </c>
      <c r="AT950" s="223">
        <f t="shared" si="231"/>
        <v>0</v>
      </c>
    </row>
    <row r="951" spans="2:46" ht="15.75" x14ac:dyDescent="0.25">
      <c r="B951" s="229"/>
      <c r="C951" s="235"/>
      <c r="D951" s="243"/>
      <c r="E951" s="232"/>
      <c r="F951" s="435"/>
      <c r="G951" s="234"/>
      <c r="H951" s="235"/>
      <c r="I951" s="235"/>
      <c r="J951" s="440"/>
      <c r="K951" s="443">
        <f ca="1">ROUND(IF(ISERROR(OFFSET(Tabella!$A$1,MATCH(H951,Tabella!$A:$A,0)-1,MATCH(J951,Tabella!$A$1:$AC$1,0)-1)=TRUE),0,+OFFSET(Tabella!$A$1,MATCH(H951,Tabella!$A:$A,0)-1,MATCH(J951,Tabella!$A$1:$AC$1,0)-1)),4)</f>
        <v>0</v>
      </c>
      <c r="L951" s="446">
        <f ca="1">ROUND(IF(ISERROR(OFFSET(Ottone!$A$1,MATCH(H951,Ottone!$A:$A,0)-1,MATCH(J951,Ottone!$A$1:$Z$1,0)-1)=TRUE),0,OFFSET(Ottone!$A$1,MATCH(H951,Ottone!$A:$A,0)-1,MATCH(J951,Ottone!$A$1:$Z$1,0)-1))*IF(E951="Ottone",1,0),4)</f>
        <v>0</v>
      </c>
      <c r="M951" s="446">
        <f ca="1">ROUND(IF(ISERROR(OFFSET(Rame!$A$1,MATCH(H951,Rame!$A:$A,0)-1,MATCH(J951,Rame!$A$1:$AA$1,0)-1)=TRUE),0,OFFSET(Rame!$A$1,MATCH(H951,Rame!$A:$A,0)-1,MATCH(J951,Rame!$A$1:$AA$1,0)-1))*IF(E951="Rame",1,0),4)</f>
        <v>0</v>
      </c>
      <c r="N951" s="446">
        <v>0</v>
      </c>
      <c r="O951" s="446">
        <f t="shared" ca="1" si="232"/>
        <v>0</v>
      </c>
      <c r="P951" s="446">
        <f ca="1">ROUND(+IF(ISERROR(OFFSET(Tabella!$G$1,MATCH(H951,Tabella!$G:$G,0)-1,MATCH(I951,Tabella!$G$1:$FG$1,0)-1)=TRUE),0,OFFSET(Tabella!$G$1,MATCH(H951,Tabella!$G:$G,0)-1,MATCH(I951,Tabella!$G$1:$AB$1,0)-1)),4)</f>
        <v>0</v>
      </c>
      <c r="Q951" s="446">
        <f ca="1">ROUND(IF(ISERROR(OFFSET(Ottone!$F$1,MATCH(H951,Ottone!$A:$A,0)-1,MATCH(I951,Ottone!$F$1:$FF$1,0)-1)=TRUE),0,OFFSET(Ottone!$F$1,MATCH(H951,Ottone!$A:$A,0)-1,MATCH(I951,Ottone!$F$1:$FF$1,0)-1))*IF(E951="Ottone",1,0),4)</f>
        <v>0</v>
      </c>
      <c r="R951" s="446">
        <f ca="1">ROUND(IF(ISERROR(OFFSET(Rame!$F$1,MATCH(H951,Rame!$F:$F,0)-1,MATCH(I951,Rame!$F$1:$FF$1,0)-1)=TRUE),0,OFFSET(Rame!$F$1,MATCH(H951,Rame!$F:$F,0)-1,MATCH(I951,Rame!$F$1:$FF$1,0)-1))*IF(E951="Rame",1,0),4)</f>
        <v>0</v>
      </c>
      <c r="S951" s="446">
        <f ca="1">ROUND(IF(ISERROR(OFFSET(Bronzo!$A$1,MATCH(H951,Bronzo!$A:$A,0)-1,MATCH(I951,Bronzo!$A$1:$AA$1,0)-1)=TRUE),0,OFFSET(Bronzo!$A$1,MATCH(H951,Bronzo!$A:$A,0)-1,MATCH(I951,Bronzo!$A$1:$AA$1,0)-1)),4)</f>
        <v>0</v>
      </c>
      <c r="T951" s="446">
        <f t="shared" ca="1" si="223"/>
        <v>0</v>
      </c>
      <c r="U951" s="443"/>
      <c r="V951" s="446">
        <v>0</v>
      </c>
      <c r="W951" s="449">
        <f t="shared" ca="1" si="224"/>
        <v>0</v>
      </c>
      <c r="X951" s="452">
        <f t="shared" si="222"/>
        <v>0</v>
      </c>
      <c r="Y951" s="440"/>
      <c r="Z951" s="440">
        <f t="shared" ca="1" si="225"/>
        <v>0</v>
      </c>
      <c r="AA951" s="241"/>
      <c r="AF951" s="225">
        <f t="shared" ca="1" si="221"/>
        <v>46156</v>
      </c>
      <c r="AG951" s="225" t="b">
        <f t="shared" si="226"/>
        <v>1</v>
      </c>
      <c r="AH951" s="242" t="str">
        <f t="shared" si="227"/>
        <v/>
      </c>
      <c r="AK951" s="223">
        <f t="shared" si="228"/>
        <v>0</v>
      </c>
      <c r="AL951" s="223">
        <f t="shared" si="229"/>
        <v>1900</v>
      </c>
      <c r="AS951" s="223">
        <f t="shared" si="230"/>
        <v>0</v>
      </c>
      <c r="AT951" s="223">
        <f t="shared" si="231"/>
        <v>0</v>
      </c>
    </row>
    <row r="952" spans="2:46" ht="15.75" x14ac:dyDescent="0.25">
      <c r="B952" s="229"/>
      <c r="C952" s="235"/>
      <c r="D952" s="243"/>
      <c r="E952" s="232"/>
      <c r="F952" s="435"/>
      <c r="G952" s="234"/>
      <c r="H952" s="235"/>
      <c r="I952" s="235"/>
      <c r="J952" s="440"/>
      <c r="K952" s="443">
        <f ca="1">ROUND(IF(ISERROR(OFFSET(Tabella!$A$1,MATCH(H952,Tabella!$A:$A,0)-1,MATCH(J952,Tabella!$A$1:$AC$1,0)-1)=TRUE),0,+OFFSET(Tabella!$A$1,MATCH(H952,Tabella!$A:$A,0)-1,MATCH(J952,Tabella!$A$1:$AC$1,0)-1)),4)</f>
        <v>0</v>
      </c>
      <c r="L952" s="446">
        <f ca="1">ROUND(IF(ISERROR(OFFSET(Ottone!$A$1,MATCH(H952,Ottone!$A:$A,0)-1,MATCH(J952,Ottone!$A$1:$Z$1,0)-1)=TRUE),0,OFFSET(Ottone!$A$1,MATCH(H952,Ottone!$A:$A,0)-1,MATCH(J952,Ottone!$A$1:$Z$1,0)-1))*IF(E952="Ottone",1,0),4)</f>
        <v>0</v>
      </c>
      <c r="M952" s="446">
        <f ca="1">ROUND(IF(ISERROR(OFFSET(Rame!$A$1,MATCH(H952,Rame!$A:$A,0)-1,MATCH(J952,Rame!$A$1:$AA$1,0)-1)=TRUE),0,OFFSET(Rame!$A$1,MATCH(H952,Rame!$A:$A,0)-1,MATCH(J952,Rame!$A$1:$AA$1,0)-1))*IF(E952="Rame",1,0),4)</f>
        <v>0</v>
      </c>
      <c r="N952" s="446">
        <v>0</v>
      </c>
      <c r="O952" s="446">
        <f t="shared" ca="1" si="232"/>
        <v>0</v>
      </c>
      <c r="P952" s="446">
        <f ca="1">ROUND(+IF(ISERROR(OFFSET(Tabella!$G$1,MATCH(H952,Tabella!$G:$G,0)-1,MATCH(I952,Tabella!$G$1:$FG$1,0)-1)=TRUE),0,OFFSET(Tabella!$G$1,MATCH(H952,Tabella!$G:$G,0)-1,MATCH(I952,Tabella!$G$1:$AB$1,0)-1)),4)</f>
        <v>0</v>
      </c>
      <c r="Q952" s="446">
        <f ca="1">ROUND(IF(ISERROR(OFFSET(Ottone!$F$1,MATCH(H952,Ottone!$A:$A,0)-1,MATCH(I952,Ottone!$F$1:$FF$1,0)-1)=TRUE),0,OFFSET(Ottone!$F$1,MATCH(H952,Ottone!$A:$A,0)-1,MATCH(I952,Ottone!$F$1:$FF$1,0)-1))*IF(E952="Ottone",1,0),4)</f>
        <v>0</v>
      </c>
      <c r="R952" s="446">
        <f ca="1">ROUND(IF(ISERROR(OFFSET(Rame!$F$1,MATCH(H952,Rame!$F:$F,0)-1,MATCH(I952,Rame!$F$1:$FF$1,0)-1)=TRUE),0,OFFSET(Rame!$F$1,MATCH(H952,Rame!$F:$F,0)-1,MATCH(I952,Rame!$F$1:$FF$1,0)-1))*IF(E952="Rame",1,0),4)</f>
        <v>0</v>
      </c>
      <c r="S952" s="446">
        <f ca="1">ROUND(IF(ISERROR(OFFSET(Bronzo!$A$1,MATCH(H952,Bronzo!$A:$A,0)-1,MATCH(I952,Bronzo!$A$1:$AA$1,0)-1)=TRUE),0,OFFSET(Bronzo!$A$1,MATCH(H952,Bronzo!$A:$A,0)-1,MATCH(I952,Bronzo!$A$1:$AA$1,0)-1)),4)</f>
        <v>0</v>
      </c>
      <c r="T952" s="446">
        <f t="shared" ca="1" si="223"/>
        <v>0</v>
      </c>
      <c r="U952" s="443"/>
      <c r="V952" s="446">
        <v>0</v>
      </c>
      <c r="W952" s="449">
        <f t="shared" ca="1" si="224"/>
        <v>0</v>
      </c>
      <c r="X952" s="452">
        <f t="shared" si="222"/>
        <v>0</v>
      </c>
      <c r="Y952" s="440"/>
      <c r="Z952" s="440">
        <f t="shared" ca="1" si="225"/>
        <v>0</v>
      </c>
      <c r="AA952" s="241"/>
      <c r="AF952" s="225">
        <f t="shared" ca="1" si="221"/>
        <v>46156</v>
      </c>
      <c r="AG952" s="225" t="b">
        <f t="shared" si="226"/>
        <v>1</v>
      </c>
      <c r="AH952" s="242" t="str">
        <f t="shared" si="227"/>
        <v/>
      </c>
      <c r="AK952" s="223">
        <f t="shared" si="228"/>
        <v>0</v>
      </c>
      <c r="AL952" s="223">
        <f t="shared" si="229"/>
        <v>1900</v>
      </c>
      <c r="AS952" s="223">
        <f t="shared" si="230"/>
        <v>0</v>
      </c>
      <c r="AT952" s="223">
        <f t="shared" si="231"/>
        <v>0</v>
      </c>
    </row>
    <row r="953" spans="2:46" ht="15.75" x14ac:dyDescent="0.25">
      <c r="B953" s="229"/>
      <c r="C953" s="235"/>
      <c r="D953" s="243"/>
      <c r="E953" s="232"/>
      <c r="F953" s="435"/>
      <c r="G953" s="234"/>
      <c r="H953" s="235"/>
      <c r="I953" s="235"/>
      <c r="J953" s="440"/>
      <c r="K953" s="443">
        <f ca="1">ROUND(IF(ISERROR(OFFSET(Tabella!$A$1,MATCH(H953,Tabella!$A:$A,0)-1,MATCH(J953,Tabella!$A$1:$AC$1,0)-1)=TRUE),0,+OFFSET(Tabella!$A$1,MATCH(H953,Tabella!$A:$A,0)-1,MATCH(J953,Tabella!$A$1:$AC$1,0)-1)),4)</f>
        <v>0</v>
      </c>
      <c r="L953" s="446">
        <f ca="1">ROUND(IF(ISERROR(OFFSET(Ottone!$A$1,MATCH(H953,Ottone!$A:$A,0)-1,MATCH(J953,Ottone!$A$1:$Z$1,0)-1)=TRUE),0,OFFSET(Ottone!$A$1,MATCH(H953,Ottone!$A:$A,0)-1,MATCH(J953,Ottone!$A$1:$Z$1,0)-1))*IF(E953="Ottone",1,0),4)</f>
        <v>0</v>
      </c>
      <c r="M953" s="446">
        <f ca="1">ROUND(IF(ISERROR(OFFSET(Rame!$A$1,MATCH(H953,Rame!$A:$A,0)-1,MATCH(J953,Rame!$A$1:$AA$1,0)-1)=TRUE),0,OFFSET(Rame!$A$1,MATCH(H953,Rame!$A:$A,0)-1,MATCH(J953,Rame!$A$1:$AA$1,0)-1))*IF(E953="Rame",1,0),4)</f>
        <v>0</v>
      </c>
      <c r="N953" s="446">
        <v>0</v>
      </c>
      <c r="O953" s="446">
        <f t="shared" ca="1" si="232"/>
        <v>0</v>
      </c>
      <c r="P953" s="446">
        <f ca="1">ROUND(+IF(ISERROR(OFFSET(Tabella!$G$1,MATCH(H953,Tabella!$G:$G,0)-1,MATCH(I953,Tabella!$G$1:$FG$1,0)-1)=TRUE),0,OFFSET(Tabella!$G$1,MATCH(H953,Tabella!$G:$G,0)-1,MATCH(I953,Tabella!$G$1:$AB$1,0)-1)),4)</f>
        <v>0</v>
      </c>
      <c r="Q953" s="446">
        <f ca="1">ROUND(IF(ISERROR(OFFSET(Ottone!$F$1,MATCH(H953,Ottone!$A:$A,0)-1,MATCH(I953,Ottone!$F$1:$FF$1,0)-1)=TRUE),0,OFFSET(Ottone!$F$1,MATCH(H953,Ottone!$A:$A,0)-1,MATCH(I953,Ottone!$F$1:$FF$1,0)-1))*IF(E953="Ottone",1,0),4)</f>
        <v>0</v>
      </c>
      <c r="R953" s="446">
        <f ca="1">ROUND(IF(ISERROR(OFFSET(Rame!$F$1,MATCH(H953,Rame!$F:$F,0)-1,MATCH(I953,Rame!$F$1:$FF$1,0)-1)=TRUE),0,OFFSET(Rame!$F$1,MATCH(H953,Rame!$F:$F,0)-1,MATCH(I953,Rame!$F$1:$FF$1,0)-1))*IF(E953="Rame",1,0),4)</f>
        <v>0</v>
      </c>
      <c r="S953" s="446">
        <f ca="1">ROUND(IF(ISERROR(OFFSET(Bronzo!$A$1,MATCH(H953,Bronzo!$A:$A,0)-1,MATCH(I953,Bronzo!$A$1:$AA$1,0)-1)=TRUE),0,OFFSET(Bronzo!$A$1,MATCH(H953,Bronzo!$A:$A,0)-1,MATCH(I953,Bronzo!$A$1:$AA$1,0)-1)),4)</f>
        <v>0</v>
      </c>
      <c r="T953" s="446">
        <f t="shared" ca="1" si="223"/>
        <v>0</v>
      </c>
      <c r="U953" s="443"/>
      <c r="V953" s="446">
        <v>0</v>
      </c>
      <c r="W953" s="449">
        <f t="shared" ca="1" si="224"/>
        <v>0</v>
      </c>
      <c r="X953" s="452">
        <f t="shared" si="222"/>
        <v>0</v>
      </c>
      <c r="Y953" s="440"/>
      <c r="Z953" s="440">
        <f t="shared" ca="1" si="225"/>
        <v>0</v>
      </c>
      <c r="AA953" s="241"/>
      <c r="AF953" s="225">
        <f t="shared" ca="1" si="221"/>
        <v>46156</v>
      </c>
      <c r="AG953" s="225" t="b">
        <f t="shared" si="226"/>
        <v>1</v>
      </c>
      <c r="AH953" s="242" t="str">
        <f t="shared" si="227"/>
        <v/>
      </c>
      <c r="AK953" s="223">
        <f t="shared" si="228"/>
        <v>0</v>
      </c>
      <c r="AL953" s="223">
        <f t="shared" si="229"/>
        <v>1900</v>
      </c>
      <c r="AS953" s="223">
        <f t="shared" si="230"/>
        <v>0</v>
      </c>
      <c r="AT953" s="223">
        <f t="shared" si="231"/>
        <v>0</v>
      </c>
    </row>
    <row r="954" spans="2:46" ht="15.75" x14ac:dyDescent="0.25">
      <c r="B954" s="229"/>
      <c r="C954" s="235"/>
      <c r="D954" s="243"/>
      <c r="E954" s="232"/>
      <c r="F954" s="435"/>
      <c r="G954" s="234"/>
      <c r="H954" s="235"/>
      <c r="I954" s="235"/>
      <c r="J954" s="440"/>
      <c r="K954" s="443">
        <f ca="1">ROUND(IF(ISERROR(OFFSET(Tabella!$A$1,MATCH(H954,Tabella!$A:$A,0)-1,MATCH(J954,Tabella!$A$1:$AC$1,0)-1)=TRUE),0,+OFFSET(Tabella!$A$1,MATCH(H954,Tabella!$A:$A,0)-1,MATCH(J954,Tabella!$A$1:$AC$1,0)-1)),4)</f>
        <v>0</v>
      </c>
      <c r="L954" s="446">
        <f ca="1">ROUND(IF(ISERROR(OFFSET(Ottone!$A$1,MATCH(H954,Ottone!$A:$A,0)-1,MATCH(J954,Ottone!$A$1:$Z$1,0)-1)=TRUE),0,OFFSET(Ottone!$A$1,MATCH(H954,Ottone!$A:$A,0)-1,MATCH(J954,Ottone!$A$1:$Z$1,0)-1))*IF(E954="Ottone",1,0),4)</f>
        <v>0</v>
      </c>
      <c r="M954" s="446">
        <f ca="1">ROUND(IF(ISERROR(OFFSET(Rame!$A$1,MATCH(H954,Rame!$A:$A,0)-1,MATCH(J954,Rame!$A$1:$AA$1,0)-1)=TRUE),0,OFFSET(Rame!$A$1,MATCH(H954,Rame!$A:$A,0)-1,MATCH(J954,Rame!$A$1:$AA$1,0)-1))*IF(E954="Rame",1,0),4)</f>
        <v>0</v>
      </c>
      <c r="N954" s="446">
        <v>0</v>
      </c>
      <c r="O954" s="446">
        <f t="shared" ca="1" si="232"/>
        <v>0</v>
      </c>
      <c r="P954" s="446">
        <f ca="1">ROUND(+IF(ISERROR(OFFSET(Tabella!$G$1,MATCH(H954,Tabella!$G:$G,0)-1,MATCH(I954,Tabella!$G$1:$FG$1,0)-1)=TRUE),0,OFFSET(Tabella!$G$1,MATCH(H954,Tabella!$G:$G,0)-1,MATCH(I954,Tabella!$G$1:$AB$1,0)-1)),4)</f>
        <v>0</v>
      </c>
      <c r="Q954" s="446">
        <f ca="1">ROUND(IF(ISERROR(OFFSET(Ottone!$F$1,MATCH(H954,Ottone!$A:$A,0)-1,MATCH(I954,Ottone!$F$1:$FF$1,0)-1)=TRUE),0,OFFSET(Ottone!$F$1,MATCH(H954,Ottone!$A:$A,0)-1,MATCH(I954,Ottone!$F$1:$FF$1,0)-1))*IF(E954="Ottone",1,0),4)</f>
        <v>0</v>
      </c>
      <c r="R954" s="446">
        <f ca="1">ROUND(IF(ISERROR(OFFSET(Rame!$F$1,MATCH(H954,Rame!$F:$F,0)-1,MATCH(I954,Rame!$F$1:$FF$1,0)-1)=TRUE),0,OFFSET(Rame!$F$1,MATCH(H954,Rame!$F:$F,0)-1,MATCH(I954,Rame!$F$1:$FF$1,0)-1))*IF(E954="Rame",1,0),4)</f>
        <v>0</v>
      </c>
      <c r="S954" s="446">
        <f ca="1">ROUND(IF(ISERROR(OFFSET(Bronzo!$A$1,MATCH(H954,Bronzo!$A:$A,0)-1,MATCH(I954,Bronzo!$A$1:$AA$1,0)-1)=TRUE),0,OFFSET(Bronzo!$A$1,MATCH(H954,Bronzo!$A:$A,0)-1,MATCH(I954,Bronzo!$A$1:$AA$1,0)-1)),4)</f>
        <v>0</v>
      </c>
      <c r="T954" s="446">
        <f t="shared" ca="1" si="223"/>
        <v>0</v>
      </c>
      <c r="U954" s="443"/>
      <c r="V954" s="446">
        <v>0</v>
      </c>
      <c r="W954" s="449">
        <f t="shared" ca="1" si="224"/>
        <v>0</v>
      </c>
      <c r="X954" s="452">
        <f t="shared" si="222"/>
        <v>0</v>
      </c>
      <c r="Y954" s="440"/>
      <c r="Z954" s="440">
        <f t="shared" ca="1" si="225"/>
        <v>0</v>
      </c>
      <c r="AA954" s="241"/>
      <c r="AF954" s="225">
        <f t="shared" ca="1" si="221"/>
        <v>46156</v>
      </c>
      <c r="AG954" s="225" t="b">
        <f t="shared" si="226"/>
        <v>1</v>
      </c>
      <c r="AH954" s="242" t="str">
        <f t="shared" si="227"/>
        <v/>
      </c>
      <c r="AK954" s="223">
        <f t="shared" si="228"/>
        <v>0</v>
      </c>
      <c r="AL954" s="223">
        <f t="shared" si="229"/>
        <v>1900</v>
      </c>
      <c r="AS954" s="223">
        <f t="shared" si="230"/>
        <v>0</v>
      </c>
      <c r="AT954" s="223">
        <f t="shared" si="231"/>
        <v>0</v>
      </c>
    </row>
    <row r="955" spans="2:46" ht="15.75" x14ac:dyDescent="0.25">
      <c r="B955" s="229"/>
      <c r="C955" s="235"/>
      <c r="D955" s="243"/>
      <c r="E955" s="232"/>
      <c r="F955" s="435"/>
      <c r="G955" s="234"/>
      <c r="H955" s="235"/>
      <c r="I955" s="235"/>
      <c r="J955" s="440"/>
      <c r="K955" s="443">
        <f ca="1">ROUND(IF(ISERROR(OFFSET(Tabella!$A$1,MATCH(H955,Tabella!$A:$A,0)-1,MATCH(J955,Tabella!$A$1:$AC$1,0)-1)=TRUE),0,+OFFSET(Tabella!$A$1,MATCH(H955,Tabella!$A:$A,0)-1,MATCH(J955,Tabella!$A$1:$AC$1,0)-1)),4)</f>
        <v>0</v>
      </c>
      <c r="L955" s="446">
        <f ca="1">ROUND(IF(ISERROR(OFFSET(Ottone!$A$1,MATCH(H955,Ottone!$A:$A,0)-1,MATCH(J955,Ottone!$A$1:$Z$1,0)-1)=TRUE),0,OFFSET(Ottone!$A$1,MATCH(H955,Ottone!$A:$A,0)-1,MATCH(J955,Ottone!$A$1:$Z$1,0)-1))*IF(E955="Ottone",1,0),4)</f>
        <v>0</v>
      </c>
      <c r="M955" s="446">
        <f ca="1">ROUND(IF(ISERROR(OFFSET(Rame!$A$1,MATCH(H955,Rame!$A:$A,0)-1,MATCH(J955,Rame!$A$1:$AA$1,0)-1)=TRUE),0,OFFSET(Rame!$A$1,MATCH(H955,Rame!$A:$A,0)-1,MATCH(J955,Rame!$A$1:$AA$1,0)-1))*IF(E955="Rame",1,0),4)</f>
        <v>0</v>
      </c>
      <c r="N955" s="446">
        <v>0</v>
      </c>
      <c r="O955" s="446">
        <f t="shared" ca="1" si="232"/>
        <v>0</v>
      </c>
      <c r="P955" s="446">
        <f ca="1">ROUND(+IF(ISERROR(OFFSET(Tabella!$G$1,MATCH(H955,Tabella!$G:$G,0)-1,MATCH(I955,Tabella!$G$1:$FG$1,0)-1)=TRUE),0,OFFSET(Tabella!$G$1,MATCH(H955,Tabella!$G:$G,0)-1,MATCH(I955,Tabella!$G$1:$AB$1,0)-1)),4)</f>
        <v>0</v>
      </c>
      <c r="Q955" s="446">
        <f ca="1">ROUND(IF(ISERROR(OFFSET(Ottone!$F$1,MATCH(H955,Ottone!$A:$A,0)-1,MATCH(I955,Ottone!$F$1:$FF$1,0)-1)=TRUE),0,OFFSET(Ottone!$F$1,MATCH(H955,Ottone!$A:$A,0)-1,MATCH(I955,Ottone!$F$1:$FF$1,0)-1))*IF(E955="Ottone",1,0),4)</f>
        <v>0</v>
      </c>
      <c r="R955" s="446">
        <f ca="1">ROUND(IF(ISERROR(OFFSET(Rame!$F$1,MATCH(H955,Rame!$F:$F,0)-1,MATCH(I955,Rame!$F$1:$FF$1,0)-1)=TRUE),0,OFFSET(Rame!$F$1,MATCH(H955,Rame!$F:$F,0)-1,MATCH(I955,Rame!$F$1:$FF$1,0)-1))*IF(E955="Rame",1,0),4)</f>
        <v>0</v>
      </c>
      <c r="S955" s="446">
        <f ca="1">ROUND(IF(ISERROR(OFFSET(Bronzo!$A$1,MATCH(H955,Bronzo!$A:$A,0)-1,MATCH(I955,Bronzo!$A$1:$AA$1,0)-1)=TRUE),0,OFFSET(Bronzo!$A$1,MATCH(H955,Bronzo!$A:$A,0)-1,MATCH(I955,Bronzo!$A$1:$AA$1,0)-1)),4)</f>
        <v>0</v>
      </c>
      <c r="T955" s="446">
        <f t="shared" ca="1" si="223"/>
        <v>0</v>
      </c>
      <c r="U955" s="443"/>
      <c r="V955" s="446">
        <v>0</v>
      </c>
      <c r="W955" s="449">
        <f t="shared" ca="1" si="224"/>
        <v>0</v>
      </c>
      <c r="X955" s="452">
        <f t="shared" si="222"/>
        <v>0</v>
      </c>
      <c r="Y955" s="440"/>
      <c r="Z955" s="440">
        <f t="shared" ca="1" si="225"/>
        <v>0</v>
      </c>
      <c r="AA955" s="241"/>
      <c r="AF955" s="225">
        <f t="shared" ca="1" si="221"/>
        <v>46156</v>
      </c>
      <c r="AG955" s="225" t="b">
        <f t="shared" si="226"/>
        <v>1</v>
      </c>
      <c r="AH955" s="242" t="str">
        <f t="shared" si="227"/>
        <v/>
      </c>
      <c r="AK955" s="223">
        <f t="shared" si="228"/>
        <v>0</v>
      </c>
      <c r="AL955" s="223">
        <f t="shared" si="229"/>
        <v>1900</v>
      </c>
      <c r="AS955" s="223">
        <f t="shared" si="230"/>
        <v>0</v>
      </c>
      <c r="AT955" s="223">
        <f t="shared" si="231"/>
        <v>0</v>
      </c>
    </row>
    <row r="956" spans="2:46" ht="15.75" x14ac:dyDescent="0.25">
      <c r="B956" s="229"/>
      <c r="C956" s="235"/>
      <c r="D956" s="243"/>
      <c r="E956" s="232"/>
      <c r="F956" s="435"/>
      <c r="G956" s="234"/>
      <c r="H956" s="235"/>
      <c r="I956" s="235"/>
      <c r="J956" s="440"/>
      <c r="K956" s="443">
        <f ca="1">ROUND(IF(ISERROR(OFFSET(Tabella!$A$1,MATCH(H956,Tabella!$A:$A,0)-1,MATCH(J956,Tabella!$A$1:$AC$1,0)-1)=TRUE),0,+OFFSET(Tabella!$A$1,MATCH(H956,Tabella!$A:$A,0)-1,MATCH(J956,Tabella!$A$1:$AC$1,0)-1)),4)</f>
        <v>0</v>
      </c>
      <c r="L956" s="446">
        <f ca="1">ROUND(IF(ISERROR(OFFSET(Ottone!$A$1,MATCH(H956,Ottone!$A:$A,0)-1,MATCH(J956,Ottone!$A$1:$Z$1,0)-1)=TRUE),0,OFFSET(Ottone!$A$1,MATCH(H956,Ottone!$A:$A,0)-1,MATCH(J956,Ottone!$A$1:$Z$1,0)-1))*IF(E956="Ottone",1,0),4)</f>
        <v>0</v>
      </c>
      <c r="M956" s="446">
        <f ca="1">ROUND(IF(ISERROR(OFFSET(Rame!$A$1,MATCH(H956,Rame!$A:$A,0)-1,MATCH(J956,Rame!$A$1:$AA$1,0)-1)=TRUE),0,OFFSET(Rame!$A$1,MATCH(H956,Rame!$A:$A,0)-1,MATCH(J956,Rame!$A$1:$AA$1,0)-1))*IF(E956="Rame",1,0),4)</f>
        <v>0</v>
      </c>
      <c r="N956" s="446">
        <v>0</v>
      </c>
      <c r="O956" s="446">
        <f t="shared" ca="1" si="232"/>
        <v>0</v>
      </c>
      <c r="P956" s="446">
        <f ca="1">ROUND(+IF(ISERROR(OFFSET(Tabella!$G$1,MATCH(H956,Tabella!$G:$G,0)-1,MATCH(I956,Tabella!$G$1:$FG$1,0)-1)=TRUE),0,OFFSET(Tabella!$G$1,MATCH(H956,Tabella!$G:$G,0)-1,MATCH(I956,Tabella!$G$1:$AB$1,0)-1)),4)</f>
        <v>0</v>
      </c>
      <c r="Q956" s="446">
        <f ca="1">ROUND(IF(ISERROR(OFFSET(Ottone!$F$1,MATCH(H956,Ottone!$A:$A,0)-1,MATCH(I956,Ottone!$F$1:$FF$1,0)-1)=TRUE),0,OFFSET(Ottone!$F$1,MATCH(H956,Ottone!$A:$A,0)-1,MATCH(I956,Ottone!$F$1:$FF$1,0)-1))*IF(E956="Ottone",1,0),4)</f>
        <v>0</v>
      </c>
      <c r="R956" s="446">
        <f ca="1">ROUND(IF(ISERROR(OFFSET(Rame!$F$1,MATCH(H956,Rame!$F:$F,0)-1,MATCH(I956,Rame!$F$1:$FF$1,0)-1)=TRUE),0,OFFSET(Rame!$F$1,MATCH(H956,Rame!$F:$F,0)-1,MATCH(I956,Rame!$F$1:$FF$1,0)-1))*IF(E956="Rame",1,0),4)</f>
        <v>0</v>
      </c>
      <c r="S956" s="446">
        <f ca="1">ROUND(IF(ISERROR(OFFSET(Bronzo!$A$1,MATCH(H956,Bronzo!$A:$A,0)-1,MATCH(I956,Bronzo!$A$1:$AA$1,0)-1)=TRUE),0,OFFSET(Bronzo!$A$1,MATCH(H956,Bronzo!$A:$A,0)-1,MATCH(I956,Bronzo!$A$1:$AA$1,0)-1)),4)</f>
        <v>0</v>
      </c>
      <c r="T956" s="446">
        <f t="shared" ca="1" si="223"/>
        <v>0</v>
      </c>
      <c r="U956" s="443"/>
      <c r="V956" s="446">
        <v>0</v>
      </c>
      <c r="W956" s="449">
        <f t="shared" ca="1" si="224"/>
        <v>0</v>
      </c>
      <c r="X956" s="452">
        <f t="shared" si="222"/>
        <v>0</v>
      </c>
      <c r="Y956" s="440"/>
      <c r="Z956" s="440">
        <f t="shared" ca="1" si="225"/>
        <v>0</v>
      </c>
      <c r="AA956" s="241"/>
      <c r="AF956" s="225">
        <f t="shared" ca="1" si="221"/>
        <v>46156</v>
      </c>
      <c r="AG956" s="225" t="b">
        <f t="shared" si="226"/>
        <v>1</v>
      </c>
      <c r="AH956" s="242" t="str">
        <f t="shared" si="227"/>
        <v/>
      </c>
      <c r="AK956" s="223">
        <f t="shared" si="228"/>
        <v>0</v>
      </c>
      <c r="AL956" s="223">
        <f t="shared" si="229"/>
        <v>1900</v>
      </c>
      <c r="AS956" s="223">
        <f t="shared" si="230"/>
        <v>0</v>
      </c>
      <c r="AT956" s="223">
        <f t="shared" si="231"/>
        <v>0</v>
      </c>
    </row>
    <row r="957" spans="2:46" ht="15.75" x14ac:dyDescent="0.25">
      <c r="B957" s="229"/>
      <c r="C957" s="235"/>
      <c r="D957" s="243"/>
      <c r="E957" s="232"/>
      <c r="F957" s="435"/>
      <c r="G957" s="234"/>
      <c r="H957" s="235"/>
      <c r="I957" s="235"/>
      <c r="J957" s="440"/>
      <c r="K957" s="443">
        <f ca="1">ROUND(IF(ISERROR(OFFSET(Tabella!$A$1,MATCH(H957,Tabella!$A:$A,0)-1,MATCH(J957,Tabella!$A$1:$AC$1,0)-1)=TRUE),0,+OFFSET(Tabella!$A$1,MATCH(H957,Tabella!$A:$A,0)-1,MATCH(J957,Tabella!$A$1:$AC$1,0)-1)),4)</f>
        <v>0</v>
      </c>
      <c r="L957" s="446">
        <f ca="1">ROUND(IF(ISERROR(OFFSET(Ottone!$A$1,MATCH(H957,Ottone!$A:$A,0)-1,MATCH(J957,Ottone!$A$1:$Z$1,0)-1)=TRUE),0,OFFSET(Ottone!$A$1,MATCH(H957,Ottone!$A:$A,0)-1,MATCH(J957,Ottone!$A$1:$Z$1,0)-1))*IF(E957="Ottone",1,0),4)</f>
        <v>0</v>
      </c>
      <c r="M957" s="446">
        <f ca="1">ROUND(IF(ISERROR(OFFSET(Rame!$A$1,MATCH(H957,Rame!$A:$A,0)-1,MATCH(J957,Rame!$A$1:$AA$1,0)-1)=TRUE),0,OFFSET(Rame!$A$1,MATCH(H957,Rame!$A:$A,0)-1,MATCH(J957,Rame!$A$1:$AA$1,0)-1))*IF(E957="Rame",1,0),4)</f>
        <v>0</v>
      </c>
      <c r="N957" s="446">
        <v>0</v>
      </c>
      <c r="O957" s="446">
        <f t="shared" ca="1" si="232"/>
        <v>0</v>
      </c>
      <c r="P957" s="446">
        <f ca="1">ROUND(+IF(ISERROR(OFFSET(Tabella!$G$1,MATCH(H957,Tabella!$G:$G,0)-1,MATCH(I957,Tabella!$G$1:$FG$1,0)-1)=TRUE),0,OFFSET(Tabella!$G$1,MATCH(H957,Tabella!$G:$G,0)-1,MATCH(I957,Tabella!$G$1:$AB$1,0)-1)),4)</f>
        <v>0</v>
      </c>
      <c r="Q957" s="446">
        <f ca="1">ROUND(IF(ISERROR(OFFSET(Ottone!$F$1,MATCH(H957,Ottone!$A:$A,0)-1,MATCH(I957,Ottone!$F$1:$FF$1,0)-1)=TRUE),0,OFFSET(Ottone!$F$1,MATCH(H957,Ottone!$A:$A,0)-1,MATCH(I957,Ottone!$F$1:$FF$1,0)-1))*IF(E957="Ottone",1,0),4)</f>
        <v>0</v>
      </c>
      <c r="R957" s="446">
        <f ca="1">ROUND(IF(ISERROR(OFFSET(Rame!$F$1,MATCH(H957,Rame!$F:$F,0)-1,MATCH(I957,Rame!$F$1:$FF$1,0)-1)=TRUE),0,OFFSET(Rame!$F$1,MATCH(H957,Rame!$F:$F,0)-1,MATCH(I957,Rame!$F$1:$FF$1,0)-1))*IF(E957="Rame",1,0),4)</f>
        <v>0</v>
      </c>
      <c r="S957" s="446">
        <f ca="1">ROUND(IF(ISERROR(OFFSET(Bronzo!$A$1,MATCH(H957,Bronzo!$A:$A,0)-1,MATCH(I957,Bronzo!$A$1:$AA$1,0)-1)=TRUE),0,OFFSET(Bronzo!$A$1,MATCH(H957,Bronzo!$A:$A,0)-1,MATCH(I957,Bronzo!$A$1:$AA$1,0)-1)),4)</f>
        <v>0</v>
      </c>
      <c r="T957" s="446">
        <f t="shared" ca="1" si="223"/>
        <v>0</v>
      </c>
      <c r="U957" s="443"/>
      <c r="V957" s="446">
        <v>0</v>
      </c>
      <c r="W957" s="449">
        <f t="shared" ca="1" si="224"/>
        <v>0</v>
      </c>
      <c r="X957" s="452">
        <f t="shared" si="222"/>
        <v>0</v>
      </c>
      <c r="Y957" s="440"/>
      <c r="Z957" s="440">
        <f t="shared" ca="1" si="225"/>
        <v>0</v>
      </c>
      <c r="AA957" s="241"/>
      <c r="AF957" s="225">
        <f t="shared" ca="1" si="221"/>
        <v>46156</v>
      </c>
      <c r="AG957" s="225" t="b">
        <f t="shared" si="226"/>
        <v>1</v>
      </c>
      <c r="AH957" s="242" t="str">
        <f t="shared" si="227"/>
        <v/>
      </c>
      <c r="AK957" s="223">
        <f t="shared" si="228"/>
        <v>0</v>
      </c>
      <c r="AL957" s="223">
        <f t="shared" si="229"/>
        <v>1900</v>
      </c>
      <c r="AS957" s="223">
        <f t="shared" si="230"/>
        <v>0</v>
      </c>
      <c r="AT957" s="223">
        <f t="shared" si="231"/>
        <v>0</v>
      </c>
    </row>
    <row r="958" spans="2:46" ht="15.75" x14ac:dyDescent="0.25">
      <c r="B958" s="229"/>
      <c r="C958" s="235"/>
      <c r="D958" s="243"/>
      <c r="E958" s="232"/>
      <c r="F958" s="435"/>
      <c r="G958" s="234"/>
      <c r="H958" s="235"/>
      <c r="I958" s="235"/>
      <c r="J958" s="440"/>
      <c r="K958" s="443">
        <f ca="1">ROUND(IF(ISERROR(OFFSET(Tabella!$A$1,MATCH(H958,Tabella!$A:$A,0)-1,MATCH(J958,Tabella!$A$1:$AC$1,0)-1)=TRUE),0,+OFFSET(Tabella!$A$1,MATCH(H958,Tabella!$A:$A,0)-1,MATCH(J958,Tabella!$A$1:$AC$1,0)-1)),4)</f>
        <v>0</v>
      </c>
      <c r="L958" s="446">
        <f ca="1">ROUND(IF(ISERROR(OFFSET(Ottone!$A$1,MATCH(H958,Ottone!$A:$A,0)-1,MATCH(J958,Ottone!$A$1:$Z$1,0)-1)=TRUE),0,OFFSET(Ottone!$A$1,MATCH(H958,Ottone!$A:$A,0)-1,MATCH(J958,Ottone!$A$1:$Z$1,0)-1))*IF(E958="Ottone",1,0),4)</f>
        <v>0</v>
      </c>
      <c r="M958" s="446">
        <f ca="1">ROUND(IF(ISERROR(OFFSET(Rame!$A$1,MATCH(H958,Rame!$A:$A,0)-1,MATCH(J958,Rame!$A$1:$AA$1,0)-1)=TRUE),0,OFFSET(Rame!$A$1,MATCH(H958,Rame!$A:$A,0)-1,MATCH(J958,Rame!$A$1:$AA$1,0)-1))*IF(E958="Rame",1,0),4)</f>
        <v>0</v>
      </c>
      <c r="N958" s="446">
        <v>0</v>
      </c>
      <c r="O958" s="446">
        <f t="shared" ca="1" si="232"/>
        <v>0</v>
      </c>
      <c r="P958" s="446">
        <f ca="1">ROUND(+IF(ISERROR(OFFSET(Tabella!$G$1,MATCH(H958,Tabella!$G:$G,0)-1,MATCH(I958,Tabella!$G$1:$FG$1,0)-1)=TRUE),0,OFFSET(Tabella!$G$1,MATCH(H958,Tabella!$G:$G,0)-1,MATCH(I958,Tabella!$G$1:$AB$1,0)-1)),4)</f>
        <v>0</v>
      </c>
      <c r="Q958" s="446">
        <f ca="1">ROUND(IF(ISERROR(OFFSET(Ottone!$F$1,MATCH(H958,Ottone!$A:$A,0)-1,MATCH(I958,Ottone!$F$1:$FF$1,0)-1)=TRUE),0,OFFSET(Ottone!$F$1,MATCH(H958,Ottone!$A:$A,0)-1,MATCH(I958,Ottone!$F$1:$FF$1,0)-1))*IF(E958="Ottone",1,0),4)</f>
        <v>0</v>
      </c>
      <c r="R958" s="446">
        <f ca="1">ROUND(IF(ISERROR(OFFSET(Rame!$F$1,MATCH(H958,Rame!$F:$F,0)-1,MATCH(I958,Rame!$F$1:$FF$1,0)-1)=TRUE),0,OFFSET(Rame!$F$1,MATCH(H958,Rame!$F:$F,0)-1,MATCH(I958,Rame!$F$1:$FF$1,0)-1))*IF(E958="Rame",1,0),4)</f>
        <v>0</v>
      </c>
      <c r="S958" s="446">
        <f ca="1">ROUND(IF(ISERROR(OFFSET(Bronzo!$A$1,MATCH(H958,Bronzo!$A:$A,0)-1,MATCH(I958,Bronzo!$A$1:$AA$1,0)-1)=TRUE),0,OFFSET(Bronzo!$A$1,MATCH(H958,Bronzo!$A:$A,0)-1,MATCH(I958,Bronzo!$A$1:$AA$1,0)-1)),4)</f>
        <v>0</v>
      </c>
      <c r="T958" s="446">
        <f t="shared" ca="1" si="223"/>
        <v>0</v>
      </c>
      <c r="U958" s="443"/>
      <c r="V958" s="446">
        <v>0</v>
      </c>
      <c r="W958" s="449">
        <f t="shared" ca="1" si="224"/>
        <v>0</v>
      </c>
      <c r="X958" s="452">
        <f t="shared" si="222"/>
        <v>0</v>
      </c>
      <c r="Y958" s="440"/>
      <c r="Z958" s="440">
        <f t="shared" ca="1" si="225"/>
        <v>0</v>
      </c>
      <c r="AA958" s="241"/>
      <c r="AF958" s="225">
        <f t="shared" ca="1" si="221"/>
        <v>46156</v>
      </c>
      <c r="AG958" s="225" t="b">
        <f t="shared" si="226"/>
        <v>1</v>
      </c>
      <c r="AH958" s="242" t="str">
        <f t="shared" si="227"/>
        <v/>
      </c>
      <c r="AK958" s="223">
        <f t="shared" si="228"/>
        <v>0</v>
      </c>
      <c r="AL958" s="223">
        <f t="shared" si="229"/>
        <v>1900</v>
      </c>
      <c r="AS958" s="223">
        <f t="shared" si="230"/>
        <v>0</v>
      </c>
      <c r="AT958" s="223">
        <f t="shared" si="231"/>
        <v>0</v>
      </c>
    </row>
    <row r="959" spans="2:46" ht="15.75" x14ac:dyDescent="0.25">
      <c r="B959" s="229"/>
      <c r="C959" s="235"/>
      <c r="D959" s="243"/>
      <c r="E959" s="232"/>
      <c r="F959" s="435"/>
      <c r="G959" s="234"/>
      <c r="H959" s="235"/>
      <c r="I959" s="235"/>
      <c r="J959" s="440"/>
      <c r="K959" s="443">
        <f ca="1">ROUND(IF(ISERROR(OFFSET(Tabella!$A$1,MATCH(H959,Tabella!$A:$A,0)-1,MATCH(J959,Tabella!$A$1:$AC$1,0)-1)=TRUE),0,+OFFSET(Tabella!$A$1,MATCH(H959,Tabella!$A:$A,0)-1,MATCH(J959,Tabella!$A$1:$AC$1,0)-1)),4)</f>
        <v>0</v>
      </c>
      <c r="L959" s="446">
        <f ca="1">ROUND(IF(ISERROR(OFFSET(Ottone!$A$1,MATCH(H959,Ottone!$A:$A,0)-1,MATCH(J959,Ottone!$A$1:$Z$1,0)-1)=TRUE),0,OFFSET(Ottone!$A$1,MATCH(H959,Ottone!$A:$A,0)-1,MATCH(J959,Ottone!$A$1:$Z$1,0)-1))*IF(E959="Ottone",1,0),4)</f>
        <v>0</v>
      </c>
      <c r="M959" s="446">
        <f ca="1">ROUND(IF(ISERROR(OFFSET(Rame!$A$1,MATCH(H959,Rame!$A:$A,0)-1,MATCH(J959,Rame!$A$1:$AA$1,0)-1)=TRUE),0,OFFSET(Rame!$A$1,MATCH(H959,Rame!$A:$A,0)-1,MATCH(J959,Rame!$A$1:$AA$1,0)-1))*IF(E959="Rame",1,0),4)</f>
        <v>0</v>
      </c>
      <c r="N959" s="446">
        <v>0</v>
      </c>
      <c r="O959" s="446">
        <f t="shared" ca="1" si="232"/>
        <v>0</v>
      </c>
      <c r="P959" s="446">
        <f ca="1">ROUND(+IF(ISERROR(OFFSET(Tabella!$G$1,MATCH(H959,Tabella!$G:$G,0)-1,MATCH(I959,Tabella!$G$1:$FG$1,0)-1)=TRUE),0,OFFSET(Tabella!$G$1,MATCH(H959,Tabella!$G:$G,0)-1,MATCH(I959,Tabella!$G$1:$AB$1,0)-1)),4)</f>
        <v>0</v>
      </c>
      <c r="Q959" s="446">
        <f ca="1">ROUND(IF(ISERROR(OFFSET(Ottone!$F$1,MATCH(H959,Ottone!$A:$A,0)-1,MATCH(I959,Ottone!$F$1:$FF$1,0)-1)=TRUE),0,OFFSET(Ottone!$F$1,MATCH(H959,Ottone!$A:$A,0)-1,MATCH(I959,Ottone!$F$1:$FF$1,0)-1))*IF(E959="Ottone",1,0),4)</f>
        <v>0</v>
      </c>
      <c r="R959" s="446">
        <f ca="1">ROUND(IF(ISERROR(OFFSET(Rame!$F$1,MATCH(H959,Rame!$F:$F,0)-1,MATCH(I959,Rame!$F$1:$FF$1,0)-1)=TRUE),0,OFFSET(Rame!$F$1,MATCH(H959,Rame!$F:$F,0)-1,MATCH(I959,Rame!$F$1:$FF$1,0)-1))*IF(E959="Rame",1,0),4)</f>
        <v>0</v>
      </c>
      <c r="S959" s="446">
        <f ca="1">ROUND(IF(ISERROR(OFFSET(Bronzo!$A$1,MATCH(H959,Bronzo!$A:$A,0)-1,MATCH(I959,Bronzo!$A$1:$AA$1,0)-1)=TRUE),0,OFFSET(Bronzo!$A$1,MATCH(H959,Bronzo!$A:$A,0)-1,MATCH(I959,Bronzo!$A$1:$AA$1,0)-1)),4)</f>
        <v>0</v>
      </c>
      <c r="T959" s="446">
        <f t="shared" ca="1" si="223"/>
        <v>0</v>
      </c>
      <c r="U959" s="443"/>
      <c r="V959" s="446">
        <v>0</v>
      </c>
      <c r="W959" s="449">
        <f t="shared" ca="1" si="224"/>
        <v>0</v>
      </c>
      <c r="X959" s="452">
        <f t="shared" si="222"/>
        <v>0</v>
      </c>
      <c r="Y959" s="440"/>
      <c r="Z959" s="440">
        <f t="shared" ca="1" si="225"/>
        <v>0</v>
      </c>
      <c r="AA959" s="241"/>
      <c r="AF959" s="225">
        <f t="shared" ca="1" si="221"/>
        <v>46156</v>
      </c>
      <c r="AG959" s="225" t="b">
        <f t="shared" si="226"/>
        <v>1</v>
      </c>
      <c r="AH959" s="242" t="str">
        <f t="shared" si="227"/>
        <v/>
      </c>
      <c r="AK959" s="223">
        <f t="shared" si="228"/>
        <v>0</v>
      </c>
      <c r="AL959" s="223">
        <f t="shared" si="229"/>
        <v>1900</v>
      </c>
      <c r="AS959" s="223">
        <f t="shared" si="230"/>
        <v>0</v>
      </c>
      <c r="AT959" s="223">
        <f t="shared" si="231"/>
        <v>0</v>
      </c>
    </row>
    <row r="960" spans="2:46" ht="15.75" x14ac:dyDescent="0.25">
      <c r="B960" s="229"/>
      <c r="C960" s="235"/>
      <c r="D960" s="243"/>
      <c r="E960" s="232"/>
      <c r="F960" s="435"/>
      <c r="G960" s="234"/>
      <c r="H960" s="235"/>
      <c r="I960" s="235"/>
      <c r="J960" s="440"/>
      <c r="K960" s="443">
        <f ca="1">ROUND(IF(ISERROR(OFFSET(Tabella!$A$1,MATCH(H960,Tabella!$A:$A,0)-1,MATCH(J960,Tabella!$A$1:$AC$1,0)-1)=TRUE),0,+OFFSET(Tabella!$A$1,MATCH(H960,Tabella!$A:$A,0)-1,MATCH(J960,Tabella!$A$1:$AC$1,0)-1)),4)</f>
        <v>0</v>
      </c>
      <c r="L960" s="446">
        <f ca="1">ROUND(IF(ISERROR(OFFSET(Ottone!$A$1,MATCH(H960,Ottone!$A:$A,0)-1,MATCH(J960,Ottone!$A$1:$Z$1,0)-1)=TRUE),0,OFFSET(Ottone!$A$1,MATCH(H960,Ottone!$A:$A,0)-1,MATCH(J960,Ottone!$A$1:$Z$1,0)-1))*IF(E960="Ottone",1,0),4)</f>
        <v>0</v>
      </c>
      <c r="M960" s="446">
        <f ca="1">ROUND(IF(ISERROR(OFFSET(Rame!$A$1,MATCH(H960,Rame!$A:$A,0)-1,MATCH(J960,Rame!$A$1:$AA$1,0)-1)=TRUE),0,OFFSET(Rame!$A$1,MATCH(H960,Rame!$A:$A,0)-1,MATCH(J960,Rame!$A$1:$AA$1,0)-1))*IF(E960="Rame",1,0),4)</f>
        <v>0</v>
      </c>
      <c r="N960" s="446">
        <v>0</v>
      </c>
      <c r="O960" s="446">
        <f t="shared" ca="1" si="232"/>
        <v>0</v>
      </c>
      <c r="P960" s="446">
        <f ca="1">ROUND(+IF(ISERROR(OFFSET(Tabella!$G$1,MATCH(H960,Tabella!$G:$G,0)-1,MATCH(I960,Tabella!$G$1:$FG$1,0)-1)=TRUE),0,OFFSET(Tabella!$G$1,MATCH(H960,Tabella!$G:$G,0)-1,MATCH(I960,Tabella!$G$1:$AB$1,0)-1)),4)</f>
        <v>0</v>
      </c>
      <c r="Q960" s="446">
        <f ca="1">ROUND(IF(ISERROR(OFFSET(Ottone!$F$1,MATCH(H960,Ottone!$A:$A,0)-1,MATCH(I960,Ottone!$F$1:$FF$1,0)-1)=TRUE),0,OFFSET(Ottone!$F$1,MATCH(H960,Ottone!$A:$A,0)-1,MATCH(I960,Ottone!$F$1:$FF$1,0)-1))*IF(E960="Ottone",1,0),4)</f>
        <v>0</v>
      </c>
      <c r="R960" s="446">
        <f ca="1">ROUND(IF(ISERROR(OFFSET(Rame!$F$1,MATCH(H960,Rame!$F:$F,0)-1,MATCH(I960,Rame!$F$1:$FF$1,0)-1)=TRUE),0,OFFSET(Rame!$F$1,MATCH(H960,Rame!$F:$F,0)-1,MATCH(I960,Rame!$F$1:$FF$1,0)-1))*IF(E960="Rame",1,0),4)</f>
        <v>0</v>
      </c>
      <c r="S960" s="446">
        <f ca="1">ROUND(IF(ISERROR(OFFSET(Bronzo!$A$1,MATCH(H960,Bronzo!$A:$A,0)-1,MATCH(I960,Bronzo!$A$1:$AA$1,0)-1)=TRUE),0,OFFSET(Bronzo!$A$1,MATCH(H960,Bronzo!$A:$A,0)-1,MATCH(I960,Bronzo!$A$1:$AA$1,0)-1)),4)</f>
        <v>0</v>
      </c>
      <c r="T960" s="446">
        <f t="shared" ca="1" si="223"/>
        <v>0</v>
      </c>
      <c r="U960" s="443"/>
      <c r="V960" s="446">
        <v>0</v>
      </c>
      <c r="W960" s="449">
        <f t="shared" ca="1" si="224"/>
        <v>0</v>
      </c>
      <c r="X960" s="452">
        <f t="shared" si="222"/>
        <v>0</v>
      </c>
      <c r="Y960" s="440"/>
      <c r="Z960" s="440">
        <f t="shared" ca="1" si="225"/>
        <v>0</v>
      </c>
      <c r="AA960" s="241"/>
      <c r="AF960" s="225">
        <f t="shared" ca="1" si="221"/>
        <v>46156</v>
      </c>
      <c r="AG960" s="225" t="b">
        <f t="shared" si="226"/>
        <v>1</v>
      </c>
      <c r="AH960" s="242" t="str">
        <f t="shared" si="227"/>
        <v/>
      </c>
      <c r="AK960" s="223">
        <f t="shared" si="228"/>
        <v>0</v>
      </c>
      <c r="AL960" s="223">
        <f t="shared" si="229"/>
        <v>1900</v>
      </c>
      <c r="AS960" s="223">
        <f t="shared" si="230"/>
        <v>0</v>
      </c>
      <c r="AT960" s="223">
        <f t="shared" si="231"/>
        <v>0</v>
      </c>
    </row>
    <row r="961" spans="1:46" ht="15.75" x14ac:dyDescent="0.25">
      <c r="B961" s="229"/>
      <c r="C961" s="235"/>
      <c r="D961" s="243"/>
      <c r="E961" s="232"/>
      <c r="F961" s="435"/>
      <c r="G961" s="234"/>
      <c r="H961" s="235"/>
      <c r="I961" s="235"/>
      <c r="J961" s="440"/>
      <c r="K961" s="443">
        <f ca="1">ROUND(IF(ISERROR(OFFSET(Tabella!$A$1,MATCH(H961,Tabella!$A:$A,0)-1,MATCH(J961,Tabella!$A$1:$AC$1,0)-1)=TRUE),0,+OFFSET(Tabella!$A$1,MATCH(H961,Tabella!$A:$A,0)-1,MATCH(J961,Tabella!$A$1:$AC$1,0)-1)),4)</f>
        <v>0</v>
      </c>
      <c r="L961" s="446">
        <f ca="1">ROUND(IF(ISERROR(OFFSET(Ottone!$A$1,MATCH(H961,Ottone!$A:$A,0)-1,MATCH(J961,Ottone!$A$1:$Z$1,0)-1)=TRUE),0,OFFSET(Ottone!$A$1,MATCH(H961,Ottone!$A:$A,0)-1,MATCH(J961,Ottone!$A$1:$Z$1,0)-1))*IF(E961="Ottone",1,0),4)</f>
        <v>0</v>
      </c>
      <c r="M961" s="446">
        <f ca="1">ROUND(IF(ISERROR(OFFSET(Rame!$A$1,MATCH(H961,Rame!$A:$A,0)-1,MATCH(J961,Rame!$A$1:$AA$1,0)-1)=TRUE),0,OFFSET(Rame!$A$1,MATCH(H961,Rame!$A:$A,0)-1,MATCH(J961,Rame!$A$1:$AA$1,0)-1))*IF(E961="Rame",1,0),4)</f>
        <v>0</v>
      </c>
      <c r="N961" s="446">
        <v>0</v>
      </c>
      <c r="O961" s="446">
        <f t="shared" ca="1" si="232"/>
        <v>0</v>
      </c>
      <c r="P961" s="446">
        <f ca="1">ROUND(+IF(ISERROR(OFFSET(Tabella!$G$1,MATCH(H961,Tabella!$G:$G,0)-1,MATCH(I961,Tabella!$G$1:$FG$1,0)-1)=TRUE),0,OFFSET(Tabella!$G$1,MATCH(H961,Tabella!$G:$G,0)-1,MATCH(I961,Tabella!$G$1:$AB$1,0)-1)),4)</f>
        <v>0</v>
      </c>
      <c r="Q961" s="446">
        <f ca="1">ROUND(IF(ISERROR(OFFSET(Ottone!$F$1,MATCH(H961,Ottone!$A:$A,0)-1,MATCH(I961,Ottone!$F$1:$FF$1,0)-1)=TRUE),0,OFFSET(Ottone!$F$1,MATCH(H961,Ottone!$A:$A,0)-1,MATCH(I961,Ottone!$F$1:$FF$1,0)-1))*IF(E961="Ottone",1,0),4)</f>
        <v>0</v>
      </c>
      <c r="R961" s="446">
        <f ca="1">ROUND(IF(ISERROR(OFFSET(Rame!$F$1,MATCH(H961,Rame!$F:$F,0)-1,MATCH(I961,Rame!$F$1:$FF$1,0)-1)=TRUE),0,OFFSET(Rame!$F$1,MATCH(H961,Rame!$F:$F,0)-1,MATCH(I961,Rame!$F$1:$FF$1,0)-1))*IF(E961="Rame",1,0),4)</f>
        <v>0</v>
      </c>
      <c r="S961" s="446">
        <f ca="1">ROUND(IF(ISERROR(OFFSET(Bronzo!$A$1,MATCH(H961,Bronzo!$A:$A,0)-1,MATCH(I961,Bronzo!$A$1:$AA$1,0)-1)=TRUE),0,OFFSET(Bronzo!$A$1,MATCH(H961,Bronzo!$A:$A,0)-1,MATCH(I961,Bronzo!$A$1:$AA$1,0)-1)),4)</f>
        <v>0</v>
      </c>
      <c r="T961" s="446">
        <f t="shared" ca="1" si="223"/>
        <v>0</v>
      </c>
      <c r="U961" s="443"/>
      <c r="V961" s="446">
        <v>0</v>
      </c>
      <c r="W961" s="449">
        <f t="shared" ca="1" si="224"/>
        <v>0</v>
      </c>
      <c r="X961" s="452">
        <f t="shared" si="222"/>
        <v>0</v>
      </c>
      <c r="Y961" s="440"/>
      <c r="Z961" s="440">
        <f t="shared" ca="1" si="225"/>
        <v>0</v>
      </c>
      <c r="AA961" s="241"/>
      <c r="AF961" s="225">
        <f t="shared" ref="AF961:AF967" ca="1" si="233">TODAY()</f>
        <v>46156</v>
      </c>
      <c r="AG961" s="225" t="b">
        <f t="shared" si="226"/>
        <v>1</v>
      </c>
      <c r="AH961" s="242" t="str">
        <f t="shared" si="227"/>
        <v/>
      </c>
      <c r="AK961" s="223">
        <f t="shared" si="228"/>
        <v>0</v>
      </c>
      <c r="AL961" s="223">
        <f t="shared" si="229"/>
        <v>1900</v>
      </c>
      <c r="AS961" s="223">
        <f t="shared" si="230"/>
        <v>0</v>
      </c>
      <c r="AT961" s="223">
        <f t="shared" si="231"/>
        <v>0</v>
      </c>
    </row>
    <row r="962" spans="1:46" ht="15.75" x14ac:dyDescent="0.25">
      <c r="B962" s="229"/>
      <c r="C962" s="235"/>
      <c r="D962" s="243"/>
      <c r="E962" s="232"/>
      <c r="F962" s="435"/>
      <c r="G962" s="234"/>
      <c r="H962" s="235"/>
      <c r="I962" s="235"/>
      <c r="J962" s="440"/>
      <c r="K962" s="443">
        <f ca="1">ROUND(IF(ISERROR(OFFSET(Tabella!$A$1,MATCH(H962,Tabella!$A:$A,0)-1,MATCH(J962,Tabella!$A$1:$AC$1,0)-1)=TRUE),0,+OFFSET(Tabella!$A$1,MATCH(H962,Tabella!$A:$A,0)-1,MATCH(J962,Tabella!$A$1:$AC$1,0)-1)),4)</f>
        <v>0</v>
      </c>
      <c r="L962" s="446">
        <f ca="1">ROUND(IF(ISERROR(OFFSET(Ottone!$A$1,MATCH(H962,Ottone!$A:$A,0)-1,MATCH(J962,Ottone!$A$1:$Z$1,0)-1)=TRUE),0,OFFSET(Ottone!$A$1,MATCH(H962,Ottone!$A:$A,0)-1,MATCH(J962,Ottone!$A$1:$Z$1,0)-1))*IF(E962="Ottone",1,0),4)</f>
        <v>0</v>
      </c>
      <c r="M962" s="446">
        <f ca="1">ROUND(IF(ISERROR(OFFSET(Rame!$A$1,MATCH(H962,Rame!$A:$A,0)-1,MATCH(J962,Rame!$A$1:$AA$1,0)-1)=TRUE),0,OFFSET(Rame!$A$1,MATCH(H962,Rame!$A:$A,0)-1,MATCH(J962,Rame!$A$1:$AA$1,0)-1))*IF(E962="Rame",1,0),4)</f>
        <v>0</v>
      </c>
      <c r="N962" s="446">
        <v>0</v>
      </c>
      <c r="O962" s="446">
        <f t="shared" ca="1" si="232"/>
        <v>0</v>
      </c>
      <c r="P962" s="446">
        <f ca="1">ROUND(+IF(ISERROR(OFFSET(Tabella!$G$1,MATCH(H962,Tabella!$G:$G,0)-1,MATCH(I962,Tabella!$G$1:$FG$1,0)-1)=TRUE),0,OFFSET(Tabella!$G$1,MATCH(H962,Tabella!$G:$G,0)-1,MATCH(I962,Tabella!$G$1:$AB$1,0)-1)),4)</f>
        <v>0</v>
      </c>
      <c r="Q962" s="446">
        <f ca="1">ROUND(IF(ISERROR(OFFSET(Ottone!$F$1,MATCH(H962,Ottone!$A:$A,0)-1,MATCH(I962,Ottone!$F$1:$FF$1,0)-1)=TRUE),0,OFFSET(Ottone!$F$1,MATCH(H962,Ottone!$A:$A,0)-1,MATCH(I962,Ottone!$F$1:$FF$1,0)-1))*IF(E962="Ottone",1,0),4)</f>
        <v>0</v>
      </c>
      <c r="R962" s="446">
        <f ca="1">ROUND(IF(ISERROR(OFFSET(Rame!$F$1,MATCH(H962,Rame!$F:$F,0)-1,MATCH(I962,Rame!$F$1:$FF$1,0)-1)=TRUE),0,OFFSET(Rame!$F$1,MATCH(H962,Rame!$F:$F,0)-1,MATCH(I962,Rame!$F$1:$FF$1,0)-1))*IF(E962="Rame",1,0),4)</f>
        <v>0</v>
      </c>
      <c r="S962" s="446">
        <f ca="1">ROUND(IF(ISERROR(OFFSET(Bronzo!$A$1,MATCH(H962,Bronzo!$A:$A,0)-1,MATCH(I962,Bronzo!$A$1:$AA$1,0)-1)=TRUE),0,OFFSET(Bronzo!$A$1,MATCH(H962,Bronzo!$A:$A,0)-1,MATCH(I962,Bronzo!$A$1:$AA$1,0)-1)),4)</f>
        <v>0</v>
      </c>
      <c r="T962" s="446">
        <f t="shared" ca="1" si="223"/>
        <v>0</v>
      </c>
      <c r="U962" s="443"/>
      <c r="V962" s="446">
        <v>0</v>
      </c>
      <c r="W962" s="449">
        <f t="shared" ca="1" si="224"/>
        <v>0</v>
      </c>
      <c r="X962" s="452">
        <f t="shared" si="222"/>
        <v>0</v>
      </c>
      <c r="Y962" s="440"/>
      <c r="Z962" s="440">
        <f t="shared" ca="1" si="225"/>
        <v>0</v>
      </c>
      <c r="AA962" s="241"/>
      <c r="AF962" s="225">
        <f t="shared" ca="1" si="233"/>
        <v>46156</v>
      </c>
      <c r="AG962" s="225" t="b">
        <f t="shared" si="226"/>
        <v>1</v>
      </c>
      <c r="AH962" s="242" t="str">
        <f t="shared" si="227"/>
        <v/>
      </c>
      <c r="AK962" s="223">
        <f t="shared" si="228"/>
        <v>0</v>
      </c>
      <c r="AL962" s="223">
        <f t="shared" si="229"/>
        <v>1900</v>
      </c>
      <c r="AS962" s="223">
        <f t="shared" si="230"/>
        <v>0</v>
      </c>
      <c r="AT962" s="223">
        <f t="shared" si="231"/>
        <v>0</v>
      </c>
    </row>
    <row r="963" spans="1:46" ht="15.75" x14ac:dyDescent="0.25">
      <c r="B963" s="229"/>
      <c r="C963" s="235"/>
      <c r="D963" s="243"/>
      <c r="E963" s="232"/>
      <c r="F963" s="435"/>
      <c r="G963" s="234"/>
      <c r="H963" s="235"/>
      <c r="I963" s="235"/>
      <c r="J963" s="440"/>
      <c r="K963" s="443">
        <f ca="1">ROUND(IF(ISERROR(OFFSET(Tabella!$A$1,MATCH(H963,Tabella!$A:$A,0)-1,MATCH(J963,Tabella!$A$1:$AC$1,0)-1)=TRUE),0,+OFFSET(Tabella!$A$1,MATCH(H963,Tabella!$A:$A,0)-1,MATCH(J963,Tabella!$A$1:$AC$1,0)-1)),4)</f>
        <v>0</v>
      </c>
      <c r="L963" s="446">
        <f ca="1">ROUND(IF(ISERROR(OFFSET(Ottone!$A$1,MATCH(H963,Ottone!$A:$A,0)-1,MATCH(J963,Ottone!$A$1:$Z$1,0)-1)=TRUE),0,OFFSET(Ottone!$A$1,MATCH(H963,Ottone!$A:$A,0)-1,MATCH(J963,Ottone!$A$1:$Z$1,0)-1))*IF(E963="Ottone",1,0),4)</f>
        <v>0</v>
      </c>
      <c r="M963" s="446">
        <f ca="1">ROUND(IF(ISERROR(OFFSET(Rame!$A$1,MATCH(H963,Rame!$A:$A,0)-1,MATCH(J963,Rame!$A$1:$AA$1,0)-1)=TRUE),0,OFFSET(Rame!$A$1,MATCH(H963,Rame!$A:$A,0)-1,MATCH(J963,Rame!$A$1:$AA$1,0)-1))*IF(E963="Rame",1,0),4)</f>
        <v>0</v>
      </c>
      <c r="N963" s="446">
        <v>0</v>
      </c>
      <c r="O963" s="446">
        <f t="shared" ca="1" si="232"/>
        <v>0</v>
      </c>
      <c r="P963" s="446">
        <f ca="1">ROUND(+IF(ISERROR(OFFSET(Tabella!$G$1,MATCH(H963,Tabella!$G:$G,0)-1,MATCH(I963,Tabella!$G$1:$FG$1,0)-1)=TRUE),0,OFFSET(Tabella!$G$1,MATCH(H963,Tabella!$G:$G,0)-1,MATCH(I963,Tabella!$G$1:$AB$1,0)-1)),4)</f>
        <v>0</v>
      </c>
      <c r="Q963" s="446">
        <f ca="1">ROUND(IF(ISERROR(OFFSET(Ottone!$F$1,MATCH(H963,Ottone!$A:$A,0)-1,MATCH(I963,Ottone!$F$1:$FF$1,0)-1)=TRUE),0,OFFSET(Ottone!$F$1,MATCH(H963,Ottone!$A:$A,0)-1,MATCH(I963,Ottone!$F$1:$FF$1,0)-1))*IF(E963="Ottone",1,0),4)</f>
        <v>0</v>
      </c>
      <c r="R963" s="446">
        <f ca="1">ROUND(IF(ISERROR(OFFSET(Rame!$F$1,MATCH(H963,Rame!$F:$F,0)-1,MATCH(I963,Rame!$F$1:$FF$1,0)-1)=TRUE),0,OFFSET(Rame!$F$1,MATCH(H963,Rame!$F:$F,0)-1,MATCH(I963,Rame!$F$1:$FF$1,0)-1))*IF(E963="Rame",1,0),4)</f>
        <v>0</v>
      </c>
      <c r="S963" s="446">
        <f ca="1">ROUND(IF(ISERROR(OFFSET(Bronzo!$A$1,MATCH(H963,Bronzo!$A:$A,0)-1,MATCH(I963,Bronzo!$A$1:$AA$1,0)-1)=TRUE),0,OFFSET(Bronzo!$A$1,MATCH(H963,Bronzo!$A:$A,0)-1,MATCH(I963,Bronzo!$A$1:$AA$1,0)-1)),4)</f>
        <v>0</v>
      </c>
      <c r="T963" s="446">
        <f t="shared" ca="1" si="223"/>
        <v>0</v>
      </c>
      <c r="U963" s="443"/>
      <c r="V963" s="446">
        <v>0</v>
      </c>
      <c r="W963" s="449">
        <f t="shared" ca="1" si="224"/>
        <v>0</v>
      </c>
      <c r="X963" s="452">
        <f t="shared" si="222"/>
        <v>0</v>
      </c>
      <c r="Y963" s="440"/>
      <c r="Z963" s="440">
        <f t="shared" ca="1" si="225"/>
        <v>0</v>
      </c>
      <c r="AA963" s="241"/>
      <c r="AF963" s="225">
        <f t="shared" ca="1" si="233"/>
        <v>46156</v>
      </c>
      <c r="AG963" s="225" t="b">
        <f t="shared" si="226"/>
        <v>1</v>
      </c>
      <c r="AH963" s="242" t="str">
        <f t="shared" si="227"/>
        <v/>
      </c>
      <c r="AK963" s="223">
        <f t="shared" si="228"/>
        <v>0</v>
      </c>
      <c r="AL963" s="223">
        <f t="shared" si="229"/>
        <v>1900</v>
      </c>
      <c r="AS963" s="223">
        <f t="shared" si="230"/>
        <v>0</v>
      </c>
      <c r="AT963" s="223">
        <f t="shared" si="231"/>
        <v>0</v>
      </c>
    </row>
    <row r="964" spans="1:46" ht="15.75" x14ac:dyDescent="0.25">
      <c r="B964" s="229"/>
      <c r="C964" s="235"/>
      <c r="D964" s="243"/>
      <c r="E964" s="232"/>
      <c r="F964" s="435"/>
      <c r="G964" s="234"/>
      <c r="H964" s="235"/>
      <c r="I964" s="235"/>
      <c r="J964" s="440"/>
      <c r="K964" s="443">
        <f ca="1">ROUND(IF(ISERROR(OFFSET(Tabella!$A$1,MATCH(H964,Tabella!$A:$A,0)-1,MATCH(J964,Tabella!$A$1:$AC$1,0)-1)=TRUE),0,+OFFSET(Tabella!$A$1,MATCH(H964,Tabella!$A:$A,0)-1,MATCH(J964,Tabella!$A$1:$AC$1,0)-1)),4)</f>
        <v>0</v>
      </c>
      <c r="L964" s="446">
        <f ca="1">ROUND(IF(ISERROR(OFFSET(Ottone!$A$1,MATCH(H964,Ottone!$A:$A,0)-1,MATCH(J964,Ottone!$A$1:$Z$1,0)-1)=TRUE),0,OFFSET(Ottone!$A$1,MATCH(H964,Ottone!$A:$A,0)-1,MATCH(J964,Ottone!$A$1:$Z$1,0)-1))*IF(E964="Ottone",1,0),4)</f>
        <v>0</v>
      </c>
      <c r="M964" s="446">
        <f ca="1">ROUND(IF(ISERROR(OFFSET(Rame!$A$1,MATCH(H964,Rame!$A:$A,0)-1,MATCH(J964,Rame!$A$1:$AA$1,0)-1)=TRUE),0,OFFSET(Rame!$A$1,MATCH(H964,Rame!$A:$A,0)-1,MATCH(J964,Rame!$A$1:$AA$1,0)-1))*IF(E964="Rame",1,0),4)</f>
        <v>0</v>
      </c>
      <c r="N964" s="446">
        <v>0</v>
      </c>
      <c r="O964" s="446">
        <f t="shared" ca="1" si="232"/>
        <v>0</v>
      </c>
      <c r="P964" s="446">
        <f ca="1">ROUND(+IF(ISERROR(OFFSET(Tabella!$G$1,MATCH(H964,Tabella!$G:$G,0)-1,MATCH(I964,Tabella!$G$1:$FG$1,0)-1)=TRUE),0,OFFSET(Tabella!$G$1,MATCH(H964,Tabella!$G:$G,0)-1,MATCH(I964,Tabella!$G$1:$AB$1,0)-1)),4)</f>
        <v>0</v>
      </c>
      <c r="Q964" s="446">
        <f ca="1">ROUND(IF(ISERROR(OFFSET(Ottone!$F$1,MATCH(H964,Ottone!$A:$A,0)-1,MATCH(I964,Ottone!$F$1:$FF$1,0)-1)=TRUE),0,OFFSET(Ottone!$F$1,MATCH(H964,Ottone!$A:$A,0)-1,MATCH(I964,Ottone!$F$1:$FF$1,0)-1))*IF(E964="Ottone",1,0),4)</f>
        <v>0</v>
      </c>
      <c r="R964" s="446">
        <f ca="1">ROUND(IF(ISERROR(OFFSET(Rame!$F$1,MATCH(H964,Rame!$F:$F,0)-1,MATCH(I964,Rame!$F$1:$FF$1,0)-1)=TRUE),0,OFFSET(Rame!$F$1,MATCH(H964,Rame!$F:$F,0)-1,MATCH(I964,Rame!$F$1:$FF$1,0)-1))*IF(E964="Rame",1,0),4)</f>
        <v>0</v>
      </c>
      <c r="S964" s="446">
        <f ca="1">ROUND(IF(ISERROR(OFFSET(Bronzo!$A$1,MATCH(H964,Bronzo!$A:$A,0)-1,MATCH(I964,Bronzo!$A$1:$AA$1,0)-1)=TRUE),0,OFFSET(Bronzo!$A$1,MATCH(H964,Bronzo!$A:$A,0)-1,MATCH(I964,Bronzo!$A$1:$AA$1,0)-1)),4)</f>
        <v>0</v>
      </c>
      <c r="T964" s="446">
        <f t="shared" ca="1" si="223"/>
        <v>0</v>
      </c>
      <c r="U964" s="443"/>
      <c r="V964" s="446">
        <v>0</v>
      </c>
      <c r="W964" s="449">
        <f t="shared" ca="1" si="224"/>
        <v>0</v>
      </c>
      <c r="X964" s="452">
        <f t="shared" si="222"/>
        <v>0</v>
      </c>
      <c r="Y964" s="440"/>
      <c r="Z964" s="440">
        <f t="shared" ca="1" si="225"/>
        <v>0</v>
      </c>
      <c r="AA964" s="241"/>
      <c r="AF964" s="225">
        <f t="shared" ca="1" si="233"/>
        <v>46156</v>
      </c>
      <c r="AG964" s="225" t="b">
        <f t="shared" si="226"/>
        <v>1</v>
      </c>
      <c r="AH964" s="242" t="str">
        <f t="shared" si="227"/>
        <v/>
      </c>
      <c r="AK964" s="223">
        <f t="shared" si="228"/>
        <v>0</v>
      </c>
      <c r="AL964" s="223">
        <f t="shared" si="229"/>
        <v>1900</v>
      </c>
      <c r="AS964" s="223">
        <f t="shared" si="230"/>
        <v>0</v>
      </c>
      <c r="AT964" s="223">
        <f t="shared" si="231"/>
        <v>0</v>
      </c>
    </row>
    <row r="965" spans="1:46" ht="15.75" x14ac:dyDescent="0.25">
      <c r="B965" s="229"/>
      <c r="C965" s="235"/>
      <c r="D965" s="243"/>
      <c r="E965" s="232"/>
      <c r="F965" s="435"/>
      <c r="G965" s="234"/>
      <c r="H965" s="235"/>
      <c r="I965" s="235"/>
      <c r="J965" s="440"/>
      <c r="K965" s="443">
        <f ca="1">ROUND(IF(ISERROR(OFFSET(Tabella!$A$1,MATCH(H965,Tabella!$A:$A,0)-1,MATCH(J965,Tabella!$A$1:$AC$1,0)-1)=TRUE),0,+OFFSET(Tabella!$A$1,MATCH(H965,Tabella!$A:$A,0)-1,MATCH(J965,Tabella!$A$1:$AC$1,0)-1)),4)</f>
        <v>0</v>
      </c>
      <c r="L965" s="446">
        <f ca="1">ROUND(IF(ISERROR(OFFSET(Ottone!$A$1,MATCH(H965,Ottone!$A:$A,0)-1,MATCH(J965,Ottone!$A$1:$Z$1,0)-1)=TRUE),0,OFFSET(Ottone!$A$1,MATCH(H965,Ottone!$A:$A,0)-1,MATCH(J965,Ottone!$A$1:$Z$1,0)-1))*IF(E965="Ottone",1,0),4)</f>
        <v>0</v>
      </c>
      <c r="M965" s="446">
        <f ca="1">ROUND(IF(ISERROR(OFFSET(Rame!$A$1,MATCH(H965,Rame!$A:$A,0)-1,MATCH(J965,Rame!$A$1:$AA$1,0)-1)=TRUE),0,OFFSET(Rame!$A$1,MATCH(H965,Rame!$A:$A,0)-1,MATCH(J965,Rame!$A$1:$AA$1,0)-1))*IF(E965="Rame",1,0),4)</f>
        <v>0</v>
      </c>
      <c r="N965" s="446">
        <v>0</v>
      </c>
      <c r="O965" s="446">
        <f t="shared" ca="1" si="232"/>
        <v>0</v>
      </c>
      <c r="P965" s="446">
        <f ca="1">ROUND(+IF(ISERROR(OFFSET(Tabella!$G$1,MATCH(H965,Tabella!$G:$G,0)-1,MATCH(I965,Tabella!$G$1:$FG$1,0)-1)=TRUE),0,OFFSET(Tabella!$G$1,MATCH(H965,Tabella!$G:$G,0)-1,MATCH(I965,Tabella!$G$1:$AB$1,0)-1)),4)</f>
        <v>0</v>
      </c>
      <c r="Q965" s="446">
        <f ca="1">ROUND(IF(ISERROR(OFFSET(Ottone!$F$1,MATCH(H965,Ottone!$A:$A,0)-1,MATCH(I965,Ottone!$F$1:$FF$1,0)-1)=TRUE),0,OFFSET(Ottone!$F$1,MATCH(H965,Ottone!$A:$A,0)-1,MATCH(I965,Ottone!$F$1:$FF$1,0)-1))*IF(E965="Ottone",1,0),4)</f>
        <v>0</v>
      </c>
      <c r="R965" s="446">
        <f ca="1">ROUND(IF(ISERROR(OFFSET(Rame!$F$1,MATCH(H965,Rame!$F:$F,0)-1,MATCH(I965,Rame!$F$1:$FF$1,0)-1)=TRUE),0,OFFSET(Rame!$F$1,MATCH(H965,Rame!$F:$F,0)-1,MATCH(I965,Rame!$F$1:$FF$1,0)-1))*IF(E965="Rame",1,0),4)</f>
        <v>0</v>
      </c>
      <c r="S965" s="446">
        <f ca="1">ROUND(IF(ISERROR(OFFSET(Bronzo!$A$1,MATCH(H965,Bronzo!$A:$A,0)-1,MATCH(I965,Bronzo!$A$1:$AA$1,0)-1)=TRUE),0,OFFSET(Bronzo!$A$1,MATCH(H965,Bronzo!$A:$A,0)-1,MATCH(I965,Bronzo!$A$1:$AA$1,0)-1)),4)</f>
        <v>0</v>
      </c>
      <c r="T965" s="446">
        <f t="shared" ca="1" si="223"/>
        <v>0</v>
      </c>
      <c r="U965" s="443"/>
      <c r="V965" s="446">
        <v>0</v>
      </c>
      <c r="W965" s="449">
        <f t="shared" ca="1" si="224"/>
        <v>0</v>
      </c>
      <c r="X965" s="452">
        <f t="shared" si="222"/>
        <v>0</v>
      </c>
      <c r="Y965" s="440"/>
      <c r="Z965" s="440">
        <f t="shared" ca="1" si="225"/>
        <v>0</v>
      </c>
      <c r="AA965" s="241"/>
      <c r="AF965" s="225">
        <f t="shared" ca="1" si="233"/>
        <v>46156</v>
      </c>
      <c r="AG965" s="225" t="b">
        <f t="shared" si="226"/>
        <v>1</v>
      </c>
      <c r="AH965" s="242" t="str">
        <f t="shared" si="227"/>
        <v/>
      </c>
      <c r="AK965" s="223">
        <f t="shared" si="228"/>
        <v>0</v>
      </c>
      <c r="AL965" s="223">
        <f t="shared" si="229"/>
        <v>1900</v>
      </c>
      <c r="AS965" s="223">
        <f t="shared" si="230"/>
        <v>0</v>
      </c>
      <c r="AT965" s="223">
        <f t="shared" si="231"/>
        <v>0</v>
      </c>
    </row>
    <row r="966" spans="1:46" ht="15.75" x14ac:dyDescent="0.25">
      <c r="B966" s="229"/>
      <c r="C966" s="235"/>
      <c r="D966" s="243"/>
      <c r="E966" s="232"/>
      <c r="F966" s="435"/>
      <c r="G966" s="234"/>
      <c r="H966" s="235"/>
      <c r="I966" s="235"/>
      <c r="J966" s="440"/>
      <c r="K966" s="443">
        <f ca="1">ROUND(IF(ISERROR(OFFSET(Tabella!$A$1,MATCH(H966,Tabella!$A:$A,0)-1,MATCH(J966,Tabella!$A$1:$AC$1,0)-1)=TRUE),0,+OFFSET(Tabella!$A$1,MATCH(H966,Tabella!$A:$A,0)-1,MATCH(J966,Tabella!$A$1:$AC$1,0)-1)),4)</f>
        <v>0</v>
      </c>
      <c r="L966" s="446">
        <f ca="1">ROUND(IF(ISERROR(OFFSET(Ottone!$A$1,MATCH(H966,Ottone!$A:$A,0)-1,MATCH(J966,Ottone!$A$1:$Z$1,0)-1)=TRUE),0,OFFSET(Ottone!$A$1,MATCH(H966,Ottone!$A:$A,0)-1,MATCH(J966,Ottone!$A$1:$Z$1,0)-1))*IF(E966="Ottone",1,0),4)</f>
        <v>0</v>
      </c>
      <c r="M966" s="446">
        <f ca="1">ROUND(IF(ISERROR(OFFSET(Rame!$A$1,MATCH(H966,Rame!$A:$A,0)-1,MATCH(J966,Rame!$A$1:$AA$1,0)-1)=TRUE),0,OFFSET(Rame!$A$1,MATCH(H966,Rame!$A:$A,0)-1,MATCH(J966,Rame!$A$1:$AA$1,0)-1))*IF(E966="Rame",1,0),4)</f>
        <v>0</v>
      </c>
      <c r="N966" s="446">
        <v>0</v>
      </c>
      <c r="O966" s="446">
        <f t="shared" ca="1" si="232"/>
        <v>0</v>
      </c>
      <c r="P966" s="446">
        <f ca="1">ROUND(+IF(ISERROR(OFFSET(Tabella!$G$1,MATCH(H966,Tabella!$G:$G,0)-1,MATCH(I966,Tabella!$G$1:$FG$1,0)-1)=TRUE),0,OFFSET(Tabella!$G$1,MATCH(H966,Tabella!$G:$G,0)-1,MATCH(I966,Tabella!$G$1:$AB$1,0)-1)),4)</f>
        <v>0</v>
      </c>
      <c r="Q966" s="446">
        <f ca="1">ROUND(IF(ISERROR(OFFSET(Ottone!$F$1,MATCH(H966,Ottone!$A:$A,0)-1,MATCH(I966,Ottone!$F$1:$FF$1,0)-1)=TRUE),0,OFFSET(Ottone!$F$1,MATCH(H966,Ottone!$A:$A,0)-1,MATCH(I966,Ottone!$F$1:$FF$1,0)-1))*IF(E966="Ottone",1,0),4)</f>
        <v>0</v>
      </c>
      <c r="R966" s="446">
        <f ca="1">ROUND(IF(ISERROR(OFFSET(Rame!$F$1,MATCH(H966,Rame!$F:$F,0)-1,MATCH(I966,Rame!$F$1:$FF$1,0)-1)=TRUE),0,OFFSET(Rame!$F$1,MATCH(H966,Rame!$F:$F,0)-1,MATCH(I966,Rame!$F$1:$FF$1,0)-1))*IF(E966="Rame",1,0),4)</f>
        <v>0</v>
      </c>
      <c r="S966" s="446">
        <f ca="1">ROUND(IF(ISERROR(OFFSET(Bronzo!$A$1,MATCH(H966,Bronzo!$A:$A,0)-1,MATCH(I966,Bronzo!$A$1:$AA$1,0)-1)=TRUE),0,OFFSET(Bronzo!$A$1,MATCH(H966,Bronzo!$A:$A,0)-1,MATCH(I966,Bronzo!$A$1:$AA$1,0)-1)),4)</f>
        <v>0</v>
      </c>
      <c r="T966" s="446">
        <f t="shared" ca="1" si="223"/>
        <v>0</v>
      </c>
      <c r="U966" s="443"/>
      <c r="V966" s="446">
        <v>0</v>
      </c>
      <c r="W966" s="449">
        <f t="shared" ca="1" si="224"/>
        <v>0</v>
      </c>
      <c r="X966" s="452">
        <f t="shared" si="222"/>
        <v>0</v>
      </c>
      <c r="Y966" s="440"/>
      <c r="Z966" s="440">
        <f t="shared" ca="1" si="225"/>
        <v>0</v>
      </c>
      <c r="AA966" s="241"/>
      <c r="AF966" s="225">
        <f t="shared" ca="1" si="233"/>
        <v>46156</v>
      </c>
      <c r="AG966" s="225" t="b">
        <f t="shared" si="226"/>
        <v>1</v>
      </c>
      <c r="AH966" s="242" t="str">
        <f t="shared" si="227"/>
        <v/>
      </c>
      <c r="AK966" s="223">
        <f t="shared" si="228"/>
        <v>0</v>
      </c>
      <c r="AL966" s="223">
        <f t="shared" si="229"/>
        <v>1900</v>
      </c>
      <c r="AS966" s="223">
        <f t="shared" si="230"/>
        <v>0</v>
      </c>
      <c r="AT966" s="223">
        <f t="shared" si="231"/>
        <v>0</v>
      </c>
    </row>
    <row r="967" spans="1:46" ht="15.75" x14ac:dyDescent="0.25">
      <c r="B967" s="229"/>
      <c r="C967" s="235"/>
      <c r="D967" s="243"/>
      <c r="E967" s="232"/>
      <c r="F967" s="435"/>
      <c r="G967" s="234"/>
      <c r="H967" s="235"/>
      <c r="I967" s="235"/>
      <c r="J967" s="440"/>
      <c r="K967" s="443">
        <f ca="1">ROUND(IF(ISERROR(OFFSET(Tabella!$A$1,MATCH(H967,Tabella!$A:$A,0)-1,MATCH(J967,Tabella!$A$1:$AC$1,0)-1)=TRUE),0,+OFFSET(Tabella!$A$1,MATCH(H967,Tabella!$A:$A,0)-1,MATCH(J967,Tabella!$A$1:$AC$1,0)-1)),4)</f>
        <v>0</v>
      </c>
      <c r="L967" s="446">
        <f ca="1">ROUND(IF(ISERROR(OFFSET(Ottone!$A$1,MATCH(H967,Ottone!$A:$A,0)-1,MATCH(J967,Ottone!$A$1:$Z$1,0)-1)=TRUE),0,OFFSET(Ottone!$A$1,MATCH(H967,Ottone!$A:$A,0)-1,MATCH(J967,Ottone!$A$1:$Z$1,0)-1))*IF(E967="Ottone",1,0),4)</f>
        <v>0</v>
      </c>
      <c r="M967" s="446">
        <f ca="1">ROUND(IF(ISERROR(OFFSET(Rame!$A$1,MATCH(H967,Rame!$A:$A,0)-1,MATCH(J967,Rame!$A$1:$AA$1,0)-1)=TRUE),0,OFFSET(Rame!$A$1,MATCH(H967,Rame!$A:$A,0)-1,MATCH(J967,Rame!$A$1:$AA$1,0)-1))*IF(E967="Rame",1,0),4)</f>
        <v>0</v>
      </c>
      <c r="N967" s="446">
        <v>0</v>
      </c>
      <c r="O967" s="446">
        <f t="shared" ca="1" si="232"/>
        <v>0</v>
      </c>
      <c r="P967" s="446">
        <f ca="1">ROUND(+IF(ISERROR(OFFSET(Tabella!$G$1,MATCH(H967,Tabella!$G:$G,0)-1,MATCH(I967,Tabella!$G$1:$FG$1,0)-1)=TRUE),0,OFFSET(Tabella!$G$1,MATCH(H967,Tabella!$G:$G,0)-1,MATCH(I967,Tabella!$G$1:$AB$1,0)-1)),4)</f>
        <v>0</v>
      </c>
      <c r="Q967" s="446">
        <f ca="1">ROUND(IF(ISERROR(OFFSET(Ottone!$F$1,MATCH(H967,Ottone!$A:$A,0)-1,MATCH(I967,Ottone!$F$1:$FF$1,0)-1)=TRUE),0,OFFSET(Ottone!$F$1,MATCH(H967,Ottone!$A:$A,0)-1,MATCH(I967,Ottone!$F$1:$FF$1,0)-1))*IF(E967="Ottone",1,0),4)</f>
        <v>0</v>
      </c>
      <c r="R967" s="446">
        <f ca="1">ROUND(IF(ISERROR(OFFSET(Rame!$F$1,MATCH(H967,Rame!$F:$F,0)-1,MATCH(I967,Rame!$F$1:$FF$1,0)-1)=TRUE),0,OFFSET(Rame!$F$1,MATCH(H967,Rame!$F:$F,0)-1,MATCH(I967,Rame!$F$1:$FF$1,0)-1))*IF(E967="Rame",1,0),4)</f>
        <v>0</v>
      </c>
      <c r="S967" s="446">
        <f ca="1">ROUND(IF(ISERROR(OFFSET(Bronzo!$A$1,MATCH(H967,Bronzo!$A:$A,0)-1,MATCH(I967,Bronzo!$A$1:$AA$1,0)-1)=TRUE),0,OFFSET(Bronzo!$A$1,MATCH(H967,Bronzo!$A:$A,0)-1,MATCH(I967,Bronzo!$A$1:$AA$1,0)-1)),4)</f>
        <v>0</v>
      </c>
      <c r="T967" s="446">
        <f t="shared" ca="1" si="223"/>
        <v>0</v>
      </c>
      <c r="U967" s="443"/>
      <c r="V967" s="446">
        <v>0</v>
      </c>
      <c r="W967" s="449">
        <f t="shared" ca="1" si="224"/>
        <v>0</v>
      </c>
      <c r="X967" s="452">
        <f t="shared" si="222"/>
        <v>0</v>
      </c>
      <c r="Y967" s="440"/>
      <c r="Z967" s="440">
        <f t="shared" ca="1" si="225"/>
        <v>0</v>
      </c>
      <c r="AA967" s="241"/>
      <c r="AF967" s="225">
        <f t="shared" ca="1" si="233"/>
        <v>46156</v>
      </c>
      <c r="AG967" s="225" t="b">
        <f t="shared" si="226"/>
        <v>1</v>
      </c>
      <c r="AH967" s="242" t="str">
        <f t="shared" si="227"/>
        <v/>
      </c>
      <c r="AK967" s="223">
        <f t="shared" si="228"/>
        <v>0</v>
      </c>
      <c r="AL967" s="223">
        <f t="shared" si="229"/>
        <v>1900</v>
      </c>
      <c r="AS967" s="223">
        <f t="shared" si="230"/>
        <v>0</v>
      </c>
      <c r="AT967" s="223">
        <f t="shared" si="231"/>
        <v>0</v>
      </c>
    </row>
    <row r="968" spans="1:46" ht="15.75" x14ac:dyDescent="0.25">
      <c r="B968" s="229"/>
      <c r="C968" s="235"/>
      <c r="D968" s="243"/>
      <c r="E968" s="232"/>
      <c r="F968" s="435"/>
      <c r="G968" s="234"/>
      <c r="H968" s="235"/>
      <c r="I968" s="235"/>
      <c r="J968" s="440"/>
      <c r="K968" s="443">
        <f ca="1">ROUND(IF(ISERROR(OFFSET(Tabella!$A$1,MATCH(H968,Tabella!$A:$A,0)-1,MATCH(J968,Tabella!$A$1:$AC$1,0)-1)=TRUE),0,+OFFSET(Tabella!$A$1,MATCH(H968,Tabella!$A:$A,0)-1,MATCH(J968,Tabella!$A$1:$AC$1,0)-1)),4)</f>
        <v>0</v>
      </c>
      <c r="L968" s="446">
        <f ca="1">ROUND(IF(ISERROR(OFFSET(Ottone!$A$1,MATCH(H968,Ottone!$A:$A,0)-1,MATCH(J968,Ottone!$A$1:$Z$1,0)-1)=TRUE),0,OFFSET(Ottone!$A$1,MATCH(H968,Ottone!$A:$A,0)-1,MATCH(J968,Ottone!$A$1:$Z$1,0)-1))*IF(E968="Ottone",1,0),4)</f>
        <v>0</v>
      </c>
      <c r="M968" s="446">
        <f ca="1">ROUND(IF(ISERROR(OFFSET(Rame!$A$1,MATCH(H968,Rame!$A:$A,0)-1,MATCH(J968,Rame!$A$1:$AA$1,0)-1)=TRUE),0,OFFSET(Rame!$A$1,MATCH(H968,Rame!$A:$A,0)-1,MATCH(J968,Rame!$A$1:$AA$1,0)-1))*IF(E968="Rame",1,0),4)</f>
        <v>0</v>
      </c>
      <c r="N968" s="446">
        <v>0</v>
      </c>
      <c r="O968" s="446">
        <f t="shared" ca="1" si="232"/>
        <v>0</v>
      </c>
      <c r="P968" s="446">
        <f ca="1">ROUND(+IF(ISERROR(OFFSET(Tabella!$G$1,MATCH(H968,Tabella!$G:$G,0)-1,MATCH(I968,Tabella!$G$1:$FG$1,0)-1)=TRUE),0,OFFSET(Tabella!$G$1,MATCH(H968,Tabella!$G:$G,0)-1,MATCH(I968,Tabella!$G$1:$AB$1,0)-1)),4)</f>
        <v>0</v>
      </c>
      <c r="Q968" s="446">
        <f ca="1">ROUND(IF(ISERROR(OFFSET(Ottone!$F$1,MATCH(H968,Ottone!$A:$A,0)-1,MATCH(I968,Ottone!$F$1:$FF$1,0)-1)=TRUE),0,OFFSET(Ottone!$F$1,MATCH(H968,Ottone!$A:$A,0)-1,MATCH(I968,Ottone!$F$1:$FF$1,0)-1))*IF(E968="Ottone",1,0),4)</f>
        <v>0</v>
      </c>
      <c r="R968" s="446">
        <f ca="1">ROUND(IF(ISERROR(OFFSET(Rame!$F$1,MATCH(H968,Rame!$F:$F,0)-1,MATCH(I968,Rame!$F$1:$FF$1,0)-1)=TRUE),0,OFFSET(Rame!$F$1,MATCH(H968,Rame!$F:$F,0)-1,MATCH(I968,Rame!$F$1:$FF$1,0)-1))*IF(E968="Rame",1,0),4)</f>
        <v>0</v>
      </c>
      <c r="S968" s="446">
        <f ca="1">ROUND(IF(ISERROR(OFFSET(Bronzo!$A$1,MATCH(H968,Bronzo!$A:$A,0)-1,MATCH(I968,Bronzo!$A$1:$AA$1,0)-1)=TRUE),0,OFFSET(Bronzo!$A$1,MATCH(H968,Bronzo!$A:$A,0)-1,MATCH(I968,Bronzo!$A$1:$AA$1,0)-1)),4)</f>
        <v>0</v>
      </c>
      <c r="T968" s="446">
        <f t="shared" ca="1" si="223"/>
        <v>0</v>
      </c>
      <c r="U968" s="443"/>
      <c r="V968" s="446">
        <v>0</v>
      </c>
      <c r="W968" s="449">
        <f t="shared" ca="1" si="224"/>
        <v>0</v>
      </c>
      <c r="X968" s="452">
        <f t="shared" si="222"/>
        <v>0</v>
      </c>
      <c r="Y968" s="440"/>
      <c r="Z968" s="440">
        <f t="shared" ca="1" si="225"/>
        <v>0</v>
      </c>
      <c r="AA968" s="241"/>
      <c r="AF968" s="225">
        <f t="shared" ref="AF968:AF971" ca="1" si="234">TODAY()</f>
        <v>46156</v>
      </c>
      <c r="AG968" s="225" t="b">
        <f t="shared" ref="AG968:AG971" si="235">ISBLANK(AA968)</f>
        <v>1</v>
      </c>
      <c r="AH968" s="242" t="str">
        <f t="shared" ref="AH968:AH971" si="236">IF(AG968=FALSE,_xlfn.DAYS(AA968,AF968),"")</f>
        <v/>
      </c>
      <c r="AK968" s="223">
        <f t="shared" ref="AK968:AK971" si="237">WEEKNUM(AA968)</f>
        <v>0</v>
      </c>
      <c r="AL968" s="223">
        <f t="shared" ref="AL968:AL971" si="238">YEAR(AA968)</f>
        <v>1900</v>
      </c>
      <c r="AS968" s="223">
        <f t="shared" ref="AS968:AS971" si="239">IF(AA968="",0,MONTH(AA968))</f>
        <v>0</v>
      </c>
      <c r="AT968" s="223">
        <f t="shared" ref="AT968:AT971" si="240">IF(AA968="",0,YEAR(AA968))</f>
        <v>0</v>
      </c>
    </row>
    <row r="969" spans="1:46" ht="15.75" x14ac:dyDescent="0.25">
      <c r="B969" s="229"/>
      <c r="C969" s="235"/>
      <c r="D969" s="243"/>
      <c r="E969" s="232"/>
      <c r="F969" s="435"/>
      <c r="G969" s="234"/>
      <c r="H969" s="235"/>
      <c r="I969" s="235"/>
      <c r="J969" s="440"/>
      <c r="K969" s="443">
        <f ca="1">ROUND(IF(ISERROR(OFFSET(Tabella!$A$1,MATCH(H969,Tabella!$A:$A,0)-1,MATCH(J969,Tabella!$A$1:$AC$1,0)-1)=TRUE),0,+OFFSET(Tabella!$A$1,MATCH(H969,Tabella!$A:$A,0)-1,MATCH(J969,Tabella!$A$1:$AC$1,0)-1)),4)</f>
        <v>0</v>
      </c>
      <c r="L969" s="446">
        <f ca="1">ROUND(IF(ISERROR(OFFSET(Ottone!$A$1,MATCH(H969,Ottone!$A:$A,0)-1,MATCH(J969,Ottone!$A$1:$Z$1,0)-1)=TRUE),0,OFFSET(Ottone!$A$1,MATCH(H969,Ottone!$A:$A,0)-1,MATCH(J969,Ottone!$A$1:$Z$1,0)-1))*IF(E969="Ottone",1,0),4)</f>
        <v>0</v>
      </c>
      <c r="M969" s="446">
        <f ca="1">ROUND(IF(ISERROR(OFFSET(Rame!$A$1,MATCH(H969,Rame!$A:$A,0)-1,MATCH(J969,Rame!$A$1:$AA$1,0)-1)=TRUE),0,OFFSET(Rame!$A$1,MATCH(H969,Rame!$A:$A,0)-1,MATCH(J969,Rame!$A$1:$AA$1,0)-1))*IF(E969="Rame",1,0),4)</f>
        <v>0</v>
      </c>
      <c r="N969" s="446">
        <v>0</v>
      </c>
      <c r="O969" s="446">
        <f t="shared" ca="1" si="232"/>
        <v>0</v>
      </c>
      <c r="P969" s="446">
        <f ca="1">ROUND(+IF(ISERROR(OFFSET(Tabella!$G$1,MATCH(H969,Tabella!$G:$G,0)-1,MATCH(I969,Tabella!$G$1:$FG$1,0)-1)=TRUE),0,OFFSET(Tabella!$G$1,MATCH(H969,Tabella!$G:$G,0)-1,MATCH(I969,Tabella!$G$1:$AB$1,0)-1)),4)</f>
        <v>0</v>
      </c>
      <c r="Q969" s="446">
        <f ca="1">ROUND(IF(ISERROR(OFFSET(Ottone!$F$1,MATCH(H969,Ottone!$A:$A,0)-1,MATCH(I969,Ottone!$F$1:$FF$1,0)-1)=TRUE),0,OFFSET(Ottone!$F$1,MATCH(H969,Ottone!$A:$A,0)-1,MATCH(I969,Ottone!$F$1:$FF$1,0)-1))*IF(E969="Ottone",1,0),4)</f>
        <v>0</v>
      </c>
      <c r="R969" s="446">
        <f ca="1">ROUND(IF(ISERROR(OFFSET(Rame!$F$1,MATCH(H969,Rame!$F:$F,0)-1,MATCH(I969,Rame!$F$1:$FF$1,0)-1)=TRUE),0,OFFSET(Rame!$F$1,MATCH(H969,Rame!$F:$F,0)-1,MATCH(I969,Rame!$F$1:$FF$1,0)-1))*IF(E969="Rame",1,0),4)</f>
        <v>0</v>
      </c>
      <c r="S969" s="446">
        <f ca="1">ROUND(IF(ISERROR(OFFSET(Bronzo!$A$1,MATCH(H969,Bronzo!$A:$A,0)-1,MATCH(I969,Bronzo!$A$1:$AA$1,0)-1)=TRUE),0,OFFSET(Bronzo!$A$1,MATCH(H969,Bronzo!$A:$A,0)-1,MATCH(I969,Bronzo!$A$1:$AA$1,0)-1)),4)</f>
        <v>0</v>
      </c>
      <c r="T969" s="446">
        <f t="shared" ca="1" si="223"/>
        <v>0</v>
      </c>
      <c r="U969" s="443"/>
      <c r="V969" s="446">
        <v>0</v>
      </c>
      <c r="W969" s="449">
        <f t="shared" ca="1" si="224"/>
        <v>0</v>
      </c>
      <c r="X969" s="452">
        <f t="shared" si="222"/>
        <v>0</v>
      </c>
      <c r="Y969" s="440"/>
      <c r="Z969" s="440">
        <f t="shared" ca="1" si="225"/>
        <v>0</v>
      </c>
      <c r="AA969" s="241"/>
      <c r="AF969" s="225">
        <f t="shared" ca="1" si="234"/>
        <v>46156</v>
      </c>
      <c r="AG969" s="225" t="b">
        <f t="shared" si="235"/>
        <v>1</v>
      </c>
      <c r="AH969" s="242" t="str">
        <f t="shared" si="236"/>
        <v/>
      </c>
      <c r="AK969" s="223">
        <f t="shared" si="237"/>
        <v>0</v>
      </c>
      <c r="AL969" s="223">
        <f t="shared" si="238"/>
        <v>1900</v>
      </c>
      <c r="AS969" s="223">
        <f t="shared" si="239"/>
        <v>0</v>
      </c>
      <c r="AT969" s="223">
        <f t="shared" si="240"/>
        <v>0</v>
      </c>
    </row>
    <row r="970" spans="1:46" ht="15.75" x14ac:dyDescent="0.25">
      <c r="B970" s="229"/>
      <c r="C970" s="235"/>
      <c r="D970" s="243"/>
      <c r="E970" s="232"/>
      <c r="F970" s="435"/>
      <c r="G970" s="234"/>
      <c r="H970" s="235"/>
      <c r="I970" s="235"/>
      <c r="J970" s="440"/>
      <c r="K970" s="443">
        <f ca="1">ROUND(IF(ISERROR(OFFSET(Tabella!$A$1,MATCH(H970,Tabella!$A:$A,0)-1,MATCH(J970,Tabella!$A$1:$AC$1,0)-1)=TRUE),0,+OFFSET(Tabella!$A$1,MATCH(H970,Tabella!$A:$A,0)-1,MATCH(J970,Tabella!$A$1:$AC$1,0)-1)),4)</f>
        <v>0</v>
      </c>
      <c r="L970" s="446">
        <f ca="1">ROUND(IF(ISERROR(OFFSET(Ottone!$A$1,MATCH(H970,Ottone!$A:$A,0)-1,MATCH(J970,Ottone!$A$1:$Z$1,0)-1)=TRUE),0,OFFSET(Ottone!$A$1,MATCH(H970,Ottone!$A:$A,0)-1,MATCH(J970,Ottone!$A$1:$Z$1,0)-1))*IF(E970="Ottone",1,0),4)</f>
        <v>0</v>
      </c>
      <c r="M970" s="446">
        <f ca="1">ROUND(IF(ISERROR(OFFSET(Rame!$A$1,MATCH(H970,Rame!$A:$A,0)-1,MATCH(J970,Rame!$A$1:$AA$1,0)-1)=TRUE),0,OFFSET(Rame!$A$1,MATCH(H970,Rame!$A:$A,0)-1,MATCH(J970,Rame!$A$1:$AA$1,0)-1))*IF(E970="Rame",1,0),4)</f>
        <v>0</v>
      </c>
      <c r="N970" s="446">
        <v>0</v>
      </c>
      <c r="O970" s="446">
        <f t="shared" ca="1" si="232"/>
        <v>0</v>
      </c>
      <c r="P970" s="446">
        <f ca="1">ROUND(+IF(ISERROR(OFFSET(Tabella!$G$1,MATCH(H970,Tabella!$G:$G,0)-1,MATCH(I970,Tabella!$G$1:$FG$1,0)-1)=TRUE),0,OFFSET(Tabella!$G$1,MATCH(H970,Tabella!$G:$G,0)-1,MATCH(I970,Tabella!$G$1:$AB$1,0)-1)),4)</f>
        <v>0</v>
      </c>
      <c r="Q970" s="446">
        <f ca="1">ROUND(IF(ISERROR(OFFSET(Ottone!$F$1,MATCH(H970,Ottone!$A:$A,0)-1,MATCH(I970,Ottone!$F$1:$FF$1,0)-1)=TRUE),0,OFFSET(Ottone!$F$1,MATCH(H970,Ottone!$A:$A,0)-1,MATCH(I970,Ottone!$F$1:$FF$1,0)-1))*IF(E970="Ottone",1,0),4)</f>
        <v>0</v>
      </c>
      <c r="R970" s="446">
        <f ca="1">ROUND(IF(ISERROR(OFFSET(Rame!$F$1,MATCH(H970,Rame!$F:$F,0)-1,MATCH(I970,Rame!$F$1:$FF$1,0)-1)=TRUE),0,OFFSET(Rame!$F$1,MATCH(H970,Rame!$F:$F,0)-1,MATCH(I970,Rame!$F$1:$FF$1,0)-1))*IF(E970="Rame",1,0),4)</f>
        <v>0</v>
      </c>
      <c r="S970" s="446">
        <f ca="1">ROUND(IF(ISERROR(OFFSET(Bronzo!$A$1,MATCH(H970,Bronzo!$A:$A,0)-1,MATCH(I970,Bronzo!$A$1:$AA$1,0)-1)=TRUE),0,OFFSET(Bronzo!$A$1,MATCH(H970,Bronzo!$A:$A,0)-1,MATCH(I970,Bronzo!$A$1:$AA$1,0)-1)),4)</f>
        <v>0</v>
      </c>
      <c r="T970" s="446">
        <f t="shared" ca="1" si="223"/>
        <v>0</v>
      </c>
      <c r="U970" s="443"/>
      <c r="V970" s="446">
        <v>0</v>
      </c>
      <c r="W970" s="449">
        <f t="shared" ca="1" si="224"/>
        <v>0</v>
      </c>
      <c r="X970" s="452">
        <f t="shared" si="222"/>
        <v>0</v>
      </c>
      <c r="Y970" s="440"/>
      <c r="Z970" s="440">
        <f t="shared" ca="1" si="225"/>
        <v>0</v>
      </c>
      <c r="AA970" s="241"/>
      <c r="AF970" s="225">
        <f t="shared" ca="1" si="234"/>
        <v>46156</v>
      </c>
      <c r="AG970" s="225" t="b">
        <f t="shared" si="235"/>
        <v>1</v>
      </c>
      <c r="AH970" s="242" t="str">
        <f t="shared" si="236"/>
        <v/>
      </c>
      <c r="AK970" s="223">
        <f t="shared" si="237"/>
        <v>0</v>
      </c>
      <c r="AL970" s="223">
        <f t="shared" si="238"/>
        <v>1900</v>
      </c>
      <c r="AS970" s="223">
        <f t="shared" si="239"/>
        <v>0</v>
      </c>
      <c r="AT970" s="223">
        <f t="shared" si="240"/>
        <v>0</v>
      </c>
    </row>
    <row r="971" spans="1:46" ht="15.75" x14ac:dyDescent="0.25">
      <c r="B971" s="229"/>
      <c r="C971" s="235"/>
      <c r="D971" s="243"/>
      <c r="E971" s="232"/>
      <c r="F971" s="435"/>
      <c r="G971" s="234"/>
      <c r="H971" s="235"/>
      <c r="I971" s="235"/>
      <c r="J971" s="440"/>
      <c r="K971" s="443">
        <f ca="1">ROUND(IF(ISERROR(OFFSET(Tabella!$A$1,MATCH(H971,Tabella!$A:$A,0)-1,MATCH(J971,Tabella!$A$1:$AC$1,0)-1)=TRUE),0,+OFFSET(Tabella!$A$1,MATCH(H971,Tabella!$A:$A,0)-1,MATCH(J971,Tabella!$A$1:$AC$1,0)-1)),4)</f>
        <v>0</v>
      </c>
      <c r="L971" s="446">
        <f ca="1">ROUND(IF(ISERROR(OFFSET(Ottone!$A$1,MATCH(H971,Ottone!$A:$A,0)-1,MATCH(J971,Ottone!$A$1:$Z$1,0)-1)=TRUE),0,OFFSET(Ottone!$A$1,MATCH(H971,Ottone!$A:$A,0)-1,MATCH(J971,Ottone!$A$1:$Z$1,0)-1))*IF(E971="Ottone",1,0),4)</f>
        <v>0</v>
      </c>
      <c r="M971" s="446">
        <f ca="1">ROUND(IF(ISERROR(OFFSET(Rame!$A$1,MATCH(H971,Rame!$A:$A,0)-1,MATCH(J971,Rame!$A$1:$AA$1,0)-1)=TRUE),0,OFFSET(Rame!$A$1,MATCH(H971,Rame!$A:$A,0)-1,MATCH(J971,Rame!$A$1:$AA$1,0)-1))*IF(E971="Rame",1,0),4)</f>
        <v>0</v>
      </c>
      <c r="N971" s="446">
        <v>0</v>
      </c>
      <c r="O971" s="446">
        <f t="shared" ca="1" si="232"/>
        <v>0</v>
      </c>
      <c r="P971" s="446">
        <f ca="1">ROUND(+IF(ISERROR(OFFSET(Tabella!$G$1,MATCH(H971,Tabella!$G:$G,0)-1,MATCH(I971,Tabella!$G$1:$FG$1,0)-1)=TRUE),0,OFFSET(Tabella!$G$1,MATCH(H971,Tabella!$G:$G,0)-1,MATCH(I971,Tabella!$G$1:$AB$1,0)-1)),4)</f>
        <v>0</v>
      </c>
      <c r="Q971" s="446">
        <f ca="1">ROUND(IF(ISERROR(OFFSET(Ottone!$F$1,MATCH(H971,Ottone!$A:$A,0)-1,MATCH(I971,Ottone!$F$1:$FF$1,0)-1)=TRUE),0,OFFSET(Ottone!$F$1,MATCH(H971,Ottone!$A:$A,0)-1,MATCH(I971,Ottone!$F$1:$FF$1,0)-1))*IF(E971="Ottone",1,0),4)</f>
        <v>0</v>
      </c>
      <c r="R971" s="446">
        <f ca="1">ROUND(IF(ISERROR(OFFSET(Rame!$F$1,MATCH(H971,Rame!$F:$F,0)-1,MATCH(I971,Rame!$F$1:$FF$1,0)-1)=TRUE),0,OFFSET(Rame!$F$1,MATCH(H971,Rame!$F:$F,0)-1,MATCH(I971,Rame!$F$1:$FF$1,0)-1))*IF(E971="Rame",1,0),4)</f>
        <v>0</v>
      </c>
      <c r="S971" s="446">
        <f ca="1">ROUND(IF(ISERROR(OFFSET(Bronzo!$A$1,MATCH(H971,Bronzo!$A:$A,0)-1,MATCH(I971,Bronzo!$A$1:$AA$1,0)-1)=TRUE),0,OFFSET(Bronzo!$A$1,MATCH(H971,Bronzo!$A:$A,0)-1,MATCH(I971,Bronzo!$A$1:$AA$1,0)-1)),4)</f>
        <v>0</v>
      </c>
      <c r="T971" s="446">
        <f t="shared" ca="1" si="223"/>
        <v>0</v>
      </c>
      <c r="U971" s="443"/>
      <c r="V971" s="446">
        <v>0</v>
      </c>
      <c r="W971" s="449">
        <f t="shared" ca="1" si="224"/>
        <v>0</v>
      </c>
      <c r="X971" s="452">
        <f t="shared" si="222"/>
        <v>0</v>
      </c>
      <c r="Y971" s="440"/>
      <c r="Z971" s="440">
        <f t="shared" ca="1" si="225"/>
        <v>0</v>
      </c>
      <c r="AA971" s="241"/>
      <c r="AF971" s="225">
        <f t="shared" ca="1" si="234"/>
        <v>46156</v>
      </c>
      <c r="AG971" s="225" t="b">
        <f t="shared" si="235"/>
        <v>1</v>
      </c>
      <c r="AH971" s="242" t="str">
        <f t="shared" si="236"/>
        <v/>
      </c>
      <c r="AK971" s="223">
        <f t="shared" si="237"/>
        <v>0</v>
      </c>
      <c r="AL971" s="223">
        <f t="shared" si="238"/>
        <v>1900</v>
      </c>
      <c r="AS971" s="223">
        <f t="shared" si="239"/>
        <v>0</v>
      </c>
      <c r="AT971" s="223">
        <f t="shared" si="240"/>
        <v>0</v>
      </c>
    </row>
    <row r="972" spans="1:46" ht="15.75" x14ac:dyDescent="0.25">
      <c r="B972" s="229"/>
      <c r="C972" s="230"/>
      <c r="D972" s="231"/>
      <c r="E972" s="232"/>
      <c r="F972" s="435"/>
      <c r="G972" s="234"/>
      <c r="H972" s="235"/>
      <c r="I972" s="235"/>
      <c r="J972" s="440"/>
      <c r="K972" s="443">
        <f ca="1">ROUND(IF(ISERROR(OFFSET(Tabella!$A$1,MATCH(H972,Tabella!$A:$A,0)-1,MATCH(J972,Tabella!$A$1:$AC$1,0)-1)=TRUE),0,+OFFSET(Tabella!$A$1,MATCH(H972,Tabella!$A:$A,0)-1,MATCH(J972,Tabella!$A$1:$AC$1,0)-1)),4)</f>
        <v>0</v>
      </c>
      <c r="L972" s="446">
        <f ca="1">ROUND(IF(ISERROR(OFFSET(Ottone!$A$1,MATCH(H972,Ottone!$A:$A,0)-1,MATCH(J972,Ottone!$A$1:$Z$1,0)-1)=TRUE),0,OFFSET(Ottone!$A$1,MATCH(H972,Ottone!$A:$A,0)-1,MATCH(J972,Ottone!$A$1:$Z$1,0)-1))*IF(E972="Ottone",1,0),4)</f>
        <v>0</v>
      </c>
      <c r="M972" s="446">
        <f ca="1">ROUND(IF(ISERROR(OFFSET(Rame!$A$1,MATCH(H972,Rame!$A:$A,0)-1,MATCH(J972,Rame!$A$1:$AA$1,0)-1)=TRUE),0,OFFSET(Rame!$A$1,MATCH(H972,Rame!$A:$A,0)-1,MATCH(J972,Rame!$A$1:$AA$1,0)-1))*IF(E972="Rame",1,0),4)</f>
        <v>0</v>
      </c>
      <c r="N972" s="446"/>
      <c r="O972" s="446">
        <f t="shared" ca="1" si="232"/>
        <v>0</v>
      </c>
      <c r="P972" s="446">
        <f ca="1">ROUND(+IF(ISERROR(OFFSET(Tabella!$G$1,MATCH(H972,Tabella!$G:$G,0)-1,MATCH(I972,Tabella!$G$1:$FG$1,0)-1)=TRUE),0,OFFSET(Tabella!$G$1,MATCH(H972,Tabella!$G:$G,0)-1,MATCH(I972,Tabella!$G$1:$AB$1,0)-1)),4)</f>
        <v>0</v>
      </c>
      <c r="Q972" s="446">
        <f ca="1">ROUND(IF(ISERROR(OFFSET(Ottone!$F$1,MATCH(H972,Ottone!$A:$A,0)-1,MATCH(I972,Ottone!$F$1:$FF$1,0)-1)=TRUE),0,OFFSET(Ottone!$F$1,MATCH(H972,Ottone!$A:$A,0)-1,MATCH(I972,Ottone!$F$1:$FF$1,0)-1))*IF(E972="Ottone",1,0),4)</f>
        <v>0</v>
      </c>
      <c r="R972" s="446">
        <f ca="1">ROUND(IF(ISERROR(OFFSET(Rame!$F$1,MATCH(H972,Rame!$F:$F,0)-1,MATCH(I972,Rame!$F$1:$FF$1,0)-1)=TRUE),0,OFFSET(Rame!$F$1,MATCH(H972,Rame!$F:$F,0)-1,MATCH(I972,Rame!$F$1:$FF$1,0)-1))*IF(E972="Rame",1,0),4)</f>
        <v>0</v>
      </c>
      <c r="S972" s="446">
        <f ca="1">ROUND(IF(ISERROR(OFFSET(Bronzo!$A$1,MATCH(H972,Bronzo!$A:$A,0)-1,MATCH(I972,Bronzo!$A$1:$AA$1,0)-1)=TRUE),0,OFFSET(Bronzo!$A$1,MATCH(H972,Bronzo!$A:$A,0)-1,MATCH(I972,Bronzo!$A$1:$AA$1,0)-1)),4)</f>
        <v>0</v>
      </c>
      <c r="T972" s="446">
        <f t="shared" ca="1" si="223"/>
        <v>0</v>
      </c>
      <c r="U972" s="443"/>
      <c r="V972" s="446">
        <v>0</v>
      </c>
      <c r="W972" s="449">
        <f t="shared" ca="1" si="224"/>
        <v>0</v>
      </c>
      <c r="X972" s="452">
        <f t="shared" si="222"/>
        <v>0</v>
      </c>
      <c r="Y972" s="440"/>
      <c r="Z972" s="440">
        <f t="shared" ca="1" si="225"/>
        <v>0</v>
      </c>
      <c r="AA972" s="241"/>
      <c r="AF972" s="225">
        <f t="shared" ref="AF972:AF978" ca="1" si="241">TODAY()</f>
        <v>46156</v>
      </c>
      <c r="AG972" s="225" t="b">
        <f t="shared" ref="AG972:AG978" si="242">ISBLANK(AA972)</f>
        <v>1</v>
      </c>
      <c r="AH972" s="242" t="str">
        <f t="shared" ref="AH972:AH978" si="243">IF(AG972=FALSE,_xlfn.DAYS(AA972,AF972),"")</f>
        <v/>
      </c>
      <c r="AK972" s="223">
        <f t="shared" ref="AK972:AK978" si="244">WEEKNUM(AA972)</f>
        <v>0</v>
      </c>
      <c r="AL972" s="223">
        <f t="shared" ref="AL972:AL978" si="245">YEAR(AA972)</f>
        <v>1900</v>
      </c>
      <c r="AS972" s="223">
        <f t="shared" ref="AS972:AS978" si="246">IF(AA972="",0,MONTH(AA972))</f>
        <v>0</v>
      </c>
      <c r="AT972" s="223">
        <f t="shared" ref="AT972:AT978" si="247">IF(AA972="",0,YEAR(AA972))</f>
        <v>0</v>
      </c>
    </row>
    <row r="973" spans="1:46" ht="15.75" x14ac:dyDescent="0.25">
      <c r="B973" s="229"/>
      <c r="C973" s="230"/>
      <c r="D973" s="231"/>
      <c r="E973" s="232"/>
      <c r="F973" s="435"/>
      <c r="G973" s="234"/>
      <c r="H973" s="235"/>
      <c r="I973" s="235"/>
      <c r="J973" s="440"/>
      <c r="K973" s="443">
        <f ca="1">ROUND(IF(ISERROR(OFFSET(Tabella!$A$1,MATCH(H973,Tabella!$A:$A,0)-1,MATCH(J973,Tabella!$A$1:$AC$1,0)-1)=TRUE),0,+OFFSET(Tabella!$A$1,MATCH(H973,Tabella!$A:$A,0)-1,MATCH(J973,Tabella!$A$1:$AC$1,0)-1)),4)</f>
        <v>0</v>
      </c>
      <c r="L973" s="446">
        <f ca="1">ROUND(IF(ISERROR(OFFSET(Ottone!$A$1,MATCH(H973,Ottone!$A:$A,0)-1,MATCH(J973,Ottone!$A$1:$Z$1,0)-1)=TRUE),0,OFFSET(Ottone!$A$1,MATCH(H973,Ottone!$A:$A,0)-1,MATCH(J973,Ottone!$A$1:$Z$1,0)-1))*IF(E973="Ottone",1,0),4)</f>
        <v>0</v>
      </c>
      <c r="M973" s="446">
        <f ca="1">ROUND(IF(ISERROR(OFFSET(Rame!$A$1,MATCH(H973,Rame!$A:$A,0)-1,MATCH(J973,Rame!$A$1:$AA$1,0)-1)=TRUE),0,OFFSET(Rame!$A$1,MATCH(H973,Rame!$A:$A,0)-1,MATCH(J973,Rame!$A$1:$AA$1,0)-1))*IF(E973="Rame",1,0),4)</f>
        <v>0</v>
      </c>
      <c r="N973" s="446"/>
      <c r="O973" s="446">
        <f t="shared" ca="1" si="232"/>
        <v>0</v>
      </c>
      <c r="P973" s="446">
        <f ca="1">ROUND(+IF(ISERROR(OFFSET(Tabella!$G$1,MATCH(H973,Tabella!$G:$G,0)-1,MATCH(I973,Tabella!$G$1:$FG$1,0)-1)=TRUE),0,OFFSET(Tabella!$G$1,MATCH(H973,Tabella!$G:$G,0)-1,MATCH(I973,Tabella!$G$1:$AB$1,0)-1)),4)</f>
        <v>0</v>
      </c>
      <c r="Q973" s="446">
        <f ca="1">ROUND(IF(ISERROR(OFFSET(Ottone!$F$1,MATCH(H973,Ottone!$A:$A,0)-1,MATCH(I973,Ottone!$F$1:$FF$1,0)-1)=TRUE),0,OFFSET(Ottone!$F$1,MATCH(H973,Ottone!$A:$A,0)-1,MATCH(I973,Ottone!$F$1:$FF$1,0)-1))*IF(E973="Ottone",1,0),4)</f>
        <v>0</v>
      </c>
      <c r="R973" s="446">
        <f ca="1">ROUND(IF(ISERROR(OFFSET(Rame!$F$1,MATCH(H973,Rame!$F:$F,0)-1,MATCH(I973,Rame!$F$1:$FF$1,0)-1)=TRUE),0,OFFSET(Rame!$F$1,MATCH(H973,Rame!$F:$F,0)-1,MATCH(I973,Rame!$F$1:$FF$1,0)-1))*IF(E973="Rame",1,0),4)</f>
        <v>0</v>
      </c>
      <c r="S973" s="446">
        <f ca="1">ROUND(IF(ISERROR(OFFSET(Bronzo!$A$1,MATCH(H973,Bronzo!$A:$A,0)-1,MATCH(I973,Bronzo!$A$1:$AA$1,0)-1)=TRUE),0,OFFSET(Bronzo!$A$1,MATCH(H973,Bronzo!$A:$A,0)-1,MATCH(I973,Bronzo!$A$1:$AA$1,0)-1)),4)</f>
        <v>0</v>
      </c>
      <c r="T973" s="446">
        <f t="shared" ca="1" si="223"/>
        <v>0</v>
      </c>
      <c r="U973" s="443"/>
      <c r="V973" s="446">
        <v>0</v>
      </c>
      <c r="W973" s="449">
        <f t="shared" ca="1" si="224"/>
        <v>0</v>
      </c>
      <c r="X973" s="452">
        <f t="shared" si="222"/>
        <v>0</v>
      </c>
      <c r="Y973" s="440"/>
      <c r="Z973" s="440">
        <f t="shared" ca="1" si="225"/>
        <v>0</v>
      </c>
      <c r="AA973" s="241"/>
      <c r="AF973" s="225">
        <f t="shared" ca="1" si="241"/>
        <v>46156</v>
      </c>
      <c r="AG973" s="225" t="b">
        <f t="shared" si="242"/>
        <v>1</v>
      </c>
      <c r="AH973" s="242" t="str">
        <f t="shared" si="243"/>
        <v/>
      </c>
      <c r="AK973" s="223">
        <f t="shared" si="244"/>
        <v>0</v>
      </c>
      <c r="AL973" s="223">
        <f t="shared" si="245"/>
        <v>1900</v>
      </c>
      <c r="AS973" s="223">
        <f t="shared" si="246"/>
        <v>0</v>
      </c>
      <c r="AT973" s="223">
        <f t="shared" si="247"/>
        <v>0</v>
      </c>
    </row>
    <row r="974" spans="1:46" customFormat="1" ht="15.75" x14ac:dyDescent="0.25">
      <c r="A974" s="369"/>
      <c r="B974" s="398"/>
      <c r="C974" s="399"/>
      <c r="D974" s="400"/>
      <c r="E974" s="401"/>
      <c r="F974" s="434"/>
      <c r="G974" s="402"/>
      <c r="H974" s="403"/>
      <c r="I974" s="403"/>
      <c r="J974" s="439"/>
      <c r="K974" s="442">
        <f ca="1">ROUND(IF(ISERROR(OFFSET(Tabella!$A$1,MATCH(H974,Tabella!$A:$A,0)-1,MATCH(J974,Tabella!$A$1:$AC$1,0)-1)=TRUE),0,+OFFSET(Tabella!$A$1,MATCH(H974,Tabella!$A:$A,0)-1,MATCH(J974,Tabella!$A$1:$AC$1,0)-1)),4)</f>
        <v>0</v>
      </c>
      <c r="L974" s="445">
        <f ca="1">ROUND(IF(ISERROR(OFFSET(Ottone!$A$1,MATCH(H974,Ottone!$A:$A,0)-1,MATCH(J974,Ottone!$A$1:$Z$1,0)-1)=TRUE),0,OFFSET(Ottone!$A$1,MATCH(H974,Ottone!$A:$A,0)-1,MATCH(J974,Ottone!$A$1:$Z$1,0)-1))*IF(E974="Ottone",1,0),4)</f>
        <v>0</v>
      </c>
      <c r="M974" s="445">
        <f ca="1">ROUND(IF(ISERROR(OFFSET(Rame!$A$1,MATCH(H974,Rame!$A:$A,0)-1,MATCH(J974,Rame!$A$1:$AA$1,0)-1)=TRUE),0,OFFSET(Rame!$A$1,MATCH(H974,Rame!$A:$A,0)-1,MATCH(J974,Rame!$A$1:$AA$1,0)-1))*IF(E974="Rame",1,0),4)</f>
        <v>0</v>
      </c>
      <c r="N974" s="445"/>
      <c r="O974" s="445">
        <f t="shared" ca="1" si="232"/>
        <v>0</v>
      </c>
      <c r="P974" s="445">
        <f ca="1">ROUND(+IF(ISERROR(OFFSET(Tabella!$G$1,MATCH(H974,Tabella!$G:$G,0)-1,MATCH(I974,Tabella!$G$1:$FG$1,0)-1)=TRUE),0,OFFSET(Tabella!$G$1,MATCH(H974,Tabella!$G:$G,0)-1,MATCH(I974,Tabella!$G$1:$AB$1,0)-1)),4)</f>
        <v>0</v>
      </c>
      <c r="Q974" s="445">
        <f ca="1">ROUND(IF(ISERROR(OFFSET(Ottone!$F$1,MATCH(H974,Ottone!$A:$A,0)-1,MATCH(I974,Ottone!$F$1:$FF$1,0)-1)=TRUE),0,OFFSET(Ottone!$F$1,MATCH(H974,Ottone!$A:$A,0)-1,MATCH(I974,Ottone!$F$1:$FF$1,0)-1))*IF(E974="Ottone",1,0),4)</f>
        <v>0</v>
      </c>
      <c r="R974" s="445">
        <f ca="1">ROUND(IF(ISERROR(OFFSET(Rame!$F$1,MATCH(H974,Rame!$F:$F,0)-1,MATCH(I974,Rame!$F$1:$FF$1,0)-1)=TRUE),0,OFFSET(Rame!$F$1,MATCH(H974,Rame!$F:$F,0)-1,MATCH(I974,Rame!$F$1:$FF$1,0)-1))*IF(E974="Rame",1,0),4)</f>
        <v>0</v>
      </c>
      <c r="S974" s="445">
        <f ca="1">ROUND(IF(ISERROR(OFFSET(Bronzo!$A$1,MATCH(H974,Bronzo!$A:$A,0)-1,MATCH(I974,Bronzo!$A$1:$AA$1,0)-1)=TRUE),0,OFFSET(Bronzo!$A$1,MATCH(H974,Bronzo!$A:$A,0)-1,MATCH(I974,Bronzo!$A$1:$AA$1,0)-1)),4)</f>
        <v>0</v>
      </c>
      <c r="T974" s="445">
        <f t="shared" ca="1" si="223"/>
        <v>0</v>
      </c>
      <c r="U974" s="442"/>
      <c r="V974" s="445">
        <v>0</v>
      </c>
      <c r="W974" s="448">
        <f t="shared" ca="1" si="224"/>
        <v>0</v>
      </c>
      <c r="X974" s="451">
        <f t="shared" si="222"/>
        <v>0</v>
      </c>
      <c r="Y974" s="439"/>
      <c r="Z974" s="439">
        <f t="shared" ca="1" si="225"/>
        <v>0</v>
      </c>
      <c r="AA974" s="404"/>
      <c r="AF974" s="372">
        <f t="shared" ca="1" si="241"/>
        <v>46156</v>
      </c>
      <c r="AG974" s="372" t="b">
        <f t="shared" si="242"/>
        <v>1</v>
      </c>
      <c r="AH974" s="405" t="str">
        <f t="shared" si="243"/>
        <v/>
      </c>
      <c r="AK974">
        <f t="shared" si="244"/>
        <v>0</v>
      </c>
      <c r="AL974">
        <f t="shared" si="245"/>
        <v>1900</v>
      </c>
      <c r="AS974">
        <f t="shared" si="246"/>
        <v>0</v>
      </c>
      <c r="AT974">
        <f t="shared" si="247"/>
        <v>0</v>
      </c>
    </row>
    <row r="975" spans="1:46" customFormat="1" ht="15.75" x14ac:dyDescent="0.25">
      <c r="A975" s="369"/>
      <c r="B975" s="398"/>
      <c r="C975" s="399"/>
      <c r="D975" s="400"/>
      <c r="E975" s="401"/>
      <c r="F975" s="434"/>
      <c r="G975" s="402"/>
      <c r="H975" s="403"/>
      <c r="I975" s="403"/>
      <c r="J975" s="439"/>
      <c r="K975" s="442">
        <f ca="1">ROUND(IF(ISERROR(OFFSET(Tabella!$A$1,MATCH(H975,Tabella!$A:$A,0)-1,MATCH(J975,Tabella!$A$1:$AC$1,0)-1)=TRUE),0,+OFFSET(Tabella!$A$1,MATCH(H975,Tabella!$A:$A,0)-1,MATCH(J975,Tabella!$A$1:$AC$1,0)-1)),4)</f>
        <v>0</v>
      </c>
      <c r="L975" s="445">
        <f ca="1">ROUND(IF(ISERROR(OFFSET(Ottone!$A$1,MATCH(H975,Ottone!$A:$A,0)-1,MATCH(J975,Ottone!$A$1:$Z$1,0)-1)=TRUE),0,OFFSET(Ottone!$A$1,MATCH(H975,Ottone!$A:$A,0)-1,MATCH(J975,Ottone!$A$1:$Z$1,0)-1))*IF(E975="Ottone",1,0),4)</f>
        <v>0</v>
      </c>
      <c r="M975" s="445">
        <f ca="1">ROUND(IF(ISERROR(OFFSET(Rame!$A$1,MATCH(H975,Rame!$A:$A,0)-1,MATCH(J975,Rame!$A$1:$AA$1,0)-1)=TRUE),0,OFFSET(Rame!$A$1,MATCH(H975,Rame!$A:$A,0)-1,MATCH(J975,Rame!$A$1:$AA$1,0)-1))*IF(E975="Rame",1,0),4)</f>
        <v>0</v>
      </c>
      <c r="N975" s="445"/>
      <c r="O975" s="445">
        <f t="shared" ca="1" si="232"/>
        <v>0</v>
      </c>
      <c r="P975" s="445">
        <f ca="1">ROUND(+IF(ISERROR(OFFSET(Tabella!$G$1,MATCH(H975,Tabella!$G:$G,0)-1,MATCH(I975,Tabella!$G$1:$FG$1,0)-1)=TRUE),0,OFFSET(Tabella!$G$1,MATCH(H975,Tabella!$G:$G,0)-1,MATCH(I975,Tabella!$G$1:$AB$1,0)-1)),4)</f>
        <v>0</v>
      </c>
      <c r="Q975" s="445">
        <f ca="1">ROUND(IF(ISERROR(OFFSET(Ottone!$F$1,MATCH(H975,Ottone!$A:$A,0)-1,MATCH(I975,Ottone!$F$1:$FF$1,0)-1)=TRUE),0,OFFSET(Ottone!$F$1,MATCH(H975,Ottone!$A:$A,0)-1,MATCH(I975,Ottone!$F$1:$FF$1,0)-1))*IF(E975="Ottone",1,0),4)</f>
        <v>0</v>
      </c>
      <c r="R975" s="445">
        <f ca="1">ROUND(IF(ISERROR(OFFSET(Rame!$F$1,MATCH(H975,Rame!$F:$F,0)-1,MATCH(I975,Rame!$F$1:$FF$1,0)-1)=TRUE),0,OFFSET(Rame!$F$1,MATCH(H975,Rame!$F:$F,0)-1,MATCH(I975,Rame!$F$1:$FF$1,0)-1))*IF(E975="Rame",1,0),4)</f>
        <v>0</v>
      </c>
      <c r="S975" s="445">
        <f ca="1">ROUND(IF(ISERROR(OFFSET(Bronzo!$A$1,MATCH(H975,Bronzo!$A:$A,0)-1,MATCH(I975,Bronzo!$A$1:$AA$1,0)-1)=TRUE),0,OFFSET(Bronzo!$A$1,MATCH(H975,Bronzo!$A:$A,0)-1,MATCH(I975,Bronzo!$A$1:$AA$1,0)-1)),4)</f>
        <v>0</v>
      </c>
      <c r="T975" s="445">
        <f t="shared" ca="1" si="223"/>
        <v>0</v>
      </c>
      <c r="U975" s="442"/>
      <c r="V975" s="445">
        <v>0</v>
      </c>
      <c r="W975" s="448">
        <f t="shared" ca="1" si="224"/>
        <v>0</v>
      </c>
      <c r="X975" s="451">
        <f t="shared" si="222"/>
        <v>0</v>
      </c>
      <c r="Y975" s="439"/>
      <c r="Z975" s="439">
        <f t="shared" ca="1" si="225"/>
        <v>0</v>
      </c>
      <c r="AA975" s="404"/>
      <c r="AF975" s="372">
        <f t="shared" ca="1" si="241"/>
        <v>46156</v>
      </c>
      <c r="AG975" s="372" t="b">
        <f t="shared" si="242"/>
        <v>1</v>
      </c>
      <c r="AH975" s="405" t="str">
        <f t="shared" si="243"/>
        <v/>
      </c>
      <c r="AK975">
        <f t="shared" si="244"/>
        <v>0</v>
      </c>
      <c r="AL975">
        <f t="shared" si="245"/>
        <v>1900</v>
      </c>
      <c r="AS975">
        <f t="shared" si="246"/>
        <v>0</v>
      </c>
      <c r="AT975">
        <f t="shared" si="247"/>
        <v>0</v>
      </c>
    </row>
    <row r="976" spans="1:46" customFormat="1" ht="15.75" x14ac:dyDescent="0.25">
      <c r="A976" s="369"/>
      <c r="B976" s="398"/>
      <c r="C976" s="399"/>
      <c r="D976" s="400"/>
      <c r="E976" s="401"/>
      <c r="F976" s="434"/>
      <c r="G976" s="402"/>
      <c r="H976" s="403"/>
      <c r="I976" s="403"/>
      <c r="J976" s="439"/>
      <c r="K976" s="442">
        <f ca="1">ROUND(IF(ISERROR(OFFSET(Tabella!$A$1,MATCH(H976,Tabella!$A:$A,0)-1,MATCH(J976,Tabella!$A$1:$AC$1,0)-1)=TRUE),0,+OFFSET(Tabella!$A$1,MATCH(H976,Tabella!$A:$A,0)-1,MATCH(J976,Tabella!$A$1:$AC$1,0)-1)),4)</f>
        <v>0</v>
      </c>
      <c r="L976" s="445">
        <f ca="1">ROUND(IF(ISERROR(OFFSET(Ottone!$A$1,MATCH(H976,Ottone!$A:$A,0)-1,MATCH(J976,Ottone!$A$1:$Z$1,0)-1)=TRUE),0,OFFSET(Ottone!$A$1,MATCH(H976,Ottone!$A:$A,0)-1,MATCH(J976,Ottone!$A$1:$Z$1,0)-1))*IF(E976="Ottone",1,0),4)</f>
        <v>0</v>
      </c>
      <c r="M976" s="445">
        <f ca="1">ROUND(IF(ISERROR(OFFSET(Rame!$A$1,MATCH(H976,Rame!$A:$A,0)-1,MATCH(J976,Rame!$A$1:$AA$1,0)-1)=TRUE),0,OFFSET(Rame!$A$1,MATCH(H976,Rame!$A:$A,0)-1,MATCH(J976,Rame!$A$1:$AA$1,0)-1))*IF(E976="Rame",1,0),4)</f>
        <v>0</v>
      </c>
      <c r="N976" s="445"/>
      <c r="O976" s="445">
        <f t="shared" ca="1" si="232"/>
        <v>0</v>
      </c>
      <c r="P976" s="445">
        <f ca="1">ROUND(+IF(ISERROR(OFFSET(Tabella!$G$1,MATCH(H976,Tabella!$G:$G,0)-1,MATCH(I976,Tabella!$G$1:$FG$1,0)-1)=TRUE),0,OFFSET(Tabella!$G$1,MATCH(H976,Tabella!$G:$G,0)-1,MATCH(I976,Tabella!$G$1:$AB$1,0)-1)),4)</f>
        <v>0</v>
      </c>
      <c r="Q976" s="445">
        <f ca="1">ROUND(IF(ISERROR(OFFSET(Ottone!$F$1,MATCH(H976,Ottone!$A:$A,0)-1,MATCH(I976,Ottone!$F$1:$FF$1,0)-1)=TRUE),0,OFFSET(Ottone!$F$1,MATCH(H976,Ottone!$A:$A,0)-1,MATCH(I976,Ottone!$F$1:$FF$1,0)-1))*IF(E976="Ottone",1,0),4)</f>
        <v>0</v>
      </c>
      <c r="R976" s="445">
        <f ca="1">ROUND(IF(ISERROR(OFFSET(Rame!$F$1,MATCH(H976,Rame!$F:$F,0)-1,MATCH(I976,Rame!$F$1:$FF$1,0)-1)=TRUE),0,OFFSET(Rame!$F$1,MATCH(H976,Rame!$F:$F,0)-1,MATCH(I976,Rame!$F$1:$FF$1,0)-1))*IF(E976="Rame",1,0),4)</f>
        <v>0</v>
      </c>
      <c r="S976" s="445">
        <f ca="1">ROUND(IF(ISERROR(OFFSET(Bronzo!$A$1,MATCH(H976,Bronzo!$A:$A,0)-1,MATCH(I976,Bronzo!$A$1:$AA$1,0)-1)=TRUE),0,OFFSET(Bronzo!$A$1,MATCH(H976,Bronzo!$A:$A,0)-1,MATCH(I976,Bronzo!$A$1:$AA$1,0)-1)),4)</f>
        <v>0</v>
      </c>
      <c r="T976" s="445">
        <f t="shared" ca="1" si="223"/>
        <v>0</v>
      </c>
      <c r="U976" s="442"/>
      <c r="V976" s="445">
        <v>0</v>
      </c>
      <c r="W976" s="448">
        <f t="shared" ca="1" si="224"/>
        <v>0</v>
      </c>
      <c r="X976" s="451">
        <f t="shared" si="222"/>
        <v>0</v>
      </c>
      <c r="Y976" s="439"/>
      <c r="Z976" s="439">
        <f t="shared" ca="1" si="225"/>
        <v>0</v>
      </c>
      <c r="AA976" s="404"/>
      <c r="AF976" s="372">
        <f t="shared" ca="1" si="241"/>
        <v>46156</v>
      </c>
      <c r="AG976" s="372" t="b">
        <f t="shared" si="242"/>
        <v>1</v>
      </c>
      <c r="AH976" s="405" t="str">
        <f t="shared" si="243"/>
        <v/>
      </c>
      <c r="AK976">
        <f t="shared" si="244"/>
        <v>0</v>
      </c>
      <c r="AL976">
        <f t="shared" si="245"/>
        <v>1900</v>
      </c>
      <c r="AS976">
        <f t="shared" si="246"/>
        <v>0</v>
      </c>
      <c r="AT976">
        <f t="shared" si="247"/>
        <v>0</v>
      </c>
    </row>
    <row r="977" spans="1:46" customFormat="1" ht="15.75" x14ac:dyDescent="0.25">
      <c r="A977" s="369"/>
      <c r="B977" s="398"/>
      <c r="C977" s="399"/>
      <c r="D977" s="400"/>
      <c r="E977" s="401"/>
      <c r="F977" s="434"/>
      <c r="G977" s="402"/>
      <c r="H977" s="403"/>
      <c r="I977" s="403"/>
      <c r="J977" s="439"/>
      <c r="K977" s="442">
        <f ca="1">ROUND(IF(ISERROR(OFFSET(Tabella!$A$1,MATCH(H977,Tabella!$A:$A,0)-1,MATCH(J977,Tabella!$A$1:$AC$1,0)-1)=TRUE),0,+OFFSET(Tabella!$A$1,MATCH(H977,Tabella!$A:$A,0)-1,MATCH(J977,Tabella!$A$1:$AC$1,0)-1)),4)</f>
        <v>0</v>
      </c>
      <c r="L977" s="445">
        <f ca="1">ROUND(IF(ISERROR(OFFSET(Ottone!$A$1,MATCH(H977,Ottone!$A:$A,0)-1,MATCH(J977,Ottone!$A$1:$Z$1,0)-1)=TRUE),0,OFFSET(Ottone!$A$1,MATCH(H977,Ottone!$A:$A,0)-1,MATCH(J977,Ottone!$A$1:$Z$1,0)-1))*IF(E977="Ottone",1,0),4)</f>
        <v>0</v>
      </c>
      <c r="M977" s="445">
        <f ca="1">ROUND(IF(ISERROR(OFFSET(Rame!$A$1,MATCH(H977,Rame!$A:$A,0)-1,MATCH(J977,Rame!$A$1:$AA$1,0)-1)=TRUE),0,OFFSET(Rame!$A$1,MATCH(H977,Rame!$A:$A,0)-1,MATCH(J977,Rame!$A$1:$AA$1,0)-1))*IF(E977="Rame",1,0),4)</f>
        <v>0</v>
      </c>
      <c r="N977" s="445"/>
      <c r="O977" s="445">
        <f t="shared" ca="1" si="232"/>
        <v>0</v>
      </c>
      <c r="P977" s="445">
        <f ca="1">ROUND(+IF(ISERROR(OFFSET(Tabella!$G$1,MATCH(H977,Tabella!$G:$G,0)-1,MATCH(I977,Tabella!$G$1:$FG$1,0)-1)=TRUE),0,OFFSET(Tabella!$G$1,MATCH(H977,Tabella!$G:$G,0)-1,MATCH(I977,Tabella!$G$1:$AB$1,0)-1)),4)</f>
        <v>0</v>
      </c>
      <c r="Q977" s="445">
        <f ca="1">ROUND(IF(ISERROR(OFFSET(Ottone!$F$1,MATCH(H977,Ottone!$A:$A,0)-1,MATCH(I977,Ottone!$F$1:$FF$1,0)-1)=TRUE),0,OFFSET(Ottone!$F$1,MATCH(H977,Ottone!$A:$A,0)-1,MATCH(I977,Ottone!$F$1:$FF$1,0)-1))*IF(E977="Ottone",1,0),4)</f>
        <v>0</v>
      </c>
      <c r="R977" s="445">
        <f ca="1">ROUND(IF(ISERROR(OFFSET(Rame!$F$1,MATCH(H977,Rame!$F:$F,0)-1,MATCH(I977,Rame!$F$1:$FF$1,0)-1)=TRUE),0,OFFSET(Rame!$F$1,MATCH(H977,Rame!$F:$F,0)-1,MATCH(I977,Rame!$F$1:$FF$1,0)-1))*IF(E977="Rame",1,0),4)</f>
        <v>0</v>
      </c>
      <c r="S977" s="445">
        <f ca="1">ROUND(IF(ISERROR(OFFSET(Bronzo!$A$1,MATCH(H977,Bronzo!$A:$A,0)-1,MATCH(I977,Bronzo!$A$1:$AA$1,0)-1)=TRUE),0,OFFSET(Bronzo!$A$1,MATCH(H977,Bronzo!$A:$A,0)-1,MATCH(I977,Bronzo!$A$1:$AA$1,0)-1)),4)</f>
        <v>0</v>
      </c>
      <c r="T977" s="445">
        <f t="shared" ca="1" si="223"/>
        <v>0</v>
      </c>
      <c r="U977" s="442"/>
      <c r="V977" s="445">
        <v>0</v>
      </c>
      <c r="W977" s="448">
        <f t="shared" ca="1" si="224"/>
        <v>0</v>
      </c>
      <c r="X977" s="451">
        <f t="shared" ref="X977:X1040" si="248">ROUND(+J977*D977,4)</f>
        <v>0</v>
      </c>
      <c r="Y977" s="439"/>
      <c r="Z977" s="439">
        <f t="shared" ca="1" si="225"/>
        <v>0</v>
      </c>
      <c r="AA977" s="404"/>
      <c r="AF977" s="372">
        <f t="shared" ca="1" si="241"/>
        <v>46156</v>
      </c>
      <c r="AG977" s="372" t="b">
        <f t="shared" si="242"/>
        <v>1</v>
      </c>
      <c r="AH977" s="405" t="str">
        <f t="shared" si="243"/>
        <v/>
      </c>
      <c r="AK977">
        <f t="shared" si="244"/>
        <v>0</v>
      </c>
      <c r="AL977">
        <f t="shared" si="245"/>
        <v>1900</v>
      </c>
      <c r="AS977">
        <f t="shared" si="246"/>
        <v>0</v>
      </c>
      <c r="AT977">
        <f t="shared" si="247"/>
        <v>0</v>
      </c>
    </row>
    <row r="978" spans="1:46" customFormat="1" ht="15.75" x14ac:dyDescent="0.25">
      <c r="A978" s="369"/>
      <c r="B978" s="398"/>
      <c r="C978" s="399"/>
      <c r="D978" s="400"/>
      <c r="E978" s="401"/>
      <c r="F978" s="434"/>
      <c r="G978" s="402"/>
      <c r="H978" s="403"/>
      <c r="I978" s="403"/>
      <c r="J978" s="439"/>
      <c r="K978" s="442">
        <f ca="1">ROUND(IF(ISERROR(OFFSET(Tabella!$A$1,MATCH(H978,Tabella!$A:$A,0)-1,MATCH(J978,Tabella!$A$1:$AC$1,0)-1)=TRUE),0,+OFFSET(Tabella!$A$1,MATCH(H978,Tabella!$A:$A,0)-1,MATCH(J978,Tabella!$A$1:$AC$1,0)-1)),4)</f>
        <v>0</v>
      </c>
      <c r="L978" s="445">
        <f ca="1">ROUND(IF(ISERROR(OFFSET(Ottone!$A$1,MATCH(H978,Ottone!$A:$A,0)-1,MATCH(J978,Ottone!$A$1:$Z$1,0)-1)=TRUE),0,OFFSET(Ottone!$A$1,MATCH(H978,Ottone!$A:$A,0)-1,MATCH(J978,Ottone!$A$1:$Z$1,0)-1))*IF(E978="Ottone",1,0),4)</f>
        <v>0</v>
      </c>
      <c r="M978" s="445">
        <f ca="1">ROUND(IF(ISERROR(OFFSET(Rame!$A$1,MATCH(H978,Rame!$A:$A,0)-1,MATCH(J978,Rame!$A$1:$AA$1,0)-1)=TRUE),0,OFFSET(Rame!$A$1,MATCH(H978,Rame!$A:$A,0)-1,MATCH(J978,Rame!$A$1:$AA$1,0)-1))*IF(E978="Rame",1,0),4)</f>
        <v>0</v>
      </c>
      <c r="N978" s="445"/>
      <c r="O978" s="445">
        <f t="shared" ca="1" si="232"/>
        <v>0</v>
      </c>
      <c r="P978" s="445">
        <f ca="1">ROUND(+IF(ISERROR(OFFSET(Tabella!$G$1,MATCH(H978,Tabella!$G:$G,0)-1,MATCH(I978,Tabella!$G$1:$FG$1,0)-1)=TRUE),0,OFFSET(Tabella!$G$1,MATCH(H978,Tabella!$G:$G,0)-1,MATCH(I978,Tabella!$G$1:$AB$1,0)-1)),4)</f>
        <v>0</v>
      </c>
      <c r="Q978" s="445">
        <f ca="1">ROUND(IF(ISERROR(OFFSET(Ottone!$F$1,MATCH(H978,Ottone!$A:$A,0)-1,MATCH(I978,Ottone!$F$1:$FF$1,0)-1)=TRUE),0,OFFSET(Ottone!$F$1,MATCH(H978,Ottone!$A:$A,0)-1,MATCH(I978,Ottone!$F$1:$FF$1,0)-1))*IF(E978="Ottone",1,0),4)</f>
        <v>0</v>
      </c>
      <c r="R978" s="445">
        <f ca="1">ROUND(IF(ISERROR(OFFSET(Rame!$F$1,MATCH(H978,Rame!$F:$F,0)-1,MATCH(I978,Rame!$F$1:$FF$1,0)-1)=TRUE),0,OFFSET(Rame!$F$1,MATCH(H978,Rame!$F:$F,0)-1,MATCH(I978,Rame!$F$1:$FF$1,0)-1))*IF(E978="Rame",1,0),4)</f>
        <v>0</v>
      </c>
      <c r="S978" s="445">
        <f ca="1">ROUND(IF(ISERROR(OFFSET(Bronzo!$A$1,MATCH(H978,Bronzo!$A:$A,0)-1,MATCH(I978,Bronzo!$A$1:$AA$1,0)-1)=TRUE),0,OFFSET(Bronzo!$A$1,MATCH(H978,Bronzo!$A:$A,0)-1,MATCH(I978,Bronzo!$A$1:$AA$1,0)-1)),4)</f>
        <v>0</v>
      </c>
      <c r="T978" s="445">
        <f t="shared" ca="1" si="223"/>
        <v>0</v>
      </c>
      <c r="U978" s="442"/>
      <c r="V978" s="445">
        <v>0</v>
      </c>
      <c r="W978" s="448">
        <f t="shared" ca="1" si="224"/>
        <v>0</v>
      </c>
      <c r="X978" s="451">
        <f t="shared" si="248"/>
        <v>0</v>
      </c>
      <c r="Y978" s="439"/>
      <c r="Z978" s="439">
        <f t="shared" ca="1" si="225"/>
        <v>0</v>
      </c>
      <c r="AA978" s="404"/>
      <c r="AF978" s="372">
        <f t="shared" ca="1" si="241"/>
        <v>46156</v>
      </c>
      <c r="AG978" s="372" t="b">
        <f t="shared" si="242"/>
        <v>1</v>
      </c>
      <c r="AH978" s="405" t="str">
        <f t="shared" si="243"/>
        <v/>
      </c>
      <c r="AK978">
        <f t="shared" si="244"/>
        <v>0</v>
      </c>
      <c r="AL978">
        <f t="shared" si="245"/>
        <v>1900</v>
      </c>
      <c r="AS978">
        <f t="shared" si="246"/>
        <v>0</v>
      </c>
      <c r="AT978">
        <f t="shared" si="247"/>
        <v>0</v>
      </c>
    </row>
    <row r="979" spans="1:46" customFormat="1" ht="15.75" x14ac:dyDescent="0.25">
      <c r="A979" s="369"/>
      <c r="B979" s="398"/>
      <c r="C979" s="399"/>
      <c r="D979" s="400"/>
      <c r="E979" s="401"/>
      <c r="F979" s="434"/>
      <c r="G979" s="402"/>
      <c r="H979" s="403"/>
      <c r="I979" s="403"/>
      <c r="J979" s="439"/>
      <c r="K979" s="442">
        <f ca="1">ROUND(IF(ISERROR(OFFSET(Tabella!$A$1,MATCH(H979,Tabella!$A:$A,0)-1,MATCH(J979,Tabella!$A$1:$AC$1,0)-1)=TRUE),0,+OFFSET(Tabella!$A$1,MATCH(H979,Tabella!$A:$A,0)-1,MATCH(J979,Tabella!$A$1:$AC$1,0)-1)),4)</f>
        <v>0</v>
      </c>
      <c r="L979" s="445">
        <f ca="1">ROUND(IF(ISERROR(OFFSET(Ottone!$A$1,MATCH(H979,Ottone!$A:$A,0)-1,MATCH(J979,Ottone!$A$1:$Z$1,0)-1)=TRUE),0,OFFSET(Ottone!$A$1,MATCH(H979,Ottone!$A:$A,0)-1,MATCH(J979,Ottone!$A$1:$Z$1,0)-1))*IF(E979="Ottone",1,0),4)</f>
        <v>0</v>
      </c>
      <c r="M979" s="445">
        <f ca="1">ROUND(IF(ISERROR(OFFSET(Rame!$A$1,MATCH(H979,Rame!$A:$A,0)-1,MATCH(J979,Rame!$A$1:$AA$1,0)-1)=TRUE),0,OFFSET(Rame!$A$1,MATCH(H979,Rame!$A:$A,0)-1,MATCH(J979,Rame!$A$1:$AA$1,0)-1))*IF(E979="Rame",1,0),4)</f>
        <v>0</v>
      </c>
      <c r="N979" s="445"/>
      <c r="O979" s="445">
        <f t="shared" ca="1" si="232"/>
        <v>0</v>
      </c>
      <c r="P979" s="445">
        <f ca="1">ROUND(+IF(ISERROR(OFFSET(Tabella!$G$1,MATCH(H979,Tabella!$G:$G,0)-1,MATCH(I979,Tabella!$G$1:$FG$1,0)-1)=TRUE),0,OFFSET(Tabella!$G$1,MATCH(H979,Tabella!$G:$G,0)-1,MATCH(I979,Tabella!$G$1:$AB$1,0)-1)),4)</f>
        <v>0</v>
      </c>
      <c r="Q979" s="445">
        <f ca="1">ROUND(IF(ISERROR(OFFSET(Ottone!$F$1,MATCH(H979,Ottone!$A:$A,0)-1,MATCH(I979,Ottone!$F$1:$FF$1,0)-1)=TRUE),0,OFFSET(Ottone!$F$1,MATCH(H979,Ottone!$A:$A,0)-1,MATCH(I979,Ottone!$F$1:$FF$1,0)-1))*IF(E979="Ottone",1,0),4)</f>
        <v>0</v>
      </c>
      <c r="R979" s="445">
        <f ca="1">ROUND(IF(ISERROR(OFFSET(Rame!$F$1,MATCH(H979,Rame!$F:$F,0)-1,MATCH(I979,Rame!$F$1:$FF$1,0)-1)=TRUE),0,OFFSET(Rame!$F$1,MATCH(H979,Rame!$F:$F,0)-1,MATCH(I979,Rame!$F$1:$FF$1,0)-1))*IF(E979="Rame",1,0),4)</f>
        <v>0</v>
      </c>
      <c r="S979" s="445">
        <f ca="1">ROUND(IF(ISERROR(OFFSET(Bronzo!$A$1,MATCH(H979,Bronzo!$A:$A,0)-1,MATCH(I979,Bronzo!$A$1:$AA$1,0)-1)=TRUE),0,OFFSET(Bronzo!$A$1,MATCH(H979,Bronzo!$A:$A,0)-1,MATCH(I979,Bronzo!$A$1:$AA$1,0)-1)),4)</f>
        <v>0</v>
      </c>
      <c r="T979" s="445">
        <f t="shared" ca="1" si="223"/>
        <v>0</v>
      </c>
      <c r="U979" s="442"/>
      <c r="V979" s="445">
        <v>0</v>
      </c>
      <c r="W979" s="448">
        <f t="shared" ca="1" si="224"/>
        <v>0</v>
      </c>
      <c r="X979" s="451">
        <f t="shared" si="248"/>
        <v>0</v>
      </c>
      <c r="Y979" s="439"/>
      <c r="Z979" s="439">
        <f t="shared" ca="1" si="225"/>
        <v>0</v>
      </c>
      <c r="AA979" s="404"/>
      <c r="AF979" s="372">
        <f t="shared" ref="AF979:AF1010" ca="1" si="249">TODAY()</f>
        <v>46156</v>
      </c>
      <c r="AG979" s="372" t="b">
        <f t="shared" ref="AG979:AG1010" si="250">ISBLANK(AA979)</f>
        <v>1</v>
      </c>
      <c r="AH979" s="405" t="str">
        <f t="shared" ref="AH979:AH1010" si="251">IF(AG979=FALSE,_xlfn.DAYS(AA979,AF979),"")</f>
        <v/>
      </c>
      <c r="AK979">
        <f t="shared" ref="AK979:AK1010" si="252">WEEKNUM(AA979)</f>
        <v>0</v>
      </c>
      <c r="AL979">
        <f t="shared" ref="AL979:AL1010" si="253">YEAR(AA979)</f>
        <v>1900</v>
      </c>
      <c r="AS979">
        <f t="shared" ref="AS979:AS1010" si="254">IF(AA979="",0,MONTH(AA979))</f>
        <v>0</v>
      </c>
      <c r="AT979">
        <f t="shared" ref="AT979:AT1010" si="255">IF(AA979="",0,YEAR(AA979))</f>
        <v>0</v>
      </c>
    </row>
    <row r="980" spans="1:46" customFormat="1" ht="15.75" x14ac:dyDescent="0.25">
      <c r="A980" s="369"/>
      <c r="B980" s="398"/>
      <c r="C980" s="399"/>
      <c r="D980" s="400"/>
      <c r="E980" s="401"/>
      <c r="F980" s="434"/>
      <c r="G980" s="402"/>
      <c r="H980" s="403"/>
      <c r="I980" s="403"/>
      <c r="J980" s="439"/>
      <c r="K980" s="442">
        <f ca="1">ROUND(IF(ISERROR(OFFSET(Tabella!$A$1,MATCH(H980,Tabella!$A:$A,0)-1,MATCH(J980,Tabella!$A$1:$AC$1,0)-1)=TRUE),0,+OFFSET(Tabella!$A$1,MATCH(H980,Tabella!$A:$A,0)-1,MATCH(J980,Tabella!$A$1:$AC$1,0)-1)),4)</f>
        <v>0</v>
      </c>
      <c r="L980" s="445">
        <f ca="1">ROUND(IF(ISERROR(OFFSET(Ottone!$A$1,MATCH(H980,Ottone!$A:$A,0)-1,MATCH(J980,Ottone!$A$1:$Z$1,0)-1)=TRUE),0,OFFSET(Ottone!$A$1,MATCH(H980,Ottone!$A:$A,0)-1,MATCH(J980,Ottone!$A$1:$Z$1,0)-1))*IF(E980="Ottone",1,0),4)</f>
        <v>0</v>
      </c>
      <c r="M980" s="445">
        <f ca="1">ROUND(IF(ISERROR(OFFSET(Rame!$A$1,MATCH(H980,Rame!$A:$A,0)-1,MATCH(J980,Rame!$A$1:$AA$1,0)-1)=TRUE),0,OFFSET(Rame!$A$1,MATCH(H980,Rame!$A:$A,0)-1,MATCH(J980,Rame!$A$1:$AA$1,0)-1))*IF(E980="Rame",1,0),4)</f>
        <v>0</v>
      </c>
      <c r="N980" s="445"/>
      <c r="O980" s="445">
        <f t="shared" ca="1" si="232"/>
        <v>0</v>
      </c>
      <c r="P980" s="445">
        <f ca="1">ROUND(+IF(ISERROR(OFFSET(Tabella!$G$1,MATCH(H980,Tabella!$G:$G,0)-1,MATCH(I980,Tabella!$G$1:$FG$1,0)-1)=TRUE),0,OFFSET(Tabella!$G$1,MATCH(H980,Tabella!$G:$G,0)-1,MATCH(I980,Tabella!$G$1:$AB$1,0)-1)),4)</f>
        <v>0</v>
      </c>
      <c r="Q980" s="445">
        <f ca="1">ROUND(IF(ISERROR(OFFSET(Ottone!$F$1,MATCH(H980,Ottone!$A:$A,0)-1,MATCH(I980,Ottone!$F$1:$FF$1,0)-1)=TRUE),0,OFFSET(Ottone!$F$1,MATCH(H980,Ottone!$A:$A,0)-1,MATCH(I980,Ottone!$F$1:$FF$1,0)-1))*IF(E980="Ottone",1,0),4)</f>
        <v>0</v>
      </c>
      <c r="R980" s="445">
        <f ca="1">ROUND(IF(ISERROR(OFFSET(Rame!$F$1,MATCH(H980,Rame!$F:$F,0)-1,MATCH(I980,Rame!$F$1:$FF$1,0)-1)=TRUE),0,OFFSET(Rame!$F$1,MATCH(H980,Rame!$F:$F,0)-1,MATCH(I980,Rame!$F$1:$FF$1,0)-1))*IF(E980="Rame",1,0),4)</f>
        <v>0</v>
      </c>
      <c r="S980" s="445">
        <f ca="1">ROUND(IF(ISERROR(OFFSET(Bronzo!$A$1,MATCH(H980,Bronzo!$A:$A,0)-1,MATCH(I980,Bronzo!$A$1:$AA$1,0)-1)=TRUE),0,OFFSET(Bronzo!$A$1,MATCH(H980,Bronzo!$A:$A,0)-1,MATCH(I980,Bronzo!$A$1:$AA$1,0)-1)),4)</f>
        <v>0</v>
      </c>
      <c r="T980" s="445">
        <f t="shared" ca="1" si="223"/>
        <v>0</v>
      </c>
      <c r="U980" s="442"/>
      <c r="V980" s="445">
        <v>0</v>
      </c>
      <c r="W980" s="448">
        <f t="shared" ca="1" si="224"/>
        <v>0</v>
      </c>
      <c r="X980" s="451">
        <f t="shared" si="248"/>
        <v>0</v>
      </c>
      <c r="Y980" s="439"/>
      <c r="Z980" s="439">
        <f t="shared" ca="1" si="225"/>
        <v>0</v>
      </c>
      <c r="AA980" s="404"/>
      <c r="AF980" s="372">
        <f t="shared" ca="1" si="249"/>
        <v>46156</v>
      </c>
      <c r="AG980" s="372" t="b">
        <f t="shared" si="250"/>
        <v>1</v>
      </c>
      <c r="AH980" s="405" t="str">
        <f t="shared" si="251"/>
        <v/>
      </c>
      <c r="AK980">
        <f t="shared" si="252"/>
        <v>0</v>
      </c>
      <c r="AL980">
        <f t="shared" si="253"/>
        <v>1900</v>
      </c>
      <c r="AS980">
        <f t="shared" si="254"/>
        <v>0</v>
      </c>
      <c r="AT980">
        <f t="shared" si="255"/>
        <v>0</v>
      </c>
    </row>
    <row r="981" spans="1:46" customFormat="1" ht="15.75" x14ac:dyDescent="0.25">
      <c r="A981" s="369"/>
      <c r="B981" s="398"/>
      <c r="C981" s="399"/>
      <c r="D981" s="400"/>
      <c r="E981" s="401"/>
      <c r="F981" s="434"/>
      <c r="G981" s="402"/>
      <c r="H981" s="403"/>
      <c r="I981" s="403"/>
      <c r="J981" s="439"/>
      <c r="K981" s="442">
        <f ca="1">ROUND(IF(ISERROR(OFFSET(Tabella!$A$1,MATCH(H981,Tabella!$A:$A,0)-1,MATCH(J981,Tabella!$A$1:$AC$1,0)-1)=TRUE),0,+OFFSET(Tabella!$A$1,MATCH(H981,Tabella!$A:$A,0)-1,MATCH(J981,Tabella!$A$1:$AC$1,0)-1)),4)</f>
        <v>0</v>
      </c>
      <c r="L981" s="445">
        <f ca="1">ROUND(IF(ISERROR(OFFSET(Ottone!$A$1,MATCH(H981,Ottone!$A:$A,0)-1,MATCH(J981,Ottone!$A$1:$Z$1,0)-1)=TRUE),0,OFFSET(Ottone!$A$1,MATCH(H981,Ottone!$A:$A,0)-1,MATCH(J981,Ottone!$A$1:$Z$1,0)-1))*IF(E981="Ottone",1,0),4)</f>
        <v>0</v>
      </c>
      <c r="M981" s="445">
        <f ca="1">ROUND(IF(ISERROR(OFFSET(Rame!$A$1,MATCH(H981,Rame!$A:$A,0)-1,MATCH(J981,Rame!$A$1:$AA$1,0)-1)=TRUE),0,OFFSET(Rame!$A$1,MATCH(H981,Rame!$A:$A,0)-1,MATCH(J981,Rame!$A$1:$AA$1,0)-1))*IF(E981="Rame",1,0),4)</f>
        <v>0</v>
      </c>
      <c r="N981" s="445"/>
      <c r="O981" s="445">
        <f t="shared" ca="1" si="232"/>
        <v>0</v>
      </c>
      <c r="P981" s="445">
        <f ca="1">ROUND(+IF(ISERROR(OFFSET(Tabella!$G$1,MATCH(H981,Tabella!$G:$G,0)-1,MATCH(I981,Tabella!$G$1:$FG$1,0)-1)=TRUE),0,OFFSET(Tabella!$G$1,MATCH(H981,Tabella!$G:$G,0)-1,MATCH(I981,Tabella!$G$1:$AB$1,0)-1)),4)</f>
        <v>0</v>
      </c>
      <c r="Q981" s="445">
        <f ca="1">ROUND(IF(ISERROR(OFFSET(Ottone!$F$1,MATCH(H981,Ottone!$A:$A,0)-1,MATCH(I981,Ottone!$F$1:$FF$1,0)-1)=TRUE),0,OFFSET(Ottone!$F$1,MATCH(H981,Ottone!$A:$A,0)-1,MATCH(I981,Ottone!$F$1:$FF$1,0)-1))*IF(E981="Ottone",1,0),4)</f>
        <v>0</v>
      </c>
      <c r="R981" s="445">
        <f ca="1">ROUND(IF(ISERROR(OFFSET(Rame!$F$1,MATCH(H981,Rame!$F:$F,0)-1,MATCH(I981,Rame!$F$1:$FF$1,0)-1)=TRUE),0,OFFSET(Rame!$F$1,MATCH(H981,Rame!$F:$F,0)-1,MATCH(I981,Rame!$F$1:$FF$1,0)-1))*IF(E981="Rame",1,0),4)</f>
        <v>0</v>
      </c>
      <c r="S981" s="445">
        <f ca="1">ROUND(IF(ISERROR(OFFSET(Bronzo!$A$1,MATCH(H981,Bronzo!$A:$A,0)-1,MATCH(I981,Bronzo!$A$1:$AA$1,0)-1)=TRUE),0,OFFSET(Bronzo!$A$1,MATCH(H981,Bronzo!$A:$A,0)-1,MATCH(I981,Bronzo!$A$1:$AA$1,0)-1)),4)</f>
        <v>0</v>
      </c>
      <c r="T981" s="445">
        <f t="shared" ca="1" si="223"/>
        <v>0</v>
      </c>
      <c r="U981" s="442"/>
      <c r="V981" s="445">
        <v>0</v>
      </c>
      <c r="W981" s="448">
        <f t="shared" ca="1" si="224"/>
        <v>0</v>
      </c>
      <c r="X981" s="451">
        <f t="shared" si="248"/>
        <v>0</v>
      </c>
      <c r="Y981" s="439"/>
      <c r="Z981" s="439">
        <f t="shared" ca="1" si="225"/>
        <v>0</v>
      </c>
      <c r="AA981" s="404"/>
      <c r="AF981" s="372">
        <f t="shared" ca="1" si="249"/>
        <v>46156</v>
      </c>
      <c r="AG981" s="372" t="b">
        <f t="shared" si="250"/>
        <v>1</v>
      </c>
      <c r="AH981" s="405" t="str">
        <f t="shared" si="251"/>
        <v/>
      </c>
      <c r="AK981">
        <f t="shared" si="252"/>
        <v>0</v>
      </c>
      <c r="AL981">
        <f t="shared" si="253"/>
        <v>1900</v>
      </c>
      <c r="AS981">
        <f t="shared" si="254"/>
        <v>0</v>
      </c>
      <c r="AT981">
        <f t="shared" si="255"/>
        <v>0</v>
      </c>
    </row>
    <row r="982" spans="1:46" customFormat="1" ht="15.75" x14ac:dyDescent="0.25">
      <c r="A982" s="369"/>
      <c r="B982" s="398"/>
      <c r="C982" s="399"/>
      <c r="D982" s="400"/>
      <c r="E982" s="401"/>
      <c r="F982" s="434"/>
      <c r="G982" s="402"/>
      <c r="H982" s="403"/>
      <c r="I982" s="403"/>
      <c r="J982" s="439"/>
      <c r="K982" s="442">
        <f ca="1">ROUND(IF(ISERROR(OFFSET(Tabella!$A$1,MATCH(H982,Tabella!$A:$A,0)-1,MATCH(J982,Tabella!$A$1:$AC$1,0)-1)=TRUE),0,+OFFSET(Tabella!$A$1,MATCH(H982,Tabella!$A:$A,0)-1,MATCH(J982,Tabella!$A$1:$AC$1,0)-1)),4)</f>
        <v>0</v>
      </c>
      <c r="L982" s="445">
        <f ca="1">ROUND(IF(ISERROR(OFFSET(Ottone!$A$1,MATCH(H982,Ottone!$A:$A,0)-1,MATCH(J982,Ottone!$A$1:$Z$1,0)-1)=TRUE),0,OFFSET(Ottone!$A$1,MATCH(H982,Ottone!$A:$A,0)-1,MATCH(J982,Ottone!$A$1:$Z$1,0)-1))*IF(E982="Ottone",1,0),4)</f>
        <v>0</v>
      </c>
      <c r="M982" s="445">
        <f ca="1">ROUND(IF(ISERROR(OFFSET(Rame!$A$1,MATCH(H982,Rame!$A:$A,0)-1,MATCH(J982,Rame!$A$1:$AA$1,0)-1)=TRUE),0,OFFSET(Rame!$A$1,MATCH(H982,Rame!$A:$A,0)-1,MATCH(J982,Rame!$A$1:$AA$1,0)-1))*IF(E982="Rame",1,0),4)</f>
        <v>0</v>
      </c>
      <c r="N982" s="445"/>
      <c r="O982" s="445">
        <f t="shared" ca="1" si="232"/>
        <v>0</v>
      </c>
      <c r="P982" s="445">
        <f ca="1">ROUND(+IF(ISERROR(OFFSET(Tabella!$G$1,MATCH(H982,Tabella!$G:$G,0)-1,MATCH(I982,Tabella!$G$1:$FG$1,0)-1)=TRUE),0,OFFSET(Tabella!$G$1,MATCH(H982,Tabella!$G:$G,0)-1,MATCH(I982,Tabella!$G$1:$AB$1,0)-1)),4)</f>
        <v>0</v>
      </c>
      <c r="Q982" s="445">
        <f ca="1">ROUND(IF(ISERROR(OFFSET(Ottone!$F$1,MATCH(H982,Ottone!$A:$A,0)-1,MATCH(I982,Ottone!$F$1:$FF$1,0)-1)=TRUE),0,OFFSET(Ottone!$F$1,MATCH(H982,Ottone!$A:$A,0)-1,MATCH(I982,Ottone!$F$1:$FF$1,0)-1))*IF(E982="Ottone",1,0),4)</f>
        <v>0</v>
      </c>
      <c r="R982" s="445">
        <f ca="1">ROUND(IF(ISERROR(OFFSET(Rame!$F$1,MATCH(H982,Rame!$F:$F,0)-1,MATCH(I982,Rame!$F$1:$FF$1,0)-1)=TRUE),0,OFFSET(Rame!$F$1,MATCH(H982,Rame!$F:$F,0)-1,MATCH(I982,Rame!$F$1:$FF$1,0)-1))*IF(E982="Rame",1,0),4)</f>
        <v>0</v>
      </c>
      <c r="S982" s="445">
        <f ca="1">ROUND(IF(ISERROR(OFFSET(Bronzo!$A$1,MATCH(H982,Bronzo!$A:$A,0)-1,MATCH(I982,Bronzo!$A$1:$AA$1,0)-1)=TRUE),0,OFFSET(Bronzo!$A$1,MATCH(H982,Bronzo!$A:$A,0)-1,MATCH(I982,Bronzo!$A$1:$AA$1,0)-1)),4)</f>
        <v>0</v>
      </c>
      <c r="T982" s="445">
        <f t="shared" ca="1" si="223"/>
        <v>0</v>
      </c>
      <c r="U982" s="442"/>
      <c r="V982" s="445">
        <v>0</v>
      </c>
      <c r="W982" s="448">
        <f t="shared" ca="1" si="224"/>
        <v>0</v>
      </c>
      <c r="X982" s="451">
        <f t="shared" si="248"/>
        <v>0</v>
      </c>
      <c r="Y982" s="439"/>
      <c r="Z982" s="439">
        <f t="shared" ca="1" si="225"/>
        <v>0</v>
      </c>
      <c r="AA982" s="404"/>
      <c r="AF982" s="372">
        <f t="shared" ca="1" si="249"/>
        <v>46156</v>
      </c>
      <c r="AG982" s="372" t="b">
        <f t="shared" si="250"/>
        <v>1</v>
      </c>
      <c r="AH982" s="405" t="str">
        <f t="shared" si="251"/>
        <v/>
      </c>
      <c r="AK982">
        <f t="shared" si="252"/>
        <v>0</v>
      </c>
      <c r="AL982">
        <f t="shared" si="253"/>
        <v>1900</v>
      </c>
      <c r="AS982">
        <f t="shared" si="254"/>
        <v>0</v>
      </c>
      <c r="AT982">
        <f t="shared" si="255"/>
        <v>0</v>
      </c>
    </row>
    <row r="983" spans="1:46" customFormat="1" ht="15.75" x14ac:dyDescent="0.25">
      <c r="A983" s="369"/>
      <c r="B983" s="398"/>
      <c r="C983" s="399"/>
      <c r="D983" s="400"/>
      <c r="E983" s="401"/>
      <c r="F983" s="434"/>
      <c r="G983" s="402"/>
      <c r="H983" s="403"/>
      <c r="I983" s="403"/>
      <c r="J983" s="439"/>
      <c r="K983" s="442">
        <f ca="1">ROUND(IF(ISERROR(OFFSET(Tabella!$A$1,MATCH(H983,Tabella!$A:$A,0)-1,MATCH(J983,Tabella!$A$1:$AC$1,0)-1)=TRUE),0,+OFFSET(Tabella!$A$1,MATCH(H983,Tabella!$A:$A,0)-1,MATCH(J983,Tabella!$A$1:$AC$1,0)-1)),4)</f>
        <v>0</v>
      </c>
      <c r="L983" s="445">
        <f ca="1">ROUND(IF(ISERROR(OFFSET(Ottone!$A$1,MATCH(H983,Ottone!$A:$A,0)-1,MATCH(J983,Ottone!$A$1:$Z$1,0)-1)=TRUE),0,OFFSET(Ottone!$A$1,MATCH(H983,Ottone!$A:$A,0)-1,MATCH(J983,Ottone!$A$1:$Z$1,0)-1))*IF(E983="Ottone",1,0),4)</f>
        <v>0</v>
      </c>
      <c r="M983" s="445">
        <f ca="1">ROUND(IF(ISERROR(OFFSET(Rame!$A$1,MATCH(H983,Rame!$A:$A,0)-1,MATCH(J983,Rame!$A$1:$AA$1,0)-1)=TRUE),0,OFFSET(Rame!$A$1,MATCH(H983,Rame!$A:$A,0)-1,MATCH(J983,Rame!$A$1:$AA$1,0)-1))*IF(E983="Rame",1,0),4)</f>
        <v>0</v>
      </c>
      <c r="N983" s="445"/>
      <c r="O983" s="445">
        <f t="shared" ca="1" si="232"/>
        <v>0</v>
      </c>
      <c r="P983" s="445">
        <f ca="1">ROUND(+IF(ISERROR(OFFSET(Tabella!$G$1,MATCH(H983,Tabella!$G:$G,0)-1,MATCH(I983,Tabella!$G$1:$FG$1,0)-1)=TRUE),0,OFFSET(Tabella!$G$1,MATCH(H983,Tabella!$G:$G,0)-1,MATCH(I983,Tabella!$G$1:$AB$1,0)-1)),4)</f>
        <v>0</v>
      </c>
      <c r="Q983" s="445">
        <f ca="1">ROUND(IF(ISERROR(OFFSET(Ottone!$F$1,MATCH(H983,Ottone!$A:$A,0)-1,MATCH(I983,Ottone!$F$1:$FF$1,0)-1)=TRUE),0,OFFSET(Ottone!$F$1,MATCH(H983,Ottone!$A:$A,0)-1,MATCH(I983,Ottone!$F$1:$FF$1,0)-1))*IF(E983="Ottone",1,0),4)</f>
        <v>0</v>
      </c>
      <c r="R983" s="445">
        <f ca="1">ROUND(IF(ISERROR(OFFSET(Rame!$F$1,MATCH(H983,Rame!$F:$F,0)-1,MATCH(I983,Rame!$F$1:$FF$1,0)-1)=TRUE),0,OFFSET(Rame!$F$1,MATCH(H983,Rame!$F:$F,0)-1,MATCH(I983,Rame!$F$1:$FF$1,0)-1))*IF(E983="Rame",1,0),4)</f>
        <v>0</v>
      </c>
      <c r="S983" s="445">
        <f ca="1">ROUND(IF(ISERROR(OFFSET(Bronzo!$A$1,MATCH(H983,Bronzo!$A:$A,0)-1,MATCH(I983,Bronzo!$A$1:$AA$1,0)-1)=TRUE),0,OFFSET(Bronzo!$A$1,MATCH(H983,Bronzo!$A:$A,0)-1,MATCH(I983,Bronzo!$A$1:$AA$1,0)-1)),4)</f>
        <v>0</v>
      </c>
      <c r="T983" s="445">
        <f t="shared" ref="T983:T1046" ca="1" si="256">ROUND(SUM(P983:S983),4)</f>
        <v>0</v>
      </c>
      <c r="U983" s="442"/>
      <c r="V983" s="445">
        <v>0</v>
      </c>
      <c r="W983" s="448">
        <f t="shared" ref="W983:W1046" ca="1" si="257">ROUND(+O983+T983+U983+V983,4)</f>
        <v>0</v>
      </c>
      <c r="X983" s="451">
        <f t="shared" si="248"/>
        <v>0</v>
      </c>
      <c r="Y983" s="439"/>
      <c r="Z983" s="439">
        <f t="shared" ref="Z983:Z1046" ca="1" si="258">ROUND(+Y983-W983-F983,4)</f>
        <v>0</v>
      </c>
      <c r="AA983" s="404"/>
      <c r="AF983" s="372">
        <f t="shared" ca="1" si="249"/>
        <v>46156</v>
      </c>
      <c r="AG983" s="372" t="b">
        <f t="shared" si="250"/>
        <v>1</v>
      </c>
      <c r="AH983" s="405" t="str">
        <f t="shared" si="251"/>
        <v/>
      </c>
      <c r="AK983">
        <f t="shared" si="252"/>
        <v>0</v>
      </c>
      <c r="AL983">
        <f t="shared" si="253"/>
        <v>1900</v>
      </c>
      <c r="AS983">
        <f t="shared" si="254"/>
        <v>0</v>
      </c>
      <c r="AT983">
        <f t="shared" si="255"/>
        <v>0</v>
      </c>
    </row>
    <row r="984" spans="1:46" customFormat="1" ht="15.75" x14ac:dyDescent="0.25">
      <c r="A984" s="369"/>
      <c r="B984" s="398"/>
      <c r="C984" s="399"/>
      <c r="D984" s="400"/>
      <c r="E984" s="401"/>
      <c r="F984" s="434"/>
      <c r="G984" s="402"/>
      <c r="H984" s="403"/>
      <c r="I984" s="403"/>
      <c r="J984" s="439"/>
      <c r="K984" s="442">
        <f ca="1">ROUND(IF(ISERROR(OFFSET(Tabella!$A$1,MATCH(H984,Tabella!$A:$A,0)-1,MATCH(J984,Tabella!$A$1:$AC$1,0)-1)=TRUE),0,+OFFSET(Tabella!$A$1,MATCH(H984,Tabella!$A:$A,0)-1,MATCH(J984,Tabella!$A$1:$AC$1,0)-1)),4)</f>
        <v>0</v>
      </c>
      <c r="L984" s="445">
        <f ca="1">ROUND(IF(ISERROR(OFFSET(Ottone!$A$1,MATCH(H984,Ottone!$A:$A,0)-1,MATCH(J984,Ottone!$A$1:$Z$1,0)-1)=TRUE),0,OFFSET(Ottone!$A$1,MATCH(H984,Ottone!$A:$A,0)-1,MATCH(J984,Ottone!$A$1:$Z$1,0)-1))*IF(E984="Ottone",1,0),4)</f>
        <v>0</v>
      </c>
      <c r="M984" s="445">
        <f ca="1">ROUND(IF(ISERROR(OFFSET(Rame!$A$1,MATCH(H984,Rame!$A:$A,0)-1,MATCH(J984,Rame!$A$1:$AA$1,0)-1)=TRUE),0,OFFSET(Rame!$A$1,MATCH(H984,Rame!$A:$A,0)-1,MATCH(J984,Rame!$A$1:$AA$1,0)-1))*IF(E984="Rame",1,0),4)</f>
        <v>0</v>
      </c>
      <c r="N984" s="445"/>
      <c r="O984" s="445">
        <f t="shared" ca="1" si="232"/>
        <v>0</v>
      </c>
      <c r="P984" s="445">
        <f ca="1">ROUND(+IF(ISERROR(OFFSET(Tabella!$G$1,MATCH(H984,Tabella!$G:$G,0)-1,MATCH(I984,Tabella!$G$1:$FG$1,0)-1)=TRUE),0,OFFSET(Tabella!$G$1,MATCH(H984,Tabella!$G:$G,0)-1,MATCH(I984,Tabella!$G$1:$AB$1,0)-1)),4)</f>
        <v>0</v>
      </c>
      <c r="Q984" s="445">
        <f ca="1">ROUND(IF(ISERROR(OFFSET(Ottone!$F$1,MATCH(H984,Ottone!$A:$A,0)-1,MATCH(I984,Ottone!$F$1:$FF$1,0)-1)=TRUE),0,OFFSET(Ottone!$F$1,MATCH(H984,Ottone!$A:$A,0)-1,MATCH(I984,Ottone!$F$1:$FF$1,0)-1))*IF(E984="Ottone",1,0),4)</f>
        <v>0</v>
      </c>
      <c r="R984" s="445">
        <f ca="1">ROUND(IF(ISERROR(OFFSET(Rame!$F$1,MATCH(H984,Rame!$F:$F,0)-1,MATCH(I984,Rame!$F$1:$FF$1,0)-1)=TRUE),0,OFFSET(Rame!$F$1,MATCH(H984,Rame!$F:$F,0)-1,MATCH(I984,Rame!$F$1:$FF$1,0)-1))*IF(E984="Rame",1,0),4)</f>
        <v>0</v>
      </c>
      <c r="S984" s="445">
        <f ca="1">ROUND(IF(ISERROR(OFFSET(Bronzo!$A$1,MATCH(H984,Bronzo!$A:$A,0)-1,MATCH(I984,Bronzo!$A$1:$AA$1,0)-1)=TRUE),0,OFFSET(Bronzo!$A$1,MATCH(H984,Bronzo!$A:$A,0)-1,MATCH(I984,Bronzo!$A$1:$AA$1,0)-1)),4)</f>
        <v>0</v>
      </c>
      <c r="T984" s="445">
        <f t="shared" ca="1" si="256"/>
        <v>0</v>
      </c>
      <c r="U984" s="442"/>
      <c r="V984" s="445">
        <v>0</v>
      </c>
      <c r="W984" s="448">
        <f t="shared" ca="1" si="257"/>
        <v>0</v>
      </c>
      <c r="X984" s="451">
        <f t="shared" si="248"/>
        <v>0</v>
      </c>
      <c r="Y984" s="439"/>
      <c r="Z984" s="439">
        <f t="shared" ca="1" si="258"/>
        <v>0</v>
      </c>
      <c r="AA984" s="404"/>
      <c r="AF984" s="372">
        <f t="shared" ca="1" si="249"/>
        <v>46156</v>
      </c>
      <c r="AG984" s="372" t="b">
        <f t="shared" si="250"/>
        <v>1</v>
      </c>
      <c r="AH984" s="405" t="str">
        <f t="shared" si="251"/>
        <v/>
      </c>
      <c r="AK984">
        <f t="shared" si="252"/>
        <v>0</v>
      </c>
      <c r="AL984">
        <f t="shared" si="253"/>
        <v>1900</v>
      </c>
      <c r="AS984">
        <f t="shared" si="254"/>
        <v>0</v>
      </c>
      <c r="AT984">
        <f t="shared" si="255"/>
        <v>0</v>
      </c>
    </row>
    <row r="985" spans="1:46" customFormat="1" ht="15.75" x14ac:dyDescent="0.25">
      <c r="A985" s="369"/>
      <c r="B985" s="398"/>
      <c r="C985" s="399"/>
      <c r="D985" s="400"/>
      <c r="E985" s="401"/>
      <c r="F985" s="434"/>
      <c r="G985" s="402"/>
      <c r="H985" s="403"/>
      <c r="I985" s="403"/>
      <c r="J985" s="439"/>
      <c r="K985" s="442">
        <f ca="1">ROUND(IF(ISERROR(OFFSET(Tabella!$A$1,MATCH(H985,Tabella!$A:$A,0)-1,MATCH(J985,Tabella!$A$1:$AC$1,0)-1)=TRUE),0,+OFFSET(Tabella!$A$1,MATCH(H985,Tabella!$A:$A,0)-1,MATCH(J985,Tabella!$A$1:$AC$1,0)-1)),4)</f>
        <v>0</v>
      </c>
      <c r="L985" s="445">
        <f ca="1">ROUND(IF(ISERROR(OFFSET(Ottone!$A$1,MATCH(H985,Ottone!$A:$A,0)-1,MATCH(J985,Ottone!$A$1:$Z$1,0)-1)=TRUE),0,OFFSET(Ottone!$A$1,MATCH(H985,Ottone!$A:$A,0)-1,MATCH(J985,Ottone!$A$1:$Z$1,0)-1))*IF(E985="Ottone",1,0),4)</f>
        <v>0</v>
      </c>
      <c r="M985" s="445">
        <f ca="1">ROUND(IF(ISERROR(OFFSET(Rame!$A$1,MATCH(H985,Rame!$A:$A,0)-1,MATCH(J985,Rame!$A$1:$AA$1,0)-1)=TRUE),0,OFFSET(Rame!$A$1,MATCH(H985,Rame!$A:$A,0)-1,MATCH(J985,Rame!$A$1:$AA$1,0)-1))*IF(E985="Rame",1,0),4)</f>
        <v>0</v>
      </c>
      <c r="N985" s="445"/>
      <c r="O985" s="445">
        <f t="shared" ca="1" si="232"/>
        <v>0</v>
      </c>
      <c r="P985" s="445">
        <f ca="1">ROUND(+IF(ISERROR(OFFSET(Tabella!$G$1,MATCH(H985,Tabella!$G:$G,0)-1,MATCH(I985,Tabella!$G$1:$FG$1,0)-1)=TRUE),0,OFFSET(Tabella!$G$1,MATCH(H985,Tabella!$G:$G,0)-1,MATCH(I985,Tabella!$G$1:$AB$1,0)-1)),4)</f>
        <v>0</v>
      </c>
      <c r="Q985" s="445">
        <f ca="1">ROUND(IF(ISERROR(OFFSET(Ottone!$F$1,MATCH(H985,Ottone!$A:$A,0)-1,MATCH(I985,Ottone!$F$1:$FF$1,0)-1)=TRUE),0,OFFSET(Ottone!$F$1,MATCH(H985,Ottone!$A:$A,0)-1,MATCH(I985,Ottone!$F$1:$FF$1,0)-1))*IF(E985="Ottone",1,0),4)</f>
        <v>0</v>
      </c>
      <c r="R985" s="445">
        <f ca="1">ROUND(IF(ISERROR(OFFSET(Rame!$F$1,MATCH(H985,Rame!$F:$F,0)-1,MATCH(I985,Rame!$F$1:$FF$1,0)-1)=TRUE),0,OFFSET(Rame!$F$1,MATCH(H985,Rame!$F:$F,0)-1,MATCH(I985,Rame!$F$1:$FF$1,0)-1))*IF(E985="Rame",1,0),4)</f>
        <v>0</v>
      </c>
      <c r="S985" s="445">
        <f ca="1">ROUND(IF(ISERROR(OFFSET(Bronzo!$A$1,MATCH(H985,Bronzo!$A:$A,0)-1,MATCH(I985,Bronzo!$A$1:$AA$1,0)-1)=TRUE),0,OFFSET(Bronzo!$A$1,MATCH(H985,Bronzo!$A:$A,0)-1,MATCH(I985,Bronzo!$A$1:$AA$1,0)-1)),4)</f>
        <v>0</v>
      </c>
      <c r="T985" s="445">
        <f t="shared" ca="1" si="256"/>
        <v>0</v>
      </c>
      <c r="U985" s="442"/>
      <c r="V985" s="445">
        <v>0</v>
      </c>
      <c r="W985" s="448">
        <f t="shared" ca="1" si="257"/>
        <v>0</v>
      </c>
      <c r="X985" s="451">
        <f t="shared" si="248"/>
        <v>0</v>
      </c>
      <c r="Y985" s="439"/>
      <c r="Z985" s="439">
        <f t="shared" ca="1" si="258"/>
        <v>0</v>
      </c>
      <c r="AA985" s="404"/>
      <c r="AF985" s="372">
        <f t="shared" ca="1" si="249"/>
        <v>46156</v>
      </c>
      <c r="AG985" s="372" t="b">
        <f t="shared" si="250"/>
        <v>1</v>
      </c>
      <c r="AH985" s="405" t="str">
        <f t="shared" si="251"/>
        <v/>
      </c>
      <c r="AK985">
        <f t="shared" si="252"/>
        <v>0</v>
      </c>
      <c r="AL985">
        <f t="shared" si="253"/>
        <v>1900</v>
      </c>
      <c r="AS985">
        <f t="shared" si="254"/>
        <v>0</v>
      </c>
      <c r="AT985">
        <f t="shared" si="255"/>
        <v>0</v>
      </c>
    </row>
    <row r="986" spans="1:46" customFormat="1" ht="15.75" x14ac:dyDescent="0.25">
      <c r="A986" s="369"/>
      <c r="B986" s="398"/>
      <c r="C986" s="399"/>
      <c r="D986" s="400"/>
      <c r="E986" s="401"/>
      <c r="F986" s="434"/>
      <c r="G986" s="402"/>
      <c r="H986" s="403"/>
      <c r="I986" s="403"/>
      <c r="J986" s="439"/>
      <c r="K986" s="442">
        <f ca="1">ROUND(IF(ISERROR(OFFSET(Tabella!$A$1,MATCH(H986,Tabella!$A:$A,0)-1,MATCH(J986,Tabella!$A$1:$AC$1,0)-1)=TRUE),0,+OFFSET(Tabella!$A$1,MATCH(H986,Tabella!$A:$A,0)-1,MATCH(J986,Tabella!$A$1:$AC$1,0)-1)),4)</f>
        <v>0</v>
      </c>
      <c r="L986" s="445">
        <f ca="1">ROUND(IF(ISERROR(OFFSET(Ottone!$A$1,MATCH(H986,Ottone!$A:$A,0)-1,MATCH(J986,Ottone!$A$1:$Z$1,0)-1)=TRUE),0,OFFSET(Ottone!$A$1,MATCH(H986,Ottone!$A:$A,0)-1,MATCH(J986,Ottone!$A$1:$Z$1,0)-1))*IF(E986="Ottone",1,0),4)</f>
        <v>0</v>
      </c>
      <c r="M986" s="445">
        <f ca="1">ROUND(IF(ISERROR(OFFSET(Rame!$A$1,MATCH(H986,Rame!$A:$A,0)-1,MATCH(J986,Rame!$A$1:$AA$1,0)-1)=TRUE),0,OFFSET(Rame!$A$1,MATCH(H986,Rame!$A:$A,0)-1,MATCH(J986,Rame!$A$1:$AA$1,0)-1))*IF(E986="Rame",1,0),4)</f>
        <v>0</v>
      </c>
      <c r="N986" s="445"/>
      <c r="O986" s="445">
        <f t="shared" ca="1" si="232"/>
        <v>0</v>
      </c>
      <c r="P986" s="445">
        <f ca="1">ROUND(+IF(ISERROR(OFFSET(Tabella!$G$1,MATCH(H986,Tabella!$G:$G,0)-1,MATCH(I986,Tabella!$G$1:$FG$1,0)-1)=TRUE),0,OFFSET(Tabella!$G$1,MATCH(H986,Tabella!$G:$G,0)-1,MATCH(I986,Tabella!$G$1:$AB$1,0)-1)),4)</f>
        <v>0</v>
      </c>
      <c r="Q986" s="445">
        <f ca="1">ROUND(IF(ISERROR(OFFSET(Ottone!$F$1,MATCH(H986,Ottone!$A:$A,0)-1,MATCH(I986,Ottone!$F$1:$FF$1,0)-1)=TRUE),0,OFFSET(Ottone!$F$1,MATCH(H986,Ottone!$A:$A,0)-1,MATCH(I986,Ottone!$F$1:$FF$1,0)-1))*IF(E986="Ottone",1,0),4)</f>
        <v>0</v>
      </c>
      <c r="R986" s="445">
        <f ca="1">ROUND(IF(ISERROR(OFFSET(Rame!$F$1,MATCH(H986,Rame!$F:$F,0)-1,MATCH(I986,Rame!$F$1:$FF$1,0)-1)=TRUE),0,OFFSET(Rame!$F$1,MATCH(H986,Rame!$F:$F,0)-1,MATCH(I986,Rame!$F$1:$FF$1,0)-1))*IF(E986="Rame",1,0),4)</f>
        <v>0</v>
      </c>
      <c r="S986" s="445">
        <f ca="1">ROUND(IF(ISERROR(OFFSET(Bronzo!$A$1,MATCH(H986,Bronzo!$A:$A,0)-1,MATCH(I986,Bronzo!$A$1:$AA$1,0)-1)=TRUE),0,OFFSET(Bronzo!$A$1,MATCH(H986,Bronzo!$A:$A,0)-1,MATCH(I986,Bronzo!$A$1:$AA$1,0)-1)),4)</f>
        <v>0</v>
      </c>
      <c r="T986" s="445">
        <f t="shared" ca="1" si="256"/>
        <v>0</v>
      </c>
      <c r="U986" s="442"/>
      <c r="V986" s="445">
        <v>0</v>
      </c>
      <c r="W986" s="448">
        <f t="shared" ca="1" si="257"/>
        <v>0</v>
      </c>
      <c r="X986" s="451">
        <f t="shared" si="248"/>
        <v>0</v>
      </c>
      <c r="Y986" s="439"/>
      <c r="Z986" s="439">
        <f t="shared" ca="1" si="258"/>
        <v>0</v>
      </c>
      <c r="AA986" s="404"/>
      <c r="AF986" s="372">
        <f t="shared" ca="1" si="249"/>
        <v>46156</v>
      </c>
      <c r="AG986" s="372" t="b">
        <f t="shared" si="250"/>
        <v>1</v>
      </c>
      <c r="AH986" s="405" t="str">
        <f t="shared" si="251"/>
        <v/>
      </c>
      <c r="AK986">
        <f t="shared" si="252"/>
        <v>0</v>
      </c>
      <c r="AL986">
        <f t="shared" si="253"/>
        <v>1900</v>
      </c>
      <c r="AS986">
        <f t="shared" si="254"/>
        <v>0</v>
      </c>
      <c r="AT986">
        <f t="shared" si="255"/>
        <v>0</v>
      </c>
    </row>
    <row r="987" spans="1:46" customFormat="1" ht="15.75" x14ac:dyDescent="0.25">
      <c r="A987" s="369"/>
      <c r="B987" s="398"/>
      <c r="C987" s="399"/>
      <c r="D987" s="400"/>
      <c r="E987" s="401"/>
      <c r="F987" s="434"/>
      <c r="G987" s="402"/>
      <c r="H987" s="403"/>
      <c r="I987" s="403"/>
      <c r="J987" s="439"/>
      <c r="K987" s="442">
        <f ca="1">ROUND(IF(ISERROR(OFFSET(Tabella!$A$1,MATCH(H987,Tabella!$A:$A,0)-1,MATCH(J987,Tabella!$A$1:$AC$1,0)-1)=TRUE),0,+OFFSET(Tabella!$A$1,MATCH(H987,Tabella!$A:$A,0)-1,MATCH(J987,Tabella!$A$1:$AC$1,0)-1)),4)</f>
        <v>0</v>
      </c>
      <c r="L987" s="445">
        <f ca="1">ROUND(IF(ISERROR(OFFSET(Ottone!$A$1,MATCH(H987,Ottone!$A:$A,0)-1,MATCH(J987,Ottone!$A$1:$Z$1,0)-1)=TRUE),0,OFFSET(Ottone!$A$1,MATCH(H987,Ottone!$A:$A,0)-1,MATCH(J987,Ottone!$A$1:$Z$1,0)-1))*IF(E987="Ottone",1,0),4)</f>
        <v>0</v>
      </c>
      <c r="M987" s="445">
        <f ca="1">ROUND(IF(ISERROR(OFFSET(Rame!$A$1,MATCH(H987,Rame!$A:$A,0)-1,MATCH(J987,Rame!$A$1:$AA$1,0)-1)=TRUE),0,OFFSET(Rame!$A$1,MATCH(H987,Rame!$A:$A,0)-1,MATCH(J987,Rame!$A$1:$AA$1,0)-1))*IF(E987="Rame",1,0),4)</f>
        <v>0</v>
      </c>
      <c r="N987" s="445"/>
      <c r="O987" s="445">
        <f t="shared" ca="1" si="232"/>
        <v>0</v>
      </c>
      <c r="P987" s="445">
        <f ca="1">ROUND(+IF(ISERROR(OFFSET(Tabella!$G$1,MATCH(H987,Tabella!$G:$G,0)-1,MATCH(I987,Tabella!$G$1:$FG$1,0)-1)=TRUE),0,OFFSET(Tabella!$G$1,MATCH(H987,Tabella!$G:$G,0)-1,MATCH(I987,Tabella!$G$1:$AB$1,0)-1)),4)</f>
        <v>0</v>
      </c>
      <c r="Q987" s="445">
        <f ca="1">ROUND(IF(ISERROR(OFFSET(Ottone!$F$1,MATCH(H987,Ottone!$A:$A,0)-1,MATCH(I987,Ottone!$F$1:$FF$1,0)-1)=TRUE),0,OFFSET(Ottone!$F$1,MATCH(H987,Ottone!$A:$A,0)-1,MATCH(I987,Ottone!$F$1:$FF$1,0)-1))*IF(E987="Ottone",1,0),4)</f>
        <v>0</v>
      </c>
      <c r="R987" s="445">
        <f ca="1">ROUND(IF(ISERROR(OFFSET(Rame!$F$1,MATCH(H987,Rame!$F:$F,0)-1,MATCH(I987,Rame!$F$1:$FF$1,0)-1)=TRUE),0,OFFSET(Rame!$F$1,MATCH(H987,Rame!$F:$F,0)-1,MATCH(I987,Rame!$F$1:$FF$1,0)-1))*IF(E987="Rame",1,0),4)</f>
        <v>0</v>
      </c>
      <c r="S987" s="445">
        <f ca="1">ROUND(IF(ISERROR(OFFSET(Bronzo!$A$1,MATCH(H987,Bronzo!$A:$A,0)-1,MATCH(I987,Bronzo!$A$1:$AA$1,0)-1)=TRUE),0,OFFSET(Bronzo!$A$1,MATCH(H987,Bronzo!$A:$A,0)-1,MATCH(I987,Bronzo!$A$1:$AA$1,0)-1)),4)</f>
        <v>0</v>
      </c>
      <c r="T987" s="445">
        <f t="shared" ca="1" si="256"/>
        <v>0</v>
      </c>
      <c r="U987" s="442"/>
      <c r="V987" s="445">
        <v>0</v>
      </c>
      <c r="W987" s="448">
        <f t="shared" ca="1" si="257"/>
        <v>0</v>
      </c>
      <c r="X987" s="451">
        <f t="shared" si="248"/>
        <v>0</v>
      </c>
      <c r="Y987" s="439"/>
      <c r="Z987" s="439">
        <f t="shared" ca="1" si="258"/>
        <v>0</v>
      </c>
      <c r="AA987" s="404"/>
      <c r="AF987" s="372">
        <f t="shared" ca="1" si="249"/>
        <v>46156</v>
      </c>
      <c r="AG987" s="372" t="b">
        <f t="shared" si="250"/>
        <v>1</v>
      </c>
      <c r="AH987" s="405" t="str">
        <f t="shared" si="251"/>
        <v/>
      </c>
      <c r="AK987">
        <f t="shared" si="252"/>
        <v>0</v>
      </c>
      <c r="AL987">
        <f t="shared" si="253"/>
        <v>1900</v>
      </c>
      <c r="AS987">
        <f t="shared" si="254"/>
        <v>0</v>
      </c>
      <c r="AT987">
        <f t="shared" si="255"/>
        <v>0</v>
      </c>
    </row>
    <row r="988" spans="1:46" customFormat="1" ht="15.75" x14ac:dyDescent="0.25">
      <c r="A988" s="369"/>
      <c r="B988" s="398"/>
      <c r="C988" s="399"/>
      <c r="D988" s="400"/>
      <c r="E988" s="401"/>
      <c r="F988" s="434"/>
      <c r="G988" s="402"/>
      <c r="H988" s="403"/>
      <c r="I988" s="403"/>
      <c r="J988" s="439"/>
      <c r="K988" s="442">
        <f ca="1">ROUND(IF(ISERROR(OFFSET(Tabella!$A$1,MATCH(H988,Tabella!$A:$A,0)-1,MATCH(J988,Tabella!$A$1:$AC$1,0)-1)=TRUE),0,+OFFSET(Tabella!$A$1,MATCH(H988,Tabella!$A:$A,0)-1,MATCH(J988,Tabella!$A$1:$AC$1,0)-1)),4)</f>
        <v>0</v>
      </c>
      <c r="L988" s="445">
        <f ca="1">ROUND(IF(ISERROR(OFFSET(Ottone!$A$1,MATCH(H988,Ottone!$A:$A,0)-1,MATCH(J988,Ottone!$A$1:$Z$1,0)-1)=TRUE),0,OFFSET(Ottone!$A$1,MATCH(H988,Ottone!$A:$A,0)-1,MATCH(J988,Ottone!$A$1:$Z$1,0)-1))*IF(E988="Ottone",1,0),4)</f>
        <v>0</v>
      </c>
      <c r="M988" s="445">
        <f ca="1">ROUND(IF(ISERROR(OFFSET(Rame!$A$1,MATCH(H988,Rame!$A:$A,0)-1,MATCH(J988,Rame!$A$1:$AA$1,0)-1)=TRUE),0,OFFSET(Rame!$A$1,MATCH(H988,Rame!$A:$A,0)-1,MATCH(J988,Rame!$A$1:$AA$1,0)-1))*IF(E988="Rame",1,0),4)</f>
        <v>0</v>
      </c>
      <c r="N988" s="445"/>
      <c r="O988" s="445">
        <f t="shared" ca="1" si="232"/>
        <v>0</v>
      </c>
      <c r="P988" s="445">
        <f ca="1">ROUND(+IF(ISERROR(OFFSET(Tabella!$G$1,MATCH(H988,Tabella!$G:$G,0)-1,MATCH(I988,Tabella!$G$1:$FG$1,0)-1)=TRUE),0,OFFSET(Tabella!$G$1,MATCH(H988,Tabella!$G:$G,0)-1,MATCH(I988,Tabella!$G$1:$AB$1,0)-1)),4)</f>
        <v>0</v>
      </c>
      <c r="Q988" s="445">
        <f ca="1">ROUND(IF(ISERROR(OFFSET(Ottone!$F$1,MATCH(H988,Ottone!$A:$A,0)-1,MATCH(I988,Ottone!$F$1:$FF$1,0)-1)=TRUE),0,OFFSET(Ottone!$F$1,MATCH(H988,Ottone!$A:$A,0)-1,MATCH(I988,Ottone!$F$1:$FF$1,0)-1))*IF(E988="Ottone",1,0),4)</f>
        <v>0</v>
      </c>
      <c r="R988" s="445">
        <f ca="1">ROUND(IF(ISERROR(OFFSET(Rame!$F$1,MATCH(H988,Rame!$F:$F,0)-1,MATCH(I988,Rame!$F$1:$FF$1,0)-1)=TRUE),0,OFFSET(Rame!$F$1,MATCH(H988,Rame!$F:$F,0)-1,MATCH(I988,Rame!$F$1:$FF$1,0)-1))*IF(E988="Rame",1,0),4)</f>
        <v>0</v>
      </c>
      <c r="S988" s="445">
        <f ca="1">ROUND(IF(ISERROR(OFFSET(Bronzo!$A$1,MATCH(H988,Bronzo!$A:$A,0)-1,MATCH(I988,Bronzo!$A$1:$AA$1,0)-1)=TRUE),0,OFFSET(Bronzo!$A$1,MATCH(H988,Bronzo!$A:$A,0)-1,MATCH(I988,Bronzo!$A$1:$AA$1,0)-1)),4)</f>
        <v>0</v>
      </c>
      <c r="T988" s="445">
        <f t="shared" ca="1" si="256"/>
        <v>0</v>
      </c>
      <c r="U988" s="442"/>
      <c r="V988" s="445">
        <v>0</v>
      </c>
      <c r="W988" s="448">
        <f t="shared" ca="1" si="257"/>
        <v>0</v>
      </c>
      <c r="X988" s="451">
        <f t="shared" si="248"/>
        <v>0</v>
      </c>
      <c r="Y988" s="439"/>
      <c r="Z988" s="439">
        <f t="shared" ca="1" si="258"/>
        <v>0</v>
      </c>
      <c r="AA988" s="404"/>
      <c r="AF988" s="372">
        <f t="shared" ca="1" si="249"/>
        <v>46156</v>
      </c>
      <c r="AG988" s="372" t="b">
        <f t="shared" si="250"/>
        <v>1</v>
      </c>
      <c r="AH988" s="405" t="str">
        <f t="shared" si="251"/>
        <v/>
      </c>
      <c r="AK988">
        <f t="shared" si="252"/>
        <v>0</v>
      </c>
      <c r="AL988">
        <f t="shared" si="253"/>
        <v>1900</v>
      </c>
      <c r="AS988">
        <f t="shared" si="254"/>
        <v>0</v>
      </c>
      <c r="AT988">
        <f t="shared" si="255"/>
        <v>0</v>
      </c>
    </row>
    <row r="989" spans="1:46" customFormat="1" ht="15.75" x14ac:dyDescent="0.25">
      <c r="A989" s="369"/>
      <c r="B989" s="398"/>
      <c r="C989" s="399"/>
      <c r="D989" s="400"/>
      <c r="E989" s="401"/>
      <c r="F989" s="434"/>
      <c r="G989" s="402"/>
      <c r="H989" s="403"/>
      <c r="I989" s="403"/>
      <c r="J989" s="439"/>
      <c r="K989" s="442">
        <f ca="1">ROUND(IF(ISERROR(OFFSET(Tabella!$A$1,MATCH(H989,Tabella!$A:$A,0)-1,MATCH(J989,Tabella!$A$1:$AC$1,0)-1)=TRUE),0,+OFFSET(Tabella!$A$1,MATCH(H989,Tabella!$A:$A,0)-1,MATCH(J989,Tabella!$A$1:$AC$1,0)-1)),4)</f>
        <v>0</v>
      </c>
      <c r="L989" s="445">
        <f ca="1">ROUND(IF(ISERROR(OFFSET(Ottone!$A$1,MATCH(H989,Ottone!$A:$A,0)-1,MATCH(J989,Ottone!$A$1:$Z$1,0)-1)=TRUE),0,OFFSET(Ottone!$A$1,MATCH(H989,Ottone!$A:$A,0)-1,MATCH(J989,Ottone!$A$1:$Z$1,0)-1))*IF(E989="Ottone",1,0),4)</f>
        <v>0</v>
      </c>
      <c r="M989" s="445">
        <f ca="1">ROUND(IF(ISERROR(OFFSET(Rame!$A$1,MATCH(H989,Rame!$A:$A,0)-1,MATCH(J989,Rame!$A$1:$AA$1,0)-1)=TRUE),0,OFFSET(Rame!$A$1,MATCH(H989,Rame!$A:$A,0)-1,MATCH(J989,Rame!$A$1:$AA$1,0)-1))*IF(E989="Rame",1,0),4)</f>
        <v>0</v>
      </c>
      <c r="N989" s="445"/>
      <c r="O989" s="445">
        <f t="shared" ca="1" si="232"/>
        <v>0</v>
      </c>
      <c r="P989" s="445">
        <f ca="1">ROUND(+IF(ISERROR(OFFSET(Tabella!$G$1,MATCH(H989,Tabella!$G:$G,0)-1,MATCH(I989,Tabella!$G$1:$FG$1,0)-1)=TRUE),0,OFFSET(Tabella!$G$1,MATCH(H989,Tabella!$G:$G,0)-1,MATCH(I989,Tabella!$G$1:$AB$1,0)-1)),4)</f>
        <v>0</v>
      </c>
      <c r="Q989" s="445">
        <f ca="1">ROUND(IF(ISERROR(OFFSET(Ottone!$F$1,MATCH(H989,Ottone!$A:$A,0)-1,MATCH(I989,Ottone!$F$1:$FF$1,0)-1)=TRUE),0,OFFSET(Ottone!$F$1,MATCH(H989,Ottone!$A:$A,0)-1,MATCH(I989,Ottone!$F$1:$FF$1,0)-1))*IF(E989="Ottone",1,0),4)</f>
        <v>0</v>
      </c>
      <c r="R989" s="445">
        <f ca="1">ROUND(IF(ISERROR(OFFSET(Rame!$F$1,MATCH(H989,Rame!$F:$F,0)-1,MATCH(I989,Rame!$F$1:$FF$1,0)-1)=TRUE),0,OFFSET(Rame!$F$1,MATCH(H989,Rame!$F:$F,0)-1,MATCH(I989,Rame!$F$1:$FF$1,0)-1))*IF(E989="Rame",1,0),4)</f>
        <v>0</v>
      </c>
      <c r="S989" s="445">
        <f ca="1">ROUND(IF(ISERROR(OFFSET(Bronzo!$A$1,MATCH(H989,Bronzo!$A:$A,0)-1,MATCH(I989,Bronzo!$A$1:$AA$1,0)-1)=TRUE),0,OFFSET(Bronzo!$A$1,MATCH(H989,Bronzo!$A:$A,0)-1,MATCH(I989,Bronzo!$A$1:$AA$1,0)-1)),4)</f>
        <v>0</v>
      </c>
      <c r="T989" s="445">
        <f t="shared" ca="1" si="256"/>
        <v>0</v>
      </c>
      <c r="U989" s="442"/>
      <c r="V989" s="445">
        <v>0</v>
      </c>
      <c r="W989" s="448">
        <f t="shared" ca="1" si="257"/>
        <v>0</v>
      </c>
      <c r="X989" s="451">
        <f t="shared" si="248"/>
        <v>0</v>
      </c>
      <c r="Y989" s="439"/>
      <c r="Z989" s="439">
        <f t="shared" ca="1" si="258"/>
        <v>0</v>
      </c>
      <c r="AA989" s="404"/>
      <c r="AF989" s="372">
        <f t="shared" ca="1" si="249"/>
        <v>46156</v>
      </c>
      <c r="AG989" s="372" t="b">
        <f t="shared" si="250"/>
        <v>1</v>
      </c>
      <c r="AH989" s="405" t="str">
        <f t="shared" si="251"/>
        <v/>
      </c>
      <c r="AK989">
        <f t="shared" si="252"/>
        <v>0</v>
      </c>
      <c r="AL989">
        <f t="shared" si="253"/>
        <v>1900</v>
      </c>
      <c r="AS989">
        <f t="shared" si="254"/>
        <v>0</v>
      </c>
      <c r="AT989">
        <f t="shared" si="255"/>
        <v>0</v>
      </c>
    </row>
    <row r="990" spans="1:46" customFormat="1" ht="15.75" x14ac:dyDescent="0.25">
      <c r="A990" s="369"/>
      <c r="B990" s="398"/>
      <c r="C990" s="399"/>
      <c r="D990" s="400"/>
      <c r="E990" s="401"/>
      <c r="F990" s="434"/>
      <c r="G990" s="402"/>
      <c r="H990" s="403"/>
      <c r="I990" s="403"/>
      <c r="J990" s="439"/>
      <c r="K990" s="442">
        <f ca="1">ROUND(IF(ISERROR(OFFSET(Tabella!$A$1,MATCH(H990,Tabella!$A:$A,0)-1,MATCH(J990,Tabella!$A$1:$AC$1,0)-1)=TRUE),0,+OFFSET(Tabella!$A$1,MATCH(H990,Tabella!$A:$A,0)-1,MATCH(J990,Tabella!$A$1:$AC$1,0)-1)),4)</f>
        <v>0</v>
      </c>
      <c r="L990" s="445">
        <f ca="1">ROUND(IF(ISERROR(OFFSET(Ottone!$A$1,MATCH(H990,Ottone!$A:$A,0)-1,MATCH(J990,Ottone!$A$1:$Z$1,0)-1)=TRUE),0,OFFSET(Ottone!$A$1,MATCH(H990,Ottone!$A:$A,0)-1,MATCH(J990,Ottone!$A$1:$Z$1,0)-1))*IF(E990="Ottone",1,0),4)</f>
        <v>0</v>
      </c>
      <c r="M990" s="445">
        <f ca="1">ROUND(IF(ISERROR(OFFSET(Rame!$A$1,MATCH(H990,Rame!$A:$A,0)-1,MATCH(J990,Rame!$A$1:$AA$1,0)-1)=TRUE),0,OFFSET(Rame!$A$1,MATCH(H990,Rame!$A:$A,0)-1,MATCH(J990,Rame!$A$1:$AA$1,0)-1))*IF(E990="Rame",1,0),4)</f>
        <v>0</v>
      </c>
      <c r="N990" s="445"/>
      <c r="O990" s="445">
        <f t="shared" ca="1" si="232"/>
        <v>0</v>
      </c>
      <c r="P990" s="445">
        <f ca="1">ROUND(+IF(ISERROR(OFFSET(Tabella!$G$1,MATCH(H990,Tabella!$G:$G,0)-1,MATCH(I990,Tabella!$G$1:$FG$1,0)-1)=TRUE),0,OFFSET(Tabella!$G$1,MATCH(H990,Tabella!$G:$G,0)-1,MATCH(I990,Tabella!$G$1:$AB$1,0)-1)),4)</f>
        <v>0</v>
      </c>
      <c r="Q990" s="445">
        <f ca="1">ROUND(IF(ISERROR(OFFSET(Ottone!$F$1,MATCH(H990,Ottone!$A:$A,0)-1,MATCH(I990,Ottone!$F$1:$FF$1,0)-1)=TRUE),0,OFFSET(Ottone!$F$1,MATCH(H990,Ottone!$A:$A,0)-1,MATCH(I990,Ottone!$F$1:$FF$1,0)-1))*IF(E990="Ottone",1,0),4)</f>
        <v>0</v>
      </c>
      <c r="R990" s="445">
        <f ca="1">ROUND(IF(ISERROR(OFFSET(Rame!$F$1,MATCH(H990,Rame!$F:$F,0)-1,MATCH(I990,Rame!$F$1:$FF$1,0)-1)=TRUE),0,OFFSET(Rame!$F$1,MATCH(H990,Rame!$F:$F,0)-1,MATCH(I990,Rame!$F$1:$FF$1,0)-1))*IF(E990="Rame",1,0),4)</f>
        <v>0</v>
      </c>
      <c r="S990" s="445">
        <f ca="1">ROUND(IF(ISERROR(OFFSET(Bronzo!$A$1,MATCH(H990,Bronzo!$A:$A,0)-1,MATCH(I990,Bronzo!$A$1:$AA$1,0)-1)=TRUE),0,OFFSET(Bronzo!$A$1,MATCH(H990,Bronzo!$A:$A,0)-1,MATCH(I990,Bronzo!$A$1:$AA$1,0)-1)),4)</f>
        <v>0</v>
      </c>
      <c r="T990" s="445">
        <f t="shared" ca="1" si="256"/>
        <v>0</v>
      </c>
      <c r="U990" s="442"/>
      <c r="V990" s="445">
        <v>0</v>
      </c>
      <c r="W990" s="448">
        <f t="shared" ca="1" si="257"/>
        <v>0</v>
      </c>
      <c r="X990" s="451">
        <f t="shared" si="248"/>
        <v>0</v>
      </c>
      <c r="Y990" s="439"/>
      <c r="Z990" s="439">
        <f t="shared" ca="1" si="258"/>
        <v>0</v>
      </c>
      <c r="AA990" s="404"/>
      <c r="AF990" s="372">
        <f t="shared" ca="1" si="249"/>
        <v>46156</v>
      </c>
      <c r="AG990" s="372" t="b">
        <f t="shared" si="250"/>
        <v>1</v>
      </c>
      <c r="AH990" s="405" t="str">
        <f t="shared" si="251"/>
        <v/>
      </c>
      <c r="AK990">
        <f t="shared" si="252"/>
        <v>0</v>
      </c>
      <c r="AL990">
        <f t="shared" si="253"/>
        <v>1900</v>
      </c>
      <c r="AS990">
        <f t="shared" si="254"/>
        <v>0</v>
      </c>
      <c r="AT990">
        <f t="shared" si="255"/>
        <v>0</v>
      </c>
    </row>
    <row r="991" spans="1:46" customFormat="1" ht="15.75" x14ac:dyDescent="0.25">
      <c r="A991" s="369"/>
      <c r="B991" s="398"/>
      <c r="C991" s="399"/>
      <c r="D991" s="400"/>
      <c r="E991" s="401"/>
      <c r="F991" s="434"/>
      <c r="G991" s="402"/>
      <c r="H991" s="403"/>
      <c r="I991" s="403"/>
      <c r="J991" s="439"/>
      <c r="K991" s="442">
        <f ca="1">ROUND(IF(ISERROR(OFFSET(Tabella!$A$1,MATCH(H991,Tabella!$A:$A,0)-1,MATCH(J991,Tabella!$A$1:$AC$1,0)-1)=TRUE),0,+OFFSET(Tabella!$A$1,MATCH(H991,Tabella!$A:$A,0)-1,MATCH(J991,Tabella!$A$1:$AC$1,0)-1)),4)</f>
        <v>0</v>
      </c>
      <c r="L991" s="445">
        <f ca="1">ROUND(IF(ISERROR(OFFSET(Ottone!$A$1,MATCH(H991,Ottone!$A:$A,0)-1,MATCH(J991,Ottone!$A$1:$Z$1,0)-1)=TRUE),0,OFFSET(Ottone!$A$1,MATCH(H991,Ottone!$A:$A,0)-1,MATCH(J991,Ottone!$A$1:$Z$1,0)-1))*IF(E991="Ottone",1,0),4)</f>
        <v>0</v>
      </c>
      <c r="M991" s="445">
        <f ca="1">ROUND(IF(ISERROR(OFFSET(Rame!$A$1,MATCH(H991,Rame!$A:$A,0)-1,MATCH(J991,Rame!$A$1:$AA$1,0)-1)=TRUE),0,OFFSET(Rame!$A$1,MATCH(H991,Rame!$A:$A,0)-1,MATCH(J991,Rame!$A$1:$AA$1,0)-1))*IF(E991="Rame",1,0),4)</f>
        <v>0</v>
      </c>
      <c r="N991" s="445"/>
      <c r="O991" s="445">
        <f t="shared" ca="1" si="232"/>
        <v>0</v>
      </c>
      <c r="P991" s="445">
        <f ca="1">ROUND(+IF(ISERROR(OFFSET(Tabella!$G$1,MATCH(H991,Tabella!$G:$G,0)-1,MATCH(I991,Tabella!$G$1:$FG$1,0)-1)=TRUE),0,OFFSET(Tabella!$G$1,MATCH(H991,Tabella!$G:$G,0)-1,MATCH(I991,Tabella!$G$1:$AB$1,0)-1)),4)</f>
        <v>0</v>
      </c>
      <c r="Q991" s="445">
        <f ca="1">ROUND(IF(ISERROR(OFFSET(Ottone!$F$1,MATCH(H991,Ottone!$A:$A,0)-1,MATCH(I991,Ottone!$F$1:$FF$1,0)-1)=TRUE),0,OFFSET(Ottone!$F$1,MATCH(H991,Ottone!$A:$A,0)-1,MATCH(I991,Ottone!$F$1:$FF$1,0)-1))*IF(E991="Ottone",1,0),4)</f>
        <v>0</v>
      </c>
      <c r="R991" s="445">
        <f ca="1">ROUND(IF(ISERROR(OFFSET(Rame!$F$1,MATCH(H991,Rame!$F:$F,0)-1,MATCH(I991,Rame!$F$1:$FF$1,0)-1)=TRUE),0,OFFSET(Rame!$F$1,MATCH(H991,Rame!$F:$F,0)-1,MATCH(I991,Rame!$F$1:$FF$1,0)-1))*IF(E991="Rame",1,0),4)</f>
        <v>0</v>
      </c>
      <c r="S991" s="445">
        <f ca="1">ROUND(IF(ISERROR(OFFSET(Bronzo!$A$1,MATCH(H991,Bronzo!$A:$A,0)-1,MATCH(I991,Bronzo!$A$1:$AA$1,0)-1)=TRUE),0,OFFSET(Bronzo!$A$1,MATCH(H991,Bronzo!$A:$A,0)-1,MATCH(I991,Bronzo!$A$1:$AA$1,0)-1)),4)</f>
        <v>0</v>
      </c>
      <c r="T991" s="445">
        <f t="shared" ca="1" si="256"/>
        <v>0</v>
      </c>
      <c r="U991" s="442"/>
      <c r="V991" s="445">
        <v>0</v>
      </c>
      <c r="W991" s="448">
        <f t="shared" ca="1" si="257"/>
        <v>0</v>
      </c>
      <c r="X991" s="451">
        <f t="shared" si="248"/>
        <v>0</v>
      </c>
      <c r="Y991" s="439"/>
      <c r="Z991" s="439">
        <f t="shared" ca="1" si="258"/>
        <v>0</v>
      </c>
      <c r="AA991" s="404"/>
      <c r="AF991" s="372">
        <f t="shared" ca="1" si="249"/>
        <v>46156</v>
      </c>
      <c r="AG991" s="372" t="b">
        <f t="shared" si="250"/>
        <v>1</v>
      </c>
      <c r="AH991" s="405" t="str">
        <f t="shared" si="251"/>
        <v/>
      </c>
      <c r="AK991">
        <f t="shared" si="252"/>
        <v>0</v>
      </c>
      <c r="AL991">
        <f t="shared" si="253"/>
        <v>1900</v>
      </c>
      <c r="AS991">
        <f t="shared" si="254"/>
        <v>0</v>
      </c>
      <c r="AT991">
        <f t="shared" si="255"/>
        <v>0</v>
      </c>
    </row>
    <row r="992" spans="1:46" customFormat="1" ht="15.75" x14ac:dyDescent="0.25">
      <c r="A992" s="369"/>
      <c r="B992" s="398"/>
      <c r="C992" s="399"/>
      <c r="D992" s="400"/>
      <c r="E992" s="401"/>
      <c r="F992" s="434"/>
      <c r="G992" s="402"/>
      <c r="H992" s="403"/>
      <c r="I992" s="403"/>
      <c r="J992" s="439"/>
      <c r="K992" s="442">
        <f ca="1">ROUND(IF(ISERROR(OFFSET(Tabella!$A$1,MATCH(H992,Tabella!$A:$A,0)-1,MATCH(J992,Tabella!$A$1:$AC$1,0)-1)=TRUE),0,+OFFSET(Tabella!$A$1,MATCH(H992,Tabella!$A:$A,0)-1,MATCH(J992,Tabella!$A$1:$AC$1,0)-1)),4)</f>
        <v>0</v>
      </c>
      <c r="L992" s="445">
        <f ca="1">ROUND(IF(ISERROR(OFFSET(Ottone!$A$1,MATCH(H992,Ottone!$A:$A,0)-1,MATCH(J992,Ottone!$A$1:$Z$1,0)-1)=TRUE),0,OFFSET(Ottone!$A$1,MATCH(H992,Ottone!$A:$A,0)-1,MATCH(J992,Ottone!$A$1:$Z$1,0)-1))*IF(E992="Ottone",1,0),4)</f>
        <v>0</v>
      </c>
      <c r="M992" s="445">
        <f ca="1">ROUND(IF(ISERROR(OFFSET(Rame!$A$1,MATCH(H992,Rame!$A:$A,0)-1,MATCH(J992,Rame!$A$1:$AA$1,0)-1)=TRUE),0,OFFSET(Rame!$A$1,MATCH(H992,Rame!$A:$A,0)-1,MATCH(J992,Rame!$A$1:$AA$1,0)-1))*IF(E992="Rame",1,0),4)</f>
        <v>0</v>
      </c>
      <c r="N992" s="445"/>
      <c r="O992" s="445">
        <f t="shared" ca="1" si="232"/>
        <v>0</v>
      </c>
      <c r="P992" s="445">
        <f ca="1">ROUND(+IF(ISERROR(OFFSET(Tabella!$G$1,MATCH(H992,Tabella!$G:$G,0)-1,MATCH(I992,Tabella!$G$1:$FG$1,0)-1)=TRUE),0,OFFSET(Tabella!$G$1,MATCH(H992,Tabella!$G:$G,0)-1,MATCH(I992,Tabella!$G$1:$AB$1,0)-1)),4)</f>
        <v>0</v>
      </c>
      <c r="Q992" s="445">
        <f ca="1">ROUND(IF(ISERROR(OFFSET(Ottone!$F$1,MATCH(H992,Ottone!$A:$A,0)-1,MATCH(I992,Ottone!$F$1:$FF$1,0)-1)=TRUE),0,OFFSET(Ottone!$F$1,MATCH(H992,Ottone!$A:$A,0)-1,MATCH(I992,Ottone!$F$1:$FF$1,0)-1))*IF(E992="Ottone",1,0),4)</f>
        <v>0</v>
      </c>
      <c r="R992" s="445">
        <f ca="1">ROUND(IF(ISERROR(OFFSET(Rame!$F$1,MATCH(H992,Rame!$F:$F,0)-1,MATCH(I992,Rame!$F$1:$FF$1,0)-1)=TRUE),0,OFFSET(Rame!$F$1,MATCH(H992,Rame!$F:$F,0)-1,MATCH(I992,Rame!$F$1:$FF$1,0)-1))*IF(E992="Rame",1,0),4)</f>
        <v>0</v>
      </c>
      <c r="S992" s="445">
        <f ca="1">ROUND(IF(ISERROR(OFFSET(Bronzo!$A$1,MATCH(H992,Bronzo!$A:$A,0)-1,MATCH(I992,Bronzo!$A$1:$AA$1,0)-1)=TRUE),0,OFFSET(Bronzo!$A$1,MATCH(H992,Bronzo!$A:$A,0)-1,MATCH(I992,Bronzo!$A$1:$AA$1,0)-1)),4)</f>
        <v>0</v>
      </c>
      <c r="T992" s="445">
        <f t="shared" ca="1" si="256"/>
        <v>0</v>
      </c>
      <c r="U992" s="442"/>
      <c r="V992" s="445">
        <v>0</v>
      </c>
      <c r="W992" s="448">
        <f t="shared" ca="1" si="257"/>
        <v>0</v>
      </c>
      <c r="X992" s="451">
        <f t="shared" si="248"/>
        <v>0</v>
      </c>
      <c r="Y992" s="439"/>
      <c r="Z992" s="439">
        <f t="shared" ca="1" si="258"/>
        <v>0</v>
      </c>
      <c r="AA992" s="404"/>
      <c r="AF992" s="372">
        <f t="shared" ca="1" si="249"/>
        <v>46156</v>
      </c>
      <c r="AG992" s="372" t="b">
        <f t="shared" si="250"/>
        <v>1</v>
      </c>
      <c r="AH992" s="405" t="str">
        <f t="shared" si="251"/>
        <v/>
      </c>
      <c r="AK992">
        <f t="shared" si="252"/>
        <v>0</v>
      </c>
      <c r="AL992">
        <f t="shared" si="253"/>
        <v>1900</v>
      </c>
      <c r="AS992">
        <f t="shared" si="254"/>
        <v>0</v>
      </c>
      <c r="AT992">
        <f t="shared" si="255"/>
        <v>0</v>
      </c>
    </row>
    <row r="993" spans="1:46" customFormat="1" ht="15.75" x14ac:dyDescent="0.25">
      <c r="A993" s="369"/>
      <c r="B993" s="398"/>
      <c r="C993" s="399"/>
      <c r="D993" s="400"/>
      <c r="E993" s="401"/>
      <c r="F993" s="434"/>
      <c r="G993" s="402"/>
      <c r="H993" s="403"/>
      <c r="I993" s="403"/>
      <c r="J993" s="439"/>
      <c r="K993" s="442">
        <f ca="1">ROUND(IF(ISERROR(OFFSET(Tabella!$A$1,MATCH(H993,Tabella!$A:$A,0)-1,MATCH(J993,Tabella!$A$1:$AC$1,0)-1)=TRUE),0,+OFFSET(Tabella!$A$1,MATCH(H993,Tabella!$A:$A,0)-1,MATCH(J993,Tabella!$A$1:$AC$1,0)-1)),4)</f>
        <v>0</v>
      </c>
      <c r="L993" s="445">
        <f ca="1">ROUND(IF(ISERROR(OFFSET(Ottone!$A$1,MATCH(H993,Ottone!$A:$A,0)-1,MATCH(J993,Ottone!$A$1:$Z$1,0)-1)=TRUE),0,OFFSET(Ottone!$A$1,MATCH(H993,Ottone!$A:$A,0)-1,MATCH(J993,Ottone!$A$1:$Z$1,0)-1))*IF(E993="Ottone",1,0),4)</f>
        <v>0</v>
      </c>
      <c r="M993" s="445">
        <f ca="1">ROUND(IF(ISERROR(OFFSET(Rame!$A$1,MATCH(H993,Rame!$A:$A,0)-1,MATCH(J993,Rame!$A$1:$AA$1,0)-1)=TRUE),0,OFFSET(Rame!$A$1,MATCH(H993,Rame!$A:$A,0)-1,MATCH(J993,Rame!$A$1:$AA$1,0)-1))*IF(E993="Rame",1,0),4)</f>
        <v>0</v>
      </c>
      <c r="N993" s="445"/>
      <c r="O993" s="445">
        <f t="shared" ca="1" si="232"/>
        <v>0</v>
      </c>
      <c r="P993" s="445">
        <f ca="1">ROUND(+IF(ISERROR(OFFSET(Tabella!$G$1,MATCH(H993,Tabella!$G:$G,0)-1,MATCH(I993,Tabella!$G$1:$FG$1,0)-1)=TRUE),0,OFFSET(Tabella!$G$1,MATCH(H993,Tabella!$G:$G,0)-1,MATCH(I993,Tabella!$G$1:$AB$1,0)-1)),4)</f>
        <v>0</v>
      </c>
      <c r="Q993" s="445">
        <f ca="1">ROUND(IF(ISERROR(OFFSET(Ottone!$F$1,MATCH(H993,Ottone!$A:$A,0)-1,MATCH(I993,Ottone!$F$1:$FF$1,0)-1)=TRUE),0,OFFSET(Ottone!$F$1,MATCH(H993,Ottone!$A:$A,0)-1,MATCH(I993,Ottone!$F$1:$FF$1,0)-1))*IF(E993="Ottone",1,0),4)</f>
        <v>0</v>
      </c>
      <c r="R993" s="445">
        <f ca="1">ROUND(IF(ISERROR(OFFSET(Rame!$F$1,MATCH(H993,Rame!$F:$F,0)-1,MATCH(I993,Rame!$F$1:$FF$1,0)-1)=TRUE),0,OFFSET(Rame!$F$1,MATCH(H993,Rame!$F:$F,0)-1,MATCH(I993,Rame!$F$1:$FF$1,0)-1))*IF(E993="Rame",1,0),4)</f>
        <v>0</v>
      </c>
      <c r="S993" s="445">
        <f ca="1">ROUND(IF(ISERROR(OFFSET(Bronzo!$A$1,MATCH(H993,Bronzo!$A:$A,0)-1,MATCH(I993,Bronzo!$A$1:$AA$1,0)-1)=TRUE),0,OFFSET(Bronzo!$A$1,MATCH(H993,Bronzo!$A:$A,0)-1,MATCH(I993,Bronzo!$A$1:$AA$1,0)-1)),4)</f>
        <v>0</v>
      </c>
      <c r="T993" s="445">
        <f t="shared" ca="1" si="256"/>
        <v>0</v>
      </c>
      <c r="U993" s="442"/>
      <c r="V993" s="445">
        <v>0</v>
      </c>
      <c r="W993" s="448">
        <f t="shared" ca="1" si="257"/>
        <v>0</v>
      </c>
      <c r="X993" s="451">
        <f t="shared" si="248"/>
        <v>0</v>
      </c>
      <c r="Y993" s="439"/>
      <c r="Z993" s="439">
        <f t="shared" ca="1" si="258"/>
        <v>0</v>
      </c>
      <c r="AA993" s="404"/>
      <c r="AF993" s="372">
        <f t="shared" ca="1" si="249"/>
        <v>46156</v>
      </c>
      <c r="AG993" s="372" t="b">
        <f t="shared" si="250"/>
        <v>1</v>
      </c>
      <c r="AH993" s="405" t="str">
        <f t="shared" si="251"/>
        <v/>
      </c>
      <c r="AK993">
        <f t="shared" si="252"/>
        <v>0</v>
      </c>
      <c r="AL993">
        <f t="shared" si="253"/>
        <v>1900</v>
      </c>
      <c r="AS993">
        <f t="shared" si="254"/>
        <v>0</v>
      </c>
      <c r="AT993">
        <f t="shared" si="255"/>
        <v>0</v>
      </c>
    </row>
    <row r="994" spans="1:46" customFormat="1" ht="15.75" x14ac:dyDescent="0.25">
      <c r="A994" s="369"/>
      <c r="B994" s="398"/>
      <c r="C994" s="399"/>
      <c r="D994" s="400"/>
      <c r="E994" s="401"/>
      <c r="F994" s="434"/>
      <c r="G994" s="402"/>
      <c r="H994" s="403"/>
      <c r="I994" s="403"/>
      <c r="J994" s="439"/>
      <c r="K994" s="442">
        <f ca="1">ROUND(IF(ISERROR(OFFSET(Tabella!$A$1,MATCH(H994,Tabella!$A:$A,0)-1,MATCH(J994,Tabella!$A$1:$AC$1,0)-1)=TRUE),0,+OFFSET(Tabella!$A$1,MATCH(H994,Tabella!$A:$A,0)-1,MATCH(J994,Tabella!$A$1:$AC$1,0)-1)),4)</f>
        <v>0</v>
      </c>
      <c r="L994" s="445">
        <f ca="1">ROUND(IF(ISERROR(OFFSET(Ottone!$A$1,MATCH(H994,Ottone!$A:$A,0)-1,MATCH(J994,Ottone!$A$1:$Z$1,0)-1)=TRUE),0,OFFSET(Ottone!$A$1,MATCH(H994,Ottone!$A:$A,0)-1,MATCH(J994,Ottone!$A$1:$Z$1,0)-1))*IF(E994="Ottone",1,0),4)</f>
        <v>0</v>
      </c>
      <c r="M994" s="445">
        <f ca="1">ROUND(IF(ISERROR(OFFSET(Rame!$A$1,MATCH(H994,Rame!$A:$A,0)-1,MATCH(J994,Rame!$A$1:$AA$1,0)-1)=TRUE),0,OFFSET(Rame!$A$1,MATCH(H994,Rame!$A:$A,0)-1,MATCH(J994,Rame!$A$1:$AA$1,0)-1))*IF(E994="Rame",1,0),4)</f>
        <v>0</v>
      </c>
      <c r="N994" s="445"/>
      <c r="O994" s="445">
        <f t="shared" ca="1" si="232"/>
        <v>0</v>
      </c>
      <c r="P994" s="445">
        <f ca="1">ROUND(+IF(ISERROR(OFFSET(Tabella!$G$1,MATCH(H994,Tabella!$G:$G,0)-1,MATCH(I994,Tabella!$G$1:$FG$1,0)-1)=TRUE),0,OFFSET(Tabella!$G$1,MATCH(H994,Tabella!$G:$G,0)-1,MATCH(I994,Tabella!$G$1:$AB$1,0)-1)),4)</f>
        <v>0</v>
      </c>
      <c r="Q994" s="445">
        <f ca="1">ROUND(IF(ISERROR(OFFSET(Ottone!$F$1,MATCH(H994,Ottone!$A:$A,0)-1,MATCH(I994,Ottone!$F$1:$FF$1,0)-1)=TRUE),0,OFFSET(Ottone!$F$1,MATCH(H994,Ottone!$A:$A,0)-1,MATCH(I994,Ottone!$F$1:$FF$1,0)-1))*IF(E994="Ottone",1,0),4)</f>
        <v>0</v>
      </c>
      <c r="R994" s="445">
        <f ca="1">ROUND(IF(ISERROR(OFFSET(Rame!$F$1,MATCH(H994,Rame!$F:$F,0)-1,MATCH(I994,Rame!$F$1:$FF$1,0)-1)=TRUE),0,OFFSET(Rame!$F$1,MATCH(H994,Rame!$F:$F,0)-1,MATCH(I994,Rame!$F$1:$FF$1,0)-1))*IF(E994="Rame",1,0),4)</f>
        <v>0</v>
      </c>
      <c r="S994" s="445">
        <f ca="1">ROUND(IF(ISERROR(OFFSET(Bronzo!$A$1,MATCH(H994,Bronzo!$A:$A,0)-1,MATCH(I994,Bronzo!$A$1:$AA$1,0)-1)=TRUE),0,OFFSET(Bronzo!$A$1,MATCH(H994,Bronzo!$A:$A,0)-1,MATCH(I994,Bronzo!$A$1:$AA$1,0)-1)),4)</f>
        <v>0</v>
      </c>
      <c r="T994" s="445">
        <f t="shared" ca="1" si="256"/>
        <v>0</v>
      </c>
      <c r="U994" s="442"/>
      <c r="V994" s="445">
        <v>0</v>
      </c>
      <c r="W994" s="448">
        <f t="shared" ca="1" si="257"/>
        <v>0</v>
      </c>
      <c r="X994" s="451">
        <f t="shared" si="248"/>
        <v>0</v>
      </c>
      <c r="Y994" s="439"/>
      <c r="Z994" s="439">
        <f t="shared" ca="1" si="258"/>
        <v>0</v>
      </c>
      <c r="AA994" s="404"/>
      <c r="AF994" s="372">
        <f t="shared" ca="1" si="249"/>
        <v>46156</v>
      </c>
      <c r="AG994" s="372" t="b">
        <f t="shared" si="250"/>
        <v>1</v>
      </c>
      <c r="AH994" s="405" t="str">
        <f t="shared" si="251"/>
        <v/>
      </c>
      <c r="AK994">
        <f t="shared" si="252"/>
        <v>0</v>
      </c>
      <c r="AL994">
        <f t="shared" si="253"/>
        <v>1900</v>
      </c>
      <c r="AS994">
        <f t="shared" si="254"/>
        <v>0</v>
      </c>
      <c r="AT994">
        <f t="shared" si="255"/>
        <v>0</v>
      </c>
    </row>
    <row r="995" spans="1:46" customFormat="1" ht="15.75" x14ac:dyDescent="0.25">
      <c r="A995" s="369"/>
      <c r="B995" s="398"/>
      <c r="C995" s="399"/>
      <c r="D995" s="400"/>
      <c r="E995" s="401"/>
      <c r="F995" s="434"/>
      <c r="G995" s="402"/>
      <c r="H995" s="403"/>
      <c r="I995" s="403"/>
      <c r="J995" s="439"/>
      <c r="K995" s="442">
        <f ca="1">ROUND(IF(ISERROR(OFFSET(Tabella!$A$1,MATCH(H995,Tabella!$A:$A,0)-1,MATCH(J995,Tabella!$A$1:$AC$1,0)-1)=TRUE),0,+OFFSET(Tabella!$A$1,MATCH(H995,Tabella!$A:$A,0)-1,MATCH(J995,Tabella!$A$1:$AC$1,0)-1)),4)</f>
        <v>0</v>
      </c>
      <c r="L995" s="445">
        <f ca="1">ROUND(IF(ISERROR(OFFSET(Ottone!$A$1,MATCH(H995,Ottone!$A:$A,0)-1,MATCH(J995,Ottone!$A$1:$Z$1,0)-1)=TRUE),0,OFFSET(Ottone!$A$1,MATCH(H995,Ottone!$A:$A,0)-1,MATCH(J995,Ottone!$A$1:$Z$1,0)-1))*IF(E995="Ottone",1,0),4)</f>
        <v>0</v>
      </c>
      <c r="M995" s="445">
        <f ca="1">ROUND(IF(ISERROR(OFFSET(Rame!$A$1,MATCH(H995,Rame!$A:$A,0)-1,MATCH(J995,Rame!$A$1:$AA$1,0)-1)=TRUE),0,OFFSET(Rame!$A$1,MATCH(H995,Rame!$A:$A,0)-1,MATCH(J995,Rame!$A$1:$AA$1,0)-1))*IF(E995="Rame",1,0),4)</f>
        <v>0</v>
      </c>
      <c r="N995" s="445"/>
      <c r="O995" s="445">
        <f t="shared" ca="1" si="232"/>
        <v>0</v>
      </c>
      <c r="P995" s="445">
        <f ca="1">ROUND(+IF(ISERROR(OFFSET(Tabella!$G$1,MATCH(H995,Tabella!$G:$G,0)-1,MATCH(I995,Tabella!$G$1:$FG$1,0)-1)=TRUE),0,OFFSET(Tabella!$G$1,MATCH(H995,Tabella!$G:$G,0)-1,MATCH(I995,Tabella!$G$1:$AB$1,0)-1)),4)</f>
        <v>0</v>
      </c>
      <c r="Q995" s="445">
        <f ca="1">ROUND(IF(ISERROR(OFFSET(Ottone!$F$1,MATCH(H995,Ottone!$A:$A,0)-1,MATCH(I995,Ottone!$F$1:$FF$1,0)-1)=TRUE),0,OFFSET(Ottone!$F$1,MATCH(H995,Ottone!$A:$A,0)-1,MATCH(I995,Ottone!$F$1:$FF$1,0)-1))*IF(E995="Ottone",1,0),4)</f>
        <v>0</v>
      </c>
      <c r="R995" s="445">
        <f ca="1">ROUND(IF(ISERROR(OFFSET(Rame!$F$1,MATCH(H995,Rame!$F:$F,0)-1,MATCH(I995,Rame!$F$1:$FF$1,0)-1)=TRUE),0,OFFSET(Rame!$F$1,MATCH(H995,Rame!$F:$F,0)-1,MATCH(I995,Rame!$F$1:$FF$1,0)-1))*IF(E995="Rame",1,0),4)</f>
        <v>0</v>
      </c>
      <c r="S995" s="445">
        <f ca="1">ROUND(IF(ISERROR(OFFSET(Bronzo!$A$1,MATCH(H995,Bronzo!$A:$A,0)-1,MATCH(I995,Bronzo!$A$1:$AA$1,0)-1)=TRUE),0,OFFSET(Bronzo!$A$1,MATCH(H995,Bronzo!$A:$A,0)-1,MATCH(I995,Bronzo!$A$1:$AA$1,0)-1)),4)</f>
        <v>0</v>
      </c>
      <c r="T995" s="445">
        <f t="shared" ca="1" si="256"/>
        <v>0</v>
      </c>
      <c r="U995" s="442"/>
      <c r="V995" s="445">
        <v>0</v>
      </c>
      <c r="W995" s="448">
        <f t="shared" ca="1" si="257"/>
        <v>0</v>
      </c>
      <c r="X995" s="451">
        <f t="shared" si="248"/>
        <v>0</v>
      </c>
      <c r="Y995" s="439"/>
      <c r="Z995" s="439">
        <f t="shared" ca="1" si="258"/>
        <v>0</v>
      </c>
      <c r="AA995" s="404"/>
      <c r="AF995" s="372">
        <f t="shared" ca="1" si="249"/>
        <v>46156</v>
      </c>
      <c r="AG995" s="372" t="b">
        <f t="shared" si="250"/>
        <v>1</v>
      </c>
      <c r="AH995" s="405" t="str">
        <f t="shared" si="251"/>
        <v/>
      </c>
      <c r="AK995">
        <f t="shared" si="252"/>
        <v>0</v>
      </c>
      <c r="AL995">
        <f t="shared" si="253"/>
        <v>1900</v>
      </c>
      <c r="AS995">
        <f t="shared" si="254"/>
        <v>0</v>
      </c>
      <c r="AT995">
        <f t="shared" si="255"/>
        <v>0</v>
      </c>
    </row>
    <row r="996" spans="1:46" customFormat="1" ht="15.75" x14ac:dyDescent="0.25">
      <c r="A996" s="369"/>
      <c r="B996" s="398"/>
      <c r="C996" s="399"/>
      <c r="D996" s="400"/>
      <c r="E996" s="401"/>
      <c r="F996" s="434"/>
      <c r="G996" s="402"/>
      <c r="H996" s="403"/>
      <c r="I996" s="403"/>
      <c r="J996" s="439"/>
      <c r="K996" s="442">
        <f ca="1">ROUND(IF(ISERROR(OFFSET(Tabella!$A$1,MATCH(H996,Tabella!$A:$A,0)-1,MATCH(J996,Tabella!$A$1:$AC$1,0)-1)=TRUE),0,+OFFSET(Tabella!$A$1,MATCH(H996,Tabella!$A:$A,0)-1,MATCH(J996,Tabella!$A$1:$AC$1,0)-1)),4)</f>
        <v>0</v>
      </c>
      <c r="L996" s="445">
        <f ca="1">ROUND(IF(ISERROR(OFFSET(Ottone!$A$1,MATCH(H996,Ottone!$A:$A,0)-1,MATCH(J996,Ottone!$A$1:$Z$1,0)-1)=TRUE),0,OFFSET(Ottone!$A$1,MATCH(H996,Ottone!$A:$A,0)-1,MATCH(J996,Ottone!$A$1:$Z$1,0)-1))*IF(E996="Ottone",1,0),4)</f>
        <v>0</v>
      </c>
      <c r="M996" s="445">
        <f ca="1">ROUND(IF(ISERROR(OFFSET(Rame!$A$1,MATCH(H996,Rame!$A:$A,0)-1,MATCH(J996,Rame!$A$1:$AA$1,0)-1)=TRUE),0,OFFSET(Rame!$A$1,MATCH(H996,Rame!$A:$A,0)-1,MATCH(J996,Rame!$A$1:$AA$1,0)-1))*IF(E996="Rame",1,0),4)</f>
        <v>0</v>
      </c>
      <c r="N996" s="445"/>
      <c r="O996" s="445">
        <f t="shared" ca="1" si="232"/>
        <v>0</v>
      </c>
      <c r="P996" s="445">
        <f ca="1">ROUND(+IF(ISERROR(OFFSET(Tabella!$G$1,MATCH(H996,Tabella!$G:$G,0)-1,MATCH(I996,Tabella!$G$1:$FG$1,0)-1)=TRUE),0,OFFSET(Tabella!$G$1,MATCH(H996,Tabella!$G:$G,0)-1,MATCH(I996,Tabella!$G$1:$AB$1,0)-1)),4)</f>
        <v>0</v>
      </c>
      <c r="Q996" s="445">
        <f ca="1">ROUND(IF(ISERROR(OFFSET(Ottone!$F$1,MATCH(H996,Ottone!$A:$A,0)-1,MATCH(I996,Ottone!$F$1:$FF$1,0)-1)=TRUE),0,OFFSET(Ottone!$F$1,MATCH(H996,Ottone!$A:$A,0)-1,MATCH(I996,Ottone!$F$1:$FF$1,0)-1))*IF(E996="Ottone",1,0),4)</f>
        <v>0</v>
      </c>
      <c r="R996" s="445">
        <f ca="1">ROUND(IF(ISERROR(OFFSET(Rame!$F$1,MATCH(H996,Rame!$F:$F,0)-1,MATCH(I996,Rame!$F$1:$FF$1,0)-1)=TRUE),0,OFFSET(Rame!$F$1,MATCH(H996,Rame!$F:$F,0)-1,MATCH(I996,Rame!$F$1:$FF$1,0)-1))*IF(E996="Rame",1,0),4)</f>
        <v>0</v>
      </c>
      <c r="S996" s="445">
        <f ca="1">ROUND(IF(ISERROR(OFFSET(Bronzo!$A$1,MATCH(H996,Bronzo!$A:$A,0)-1,MATCH(I996,Bronzo!$A$1:$AA$1,0)-1)=TRUE),0,OFFSET(Bronzo!$A$1,MATCH(H996,Bronzo!$A:$A,0)-1,MATCH(I996,Bronzo!$A$1:$AA$1,0)-1)),4)</f>
        <v>0</v>
      </c>
      <c r="T996" s="445">
        <f t="shared" ca="1" si="256"/>
        <v>0</v>
      </c>
      <c r="U996" s="442"/>
      <c r="V996" s="445">
        <v>0</v>
      </c>
      <c r="W996" s="448">
        <f t="shared" ca="1" si="257"/>
        <v>0</v>
      </c>
      <c r="X996" s="451">
        <f t="shared" si="248"/>
        <v>0</v>
      </c>
      <c r="Y996" s="439"/>
      <c r="Z996" s="439">
        <f t="shared" ca="1" si="258"/>
        <v>0</v>
      </c>
      <c r="AA996" s="404"/>
      <c r="AF996" s="372">
        <f t="shared" ca="1" si="249"/>
        <v>46156</v>
      </c>
      <c r="AG996" s="372" t="b">
        <f t="shared" si="250"/>
        <v>1</v>
      </c>
      <c r="AH996" s="405" t="str">
        <f t="shared" si="251"/>
        <v/>
      </c>
      <c r="AK996">
        <f t="shared" si="252"/>
        <v>0</v>
      </c>
      <c r="AL996">
        <f t="shared" si="253"/>
        <v>1900</v>
      </c>
      <c r="AS996">
        <f t="shared" si="254"/>
        <v>0</v>
      </c>
      <c r="AT996">
        <f t="shared" si="255"/>
        <v>0</v>
      </c>
    </row>
    <row r="997" spans="1:46" customFormat="1" ht="15.75" x14ac:dyDescent="0.25">
      <c r="A997" s="369"/>
      <c r="B997" s="398"/>
      <c r="C997" s="399"/>
      <c r="D997" s="400"/>
      <c r="E997" s="401"/>
      <c r="F997" s="434"/>
      <c r="G997" s="402"/>
      <c r="H997" s="403"/>
      <c r="I997" s="403"/>
      <c r="J997" s="439"/>
      <c r="K997" s="442">
        <f ca="1">ROUND(IF(ISERROR(OFFSET(Tabella!$A$1,MATCH(H997,Tabella!$A:$A,0)-1,MATCH(J997,Tabella!$A$1:$AC$1,0)-1)=TRUE),0,+OFFSET(Tabella!$A$1,MATCH(H997,Tabella!$A:$A,0)-1,MATCH(J997,Tabella!$A$1:$AC$1,0)-1)),4)</f>
        <v>0</v>
      </c>
      <c r="L997" s="445">
        <f ca="1">ROUND(IF(ISERROR(OFFSET(Ottone!$A$1,MATCH(H997,Ottone!$A:$A,0)-1,MATCH(J997,Ottone!$A$1:$Z$1,0)-1)=TRUE),0,OFFSET(Ottone!$A$1,MATCH(H997,Ottone!$A:$A,0)-1,MATCH(J997,Ottone!$A$1:$Z$1,0)-1))*IF(E997="Ottone",1,0),4)</f>
        <v>0</v>
      </c>
      <c r="M997" s="445">
        <f ca="1">ROUND(IF(ISERROR(OFFSET(Rame!$A$1,MATCH(H997,Rame!$A:$A,0)-1,MATCH(J997,Rame!$A$1:$AA$1,0)-1)=TRUE),0,OFFSET(Rame!$A$1,MATCH(H997,Rame!$A:$A,0)-1,MATCH(J997,Rame!$A$1:$AA$1,0)-1))*IF(E997="Rame",1,0),4)</f>
        <v>0</v>
      </c>
      <c r="N997" s="445"/>
      <c r="O997" s="445">
        <f t="shared" ca="1" si="232"/>
        <v>0</v>
      </c>
      <c r="P997" s="445">
        <f ca="1">ROUND(+IF(ISERROR(OFFSET(Tabella!$G$1,MATCH(H997,Tabella!$G:$G,0)-1,MATCH(I997,Tabella!$G$1:$FG$1,0)-1)=TRUE),0,OFFSET(Tabella!$G$1,MATCH(H997,Tabella!$G:$G,0)-1,MATCH(I997,Tabella!$G$1:$AB$1,0)-1)),4)</f>
        <v>0</v>
      </c>
      <c r="Q997" s="445">
        <f ca="1">ROUND(IF(ISERROR(OFFSET(Ottone!$F$1,MATCH(H997,Ottone!$A:$A,0)-1,MATCH(I997,Ottone!$F$1:$FF$1,0)-1)=TRUE),0,OFFSET(Ottone!$F$1,MATCH(H997,Ottone!$A:$A,0)-1,MATCH(I997,Ottone!$F$1:$FF$1,0)-1))*IF(E997="Ottone",1,0),4)</f>
        <v>0</v>
      </c>
      <c r="R997" s="445">
        <f ca="1">ROUND(IF(ISERROR(OFFSET(Rame!$F$1,MATCH(H997,Rame!$F:$F,0)-1,MATCH(I997,Rame!$F$1:$FF$1,0)-1)=TRUE),0,OFFSET(Rame!$F$1,MATCH(H997,Rame!$F:$F,0)-1,MATCH(I997,Rame!$F$1:$FF$1,0)-1))*IF(E997="Rame",1,0),4)</f>
        <v>0</v>
      </c>
      <c r="S997" s="445">
        <f ca="1">ROUND(IF(ISERROR(OFFSET(Bronzo!$A$1,MATCH(H997,Bronzo!$A:$A,0)-1,MATCH(I997,Bronzo!$A$1:$AA$1,0)-1)=TRUE),0,OFFSET(Bronzo!$A$1,MATCH(H997,Bronzo!$A:$A,0)-1,MATCH(I997,Bronzo!$A$1:$AA$1,0)-1)),4)</f>
        <v>0</v>
      </c>
      <c r="T997" s="445">
        <f t="shared" ca="1" si="256"/>
        <v>0</v>
      </c>
      <c r="U997" s="442"/>
      <c r="V997" s="445">
        <v>0</v>
      </c>
      <c r="W997" s="448">
        <f t="shared" ca="1" si="257"/>
        <v>0</v>
      </c>
      <c r="X997" s="451">
        <f t="shared" si="248"/>
        <v>0</v>
      </c>
      <c r="Y997" s="439"/>
      <c r="Z997" s="439">
        <f t="shared" ca="1" si="258"/>
        <v>0</v>
      </c>
      <c r="AA997" s="404"/>
      <c r="AF997" s="372">
        <f t="shared" ca="1" si="249"/>
        <v>46156</v>
      </c>
      <c r="AG997" s="372" t="b">
        <f t="shared" si="250"/>
        <v>1</v>
      </c>
      <c r="AH997" s="405" t="str">
        <f t="shared" si="251"/>
        <v/>
      </c>
      <c r="AK997">
        <f t="shared" si="252"/>
        <v>0</v>
      </c>
      <c r="AL997">
        <f t="shared" si="253"/>
        <v>1900</v>
      </c>
      <c r="AS997">
        <f t="shared" si="254"/>
        <v>0</v>
      </c>
      <c r="AT997">
        <f t="shared" si="255"/>
        <v>0</v>
      </c>
    </row>
    <row r="998" spans="1:46" customFormat="1" ht="15.75" x14ac:dyDescent="0.25">
      <c r="A998" s="369"/>
      <c r="B998" s="398"/>
      <c r="C998" s="399"/>
      <c r="D998" s="400"/>
      <c r="E998" s="401"/>
      <c r="F998" s="434"/>
      <c r="G998" s="402"/>
      <c r="H998" s="403"/>
      <c r="I998" s="403"/>
      <c r="J998" s="439"/>
      <c r="K998" s="442">
        <f ca="1">ROUND(IF(ISERROR(OFFSET(Tabella!$A$1,MATCH(H998,Tabella!$A:$A,0)-1,MATCH(J998,Tabella!$A$1:$AC$1,0)-1)=TRUE),0,+OFFSET(Tabella!$A$1,MATCH(H998,Tabella!$A:$A,0)-1,MATCH(J998,Tabella!$A$1:$AC$1,0)-1)),4)</f>
        <v>0</v>
      </c>
      <c r="L998" s="445">
        <f ca="1">ROUND(IF(ISERROR(OFFSET(Ottone!$A$1,MATCH(H998,Ottone!$A:$A,0)-1,MATCH(J998,Ottone!$A$1:$Z$1,0)-1)=TRUE),0,OFFSET(Ottone!$A$1,MATCH(H998,Ottone!$A:$A,0)-1,MATCH(J998,Ottone!$A$1:$Z$1,0)-1))*IF(E998="Ottone",1,0),4)</f>
        <v>0</v>
      </c>
      <c r="M998" s="445">
        <f ca="1">ROUND(IF(ISERROR(OFFSET(Rame!$A$1,MATCH(H998,Rame!$A:$A,0)-1,MATCH(J998,Rame!$A$1:$AA$1,0)-1)=TRUE),0,OFFSET(Rame!$A$1,MATCH(H998,Rame!$A:$A,0)-1,MATCH(J998,Rame!$A$1:$AA$1,0)-1))*IF(E998="Rame",1,0),4)</f>
        <v>0</v>
      </c>
      <c r="N998" s="445"/>
      <c r="O998" s="445">
        <f t="shared" ca="1" si="232"/>
        <v>0</v>
      </c>
      <c r="P998" s="445">
        <f ca="1">ROUND(+IF(ISERROR(OFFSET(Tabella!$G$1,MATCH(H998,Tabella!$G:$G,0)-1,MATCH(I998,Tabella!$G$1:$FG$1,0)-1)=TRUE),0,OFFSET(Tabella!$G$1,MATCH(H998,Tabella!$G:$G,0)-1,MATCH(I998,Tabella!$G$1:$AB$1,0)-1)),4)</f>
        <v>0</v>
      </c>
      <c r="Q998" s="445">
        <f ca="1">ROUND(IF(ISERROR(OFFSET(Ottone!$F$1,MATCH(H998,Ottone!$A:$A,0)-1,MATCH(I998,Ottone!$F$1:$FF$1,0)-1)=TRUE),0,OFFSET(Ottone!$F$1,MATCH(H998,Ottone!$A:$A,0)-1,MATCH(I998,Ottone!$F$1:$FF$1,0)-1))*IF(E998="Ottone",1,0),4)</f>
        <v>0</v>
      </c>
      <c r="R998" s="445">
        <f ca="1">ROUND(IF(ISERROR(OFFSET(Rame!$F$1,MATCH(H998,Rame!$F:$F,0)-1,MATCH(I998,Rame!$F$1:$FF$1,0)-1)=TRUE),0,OFFSET(Rame!$F$1,MATCH(H998,Rame!$F:$F,0)-1,MATCH(I998,Rame!$F$1:$FF$1,0)-1))*IF(E998="Rame",1,0),4)</f>
        <v>0</v>
      </c>
      <c r="S998" s="445">
        <f ca="1">ROUND(IF(ISERROR(OFFSET(Bronzo!$A$1,MATCH(H998,Bronzo!$A:$A,0)-1,MATCH(I998,Bronzo!$A$1:$AA$1,0)-1)=TRUE),0,OFFSET(Bronzo!$A$1,MATCH(H998,Bronzo!$A:$A,0)-1,MATCH(I998,Bronzo!$A$1:$AA$1,0)-1)),4)</f>
        <v>0</v>
      </c>
      <c r="T998" s="445">
        <f t="shared" ca="1" si="256"/>
        <v>0</v>
      </c>
      <c r="U998" s="442"/>
      <c r="V998" s="445">
        <v>0</v>
      </c>
      <c r="W998" s="448">
        <f t="shared" ca="1" si="257"/>
        <v>0</v>
      </c>
      <c r="X998" s="451">
        <f t="shared" si="248"/>
        <v>0</v>
      </c>
      <c r="Y998" s="439"/>
      <c r="Z998" s="439">
        <f t="shared" ca="1" si="258"/>
        <v>0</v>
      </c>
      <c r="AA998" s="404"/>
      <c r="AF998" s="372">
        <f t="shared" ca="1" si="249"/>
        <v>46156</v>
      </c>
      <c r="AG998" s="372" t="b">
        <f t="shared" si="250"/>
        <v>1</v>
      </c>
      <c r="AH998" s="405" t="str">
        <f t="shared" si="251"/>
        <v/>
      </c>
      <c r="AK998">
        <f t="shared" si="252"/>
        <v>0</v>
      </c>
      <c r="AL998">
        <f t="shared" si="253"/>
        <v>1900</v>
      </c>
      <c r="AS998">
        <f t="shared" si="254"/>
        <v>0</v>
      </c>
      <c r="AT998">
        <f t="shared" si="255"/>
        <v>0</v>
      </c>
    </row>
    <row r="999" spans="1:46" customFormat="1" ht="15.75" x14ac:dyDescent="0.25">
      <c r="A999" s="369"/>
      <c r="B999" s="398"/>
      <c r="C999" s="399"/>
      <c r="D999" s="400"/>
      <c r="E999" s="401"/>
      <c r="F999" s="434"/>
      <c r="G999" s="402"/>
      <c r="H999" s="403"/>
      <c r="I999" s="403"/>
      <c r="J999" s="439"/>
      <c r="K999" s="442">
        <f ca="1">ROUND(IF(ISERROR(OFFSET(Tabella!$A$1,MATCH(H999,Tabella!$A:$A,0)-1,MATCH(J999,Tabella!$A$1:$AC$1,0)-1)=TRUE),0,+OFFSET(Tabella!$A$1,MATCH(H999,Tabella!$A:$A,0)-1,MATCH(J999,Tabella!$A$1:$AC$1,0)-1)),4)</f>
        <v>0</v>
      </c>
      <c r="L999" s="445">
        <f ca="1">ROUND(IF(ISERROR(OFFSET(Ottone!$A$1,MATCH(H999,Ottone!$A:$A,0)-1,MATCH(J999,Ottone!$A$1:$Z$1,0)-1)=TRUE),0,OFFSET(Ottone!$A$1,MATCH(H999,Ottone!$A:$A,0)-1,MATCH(J999,Ottone!$A$1:$Z$1,0)-1))*IF(E999="Ottone",1,0),4)</f>
        <v>0</v>
      </c>
      <c r="M999" s="445">
        <f ca="1">ROUND(IF(ISERROR(OFFSET(Rame!$A$1,MATCH(H999,Rame!$A:$A,0)-1,MATCH(J999,Rame!$A$1:$AA$1,0)-1)=TRUE),0,OFFSET(Rame!$A$1,MATCH(H999,Rame!$A:$A,0)-1,MATCH(J999,Rame!$A$1:$AA$1,0)-1))*IF(E999="Rame",1,0),4)</f>
        <v>0</v>
      </c>
      <c r="N999" s="445"/>
      <c r="O999" s="445">
        <f t="shared" ca="1" si="232"/>
        <v>0</v>
      </c>
      <c r="P999" s="445">
        <f ca="1">ROUND(+IF(ISERROR(OFFSET(Tabella!$G$1,MATCH(H999,Tabella!$G:$G,0)-1,MATCH(I999,Tabella!$G$1:$FG$1,0)-1)=TRUE),0,OFFSET(Tabella!$G$1,MATCH(H999,Tabella!$G:$G,0)-1,MATCH(I999,Tabella!$G$1:$AB$1,0)-1)),4)</f>
        <v>0</v>
      </c>
      <c r="Q999" s="445">
        <f ca="1">ROUND(IF(ISERROR(OFFSET(Ottone!$F$1,MATCH(H999,Ottone!$A:$A,0)-1,MATCH(I999,Ottone!$F$1:$FF$1,0)-1)=TRUE),0,OFFSET(Ottone!$F$1,MATCH(H999,Ottone!$A:$A,0)-1,MATCH(I999,Ottone!$F$1:$FF$1,0)-1))*IF(E999="Ottone",1,0),4)</f>
        <v>0</v>
      </c>
      <c r="R999" s="445">
        <f ca="1">ROUND(IF(ISERROR(OFFSET(Rame!$F$1,MATCH(H999,Rame!$F:$F,0)-1,MATCH(I999,Rame!$F$1:$FF$1,0)-1)=TRUE),0,OFFSET(Rame!$F$1,MATCH(H999,Rame!$F:$F,0)-1,MATCH(I999,Rame!$F$1:$FF$1,0)-1))*IF(E999="Rame",1,0),4)</f>
        <v>0</v>
      </c>
      <c r="S999" s="445">
        <f ca="1">ROUND(IF(ISERROR(OFFSET(Bronzo!$A$1,MATCH(H999,Bronzo!$A:$A,0)-1,MATCH(I999,Bronzo!$A$1:$AA$1,0)-1)=TRUE),0,OFFSET(Bronzo!$A$1,MATCH(H999,Bronzo!$A:$A,0)-1,MATCH(I999,Bronzo!$A$1:$AA$1,0)-1)),4)</f>
        <v>0</v>
      </c>
      <c r="T999" s="445">
        <f t="shared" ca="1" si="256"/>
        <v>0</v>
      </c>
      <c r="U999" s="442"/>
      <c r="V999" s="445">
        <v>0</v>
      </c>
      <c r="W999" s="448">
        <f t="shared" ca="1" si="257"/>
        <v>0</v>
      </c>
      <c r="X999" s="451">
        <f t="shared" si="248"/>
        <v>0</v>
      </c>
      <c r="Y999" s="439"/>
      <c r="Z999" s="439">
        <f t="shared" ca="1" si="258"/>
        <v>0</v>
      </c>
      <c r="AA999" s="404"/>
      <c r="AF999" s="372">
        <f t="shared" ca="1" si="249"/>
        <v>46156</v>
      </c>
      <c r="AG999" s="372" t="b">
        <f t="shared" si="250"/>
        <v>1</v>
      </c>
      <c r="AH999" s="405" t="str">
        <f t="shared" si="251"/>
        <v/>
      </c>
      <c r="AK999">
        <f t="shared" si="252"/>
        <v>0</v>
      </c>
      <c r="AL999">
        <f t="shared" si="253"/>
        <v>1900</v>
      </c>
      <c r="AS999">
        <f t="shared" si="254"/>
        <v>0</v>
      </c>
      <c r="AT999">
        <f t="shared" si="255"/>
        <v>0</v>
      </c>
    </row>
    <row r="1000" spans="1:46" customFormat="1" ht="15.75" x14ac:dyDescent="0.25">
      <c r="A1000" s="369"/>
      <c r="B1000" s="398"/>
      <c r="C1000" s="399"/>
      <c r="D1000" s="400"/>
      <c r="E1000" s="401"/>
      <c r="F1000" s="434"/>
      <c r="G1000" s="402"/>
      <c r="H1000" s="403"/>
      <c r="I1000" s="403"/>
      <c r="J1000" s="439"/>
      <c r="K1000" s="442">
        <f ca="1">ROUND(IF(ISERROR(OFFSET(Tabella!$A$1,MATCH(H1000,Tabella!$A:$A,0)-1,MATCH(J1000,Tabella!$A$1:$AC$1,0)-1)=TRUE),0,+OFFSET(Tabella!$A$1,MATCH(H1000,Tabella!$A:$A,0)-1,MATCH(J1000,Tabella!$A$1:$AC$1,0)-1)),4)</f>
        <v>0</v>
      </c>
      <c r="L1000" s="445">
        <f ca="1">ROUND(IF(ISERROR(OFFSET(Ottone!$A$1,MATCH(H1000,Ottone!$A:$A,0)-1,MATCH(J1000,Ottone!$A$1:$Z$1,0)-1)=TRUE),0,OFFSET(Ottone!$A$1,MATCH(H1000,Ottone!$A:$A,0)-1,MATCH(J1000,Ottone!$A$1:$Z$1,0)-1))*IF(E1000="Ottone",1,0),4)</f>
        <v>0</v>
      </c>
      <c r="M1000" s="445">
        <f ca="1">ROUND(IF(ISERROR(OFFSET(Rame!$A$1,MATCH(H1000,Rame!$A:$A,0)-1,MATCH(J1000,Rame!$A$1:$AA$1,0)-1)=TRUE),0,OFFSET(Rame!$A$1,MATCH(H1000,Rame!$A:$A,0)-1,MATCH(J1000,Rame!$A$1:$AA$1,0)-1))*IF(E1000="Rame",1,0),4)</f>
        <v>0</v>
      </c>
      <c r="N1000" s="445"/>
      <c r="O1000" s="445">
        <f t="shared" ref="O1000:O1063" ca="1" si="259">ROUND(SUM(K1000:N1000),4)</f>
        <v>0</v>
      </c>
      <c r="P1000" s="445">
        <f ca="1">ROUND(+IF(ISERROR(OFFSET(Tabella!$G$1,MATCH(H1000,Tabella!$G:$G,0)-1,MATCH(I1000,Tabella!$G$1:$FG$1,0)-1)=TRUE),0,OFFSET(Tabella!$G$1,MATCH(H1000,Tabella!$G:$G,0)-1,MATCH(I1000,Tabella!$G$1:$AB$1,0)-1)),4)</f>
        <v>0</v>
      </c>
      <c r="Q1000" s="445">
        <f ca="1">ROUND(IF(ISERROR(OFFSET(Ottone!$F$1,MATCH(H1000,Ottone!$A:$A,0)-1,MATCH(I1000,Ottone!$F$1:$FF$1,0)-1)=TRUE),0,OFFSET(Ottone!$F$1,MATCH(H1000,Ottone!$A:$A,0)-1,MATCH(I1000,Ottone!$F$1:$FF$1,0)-1))*IF(E1000="Ottone",1,0),4)</f>
        <v>0</v>
      </c>
      <c r="R1000" s="445">
        <f ca="1">ROUND(IF(ISERROR(OFFSET(Rame!$F$1,MATCH(H1000,Rame!$F:$F,0)-1,MATCH(I1000,Rame!$F$1:$FF$1,0)-1)=TRUE),0,OFFSET(Rame!$F$1,MATCH(H1000,Rame!$F:$F,0)-1,MATCH(I1000,Rame!$F$1:$FF$1,0)-1))*IF(E1000="Rame",1,0),4)</f>
        <v>0</v>
      </c>
      <c r="S1000" s="445">
        <f ca="1">ROUND(IF(ISERROR(OFFSET(Bronzo!$A$1,MATCH(H1000,Bronzo!$A:$A,0)-1,MATCH(I1000,Bronzo!$A$1:$AA$1,0)-1)=TRUE),0,OFFSET(Bronzo!$A$1,MATCH(H1000,Bronzo!$A:$A,0)-1,MATCH(I1000,Bronzo!$A$1:$AA$1,0)-1)),4)</f>
        <v>0</v>
      </c>
      <c r="T1000" s="445">
        <f t="shared" ca="1" si="256"/>
        <v>0</v>
      </c>
      <c r="U1000" s="442"/>
      <c r="V1000" s="445">
        <v>0</v>
      </c>
      <c r="W1000" s="448">
        <f t="shared" ca="1" si="257"/>
        <v>0</v>
      </c>
      <c r="X1000" s="451">
        <f t="shared" si="248"/>
        <v>0</v>
      </c>
      <c r="Y1000" s="439"/>
      <c r="Z1000" s="439">
        <f t="shared" ca="1" si="258"/>
        <v>0</v>
      </c>
      <c r="AA1000" s="404"/>
      <c r="AF1000" s="372">
        <f t="shared" ca="1" si="249"/>
        <v>46156</v>
      </c>
      <c r="AG1000" s="372" t="b">
        <f t="shared" si="250"/>
        <v>1</v>
      </c>
      <c r="AH1000" s="405" t="str">
        <f t="shared" si="251"/>
        <v/>
      </c>
      <c r="AK1000">
        <f t="shared" si="252"/>
        <v>0</v>
      </c>
      <c r="AL1000">
        <f t="shared" si="253"/>
        <v>1900</v>
      </c>
      <c r="AS1000">
        <f t="shared" si="254"/>
        <v>0</v>
      </c>
      <c r="AT1000">
        <f t="shared" si="255"/>
        <v>0</v>
      </c>
    </row>
    <row r="1001" spans="1:46" customFormat="1" ht="15.75" x14ac:dyDescent="0.25">
      <c r="A1001" s="369"/>
      <c r="B1001" s="398"/>
      <c r="C1001" s="399"/>
      <c r="D1001" s="400"/>
      <c r="E1001" s="401"/>
      <c r="F1001" s="434"/>
      <c r="G1001" s="402"/>
      <c r="H1001" s="403"/>
      <c r="I1001" s="403"/>
      <c r="J1001" s="439"/>
      <c r="K1001" s="442">
        <f ca="1">ROUND(IF(ISERROR(OFFSET(Tabella!$A$1,MATCH(H1001,Tabella!$A:$A,0)-1,MATCH(J1001,Tabella!$A$1:$AC$1,0)-1)=TRUE),0,+OFFSET(Tabella!$A$1,MATCH(H1001,Tabella!$A:$A,0)-1,MATCH(J1001,Tabella!$A$1:$AC$1,0)-1)),4)</f>
        <v>0</v>
      </c>
      <c r="L1001" s="445">
        <f ca="1">ROUND(IF(ISERROR(OFFSET(Ottone!$A$1,MATCH(H1001,Ottone!$A:$A,0)-1,MATCH(J1001,Ottone!$A$1:$Z$1,0)-1)=TRUE),0,OFFSET(Ottone!$A$1,MATCH(H1001,Ottone!$A:$A,0)-1,MATCH(J1001,Ottone!$A$1:$Z$1,0)-1))*IF(E1001="Ottone",1,0),4)</f>
        <v>0</v>
      </c>
      <c r="M1001" s="445">
        <f ca="1">ROUND(IF(ISERROR(OFFSET(Rame!$A$1,MATCH(H1001,Rame!$A:$A,0)-1,MATCH(J1001,Rame!$A$1:$AA$1,0)-1)=TRUE),0,OFFSET(Rame!$A$1,MATCH(H1001,Rame!$A:$A,0)-1,MATCH(J1001,Rame!$A$1:$AA$1,0)-1))*IF(E1001="Rame",1,0),4)</f>
        <v>0</v>
      </c>
      <c r="N1001" s="445"/>
      <c r="O1001" s="445">
        <f t="shared" ca="1" si="259"/>
        <v>0</v>
      </c>
      <c r="P1001" s="445">
        <f ca="1">ROUND(+IF(ISERROR(OFFSET(Tabella!$G$1,MATCH(H1001,Tabella!$G:$G,0)-1,MATCH(I1001,Tabella!$G$1:$FG$1,0)-1)=TRUE),0,OFFSET(Tabella!$G$1,MATCH(H1001,Tabella!$G:$G,0)-1,MATCH(I1001,Tabella!$G$1:$AB$1,0)-1)),4)</f>
        <v>0</v>
      </c>
      <c r="Q1001" s="445">
        <f ca="1">ROUND(IF(ISERROR(OFFSET(Ottone!$F$1,MATCH(H1001,Ottone!$A:$A,0)-1,MATCH(I1001,Ottone!$F$1:$FF$1,0)-1)=TRUE),0,OFFSET(Ottone!$F$1,MATCH(H1001,Ottone!$A:$A,0)-1,MATCH(I1001,Ottone!$F$1:$FF$1,0)-1))*IF(E1001="Ottone",1,0),4)</f>
        <v>0</v>
      </c>
      <c r="R1001" s="445">
        <f ca="1">ROUND(IF(ISERROR(OFFSET(Rame!$F$1,MATCH(H1001,Rame!$F:$F,0)-1,MATCH(I1001,Rame!$F$1:$FF$1,0)-1)=TRUE),0,OFFSET(Rame!$F$1,MATCH(H1001,Rame!$F:$F,0)-1,MATCH(I1001,Rame!$F$1:$FF$1,0)-1))*IF(E1001="Rame",1,0),4)</f>
        <v>0</v>
      </c>
      <c r="S1001" s="445">
        <f ca="1">ROUND(IF(ISERROR(OFFSET(Bronzo!$A$1,MATCH(H1001,Bronzo!$A:$A,0)-1,MATCH(I1001,Bronzo!$A$1:$AA$1,0)-1)=TRUE),0,OFFSET(Bronzo!$A$1,MATCH(H1001,Bronzo!$A:$A,0)-1,MATCH(I1001,Bronzo!$A$1:$AA$1,0)-1)),4)</f>
        <v>0</v>
      </c>
      <c r="T1001" s="445">
        <f t="shared" ca="1" si="256"/>
        <v>0</v>
      </c>
      <c r="U1001" s="442"/>
      <c r="V1001" s="445">
        <v>0</v>
      </c>
      <c r="W1001" s="448">
        <f t="shared" ca="1" si="257"/>
        <v>0</v>
      </c>
      <c r="X1001" s="451">
        <f t="shared" si="248"/>
        <v>0</v>
      </c>
      <c r="Y1001" s="439"/>
      <c r="Z1001" s="439">
        <f t="shared" ca="1" si="258"/>
        <v>0</v>
      </c>
      <c r="AA1001" s="404"/>
      <c r="AF1001" s="372">
        <f t="shared" ca="1" si="249"/>
        <v>46156</v>
      </c>
      <c r="AG1001" s="372" t="b">
        <f t="shared" si="250"/>
        <v>1</v>
      </c>
      <c r="AH1001" s="405" t="str">
        <f t="shared" si="251"/>
        <v/>
      </c>
      <c r="AK1001">
        <f t="shared" si="252"/>
        <v>0</v>
      </c>
      <c r="AL1001">
        <f t="shared" si="253"/>
        <v>1900</v>
      </c>
      <c r="AS1001">
        <f t="shared" si="254"/>
        <v>0</v>
      </c>
      <c r="AT1001">
        <f t="shared" si="255"/>
        <v>0</v>
      </c>
    </row>
    <row r="1002" spans="1:46" customFormat="1" ht="15.75" x14ac:dyDescent="0.25">
      <c r="A1002" s="369"/>
      <c r="B1002" s="398"/>
      <c r="C1002" s="399"/>
      <c r="D1002" s="400"/>
      <c r="E1002" s="401"/>
      <c r="F1002" s="434"/>
      <c r="G1002" s="402"/>
      <c r="H1002" s="403"/>
      <c r="I1002" s="403"/>
      <c r="J1002" s="439"/>
      <c r="K1002" s="442">
        <f ca="1">ROUND(IF(ISERROR(OFFSET(Tabella!$A$1,MATCH(H1002,Tabella!$A:$A,0)-1,MATCH(J1002,Tabella!$A$1:$AC$1,0)-1)=TRUE),0,+OFFSET(Tabella!$A$1,MATCH(H1002,Tabella!$A:$A,0)-1,MATCH(J1002,Tabella!$A$1:$AC$1,0)-1)),4)</f>
        <v>0</v>
      </c>
      <c r="L1002" s="445">
        <f ca="1">ROUND(IF(ISERROR(OFFSET(Ottone!$A$1,MATCH(H1002,Ottone!$A:$A,0)-1,MATCH(J1002,Ottone!$A$1:$Z$1,0)-1)=TRUE),0,OFFSET(Ottone!$A$1,MATCH(H1002,Ottone!$A:$A,0)-1,MATCH(J1002,Ottone!$A$1:$Z$1,0)-1))*IF(E1002="Ottone",1,0),4)</f>
        <v>0</v>
      </c>
      <c r="M1002" s="445">
        <f ca="1">ROUND(IF(ISERROR(OFFSET(Rame!$A$1,MATCH(H1002,Rame!$A:$A,0)-1,MATCH(J1002,Rame!$A$1:$AA$1,0)-1)=TRUE),0,OFFSET(Rame!$A$1,MATCH(H1002,Rame!$A:$A,0)-1,MATCH(J1002,Rame!$A$1:$AA$1,0)-1))*IF(E1002="Rame",1,0),4)</f>
        <v>0</v>
      </c>
      <c r="N1002" s="445"/>
      <c r="O1002" s="445">
        <f t="shared" ca="1" si="259"/>
        <v>0</v>
      </c>
      <c r="P1002" s="445">
        <f ca="1">ROUND(+IF(ISERROR(OFFSET(Tabella!$G$1,MATCH(H1002,Tabella!$G:$G,0)-1,MATCH(I1002,Tabella!$G$1:$FG$1,0)-1)=TRUE),0,OFFSET(Tabella!$G$1,MATCH(H1002,Tabella!$G:$G,0)-1,MATCH(I1002,Tabella!$G$1:$AB$1,0)-1)),4)</f>
        <v>0</v>
      </c>
      <c r="Q1002" s="445">
        <f ca="1">ROUND(IF(ISERROR(OFFSET(Ottone!$F$1,MATCH(H1002,Ottone!$A:$A,0)-1,MATCH(I1002,Ottone!$F$1:$FF$1,0)-1)=TRUE),0,OFFSET(Ottone!$F$1,MATCH(H1002,Ottone!$A:$A,0)-1,MATCH(I1002,Ottone!$F$1:$FF$1,0)-1))*IF(E1002="Ottone",1,0),4)</f>
        <v>0</v>
      </c>
      <c r="R1002" s="445">
        <f ca="1">ROUND(IF(ISERROR(OFFSET(Rame!$F$1,MATCH(H1002,Rame!$F:$F,0)-1,MATCH(I1002,Rame!$F$1:$FF$1,0)-1)=TRUE),0,OFFSET(Rame!$F$1,MATCH(H1002,Rame!$F:$F,0)-1,MATCH(I1002,Rame!$F$1:$FF$1,0)-1))*IF(E1002="Rame",1,0),4)</f>
        <v>0</v>
      </c>
      <c r="S1002" s="445">
        <f ca="1">ROUND(IF(ISERROR(OFFSET(Bronzo!$A$1,MATCH(H1002,Bronzo!$A:$A,0)-1,MATCH(I1002,Bronzo!$A$1:$AA$1,0)-1)=TRUE),0,OFFSET(Bronzo!$A$1,MATCH(H1002,Bronzo!$A:$A,0)-1,MATCH(I1002,Bronzo!$A$1:$AA$1,0)-1)),4)</f>
        <v>0</v>
      </c>
      <c r="T1002" s="445">
        <f t="shared" ca="1" si="256"/>
        <v>0</v>
      </c>
      <c r="U1002" s="442"/>
      <c r="V1002" s="445">
        <v>0</v>
      </c>
      <c r="W1002" s="448">
        <f t="shared" ca="1" si="257"/>
        <v>0</v>
      </c>
      <c r="X1002" s="451">
        <f t="shared" si="248"/>
        <v>0</v>
      </c>
      <c r="Y1002" s="439"/>
      <c r="Z1002" s="439">
        <f t="shared" ca="1" si="258"/>
        <v>0</v>
      </c>
      <c r="AA1002" s="404"/>
      <c r="AF1002" s="372">
        <f t="shared" ca="1" si="249"/>
        <v>46156</v>
      </c>
      <c r="AG1002" s="372" t="b">
        <f t="shared" si="250"/>
        <v>1</v>
      </c>
      <c r="AH1002" s="405" t="str">
        <f t="shared" si="251"/>
        <v/>
      </c>
      <c r="AK1002">
        <f t="shared" si="252"/>
        <v>0</v>
      </c>
      <c r="AL1002">
        <f t="shared" si="253"/>
        <v>1900</v>
      </c>
      <c r="AS1002">
        <f t="shared" si="254"/>
        <v>0</v>
      </c>
      <c r="AT1002">
        <f t="shared" si="255"/>
        <v>0</v>
      </c>
    </row>
    <row r="1003" spans="1:46" customFormat="1" ht="15.75" x14ac:dyDescent="0.25">
      <c r="A1003" s="369"/>
      <c r="B1003" s="398"/>
      <c r="C1003" s="399"/>
      <c r="D1003" s="400"/>
      <c r="E1003" s="401"/>
      <c r="F1003" s="434"/>
      <c r="G1003" s="402"/>
      <c r="H1003" s="403"/>
      <c r="I1003" s="403"/>
      <c r="J1003" s="439"/>
      <c r="K1003" s="442">
        <f ca="1">ROUND(IF(ISERROR(OFFSET(Tabella!$A$1,MATCH(H1003,Tabella!$A:$A,0)-1,MATCH(J1003,Tabella!$A$1:$AC$1,0)-1)=TRUE),0,+OFFSET(Tabella!$A$1,MATCH(H1003,Tabella!$A:$A,0)-1,MATCH(J1003,Tabella!$A$1:$AC$1,0)-1)),4)</f>
        <v>0</v>
      </c>
      <c r="L1003" s="445">
        <f ca="1">ROUND(IF(ISERROR(OFFSET(Ottone!$A$1,MATCH(H1003,Ottone!$A:$A,0)-1,MATCH(J1003,Ottone!$A$1:$Z$1,0)-1)=TRUE),0,OFFSET(Ottone!$A$1,MATCH(H1003,Ottone!$A:$A,0)-1,MATCH(J1003,Ottone!$A$1:$Z$1,0)-1))*IF(E1003="Ottone",1,0),4)</f>
        <v>0</v>
      </c>
      <c r="M1003" s="445">
        <f ca="1">ROUND(IF(ISERROR(OFFSET(Rame!$A$1,MATCH(H1003,Rame!$A:$A,0)-1,MATCH(J1003,Rame!$A$1:$AA$1,0)-1)=TRUE),0,OFFSET(Rame!$A$1,MATCH(H1003,Rame!$A:$A,0)-1,MATCH(J1003,Rame!$A$1:$AA$1,0)-1))*IF(E1003="Rame",1,0),4)</f>
        <v>0</v>
      </c>
      <c r="N1003" s="445"/>
      <c r="O1003" s="445">
        <f t="shared" ca="1" si="259"/>
        <v>0</v>
      </c>
      <c r="P1003" s="445">
        <f ca="1">ROUND(+IF(ISERROR(OFFSET(Tabella!$G$1,MATCH(H1003,Tabella!$G:$G,0)-1,MATCH(I1003,Tabella!$G$1:$FG$1,0)-1)=TRUE),0,OFFSET(Tabella!$G$1,MATCH(H1003,Tabella!$G:$G,0)-1,MATCH(I1003,Tabella!$G$1:$AB$1,0)-1)),4)</f>
        <v>0</v>
      </c>
      <c r="Q1003" s="445">
        <f ca="1">ROUND(IF(ISERROR(OFFSET(Ottone!$F$1,MATCH(H1003,Ottone!$A:$A,0)-1,MATCH(I1003,Ottone!$F$1:$FF$1,0)-1)=TRUE),0,OFFSET(Ottone!$F$1,MATCH(H1003,Ottone!$A:$A,0)-1,MATCH(I1003,Ottone!$F$1:$FF$1,0)-1))*IF(E1003="Ottone",1,0),4)</f>
        <v>0</v>
      </c>
      <c r="R1003" s="445">
        <f ca="1">ROUND(IF(ISERROR(OFFSET(Rame!$F$1,MATCH(H1003,Rame!$F:$F,0)-1,MATCH(I1003,Rame!$F$1:$FF$1,0)-1)=TRUE),0,OFFSET(Rame!$F$1,MATCH(H1003,Rame!$F:$F,0)-1,MATCH(I1003,Rame!$F$1:$FF$1,0)-1))*IF(E1003="Rame",1,0),4)</f>
        <v>0</v>
      </c>
      <c r="S1003" s="445">
        <f ca="1">ROUND(IF(ISERROR(OFFSET(Bronzo!$A$1,MATCH(H1003,Bronzo!$A:$A,0)-1,MATCH(I1003,Bronzo!$A$1:$AA$1,0)-1)=TRUE),0,OFFSET(Bronzo!$A$1,MATCH(H1003,Bronzo!$A:$A,0)-1,MATCH(I1003,Bronzo!$A$1:$AA$1,0)-1)),4)</f>
        <v>0</v>
      </c>
      <c r="T1003" s="445">
        <f t="shared" ca="1" si="256"/>
        <v>0</v>
      </c>
      <c r="U1003" s="442"/>
      <c r="V1003" s="445">
        <v>0</v>
      </c>
      <c r="W1003" s="448">
        <f t="shared" ca="1" si="257"/>
        <v>0</v>
      </c>
      <c r="X1003" s="451">
        <f t="shared" si="248"/>
        <v>0</v>
      </c>
      <c r="Y1003" s="439"/>
      <c r="Z1003" s="439">
        <f t="shared" ca="1" si="258"/>
        <v>0</v>
      </c>
      <c r="AA1003" s="404"/>
      <c r="AF1003" s="372">
        <f t="shared" ca="1" si="249"/>
        <v>46156</v>
      </c>
      <c r="AG1003" s="372" t="b">
        <f t="shared" si="250"/>
        <v>1</v>
      </c>
      <c r="AH1003" s="405" t="str">
        <f t="shared" si="251"/>
        <v/>
      </c>
      <c r="AK1003">
        <f t="shared" si="252"/>
        <v>0</v>
      </c>
      <c r="AL1003">
        <f t="shared" si="253"/>
        <v>1900</v>
      </c>
      <c r="AS1003">
        <f t="shared" si="254"/>
        <v>0</v>
      </c>
      <c r="AT1003">
        <f t="shared" si="255"/>
        <v>0</v>
      </c>
    </row>
    <row r="1004" spans="1:46" customFormat="1" ht="15.75" x14ac:dyDescent="0.25">
      <c r="A1004" s="369"/>
      <c r="B1004" s="398"/>
      <c r="C1004" s="399"/>
      <c r="D1004" s="400"/>
      <c r="E1004" s="401"/>
      <c r="F1004" s="434"/>
      <c r="G1004" s="402"/>
      <c r="H1004" s="403"/>
      <c r="I1004" s="403"/>
      <c r="J1004" s="439"/>
      <c r="K1004" s="442">
        <f ca="1">ROUND(IF(ISERROR(OFFSET(Tabella!$A$1,MATCH(H1004,Tabella!$A:$A,0)-1,MATCH(J1004,Tabella!$A$1:$AC$1,0)-1)=TRUE),0,+OFFSET(Tabella!$A$1,MATCH(H1004,Tabella!$A:$A,0)-1,MATCH(J1004,Tabella!$A$1:$AC$1,0)-1)),4)</f>
        <v>0</v>
      </c>
      <c r="L1004" s="445">
        <f ca="1">ROUND(IF(ISERROR(OFFSET(Ottone!$A$1,MATCH(H1004,Ottone!$A:$A,0)-1,MATCH(J1004,Ottone!$A$1:$Z$1,0)-1)=TRUE),0,OFFSET(Ottone!$A$1,MATCH(H1004,Ottone!$A:$A,0)-1,MATCH(J1004,Ottone!$A$1:$Z$1,0)-1))*IF(E1004="Ottone",1,0),4)</f>
        <v>0</v>
      </c>
      <c r="M1004" s="445">
        <f ca="1">ROUND(IF(ISERROR(OFFSET(Rame!$A$1,MATCH(H1004,Rame!$A:$A,0)-1,MATCH(J1004,Rame!$A$1:$AA$1,0)-1)=TRUE),0,OFFSET(Rame!$A$1,MATCH(H1004,Rame!$A:$A,0)-1,MATCH(J1004,Rame!$A$1:$AA$1,0)-1))*IF(E1004="Rame",1,0),4)</f>
        <v>0</v>
      </c>
      <c r="N1004" s="445"/>
      <c r="O1004" s="445">
        <f t="shared" ca="1" si="259"/>
        <v>0</v>
      </c>
      <c r="P1004" s="445">
        <f ca="1">ROUND(+IF(ISERROR(OFFSET(Tabella!$G$1,MATCH(H1004,Tabella!$G:$G,0)-1,MATCH(I1004,Tabella!$G$1:$FG$1,0)-1)=TRUE),0,OFFSET(Tabella!$G$1,MATCH(H1004,Tabella!$G:$G,0)-1,MATCH(I1004,Tabella!$G$1:$AB$1,0)-1)),4)</f>
        <v>0</v>
      </c>
      <c r="Q1004" s="445">
        <f ca="1">ROUND(IF(ISERROR(OFFSET(Ottone!$F$1,MATCH(H1004,Ottone!$A:$A,0)-1,MATCH(I1004,Ottone!$F$1:$FF$1,0)-1)=TRUE),0,OFFSET(Ottone!$F$1,MATCH(H1004,Ottone!$A:$A,0)-1,MATCH(I1004,Ottone!$F$1:$FF$1,0)-1))*IF(E1004="Ottone",1,0),4)</f>
        <v>0</v>
      </c>
      <c r="R1004" s="445">
        <f ca="1">ROUND(IF(ISERROR(OFFSET(Rame!$F$1,MATCH(H1004,Rame!$F:$F,0)-1,MATCH(I1004,Rame!$F$1:$FF$1,0)-1)=TRUE),0,OFFSET(Rame!$F$1,MATCH(H1004,Rame!$F:$F,0)-1,MATCH(I1004,Rame!$F$1:$FF$1,0)-1))*IF(E1004="Rame",1,0),4)</f>
        <v>0</v>
      </c>
      <c r="S1004" s="445">
        <f ca="1">ROUND(IF(ISERROR(OFFSET(Bronzo!$A$1,MATCH(H1004,Bronzo!$A:$A,0)-1,MATCH(I1004,Bronzo!$A$1:$AA$1,0)-1)=TRUE),0,OFFSET(Bronzo!$A$1,MATCH(H1004,Bronzo!$A:$A,0)-1,MATCH(I1004,Bronzo!$A$1:$AA$1,0)-1)),4)</f>
        <v>0</v>
      </c>
      <c r="T1004" s="445">
        <f t="shared" ca="1" si="256"/>
        <v>0</v>
      </c>
      <c r="U1004" s="442"/>
      <c r="V1004" s="445">
        <v>0</v>
      </c>
      <c r="W1004" s="448">
        <f t="shared" ca="1" si="257"/>
        <v>0</v>
      </c>
      <c r="X1004" s="451">
        <f t="shared" si="248"/>
        <v>0</v>
      </c>
      <c r="Y1004" s="439"/>
      <c r="Z1004" s="439">
        <f t="shared" ca="1" si="258"/>
        <v>0</v>
      </c>
      <c r="AA1004" s="404"/>
      <c r="AF1004" s="372">
        <f t="shared" ca="1" si="249"/>
        <v>46156</v>
      </c>
      <c r="AG1004" s="372" t="b">
        <f t="shared" si="250"/>
        <v>1</v>
      </c>
      <c r="AH1004" s="405" t="str">
        <f t="shared" si="251"/>
        <v/>
      </c>
      <c r="AK1004">
        <f t="shared" si="252"/>
        <v>0</v>
      </c>
      <c r="AL1004">
        <f t="shared" si="253"/>
        <v>1900</v>
      </c>
      <c r="AS1004">
        <f t="shared" si="254"/>
        <v>0</v>
      </c>
      <c r="AT1004">
        <f t="shared" si="255"/>
        <v>0</v>
      </c>
    </row>
    <row r="1005" spans="1:46" customFormat="1" ht="15.75" x14ac:dyDescent="0.25">
      <c r="A1005" s="369"/>
      <c r="B1005" s="398"/>
      <c r="C1005" s="399"/>
      <c r="D1005" s="400"/>
      <c r="E1005" s="401"/>
      <c r="F1005" s="434"/>
      <c r="G1005" s="402"/>
      <c r="H1005" s="403"/>
      <c r="I1005" s="403"/>
      <c r="J1005" s="439"/>
      <c r="K1005" s="442">
        <f ca="1">ROUND(IF(ISERROR(OFFSET(Tabella!$A$1,MATCH(H1005,Tabella!$A:$A,0)-1,MATCH(J1005,Tabella!$A$1:$AC$1,0)-1)=TRUE),0,+OFFSET(Tabella!$A$1,MATCH(H1005,Tabella!$A:$A,0)-1,MATCH(J1005,Tabella!$A$1:$AC$1,0)-1)),4)</f>
        <v>0</v>
      </c>
      <c r="L1005" s="445">
        <f ca="1">ROUND(IF(ISERROR(OFFSET(Ottone!$A$1,MATCH(H1005,Ottone!$A:$A,0)-1,MATCH(J1005,Ottone!$A$1:$Z$1,0)-1)=TRUE),0,OFFSET(Ottone!$A$1,MATCH(H1005,Ottone!$A:$A,0)-1,MATCH(J1005,Ottone!$A$1:$Z$1,0)-1))*IF(E1005="Ottone",1,0),4)</f>
        <v>0</v>
      </c>
      <c r="M1005" s="445">
        <f ca="1">ROUND(IF(ISERROR(OFFSET(Rame!$A$1,MATCH(H1005,Rame!$A:$A,0)-1,MATCH(J1005,Rame!$A$1:$AA$1,0)-1)=TRUE),0,OFFSET(Rame!$A$1,MATCH(H1005,Rame!$A:$A,0)-1,MATCH(J1005,Rame!$A$1:$AA$1,0)-1))*IF(E1005="Rame",1,0),4)</f>
        <v>0</v>
      </c>
      <c r="N1005" s="445"/>
      <c r="O1005" s="445">
        <f t="shared" ca="1" si="259"/>
        <v>0</v>
      </c>
      <c r="P1005" s="445">
        <f ca="1">ROUND(+IF(ISERROR(OFFSET(Tabella!$G$1,MATCH(H1005,Tabella!$G:$G,0)-1,MATCH(I1005,Tabella!$G$1:$FG$1,0)-1)=TRUE),0,OFFSET(Tabella!$G$1,MATCH(H1005,Tabella!$G:$G,0)-1,MATCH(I1005,Tabella!$G$1:$AB$1,0)-1)),4)</f>
        <v>0</v>
      </c>
      <c r="Q1005" s="445">
        <f ca="1">ROUND(IF(ISERROR(OFFSET(Ottone!$F$1,MATCH(H1005,Ottone!$A:$A,0)-1,MATCH(I1005,Ottone!$F$1:$FF$1,0)-1)=TRUE),0,OFFSET(Ottone!$F$1,MATCH(H1005,Ottone!$A:$A,0)-1,MATCH(I1005,Ottone!$F$1:$FF$1,0)-1))*IF(E1005="Ottone",1,0),4)</f>
        <v>0</v>
      </c>
      <c r="R1005" s="445">
        <f ca="1">ROUND(IF(ISERROR(OFFSET(Rame!$F$1,MATCH(H1005,Rame!$F:$F,0)-1,MATCH(I1005,Rame!$F$1:$FF$1,0)-1)=TRUE),0,OFFSET(Rame!$F$1,MATCH(H1005,Rame!$F:$F,0)-1,MATCH(I1005,Rame!$F$1:$FF$1,0)-1))*IF(E1005="Rame",1,0),4)</f>
        <v>0</v>
      </c>
      <c r="S1005" s="445">
        <f ca="1">ROUND(IF(ISERROR(OFFSET(Bronzo!$A$1,MATCH(H1005,Bronzo!$A:$A,0)-1,MATCH(I1005,Bronzo!$A$1:$AA$1,0)-1)=TRUE),0,OFFSET(Bronzo!$A$1,MATCH(H1005,Bronzo!$A:$A,0)-1,MATCH(I1005,Bronzo!$A$1:$AA$1,0)-1)),4)</f>
        <v>0</v>
      </c>
      <c r="T1005" s="445">
        <f t="shared" ca="1" si="256"/>
        <v>0</v>
      </c>
      <c r="U1005" s="442"/>
      <c r="V1005" s="445">
        <v>0</v>
      </c>
      <c r="W1005" s="448">
        <f t="shared" ca="1" si="257"/>
        <v>0</v>
      </c>
      <c r="X1005" s="451">
        <f t="shared" si="248"/>
        <v>0</v>
      </c>
      <c r="Y1005" s="439"/>
      <c r="Z1005" s="439">
        <f t="shared" ca="1" si="258"/>
        <v>0</v>
      </c>
      <c r="AA1005" s="404"/>
      <c r="AF1005" s="372">
        <f t="shared" ca="1" si="249"/>
        <v>46156</v>
      </c>
      <c r="AG1005" s="372" t="b">
        <f t="shared" si="250"/>
        <v>1</v>
      </c>
      <c r="AH1005" s="405" t="str">
        <f t="shared" si="251"/>
        <v/>
      </c>
      <c r="AK1005">
        <f t="shared" si="252"/>
        <v>0</v>
      </c>
      <c r="AL1005">
        <f t="shared" si="253"/>
        <v>1900</v>
      </c>
      <c r="AS1005">
        <f t="shared" si="254"/>
        <v>0</v>
      </c>
      <c r="AT1005">
        <f t="shared" si="255"/>
        <v>0</v>
      </c>
    </row>
    <row r="1006" spans="1:46" customFormat="1" ht="15.75" x14ac:dyDescent="0.25">
      <c r="A1006" s="369"/>
      <c r="B1006" s="398"/>
      <c r="C1006" s="399"/>
      <c r="D1006" s="400"/>
      <c r="E1006" s="401"/>
      <c r="F1006" s="434"/>
      <c r="G1006" s="402"/>
      <c r="H1006" s="403"/>
      <c r="I1006" s="403"/>
      <c r="J1006" s="439"/>
      <c r="K1006" s="442">
        <f ca="1">ROUND(IF(ISERROR(OFFSET(Tabella!$A$1,MATCH(H1006,Tabella!$A:$A,0)-1,MATCH(J1006,Tabella!$A$1:$AC$1,0)-1)=TRUE),0,+OFFSET(Tabella!$A$1,MATCH(H1006,Tabella!$A:$A,0)-1,MATCH(J1006,Tabella!$A$1:$AC$1,0)-1)),4)</f>
        <v>0</v>
      </c>
      <c r="L1006" s="445">
        <f ca="1">ROUND(IF(ISERROR(OFFSET(Ottone!$A$1,MATCH(H1006,Ottone!$A:$A,0)-1,MATCH(J1006,Ottone!$A$1:$Z$1,0)-1)=TRUE),0,OFFSET(Ottone!$A$1,MATCH(H1006,Ottone!$A:$A,0)-1,MATCH(J1006,Ottone!$A$1:$Z$1,0)-1))*IF(E1006="Ottone",1,0),4)</f>
        <v>0</v>
      </c>
      <c r="M1006" s="445">
        <f ca="1">ROUND(IF(ISERROR(OFFSET(Rame!$A$1,MATCH(H1006,Rame!$A:$A,0)-1,MATCH(J1006,Rame!$A$1:$AA$1,0)-1)=TRUE),0,OFFSET(Rame!$A$1,MATCH(H1006,Rame!$A:$A,0)-1,MATCH(J1006,Rame!$A$1:$AA$1,0)-1))*IF(E1006="Rame",1,0),4)</f>
        <v>0</v>
      </c>
      <c r="N1006" s="445"/>
      <c r="O1006" s="445">
        <f t="shared" ca="1" si="259"/>
        <v>0</v>
      </c>
      <c r="P1006" s="445">
        <f ca="1">ROUND(+IF(ISERROR(OFFSET(Tabella!$G$1,MATCH(H1006,Tabella!$G:$G,0)-1,MATCH(I1006,Tabella!$G$1:$FG$1,0)-1)=TRUE),0,OFFSET(Tabella!$G$1,MATCH(H1006,Tabella!$G:$G,0)-1,MATCH(I1006,Tabella!$G$1:$AB$1,0)-1)),4)</f>
        <v>0</v>
      </c>
      <c r="Q1006" s="445">
        <f ca="1">ROUND(IF(ISERROR(OFFSET(Ottone!$F$1,MATCH(H1006,Ottone!$A:$A,0)-1,MATCH(I1006,Ottone!$F$1:$FF$1,0)-1)=TRUE),0,OFFSET(Ottone!$F$1,MATCH(H1006,Ottone!$A:$A,0)-1,MATCH(I1006,Ottone!$F$1:$FF$1,0)-1))*IF(E1006="Ottone",1,0),4)</f>
        <v>0</v>
      </c>
      <c r="R1006" s="445">
        <f ca="1">ROUND(IF(ISERROR(OFFSET(Rame!$F$1,MATCH(H1006,Rame!$F:$F,0)-1,MATCH(I1006,Rame!$F$1:$FF$1,0)-1)=TRUE),0,OFFSET(Rame!$F$1,MATCH(H1006,Rame!$F:$F,0)-1,MATCH(I1006,Rame!$F$1:$FF$1,0)-1))*IF(E1006="Rame",1,0),4)</f>
        <v>0</v>
      </c>
      <c r="S1006" s="445">
        <f ca="1">ROUND(IF(ISERROR(OFFSET(Bronzo!$A$1,MATCH(H1006,Bronzo!$A:$A,0)-1,MATCH(I1006,Bronzo!$A$1:$AA$1,0)-1)=TRUE),0,OFFSET(Bronzo!$A$1,MATCH(H1006,Bronzo!$A:$A,0)-1,MATCH(I1006,Bronzo!$A$1:$AA$1,0)-1)),4)</f>
        <v>0</v>
      </c>
      <c r="T1006" s="445">
        <f t="shared" ca="1" si="256"/>
        <v>0</v>
      </c>
      <c r="U1006" s="442"/>
      <c r="V1006" s="445">
        <v>0</v>
      </c>
      <c r="W1006" s="448">
        <f t="shared" ca="1" si="257"/>
        <v>0</v>
      </c>
      <c r="X1006" s="451">
        <f t="shared" si="248"/>
        <v>0</v>
      </c>
      <c r="Y1006" s="439"/>
      <c r="Z1006" s="439">
        <f t="shared" ca="1" si="258"/>
        <v>0</v>
      </c>
      <c r="AA1006" s="404"/>
      <c r="AF1006" s="372">
        <f t="shared" ca="1" si="249"/>
        <v>46156</v>
      </c>
      <c r="AG1006" s="372" t="b">
        <f t="shared" si="250"/>
        <v>1</v>
      </c>
      <c r="AH1006" s="405" t="str">
        <f t="shared" si="251"/>
        <v/>
      </c>
      <c r="AK1006">
        <f t="shared" si="252"/>
        <v>0</v>
      </c>
      <c r="AL1006">
        <f t="shared" si="253"/>
        <v>1900</v>
      </c>
      <c r="AS1006">
        <f t="shared" si="254"/>
        <v>0</v>
      </c>
      <c r="AT1006">
        <f t="shared" si="255"/>
        <v>0</v>
      </c>
    </row>
    <row r="1007" spans="1:46" customFormat="1" ht="15.75" x14ac:dyDescent="0.25">
      <c r="A1007" s="369"/>
      <c r="B1007" s="398"/>
      <c r="C1007" s="399"/>
      <c r="D1007" s="400"/>
      <c r="E1007" s="401"/>
      <c r="F1007" s="434"/>
      <c r="G1007" s="402"/>
      <c r="H1007" s="403"/>
      <c r="I1007" s="403"/>
      <c r="J1007" s="439"/>
      <c r="K1007" s="442">
        <f ca="1">ROUND(IF(ISERROR(OFFSET(Tabella!$A$1,MATCH(H1007,Tabella!$A:$A,0)-1,MATCH(J1007,Tabella!$A$1:$AC$1,0)-1)=TRUE),0,+OFFSET(Tabella!$A$1,MATCH(H1007,Tabella!$A:$A,0)-1,MATCH(J1007,Tabella!$A$1:$AC$1,0)-1)),4)</f>
        <v>0</v>
      </c>
      <c r="L1007" s="445">
        <f ca="1">ROUND(IF(ISERROR(OFFSET(Ottone!$A$1,MATCH(H1007,Ottone!$A:$A,0)-1,MATCH(J1007,Ottone!$A$1:$Z$1,0)-1)=TRUE),0,OFFSET(Ottone!$A$1,MATCH(H1007,Ottone!$A:$A,0)-1,MATCH(J1007,Ottone!$A$1:$Z$1,0)-1))*IF(E1007="Ottone",1,0),4)</f>
        <v>0</v>
      </c>
      <c r="M1007" s="445">
        <f ca="1">ROUND(IF(ISERROR(OFFSET(Rame!$A$1,MATCH(H1007,Rame!$A:$A,0)-1,MATCH(J1007,Rame!$A$1:$AA$1,0)-1)=TRUE),0,OFFSET(Rame!$A$1,MATCH(H1007,Rame!$A:$A,0)-1,MATCH(J1007,Rame!$A$1:$AA$1,0)-1))*IF(E1007="Rame",1,0),4)</f>
        <v>0</v>
      </c>
      <c r="N1007" s="445"/>
      <c r="O1007" s="445">
        <f t="shared" ca="1" si="259"/>
        <v>0</v>
      </c>
      <c r="P1007" s="445">
        <f ca="1">ROUND(+IF(ISERROR(OFFSET(Tabella!$G$1,MATCH(H1007,Tabella!$G:$G,0)-1,MATCH(I1007,Tabella!$G$1:$FG$1,0)-1)=TRUE),0,OFFSET(Tabella!$G$1,MATCH(H1007,Tabella!$G:$G,0)-1,MATCH(I1007,Tabella!$G$1:$AB$1,0)-1)),4)</f>
        <v>0</v>
      </c>
      <c r="Q1007" s="445">
        <f ca="1">ROUND(IF(ISERROR(OFFSET(Ottone!$F$1,MATCH(H1007,Ottone!$A:$A,0)-1,MATCH(I1007,Ottone!$F$1:$FF$1,0)-1)=TRUE),0,OFFSET(Ottone!$F$1,MATCH(H1007,Ottone!$A:$A,0)-1,MATCH(I1007,Ottone!$F$1:$FF$1,0)-1))*IF(E1007="Ottone",1,0),4)</f>
        <v>0</v>
      </c>
      <c r="R1007" s="445">
        <f ca="1">ROUND(IF(ISERROR(OFFSET(Rame!$F$1,MATCH(H1007,Rame!$F:$F,0)-1,MATCH(I1007,Rame!$F$1:$FF$1,0)-1)=TRUE),0,OFFSET(Rame!$F$1,MATCH(H1007,Rame!$F:$F,0)-1,MATCH(I1007,Rame!$F$1:$FF$1,0)-1))*IF(E1007="Rame",1,0),4)</f>
        <v>0</v>
      </c>
      <c r="S1007" s="445">
        <f ca="1">ROUND(IF(ISERROR(OFFSET(Bronzo!$A$1,MATCH(H1007,Bronzo!$A:$A,0)-1,MATCH(I1007,Bronzo!$A$1:$AA$1,0)-1)=TRUE),0,OFFSET(Bronzo!$A$1,MATCH(H1007,Bronzo!$A:$A,0)-1,MATCH(I1007,Bronzo!$A$1:$AA$1,0)-1)),4)</f>
        <v>0</v>
      </c>
      <c r="T1007" s="445">
        <f t="shared" ca="1" si="256"/>
        <v>0</v>
      </c>
      <c r="U1007" s="442"/>
      <c r="V1007" s="445">
        <v>0</v>
      </c>
      <c r="W1007" s="448">
        <f t="shared" ca="1" si="257"/>
        <v>0</v>
      </c>
      <c r="X1007" s="451">
        <f t="shared" si="248"/>
        <v>0</v>
      </c>
      <c r="Y1007" s="439"/>
      <c r="Z1007" s="439">
        <f t="shared" ca="1" si="258"/>
        <v>0</v>
      </c>
      <c r="AA1007" s="404"/>
      <c r="AF1007" s="372">
        <f t="shared" ca="1" si="249"/>
        <v>46156</v>
      </c>
      <c r="AG1007" s="372" t="b">
        <f t="shared" si="250"/>
        <v>1</v>
      </c>
      <c r="AH1007" s="405" t="str">
        <f t="shared" si="251"/>
        <v/>
      </c>
      <c r="AK1007">
        <f t="shared" si="252"/>
        <v>0</v>
      </c>
      <c r="AL1007">
        <f t="shared" si="253"/>
        <v>1900</v>
      </c>
      <c r="AS1007">
        <f t="shared" si="254"/>
        <v>0</v>
      </c>
      <c r="AT1007">
        <f t="shared" si="255"/>
        <v>0</v>
      </c>
    </row>
    <row r="1008" spans="1:46" customFormat="1" ht="15.75" x14ac:dyDescent="0.25">
      <c r="A1008" s="369"/>
      <c r="B1008" s="398"/>
      <c r="C1008" s="399"/>
      <c r="D1008" s="400"/>
      <c r="E1008" s="401"/>
      <c r="F1008" s="434"/>
      <c r="G1008" s="402"/>
      <c r="H1008" s="403"/>
      <c r="I1008" s="403"/>
      <c r="J1008" s="439"/>
      <c r="K1008" s="442">
        <f ca="1">ROUND(IF(ISERROR(OFFSET(Tabella!$A$1,MATCH(H1008,Tabella!$A:$A,0)-1,MATCH(J1008,Tabella!$A$1:$AC$1,0)-1)=TRUE),0,+OFFSET(Tabella!$A$1,MATCH(H1008,Tabella!$A:$A,0)-1,MATCH(J1008,Tabella!$A$1:$AC$1,0)-1)),4)</f>
        <v>0</v>
      </c>
      <c r="L1008" s="445">
        <f ca="1">ROUND(IF(ISERROR(OFFSET(Ottone!$A$1,MATCH(H1008,Ottone!$A:$A,0)-1,MATCH(J1008,Ottone!$A$1:$Z$1,0)-1)=TRUE),0,OFFSET(Ottone!$A$1,MATCH(H1008,Ottone!$A:$A,0)-1,MATCH(J1008,Ottone!$A$1:$Z$1,0)-1))*IF(E1008="Ottone",1,0),4)</f>
        <v>0</v>
      </c>
      <c r="M1008" s="445">
        <f ca="1">ROUND(IF(ISERROR(OFFSET(Rame!$A$1,MATCH(H1008,Rame!$A:$A,0)-1,MATCH(J1008,Rame!$A$1:$AA$1,0)-1)=TRUE),0,OFFSET(Rame!$A$1,MATCH(H1008,Rame!$A:$A,0)-1,MATCH(J1008,Rame!$A$1:$AA$1,0)-1))*IF(E1008="Rame",1,0),4)</f>
        <v>0</v>
      </c>
      <c r="N1008" s="445"/>
      <c r="O1008" s="445">
        <f t="shared" ca="1" si="259"/>
        <v>0</v>
      </c>
      <c r="P1008" s="445">
        <f ca="1">ROUND(+IF(ISERROR(OFFSET(Tabella!$G$1,MATCH(H1008,Tabella!$G:$G,0)-1,MATCH(I1008,Tabella!$G$1:$FG$1,0)-1)=TRUE),0,OFFSET(Tabella!$G$1,MATCH(H1008,Tabella!$G:$G,0)-1,MATCH(I1008,Tabella!$G$1:$AB$1,0)-1)),4)</f>
        <v>0</v>
      </c>
      <c r="Q1008" s="445">
        <f ca="1">ROUND(IF(ISERROR(OFFSET(Ottone!$F$1,MATCH(H1008,Ottone!$A:$A,0)-1,MATCH(I1008,Ottone!$F$1:$FF$1,0)-1)=TRUE),0,OFFSET(Ottone!$F$1,MATCH(H1008,Ottone!$A:$A,0)-1,MATCH(I1008,Ottone!$F$1:$FF$1,0)-1))*IF(E1008="Ottone",1,0),4)</f>
        <v>0</v>
      </c>
      <c r="R1008" s="445">
        <f ca="1">ROUND(IF(ISERROR(OFFSET(Rame!$F$1,MATCH(H1008,Rame!$F:$F,0)-1,MATCH(I1008,Rame!$F$1:$FF$1,0)-1)=TRUE),0,OFFSET(Rame!$F$1,MATCH(H1008,Rame!$F:$F,0)-1,MATCH(I1008,Rame!$F$1:$FF$1,0)-1))*IF(E1008="Rame",1,0),4)</f>
        <v>0</v>
      </c>
      <c r="S1008" s="445">
        <f ca="1">ROUND(IF(ISERROR(OFFSET(Bronzo!$A$1,MATCH(H1008,Bronzo!$A:$A,0)-1,MATCH(I1008,Bronzo!$A$1:$AA$1,0)-1)=TRUE),0,OFFSET(Bronzo!$A$1,MATCH(H1008,Bronzo!$A:$A,0)-1,MATCH(I1008,Bronzo!$A$1:$AA$1,0)-1)),4)</f>
        <v>0</v>
      </c>
      <c r="T1008" s="445">
        <f t="shared" ca="1" si="256"/>
        <v>0</v>
      </c>
      <c r="U1008" s="442"/>
      <c r="V1008" s="445">
        <v>0</v>
      </c>
      <c r="W1008" s="448">
        <f t="shared" ca="1" si="257"/>
        <v>0</v>
      </c>
      <c r="X1008" s="451">
        <f t="shared" si="248"/>
        <v>0</v>
      </c>
      <c r="Y1008" s="439"/>
      <c r="Z1008" s="439">
        <f t="shared" ca="1" si="258"/>
        <v>0</v>
      </c>
      <c r="AA1008" s="404"/>
      <c r="AF1008" s="372">
        <f t="shared" ca="1" si="249"/>
        <v>46156</v>
      </c>
      <c r="AG1008" s="372" t="b">
        <f t="shared" si="250"/>
        <v>1</v>
      </c>
      <c r="AH1008" s="405" t="str">
        <f t="shared" si="251"/>
        <v/>
      </c>
      <c r="AK1008">
        <f t="shared" si="252"/>
        <v>0</v>
      </c>
      <c r="AL1008">
        <f t="shared" si="253"/>
        <v>1900</v>
      </c>
      <c r="AS1008">
        <f t="shared" si="254"/>
        <v>0</v>
      </c>
      <c r="AT1008">
        <f t="shared" si="255"/>
        <v>0</v>
      </c>
    </row>
    <row r="1009" spans="1:46" customFormat="1" ht="15.75" x14ac:dyDescent="0.25">
      <c r="A1009" s="369"/>
      <c r="B1009" s="398"/>
      <c r="C1009" s="399"/>
      <c r="D1009" s="400"/>
      <c r="E1009" s="401"/>
      <c r="F1009" s="434"/>
      <c r="G1009" s="402"/>
      <c r="H1009" s="403"/>
      <c r="I1009" s="403"/>
      <c r="J1009" s="439"/>
      <c r="K1009" s="442">
        <f ca="1">ROUND(IF(ISERROR(OFFSET(Tabella!$A$1,MATCH(H1009,Tabella!$A:$A,0)-1,MATCH(J1009,Tabella!$A$1:$AC$1,0)-1)=TRUE),0,+OFFSET(Tabella!$A$1,MATCH(H1009,Tabella!$A:$A,0)-1,MATCH(J1009,Tabella!$A$1:$AC$1,0)-1)),4)</f>
        <v>0</v>
      </c>
      <c r="L1009" s="445">
        <f ca="1">ROUND(IF(ISERROR(OFFSET(Ottone!$A$1,MATCH(H1009,Ottone!$A:$A,0)-1,MATCH(J1009,Ottone!$A$1:$Z$1,0)-1)=TRUE),0,OFFSET(Ottone!$A$1,MATCH(H1009,Ottone!$A:$A,0)-1,MATCH(J1009,Ottone!$A$1:$Z$1,0)-1))*IF(E1009="Ottone",1,0),4)</f>
        <v>0</v>
      </c>
      <c r="M1009" s="445">
        <f ca="1">ROUND(IF(ISERROR(OFFSET(Rame!$A$1,MATCH(H1009,Rame!$A:$A,0)-1,MATCH(J1009,Rame!$A$1:$AA$1,0)-1)=TRUE),0,OFFSET(Rame!$A$1,MATCH(H1009,Rame!$A:$A,0)-1,MATCH(J1009,Rame!$A$1:$AA$1,0)-1))*IF(E1009="Rame",1,0),4)</f>
        <v>0</v>
      </c>
      <c r="N1009" s="445"/>
      <c r="O1009" s="445">
        <f t="shared" ca="1" si="259"/>
        <v>0</v>
      </c>
      <c r="P1009" s="445">
        <f ca="1">ROUND(+IF(ISERROR(OFFSET(Tabella!$G$1,MATCH(H1009,Tabella!$G:$G,0)-1,MATCH(I1009,Tabella!$G$1:$FG$1,0)-1)=TRUE),0,OFFSET(Tabella!$G$1,MATCH(H1009,Tabella!$G:$G,0)-1,MATCH(I1009,Tabella!$G$1:$AB$1,0)-1)),4)</f>
        <v>0</v>
      </c>
      <c r="Q1009" s="445">
        <f ca="1">ROUND(IF(ISERROR(OFFSET(Ottone!$F$1,MATCH(H1009,Ottone!$A:$A,0)-1,MATCH(I1009,Ottone!$F$1:$FF$1,0)-1)=TRUE),0,OFFSET(Ottone!$F$1,MATCH(H1009,Ottone!$A:$A,0)-1,MATCH(I1009,Ottone!$F$1:$FF$1,0)-1))*IF(E1009="Ottone",1,0),4)</f>
        <v>0</v>
      </c>
      <c r="R1009" s="445">
        <f ca="1">ROUND(IF(ISERROR(OFFSET(Rame!$F$1,MATCH(H1009,Rame!$F:$F,0)-1,MATCH(I1009,Rame!$F$1:$FF$1,0)-1)=TRUE),0,OFFSET(Rame!$F$1,MATCH(H1009,Rame!$F:$F,0)-1,MATCH(I1009,Rame!$F$1:$FF$1,0)-1))*IF(E1009="Rame",1,0),4)</f>
        <v>0</v>
      </c>
      <c r="S1009" s="445">
        <f ca="1">ROUND(IF(ISERROR(OFFSET(Bronzo!$A$1,MATCH(H1009,Bronzo!$A:$A,0)-1,MATCH(I1009,Bronzo!$A$1:$AA$1,0)-1)=TRUE),0,OFFSET(Bronzo!$A$1,MATCH(H1009,Bronzo!$A:$A,0)-1,MATCH(I1009,Bronzo!$A$1:$AA$1,0)-1)),4)</f>
        <v>0</v>
      </c>
      <c r="T1009" s="445">
        <f t="shared" ca="1" si="256"/>
        <v>0</v>
      </c>
      <c r="U1009" s="442"/>
      <c r="V1009" s="445">
        <v>0</v>
      </c>
      <c r="W1009" s="448">
        <f t="shared" ca="1" si="257"/>
        <v>0</v>
      </c>
      <c r="X1009" s="451">
        <f t="shared" si="248"/>
        <v>0</v>
      </c>
      <c r="Y1009" s="439"/>
      <c r="Z1009" s="439">
        <f t="shared" ca="1" si="258"/>
        <v>0</v>
      </c>
      <c r="AA1009" s="404"/>
      <c r="AF1009" s="372">
        <f t="shared" ca="1" si="249"/>
        <v>46156</v>
      </c>
      <c r="AG1009" s="372" t="b">
        <f t="shared" si="250"/>
        <v>1</v>
      </c>
      <c r="AH1009" s="405" t="str">
        <f t="shared" si="251"/>
        <v/>
      </c>
      <c r="AK1009">
        <f t="shared" si="252"/>
        <v>0</v>
      </c>
      <c r="AL1009">
        <f t="shared" si="253"/>
        <v>1900</v>
      </c>
      <c r="AS1009">
        <f t="shared" si="254"/>
        <v>0</v>
      </c>
      <c r="AT1009">
        <f t="shared" si="255"/>
        <v>0</v>
      </c>
    </row>
    <row r="1010" spans="1:46" customFormat="1" ht="15.75" x14ac:dyDescent="0.25">
      <c r="A1010" s="369"/>
      <c r="B1010" s="398"/>
      <c r="C1010" s="399"/>
      <c r="D1010" s="400"/>
      <c r="E1010" s="401"/>
      <c r="F1010" s="434"/>
      <c r="G1010" s="402"/>
      <c r="H1010" s="403"/>
      <c r="I1010" s="403"/>
      <c r="J1010" s="439"/>
      <c r="K1010" s="442">
        <f ca="1">ROUND(IF(ISERROR(OFFSET(Tabella!$A$1,MATCH(H1010,Tabella!$A:$A,0)-1,MATCH(J1010,Tabella!$A$1:$AC$1,0)-1)=TRUE),0,+OFFSET(Tabella!$A$1,MATCH(H1010,Tabella!$A:$A,0)-1,MATCH(J1010,Tabella!$A$1:$AC$1,0)-1)),4)</f>
        <v>0</v>
      </c>
      <c r="L1010" s="445">
        <f ca="1">ROUND(IF(ISERROR(OFFSET(Ottone!$A$1,MATCH(H1010,Ottone!$A:$A,0)-1,MATCH(J1010,Ottone!$A$1:$Z$1,0)-1)=TRUE),0,OFFSET(Ottone!$A$1,MATCH(H1010,Ottone!$A:$A,0)-1,MATCH(J1010,Ottone!$A$1:$Z$1,0)-1))*IF(E1010="Ottone",1,0),4)</f>
        <v>0</v>
      </c>
      <c r="M1010" s="445">
        <f ca="1">ROUND(IF(ISERROR(OFFSET(Rame!$A$1,MATCH(H1010,Rame!$A:$A,0)-1,MATCH(J1010,Rame!$A$1:$AA$1,0)-1)=TRUE),0,OFFSET(Rame!$A$1,MATCH(H1010,Rame!$A:$A,0)-1,MATCH(J1010,Rame!$A$1:$AA$1,0)-1))*IF(E1010="Rame",1,0),4)</f>
        <v>0</v>
      </c>
      <c r="N1010" s="445"/>
      <c r="O1010" s="445">
        <f t="shared" ca="1" si="259"/>
        <v>0</v>
      </c>
      <c r="P1010" s="445">
        <f ca="1">ROUND(+IF(ISERROR(OFFSET(Tabella!$G$1,MATCH(H1010,Tabella!$G:$G,0)-1,MATCH(I1010,Tabella!$G$1:$FG$1,0)-1)=TRUE),0,OFFSET(Tabella!$G$1,MATCH(H1010,Tabella!$G:$G,0)-1,MATCH(I1010,Tabella!$G$1:$AB$1,0)-1)),4)</f>
        <v>0</v>
      </c>
      <c r="Q1010" s="445">
        <f ca="1">ROUND(IF(ISERROR(OFFSET(Ottone!$F$1,MATCH(H1010,Ottone!$A:$A,0)-1,MATCH(I1010,Ottone!$F$1:$FF$1,0)-1)=TRUE),0,OFFSET(Ottone!$F$1,MATCH(H1010,Ottone!$A:$A,0)-1,MATCH(I1010,Ottone!$F$1:$FF$1,0)-1))*IF(E1010="Ottone",1,0),4)</f>
        <v>0</v>
      </c>
      <c r="R1010" s="445">
        <f ca="1">ROUND(IF(ISERROR(OFFSET(Rame!$F$1,MATCH(H1010,Rame!$F:$F,0)-1,MATCH(I1010,Rame!$F$1:$FF$1,0)-1)=TRUE),0,OFFSET(Rame!$F$1,MATCH(H1010,Rame!$F:$F,0)-1,MATCH(I1010,Rame!$F$1:$FF$1,0)-1))*IF(E1010="Rame",1,0),4)</f>
        <v>0</v>
      </c>
      <c r="S1010" s="445">
        <f ca="1">ROUND(IF(ISERROR(OFFSET(Bronzo!$A$1,MATCH(H1010,Bronzo!$A:$A,0)-1,MATCH(I1010,Bronzo!$A$1:$AA$1,0)-1)=TRUE),0,OFFSET(Bronzo!$A$1,MATCH(H1010,Bronzo!$A:$A,0)-1,MATCH(I1010,Bronzo!$A$1:$AA$1,0)-1)),4)</f>
        <v>0</v>
      </c>
      <c r="T1010" s="445">
        <f t="shared" ca="1" si="256"/>
        <v>0</v>
      </c>
      <c r="U1010" s="442"/>
      <c r="V1010" s="445">
        <v>0</v>
      </c>
      <c r="W1010" s="448">
        <f t="shared" ca="1" si="257"/>
        <v>0</v>
      </c>
      <c r="X1010" s="451">
        <f t="shared" si="248"/>
        <v>0</v>
      </c>
      <c r="Y1010" s="439"/>
      <c r="Z1010" s="439">
        <f t="shared" ca="1" si="258"/>
        <v>0</v>
      </c>
      <c r="AA1010" s="404"/>
      <c r="AF1010" s="372">
        <f t="shared" ca="1" si="249"/>
        <v>46156</v>
      </c>
      <c r="AG1010" s="372" t="b">
        <f t="shared" si="250"/>
        <v>1</v>
      </c>
      <c r="AH1010" s="405" t="str">
        <f t="shared" si="251"/>
        <v/>
      </c>
      <c r="AK1010">
        <f t="shared" si="252"/>
        <v>0</v>
      </c>
      <c r="AL1010">
        <f t="shared" si="253"/>
        <v>1900</v>
      </c>
      <c r="AS1010">
        <f t="shared" si="254"/>
        <v>0</v>
      </c>
      <c r="AT1010">
        <f t="shared" si="255"/>
        <v>0</v>
      </c>
    </row>
    <row r="1011" spans="1:46" customFormat="1" ht="15.75" x14ac:dyDescent="0.25">
      <c r="A1011" s="369"/>
      <c r="B1011" s="398"/>
      <c r="C1011" s="399"/>
      <c r="D1011" s="400"/>
      <c r="E1011" s="401"/>
      <c r="F1011" s="434"/>
      <c r="G1011" s="402"/>
      <c r="H1011" s="403"/>
      <c r="I1011" s="403"/>
      <c r="J1011" s="439"/>
      <c r="K1011" s="442">
        <f ca="1">ROUND(IF(ISERROR(OFFSET(Tabella!$A$1,MATCH(H1011,Tabella!$A:$A,0)-1,MATCH(J1011,Tabella!$A$1:$AC$1,0)-1)=TRUE),0,+OFFSET(Tabella!$A$1,MATCH(H1011,Tabella!$A:$A,0)-1,MATCH(J1011,Tabella!$A$1:$AC$1,0)-1)),4)</f>
        <v>0</v>
      </c>
      <c r="L1011" s="445">
        <f ca="1">ROUND(IF(ISERROR(OFFSET(Ottone!$A$1,MATCH(H1011,Ottone!$A:$A,0)-1,MATCH(J1011,Ottone!$A$1:$Z$1,0)-1)=TRUE),0,OFFSET(Ottone!$A$1,MATCH(H1011,Ottone!$A:$A,0)-1,MATCH(J1011,Ottone!$A$1:$Z$1,0)-1))*IF(E1011="Ottone",1,0),4)</f>
        <v>0</v>
      </c>
      <c r="M1011" s="445">
        <f ca="1">ROUND(IF(ISERROR(OFFSET(Rame!$A$1,MATCH(H1011,Rame!$A:$A,0)-1,MATCH(J1011,Rame!$A$1:$AA$1,0)-1)=TRUE),0,OFFSET(Rame!$A$1,MATCH(H1011,Rame!$A:$A,0)-1,MATCH(J1011,Rame!$A$1:$AA$1,0)-1))*IF(E1011="Rame",1,0),4)</f>
        <v>0</v>
      </c>
      <c r="N1011" s="445"/>
      <c r="O1011" s="445">
        <f t="shared" ca="1" si="259"/>
        <v>0</v>
      </c>
      <c r="P1011" s="445">
        <f ca="1">ROUND(+IF(ISERROR(OFFSET(Tabella!$G$1,MATCH(H1011,Tabella!$G:$G,0)-1,MATCH(I1011,Tabella!$G$1:$FG$1,0)-1)=TRUE),0,OFFSET(Tabella!$G$1,MATCH(H1011,Tabella!$G:$G,0)-1,MATCH(I1011,Tabella!$G$1:$AB$1,0)-1)),4)</f>
        <v>0</v>
      </c>
      <c r="Q1011" s="445">
        <f ca="1">ROUND(IF(ISERROR(OFFSET(Ottone!$F$1,MATCH(H1011,Ottone!$A:$A,0)-1,MATCH(I1011,Ottone!$F$1:$FF$1,0)-1)=TRUE),0,OFFSET(Ottone!$F$1,MATCH(H1011,Ottone!$A:$A,0)-1,MATCH(I1011,Ottone!$F$1:$FF$1,0)-1))*IF(E1011="Ottone",1,0),4)</f>
        <v>0</v>
      </c>
      <c r="R1011" s="445">
        <f ca="1">ROUND(IF(ISERROR(OFFSET(Rame!$F$1,MATCH(H1011,Rame!$F:$F,0)-1,MATCH(I1011,Rame!$F$1:$FF$1,0)-1)=TRUE),0,OFFSET(Rame!$F$1,MATCH(H1011,Rame!$F:$F,0)-1,MATCH(I1011,Rame!$F$1:$FF$1,0)-1))*IF(E1011="Rame",1,0),4)</f>
        <v>0</v>
      </c>
      <c r="S1011" s="445">
        <f ca="1">ROUND(IF(ISERROR(OFFSET(Bronzo!$A$1,MATCH(H1011,Bronzo!$A:$A,0)-1,MATCH(I1011,Bronzo!$A$1:$AA$1,0)-1)=TRUE),0,OFFSET(Bronzo!$A$1,MATCH(H1011,Bronzo!$A:$A,0)-1,MATCH(I1011,Bronzo!$A$1:$AA$1,0)-1)),4)</f>
        <v>0</v>
      </c>
      <c r="T1011" s="445">
        <f t="shared" ca="1" si="256"/>
        <v>0</v>
      </c>
      <c r="U1011" s="442"/>
      <c r="V1011" s="445">
        <v>0</v>
      </c>
      <c r="W1011" s="448">
        <f t="shared" ca="1" si="257"/>
        <v>0</v>
      </c>
      <c r="X1011" s="451">
        <f t="shared" si="248"/>
        <v>0</v>
      </c>
      <c r="Y1011" s="439"/>
      <c r="Z1011" s="439">
        <f t="shared" ca="1" si="258"/>
        <v>0</v>
      </c>
      <c r="AA1011" s="404"/>
      <c r="AF1011" s="372">
        <f t="shared" ref="AF1011:AF1042" ca="1" si="260">TODAY()</f>
        <v>46156</v>
      </c>
      <c r="AG1011" s="372" t="b">
        <f t="shared" ref="AG1011:AG1042" si="261">ISBLANK(AA1011)</f>
        <v>1</v>
      </c>
      <c r="AH1011" s="405" t="str">
        <f t="shared" ref="AH1011:AH1042" si="262">IF(AG1011=FALSE,_xlfn.DAYS(AA1011,AF1011),"")</f>
        <v/>
      </c>
      <c r="AK1011">
        <f t="shared" ref="AK1011:AK1042" si="263">WEEKNUM(AA1011)</f>
        <v>0</v>
      </c>
      <c r="AL1011">
        <f t="shared" ref="AL1011:AL1042" si="264">YEAR(AA1011)</f>
        <v>1900</v>
      </c>
      <c r="AS1011">
        <f t="shared" ref="AS1011:AS1042" si="265">IF(AA1011="",0,MONTH(AA1011))</f>
        <v>0</v>
      </c>
      <c r="AT1011">
        <f t="shared" ref="AT1011:AT1042" si="266">IF(AA1011="",0,YEAR(AA1011))</f>
        <v>0</v>
      </c>
    </row>
    <row r="1012" spans="1:46" customFormat="1" ht="15.75" x14ac:dyDescent="0.25">
      <c r="A1012" s="369"/>
      <c r="B1012" s="398"/>
      <c r="C1012" s="399"/>
      <c r="D1012" s="400"/>
      <c r="E1012" s="401"/>
      <c r="F1012" s="434"/>
      <c r="G1012" s="402"/>
      <c r="H1012" s="403"/>
      <c r="I1012" s="403"/>
      <c r="J1012" s="439"/>
      <c r="K1012" s="442">
        <f ca="1">ROUND(IF(ISERROR(OFFSET(Tabella!$A$1,MATCH(H1012,Tabella!$A:$A,0)-1,MATCH(J1012,Tabella!$A$1:$AC$1,0)-1)=TRUE),0,+OFFSET(Tabella!$A$1,MATCH(H1012,Tabella!$A:$A,0)-1,MATCH(J1012,Tabella!$A$1:$AC$1,0)-1)),4)</f>
        <v>0</v>
      </c>
      <c r="L1012" s="445">
        <f ca="1">ROUND(IF(ISERROR(OFFSET(Ottone!$A$1,MATCH(H1012,Ottone!$A:$A,0)-1,MATCH(J1012,Ottone!$A$1:$Z$1,0)-1)=TRUE),0,OFFSET(Ottone!$A$1,MATCH(H1012,Ottone!$A:$A,0)-1,MATCH(J1012,Ottone!$A$1:$Z$1,0)-1))*IF(E1012="Ottone",1,0),4)</f>
        <v>0</v>
      </c>
      <c r="M1012" s="445">
        <f ca="1">ROUND(IF(ISERROR(OFFSET(Rame!$A$1,MATCH(H1012,Rame!$A:$A,0)-1,MATCH(J1012,Rame!$A$1:$AA$1,0)-1)=TRUE),0,OFFSET(Rame!$A$1,MATCH(H1012,Rame!$A:$A,0)-1,MATCH(J1012,Rame!$A$1:$AA$1,0)-1))*IF(E1012="Rame",1,0),4)</f>
        <v>0</v>
      </c>
      <c r="N1012" s="445"/>
      <c r="O1012" s="445">
        <f t="shared" ca="1" si="259"/>
        <v>0</v>
      </c>
      <c r="P1012" s="445">
        <f ca="1">ROUND(+IF(ISERROR(OFFSET(Tabella!$G$1,MATCH(H1012,Tabella!$G:$G,0)-1,MATCH(I1012,Tabella!$G$1:$FG$1,0)-1)=TRUE),0,OFFSET(Tabella!$G$1,MATCH(H1012,Tabella!$G:$G,0)-1,MATCH(I1012,Tabella!$G$1:$AB$1,0)-1)),4)</f>
        <v>0</v>
      </c>
      <c r="Q1012" s="445">
        <f ca="1">ROUND(IF(ISERROR(OFFSET(Ottone!$F$1,MATCH(H1012,Ottone!$A:$A,0)-1,MATCH(I1012,Ottone!$F$1:$FF$1,0)-1)=TRUE),0,OFFSET(Ottone!$F$1,MATCH(H1012,Ottone!$A:$A,0)-1,MATCH(I1012,Ottone!$F$1:$FF$1,0)-1))*IF(E1012="Ottone",1,0),4)</f>
        <v>0</v>
      </c>
      <c r="R1012" s="445">
        <f ca="1">ROUND(IF(ISERROR(OFFSET(Rame!$F$1,MATCH(H1012,Rame!$F:$F,0)-1,MATCH(I1012,Rame!$F$1:$FF$1,0)-1)=TRUE),0,OFFSET(Rame!$F$1,MATCH(H1012,Rame!$F:$F,0)-1,MATCH(I1012,Rame!$F$1:$FF$1,0)-1))*IF(E1012="Rame",1,0),4)</f>
        <v>0</v>
      </c>
      <c r="S1012" s="445">
        <f ca="1">ROUND(IF(ISERROR(OFFSET(Bronzo!$A$1,MATCH(H1012,Bronzo!$A:$A,0)-1,MATCH(I1012,Bronzo!$A$1:$AA$1,0)-1)=TRUE),0,OFFSET(Bronzo!$A$1,MATCH(H1012,Bronzo!$A:$A,0)-1,MATCH(I1012,Bronzo!$A$1:$AA$1,0)-1)),4)</f>
        <v>0</v>
      </c>
      <c r="T1012" s="445">
        <f t="shared" ca="1" si="256"/>
        <v>0</v>
      </c>
      <c r="U1012" s="442"/>
      <c r="V1012" s="445">
        <v>0</v>
      </c>
      <c r="W1012" s="448">
        <f t="shared" ca="1" si="257"/>
        <v>0</v>
      </c>
      <c r="X1012" s="451">
        <f t="shared" si="248"/>
        <v>0</v>
      </c>
      <c r="Y1012" s="439"/>
      <c r="Z1012" s="439">
        <f t="shared" ca="1" si="258"/>
        <v>0</v>
      </c>
      <c r="AA1012" s="404"/>
      <c r="AF1012" s="372">
        <f t="shared" ca="1" si="260"/>
        <v>46156</v>
      </c>
      <c r="AG1012" s="372" t="b">
        <f t="shared" si="261"/>
        <v>1</v>
      </c>
      <c r="AH1012" s="405" t="str">
        <f t="shared" si="262"/>
        <v/>
      </c>
      <c r="AK1012">
        <f t="shared" si="263"/>
        <v>0</v>
      </c>
      <c r="AL1012">
        <f t="shared" si="264"/>
        <v>1900</v>
      </c>
      <c r="AS1012">
        <f t="shared" si="265"/>
        <v>0</v>
      </c>
      <c r="AT1012">
        <f t="shared" si="266"/>
        <v>0</v>
      </c>
    </row>
    <row r="1013" spans="1:46" customFormat="1" ht="15.75" x14ac:dyDescent="0.25">
      <c r="A1013" s="369"/>
      <c r="B1013" s="398"/>
      <c r="C1013" s="399"/>
      <c r="D1013" s="400"/>
      <c r="E1013" s="401"/>
      <c r="F1013" s="434"/>
      <c r="G1013" s="402"/>
      <c r="H1013" s="403"/>
      <c r="I1013" s="403"/>
      <c r="J1013" s="439"/>
      <c r="K1013" s="442">
        <f ca="1">ROUND(IF(ISERROR(OFFSET(Tabella!$A$1,MATCH(H1013,Tabella!$A:$A,0)-1,MATCH(J1013,Tabella!$A$1:$AC$1,0)-1)=TRUE),0,+OFFSET(Tabella!$A$1,MATCH(H1013,Tabella!$A:$A,0)-1,MATCH(J1013,Tabella!$A$1:$AC$1,0)-1)),4)</f>
        <v>0</v>
      </c>
      <c r="L1013" s="445">
        <f ca="1">ROUND(IF(ISERROR(OFFSET(Ottone!$A$1,MATCH(H1013,Ottone!$A:$A,0)-1,MATCH(J1013,Ottone!$A$1:$Z$1,0)-1)=TRUE),0,OFFSET(Ottone!$A$1,MATCH(H1013,Ottone!$A:$A,0)-1,MATCH(J1013,Ottone!$A$1:$Z$1,0)-1))*IF(E1013="Ottone",1,0),4)</f>
        <v>0</v>
      </c>
      <c r="M1013" s="445">
        <f ca="1">ROUND(IF(ISERROR(OFFSET(Rame!$A$1,MATCH(H1013,Rame!$A:$A,0)-1,MATCH(J1013,Rame!$A$1:$AA$1,0)-1)=TRUE),0,OFFSET(Rame!$A$1,MATCH(H1013,Rame!$A:$A,0)-1,MATCH(J1013,Rame!$A$1:$AA$1,0)-1))*IF(E1013="Rame",1,0),4)</f>
        <v>0</v>
      </c>
      <c r="N1013" s="445"/>
      <c r="O1013" s="445">
        <f t="shared" ca="1" si="259"/>
        <v>0</v>
      </c>
      <c r="P1013" s="445">
        <f ca="1">ROUND(+IF(ISERROR(OFFSET(Tabella!$G$1,MATCH(H1013,Tabella!$G:$G,0)-1,MATCH(I1013,Tabella!$G$1:$FG$1,0)-1)=TRUE),0,OFFSET(Tabella!$G$1,MATCH(H1013,Tabella!$G:$G,0)-1,MATCH(I1013,Tabella!$G$1:$AB$1,0)-1)),4)</f>
        <v>0</v>
      </c>
      <c r="Q1013" s="445">
        <f ca="1">ROUND(IF(ISERROR(OFFSET(Ottone!$F$1,MATCH(H1013,Ottone!$A:$A,0)-1,MATCH(I1013,Ottone!$F$1:$FF$1,0)-1)=TRUE),0,OFFSET(Ottone!$F$1,MATCH(H1013,Ottone!$A:$A,0)-1,MATCH(I1013,Ottone!$F$1:$FF$1,0)-1))*IF(E1013="Ottone",1,0),4)</f>
        <v>0</v>
      </c>
      <c r="R1013" s="445">
        <f ca="1">ROUND(IF(ISERROR(OFFSET(Rame!$F$1,MATCH(H1013,Rame!$F:$F,0)-1,MATCH(I1013,Rame!$F$1:$FF$1,0)-1)=TRUE),0,OFFSET(Rame!$F$1,MATCH(H1013,Rame!$F:$F,0)-1,MATCH(I1013,Rame!$F$1:$FF$1,0)-1))*IF(E1013="Rame",1,0),4)</f>
        <v>0</v>
      </c>
      <c r="S1013" s="445">
        <f ca="1">ROUND(IF(ISERROR(OFFSET(Bronzo!$A$1,MATCH(H1013,Bronzo!$A:$A,0)-1,MATCH(I1013,Bronzo!$A$1:$AA$1,0)-1)=TRUE),0,OFFSET(Bronzo!$A$1,MATCH(H1013,Bronzo!$A:$A,0)-1,MATCH(I1013,Bronzo!$A$1:$AA$1,0)-1)),4)</f>
        <v>0</v>
      </c>
      <c r="T1013" s="445">
        <f t="shared" ca="1" si="256"/>
        <v>0</v>
      </c>
      <c r="U1013" s="442"/>
      <c r="V1013" s="445">
        <v>0</v>
      </c>
      <c r="W1013" s="448">
        <f t="shared" ca="1" si="257"/>
        <v>0</v>
      </c>
      <c r="X1013" s="451">
        <f t="shared" si="248"/>
        <v>0</v>
      </c>
      <c r="Y1013" s="439"/>
      <c r="Z1013" s="439">
        <f t="shared" ca="1" si="258"/>
        <v>0</v>
      </c>
      <c r="AA1013" s="404"/>
      <c r="AF1013" s="372">
        <f t="shared" ca="1" si="260"/>
        <v>46156</v>
      </c>
      <c r="AG1013" s="372" t="b">
        <f t="shared" si="261"/>
        <v>1</v>
      </c>
      <c r="AH1013" s="405" t="str">
        <f t="shared" si="262"/>
        <v/>
      </c>
      <c r="AK1013">
        <f t="shared" si="263"/>
        <v>0</v>
      </c>
      <c r="AL1013">
        <f t="shared" si="264"/>
        <v>1900</v>
      </c>
      <c r="AS1013">
        <f t="shared" si="265"/>
        <v>0</v>
      </c>
      <c r="AT1013">
        <f t="shared" si="266"/>
        <v>0</v>
      </c>
    </row>
    <row r="1014" spans="1:46" customFormat="1" ht="15.75" x14ac:dyDescent="0.25">
      <c r="A1014" s="369"/>
      <c r="B1014" s="398"/>
      <c r="C1014" s="399"/>
      <c r="D1014" s="400"/>
      <c r="E1014" s="401"/>
      <c r="F1014" s="434"/>
      <c r="G1014" s="402"/>
      <c r="H1014" s="403"/>
      <c r="I1014" s="403"/>
      <c r="J1014" s="439"/>
      <c r="K1014" s="442">
        <f ca="1">ROUND(IF(ISERROR(OFFSET(Tabella!$A$1,MATCH(H1014,Tabella!$A:$A,0)-1,MATCH(J1014,Tabella!$A$1:$AC$1,0)-1)=TRUE),0,+OFFSET(Tabella!$A$1,MATCH(H1014,Tabella!$A:$A,0)-1,MATCH(J1014,Tabella!$A$1:$AC$1,0)-1)),4)</f>
        <v>0</v>
      </c>
      <c r="L1014" s="445">
        <f ca="1">ROUND(IF(ISERROR(OFFSET(Ottone!$A$1,MATCH(H1014,Ottone!$A:$A,0)-1,MATCH(J1014,Ottone!$A$1:$Z$1,0)-1)=TRUE),0,OFFSET(Ottone!$A$1,MATCH(H1014,Ottone!$A:$A,0)-1,MATCH(J1014,Ottone!$A$1:$Z$1,0)-1))*IF(E1014="Ottone",1,0),4)</f>
        <v>0</v>
      </c>
      <c r="M1014" s="445">
        <f ca="1">ROUND(IF(ISERROR(OFFSET(Rame!$A$1,MATCH(H1014,Rame!$A:$A,0)-1,MATCH(J1014,Rame!$A$1:$AA$1,0)-1)=TRUE),0,OFFSET(Rame!$A$1,MATCH(H1014,Rame!$A:$A,0)-1,MATCH(J1014,Rame!$A$1:$AA$1,0)-1))*IF(E1014="Rame",1,0),4)</f>
        <v>0</v>
      </c>
      <c r="N1014" s="445"/>
      <c r="O1014" s="445">
        <f t="shared" ca="1" si="259"/>
        <v>0</v>
      </c>
      <c r="P1014" s="445">
        <f ca="1">ROUND(+IF(ISERROR(OFFSET(Tabella!$G$1,MATCH(H1014,Tabella!$G:$G,0)-1,MATCH(I1014,Tabella!$G$1:$FG$1,0)-1)=TRUE),0,OFFSET(Tabella!$G$1,MATCH(H1014,Tabella!$G:$G,0)-1,MATCH(I1014,Tabella!$G$1:$AB$1,0)-1)),4)</f>
        <v>0</v>
      </c>
      <c r="Q1014" s="445">
        <f ca="1">ROUND(IF(ISERROR(OFFSET(Ottone!$F$1,MATCH(H1014,Ottone!$A:$A,0)-1,MATCH(I1014,Ottone!$F$1:$FF$1,0)-1)=TRUE),0,OFFSET(Ottone!$F$1,MATCH(H1014,Ottone!$A:$A,0)-1,MATCH(I1014,Ottone!$F$1:$FF$1,0)-1))*IF(E1014="Ottone",1,0),4)</f>
        <v>0</v>
      </c>
      <c r="R1014" s="445">
        <f ca="1">ROUND(IF(ISERROR(OFFSET(Rame!$F$1,MATCH(H1014,Rame!$F:$F,0)-1,MATCH(I1014,Rame!$F$1:$FF$1,0)-1)=TRUE),0,OFFSET(Rame!$F$1,MATCH(H1014,Rame!$F:$F,0)-1,MATCH(I1014,Rame!$F$1:$FF$1,0)-1))*IF(E1014="Rame",1,0),4)</f>
        <v>0</v>
      </c>
      <c r="S1014" s="445">
        <f ca="1">ROUND(IF(ISERROR(OFFSET(Bronzo!$A$1,MATCH(H1014,Bronzo!$A:$A,0)-1,MATCH(I1014,Bronzo!$A$1:$AA$1,0)-1)=TRUE),0,OFFSET(Bronzo!$A$1,MATCH(H1014,Bronzo!$A:$A,0)-1,MATCH(I1014,Bronzo!$A$1:$AA$1,0)-1)),4)</f>
        <v>0</v>
      </c>
      <c r="T1014" s="445">
        <f t="shared" ca="1" si="256"/>
        <v>0</v>
      </c>
      <c r="U1014" s="442"/>
      <c r="V1014" s="445">
        <v>0</v>
      </c>
      <c r="W1014" s="448">
        <f t="shared" ca="1" si="257"/>
        <v>0</v>
      </c>
      <c r="X1014" s="451">
        <f t="shared" si="248"/>
        <v>0</v>
      </c>
      <c r="Y1014" s="439"/>
      <c r="Z1014" s="439">
        <f t="shared" ca="1" si="258"/>
        <v>0</v>
      </c>
      <c r="AA1014" s="404"/>
      <c r="AF1014" s="372">
        <f t="shared" ca="1" si="260"/>
        <v>46156</v>
      </c>
      <c r="AG1014" s="372" t="b">
        <f t="shared" si="261"/>
        <v>1</v>
      </c>
      <c r="AH1014" s="405" t="str">
        <f t="shared" si="262"/>
        <v/>
      </c>
      <c r="AK1014">
        <f t="shared" si="263"/>
        <v>0</v>
      </c>
      <c r="AL1014">
        <f t="shared" si="264"/>
        <v>1900</v>
      </c>
      <c r="AS1014">
        <f t="shared" si="265"/>
        <v>0</v>
      </c>
      <c r="AT1014">
        <f t="shared" si="266"/>
        <v>0</v>
      </c>
    </row>
    <row r="1015" spans="1:46" customFormat="1" ht="15.75" x14ac:dyDescent="0.25">
      <c r="A1015" s="369"/>
      <c r="B1015" s="398"/>
      <c r="C1015" s="399"/>
      <c r="D1015" s="400"/>
      <c r="E1015" s="401"/>
      <c r="F1015" s="434"/>
      <c r="G1015" s="402"/>
      <c r="H1015" s="403"/>
      <c r="I1015" s="403"/>
      <c r="J1015" s="439"/>
      <c r="K1015" s="442">
        <f ca="1">ROUND(IF(ISERROR(OFFSET(Tabella!$A$1,MATCH(H1015,Tabella!$A:$A,0)-1,MATCH(J1015,Tabella!$A$1:$AC$1,0)-1)=TRUE),0,+OFFSET(Tabella!$A$1,MATCH(H1015,Tabella!$A:$A,0)-1,MATCH(J1015,Tabella!$A$1:$AC$1,0)-1)),4)</f>
        <v>0</v>
      </c>
      <c r="L1015" s="445">
        <f ca="1">ROUND(IF(ISERROR(OFFSET(Ottone!$A$1,MATCH(H1015,Ottone!$A:$A,0)-1,MATCH(J1015,Ottone!$A$1:$Z$1,0)-1)=TRUE),0,OFFSET(Ottone!$A$1,MATCH(H1015,Ottone!$A:$A,0)-1,MATCH(J1015,Ottone!$A$1:$Z$1,0)-1))*IF(E1015="Ottone",1,0),4)</f>
        <v>0</v>
      </c>
      <c r="M1015" s="445">
        <f ca="1">ROUND(IF(ISERROR(OFFSET(Rame!$A$1,MATCH(H1015,Rame!$A:$A,0)-1,MATCH(J1015,Rame!$A$1:$AA$1,0)-1)=TRUE),0,OFFSET(Rame!$A$1,MATCH(H1015,Rame!$A:$A,0)-1,MATCH(J1015,Rame!$A$1:$AA$1,0)-1))*IF(E1015="Rame",1,0),4)</f>
        <v>0</v>
      </c>
      <c r="N1015" s="445"/>
      <c r="O1015" s="445">
        <f t="shared" ca="1" si="259"/>
        <v>0</v>
      </c>
      <c r="P1015" s="445">
        <f ca="1">ROUND(+IF(ISERROR(OFFSET(Tabella!$G$1,MATCH(H1015,Tabella!$G:$G,0)-1,MATCH(I1015,Tabella!$G$1:$FG$1,0)-1)=TRUE),0,OFFSET(Tabella!$G$1,MATCH(H1015,Tabella!$G:$G,0)-1,MATCH(I1015,Tabella!$G$1:$AB$1,0)-1)),4)</f>
        <v>0</v>
      </c>
      <c r="Q1015" s="445">
        <f ca="1">ROUND(IF(ISERROR(OFFSET(Ottone!$F$1,MATCH(H1015,Ottone!$A:$A,0)-1,MATCH(I1015,Ottone!$F$1:$FF$1,0)-1)=TRUE),0,OFFSET(Ottone!$F$1,MATCH(H1015,Ottone!$A:$A,0)-1,MATCH(I1015,Ottone!$F$1:$FF$1,0)-1))*IF(E1015="Ottone",1,0),4)</f>
        <v>0</v>
      </c>
      <c r="R1015" s="445">
        <f ca="1">ROUND(IF(ISERROR(OFFSET(Rame!$F$1,MATCH(H1015,Rame!$F:$F,0)-1,MATCH(I1015,Rame!$F$1:$FF$1,0)-1)=TRUE),0,OFFSET(Rame!$F$1,MATCH(H1015,Rame!$F:$F,0)-1,MATCH(I1015,Rame!$F$1:$FF$1,0)-1))*IF(E1015="Rame",1,0),4)</f>
        <v>0</v>
      </c>
      <c r="S1015" s="445">
        <f ca="1">ROUND(IF(ISERROR(OFFSET(Bronzo!$A$1,MATCH(H1015,Bronzo!$A:$A,0)-1,MATCH(I1015,Bronzo!$A$1:$AA$1,0)-1)=TRUE),0,OFFSET(Bronzo!$A$1,MATCH(H1015,Bronzo!$A:$A,0)-1,MATCH(I1015,Bronzo!$A$1:$AA$1,0)-1)),4)</f>
        <v>0</v>
      </c>
      <c r="T1015" s="445">
        <f t="shared" ca="1" si="256"/>
        <v>0</v>
      </c>
      <c r="U1015" s="442"/>
      <c r="V1015" s="445">
        <v>0</v>
      </c>
      <c r="W1015" s="448">
        <f t="shared" ca="1" si="257"/>
        <v>0</v>
      </c>
      <c r="X1015" s="451">
        <f t="shared" si="248"/>
        <v>0</v>
      </c>
      <c r="Y1015" s="439"/>
      <c r="Z1015" s="439">
        <f t="shared" ca="1" si="258"/>
        <v>0</v>
      </c>
      <c r="AA1015" s="404"/>
      <c r="AF1015" s="372">
        <f t="shared" ca="1" si="260"/>
        <v>46156</v>
      </c>
      <c r="AG1015" s="372" t="b">
        <f t="shared" si="261"/>
        <v>1</v>
      </c>
      <c r="AH1015" s="405" t="str">
        <f t="shared" si="262"/>
        <v/>
      </c>
      <c r="AK1015">
        <f t="shared" si="263"/>
        <v>0</v>
      </c>
      <c r="AL1015">
        <f t="shared" si="264"/>
        <v>1900</v>
      </c>
      <c r="AS1015">
        <f t="shared" si="265"/>
        <v>0</v>
      </c>
      <c r="AT1015">
        <f t="shared" si="266"/>
        <v>0</v>
      </c>
    </row>
    <row r="1016" spans="1:46" customFormat="1" ht="15.75" x14ac:dyDescent="0.25">
      <c r="A1016" s="369"/>
      <c r="B1016" s="398"/>
      <c r="C1016" s="399"/>
      <c r="D1016" s="400"/>
      <c r="E1016" s="401"/>
      <c r="F1016" s="434"/>
      <c r="G1016" s="402"/>
      <c r="H1016" s="403"/>
      <c r="I1016" s="403"/>
      <c r="J1016" s="439"/>
      <c r="K1016" s="442">
        <f ca="1">ROUND(IF(ISERROR(OFFSET(Tabella!$A$1,MATCH(H1016,Tabella!$A:$A,0)-1,MATCH(J1016,Tabella!$A$1:$AC$1,0)-1)=TRUE),0,+OFFSET(Tabella!$A$1,MATCH(H1016,Tabella!$A:$A,0)-1,MATCH(J1016,Tabella!$A$1:$AC$1,0)-1)),4)</f>
        <v>0</v>
      </c>
      <c r="L1016" s="445">
        <f ca="1">ROUND(IF(ISERROR(OFFSET(Ottone!$A$1,MATCH(H1016,Ottone!$A:$A,0)-1,MATCH(J1016,Ottone!$A$1:$Z$1,0)-1)=TRUE),0,OFFSET(Ottone!$A$1,MATCH(H1016,Ottone!$A:$A,0)-1,MATCH(J1016,Ottone!$A$1:$Z$1,0)-1))*IF(E1016="Ottone",1,0),4)</f>
        <v>0</v>
      </c>
      <c r="M1016" s="445">
        <f ca="1">ROUND(IF(ISERROR(OFFSET(Rame!$A$1,MATCH(H1016,Rame!$A:$A,0)-1,MATCH(J1016,Rame!$A$1:$AA$1,0)-1)=TRUE),0,OFFSET(Rame!$A$1,MATCH(H1016,Rame!$A:$A,0)-1,MATCH(J1016,Rame!$A$1:$AA$1,0)-1))*IF(E1016="Rame",1,0),4)</f>
        <v>0</v>
      </c>
      <c r="N1016" s="445"/>
      <c r="O1016" s="445">
        <f t="shared" ca="1" si="259"/>
        <v>0</v>
      </c>
      <c r="P1016" s="445">
        <f ca="1">ROUND(+IF(ISERROR(OFFSET(Tabella!$G$1,MATCH(H1016,Tabella!$G:$G,0)-1,MATCH(I1016,Tabella!$G$1:$FG$1,0)-1)=TRUE),0,OFFSET(Tabella!$G$1,MATCH(H1016,Tabella!$G:$G,0)-1,MATCH(I1016,Tabella!$G$1:$AB$1,0)-1)),4)</f>
        <v>0</v>
      </c>
      <c r="Q1016" s="445">
        <f ca="1">ROUND(IF(ISERROR(OFFSET(Ottone!$F$1,MATCH(H1016,Ottone!$A:$A,0)-1,MATCH(I1016,Ottone!$F$1:$FF$1,0)-1)=TRUE),0,OFFSET(Ottone!$F$1,MATCH(H1016,Ottone!$A:$A,0)-1,MATCH(I1016,Ottone!$F$1:$FF$1,0)-1))*IF(E1016="Ottone",1,0),4)</f>
        <v>0</v>
      </c>
      <c r="R1016" s="445">
        <f ca="1">ROUND(IF(ISERROR(OFFSET(Rame!$F$1,MATCH(H1016,Rame!$F:$F,0)-1,MATCH(I1016,Rame!$F$1:$FF$1,0)-1)=TRUE),0,OFFSET(Rame!$F$1,MATCH(H1016,Rame!$F:$F,0)-1,MATCH(I1016,Rame!$F$1:$FF$1,0)-1))*IF(E1016="Rame",1,0),4)</f>
        <v>0</v>
      </c>
      <c r="S1016" s="445">
        <f ca="1">ROUND(IF(ISERROR(OFFSET(Bronzo!$A$1,MATCH(H1016,Bronzo!$A:$A,0)-1,MATCH(I1016,Bronzo!$A$1:$AA$1,0)-1)=TRUE),0,OFFSET(Bronzo!$A$1,MATCH(H1016,Bronzo!$A:$A,0)-1,MATCH(I1016,Bronzo!$A$1:$AA$1,0)-1)),4)</f>
        <v>0</v>
      </c>
      <c r="T1016" s="445">
        <f t="shared" ca="1" si="256"/>
        <v>0</v>
      </c>
      <c r="U1016" s="442"/>
      <c r="V1016" s="445">
        <v>0</v>
      </c>
      <c r="W1016" s="448">
        <f t="shared" ca="1" si="257"/>
        <v>0</v>
      </c>
      <c r="X1016" s="451">
        <f t="shared" si="248"/>
        <v>0</v>
      </c>
      <c r="Y1016" s="439"/>
      <c r="Z1016" s="439">
        <f t="shared" ca="1" si="258"/>
        <v>0</v>
      </c>
      <c r="AA1016" s="404"/>
      <c r="AF1016" s="372">
        <f t="shared" ca="1" si="260"/>
        <v>46156</v>
      </c>
      <c r="AG1016" s="372" t="b">
        <f t="shared" si="261"/>
        <v>1</v>
      </c>
      <c r="AH1016" s="405" t="str">
        <f t="shared" si="262"/>
        <v/>
      </c>
      <c r="AK1016">
        <f t="shared" si="263"/>
        <v>0</v>
      </c>
      <c r="AL1016">
        <f t="shared" si="264"/>
        <v>1900</v>
      </c>
      <c r="AS1016">
        <f t="shared" si="265"/>
        <v>0</v>
      </c>
      <c r="AT1016">
        <f t="shared" si="266"/>
        <v>0</v>
      </c>
    </row>
    <row r="1017" spans="1:46" customFormat="1" ht="15.75" x14ac:dyDescent="0.25">
      <c r="A1017" s="369"/>
      <c r="B1017" s="398"/>
      <c r="C1017" s="399"/>
      <c r="D1017" s="400"/>
      <c r="E1017" s="401"/>
      <c r="F1017" s="434"/>
      <c r="G1017" s="402"/>
      <c r="H1017" s="403"/>
      <c r="I1017" s="403"/>
      <c r="J1017" s="439"/>
      <c r="K1017" s="442">
        <f ca="1">ROUND(IF(ISERROR(OFFSET(Tabella!$A$1,MATCH(H1017,Tabella!$A:$A,0)-1,MATCH(J1017,Tabella!$A$1:$AC$1,0)-1)=TRUE),0,+OFFSET(Tabella!$A$1,MATCH(H1017,Tabella!$A:$A,0)-1,MATCH(J1017,Tabella!$A$1:$AC$1,0)-1)),4)</f>
        <v>0</v>
      </c>
      <c r="L1017" s="445">
        <f ca="1">ROUND(IF(ISERROR(OFFSET(Ottone!$A$1,MATCH(H1017,Ottone!$A:$A,0)-1,MATCH(J1017,Ottone!$A$1:$Z$1,0)-1)=TRUE),0,OFFSET(Ottone!$A$1,MATCH(H1017,Ottone!$A:$A,0)-1,MATCH(J1017,Ottone!$A$1:$Z$1,0)-1))*IF(E1017="Ottone",1,0),4)</f>
        <v>0</v>
      </c>
      <c r="M1017" s="445">
        <f ca="1">ROUND(IF(ISERROR(OFFSET(Rame!$A$1,MATCH(H1017,Rame!$A:$A,0)-1,MATCH(J1017,Rame!$A$1:$AA$1,0)-1)=TRUE),0,OFFSET(Rame!$A$1,MATCH(H1017,Rame!$A:$A,0)-1,MATCH(J1017,Rame!$A$1:$AA$1,0)-1))*IF(E1017="Rame",1,0),4)</f>
        <v>0</v>
      </c>
      <c r="N1017" s="445"/>
      <c r="O1017" s="445">
        <f t="shared" ca="1" si="259"/>
        <v>0</v>
      </c>
      <c r="P1017" s="445">
        <f ca="1">ROUND(+IF(ISERROR(OFFSET(Tabella!$G$1,MATCH(H1017,Tabella!$G:$G,0)-1,MATCH(I1017,Tabella!$G$1:$FG$1,0)-1)=TRUE),0,OFFSET(Tabella!$G$1,MATCH(H1017,Tabella!$G:$G,0)-1,MATCH(I1017,Tabella!$G$1:$AB$1,0)-1)),4)</f>
        <v>0</v>
      </c>
      <c r="Q1017" s="445">
        <f ca="1">ROUND(IF(ISERROR(OFFSET(Ottone!$F$1,MATCH(H1017,Ottone!$A:$A,0)-1,MATCH(I1017,Ottone!$F$1:$FF$1,0)-1)=TRUE),0,OFFSET(Ottone!$F$1,MATCH(H1017,Ottone!$A:$A,0)-1,MATCH(I1017,Ottone!$F$1:$FF$1,0)-1))*IF(E1017="Ottone",1,0),4)</f>
        <v>0</v>
      </c>
      <c r="R1017" s="445">
        <f ca="1">ROUND(IF(ISERROR(OFFSET(Rame!$F$1,MATCH(H1017,Rame!$F:$F,0)-1,MATCH(I1017,Rame!$F$1:$FF$1,0)-1)=TRUE),0,OFFSET(Rame!$F$1,MATCH(H1017,Rame!$F:$F,0)-1,MATCH(I1017,Rame!$F$1:$FF$1,0)-1))*IF(E1017="Rame",1,0),4)</f>
        <v>0</v>
      </c>
      <c r="S1017" s="445">
        <f ca="1">ROUND(IF(ISERROR(OFFSET(Bronzo!$A$1,MATCH(H1017,Bronzo!$A:$A,0)-1,MATCH(I1017,Bronzo!$A$1:$AA$1,0)-1)=TRUE),0,OFFSET(Bronzo!$A$1,MATCH(H1017,Bronzo!$A:$A,0)-1,MATCH(I1017,Bronzo!$A$1:$AA$1,0)-1)),4)</f>
        <v>0</v>
      </c>
      <c r="T1017" s="445">
        <f t="shared" ca="1" si="256"/>
        <v>0</v>
      </c>
      <c r="U1017" s="442"/>
      <c r="V1017" s="445">
        <v>0</v>
      </c>
      <c r="W1017" s="448">
        <f t="shared" ca="1" si="257"/>
        <v>0</v>
      </c>
      <c r="X1017" s="451">
        <f t="shared" si="248"/>
        <v>0</v>
      </c>
      <c r="Y1017" s="439"/>
      <c r="Z1017" s="439">
        <f t="shared" ca="1" si="258"/>
        <v>0</v>
      </c>
      <c r="AA1017" s="404"/>
      <c r="AF1017" s="372">
        <f t="shared" ca="1" si="260"/>
        <v>46156</v>
      </c>
      <c r="AG1017" s="372" t="b">
        <f t="shared" si="261"/>
        <v>1</v>
      </c>
      <c r="AH1017" s="405" t="str">
        <f t="shared" si="262"/>
        <v/>
      </c>
      <c r="AK1017">
        <f t="shared" si="263"/>
        <v>0</v>
      </c>
      <c r="AL1017">
        <f t="shared" si="264"/>
        <v>1900</v>
      </c>
      <c r="AS1017">
        <f t="shared" si="265"/>
        <v>0</v>
      </c>
      <c r="AT1017">
        <f t="shared" si="266"/>
        <v>0</v>
      </c>
    </row>
    <row r="1018" spans="1:46" customFormat="1" ht="15.75" x14ac:dyDescent="0.25">
      <c r="A1018" s="369"/>
      <c r="B1018" s="398"/>
      <c r="C1018" s="399"/>
      <c r="D1018" s="400"/>
      <c r="E1018" s="401"/>
      <c r="F1018" s="434"/>
      <c r="G1018" s="402"/>
      <c r="H1018" s="403"/>
      <c r="I1018" s="403"/>
      <c r="J1018" s="439"/>
      <c r="K1018" s="442">
        <f ca="1">ROUND(IF(ISERROR(OFFSET(Tabella!$A$1,MATCH(H1018,Tabella!$A:$A,0)-1,MATCH(J1018,Tabella!$A$1:$AC$1,0)-1)=TRUE),0,+OFFSET(Tabella!$A$1,MATCH(H1018,Tabella!$A:$A,0)-1,MATCH(J1018,Tabella!$A$1:$AC$1,0)-1)),4)</f>
        <v>0</v>
      </c>
      <c r="L1018" s="445">
        <f ca="1">ROUND(IF(ISERROR(OFFSET(Ottone!$A$1,MATCH(H1018,Ottone!$A:$A,0)-1,MATCH(J1018,Ottone!$A$1:$Z$1,0)-1)=TRUE),0,OFFSET(Ottone!$A$1,MATCH(H1018,Ottone!$A:$A,0)-1,MATCH(J1018,Ottone!$A$1:$Z$1,0)-1))*IF(E1018="Ottone",1,0),4)</f>
        <v>0</v>
      </c>
      <c r="M1018" s="445">
        <f ca="1">ROUND(IF(ISERROR(OFFSET(Rame!$A$1,MATCH(H1018,Rame!$A:$A,0)-1,MATCH(J1018,Rame!$A$1:$AA$1,0)-1)=TRUE),0,OFFSET(Rame!$A$1,MATCH(H1018,Rame!$A:$A,0)-1,MATCH(J1018,Rame!$A$1:$AA$1,0)-1))*IF(E1018="Rame",1,0),4)</f>
        <v>0</v>
      </c>
      <c r="N1018" s="445"/>
      <c r="O1018" s="445">
        <f t="shared" ca="1" si="259"/>
        <v>0</v>
      </c>
      <c r="P1018" s="445">
        <f ca="1">ROUND(+IF(ISERROR(OFFSET(Tabella!$G$1,MATCH(H1018,Tabella!$G:$G,0)-1,MATCH(I1018,Tabella!$G$1:$FG$1,0)-1)=TRUE),0,OFFSET(Tabella!$G$1,MATCH(H1018,Tabella!$G:$G,0)-1,MATCH(I1018,Tabella!$G$1:$AB$1,0)-1)),4)</f>
        <v>0</v>
      </c>
      <c r="Q1018" s="445">
        <f ca="1">ROUND(IF(ISERROR(OFFSET(Ottone!$F$1,MATCH(H1018,Ottone!$A:$A,0)-1,MATCH(I1018,Ottone!$F$1:$FF$1,0)-1)=TRUE),0,OFFSET(Ottone!$F$1,MATCH(H1018,Ottone!$A:$A,0)-1,MATCH(I1018,Ottone!$F$1:$FF$1,0)-1))*IF(E1018="Ottone",1,0),4)</f>
        <v>0</v>
      </c>
      <c r="R1018" s="445">
        <f ca="1">ROUND(IF(ISERROR(OFFSET(Rame!$F$1,MATCH(H1018,Rame!$F:$F,0)-1,MATCH(I1018,Rame!$F$1:$FF$1,0)-1)=TRUE),0,OFFSET(Rame!$F$1,MATCH(H1018,Rame!$F:$F,0)-1,MATCH(I1018,Rame!$F$1:$FF$1,0)-1))*IF(E1018="Rame",1,0),4)</f>
        <v>0</v>
      </c>
      <c r="S1018" s="445">
        <f ca="1">ROUND(IF(ISERROR(OFFSET(Bronzo!$A$1,MATCH(H1018,Bronzo!$A:$A,0)-1,MATCH(I1018,Bronzo!$A$1:$AA$1,0)-1)=TRUE),0,OFFSET(Bronzo!$A$1,MATCH(H1018,Bronzo!$A:$A,0)-1,MATCH(I1018,Bronzo!$A$1:$AA$1,0)-1)),4)</f>
        <v>0</v>
      </c>
      <c r="T1018" s="445">
        <f t="shared" ca="1" si="256"/>
        <v>0</v>
      </c>
      <c r="U1018" s="442"/>
      <c r="V1018" s="445">
        <v>0</v>
      </c>
      <c r="W1018" s="448">
        <f t="shared" ca="1" si="257"/>
        <v>0</v>
      </c>
      <c r="X1018" s="451">
        <f t="shared" si="248"/>
        <v>0</v>
      </c>
      <c r="Y1018" s="439"/>
      <c r="Z1018" s="439">
        <f t="shared" ca="1" si="258"/>
        <v>0</v>
      </c>
      <c r="AA1018" s="404"/>
      <c r="AF1018" s="372">
        <f t="shared" ca="1" si="260"/>
        <v>46156</v>
      </c>
      <c r="AG1018" s="372" t="b">
        <f t="shared" si="261"/>
        <v>1</v>
      </c>
      <c r="AH1018" s="405" t="str">
        <f t="shared" si="262"/>
        <v/>
      </c>
      <c r="AK1018">
        <f t="shared" si="263"/>
        <v>0</v>
      </c>
      <c r="AL1018">
        <f t="shared" si="264"/>
        <v>1900</v>
      </c>
      <c r="AS1018">
        <f t="shared" si="265"/>
        <v>0</v>
      </c>
      <c r="AT1018">
        <f t="shared" si="266"/>
        <v>0</v>
      </c>
    </row>
    <row r="1019" spans="1:46" customFormat="1" ht="15.75" x14ac:dyDescent="0.25">
      <c r="A1019" s="369"/>
      <c r="B1019" s="398"/>
      <c r="C1019" s="399"/>
      <c r="D1019" s="400"/>
      <c r="E1019" s="401"/>
      <c r="F1019" s="434"/>
      <c r="G1019" s="402"/>
      <c r="H1019" s="403"/>
      <c r="I1019" s="403"/>
      <c r="J1019" s="439"/>
      <c r="K1019" s="442">
        <f ca="1">ROUND(IF(ISERROR(OFFSET(Tabella!$A$1,MATCH(H1019,Tabella!$A:$A,0)-1,MATCH(J1019,Tabella!$A$1:$AC$1,0)-1)=TRUE),0,+OFFSET(Tabella!$A$1,MATCH(H1019,Tabella!$A:$A,0)-1,MATCH(J1019,Tabella!$A$1:$AC$1,0)-1)),4)</f>
        <v>0</v>
      </c>
      <c r="L1019" s="445">
        <f ca="1">ROUND(IF(ISERROR(OFFSET(Ottone!$A$1,MATCH(H1019,Ottone!$A:$A,0)-1,MATCH(J1019,Ottone!$A$1:$Z$1,0)-1)=TRUE),0,OFFSET(Ottone!$A$1,MATCH(H1019,Ottone!$A:$A,0)-1,MATCH(J1019,Ottone!$A$1:$Z$1,0)-1))*IF(E1019="Ottone",1,0),4)</f>
        <v>0</v>
      </c>
      <c r="M1019" s="445">
        <f ca="1">ROUND(IF(ISERROR(OFFSET(Rame!$A$1,MATCH(H1019,Rame!$A:$A,0)-1,MATCH(J1019,Rame!$A$1:$AA$1,0)-1)=TRUE),0,OFFSET(Rame!$A$1,MATCH(H1019,Rame!$A:$A,0)-1,MATCH(J1019,Rame!$A$1:$AA$1,0)-1))*IF(E1019="Rame",1,0),4)</f>
        <v>0</v>
      </c>
      <c r="N1019" s="445"/>
      <c r="O1019" s="445">
        <f t="shared" ca="1" si="259"/>
        <v>0</v>
      </c>
      <c r="P1019" s="445">
        <f ca="1">ROUND(+IF(ISERROR(OFFSET(Tabella!$G$1,MATCH(H1019,Tabella!$G:$G,0)-1,MATCH(I1019,Tabella!$G$1:$FG$1,0)-1)=TRUE),0,OFFSET(Tabella!$G$1,MATCH(H1019,Tabella!$G:$G,0)-1,MATCH(I1019,Tabella!$G$1:$AB$1,0)-1)),4)</f>
        <v>0</v>
      </c>
      <c r="Q1019" s="445">
        <f ca="1">ROUND(IF(ISERROR(OFFSET(Ottone!$F$1,MATCH(H1019,Ottone!$A:$A,0)-1,MATCH(I1019,Ottone!$F$1:$FF$1,0)-1)=TRUE),0,OFFSET(Ottone!$F$1,MATCH(H1019,Ottone!$A:$A,0)-1,MATCH(I1019,Ottone!$F$1:$FF$1,0)-1))*IF(E1019="Ottone",1,0),4)</f>
        <v>0</v>
      </c>
      <c r="R1019" s="445">
        <f ca="1">ROUND(IF(ISERROR(OFFSET(Rame!$F$1,MATCH(H1019,Rame!$F:$F,0)-1,MATCH(I1019,Rame!$F$1:$FF$1,0)-1)=TRUE),0,OFFSET(Rame!$F$1,MATCH(H1019,Rame!$F:$F,0)-1,MATCH(I1019,Rame!$F$1:$FF$1,0)-1))*IF(E1019="Rame",1,0),4)</f>
        <v>0</v>
      </c>
      <c r="S1019" s="445">
        <f ca="1">ROUND(IF(ISERROR(OFFSET(Bronzo!$A$1,MATCH(H1019,Bronzo!$A:$A,0)-1,MATCH(I1019,Bronzo!$A$1:$AA$1,0)-1)=TRUE),0,OFFSET(Bronzo!$A$1,MATCH(H1019,Bronzo!$A:$A,0)-1,MATCH(I1019,Bronzo!$A$1:$AA$1,0)-1)),4)</f>
        <v>0</v>
      </c>
      <c r="T1019" s="445">
        <f t="shared" ca="1" si="256"/>
        <v>0</v>
      </c>
      <c r="U1019" s="442"/>
      <c r="V1019" s="445">
        <v>0</v>
      </c>
      <c r="W1019" s="448">
        <f t="shared" ca="1" si="257"/>
        <v>0</v>
      </c>
      <c r="X1019" s="451">
        <f t="shared" si="248"/>
        <v>0</v>
      </c>
      <c r="Y1019" s="439"/>
      <c r="Z1019" s="439">
        <f t="shared" ca="1" si="258"/>
        <v>0</v>
      </c>
      <c r="AA1019" s="404"/>
      <c r="AF1019" s="372">
        <f t="shared" ca="1" si="260"/>
        <v>46156</v>
      </c>
      <c r="AG1019" s="372" t="b">
        <f t="shared" si="261"/>
        <v>1</v>
      </c>
      <c r="AH1019" s="405" t="str">
        <f t="shared" si="262"/>
        <v/>
      </c>
      <c r="AK1019">
        <f t="shared" si="263"/>
        <v>0</v>
      </c>
      <c r="AL1019">
        <f t="shared" si="264"/>
        <v>1900</v>
      </c>
      <c r="AS1019">
        <f t="shared" si="265"/>
        <v>0</v>
      </c>
      <c r="AT1019">
        <f t="shared" si="266"/>
        <v>0</v>
      </c>
    </row>
    <row r="1020" spans="1:46" customFormat="1" ht="15.75" x14ac:dyDescent="0.25">
      <c r="A1020" s="369"/>
      <c r="B1020" s="398"/>
      <c r="C1020" s="399"/>
      <c r="D1020" s="400"/>
      <c r="E1020" s="401"/>
      <c r="F1020" s="434"/>
      <c r="G1020" s="402"/>
      <c r="H1020" s="403"/>
      <c r="I1020" s="403"/>
      <c r="J1020" s="439"/>
      <c r="K1020" s="442">
        <f ca="1">ROUND(IF(ISERROR(OFFSET(Tabella!$A$1,MATCH(H1020,Tabella!$A:$A,0)-1,MATCH(J1020,Tabella!$A$1:$AC$1,0)-1)=TRUE),0,+OFFSET(Tabella!$A$1,MATCH(H1020,Tabella!$A:$A,0)-1,MATCH(J1020,Tabella!$A$1:$AC$1,0)-1)),4)</f>
        <v>0</v>
      </c>
      <c r="L1020" s="445">
        <f ca="1">ROUND(IF(ISERROR(OFFSET(Ottone!$A$1,MATCH(H1020,Ottone!$A:$A,0)-1,MATCH(J1020,Ottone!$A$1:$Z$1,0)-1)=TRUE),0,OFFSET(Ottone!$A$1,MATCH(H1020,Ottone!$A:$A,0)-1,MATCH(J1020,Ottone!$A$1:$Z$1,0)-1))*IF(E1020="Ottone",1,0),4)</f>
        <v>0</v>
      </c>
      <c r="M1020" s="445">
        <f ca="1">ROUND(IF(ISERROR(OFFSET(Rame!$A$1,MATCH(H1020,Rame!$A:$A,0)-1,MATCH(J1020,Rame!$A$1:$AA$1,0)-1)=TRUE),0,OFFSET(Rame!$A$1,MATCH(H1020,Rame!$A:$A,0)-1,MATCH(J1020,Rame!$A$1:$AA$1,0)-1))*IF(E1020="Rame",1,0),4)</f>
        <v>0</v>
      </c>
      <c r="N1020" s="445"/>
      <c r="O1020" s="445">
        <f t="shared" ca="1" si="259"/>
        <v>0</v>
      </c>
      <c r="P1020" s="445">
        <f ca="1">ROUND(+IF(ISERROR(OFFSET(Tabella!$G$1,MATCH(H1020,Tabella!$G:$G,0)-1,MATCH(I1020,Tabella!$G$1:$FG$1,0)-1)=TRUE),0,OFFSET(Tabella!$G$1,MATCH(H1020,Tabella!$G:$G,0)-1,MATCH(I1020,Tabella!$G$1:$AB$1,0)-1)),4)</f>
        <v>0</v>
      </c>
      <c r="Q1020" s="445">
        <f ca="1">ROUND(IF(ISERROR(OFFSET(Ottone!$F$1,MATCH(H1020,Ottone!$A:$A,0)-1,MATCH(I1020,Ottone!$F$1:$FF$1,0)-1)=TRUE),0,OFFSET(Ottone!$F$1,MATCH(H1020,Ottone!$A:$A,0)-1,MATCH(I1020,Ottone!$F$1:$FF$1,0)-1))*IF(E1020="Ottone",1,0),4)</f>
        <v>0</v>
      </c>
      <c r="R1020" s="445">
        <f ca="1">ROUND(IF(ISERROR(OFFSET(Rame!$F$1,MATCH(H1020,Rame!$F:$F,0)-1,MATCH(I1020,Rame!$F$1:$FF$1,0)-1)=TRUE),0,OFFSET(Rame!$F$1,MATCH(H1020,Rame!$F:$F,0)-1,MATCH(I1020,Rame!$F$1:$FF$1,0)-1))*IF(E1020="Rame",1,0),4)</f>
        <v>0</v>
      </c>
      <c r="S1020" s="445">
        <f ca="1">ROUND(IF(ISERROR(OFFSET(Bronzo!$A$1,MATCH(H1020,Bronzo!$A:$A,0)-1,MATCH(I1020,Bronzo!$A$1:$AA$1,0)-1)=TRUE),0,OFFSET(Bronzo!$A$1,MATCH(H1020,Bronzo!$A:$A,0)-1,MATCH(I1020,Bronzo!$A$1:$AA$1,0)-1)),4)</f>
        <v>0</v>
      </c>
      <c r="T1020" s="445">
        <f t="shared" ca="1" si="256"/>
        <v>0</v>
      </c>
      <c r="U1020" s="442"/>
      <c r="V1020" s="445">
        <v>0</v>
      </c>
      <c r="W1020" s="448">
        <f t="shared" ca="1" si="257"/>
        <v>0</v>
      </c>
      <c r="X1020" s="451">
        <f t="shared" si="248"/>
        <v>0</v>
      </c>
      <c r="Y1020" s="439"/>
      <c r="Z1020" s="439">
        <f t="shared" ca="1" si="258"/>
        <v>0</v>
      </c>
      <c r="AA1020" s="404"/>
      <c r="AF1020" s="372">
        <f t="shared" ca="1" si="260"/>
        <v>46156</v>
      </c>
      <c r="AG1020" s="372" t="b">
        <f t="shared" si="261"/>
        <v>1</v>
      </c>
      <c r="AH1020" s="405" t="str">
        <f t="shared" si="262"/>
        <v/>
      </c>
      <c r="AK1020">
        <f t="shared" si="263"/>
        <v>0</v>
      </c>
      <c r="AL1020">
        <f t="shared" si="264"/>
        <v>1900</v>
      </c>
      <c r="AS1020">
        <f t="shared" si="265"/>
        <v>0</v>
      </c>
      <c r="AT1020">
        <f t="shared" si="266"/>
        <v>0</v>
      </c>
    </row>
    <row r="1021" spans="1:46" customFormat="1" ht="15.75" x14ac:dyDescent="0.25">
      <c r="A1021" s="369"/>
      <c r="B1021" s="398"/>
      <c r="C1021" s="399"/>
      <c r="D1021" s="400"/>
      <c r="E1021" s="401"/>
      <c r="F1021" s="434"/>
      <c r="G1021" s="402"/>
      <c r="H1021" s="403"/>
      <c r="I1021" s="403"/>
      <c r="J1021" s="439"/>
      <c r="K1021" s="442">
        <f ca="1">ROUND(IF(ISERROR(OFFSET(Tabella!$A$1,MATCH(H1021,Tabella!$A:$A,0)-1,MATCH(J1021,Tabella!$A$1:$AC$1,0)-1)=TRUE),0,+OFFSET(Tabella!$A$1,MATCH(H1021,Tabella!$A:$A,0)-1,MATCH(J1021,Tabella!$A$1:$AC$1,0)-1)),4)</f>
        <v>0</v>
      </c>
      <c r="L1021" s="445">
        <f ca="1">ROUND(IF(ISERROR(OFFSET(Ottone!$A$1,MATCH(H1021,Ottone!$A:$A,0)-1,MATCH(J1021,Ottone!$A$1:$Z$1,0)-1)=TRUE),0,OFFSET(Ottone!$A$1,MATCH(H1021,Ottone!$A:$A,0)-1,MATCH(J1021,Ottone!$A$1:$Z$1,0)-1))*IF(E1021="Ottone",1,0),4)</f>
        <v>0</v>
      </c>
      <c r="M1021" s="445">
        <f ca="1">ROUND(IF(ISERROR(OFFSET(Rame!$A$1,MATCH(H1021,Rame!$A:$A,0)-1,MATCH(J1021,Rame!$A$1:$AA$1,0)-1)=TRUE),0,OFFSET(Rame!$A$1,MATCH(H1021,Rame!$A:$A,0)-1,MATCH(J1021,Rame!$A$1:$AA$1,0)-1))*IF(E1021="Rame",1,0),4)</f>
        <v>0</v>
      </c>
      <c r="N1021" s="445"/>
      <c r="O1021" s="445">
        <f t="shared" ca="1" si="259"/>
        <v>0</v>
      </c>
      <c r="P1021" s="445">
        <f ca="1">ROUND(+IF(ISERROR(OFFSET(Tabella!$G$1,MATCH(H1021,Tabella!$G:$G,0)-1,MATCH(I1021,Tabella!$G$1:$FG$1,0)-1)=TRUE),0,OFFSET(Tabella!$G$1,MATCH(H1021,Tabella!$G:$G,0)-1,MATCH(I1021,Tabella!$G$1:$AB$1,0)-1)),4)</f>
        <v>0</v>
      </c>
      <c r="Q1021" s="445">
        <f ca="1">ROUND(IF(ISERROR(OFFSET(Ottone!$F$1,MATCH(H1021,Ottone!$A:$A,0)-1,MATCH(I1021,Ottone!$F$1:$FF$1,0)-1)=TRUE),0,OFFSET(Ottone!$F$1,MATCH(H1021,Ottone!$A:$A,0)-1,MATCH(I1021,Ottone!$F$1:$FF$1,0)-1))*IF(E1021="Ottone",1,0),4)</f>
        <v>0</v>
      </c>
      <c r="R1021" s="445">
        <f ca="1">ROUND(IF(ISERROR(OFFSET(Rame!$F$1,MATCH(H1021,Rame!$F:$F,0)-1,MATCH(I1021,Rame!$F$1:$FF$1,0)-1)=TRUE),0,OFFSET(Rame!$F$1,MATCH(H1021,Rame!$F:$F,0)-1,MATCH(I1021,Rame!$F$1:$FF$1,0)-1))*IF(E1021="Rame",1,0),4)</f>
        <v>0</v>
      </c>
      <c r="S1021" s="445">
        <f ca="1">ROUND(IF(ISERROR(OFFSET(Bronzo!$A$1,MATCH(H1021,Bronzo!$A:$A,0)-1,MATCH(I1021,Bronzo!$A$1:$AA$1,0)-1)=TRUE),0,OFFSET(Bronzo!$A$1,MATCH(H1021,Bronzo!$A:$A,0)-1,MATCH(I1021,Bronzo!$A$1:$AA$1,0)-1)),4)</f>
        <v>0</v>
      </c>
      <c r="T1021" s="445">
        <f t="shared" ca="1" si="256"/>
        <v>0</v>
      </c>
      <c r="U1021" s="442"/>
      <c r="V1021" s="445">
        <v>0</v>
      </c>
      <c r="W1021" s="448">
        <f t="shared" ca="1" si="257"/>
        <v>0</v>
      </c>
      <c r="X1021" s="451">
        <f t="shared" si="248"/>
        <v>0</v>
      </c>
      <c r="Y1021" s="439"/>
      <c r="Z1021" s="439">
        <f t="shared" ca="1" si="258"/>
        <v>0</v>
      </c>
      <c r="AA1021" s="404"/>
      <c r="AF1021" s="372">
        <f t="shared" ca="1" si="260"/>
        <v>46156</v>
      </c>
      <c r="AG1021" s="372" t="b">
        <f t="shared" si="261"/>
        <v>1</v>
      </c>
      <c r="AH1021" s="405" t="str">
        <f t="shared" si="262"/>
        <v/>
      </c>
      <c r="AK1021">
        <f t="shared" si="263"/>
        <v>0</v>
      </c>
      <c r="AL1021">
        <f t="shared" si="264"/>
        <v>1900</v>
      </c>
      <c r="AS1021">
        <f t="shared" si="265"/>
        <v>0</v>
      </c>
      <c r="AT1021">
        <f t="shared" si="266"/>
        <v>0</v>
      </c>
    </row>
    <row r="1022" spans="1:46" customFormat="1" ht="15.75" x14ac:dyDescent="0.25">
      <c r="A1022" s="369"/>
      <c r="B1022" s="398"/>
      <c r="C1022" s="399"/>
      <c r="D1022" s="400"/>
      <c r="E1022" s="401"/>
      <c r="F1022" s="434"/>
      <c r="G1022" s="402"/>
      <c r="H1022" s="403"/>
      <c r="I1022" s="403"/>
      <c r="J1022" s="439"/>
      <c r="K1022" s="442">
        <f ca="1">ROUND(IF(ISERROR(OFFSET(Tabella!$A$1,MATCH(H1022,Tabella!$A:$A,0)-1,MATCH(J1022,Tabella!$A$1:$AC$1,0)-1)=TRUE),0,+OFFSET(Tabella!$A$1,MATCH(H1022,Tabella!$A:$A,0)-1,MATCH(J1022,Tabella!$A$1:$AC$1,0)-1)),4)</f>
        <v>0</v>
      </c>
      <c r="L1022" s="445">
        <f ca="1">ROUND(IF(ISERROR(OFFSET(Ottone!$A$1,MATCH(H1022,Ottone!$A:$A,0)-1,MATCH(J1022,Ottone!$A$1:$Z$1,0)-1)=TRUE),0,OFFSET(Ottone!$A$1,MATCH(H1022,Ottone!$A:$A,0)-1,MATCH(J1022,Ottone!$A$1:$Z$1,0)-1))*IF(E1022="Ottone",1,0),4)</f>
        <v>0</v>
      </c>
      <c r="M1022" s="445">
        <f ca="1">ROUND(IF(ISERROR(OFFSET(Rame!$A$1,MATCH(H1022,Rame!$A:$A,0)-1,MATCH(J1022,Rame!$A$1:$AA$1,0)-1)=TRUE),0,OFFSET(Rame!$A$1,MATCH(H1022,Rame!$A:$A,0)-1,MATCH(J1022,Rame!$A$1:$AA$1,0)-1))*IF(E1022="Rame",1,0),4)</f>
        <v>0</v>
      </c>
      <c r="N1022" s="445"/>
      <c r="O1022" s="445">
        <f t="shared" ca="1" si="259"/>
        <v>0</v>
      </c>
      <c r="P1022" s="445">
        <f ca="1">ROUND(+IF(ISERROR(OFFSET(Tabella!$G$1,MATCH(H1022,Tabella!$G:$G,0)-1,MATCH(I1022,Tabella!$G$1:$FG$1,0)-1)=TRUE),0,OFFSET(Tabella!$G$1,MATCH(H1022,Tabella!$G:$G,0)-1,MATCH(I1022,Tabella!$G$1:$AB$1,0)-1)),4)</f>
        <v>0</v>
      </c>
      <c r="Q1022" s="445">
        <f ca="1">ROUND(IF(ISERROR(OFFSET(Ottone!$F$1,MATCH(H1022,Ottone!$A:$A,0)-1,MATCH(I1022,Ottone!$F$1:$FF$1,0)-1)=TRUE),0,OFFSET(Ottone!$F$1,MATCH(H1022,Ottone!$A:$A,0)-1,MATCH(I1022,Ottone!$F$1:$FF$1,0)-1))*IF(E1022="Ottone",1,0),4)</f>
        <v>0</v>
      </c>
      <c r="R1022" s="445">
        <f ca="1">ROUND(IF(ISERROR(OFFSET(Rame!$F$1,MATCH(H1022,Rame!$F:$F,0)-1,MATCH(I1022,Rame!$F$1:$FF$1,0)-1)=TRUE),0,OFFSET(Rame!$F$1,MATCH(H1022,Rame!$F:$F,0)-1,MATCH(I1022,Rame!$F$1:$FF$1,0)-1))*IF(E1022="Rame",1,0),4)</f>
        <v>0</v>
      </c>
      <c r="S1022" s="445">
        <f ca="1">ROUND(IF(ISERROR(OFFSET(Bronzo!$A$1,MATCH(H1022,Bronzo!$A:$A,0)-1,MATCH(I1022,Bronzo!$A$1:$AA$1,0)-1)=TRUE),0,OFFSET(Bronzo!$A$1,MATCH(H1022,Bronzo!$A:$A,0)-1,MATCH(I1022,Bronzo!$A$1:$AA$1,0)-1)),4)</f>
        <v>0</v>
      </c>
      <c r="T1022" s="445">
        <f t="shared" ca="1" si="256"/>
        <v>0</v>
      </c>
      <c r="U1022" s="442"/>
      <c r="V1022" s="445">
        <v>0</v>
      </c>
      <c r="W1022" s="448">
        <f t="shared" ca="1" si="257"/>
        <v>0</v>
      </c>
      <c r="X1022" s="451">
        <f t="shared" si="248"/>
        <v>0</v>
      </c>
      <c r="Y1022" s="439"/>
      <c r="Z1022" s="439">
        <f t="shared" ca="1" si="258"/>
        <v>0</v>
      </c>
      <c r="AA1022" s="404"/>
      <c r="AF1022" s="372">
        <f t="shared" ca="1" si="260"/>
        <v>46156</v>
      </c>
      <c r="AG1022" s="372" t="b">
        <f t="shared" si="261"/>
        <v>1</v>
      </c>
      <c r="AH1022" s="405" t="str">
        <f t="shared" si="262"/>
        <v/>
      </c>
      <c r="AK1022">
        <f t="shared" si="263"/>
        <v>0</v>
      </c>
      <c r="AL1022">
        <f t="shared" si="264"/>
        <v>1900</v>
      </c>
      <c r="AS1022">
        <f t="shared" si="265"/>
        <v>0</v>
      </c>
      <c r="AT1022">
        <f t="shared" si="266"/>
        <v>0</v>
      </c>
    </row>
    <row r="1023" spans="1:46" customFormat="1" ht="15.75" x14ac:dyDescent="0.25">
      <c r="A1023" s="369"/>
      <c r="B1023" s="398"/>
      <c r="C1023" s="399"/>
      <c r="D1023" s="400"/>
      <c r="E1023" s="401"/>
      <c r="F1023" s="434"/>
      <c r="G1023" s="402"/>
      <c r="H1023" s="403"/>
      <c r="I1023" s="403"/>
      <c r="J1023" s="439"/>
      <c r="K1023" s="442">
        <f ca="1">ROUND(IF(ISERROR(OFFSET(Tabella!$A$1,MATCH(H1023,Tabella!$A:$A,0)-1,MATCH(J1023,Tabella!$A$1:$AC$1,0)-1)=TRUE),0,+OFFSET(Tabella!$A$1,MATCH(H1023,Tabella!$A:$A,0)-1,MATCH(J1023,Tabella!$A$1:$AC$1,0)-1)),4)</f>
        <v>0</v>
      </c>
      <c r="L1023" s="445">
        <f ca="1">ROUND(IF(ISERROR(OFFSET(Ottone!$A$1,MATCH(H1023,Ottone!$A:$A,0)-1,MATCH(J1023,Ottone!$A$1:$Z$1,0)-1)=TRUE),0,OFFSET(Ottone!$A$1,MATCH(H1023,Ottone!$A:$A,0)-1,MATCH(J1023,Ottone!$A$1:$Z$1,0)-1))*IF(E1023="Ottone",1,0),4)</f>
        <v>0</v>
      </c>
      <c r="M1023" s="445">
        <f ca="1">ROUND(IF(ISERROR(OFFSET(Rame!$A$1,MATCH(H1023,Rame!$A:$A,0)-1,MATCH(J1023,Rame!$A$1:$AA$1,0)-1)=TRUE),0,OFFSET(Rame!$A$1,MATCH(H1023,Rame!$A:$A,0)-1,MATCH(J1023,Rame!$A$1:$AA$1,0)-1))*IF(E1023="Rame",1,0),4)</f>
        <v>0</v>
      </c>
      <c r="N1023" s="445"/>
      <c r="O1023" s="445">
        <f t="shared" ca="1" si="259"/>
        <v>0</v>
      </c>
      <c r="P1023" s="445">
        <f ca="1">ROUND(+IF(ISERROR(OFFSET(Tabella!$G$1,MATCH(H1023,Tabella!$G:$G,0)-1,MATCH(I1023,Tabella!$G$1:$FG$1,0)-1)=TRUE),0,OFFSET(Tabella!$G$1,MATCH(H1023,Tabella!$G:$G,0)-1,MATCH(I1023,Tabella!$G$1:$AB$1,0)-1)),4)</f>
        <v>0</v>
      </c>
      <c r="Q1023" s="445">
        <f ca="1">ROUND(IF(ISERROR(OFFSET(Ottone!$F$1,MATCH(H1023,Ottone!$A:$A,0)-1,MATCH(I1023,Ottone!$F$1:$FF$1,0)-1)=TRUE),0,OFFSET(Ottone!$F$1,MATCH(H1023,Ottone!$A:$A,0)-1,MATCH(I1023,Ottone!$F$1:$FF$1,0)-1))*IF(E1023="Ottone",1,0),4)</f>
        <v>0</v>
      </c>
      <c r="R1023" s="445">
        <f ca="1">ROUND(IF(ISERROR(OFFSET(Rame!$F$1,MATCH(H1023,Rame!$F:$F,0)-1,MATCH(I1023,Rame!$F$1:$FF$1,0)-1)=TRUE),0,OFFSET(Rame!$F$1,MATCH(H1023,Rame!$F:$F,0)-1,MATCH(I1023,Rame!$F$1:$FF$1,0)-1))*IF(E1023="Rame",1,0),4)</f>
        <v>0</v>
      </c>
      <c r="S1023" s="445">
        <f ca="1">ROUND(IF(ISERROR(OFFSET(Bronzo!$A$1,MATCH(H1023,Bronzo!$A:$A,0)-1,MATCH(I1023,Bronzo!$A$1:$AA$1,0)-1)=TRUE),0,OFFSET(Bronzo!$A$1,MATCH(H1023,Bronzo!$A:$A,0)-1,MATCH(I1023,Bronzo!$A$1:$AA$1,0)-1)),4)</f>
        <v>0</v>
      </c>
      <c r="T1023" s="445">
        <f t="shared" ca="1" si="256"/>
        <v>0</v>
      </c>
      <c r="U1023" s="442"/>
      <c r="V1023" s="445">
        <v>0</v>
      </c>
      <c r="W1023" s="448">
        <f t="shared" ca="1" si="257"/>
        <v>0</v>
      </c>
      <c r="X1023" s="451">
        <f t="shared" si="248"/>
        <v>0</v>
      </c>
      <c r="Y1023" s="439"/>
      <c r="Z1023" s="439">
        <f t="shared" ca="1" si="258"/>
        <v>0</v>
      </c>
      <c r="AA1023" s="404"/>
      <c r="AF1023" s="372">
        <f t="shared" ca="1" si="260"/>
        <v>46156</v>
      </c>
      <c r="AG1023" s="372" t="b">
        <f t="shared" si="261"/>
        <v>1</v>
      </c>
      <c r="AH1023" s="405" t="str">
        <f t="shared" si="262"/>
        <v/>
      </c>
      <c r="AK1023">
        <f t="shared" si="263"/>
        <v>0</v>
      </c>
      <c r="AL1023">
        <f t="shared" si="264"/>
        <v>1900</v>
      </c>
      <c r="AS1023">
        <f t="shared" si="265"/>
        <v>0</v>
      </c>
      <c r="AT1023">
        <f t="shared" si="266"/>
        <v>0</v>
      </c>
    </row>
    <row r="1024" spans="1:46" customFormat="1" ht="15.75" x14ac:dyDescent="0.25">
      <c r="A1024" s="369"/>
      <c r="B1024" s="398"/>
      <c r="C1024" s="399"/>
      <c r="D1024" s="400"/>
      <c r="E1024" s="401"/>
      <c r="F1024" s="434"/>
      <c r="G1024" s="402"/>
      <c r="H1024" s="403"/>
      <c r="I1024" s="403"/>
      <c r="J1024" s="439"/>
      <c r="K1024" s="442">
        <f ca="1">ROUND(IF(ISERROR(OFFSET(Tabella!$A$1,MATCH(H1024,Tabella!$A:$A,0)-1,MATCH(J1024,Tabella!$A$1:$AC$1,0)-1)=TRUE),0,+OFFSET(Tabella!$A$1,MATCH(H1024,Tabella!$A:$A,0)-1,MATCH(J1024,Tabella!$A$1:$AC$1,0)-1)),4)</f>
        <v>0</v>
      </c>
      <c r="L1024" s="445">
        <f ca="1">ROUND(IF(ISERROR(OFFSET(Ottone!$A$1,MATCH(H1024,Ottone!$A:$A,0)-1,MATCH(J1024,Ottone!$A$1:$Z$1,0)-1)=TRUE),0,OFFSET(Ottone!$A$1,MATCH(H1024,Ottone!$A:$A,0)-1,MATCH(J1024,Ottone!$A$1:$Z$1,0)-1))*IF(E1024="Ottone",1,0),4)</f>
        <v>0</v>
      </c>
      <c r="M1024" s="445">
        <f ca="1">ROUND(IF(ISERROR(OFFSET(Rame!$A$1,MATCH(H1024,Rame!$A:$A,0)-1,MATCH(J1024,Rame!$A$1:$AA$1,0)-1)=TRUE),0,OFFSET(Rame!$A$1,MATCH(H1024,Rame!$A:$A,0)-1,MATCH(J1024,Rame!$A$1:$AA$1,0)-1))*IF(E1024="Rame",1,0),4)</f>
        <v>0</v>
      </c>
      <c r="N1024" s="445"/>
      <c r="O1024" s="445">
        <f t="shared" ca="1" si="259"/>
        <v>0</v>
      </c>
      <c r="P1024" s="445">
        <f ca="1">ROUND(+IF(ISERROR(OFFSET(Tabella!$G$1,MATCH(H1024,Tabella!$G:$G,0)-1,MATCH(I1024,Tabella!$G$1:$FG$1,0)-1)=TRUE),0,OFFSET(Tabella!$G$1,MATCH(H1024,Tabella!$G:$G,0)-1,MATCH(I1024,Tabella!$G$1:$AB$1,0)-1)),4)</f>
        <v>0</v>
      </c>
      <c r="Q1024" s="445">
        <f ca="1">ROUND(IF(ISERROR(OFFSET(Ottone!$F$1,MATCH(H1024,Ottone!$A:$A,0)-1,MATCH(I1024,Ottone!$F$1:$FF$1,0)-1)=TRUE),0,OFFSET(Ottone!$F$1,MATCH(H1024,Ottone!$A:$A,0)-1,MATCH(I1024,Ottone!$F$1:$FF$1,0)-1))*IF(E1024="Ottone",1,0),4)</f>
        <v>0</v>
      </c>
      <c r="R1024" s="445">
        <f ca="1">ROUND(IF(ISERROR(OFFSET(Rame!$F$1,MATCH(H1024,Rame!$F:$F,0)-1,MATCH(I1024,Rame!$F$1:$FF$1,0)-1)=TRUE),0,OFFSET(Rame!$F$1,MATCH(H1024,Rame!$F:$F,0)-1,MATCH(I1024,Rame!$F$1:$FF$1,0)-1))*IF(E1024="Rame",1,0),4)</f>
        <v>0</v>
      </c>
      <c r="S1024" s="445">
        <f ca="1">ROUND(IF(ISERROR(OFFSET(Bronzo!$A$1,MATCH(H1024,Bronzo!$A:$A,0)-1,MATCH(I1024,Bronzo!$A$1:$AA$1,0)-1)=TRUE),0,OFFSET(Bronzo!$A$1,MATCH(H1024,Bronzo!$A:$A,0)-1,MATCH(I1024,Bronzo!$A$1:$AA$1,0)-1)),4)</f>
        <v>0</v>
      </c>
      <c r="T1024" s="445">
        <f t="shared" ca="1" si="256"/>
        <v>0</v>
      </c>
      <c r="U1024" s="442"/>
      <c r="V1024" s="445">
        <v>0</v>
      </c>
      <c r="W1024" s="448">
        <f t="shared" ca="1" si="257"/>
        <v>0</v>
      </c>
      <c r="X1024" s="451">
        <f t="shared" si="248"/>
        <v>0</v>
      </c>
      <c r="Y1024" s="439"/>
      <c r="Z1024" s="439">
        <f t="shared" ca="1" si="258"/>
        <v>0</v>
      </c>
      <c r="AA1024" s="404"/>
      <c r="AF1024" s="372">
        <f t="shared" ca="1" si="260"/>
        <v>46156</v>
      </c>
      <c r="AG1024" s="372" t="b">
        <f t="shared" si="261"/>
        <v>1</v>
      </c>
      <c r="AH1024" s="405" t="str">
        <f t="shared" si="262"/>
        <v/>
      </c>
      <c r="AK1024">
        <f t="shared" si="263"/>
        <v>0</v>
      </c>
      <c r="AL1024">
        <f t="shared" si="264"/>
        <v>1900</v>
      </c>
      <c r="AS1024">
        <f t="shared" si="265"/>
        <v>0</v>
      </c>
      <c r="AT1024">
        <f t="shared" si="266"/>
        <v>0</v>
      </c>
    </row>
    <row r="1025" spans="1:46" customFormat="1" ht="15.75" x14ac:dyDescent="0.25">
      <c r="A1025" s="369"/>
      <c r="B1025" s="398"/>
      <c r="C1025" s="399"/>
      <c r="D1025" s="400"/>
      <c r="E1025" s="401"/>
      <c r="F1025" s="434"/>
      <c r="G1025" s="402"/>
      <c r="H1025" s="403"/>
      <c r="I1025" s="403"/>
      <c r="J1025" s="439"/>
      <c r="K1025" s="442">
        <f ca="1">ROUND(IF(ISERROR(OFFSET(Tabella!$A$1,MATCH(H1025,Tabella!$A:$A,0)-1,MATCH(J1025,Tabella!$A$1:$AC$1,0)-1)=TRUE),0,+OFFSET(Tabella!$A$1,MATCH(H1025,Tabella!$A:$A,0)-1,MATCH(J1025,Tabella!$A$1:$AC$1,0)-1)),4)</f>
        <v>0</v>
      </c>
      <c r="L1025" s="445">
        <f ca="1">ROUND(IF(ISERROR(OFFSET(Ottone!$A$1,MATCH(H1025,Ottone!$A:$A,0)-1,MATCH(J1025,Ottone!$A$1:$Z$1,0)-1)=TRUE),0,OFFSET(Ottone!$A$1,MATCH(H1025,Ottone!$A:$A,0)-1,MATCH(J1025,Ottone!$A$1:$Z$1,0)-1))*IF(E1025="Ottone",1,0),4)</f>
        <v>0</v>
      </c>
      <c r="M1025" s="445">
        <f ca="1">ROUND(IF(ISERROR(OFFSET(Rame!$A$1,MATCH(H1025,Rame!$A:$A,0)-1,MATCH(J1025,Rame!$A$1:$AA$1,0)-1)=TRUE),0,OFFSET(Rame!$A$1,MATCH(H1025,Rame!$A:$A,0)-1,MATCH(J1025,Rame!$A$1:$AA$1,0)-1))*IF(E1025="Rame",1,0),4)</f>
        <v>0</v>
      </c>
      <c r="N1025" s="445"/>
      <c r="O1025" s="445">
        <f t="shared" ca="1" si="259"/>
        <v>0</v>
      </c>
      <c r="P1025" s="445">
        <f ca="1">ROUND(+IF(ISERROR(OFFSET(Tabella!$G$1,MATCH(H1025,Tabella!$G:$G,0)-1,MATCH(I1025,Tabella!$G$1:$FG$1,0)-1)=TRUE),0,OFFSET(Tabella!$G$1,MATCH(H1025,Tabella!$G:$G,0)-1,MATCH(I1025,Tabella!$G$1:$AB$1,0)-1)),4)</f>
        <v>0</v>
      </c>
      <c r="Q1025" s="445">
        <f ca="1">ROUND(IF(ISERROR(OFFSET(Ottone!$F$1,MATCH(H1025,Ottone!$A:$A,0)-1,MATCH(I1025,Ottone!$F$1:$FF$1,0)-1)=TRUE),0,OFFSET(Ottone!$F$1,MATCH(H1025,Ottone!$A:$A,0)-1,MATCH(I1025,Ottone!$F$1:$FF$1,0)-1))*IF(E1025="Ottone",1,0),4)</f>
        <v>0</v>
      </c>
      <c r="R1025" s="445">
        <f ca="1">ROUND(IF(ISERROR(OFFSET(Rame!$F$1,MATCH(H1025,Rame!$F:$F,0)-1,MATCH(I1025,Rame!$F$1:$FF$1,0)-1)=TRUE),0,OFFSET(Rame!$F$1,MATCH(H1025,Rame!$F:$F,0)-1,MATCH(I1025,Rame!$F$1:$FF$1,0)-1))*IF(E1025="Rame",1,0),4)</f>
        <v>0</v>
      </c>
      <c r="S1025" s="445">
        <f ca="1">ROUND(IF(ISERROR(OFFSET(Bronzo!$A$1,MATCH(H1025,Bronzo!$A:$A,0)-1,MATCH(I1025,Bronzo!$A$1:$AA$1,0)-1)=TRUE),0,OFFSET(Bronzo!$A$1,MATCH(H1025,Bronzo!$A:$A,0)-1,MATCH(I1025,Bronzo!$A$1:$AA$1,0)-1)),4)</f>
        <v>0</v>
      </c>
      <c r="T1025" s="445">
        <f t="shared" ca="1" si="256"/>
        <v>0</v>
      </c>
      <c r="U1025" s="442"/>
      <c r="V1025" s="445">
        <v>0</v>
      </c>
      <c r="W1025" s="448">
        <f t="shared" ca="1" si="257"/>
        <v>0</v>
      </c>
      <c r="X1025" s="451">
        <f t="shared" si="248"/>
        <v>0</v>
      </c>
      <c r="Y1025" s="439"/>
      <c r="Z1025" s="439">
        <f t="shared" ca="1" si="258"/>
        <v>0</v>
      </c>
      <c r="AA1025" s="404"/>
      <c r="AF1025" s="372">
        <f t="shared" ca="1" si="260"/>
        <v>46156</v>
      </c>
      <c r="AG1025" s="372" t="b">
        <f t="shared" si="261"/>
        <v>1</v>
      </c>
      <c r="AH1025" s="405" t="str">
        <f t="shared" si="262"/>
        <v/>
      </c>
      <c r="AK1025">
        <f t="shared" si="263"/>
        <v>0</v>
      </c>
      <c r="AL1025">
        <f t="shared" si="264"/>
        <v>1900</v>
      </c>
      <c r="AS1025">
        <f t="shared" si="265"/>
        <v>0</v>
      </c>
      <c r="AT1025">
        <f t="shared" si="266"/>
        <v>0</v>
      </c>
    </row>
    <row r="1026" spans="1:46" customFormat="1" ht="15.75" x14ac:dyDescent="0.25">
      <c r="A1026" s="369"/>
      <c r="B1026" s="398"/>
      <c r="C1026" s="399"/>
      <c r="D1026" s="400"/>
      <c r="E1026" s="401"/>
      <c r="F1026" s="434"/>
      <c r="G1026" s="402"/>
      <c r="H1026" s="403"/>
      <c r="I1026" s="403"/>
      <c r="J1026" s="439"/>
      <c r="K1026" s="442">
        <f ca="1">ROUND(IF(ISERROR(OFFSET(Tabella!$A$1,MATCH(H1026,Tabella!$A:$A,0)-1,MATCH(J1026,Tabella!$A$1:$AC$1,0)-1)=TRUE),0,+OFFSET(Tabella!$A$1,MATCH(H1026,Tabella!$A:$A,0)-1,MATCH(J1026,Tabella!$A$1:$AC$1,0)-1)),4)</f>
        <v>0</v>
      </c>
      <c r="L1026" s="445">
        <f ca="1">ROUND(IF(ISERROR(OFFSET(Ottone!$A$1,MATCH(H1026,Ottone!$A:$A,0)-1,MATCH(J1026,Ottone!$A$1:$Z$1,0)-1)=TRUE),0,OFFSET(Ottone!$A$1,MATCH(H1026,Ottone!$A:$A,0)-1,MATCH(J1026,Ottone!$A$1:$Z$1,0)-1))*IF(E1026="Ottone",1,0),4)</f>
        <v>0</v>
      </c>
      <c r="M1026" s="445">
        <f ca="1">ROUND(IF(ISERROR(OFFSET(Rame!$A$1,MATCH(H1026,Rame!$A:$A,0)-1,MATCH(J1026,Rame!$A$1:$AA$1,0)-1)=TRUE),0,OFFSET(Rame!$A$1,MATCH(H1026,Rame!$A:$A,0)-1,MATCH(J1026,Rame!$A$1:$AA$1,0)-1))*IF(E1026="Rame",1,0),4)</f>
        <v>0</v>
      </c>
      <c r="N1026" s="445"/>
      <c r="O1026" s="445">
        <f t="shared" ca="1" si="259"/>
        <v>0</v>
      </c>
      <c r="P1026" s="445">
        <f ca="1">ROUND(+IF(ISERROR(OFFSET(Tabella!$G$1,MATCH(H1026,Tabella!$G:$G,0)-1,MATCH(I1026,Tabella!$G$1:$FG$1,0)-1)=TRUE),0,OFFSET(Tabella!$G$1,MATCH(H1026,Tabella!$G:$G,0)-1,MATCH(I1026,Tabella!$G$1:$AB$1,0)-1)),4)</f>
        <v>0</v>
      </c>
      <c r="Q1026" s="445">
        <f ca="1">ROUND(IF(ISERROR(OFFSET(Ottone!$F$1,MATCH(H1026,Ottone!$A:$A,0)-1,MATCH(I1026,Ottone!$F$1:$FF$1,0)-1)=TRUE),0,OFFSET(Ottone!$F$1,MATCH(H1026,Ottone!$A:$A,0)-1,MATCH(I1026,Ottone!$F$1:$FF$1,0)-1))*IF(E1026="Ottone",1,0),4)</f>
        <v>0</v>
      </c>
      <c r="R1026" s="445">
        <f ca="1">ROUND(IF(ISERROR(OFFSET(Rame!$F$1,MATCH(H1026,Rame!$F:$F,0)-1,MATCH(I1026,Rame!$F$1:$FF$1,0)-1)=TRUE),0,OFFSET(Rame!$F$1,MATCH(H1026,Rame!$F:$F,0)-1,MATCH(I1026,Rame!$F$1:$FF$1,0)-1))*IF(E1026="Rame",1,0),4)</f>
        <v>0</v>
      </c>
      <c r="S1026" s="445">
        <f ca="1">ROUND(IF(ISERROR(OFFSET(Bronzo!$A$1,MATCH(H1026,Bronzo!$A:$A,0)-1,MATCH(I1026,Bronzo!$A$1:$AA$1,0)-1)=TRUE),0,OFFSET(Bronzo!$A$1,MATCH(H1026,Bronzo!$A:$A,0)-1,MATCH(I1026,Bronzo!$A$1:$AA$1,0)-1)),4)</f>
        <v>0</v>
      </c>
      <c r="T1026" s="445">
        <f t="shared" ca="1" si="256"/>
        <v>0</v>
      </c>
      <c r="U1026" s="442"/>
      <c r="V1026" s="445">
        <v>0</v>
      </c>
      <c r="W1026" s="448">
        <f t="shared" ca="1" si="257"/>
        <v>0</v>
      </c>
      <c r="X1026" s="451">
        <f t="shared" si="248"/>
        <v>0</v>
      </c>
      <c r="Y1026" s="439"/>
      <c r="Z1026" s="439">
        <f t="shared" ca="1" si="258"/>
        <v>0</v>
      </c>
      <c r="AA1026" s="404"/>
      <c r="AF1026" s="372">
        <f t="shared" ca="1" si="260"/>
        <v>46156</v>
      </c>
      <c r="AG1026" s="372" t="b">
        <f t="shared" si="261"/>
        <v>1</v>
      </c>
      <c r="AH1026" s="405" t="str">
        <f t="shared" si="262"/>
        <v/>
      </c>
      <c r="AK1026">
        <f t="shared" si="263"/>
        <v>0</v>
      </c>
      <c r="AL1026">
        <f t="shared" si="264"/>
        <v>1900</v>
      </c>
      <c r="AS1026">
        <f t="shared" si="265"/>
        <v>0</v>
      </c>
      <c r="AT1026">
        <f t="shared" si="266"/>
        <v>0</v>
      </c>
    </row>
    <row r="1027" spans="1:46" customFormat="1" ht="15.75" x14ac:dyDescent="0.25">
      <c r="A1027" s="369"/>
      <c r="B1027" s="398"/>
      <c r="C1027" s="399"/>
      <c r="D1027" s="400"/>
      <c r="E1027" s="401"/>
      <c r="F1027" s="434"/>
      <c r="G1027" s="402"/>
      <c r="H1027" s="403"/>
      <c r="I1027" s="403"/>
      <c r="J1027" s="439"/>
      <c r="K1027" s="442">
        <f ca="1">ROUND(IF(ISERROR(OFFSET(Tabella!$A$1,MATCH(H1027,Tabella!$A:$A,0)-1,MATCH(J1027,Tabella!$A$1:$AC$1,0)-1)=TRUE),0,+OFFSET(Tabella!$A$1,MATCH(H1027,Tabella!$A:$A,0)-1,MATCH(J1027,Tabella!$A$1:$AC$1,0)-1)),4)</f>
        <v>0</v>
      </c>
      <c r="L1027" s="445">
        <f ca="1">ROUND(IF(ISERROR(OFFSET(Ottone!$A$1,MATCH(H1027,Ottone!$A:$A,0)-1,MATCH(J1027,Ottone!$A$1:$Z$1,0)-1)=TRUE),0,OFFSET(Ottone!$A$1,MATCH(H1027,Ottone!$A:$A,0)-1,MATCH(J1027,Ottone!$A$1:$Z$1,0)-1))*IF(E1027="Ottone",1,0),4)</f>
        <v>0</v>
      </c>
      <c r="M1027" s="445">
        <f ca="1">ROUND(IF(ISERROR(OFFSET(Rame!$A$1,MATCH(H1027,Rame!$A:$A,0)-1,MATCH(J1027,Rame!$A$1:$AA$1,0)-1)=TRUE),0,OFFSET(Rame!$A$1,MATCH(H1027,Rame!$A:$A,0)-1,MATCH(J1027,Rame!$A$1:$AA$1,0)-1))*IF(E1027="Rame",1,0),4)</f>
        <v>0</v>
      </c>
      <c r="N1027" s="445"/>
      <c r="O1027" s="445">
        <f t="shared" ca="1" si="259"/>
        <v>0</v>
      </c>
      <c r="P1027" s="445">
        <f ca="1">ROUND(+IF(ISERROR(OFFSET(Tabella!$G$1,MATCH(H1027,Tabella!$G:$G,0)-1,MATCH(I1027,Tabella!$G$1:$FG$1,0)-1)=TRUE),0,OFFSET(Tabella!$G$1,MATCH(H1027,Tabella!$G:$G,0)-1,MATCH(I1027,Tabella!$G$1:$AB$1,0)-1)),4)</f>
        <v>0</v>
      </c>
      <c r="Q1027" s="445">
        <f ca="1">ROUND(IF(ISERROR(OFFSET(Ottone!$F$1,MATCH(H1027,Ottone!$A:$A,0)-1,MATCH(I1027,Ottone!$F$1:$FF$1,0)-1)=TRUE),0,OFFSET(Ottone!$F$1,MATCH(H1027,Ottone!$A:$A,0)-1,MATCH(I1027,Ottone!$F$1:$FF$1,0)-1))*IF(E1027="Ottone",1,0),4)</f>
        <v>0</v>
      </c>
      <c r="R1027" s="445">
        <f ca="1">ROUND(IF(ISERROR(OFFSET(Rame!$F$1,MATCH(H1027,Rame!$F:$F,0)-1,MATCH(I1027,Rame!$F$1:$FF$1,0)-1)=TRUE),0,OFFSET(Rame!$F$1,MATCH(H1027,Rame!$F:$F,0)-1,MATCH(I1027,Rame!$F$1:$FF$1,0)-1))*IF(E1027="Rame",1,0),4)</f>
        <v>0</v>
      </c>
      <c r="S1027" s="445">
        <f ca="1">ROUND(IF(ISERROR(OFFSET(Bronzo!$A$1,MATCH(H1027,Bronzo!$A:$A,0)-1,MATCH(I1027,Bronzo!$A$1:$AA$1,0)-1)=TRUE),0,OFFSET(Bronzo!$A$1,MATCH(H1027,Bronzo!$A:$A,0)-1,MATCH(I1027,Bronzo!$A$1:$AA$1,0)-1)),4)</f>
        <v>0</v>
      </c>
      <c r="T1027" s="445">
        <f t="shared" ca="1" si="256"/>
        <v>0</v>
      </c>
      <c r="U1027" s="442"/>
      <c r="V1027" s="445">
        <v>0</v>
      </c>
      <c r="W1027" s="448">
        <f t="shared" ca="1" si="257"/>
        <v>0</v>
      </c>
      <c r="X1027" s="451">
        <f t="shared" si="248"/>
        <v>0</v>
      </c>
      <c r="Y1027" s="439"/>
      <c r="Z1027" s="439">
        <f t="shared" ca="1" si="258"/>
        <v>0</v>
      </c>
      <c r="AA1027" s="404"/>
      <c r="AF1027" s="372">
        <f t="shared" ca="1" si="260"/>
        <v>46156</v>
      </c>
      <c r="AG1027" s="372" t="b">
        <f t="shared" si="261"/>
        <v>1</v>
      </c>
      <c r="AH1027" s="405" t="str">
        <f t="shared" si="262"/>
        <v/>
      </c>
      <c r="AK1027">
        <f t="shared" si="263"/>
        <v>0</v>
      </c>
      <c r="AL1027">
        <f t="shared" si="264"/>
        <v>1900</v>
      </c>
      <c r="AS1027">
        <f t="shared" si="265"/>
        <v>0</v>
      </c>
      <c r="AT1027">
        <f t="shared" si="266"/>
        <v>0</v>
      </c>
    </row>
    <row r="1028" spans="1:46" customFormat="1" ht="15.75" x14ac:dyDescent="0.25">
      <c r="A1028" s="369"/>
      <c r="B1028" s="398"/>
      <c r="C1028" s="399"/>
      <c r="D1028" s="400"/>
      <c r="E1028" s="401"/>
      <c r="F1028" s="434"/>
      <c r="G1028" s="402"/>
      <c r="H1028" s="403"/>
      <c r="I1028" s="403"/>
      <c r="J1028" s="439"/>
      <c r="K1028" s="442">
        <f ca="1">ROUND(IF(ISERROR(OFFSET(Tabella!$A$1,MATCH(H1028,Tabella!$A:$A,0)-1,MATCH(J1028,Tabella!$A$1:$AC$1,0)-1)=TRUE),0,+OFFSET(Tabella!$A$1,MATCH(H1028,Tabella!$A:$A,0)-1,MATCH(J1028,Tabella!$A$1:$AC$1,0)-1)),4)</f>
        <v>0</v>
      </c>
      <c r="L1028" s="445">
        <f ca="1">ROUND(IF(ISERROR(OFFSET(Ottone!$A$1,MATCH(H1028,Ottone!$A:$A,0)-1,MATCH(J1028,Ottone!$A$1:$Z$1,0)-1)=TRUE),0,OFFSET(Ottone!$A$1,MATCH(H1028,Ottone!$A:$A,0)-1,MATCH(J1028,Ottone!$A$1:$Z$1,0)-1))*IF(E1028="Ottone",1,0),4)</f>
        <v>0</v>
      </c>
      <c r="M1028" s="445">
        <f ca="1">ROUND(IF(ISERROR(OFFSET(Rame!$A$1,MATCH(H1028,Rame!$A:$A,0)-1,MATCH(J1028,Rame!$A$1:$AA$1,0)-1)=TRUE),0,OFFSET(Rame!$A$1,MATCH(H1028,Rame!$A:$A,0)-1,MATCH(J1028,Rame!$A$1:$AA$1,0)-1))*IF(E1028="Rame",1,0),4)</f>
        <v>0</v>
      </c>
      <c r="N1028" s="445"/>
      <c r="O1028" s="445">
        <f t="shared" ca="1" si="259"/>
        <v>0</v>
      </c>
      <c r="P1028" s="445">
        <f ca="1">ROUND(+IF(ISERROR(OFFSET(Tabella!$G$1,MATCH(H1028,Tabella!$G:$G,0)-1,MATCH(I1028,Tabella!$G$1:$FG$1,0)-1)=TRUE),0,OFFSET(Tabella!$G$1,MATCH(H1028,Tabella!$G:$G,0)-1,MATCH(I1028,Tabella!$G$1:$AB$1,0)-1)),4)</f>
        <v>0</v>
      </c>
      <c r="Q1028" s="445">
        <f ca="1">ROUND(IF(ISERROR(OFFSET(Ottone!$F$1,MATCH(H1028,Ottone!$A:$A,0)-1,MATCH(I1028,Ottone!$F$1:$FF$1,0)-1)=TRUE),0,OFFSET(Ottone!$F$1,MATCH(H1028,Ottone!$A:$A,0)-1,MATCH(I1028,Ottone!$F$1:$FF$1,0)-1))*IF(E1028="Ottone",1,0),4)</f>
        <v>0</v>
      </c>
      <c r="R1028" s="445">
        <f ca="1">ROUND(IF(ISERROR(OFFSET(Rame!$F$1,MATCH(H1028,Rame!$F:$F,0)-1,MATCH(I1028,Rame!$F$1:$FF$1,0)-1)=TRUE),0,OFFSET(Rame!$F$1,MATCH(H1028,Rame!$F:$F,0)-1,MATCH(I1028,Rame!$F$1:$FF$1,0)-1))*IF(E1028="Rame",1,0),4)</f>
        <v>0</v>
      </c>
      <c r="S1028" s="445">
        <f ca="1">ROUND(IF(ISERROR(OFFSET(Bronzo!$A$1,MATCH(H1028,Bronzo!$A:$A,0)-1,MATCH(I1028,Bronzo!$A$1:$AA$1,0)-1)=TRUE),0,OFFSET(Bronzo!$A$1,MATCH(H1028,Bronzo!$A:$A,0)-1,MATCH(I1028,Bronzo!$A$1:$AA$1,0)-1)),4)</f>
        <v>0</v>
      </c>
      <c r="T1028" s="445">
        <f t="shared" ca="1" si="256"/>
        <v>0</v>
      </c>
      <c r="U1028" s="442"/>
      <c r="V1028" s="445">
        <v>0</v>
      </c>
      <c r="W1028" s="448">
        <f t="shared" ca="1" si="257"/>
        <v>0</v>
      </c>
      <c r="X1028" s="451">
        <f t="shared" si="248"/>
        <v>0</v>
      </c>
      <c r="Y1028" s="439"/>
      <c r="Z1028" s="439">
        <f t="shared" ca="1" si="258"/>
        <v>0</v>
      </c>
      <c r="AA1028" s="404"/>
      <c r="AF1028" s="372">
        <f t="shared" ca="1" si="260"/>
        <v>46156</v>
      </c>
      <c r="AG1028" s="372" t="b">
        <f t="shared" si="261"/>
        <v>1</v>
      </c>
      <c r="AH1028" s="405" t="str">
        <f t="shared" si="262"/>
        <v/>
      </c>
      <c r="AK1028">
        <f t="shared" si="263"/>
        <v>0</v>
      </c>
      <c r="AL1028">
        <f t="shared" si="264"/>
        <v>1900</v>
      </c>
      <c r="AS1028">
        <f t="shared" si="265"/>
        <v>0</v>
      </c>
      <c r="AT1028">
        <f t="shared" si="266"/>
        <v>0</v>
      </c>
    </row>
    <row r="1029" spans="1:46" customFormat="1" ht="15.75" x14ac:dyDescent="0.25">
      <c r="A1029" s="369"/>
      <c r="B1029" s="398"/>
      <c r="C1029" s="399"/>
      <c r="D1029" s="400"/>
      <c r="E1029" s="401"/>
      <c r="F1029" s="434"/>
      <c r="G1029" s="402"/>
      <c r="H1029" s="403"/>
      <c r="I1029" s="403"/>
      <c r="J1029" s="439"/>
      <c r="K1029" s="442">
        <f ca="1">ROUND(IF(ISERROR(OFFSET(Tabella!$A$1,MATCH(H1029,Tabella!$A:$A,0)-1,MATCH(J1029,Tabella!$A$1:$AC$1,0)-1)=TRUE),0,+OFFSET(Tabella!$A$1,MATCH(H1029,Tabella!$A:$A,0)-1,MATCH(J1029,Tabella!$A$1:$AC$1,0)-1)),4)</f>
        <v>0</v>
      </c>
      <c r="L1029" s="445">
        <f ca="1">ROUND(IF(ISERROR(OFFSET(Ottone!$A$1,MATCH(H1029,Ottone!$A:$A,0)-1,MATCH(J1029,Ottone!$A$1:$Z$1,0)-1)=TRUE),0,OFFSET(Ottone!$A$1,MATCH(H1029,Ottone!$A:$A,0)-1,MATCH(J1029,Ottone!$A$1:$Z$1,0)-1))*IF(E1029="Ottone",1,0),4)</f>
        <v>0</v>
      </c>
      <c r="M1029" s="445">
        <f ca="1">ROUND(IF(ISERROR(OFFSET(Rame!$A$1,MATCH(H1029,Rame!$A:$A,0)-1,MATCH(J1029,Rame!$A$1:$AA$1,0)-1)=TRUE),0,OFFSET(Rame!$A$1,MATCH(H1029,Rame!$A:$A,0)-1,MATCH(J1029,Rame!$A$1:$AA$1,0)-1))*IF(E1029="Rame",1,0),4)</f>
        <v>0</v>
      </c>
      <c r="N1029" s="445"/>
      <c r="O1029" s="445">
        <f t="shared" ca="1" si="259"/>
        <v>0</v>
      </c>
      <c r="P1029" s="445">
        <f ca="1">ROUND(+IF(ISERROR(OFFSET(Tabella!$G$1,MATCH(H1029,Tabella!$G:$G,0)-1,MATCH(I1029,Tabella!$G$1:$FG$1,0)-1)=TRUE),0,OFFSET(Tabella!$G$1,MATCH(H1029,Tabella!$G:$G,0)-1,MATCH(I1029,Tabella!$G$1:$AB$1,0)-1)),4)</f>
        <v>0</v>
      </c>
      <c r="Q1029" s="445">
        <f ca="1">ROUND(IF(ISERROR(OFFSET(Ottone!$F$1,MATCH(H1029,Ottone!$A:$A,0)-1,MATCH(I1029,Ottone!$F$1:$FF$1,0)-1)=TRUE),0,OFFSET(Ottone!$F$1,MATCH(H1029,Ottone!$A:$A,0)-1,MATCH(I1029,Ottone!$F$1:$FF$1,0)-1))*IF(E1029="Ottone",1,0),4)</f>
        <v>0</v>
      </c>
      <c r="R1029" s="445">
        <f ca="1">ROUND(IF(ISERROR(OFFSET(Rame!$F$1,MATCH(H1029,Rame!$F:$F,0)-1,MATCH(I1029,Rame!$F$1:$FF$1,0)-1)=TRUE),0,OFFSET(Rame!$F$1,MATCH(H1029,Rame!$F:$F,0)-1,MATCH(I1029,Rame!$F$1:$FF$1,0)-1))*IF(E1029="Rame",1,0),4)</f>
        <v>0</v>
      </c>
      <c r="S1029" s="445">
        <f ca="1">ROUND(IF(ISERROR(OFFSET(Bronzo!$A$1,MATCH(H1029,Bronzo!$A:$A,0)-1,MATCH(I1029,Bronzo!$A$1:$AA$1,0)-1)=TRUE),0,OFFSET(Bronzo!$A$1,MATCH(H1029,Bronzo!$A:$A,0)-1,MATCH(I1029,Bronzo!$A$1:$AA$1,0)-1)),4)</f>
        <v>0</v>
      </c>
      <c r="T1029" s="445">
        <f t="shared" ca="1" si="256"/>
        <v>0</v>
      </c>
      <c r="U1029" s="442"/>
      <c r="V1029" s="445">
        <v>0</v>
      </c>
      <c r="W1029" s="448">
        <f t="shared" ca="1" si="257"/>
        <v>0</v>
      </c>
      <c r="X1029" s="451">
        <f t="shared" si="248"/>
        <v>0</v>
      </c>
      <c r="Y1029" s="439"/>
      <c r="Z1029" s="439">
        <f t="shared" ca="1" si="258"/>
        <v>0</v>
      </c>
      <c r="AA1029" s="404"/>
      <c r="AF1029" s="372">
        <f t="shared" ca="1" si="260"/>
        <v>46156</v>
      </c>
      <c r="AG1029" s="372" t="b">
        <f t="shared" si="261"/>
        <v>1</v>
      </c>
      <c r="AH1029" s="405" t="str">
        <f t="shared" si="262"/>
        <v/>
      </c>
      <c r="AK1029">
        <f t="shared" si="263"/>
        <v>0</v>
      </c>
      <c r="AL1029">
        <f t="shared" si="264"/>
        <v>1900</v>
      </c>
      <c r="AS1029">
        <f t="shared" si="265"/>
        <v>0</v>
      </c>
      <c r="AT1029">
        <f t="shared" si="266"/>
        <v>0</v>
      </c>
    </row>
    <row r="1030" spans="1:46" customFormat="1" ht="15.75" x14ac:dyDescent="0.25">
      <c r="A1030" s="369"/>
      <c r="B1030" s="398"/>
      <c r="C1030" s="399"/>
      <c r="D1030" s="400"/>
      <c r="E1030" s="401"/>
      <c r="F1030" s="434"/>
      <c r="G1030" s="402"/>
      <c r="H1030" s="403"/>
      <c r="I1030" s="403"/>
      <c r="J1030" s="439"/>
      <c r="K1030" s="442">
        <f ca="1">ROUND(IF(ISERROR(OFFSET(Tabella!$A$1,MATCH(H1030,Tabella!$A:$A,0)-1,MATCH(J1030,Tabella!$A$1:$AC$1,0)-1)=TRUE),0,+OFFSET(Tabella!$A$1,MATCH(H1030,Tabella!$A:$A,0)-1,MATCH(J1030,Tabella!$A$1:$AC$1,0)-1)),4)</f>
        <v>0</v>
      </c>
      <c r="L1030" s="445">
        <f ca="1">ROUND(IF(ISERROR(OFFSET(Ottone!$A$1,MATCH(H1030,Ottone!$A:$A,0)-1,MATCH(J1030,Ottone!$A$1:$Z$1,0)-1)=TRUE),0,OFFSET(Ottone!$A$1,MATCH(H1030,Ottone!$A:$A,0)-1,MATCH(J1030,Ottone!$A$1:$Z$1,0)-1))*IF(E1030="Ottone",1,0),4)</f>
        <v>0</v>
      </c>
      <c r="M1030" s="445">
        <f ca="1">ROUND(IF(ISERROR(OFFSET(Rame!$A$1,MATCH(H1030,Rame!$A:$A,0)-1,MATCH(J1030,Rame!$A$1:$AA$1,0)-1)=TRUE),0,OFFSET(Rame!$A$1,MATCH(H1030,Rame!$A:$A,0)-1,MATCH(J1030,Rame!$A$1:$AA$1,0)-1))*IF(E1030="Rame",1,0),4)</f>
        <v>0</v>
      </c>
      <c r="N1030" s="445"/>
      <c r="O1030" s="445">
        <f t="shared" ca="1" si="259"/>
        <v>0</v>
      </c>
      <c r="P1030" s="445">
        <f ca="1">ROUND(+IF(ISERROR(OFFSET(Tabella!$G$1,MATCH(H1030,Tabella!$G:$G,0)-1,MATCH(I1030,Tabella!$G$1:$FG$1,0)-1)=TRUE),0,OFFSET(Tabella!$G$1,MATCH(H1030,Tabella!$G:$G,0)-1,MATCH(I1030,Tabella!$G$1:$AB$1,0)-1)),4)</f>
        <v>0</v>
      </c>
      <c r="Q1030" s="445">
        <f ca="1">ROUND(IF(ISERROR(OFFSET(Ottone!$F$1,MATCH(H1030,Ottone!$A:$A,0)-1,MATCH(I1030,Ottone!$F$1:$FF$1,0)-1)=TRUE),0,OFFSET(Ottone!$F$1,MATCH(H1030,Ottone!$A:$A,0)-1,MATCH(I1030,Ottone!$F$1:$FF$1,0)-1))*IF(E1030="Ottone",1,0),4)</f>
        <v>0</v>
      </c>
      <c r="R1030" s="445">
        <f ca="1">ROUND(IF(ISERROR(OFFSET(Rame!$F$1,MATCH(H1030,Rame!$F:$F,0)-1,MATCH(I1030,Rame!$F$1:$FF$1,0)-1)=TRUE),0,OFFSET(Rame!$F$1,MATCH(H1030,Rame!$F:$F,0)-1,MATCH(I1030,Rame!$F$1:$FF$1,0)-1))*IF(E1030="Rame",1,0),4)</f>
        <v>0</v>
      </c>
      <c r="S1030" s="445">
        <f ca="1">ROUND(IF(ISERROR(OFFSET(Bronzo!$A$1,MATCH(H1030,Bronzo!$A:$A,0)-1,MATCH(I1030,Bronzo!$A$1:$AA$1,0)-1)=TRUE),0,OFFSET(Bronzo!$A$1,MATCH(H1030,Bronzo!$A:$A,0)-1,MATCH(I1030,Bronzo!$A$1:$AA$1,0)-1)),4)</f>
        <v>0</v>
      </c>
      <c r="T1030" s="445">
        <f t="shared" ca="1" si="256"/>
        <v>0</v>
      </c>
      <c r="U1030" s="442"/>
      <c r="V1030" s="445">
        <v>0</v>
      </c>
      <c r="W1030" s="448">
        <f t="shared" ca="1" si="257"/>
        <v>0</v>
      </c>
      <c r="X1030" s="451">
        <f t="shared" si="248"/>
        <v>0</v>
      </c>
      <c r="Y1030" s="439"/>
      <c r="Z1030" s="439">
        <f t="shared" ca="1" si="258"/>
        <v>0</v>
      </c>
      <c r="AA1030" s="404"/>
      <c r="AF1030" s="372">
        <f t="shared" ca="1" si="260"/>
        <v>46156</v>
      </c>
      <c r="AG1030" s="372" t="b">
        <f t="shared" si="261"/>
        <v>1</v>
      </c>
      <c r="AH1030" s="405" t="str">
        <f t="shared" si="262"/>
        <v/>
      </c>
      <c r="AK1030">
        <f t="shared" si="263"/>
        <v>0</v>
      </c>
      <c r="AL1030">
        <f t="shared" si="264"/>
        <v>1900</v>
      </c>
      <c r="AS1030">
        <f t="shared" si="265"/>
        <v>0</v>
      </c>
      <c r="AT1030">
        <f t="shared" si="266"/>
        <v>0</v>
      </c>
    </row>
    <row r="1031" spans="1:46" customFormat="1" ht="15.75" x14ac:dyDescent="0.25">
      <c r="A1031" s="369"/>
      <c r="B1031" s="398"/>
      <c r="C1031" s="399"/>
      <c r="D1031" s="400"/>
      <c r="E1031" s="401"/>
      <c r="F1031" s="434"/>
      <c r="G1031" s="402"/>
      <c r="H1031" s="403"/>
      <c r="I1031" s="403"/>
      <c r="J1031" s="439"/>
      <c r="K1031" s="442">
        <f ca="1">ROUND(IF(ISERROR(OFFSET(Tabella!$A$1,MATCH(H1031,Tabella!$A:$A,0)-1,MATCH(J1031,Tabella!$A$1:$AC$1,0)-1)=TRUE),0,+OFFSET(Tabella!$A$1,MATCH(H1031,Tabella!$A:$A,0)-1,MATCH(J1031,Tabella!$A$1:$AC$1,0)-1)),4)</f>
        <v>0</v>
      </c>
      <c r="L1031" s="445">
        <f ca="1">ROUND(IF(ISERROR(OFFSET(Ottone!$A$1,MATCH(H1031,Ottone!$A:$A,0)-1,MATCH(J1031,Ottone!$A$1:$Z$1,0)-1)=TRUE),0,OFFSET(Ottone!$A$1,MATCH(H1031,Ottone!$A:$A,0)-1,MATCH(J1031,Ottone!$A$1:$Z$1,0)-1))*IF(E1031="Ottone",1,0),4)</f>
        <v>0</v>
      </c>
      <c r="M1031" s="445">
        <f ca="1">ROUND(IF(ISERROR(OFFSET(Rame!$A$1,MATCH(H1031,Rame!$A:$A,0)-1,MATCH(J1031,Rame!$A$1:$AA$1,0)-1)=TRUE),0,OFFSET(Rame!$A$1,MATCH(H1031,Rame!$A:$A,0)-1,MATCH(J1031,Rame!$A$1:$AA$1,0)-1))*IF(E1031="Rame",1,0),4)</f>
        <v>0</v>
      </c>
      <c r="N1031" s="445"/>
      <c r="O1031" s="445">
        <f t="shared" ca="1" si="259"/>
        <v>0</v>
      </c>
      <c r="P1031" s="445">
        <f ca="1">ROUND(+IF(ISERROR(OFFSET(Tabella!$G$1,MATCH(H1031,Tabella!$G:$G,0)-1,MATCH(I1031,Tabella!$G$1:$FG$1,0)-1)=TRUE),0,OFFSET(Tabella!$G$1,MATCH(H1031,Tabella!$G:$G,0)-1,MATCH(I1031,Tabella!$G$1:$AB$1,0)-1)),4)</f>
        <v>0</v>
      </c>
      <c r="Q1031" s="445">
        <f ca="1">ROUND(IF(ISERROR(OFFSET(Ottone!$F$1,MATCH(H1031,Ottone!$A:$A,0)-1,MATCH(I1031,Ottone!$F$1:$FF$1,0)-1)=TRUE),0,OFFSET(Ottone!$F$1,MATCH(H1031,Ottone!$A:$A,0)-1,MATCH(I1031,Ottone!$F$1:$FF$1,0)-1))*IF(E1031="Ottone",1,0),4)</f>
        <v>0</v>
      </c>
      <c r="R1031" s="445">
        <f ca="1">ROUND(IF(ISERROR(OFFSET(Rame!$F$1,MATCH(H1031,Rame!$F:$F,0)-1,MATCH(I1031,Rame!$F$1:$FF$1,0)-1)=TRUE),0,OFFSET(Rame!$F$1,MATCH(H1031,Rame!$F:$F,0)-1,MATCH(I1031,Rame!$F$1:$FF$1,0)-1))*IF(E1031="Rame",1,0),4)</f>
        <v>0</v>
      </c>
      <c r="S1031" s="445">
        <f ca="1">ROUND(IF(ISERROR(OFFSET(Bronzo!$A$1,MATCH(H1031,Bronzo!$A:$A,0)-1,MATCH(I1031,Bronzo!$A$1:$AA$1,0)-1)=TRUE),0,OFFSET(Bronzo!$A$1,MATCH(H1031,Bronzo!$A:$A,0)-1,MATCH(I1031,Bronzo!$A$1:$AA$1,0)-1)),4)</f>
        <v>0</v>
      </c>
      <c r="T1031" s="445">
        <f t="shared" ca="1" si="256"/>
        <v>0</v>
      </c>
      <c r="U1031" s="442"/>
      <c r="V1031" s="445">
        <v>0</v>
      </c>
      <c r="W1031" s="448">
        <f t="shared" ca="1" si="257"/>
        <v>0</v>
      </c>
      <c r="X1031" s="451">
        <f t="shared" si="248"/>
        <v>0</v>
      </c>
      <c r="Y1031" s="439"/>
      <c r="Z1031" s="439">
        <f t="shared" ca="1" si="258"/>
        <v>0</v>
      </c>
      <c r="AA1031" s="404"/>
      <c r="AF1031" s="372">
        <f t="shared" ca="1" si="260"/>
        <v>46156</v>
      </c>
      <c r="AG1031" s="372" t="b">
        <f t="shared" si="261"/>
        <v>1</v>
      </c>
      <c r="AH1031" s="405" t="str">
        <f t="shared" si="262"/>
        <v/>
      </c>
      <c r="AK1031">
        <f t="shared" si="263"/>
        <v>0</v>
      </c>
      <c r="AL1031">
        <f t="shared" si="264"/>
        <v>1900</v>
      </c>
      <c r="AS1031">
        <f t="shared" si="265"/>
        <v>0</v>
      </c>
      <c r="AT1031">
        <f t="shared" si="266"/>
        <v>0</v>
      </c>
    </row>
    <row r="1032" spans="1:46" customFormat="1" ht="15.75" x14ac:dyDescent="0.25">
      <c r="A1032" s="369"/>
      <c r="B1032" s="398"/>
      <c r="C1032" s="399"/>
      <c r="D1032" s="400"/>
      <c r="E1032" s="401"/>
      <c r="F1032" s="434"/>
      <c r="G1032" s="402"/>
      <c r="H1032" s="403"/>
      <c r="I1032" s="403"/>
      <c r="J1032" s="439"/>
      <c r="K1032" s="442">
        <f ca="1">ROUND(IF(ISERROR(OFFSET(Tabella!$A$1,MATCH(H1032,Tabella!$A:$A,0)-1,MATCH(J1032,Tabella!$A$1:$AC$1,0)-1)=TRUE),0,+OFFSET(Tabella!$A$1,MATCH(H1032,Tabella!$A:$A,0)-1,MATCH(J1032,Tabella!$A$1:$AC$1,0)-1)),4)</f>
        <v>0</v>
      </c>
      <c r="L1032" s="445">
        <f ca="1">ROUND(IF(ISERROR(OFFSET(Ottone!$A$1,MATCH(H1032,Ottone!$A:$A,0)-1,MATCH(J1032,Ottone!$A$1:$Z$1,0)-1)=TRUE),0,OFFSET(Ottone!$A$1,MATCH(H1032,Ottone!$A:$A,0)-1,MATCH(J1032,Ottone!$A$1:$Z$1,0)-1))*IF(E1032="Ottone",1,0),4)</f>
        <v>0</v>
      </c>
      <c r="M1032" s="445">
        <f ca="1">ROUND(IF(ISERROR(OFFSET(Rame!$A$1,MATCH(H1032,Rame!$A:$A,0)-1,MATCH(J1032,Rame!$A$1:$AA$1,0)-1)=TRUE),0,OFFSET(Rame!$A$1,MATCH(H1032,Rame!$A:$A,0)-1,MATCH(J1032,Rame!$A$1:$AA$1,0)-1))*IF(E1032="Rame",1,0),4)</f>
        <v>0</v>
      </c>
      <c r="N1032" s="445"/>
      <c r="O1032" s="445">
        <f t="shared" ca="1" si="259"/>
        <v>0</v>
      </c>
      <c r="P1032" s="445">
        <f ca="1">ROUND(+IF(ISERROR(OFFSET(Tabella!$G$1,MATCH(H1032,Tabella!$G:$G,0)-1,MATCH(I1032,Tabella!$G$1:$FG$1,0)-1)=TRUE),0,OFFSET(Tabella!$G$1,MATCH(H1032,Tabella!$G:$G,0)-1,MATCH(I1032,Tabella!$G$1:$AB$1,0)-1)),4)</f>
        <v>0</v>
      </c>
      <c r="Q1032" s="445">
        <f ca="1">ROUND(IF(ISERROR(OFFSET(Ottone!$F$1,MATCH(H1032,Ottone!$A:$A,0)-1,MATCH(I1032,Ottone!$F$1:$FF$1,0)-1)=TRUE),0,OFFSET(Ottone!$F$1,MATCH(H1032,Ottone!$A:$A,0)-1,MATCH(I1032,Ottone!$F$1:$FF$1,0)-1))*IF(E1032="Ottone",1,0),4)</f>
        <v>0</v>
      </c>
      <c r="R1032" s="445">
        <f ca="1">ROUND(IF(ISERROR(OFFSET(Rame!$F$1,MATCH(H1032,Rame!$F:$F,0)-1,MATCH(I1032,Rame!$F$1:$FF$1,0)-1)=TRUE),0,OFFSET(Rame!$F$1,MATCH(H1032,Rame!$F:$F,0)-1,MATCH(I1032,Rame!$F$1:$FF$1,0)-1))*IF(E1032="Rame",1,0),4)</f>
        <v>0</v>
      </c>
      <c r="S1032" s="445">
        <f ca="1">ROUND(IF(ISERROR(OFFSET(Bronzo!$A$1,MATCH(H1032,Bronzo!$A:$A,0)-1,MATCH(I1032,Bronzo!$A$1:$AA$1,0)-1)=TRUE),0,OFFSET(Bronzo!$A$1,MATCH(H1032,Bronzo!$A:$A,0)-1,MATCH(I1032,Bronzo!$A$1:$AA$1,0)-1)),4)</f>
        <v>0</v>
      </c>
      <c r="T1032" s="445">
        <f t="shared" ca="1" si="256"/>
        <v>0</v>
      </c>
      <c r="U1032" s="442"/>
      <c r="V1032" s="445">
        <v>0</v>
      </c>
      <c r="W1032" s="448">
        <f t="shared" ca="1" si="257"/>
        <v>0</v>
      </c>
      <c r="X1032" s="451">
        <f t="shared" si="248"/>
        <v>0</v>
      </c>
      <c r="Y1032" s="439"/>
      <c r="Z1032" s="439">
        <f t="shared" ca="1" si="258"/>
        <v>0</v>
      </c>
      <c r="AA1032" s="404"/>
      <c r="AF1032" s="372">
        <f t="shared" ca="1" si="260"/>
        <v>46156</v>
      </c>
      <c r="AG1032" s="372" t="b">
        <f t="shared" si="261"/>
        <v>1</v>
      </c>
      <c r="AH1032" s="405" t="str">
        <f t="shared" si="262"/>
        <v/>
      </c>
      <c r="AK1032">
        <f t="shared" si="263"/>
        <v>0</v>
      </c>
      <c r="AL1032">
        <f t="shared" si="264"/>
        <v>1900</v>
      </c>
      <c r="AS1032">
        <f t="shared" si="265"/>
        <v>0</v>
      </c>
      <c r="AT1032">
        <f t="shared" si="266"/>
        <v>0</v>
      </c>
    </row>
    <row r="1033" spans="1:46" customFormat="1" ht="15.75" x14ac:dyDescent="0.25">
      <c r="A1033" s="369"/>
      <c r="B1033" s="398"/>
      <c r="C1033" s="399"/>
      <c r="D1033" s="400"/>
      <c r="E1033" s="401"/>
      <c r="F1033" s="434"/>
      <c r="G1033" s="402"/>
      <c r="H1033" s="403"/>
      <c r="I1033" s="403"/>
      <c r="J1033" s="439"/>
      <c r="K1033" s="442">
        <f ca="1">ROUND(IF(ISERROR(OFFSET(Tabella!$A$1,MATCH(H1033,Tabella!$A:$A,0)-1,MATCH(J1033,Tabella!$A$1:$AC$1,0)-1)=TRUE),0,+OFFSET(Tabella!$A$1,MATCH(H1033,Tabella!$A:$A,0)-1,MATCH(J1033,Tabella!$A$1:$AC$1,0)-1)),4)</f>
        <v>0</v>
      </c>
      <c r="L1033" s="445">
        <f ca="1">ROUND(IF(ISERROR(OFFSET(Ottone!$A$1,MATCH(H1033,Ottone!$A:$A,0)-1,MATCH(J1033,Ottone!$A$1:$Z$1,0)-1)=TRUE),0,OFFSET(Ottone!$A$1,MATCH(H1033,Ottone!$A:$A,0)-1,MATCH(J1033,Ottone!$A$1:$Z$1,0)-1))*IF(E1033="Ottone",1,0),4)</f>
        <v>0</v>
      </c>
      <c r="M1033" s="445">
        <f ca="1">ROUND(IF(ISERROR(OFFSET(Rame!$A$1,MATCH(H1033,Rame!$A:$A,0)-1,MATCH(J1033,Rame!$A$1:$AA$1,0)-1)=TRUE),0,OFFSET(Rame!$A$1,MATCH(H1033,Rame!$A:$A,0)-1,MATCH(J1033,Rame!$A$1:$AA$1,0)-1))*IF(E1033="Rame",1,0),4)</f>
        <v>0</v>
      </c>
      <c r="N1033" s="445"/>
      <c r="O1033" s="445">
        <f t="shared" ca="1" si="259"/>
        <v>0</v>
      </c>
      <c r="P1033" s="445">
        <f ca="1">ROUND(+IF(ISERROR(OFFSET(Tabella!$G$1,MATCH(H1033,Tabella!$G:$G,0)-1,MATCH(I1033,Tabella!$G$1:$FG$1,0)-1)=TRUE),0,OFFSET(Tabella!$G$1,MATCH(H1033,Tabella!$G:$G,0)-1,MATCH(I1033,Tabella!$G$1:$AB$1,0)-1)),4)</f>
        <v>0</v>
      </c>
      <c r="Q1033" s="445">
        <f ca="1">ROUND(IF(ISERROR(OFFSET(Ottone!$F$1,MATCH(H1033,Ottone!$A:$A,0)-1,MATCH(I1033,Ottone!$F$1:$FF$1,0)-1)=TRUE),0,OFFSET(Ottone!$F$1,MATCH(H1033,Ottone!$A:$A,0)-1,MATCH(I1033,Ottone!$F$1:$FF$1,0)-1))*IF(E1033="Ottone",1,0),4)</f>
        <v>0</v>
      </c>
      <c r="R1033" s="445">
        <f ca="1">ROUND(IF(ISERROR(OFFSET(Rame!$F$1,MATCH(H1033,Rame!$F:$F,0)-1,MATCH(I1033,Rame!$F$1:$FF$1,0)-1)=TRUE),0,OFFSET(Rame!$F$1,MATCH(H1033,Rame!$F:$F,0)-1,MATCH(I1033,Rame!$F$1:$FF$1,0)-1))*IF(E1033="Rame",1,0),4)</f>
        <v>0</v>
      </c>
      <c r="S1033" s="445">
        <f ca="1">ROUND(IF(ISERROR(OFFSET(Bronzo!$A$1,MATCH(H1033,Bronzo!$A:$A,0)-1,MATCH(I1033,Bronzo!$A$1:$AA$1,0)-1)=TRUE),0,OFFSET(Bronzo!$A$1,MATCH(H1033,Bronzo!$A:$A,0)-1,MATCH(I1033,Bronzo!$A$1:$AA$1,0)-1)),4)</f>
        <v>0</v>
      </c>
      <c r="T1033" s="445">
        <f t="shared" ca="1" si="256"/>
        <v>0</v>
      </c>
      <c r="U1033" s="442"/>
      <c r="V1033" s="445">
        <v>0</v>
      </c>
      <c r="W1033" s="448">
        <f t="shared" ca="1" si="257"/>
        <v>0</v>
      </c>
      <c r="X1033" s="451">
        <f t="shared" si="248"/>
        <v>0</v>
      </c>
      <c r="Y1033" s="439"/>
      <c r="Z1033" s="439">
        <f t="shared" ca="1" si="258"/>
        <v>0</v>
      </c>
      <c r="AA1033" s="404"/>
      <c r="AF1033" s="372">
        <f t="shared" ca="1" si="260"/>
        <v>46156</v>
      </c>
      <c r="AG1033" s="372" t="b">
        <f t="shared" si="261"/>
        <v>1</v>
      </c>
      <c r="AH1033" s="405" t="str">
        <f t="shared" si="262"/>
        <v/>
      </c>
      <c r="AK1033">
        <f t="shared" si="263"/>
        <v>0</v>
      </c>
      <c r="AL1033">
        <f t="shared" si="264"/>
        <v>1900</v>
      </c>
      <c r="AS1033">
        <f t="shared" si="265"/>
        <v>0</v>
      </c>
      <c r="AT1033">
        <f t="shared" si="266"/>
        <v>0</v>
      </c>
    </row>
    <row r="1034" spans="1:46" customFormat="1" ht="15.75" x14ac:dyDescent="0.25">
      <c r="A1034" s="369"/>
      <c r="B1034" s="398"/>
      <c r="C1034" s="399"/>
      <c r="D1034" s="400"/>
      <c r="E1034" s="401"/>
      <c r="F1034" s="434"/>
      <c r="G1034" s="402"/>
      <c r="H1034" s="403"/>
      <c r="I1034" s="403"/>
      <c r="J1034" s="439"/>
      <c r="K1034" s="442">
        <f ca="1">ROUND(IF(ISERROR(OFFSET(Tabella!$A$1,MATCH(H1034,Tabella!$A:$A,0)-1,MATCH(J1034,Tabella!$A$1:$AC$1,0)-1)=TRUE),0,+OFFSET(Tabella!$A$1,MATCH(H1034,Tabella!$A:$A,0)-1,MATCH(J1034,Tabella!$A$1:$AC$1,0)-1)),4)</f>
        <v>0</v>
      </c>
      <c r="L1034" s="445">
        <f ca="1">ROUND(IF(ISERROR(OFFSET(Ottone!$A$1,MATCH(H1034,Ottone!$A:$A,0)-1,MATCH(J1034,Ottone!$A$1:$Z$1,0)-1)=TRUE),0,OFFSET(Ottone!$A$1,MATCH(H1034,Ottone!$A:$A,0)-1,MATCH(J1034,Ottone!$A$1:$Z$1,0)-1))*IF(E1034="Ottone",1,0),4)</f>
        <v>0</v>
      </c>
      <c r="M1034" s="445">
        <f ca="1">ROUND(IF(ISERROR(OFFSET(Rame!$A$1,MATCH(H1034,Rame!$A:$A,0)-1,MATCH(J1034,Rame!$A$1:$AA$1,0)-1)=TRUE),0,OFFSET(Rame!$A$1,MATCH(H1034,Rame!$A:$A,0)-1,MATCH(J1034,Rame!$A$1:$AA$1,0)-1))*IF(E1034="Rame",1,0),4)</f>
        <v>0</v>
      </c>
      <c r="N1034" s="445"/>
      <c r="O1034" s="445">
        <f t="shared" ca="1" si="259"/>
        <v>0</v>
      </c>
      <c r="P1034" s="445">
        <f ca="1">ROUND(+IF(ISERROR(OFFSET(Tabella!$G$1,MATCH(H1034,Tabella!$G:$G,0)-1,MATCH(I1034,Tabella!$G$1:$FG$1,0)-1)=TRUE),0,OFFSET(Tabella!$G$1,MATCH(H1034,Tabella!$G:$G,0)-1,MATCH(I1034,Tabella!$G$1:$AB$1,0)-1)),4)</f>
        <v>0</v>
      </c>
      <c r="Q1034" s="445">
        <f ca="1">ROUND(IF(ISERROR(OFFSET(Ottone!$F$1,MATCH(H1034,Ottone!$A:$A,0)-1,MATCH(I1034,Ottone!$F$1:$FF$1,0)-1)=TRUE),0,OFFSET(Ottone!$F$1,MATCH(H1034,Ottone!$A:$A,0)-1,MATCH(I1034,Ottone!$F$1:$FF$1,0)-1))*IF(E1034="Ottone",1,0),4)</f>
        <v>0</v>
      </c>
      <c r="R1034" s="445">
        <f ca="1">ROUND(IF(ISERROR(OFFSET(Rame!$F$1,MATCH(H1034,Rame!$F:$F,0)-1,MATCH(I1034,Rame!$F$1:$FF$1,0)-1)=TRUE),0,OFFSET(Rame!$F$1,MATCH(H1034,Rame!$F:$F,0)-1,MATCH(I1034,Rame!$F$1:$FF$1,0)-1))*IF(E1034="Rame",1,0),4)</f>
        <v>0</v>
      </c>
      <c r="S1034" s="445">
        <f ca="1">ROUND(IF(ISERROR(OFFSET(Bronzo!$A$1,MATCH(H1034,Bronzo!$A:$A,0)-1,MATCH(I1034,Bronzo!$A$1:$AA$1,0)-1)=TRUE),0,OFFSET(Bronzo!$A$1,MATCH(H1034,Bronzo!$A:$A,0)-1,MATCH(I1034,Bronzo!$A$1:$AA$1,0)-1)),4)</f>
        <v>0</v>
      </c>
      <c r="T1034" s="445">
        <f t="shared" ca="1" si="256"/>
        <v>0</v>
      </c>
      <c r="U1034" s="442"/>
      <c r="V1034" s="445">
        <v>0</v>
      </c>
      <c r="W1034" s="448">
        <f t="shared" ca="1" si="257"/>
        <v>0</v>
      </c>
      <c r="X1034" s="451">
        <f t="shared" si="248"/>
        <v>0</v>
      </c>
      <c r="Y1034" s="439"/>
      <c r="Z1034" s="439">
        <f t="shared" ca="1" si="258"/>
        <v>0</v>
      </c>
      <c r="AA1034" s="404"/>
      <c r="AF1034" s="372">
        <f t="shared" ca="1" si="260"/>
        <v>46156</v>
      </c>
      <c r="AG1034" s="372" t="b">
        <f t="shared" si="261"/>
        <v>1</v>
      </c>
      <c r="AH1034" s="405" t="str">
        <f t="shared" si="262"/>
        <v/>
      </c>
      <c r="AK1034">
        <f t="shared" si="263"/>
        <v>0</v>
      </c>
      <c r="AL1034">
        <f t="shared" si="264"/>
        <v>1900</v>
      </c>
      <c r="AS1034">
        <f t="shared" si="265"/>
        <v>0</v>
      </c>
      <c r="AT1034">
        <f t="shared" si="266"/>
        <v>0</v>
      </c>
    </row>
    <row r="1035" spans="1:46" customFormat="1" ht="15.75" x14ac:dyDescent="0.25">
      <c r="A1035" s="369"/>
      <c r="B1035" s="398"/>
      <c r="C1035" s="399"/>
      <c r="D1035" s="400"/>
      <c r="E1035" s="401"/>
      <c r="F1035" s="434"/>
      <c r="G1035" s="402"/>
      <c r="H1035" s="403"/>
      <c r="I1035" s="403"/>
      <c r="J1035" s="439"/>
      <c r="K1035" s="442">
        <f ca="1">ROUND(IF(ISERROR(OFFSET(Tabella!$A$1,MATCH(H1035,Tabella!$A:$A,0)-1,MATCH(J1035,Tabella!$A$1:$AC$1,0)-1)=TRUE),0,+OFFSET(Tabella!$A$1,MATCH(H1035,Tabella!$A:$A,0)-1,MATCH(J1035,Tabella!$A$1:$AC$1,0)-1)),4)</f>
        <v>0</v>
      </c>
      <c r="L1035" s="445">
        <f ca="1">ROUND(IF(ISERROR(OFFSET(Ottone!$A$1,MATCH(H1035,Ottone!$A:$A,0)-1,MATCH(J1035,Ottone!$A$1:$Z$1,0)-1)=TRUE),0,OFFSET(Ottone!$A$1,MATCH(H1035,Ottone!$A:$A,0)-1,MATCH(J1035,Ottone!$A$1:$Z$1,0)-1))*IF(E1035="Ottone",1,0),4)</f>
        <v>0</v>
      </c>
      <c r="M1035" s="445">
        <f ca="1">ROUND(IF(ISERROR(OFFSET(Rame!$A$1,MATCH(H1035,Rame!$A:$A,0)-1,MATCH(J1035,Rame!$A$1:$AA$1,0)-1)=TRUE),0,OFFSET(Rame!$A$1,MATCH(H1035,Rame!$A:$A,0)-1,MATCH(J1035,Rame!$A$1:$AA$1,0)-1))*IF(E1035="Rame",1,0),4)</f>
        <v>0</v>
      </c>
      <c r="N1035" s="445"/>
      <c r="O1035" s="445">
        <f t="shared" ca="1" si="259"/>
        <v>0</v>
      </c>
      <c r="P1035" s="445">
        <f ca="1">ROUND(+IF(ISERROR(OFFSET(Tabella!$G$1,MATCH(H1035,Tabella!$G:$G,0)-1,MATCH(I1035,Tabella!$G$1:$FG$1,0)-1)=TRUE),0,OFFSET(Tabella!$G$1,MATCH(H1035,Tabella!$G:$G,0)-1,MATCH(I1035,Tabella!$G$1:$AB$1,0)-1)),4)</f>
        <v>0</v>
      </c>
      <c r="Q1035" s="445">
        <f ca="1">ROUND(IF(ISERROR(OFFSET(Ottone!$F$1,MATCH(H1035,Ottone!$A:$A,0)-1,MATCH(I1035,Ottone!$F$1:$FF$1,0)-1)=TRUE),0,OFFSET(Ottone!$F$1,MATCH(H1035,Ottone!$A:$A,0)-1,MATCH(I1035,Ottone!$F$1:$FF$1,0)-1))*IF(E1035="Ottone",1,0),4)</f>
        <v>0</v>
      </c>
      <c r="R1035" s="445">
        <f ca="1">ROUND(IF(ISERROR(OFFSET(Rame!$F$1,MATCH(H1035,Rame!$F:$F,0)-1,MATCH(I1035,Rame!$F$1:$FF$1,0)-1)=TRUE),0,OFFSET(Rame!$F$1,MATCH(H1035,Rame!$F:$F,0)-1,MATCH(I1035,Rame!$F$1:$FF$1,0)-1))*IF(E1035="Rame",1,0),4)</f>
        <v>0</v>
      </c>
      <c r="S1035" s="445">
        <f ca="1">ROUND(IF(ISERROR(OFFSET(Bronzo!$A$1,MATCH(H1035,Bronzo!$A:$A,0)-1,MATCH(I1035,Bronzo!$A$1:$AA$1,0)-1)=TRUE),0,OFFSET(Bronzo!$A$1,MATCH(H1035,Bronzo!$A:$A,0)-1,MATCH(I1035,Bronzo!$A$1:$AA$1,0)-1)),4)</f>
        <v>0</v>
      </c>
      <c r="T1035" s="445">
        <f t="shared" ca="1" si="256"/>
        <v>0</v>
      </c>
      <c r="U1035" s="442"/>
      <c r="V1035" s="445">
        <v>0</v>
      </c>
      <c r="W1035" s="448">
        <f t="shared" ca="1" si="257"/>
        <v>0</v>
      </c>
      <c r="X1035" s="451">
        <f t="shared" si="248"/>
        <v>0</v>
      </c>
      <c r="Y1035" s="439"/>
      <c r="Z1035" s="439">
        <f t="shared" ca="1" si="258"/>
        <v>0</v>
      </c>
      <c r="AA1035" s="404"/>
      <c r="AF1035" s="372">
        <f t="shared" ca="1" si="260"/>
        <v>46156</v>
      </c>
      <c r="AG1035" s="372" t="b">
        <f t="shared" si="261"/>
        <v>1</v>
      </c>
      <c r="AH1035" s="405" t="str">
        <f t="shared" si="262"/>
        <v/>
      </c>
      <c r="AK1035">
        <f t="shared" si="263"/>
        <v>0</v>
      </c>
      <c r="AL1035">
        <f t="shared" si="264"/>
        <v>1900</v>
      </c>
      <c r="AS1035">
        <f t="shared" si="265"/>
        <v>0</v>
      </c>
      <c r="AT1035">
        <f t="shared" si="266"/>
        <v>0</v>
      </c>
    </row>
    <row r="1036" spans="1:46" customFormat="1" ht="15.75" x14ac:dyDescent="0.25">
      <c r="A1036" s="369"/>
      <c r="B1036" s="398"/>
      <c r="C1036" s="399"/>
      <c r="D1036" s="400"/>
      <c r="E1036" s="401"/>
      <c r="F1036" s="434"/>
      <c r="G1036" s="402"/>
      <c r="H1036" s="403"/>
      <c r="I1036" s="403"/>
      <c r="J1036" s="439"/>
      <c r="K1036" s="442">
        <f ca="1">ROUND(IF(ISERROR(OFFSET(Tabella!$A$1,MATCH(H1036,Tabella!$A:$A,0)-1,MATCH(J1036,Tabella!$A$1:$AC$1,0)-1)=TRUE),0,+OFFSET(Tabella!$A$1,MATCH(H1036,Tabella!$A:$A,0)-1,MATCH(J1036,Tabella!$A$1:$AC$1,0)-1)),4)</f>
        <v>0</v>
      </c>
      <c r="L1036" s="445">
        <f ca="1">ROUND(IF(ISERROR(OFFSET(Ottone!$A$1,MATCH(H1036,Ottone!$A:$A,0)-1,MATCH(J1036,Ottone!$A$1:$Z$1,0)-1)=TRUE),0,OFFSET(Ottone!$A$1,MATCH(H1036,Ottone!$A:$A,0)-1,MATCH(J1036,Ottone!$A$1:$Z$1,0)-1))*IF(E1036="Ottone",1,0),4)</f>
        <v>0</v>
      </c>
      <c r="M1036" s="445">
        <f ca="1">ROUND(IF(ISERROR(OFFSET(Rame!$A$1,MATCH(H1036,Rame!$A:$A,0)-1,MATCH(J1036,Rame!$A$1:$AA$1,0)-1)=TRUE),0,OFFSET(Rame!$A$1,MATCH(H1036,Rame!$A:$A,0)-1,MATCH(J1036,Rame!$A$1:$AA$1,0)-1))*IF(E1036="Rame",1,0),4)</f>
        <v>0</v>
      </c>
      <c r="N1036" s="445"/>
      <c r="O1036" s="445">
        <f t="shared" ca="1" si="259"/>
        <v>0</v>
      </c>
      <c r="P1036" s="445">
        <f ca="1">ROUND(+IF(ISERROR(OFFSET(Tabella!$G$1,MATCH(H1036,Tabella!$G:$G,0)-1,MATCH(I1036,Tabella!$G$1:$FG$1,0)-1)=TRUE),0,OFFSET(Tabella!$G$1,MATCH(H1036,Tabella!$G:$G,0)-1,MATCH(I1036,Tabella!$G$1:$AB$1,0)-1)),4)</f>
        <v>0</v>
      </c>
      <c r="Q1036" s="445">
        <f ca="1">ROUND(IF(ISERROR(OFFSET(Ottone!$F$1,MATCH(H1036,Ottone!$A:$A,0)-1,MATCH(I1036,Ottone!$F$1:$FF$1,0)-1)=TRUE),0,OFFSET(Ottone!$F$1,MATCH(H1036,Ottone!$A:$A,0)-1,MATCH(I1036,Ottone!$F$1:$FF$1,0)-1))*IF(E1036="Ottone",1,0),4)</f>
        <v>0</v>
      </c>
      <c r="R1036" s="445">
        <f ca="1">ROUND(IF(ISERROR(OFFSET(Rame!$F$1,MATCH(H1036,Rame!$F:$F,0)-1,MATCH(I1036,Rame!$F$1:$FF$1,0)-1)=TRUE),0,OFFSET(Rame!$F$1,MATCH(H1036,Rame!$F:$F,0)-1,MATCH(I1036,Rame!$F$1:$FF$1,0)-1))*IF(E1036="Rame",1,0),4)</f>
        <v>0</v>
      </c>
      <c r="S1036" s="445">
        <f ca="1">ROUND(IF(ISERROR(OFFSET(Bronzo!$A$1,MATCH(H1036,Bronzo!$A:$A,0)-1,MATCH(I1036,Bronzo!$A$1:$AA$1,0)-1)=TRUE),0,OFFSET(Bronzo!$A$1,MATCH(H1036,Bronzo!$A:$A,0)-1,MATCH(I1036,Bronzo!$A$1:$AA$1,0)-1)),4)</f>
        <v>0</v>
      </c>
      <c r="T1036" s="445">
        <f t="shared" ca="1" si="256"/>
        <v>0</v>
      </c>
      <c r="U1036" s="442"/>
      <c r="V1036" s="445">
        <v>0</v>
      </c>
      <c r="W1036" s="448">
        <f t="shared" ca="1" si="257"/>
        <v>0</v>
      </c>
      <c r="X1036" s="451">
        <f t="shared" si="248"/>
        <v>0</v>
      </c>
      <c r="Y1036" s="439"/>
      <c r="Z1036" s="439">
        <f t="shared" ca="1" si="258"/>
        <v>0</v>
      </c>
      <c r="AA1036" s="404"/>
      <c r="AF1036" s="372">
        <f t="shared" ca="1" si="260"/>
        <v>46156</v>
      </c>
      <c r="AG1036" s="372" t="b">
        <f t="shared" si="261"/>
        <v>1</v>
      </c>
      <c r="AH1036" s="405" t="str">
        <f t="shared" si="262"/>
        <v/>
      </c>
      <c r="AK1036">
        <f t="shared" si="263"/>
        <v>0</v>
      </c>
      <c r="AL1036">
        <f t="shared" si="264"/>
        <v>1900</v>
      </c>
      <c r="AS1036">
        <f t="shared" si="265"/>
        <v>0</v>
      </c>
      <c r="AT1036">
        <f t="shared" si="266"/>
        <v>0</v>
      </c>
    </row>
    <row r="1037" spans="1:46" customFormat="1" ht="15.75" x14ac:dyDescent="0.25">
      <c r="A1037" s="369"/>
      <c r="B1037" s="398"/>
      <c r="C1037" s="399"/>
      <c r="D1037" s="400"/>
      <c r="E1037" s="401"/>
      <c r="F1037" s="434"/>
      <c r="G1037" s="402"/>
      <c r="H1037" s="403"/>
      <c r="I1037" s="403"/>
      <c r="J1037" s="439"/>
      <c r="K1037" s="442">
        <f ca="1">ROUND(IF(ISERROR(OFFSET(Tabella!$A$1,MATCH(H1037,Tabella!$A:$A,0)-1,MATCH(J1037,Tabella!$A$1:$AC$1,0)-1)=TRUE),0,+OFFSET(Tabella!$A$1,MATCH(H1037,Tabella!$A:$A,0)-1,MATCH(J1037,Tabella!$A$1:$AC$1,0)-1)),4)</f>
        <v>0</v>
      </c>
      <c r="L1037" s="445">
        <f ca="1">ROUND(IF(ISERROR(OFFSET(Ottone!$A$1,MATCH(H1037,Ottone!$A:$A,0)-1,MATCH(J1037,Ottone!$A$1:$Z$1,0)-1)=TRUE),0,OFFSET(Ottone!$A$1,MATCH(H1037,Ottone!$A:$A,0)-1,MATCH(J1037,Ottone!$A$1:$Z$1,0)-1))*IF(E1037="Ottone",1,0),4)</f>
        <v>0</v>
      </c>
      <c r="M1037" s="445">
        <f ca="1">ROUND(IF(ISERROR(OFFSET(Rame!$A$1,MATCH(H1037,Rame!$A:$A,0)-1,MATCH(J1037,Rame!$A$1:$AA$1,0)-1)=TRUE),0,OFFSET(Rame!$A$1,MATCH(H1037,Rame!$A:$A,0)-1,MATCH(J1037,Rame!$A$1:$AA$1,0)-1))*IF(E1037="Rame",1,0),4)</f>
        <v>0</v>
      </c>
      <c r="N1037" s="445"/>
      <c r="O1037" s="445">
        <f t="shared" ca="1" si="259"/>
        <v>0</v>
      </c>
      <c r="P1037" s="445">
        <f ca="1">ROUND(+IF(ISERROR(OFFSET(Tabella!$G$1,MATCH(H1037,Tabella!$G:$G,0)-1,MATCH(I1037,Tabella!$G$1:$FG$1,0)-1)=TRUE),0,OFFSET(Tabella!$G$1,MATCH(H1037,Tabella!$G:$G,0)-1,MATCH(I1037,Tabella!$G$1:$AB$1,0)-1)),4)</f>
        <v>0</v>
      </c>
      <c r="Q1037" s="445">
        <f ca="1">ROUND(IF(ISERROR(OFFSET(Ottone!$F$1,MATCH(H1037,Ottone!$A:$A,0)-1,MATCH(I1037,Ottone!$F$1:$FF$1,0)-1)=TRUE),0,OFFSET(Ottone!$F$1,MATCH(H1037,Ottone!$A:$A,0)-1,MATCH(I1037,Ottone!$F$1:$FF$1,0)-1))*IF(E1037="Ottone",1,0),4)</f>
        <v>0</v>
      </c>
      <c r="R1037" s="445">
        <f ca="1">ROUND(IF(ISERROR(OFFSET(Rame!$F$1,MATCH(H1037,Rame!$F:$F,0)-1,MATCH(I1037,Rame!$F$1:$FF$1,0)-1)=TRUE),0,OFFSET(Rame!$F$1,MATCH(H1037,Rame!$F:$F,0)-1,MATCH(I1037,Rame!$F$1:$FF$1,0)-1))*IF(E1037="Rame",1,0),4)</f>
        <v>0</v>
      </c>
      <c r="S1037" s="445">
        <f ca="1">ROUND(IF(ISERROR(OFFSET(Bronzo!$A$1,MATCH(H1037,Bronzo!$A:$A,0)-1,MATCH(I1037,Bronzo!$A$1:$AA$1,0)-1)=TRUE),0,OFFSET(Bronzo!$A$1,MATCH(H1037,Bronzo!$A:$A,0)-1,MATCH(I1037,Bronzo!$A$1:$AA$1,0)-1)),4)</f>
        <v>0</v>
      </c>
      <c r="T1037" s="445">
        <f t="shared" ca="1" si="256"/>
        <v>0</v>
      </c>
      <c r="U1037" s="442"/>
      <c r="V1037" s="445">
        <v>0</v>
      </c>
      <c r="W1037" s="448">
        <f t="shared" ca="1" si="257"/>
        <v>0</v>
      </c>
      <c r="X1037" s="451">
        <f t="shared" si="248"/>
        <v>0</v>
      </c>
      <c r="Y1037" s="439"/>
      <c r="Z1037" s="439">
        <f t="shared" ca="1" si="258"/>
        <v>0</v>
      </c>
      <c r="AA1037" s="404"/>
      <c r="AF1037" s="372">
        <f t="shared" ca="1" si="260"/>
        <v>46156</v>
      </c>
      <c r="AG1037" s="372" t="b">
        <f t="shared" si="261"/>
        <v>1</v>
      </c>
      <c r="AH1037" s="405" t="str">
        <f t="shared" si="262"/>
        <v/>
      </c>
      <c r="AK1037">
        <f t="shared" si="263"/>
        <v>0</v>
      </c>
      <c r="AL1037">
        <f t="shared" si="264"/>
        <v>1900</v>
      </c>
      <c r="AS1037">
        <f t="shared" si="265"/>
        <v>0</v>
      </c>
      <c r="AT1037">
        <f t="shared" si="266"/>
        <v>0</v>
      </c>
    </row>
    <row r="1038" spans="1:46" customFormat="1" ht="15.75" x14ac:dyDescent="0.25">
      <c r="A1038" s="369"/>
      <c r="B1038" s="398"/>
      <c r="C1038" s="399"/>
      <c r="D1038" s="400"/>
      <c r="E1038" s="401"/>
      <c r="F1038" s="434"/>
      <c r="G1038" s="402"/>
      <c r="H1038" s="403"/>
      <c r="I1038" s="403"/>
      <c r="J1038" s="439"/>
      <c r="K1038" s="442">
        <f ca="1">ROUND(IF(ISERROR(OFFSET(Tabella!$A$1,MATCH(H1038,Tabella!$A:$A,0)-1,MATCH(J1038,Tabella!$A$1:$AC$1,0)-1)=TRUE),0,+OFFSET(Tabella!$A$1,MATCH(H1038,Tabella!$A:$A,0)-1,MATCH(J1038,Tabella!$A$1:$AC$1,0)-1)),4)</f>
        <v>0</v>
      </c>
      <c r="L1038" s="445">
        <f ca="1">ROUND(IF(ISERROR(OFFSET(Ottone!$A$1,MATCH(H1038,Ottone!$A:$A,0)-1,MATCH(J1038,Ottone!$A$1:$Z$1,0)-1)=TRUE),0,OFFSET(Ottone!$A$1,MATCH(H1038,Ottone!$A:$A,0)-1,MATCH(J1038,Ottone!$A$1:$Z$1,0)-1))*IF(E1038="Ottone",1,0),4)</f>
        <v>0</v>
      </c>
      <c r="M1038" s="445">
        <f ca="1">ROUND(IF(ISERROR(OFFSET(Rame!$A$1,MATCH(H1038,Rame!$A:$A,0)-1,MATCH(J1038,Rame!$A$1:$AA$1,0)-1)=TRUE),0,OFFSET(Rame!$A$1,MATCH(H1038,Rame!$A:$A,0)-1,MATCH(J1038,Rame!$A$1:$AA$1,0)-1))*IF(E1038="Rame",1,0),4)</f>
        <v>0</v>
      </c>
      <c r="N1038" s="445"/>
      <c r="O1038" s="445">
        <f t="shared" ca="1" si="259"/>
        <v>0</v>
      </c>
      <c r="P1038" s="445">
        <f ca="1">ROUND(+IF(ISERROR(OFFSET(Tabella!$G$1,MATCH(H1038,Tabella!$G:$G,0)-1,MATCH(I1038,Tabella!$G$1:$FG$1,0)-1)=TRUE),0,OFFSET(Tabella!$G$1,MATCH(H1038,Tabella!$G:$G,0)-1,MATCH(I1038,Tabella!$G$1:$AB$1,0)-1)),4)</f>
        <v>0</v>
      </c>
      <c r="Q1038" s="445">
        <f ca="1">ROUND(IF(ISERROR(OFFSET(Ottone!$F$1,MATCH(H1038,Ottone!$A:$A,0)-1,MATCH(I1038,Ottone!$F$1:$FF$1,0)-1)=TRUE),0,OFFSET(Ottone!$F$1,MATCH(H1038,Ottone!$A:$A,0)-1,MATCH(I1038,Ottone!$F$1:$FF$1,0)-1))*IF(E1038="Ottone",1,0),4)</f>
        <v>0</v>
      </c>
      <c r="R1038" s="445">
        <f ca="1">ROUND(IF(ISERROR(OFFSET(Rame!$F$1,MATCH(H1038,Rame!$F:$F,0)-1,MATCH(I1038,Rame!$F$1:$FF$1,0)-1)=TRUE),0,OFFSET(Rame!$F$1,MATCH(H1038,Rame!$F:$F,0)-1,MATCH(I1038,Rame!$F$1:$FF$1,0)-1))*IF(E1038="Rame",1,0),4)</f>
        <v>0</v>
      </c>
      <c r="S1038" s="445">
        <f ca="1">ROUND(IF(ISERROR(OFFSET(Bronzo!$A$1,MATCH(H1038,Bronzo!$A:$A,0)-1,MATCH(I1038,Bronzo!$A$1:$AA$1,0)-1)=TRUE),0,OFFSET(Bronzo!$A$1,MATCH(H1038,Bronzo!$A:$A,0)-1,MATCH(I1038,Bronzo!$A$1:$AA$1,0)-1)),4)</f>
        <v>0</v>
      </c>
      <c r="T1038" s="445">
        <f t="shared" ca="1" si="256"/>
        <v>0</v>
      </c>
      <c r="U1038" s="442"/>
      <c r="V1038" s="445">
        <v>0</v>
      </c>
      <c r="W1038" s="448">
        <f t="shared" ca="1" si="257"/>
        <v>0</v>
      </c>
      <c r="X1038" s="451">
        <f t="shared" si="248"/>
        <v>0</v>
      </c>
      <c r="Y1038" s="439"/>
      <c r="Z1038" s="439">
        <f t="shared" ca="1" si="258"/>
        <v>0</v>
      </c>
      <c r="AA1038" s="404"/>
      <c r="AF1038" s="372">
        <f t="shared" ca="1" si="260"/>
        <v>46156</v>
      </c>
      <c r="AG1038" s="372" t="b">
        <f t="shared" si="261"/>
        <v>1</v>
      </c>
      <c r="AH1038" s="405" t="str">
        <f t="shared" si="262"/>
        <v/>
      </c>
      <c r="AK1038">
        <f t="shared" si="263"/>
        <v>0</v>
      </c>
      <c r="AL1038">
        <f t="shared" si="264"/>
        <v>1900</v>
      </c>
      <c r="AS1038">
        <f t="shared" si="265"/>
        <v>0</v>
      </c>
      <c r="AT1038">
        <f t="shared" si="266"/>
        <v>0</v>
      </c>
    </row>
    <row r="1039" spans="1:46" customFormat="1" ht="15.75" x14ac:dyDescent="0.25">
      <c r="A1039" s="369"/>
      <c r="B1039" s="398"/>
      <c r="C1039" s="399"/>
      <c r="D1039" s="400"/>
      <c r="E1039" s="401"/>
      <c r="F1039" s="434"/>
      <c r="G1039" s="402"/>
      <c r="H1039" s="403"/>
      <c r="I1039" s="403"/>
      <c r="J1039" s="439"/>
      <c r="K1039" s="442">
        <f ca="1">ROUND(IF(ISERROR(OFFSET(Tabella!$A$1,MATCH(H1039,Tabella!$A:$A,0)-1,MATCH(J1039,Tabella!$A$1:$AC$1,0)-1)=TRUE),0,+OFFSET(Tabella!$A$1,MATCH(H1039,Tabella!$A:$A,0)-1,MATCH(J1039,Tabella!$A$1:$AC$1,0)-1)),4)</f>
        <v>0</v>
      </c>
      <c r="L1039" s="445">
        <f ca="1">ROUND(IF(ISERROR(OFFSET(Ottone!$A$1,MATCH(H1039,Ottone!$A:$A,0)-1,MATCH(J1039,Ottone!$A$1:$Z$1,0)-1)=TRUE),0,OFFSET(Ottone!$A$1,MATCH(H1039,Ottone!$A:$A,0)-1,MATCH(J1039,Ottone!$A$1:$Z$1,0)-1))*IF(E1039="Ottone",1,0),4)</f>
        <v>0</v>
      </c>
      <c r="M1039" s="445">
        <f ca="1">ROUND(IF(ISERROR(OFFSET(Rame!$A$1,MATCH(H1039,Rame!$A:$A,0)-1,MATCH(J1039,Rame!$A$1:$AA$1,0)-1)=TRUE),0,OFFSET(Rame!$A$1,MATCH(H1039,Rame!$A:$A,0)-1,MATCH(J1039,Rame!$A$1:$AA$1,0)-1))*IF(E1039="Rame",1,0),4)</f>
        <v>0</v>
      </c>
      <c r="N1039" s="445"/>
      <c r="O1039" s="445">
        <f t="shared" ca="1" si="259"/>
        <v>0</v>
      </c>
      <c r="P1039" s="445">
        <f ca="1">ROUND(+IF(ISERROR(OFFSET(Tabella!$G$1,MATCH(H1039,Tabella!$G:$G,0)-1,MATCH(I1039,Tabella!$G$1:$FG$1,0)-1)=TRUE),0,OFFSET(Tabella!$G$1,MATCH(H1039,Tabella!$G:$G,0)-1,MATCH(I1039,Tabella!$G$1:$AB$1,0)-1)),4)</f>
        <v>0</v>
      </c>
      <c r="Q1039" s="445">
        <f ca="1">ROUND(IF(ISERROR(OFFSET(Ottone!$F$1,MATCH(H1039,Ottone!$A:$A,0)-1,MATCH(I1039,Ottone!$F$1:$FF$1,0)-1)=TRUE),0,OFFSET(Ottone!$F$1,MATCH(H1039,Ottone!$A:$A,0)-1,MATCH(I1039,Ottone!$F$1:$FF$1,0)-1))*IF(E1039="Ottone",1,0),4)</f>
        <v>0</v>
      </c>
      <c r="R1039" s="445">
        <f ca="1">ROUND(IF(ISERROR(OFFSET(Rame!$F$1,MATCH(H1039,Rame!$F:$F,0)-1,MATCH(I1039,Rame!$F$1:$FF$1,0)-1)=TRUE),0,OFFSET(Rame!$F$1,MATCH(H1039,Rame!$F:$F,0)-1,MATCH(I1039,Rame!$F$1:$FF$1,0)-1))*IF(E1039="Rame",1,0),4)</f>
        <v>0</v>
      </c>
      <c r="S1039" s="445">
        <f ca="1">ROUND(IF(ISERROR(OFFSET(Bronzo!$A$1,MATCH(H1039,Bronzo!$A:$A,0)-1,MATCH(I1039,Bronzo!$A$1:$AA$1,0)-1)=TRUE),0,OFFSET(Bronzo!$A$1,MATCH(H1039,Bronzo!$A:$A,0)-1,MATCH(I1039,Bronzo!$A$1:$AA$1,0)-1)),4)</f>
        <v>0</v>
      </c>
      <c r="T1039" s="445">
        <f t="shared" ca="1" si="256"/>
        <v>0</v>
      </c>
      <c r="U1039" s="442"/>
      <c r="V1039" s="445">
        <v>0</v>
      </c>
      <c r="W1039" s="448">
        <f t="shared" ca="1" si="257"/>
        <v>0</v>
      </c>
      <c r="X1039" s="451">
        <f t="shared" si="248"/>
        <v>0</v>
      </c>
      <c r="Y1039" s="439"/>
      <c r="Z1039" s="439">
        <f t="shared" ca="1" si="258"/>
        <v>0</v>
      </c>
      <c r="AA1039" s="404"/>
      <c r="AF1039" s="372">
        <f t="shared" ca="1" si="260"/>
        <v>46156</v>
      </c>
      <c r="AG1039" s="372" t="b">
        <f t="shared" si="261"/>
        <v>1</v>
      </c>
      <c r="AH1039" s="405" t="str">
        <f t="shared" si="262"/>
        <v/>
      </c>
      <c r="AK1039">
        <f t="shared" si="263"/>
        <v>0</v>
      </c>
      <c r="AL1039">
        <f t="shared" si="264"/>
        <v>1900</v>
      </c>
      <c r="AS1039">
        <f t="shared" si="265"/>
        <v>0</v>
      </c>
      <c r="AT1039">
        <f t="shared" si="266"/>
        <v>0</v>
      </c>
    </row>
    <row r="1040" spans="1:46" customFormat="1" ht="15.75" x14ac:dyDescent="0.25">
      <c r="A1040" s="369"/>
      <c r="B1040" s="398"/>
      <c r="C1040" s="399"/>
      <c r="D1040" s="400"/>
      <c r="E1040" s="401"/>
      <c r="F1040" s="434"/>
      <c r="G1040" s="402"/>
      <c r="H1040" s="403"/>
      <c r="I1040" s="403"/>
      <c r="J1040" s="439"/>
      <c r="K1040" s="442">
        <f ca="1">ROUND(IF(ISERROR(OFFSET(Tabella!$A$1,MATCH(H1040,Tabella!$A:$A,0)-1,MATCH(J1040,Tabella!$A$1:$AC$1,0)-1)=TRUE),0,+OFFSET(Tabella!$A$1,MATCH(H1040,Tabella!$A:$A,0)-1,MATCH(J1040,Tabella!$A$1:$AC$1,0)-1)),4)</f>
        <v>0</v>
      </c>
      <c r="L1040" s="445">
        <f ca="1">ROUND(IF(ISERROR(OFFSET(Ottone!$A$1,MATCH(H1040,Ottone!$A:$A,0)-1,MATCH(J1040,Ottone!$A$1:$Z$1,0)-1)=TRUE),0,OFFSET(Ottone!$A$1,MATCH(H1040,Ottone!$A:$A,0)-1,MATCH(J1040,Ottone!$A$1:$Z$1,0)-1))*IF(E1040="Ottone",1,0),4)</f>
        <v>0</v>
      </c>
      <c r="M1040" s="445">
        <f ca="1">ROUND(IF(ISERROR(OFFSET(Rame!$A$1,MATCH(H1040,Rame!$A:$A,0)-1,MATCH(J1040,Rame!$A$1:$AA$1,0)-1)=TRUE),0,OFFSET(Rame!$A$1,MATCH(H1040,Rame!$A:$A,0)-1,MATCH(J1040,Rame!$A$1:$AA$1,0)-1))*IF(E1040="Rame",1,0),4)</f>
        <v>0</v>
      </c>
      <c r="N1040" s="445"/>
      <c r="O1040" s="445">
        <f t="shared" ca="1" si="259"/>
        <v>0</v>
      </c>
      <c r="P1040" s="445">
        <f ca="1">ROUND(+IF(ISERROR(OFFSET(Tabella!$G$1,MATCH(H1040,Tabella!$G:$G,0)-1,MATCH(I1040,Tabella!$G$1:$FG$1,0)-1)=TRUE),0,OFFSET(Tabella!$G$1,MATCH(H1040,Tabella!$G:$G,0)-1,MATCH(I1040,Tabella!$G$1:$AB$1,0)-1)),4)</f>
        <v>0</v>
      </c>
      <c r="Q1040" s="445">
        <f ca="1">ROUND(IF(ISERROR(OFFSET(Ottone!$F$1,MATCH(H1040,Ottone!$A:$A,0)-1,MATCH(I1040,Ottone!$F$1:$FF$1,0)-1)=TRUE),0,OFFSET(Ottone!$F$1,MATCH(H1040,Ottone!$A:$A,0)-1,MATCH(I1040,Ottone!$F$1:$FF$1,0)-1))*IF(E1040="Ottone",1,0),4)</f>
        <v>0</v>
      </c>
      <c r="R1040" s="445">
        <f ca="1">ROUND(IF(ISERROR(OFFSET(Rame!$F$1,MATCH(H1040,Rame!$F:$F,0)-1,MATCH(I1040,Rame!$F$1:$FF$1,0)-1)=TRUE),0,OFFSET(Rame!$F$1,MATCH(H1040,Rame!$F:$F,0)-1,MATCH(I1040,Rame!$F$1:$FF$1,0)-1))*IF(E1040="Rame",1,0),4)</f>
        <v>0</v>
      </c>
      <c r="S1040" s="445">
        <f ca="1">ROUND(IF(ISERROR(OFFSET(Bronzo!$A$1,MATCH(H1040,Bronzo!$A:$A,0)-1,MATCH(I1040,Bronzo!$A$1:$AA$1,0)-1)=TRUE),0,OFFSET(Bronzo!$A$1,MATCH(H1040,Bronzo!$A:$A,0)-1,MATCH(I1040,Bronzo!$A$1:$AA$1,0)-1)),4)</f>
        <v>0</v>
      </c>
      <c r="T1040" s="445">
        <f t="shared" ca="1" si="256"/>
        <v>0</v>
      </c>
      <c r="U1040" s="442"/>
      <c r="V1040" s="445">
        <v>0</v>
      </c>
      <c r="W1040" s="448">
        <f t="shared" ca="1" si="257"/>
        <v>0</v>
      </c>
      <c r="X1040" s="451">
        <f t="shared" si="248"/>
        <v>0</v>
      </c>
      <c r="Y1040" s="439"/>
      <c r="Z1040" s="439">
        <f t="shared" ca="1" si="258"/>
        <v>0</v>
      </c>
      <c r="AA1040" s="404"/>
      <c r="AF1040" s="372">
        <f t="shared" ca="1" si="260"/>
        <v>46156</v>
      </c>
      <c r="AG1040" s="372" t="b">
        <f t="shared" si="261"/>
        <v>1</v>
      </c>
      <c r="AH1040" s="405" t="str">
        <f t="shared" si="262"/>
        <v/>
      </c>
      <c r="AK1040">
        <f t="shared" si="263"/>
        <v>0</v>
      </c>
      <c r="AL1040">
        <f t="shared" si="264"/>
        <v>1900</v>
      </c>
      <c r="AS1040">
        <f t="shared" si="265"/>
        <v>0</v>
      </c>
      <c r="AT1040">
        <f t="shared" si="266"/>
        <v>0</v>
      </c>
    </row>
    <row r="1041" spans="1:46" customFormat="1" ht="15.75" x14ac:dyDescent="0.25">
      <c r="A1041" s="369"/>
      <c r="B1041" s="398"/>
      <c r="C1041" s="399"/>
      <c r="D1041" s="400"/>
      <c r="E1041" s="401"/>
      <c r="F1041" s="434"/>
      <c r="G1041" s="402"/>
      <c r="H1041" s="403"/>
      <c r="I1041" s="403"/>
      <c r="J1041" s="439"/>
      <c r="K1041" s="442">
        <f ca="1">ROUND(IF(ISERROR(OFFSET(Tabella!$A$1,MATCH(H1041,Tabella!$A:$A,0)-1,MATCH(J1041,Tabella!$A$1:$AC$1,0)-1)=TRUE),0,+OFFSET(Tabella!$A$1,MATCH(H1041,Tabella!$A:$A,0)-1,MATCH(J1041,Tabella!$A$1:$AC$1,0)-1)),4)</f>
        <v>0</v>
      </c>
      <c r="L1041" s="445">
        <f ca="1">ROUND(IF(ISERROR(OFFSET(Ottone!$A$1,MATCH(H1041,Ottone!$A:$A,0)-1,MATCH(J1041,Ottone!$A$1:$Z$1,0)-1)=TRUE),0,OFFSET(Ottone!$A$1,MATCH(H1041,Ottone!$A:$A,0)-1,MATCH(J1041,Ottone!$A$1:$Z$1,0)-1))*IF(E1041="Ottone",1,0),4)</f>
        <v>0</v>
      </c>
      <c r="M1041" s="445">
        <f ca="1">ROUND(IF(ISERROR(OFFSET(Rame!$A$1,MATCH(H1041,Rame!$A:$A,0)-1,MATCH(J1041,Rame!$A$1:$AA$1,0)-1)=TRUE),0,OFFSET(Rame!$A$1,MATCH(H1041,Rame!$A:$A,0)-1,MATCH(J1041,Rame!$A$1:$AA$1,0)-1))*IF(E1041="Rame",1,0),4)</f>
        <v>0</v>
      </c>
      <c r="N1041" s="445"/>
      <c r="O1041" s="445">
        <f t="shared" ca="1" si="259"/>
        <v>0</v>
      </c>
      <c r="P1041" s="445">
        <f ca="1">ROUND(+IF(ISERROR(OFFSET(Tabella!$G$1,MATCH(H1041,Tabella!$G:$G,0)-1,MATCH(I1041,Tabella!$G$1:$FG$1,0)-1)=TRUE),0,OFFSET(Tabella!$G$1,MATCH(H1041,Tabella!$G:$G,0)-1,MATCH(I1041,Tabella!$G$1:$AB$1,0)-1)),4)</f>
        <v>0</v>
      </c>
      <c r="Q1041" s="445">
        <f ca="1">ROUND(IF(ISERROR(OFFSET(Ottone!$F$1,MATCH(H1041,Ottone!$A:$A,0)-1,MATCH(I1041,Ottone!$F$1:$FF$1,0)-1)=TRUE),0,OFFSET(Ottone!$F$1,MATCH(H1041,Ottone!$A:$A,0)-1,MATCH(I1041,Ottone!$F$1:$FF$1,0)-1))*IF(E1041="Ottone",1,0),4)</f>
        <v>0</v>
      </c>
      <c r="R1041" s="445">
        <f ca="1">ROUND(IF(ISERROR(OFFSET(Rame!$F$1,MATCH(H1041,Rame!$F:$F,0)-1,MATCH(I1041,Rame!$F$1:$FF$1,0)-1)=TRUE),0,OFFSET(Rame!$F$1,MATCH(H1041,Rame!$F:$F,0)-1,MATCH(I1041,Rame!$F$1:$FF$1,0)-1))*IF(E1041="Rame",1,0),4)</f>
        <v>0</v>
      </c>
      <c r="S1041" s="445">
        <f ca="1">ROUND(IF(ISERROR(OFFSET(Bronzo!$A$1,MATCH(H1041,Bronzo!$A:$A,0)-1,MATCH(I1041,Bronzo!$A$1:$AA$1,0)-1)=TRUE),0,OFFSET(Bronzo!$A$1,MATCH(H1041,Bronzo!$A:$A,0)-1,MATCH(I1041,Bronzo!$A$1:$AA$1,0)-1)),4)</f>
        <v>0</v>
      </c>
      <c r="T1041" s="445">
        <f t="shared" ca="1" si="256"/>
        <v>0</v>
      </c>
      <c r="U1041" s="442"/>
      <c r="V1041" s="445">
        <v>0</v>
      </c>
      <c r="W1041" s="448">
        <f t="shared" ca="1" si="257"/>
        <v>0</v>
      </c>
      <c r="X1041" s="451">
        <f t="shared" ref="X1041:X1088" si="267">ROUND(+J1041*D1041,4)</f>
        <v>0</v>
      </c>
      <c r="Y1041" s="439"/>
      <c r="Z1041" s="439">
        <f t="shared" ca="1" si="258"/>
        <v>0</v>
      </c>
      <c r="AA1041" s="404"/>
      <c r="AF1041" s="372">
        <f t="shared" ca="1" si="260"/>
        <v>46156</v>
      </c>
      <c r="AG1041" s="372" t="b">
        <f t="shared" si="261"/>
        <v>1</v>
      </c>
      <c r="AH1041" s="405" t="str">
        <f t="shared" si="262"/>
        <v/>
      </c>
      <c r="AK1041">
        <f t="shared" si="263"/>
        <v>0</v>
      </c>
      <c r="AL1041">
        <f t="shared" si="264"/>
        <v>1900</v>
      </c>
      <c r="AS1041">
        <f t="shared" si="265"/>
        <v>0</v>
      </c>
      <c r="AT1041">
        <f t="shared" si="266"/>
        <v>0</v>
      </c>
    </row>
    <row r="1042" spans="1:46" customFormat="1" ht="15.75" x14ac:dyDescent="0.25">
      <c r="A1042" s="369"/>
      <c r="B1042" s="398"/>
      <c r="C1042" s="399"/>
      <c r="D1042" s="400"/>
      <c r="E1042" s="401"/>
      <c r="F1042" s="434"/>
      <c r="G1042" s="402"/>
      <c r="H1042" s="403"/>
      <c r="I1042" s="403"/>
      <c r="J1042" s="439"/>
      <c r="K1042" s="442">
        <f ca="1">ROUND(IF(ISERROR(OFFSET(Tabella!$A$1,MATCH(H1042,Tabella!$A:$A,0)-1,MATCH(J1042,Tabella!$A$1:$AC$1,0)-1)=TRUE),0,+OFFSET(Tabella!$A$1,MATCH(H1042,Tabella!$A:$A,0)-1,MATCH(J1042,Tabella!$A$1:$AC$1,0)-1)),4)</f>
        <v>0</v>
      </c>
      <c r="L1042" s="445">
        <f ca="1">ROUND(IF(ISERROR(OFFSET(Ottone!$A$1,MATCH(H1042,Ottone!$A:$A,0)-1,MATCH(J1042,Ottone!$A$1:$Z$1,0)-1)=TRUE),0,OFFSET(Ottone!$A$1,MATCH(H1042,Ottone!$A:$A,0)-1,MATCH(J1042,Ottone!$A$1:$Z$1,0)-1))*IF(E1042="Ottone",1,0),4)</f>
        <v>0</v>
      </c>
      <c r="M1042" s="445">
        <f ca="1">ROUND(IF(ISERROR(OFFSET(Rame!$A$1,MATCH(H1042,Rame!$A:$A,0)-1,MATCH(J1042,Rame!$A$1:$AA$1,0)-1)=TRUE),0,OFFSET(Rame!$A$1,MATCH(H1042,Rame!$A:$A,0)-1,MATCH(J1042,Rame!$A$1:$AA$1,0)-1))*IF(E1042="Rame",1,0),4)</f>
        <v>0</v>
      </c>
      <c r="N1042" s="445"/>
      <c r="O1042" s="445">
        <f t="shared" ca="1" si="259"/>
        <v>0</v>
      </c>
      <c r="P1042" s="445">
        <f ca="1">ROUND(+IF(ISERROR(OFFSET(Tabella!$G$1,MATCH(H1042,Tabella!$G:$G,0)-1,MATCH(I1042,Tabella!$G$1:$FG$1,0)-1)=TRUE),0,OFFSET(Tabella!$G$1,MATCH(H1042,Tabella!$G:$G,0)-1,MATCH(I1042,Tabella!$G$1:$AB$1,0)-1)),4)</f>
        <v>0</v>
      </c>
      <c r="Q1042" s="445">
        <f ca="1">ROUND(IF(ISERROR(OFFSET(Ottone!$F$1,MATCH(H1042,Ottone!$A:$A,0)-1,MATCH(I1042,Ottone!$F$1:$FF$1,0)-1)=TRUE),0,OFFSET(Ottone!$F$1,MATCH(H1042,Ottone!$A:$A,0)-1,MATCH(I1042,Ottone!$F$1:$FF$1,0)-1))*IF(E1042="Ottone",1,0),4)</f>
        <v>0</v>
      </c>
      <c r="R1042" s="445">
        <f ca="1">ROUND(IF(ISERROR(OFFSET(Rame!$F$1,MATCH(H1042,Rame!$F:$F,0)-1,MATCH(I1042,Rame!$F$1:$FF$1,0)-1)=TRUE),0,OFFSET(Rame!$F$1,MATCH(H1042,Rame!$F:$F,0)-1,MATCH(I1042,Rame!$F$1:$FF$1,0)-1))*IF(E1042="Rame",1,0),4)</f>
        <v>0</v>
      </c>
      <c r="S1042" s="445">
        <f ca="1">ROUND(IF(ISERROR(OFFSET(Bronzo!$A$1,MATCH(H1042,Bronzo!$A:$A,0)-1,MATCH(I1042,Bronzo!$A$1:$AA$1,0)-1)=TRUE),0,OFFSET(Bronzo!$A$1,MATCH(H1042,Bronzo!$A:$A,0)-1,MATCH(I1042,Bronzo!$A$1:$AA$1,0)-1)),4)</f>
        <v>0</v>
      </c>
      <c r="T1042" s="445">
        <f t="shared" ca="1" si="256"/>
        <v>0</v>
      </c>
      <c r="U1042" s="442"/>
      <c r="V1042" s="445">
        <v>0</v>
      </c>
      <c r="W1042" s="448">
        <f t="shared" ca="1" si="257"/>
        <v>0</v>
      </c>
      <c r="X1042" s="451">
        <f t="shared" si="267"/>
        <v>0</v>
      </c>
      <c r="Y1042" s="439"/>
      <c r="Z1042" s="439">
        <f t="shared" ca="1" si="258"/>
        <v>0</v>
      </c>
      <c r="AA1042" s="404"/>
      <c r="AF1042" s="372">
        <f t="shared" ca="1" si="260"/>
        <v>46156</v>
      </c>
      <c r="AG1042" s="372" t="b">
        <f t="shared" si="261"/>
        <v>1</v>
      </c>
      <c r="AH1042" s="405" t="str">
        <f t="shared" si="262"/>
        <v/>
      </c>
      <c r="AK1042">
        <f t="shared" si="263"/>
        <v>0</v>
      </c>
      <c r="AL1042">
        <f t="shared" si="264"/>
        <v>1900</v>
      </c>
      <c r="AS1042">
        <f t="shared" si="265"/>
        <v>0</v>
      </c>
      <c r="AT1042">
        <f t="shared" si="266"/>
        <v>0</v>
      </c>
    </row>
    <row r="1043" spans="1:46" customFormat="1" ht="15.75" x14ac:dyDescent="0.25">
      <c r="A1043" s="369"/>
      <c r="B1043" s="398"/>
      <c r="C1043" s="399"/>
      <c r="D1043" s="400"/>
      <c r="E1043" s="401"/>
      <c r="F1043" s="434"/>
      <c r="G1043" s="402"/>
      <c r="H1043" s="403"/>
      <c r="I1043" s="403"/>
      <c r="J1043" s="439"/>
      <c r="K1043" s="442">
        <f ca="1">ROUND(IF(ISERROR(OFFSET(Tabella!$A$1,MATCH(H1043,Tabella!$A:$A,0)-1,MATCH(J1043,Tabella!$A$1:$AC$1,0)-1)=TRUE),0,+OFFSET(Tabella!$A$1,MATCH(H1043,Tabella!$A:$A,0)-1,MATCH(J1043,Tabella!$A$1:$AC$1,0)-1)),4)</f>
        <v>0</v>
      </c>
      <c r="L1043" s="445">
        <f ca="1">ROUND(IF(ISERROR(OFFSET(Ottone!$A$1,MATCH(H1043,Ottone!$A:$A,0)-1,MATCH(J1043,Ottone!$A$1:$Z$1,0)-1)=TRUE),0,OFFSET(Ottone!$A$1,MATCH(H1043,Ottone!$A:$A,0)-1,MATCH(J1043,Ottone!$A$1:$Z$1,0)-1))*IF(E1043="Ottone",1,0),4)</f>
        <v>0</v>
      </c>
      <c r="M1043" s="445">
        <f ca="1">ROUND(IF(ISERROR(OFFSET(Rame!$A$1,MATCH(H1043,Rame!$A:$A,0)-1,MATCH(J1043,Rame!$A$1:$AA$1,0)-1)=TRUE),0,OFFSET(Rame!$A$1,MATCH(H1043,Rame!$A:$A,0)-1,MATCH(J1043,Rame!$A$1:$AA$1,0)-1))*IF(E1043="Rame",1,0),4)</f>
        <v>0</v>
      </c>
      <c r="N1043" s="445"/>
      <c r="O1043" s="445">
        <f t="shared" ca="1" si="259"/>
        <v>0</v>
      </c>
      <c r="P1043" s="445">
        <f ca="1">ROUND(+IF(ISERROR(OFFSET(Tabella!$G$1,MATCH(H1043,Tabella!$G:$G,0)-1,MATCH(I1043,Tabella!$G$1:$FG$1,0)-1)=TRUE),0,OFFSET(Tabella!$G$1,MATCH(H1043,Tabella!$G:$G,0)-1,MATCH(I1043,Tabella!$G$1:$AB$1,0)-1)),4)</f>
        <v>0</v>
      </c>
      <c r="Q1043" s="445">
        <f ca="1">ROUND(IF(ISERROR(OFFSET(Ottone!$F$1,MATCH(H1043,Ottone!$A:$A,0)-1,MATCH(I1043,Ottone!$F$1:$FF$1,0)-1)=TRUE),0,OFFSET(Ottone!$F$1,MATCH(H1043,Ottone!$A:$A,0)-1,MATCH(I1043,Ottone!$F$1:$FF$1,0)-1))*IF(E1043="Ottone",1,0),4)</f>
        <v>0</v>
      </c>
      <c r="R1043" s="445">
        <f ca="1">ROUND(IF(ISERROR(OFFSET(Rame!$F$1,MATCH(H1043,Rame!$F:$F,0)-1,MATCH(I1043,Rame!$F$1:$FF$1,0)-1)=TRUE),0,OFFSET(Rame!$F$1,MATCH(H1043,Rame!$F:$F,0)-1,MATCH(I1043,Rame!$F$1:$FF$1,0)-1))*IF(E1043="Rame",1,0),4)</f>
        <v>0</v>
      </c>
      <c r="S1043" s="445">
        <f ca="1">ROUND(IF(ISERROR(OFFSET(Bronzo!$A$1,MATCH(H1043,Bronzo!$A:$A,0)-1,MATCH(I1043,Bronzo!$A$1:$AA$1,0)-1)=TRUE),0,OFFSET(Bronzo!$A$1,MATCH(H1043,Bronzo!$A:$A,0)-1,MATCH(I1043,Bronzo!$A$1:$AA$1,0)-1)),4)</f>
        <v>0</v>
      </c>
      <c r="T1043" s="445">
        <f t="shared" ca="1" si="256"/>
        <v>0</v>
      </c>
      <c r="U1043" s="442"/>
      <c r="V1043" s="445">
        <v>0</v>
      </c>
      <c r="W1043" s="448">
        <f t="shared" ca="1" si="257"/>
        <v>0</v>
      </c>
      <c r="X1043" s="451">
        <f t="shared" si="267"/>
        <v>0</v>
      </c>
      <c r="Y1043" s="439"/>
      <c r="Z1043" s="439">
        <f t="shared" ca="1" si="258"/>
        <v>0</v>
      </c>
      <c r="AA1043" s="404"/>
      <c r="AF1043" s="372">
        <f t="shared" ref="AF1043:AF1074" ca="1" si="268">TODAY()</f>
        <v>46156</v>
      </c>
      <c r="AG1043" s="372" t="b">
        <f t="shared" ref="AG1043:AG1074" si="269">ISBLANK(AA1043)</f>
        <v>1</v>
      </c>
      <c r="AH1043" s="405" t="str">
        <f t="shared" ref="AH1043:AH1074" si="270">IF(AG1043=FALSE,_xlfn.DAYS(AA1043,AF1043),"")</f>
        <v/>
      </c>
      <c r="AK1043">
        <f t="shared" ref="AK1043:AK1074" si="271">WEEKNUM(AA1043)</f>
        <v>0</v>
      </c>
      <c r="AL1043">
        <f t="shared" ref="AL1043:AL1074" si="272">YEAR(AA1043)</f>
        <v>1900</v>
      </c>
      <c r="AS1043">
        <f t="shared" ref="AS1043:AS1074" si="273">IF(AA1043="",0,MONTH(AA1043))</f>
        <v>0</v>
      </c>
      <c r="AT1043">
        <f t="shared" ref="AT1043:AT1074" si="274">IF(AA1043="",0,YEAR(AA1043))</f>
        <v>0</v>
      </c>
    </row>
    <row r="1044" spans="1:46" customFormat="1" ht="15.75" x14ac:dyDescent="0.25">
      <c r="A1044" s="369"/>
      <c r="B1044" s="398"/>
      <c r="C1044" s="399"/>
      <c r="D1044" s="400"/>
      <c r="E1044" s="401"/>
      <c r="F1044" s="434"/>
      <c r="G1044" s="402"/>
      <c r="H1044" s="403"/>
      <c r="I1044" s="403"/>
      <c r="J1044" s="439"/>
      <c r="K1044" s="442">
        <f ca="1">ROUND(IF(ISERROR(OFFSET(Tabella!$A$1,MATCH(H1044,Tabella!$A:$A,0)-1,MATCH(J1044,Tabella!$A$1:$AC$1,0)-1)=TRUE),0,+OFFSET(Tabella!$A$1,MATCH(H1044,Tabella!$A:$A,0)-1,MATCH(J1044,Tabella!$A$1:$AC$1,0)-1)),4)</f>
        <v>0</v>
      </c>
      <c r="L1044" s="445">
        <f ca="1">ROUND(IF(ISERROR(OFFSET(Ottone!$A$1,MATCH(H1044,Ottone!$A:$A,0)-1,MATCH(J1044,Ottone!$A$1:$Z$1,0)-1)=TRUE),0,OFFSET(Ottone!$A$1,MATCH(H1044,Ottone!$A:$A,0)-1,MATCH(J1044,Ottone!$A$1:$Z$1,0)-1))*IF(E1044="Ottone",1,0),4)</f>
        <v>0</v>
      </c>
      <c r="M1044" s="445">
        <f ca="1">ROUND(IF(ISERROR(OFFSET(Rame!$A$1,MATCH(H1044,Rame!$A:$A,0)-1,MATCH(J1044,Rame!$A$1:$AA$1,0)-1)=TRUE),0,OFFSET(Rame!$A$1,MATCH(H1044,Rame!$A:$A,0)-1,MATCH(J1044,Rame!$A$1:$AA$1,0)-1))*IF(E1044="Rame",1,0),4)</f>
        <v>0</v>
      </c>
      <c r="N1044" s="445"/>
      <c r="O1044" s="445">
        <f t="shared" ca="1" si="259"/>
        <v>0</v>
      </c>
      <c r="P1044" s="445">
        <f ca="1">ROUND(+IF(ISERROR(OFFSET(Tabella!$G$1,MATCH(H1044,Tabella!$G:$G,0)-1,MATCH(I1044,Tabella!$G$1:$FG$1,0)-1)=TRUE),0,OFFSET(Tabella!$G$1,MATCH(H1044,Tabella!$G:$G,0)-1,MATCH(I1044,Tabella!$G$1:$AB$1,0)-1)),4)</f>
        <v>0</v>
      </c>
      <c r="Q1044" s="445">
        <f ca="1">ROUND(IF(ISERROR(OFFSET(Ottone!$F$1,MATCH(H1044,Ottone!$A:$A,0)-1,MATCH(I1044,Ottone!$F$1:$FF$1,0)-1)=TRUE),0,OFFSET(Ottone!$F$1,MATCH(H1044,Ottone!$A:$A,0)-1,MATCH(I1044,Ottone!$F$1:$FF$1,0)-1))*IF(E1044="Ottone",1,0),4)</f>
        <v>0</v>
      </c>
      <c r="R1044" s="445">
        <f ca="1">ROUND(IF(ISERROR(OFFSET(Rame!$F$1,MATCH(H1044,Rame!$F:$F,0)-1,MATCH(I1044,Rame!$F$1:$FF$1,0)-1)=TRUE),0,OFFSET(Rame!$F$1,MATCH(H1044,Rame!$F:$F,0)-1,MATCH(I1044,Rame!$F$1:$FF$1,0)-1))*IF(E1044="Rame",1,0),4)</f>
        <v>0</v>
      </c>
      <c r="S1044" s="445">
        <f ca="1">ROUND(IF(ISERROR(OFFSET(Bronzo!$A$1,MATCH(H1044,Bronzo!$A:$A,0)-1,MATCH(I1044,Bronzo!$A$1:$AA$1,0)-1)=TRUE),0,OFFSET(Bronzo!$A$1,MATCH(H1044,Bronzo!$A:$A,0)-1,MATCH(I1044,Bronzo!$A$1:$AA$1,0)-1)),4)</f>
        <v>0</v>
      </c>
      <c r="T1044" s="445">
        <f t="shared" ca="1" si="256"/>
        <v>0</v>
      </c>
      <c r="U1044" s="442"/>
      <c r="V1044" s="445">
        <v>0</v>
      </c>
      <c r="W1044" s="448">
        <f t="shared" ca="1" si="257"/>
        <v>0</v>
      </c>
      <c r="X1044" s="451">
        <f t="shared" si="267"/>
        <v>0</v>
      </c>
      <c r="Y1044" s="439"/>
      <c r="Z1044" s="439">
        <f t="shared" ca="1" si="258"/>
        <v>0</v>
      </c>
      <c r="AA1044" s="404"/>
      <c r="AF1044" s="372">
        <f t="shared" ca="1" si="268"/>
        <v>46156</v>
      </c>
      <c r="AG1044" s="372" t="b">
        <f t="shared" si="269"/>
        <v>1</v>
      </c>
      <c r="AH1044" s="405" t="str">
        <f t="shared" si="270"/>
        <v/>
      </c>
      <c r="AK1044">
        <f t="shared" si="271"/>
        <v>0</v>
      </c>
      <c r="AL1044">
        <f t="shared" si="272"/>
        <v>1900</v>
      </c>
      <c r="AS1044">
        <f t="shared" si="273"/>
        <v>0</v>
      </c>
      <c r="AT1044">
        <f t="shared" si="274"/>
        <v>0</v>
      </c>
    </row>
    <row r="1045" spans="1:46" customFormat="1" ht="15.75" x14ac:dyDescent="0.25">
      <c r="A1045" s="369"/>
      <c r="B1045" s="398"/>
      <c r="C1045" s="399"/>
      <c r="D1045" s="400"/>
      <c r="E1045" s="401"/>
      <c r="F1045" s="434"/>
      <c r="G1045" s="402"/>
      <c r="H1045" s="403"/>
      <c r="I1045" s="403"/>
      <c r="J1045" s="439"/>
      <c r="K1045" s="442">
        <f ca="1">ROUND(IF(ISERROR(OFFSET(Tabella!$A$1,MATCH(H1045,Tabella!$A:$A,0)-1,MATCH(J1045,Tabella!$A$1:$AC$1,0)-1)=TRUE),0,+OFFSET(Tabella!$A$1,MATCH(H1045,Tabella!$A:$A,0)-1,MATCH(J1045,Tabella!$A$1:$AC$1,0)-1)),4)</f>
        <v>0</v>
      </c>
      <c r="L1045" s="445">
        <f ca="1">ROUND(IF(ISERROR(OFFSET(Ottone!$A$1,MATCH(H1045,Ottone!$A:$A,0)-1,MATCH(J1045,Ottone!$A$1:$Z$1,0)-1)=TRUE),0,OFFSET(Ottone!$A$1,MATCH(H1045,Ottone!$A:$A,0)-1,MATCH(J1045,Ottone!$A$1:$Z$1,0)-1))*IF(E1045="Ottone",1,0),4)</f>
        <v>0</v>
      </c>
      <c r="M1045" s="445">
        <f ca="1">ROUND(IF(ISERROR(OFFSET(Rame!$A$1,MATCH(H1045,Rame!$A:$A,0)-1,MATCH(J1045,Rame!$A$1:$AA$1,0)-1)=TRUE),0,OFFSET(Rame!$A$1,MATCH(H1045,Rame!$A:$A,0)-1,MATCH(J1045,Rame!$A$1:$AA$1,0)-1))*IF(E1045="Rame",1,0),4)</f>
        <v>0</v>
      </c>
      <c r="N1045" s="445"/>
      <c r="O1045" s="445">
        <f t="shared" ca="1" si="259"/>
        <v>0</v>
      </c>
      <c r="P1045" s="445">
        <f ca="1">ROUND(+IF(ISERROR(OFFSET(Tabella!$G$1,MATCH(H1045,Tabella!$G:$G,0)-1,MATCH(I1045,Tabella!$G$1:$FG$1,0)-1)=TRUE),0,OFFSET(Tabella!$G$1,MATCH(H1045,Tabella!$G:$G,0)-1,MATCH(I1045,Tabella!$G$1:$AB$1,0)-1)),4)</f>
        <v>0</v>
      </c>
      <c r="Q1045" s="445">
        <f ca="1">ROUND(IF(ISERROR(OFFSET(Ottone!$F$1,MATCH(H1045,Ottone!$A:$A,0)-1,MATCH(I1045,Ottone!$F$1:$FF$1,0)-1)=TRUE),0,OFFSET(Ottone!$F$1,MATCH(H1045,Ottone!$A:$A,0)-1,MATCH(I1045,Ottone!$F$1:$FF$1,0)-1))*IF(E1045="Ottone",1,0),4)</f>
        <v>0</v>
      </c>
      <c r="R1045" s="445">
        <f ca="1">ROUND(IF(ISERROR(OFFSET(Rame!$F$1,MATCH(H1045,Rame!$F:$F,0)-1,MATCH(I1045,Rame!$F$1:$FF$1,0)-1)=TRUE),0,OFFSET(Rame!$F$1,MATCH(H1045,Rame!$F:$F,0)-1,MATCH(I1045,Rame!$F$1:$FF$1,0)-1))*IF(E1045="Rame",1,0),4)</f>
        <v>0</v>
      </c>
      <c r="S1045" s="445">
        <f ca="1">ROUND(IF(ISERROR(OFFSET(Bronzo!$A$1,MATCH(H1045,Bronzo!$A:$A,0)-1,MATCH(I1045,Bronzo!$A$1:$AA$1,0)-1)=TRUE),0,OFFSET(Bronzo!$A$1,MATCH(H1045,Bronzo!$A:$A,0)-1,MATCH(I1045,Bronzo!$A$1:$AA$1,0)-1)),4)</f>
        <v>0</v>
      </c>
      <c r="T1045" s="445">
        <f t="shared" ca="1" si="256"/>
        <v>0</v>
      </c>
      <c r="U1045" s="442"/>
      <c r="V1045" s="445">
        <v>0</v>
      </c>
      <c r="W1045" s="448">
        <f t="shared" ca="1" si="257"/>
        <v>0</v>
      </c>
      <c r="X1045" s="451">
        <f t="shared" si="267"/>
        <v>0</v>
      </c>
      <c r="Y1045" s="439"/>
      <c r="Z1045" s="439">
        <f t="shared" ca="1" si="258"/>
        <v>0</v>
      </c>
      <c r="AA1045" s="404"/>
      <c r="AF1045" s="372">
        <f t="shared" ca="1" si="268"/>
        <v>46156</v>
      </c>
      <c r="AG1045" s="372" t="b">
        <f t="shared" si="269"/>
        <v>1</v>
      </c>
      <c r="AH1045" s="405" t="str">
        <f t="shared" si="270"/>
        <v/>
      </c>
      <c r="AK1045">
        <f t="shared" si="271"/>
        <v>0</v>
      </c>
      <c r="AL1045">
        <f t="shared" si="272"/>
        <v>1900</v>
      </c>
      <c r="AS1045">
        <f t="shared" si="273"/>
        <v>0</v>
      </c>
      <c r="AT1045">
        <f t="shared" si="274"/>
        <v>0</v>
      </c>
    </row>
    <row r="1046" spans="1:46" customFormat="1" ht="15.75" x14ac:dyDescent="0.25">
      <c r="A1046" s="369"/>
      <c r="B1046" s="398"/>
      <c r="C1046" s="399"/>
      <c r="D1046" s="400"/>
      <c r="E1046" s="401"/>
      <c r="F1046" s="434"/>
      <c r="G1046" s="402"/>
      <c r="H1046" s="403"/>
      <c r="I1046" s="403"/>
      <c r="J1046" s="439"/>
      <c r="K1046" s="442">
        <f ca="1">ROUND(IF(ISERROR(OFFSET(Tabella!$A$1,MATCH(H1046,Tabella!$A:$A,0)-1,MATCH(J1046,Tabella!$A$1:$AC$1,0)-1)=TRUE),0,+OFFSET(Tabella!$A$1,MATCH(H1046,Tabella!$A:$A,0)-1,MATCH(J1046,Tabella!$A$1:$AC$1,0)-1)),4)</f>
        <v>0</v>
      </c>
      <c r="L1046" s="445">
        <f ca="1">ROUND(IF(ISERROR(OFFSET(Ottone!$A$1,MATCH(H1046,Ottone!$A:$A,0)-1,MATCH(J1046,Ottone!$A$1:$Z$1,0)-1)=TRUE),0,OFFSET(Ottone!$A$1,MATCH(H1046,Ottone!$A:$A,0)-1,MATCH(J1046,Ottone!$A$1:$Z$1,0)-1))*IF(E1046="Ottone",1,0),4)</f>
        <v>0</v>
      </c>
      <c r="M1046" s="445">
        <f ca="1">ROUND(IF(ISERROR(OFFSET(Rame!$A$1,MATCH(H1046,Rame!$A:$A,0)-1,MATCH(J1046,Rame!$A$1:$AA$1,0)-1)=TRUE),0,OFFSET(Rame!$A$1,MATCH(H1046,Rame!$A:$A,0)-1,MATCH(J1046,Rame!$A$1:$AA$1,0)-1))*IF(E1046="Rame",1,0),4)</f>
        <v>0</v>
      </c>
      <c r="N1046" s="445"/>
      <c r="O1046" s="445">
        <f t="shared" ca="1" si="259"/>
        <v>0</v>
      </c>
      <c r="P1046" s="445">
        <f ca="1">ROUND(+IF(ISERROR(OFFSET(Tabella!$G$1,MATCH(H1046,Tabella!$G:$G,0)-1,MATCH(I1046,Tabella!$G$1:$FG$1,0)-1)=TRUE),0,OFFSET(Tabella!$G$1,MATCH(H1046,Tabella!$G:$G,0)-1,MATCH(I1046,Tabella!$G$1:$AB$1,0)-1)),4)</f>
        <v>0</v>
      </c>
      <c r="Q1046" s="445">
        <f ca="1">ROUND(IF(ISERROR(OFFSET(Ottone!$F$1,MATCH(H1046,Ottone!$A:$A,0)-1,MATCH(I1046,Ottone!$F$1:$FF$1,0)-1)=TRUE),0,OFFSET(Ottone!$F$1,MATCH(H1046,Ottone!$A:$A,0)-1,MATCH(I1046,Ottone!$F$1:$FF$1,0)-1))*IF(E1046="Ottone",1,0),4)</f>
        <v>0</v>
      </c>
      <c r="R1046" s="445">
        <f ca="1">ROUND(IF(ISERROR(OFFSET(Rame!$F$1,MATCH(H1046,Rame!$F:$F,0)-1,MATCH(I1046,Rame!$F$1:$FF$1,0)-1)=TRUE),0,OFFSET(Rame!$F$1,MATCH(H1046,Rame!$F:$F,0)-1,MATCH(I1046,Rame!$F$1:$FF$1,0)-1))*IF(E1046="Rame",1,0),4)</f>
        <v>0</v>
      </c>
      <c r="S1046" s="445">
        <f ca="1">ROUND(IF(ISERROR(OFFSET(Bronzo!$A$1,MATCH(H1046,Bronzo!$A:$A,0)-1,MATCH(I1046,Bronzo!$A$1:$AA$1,0)-1)=TRUE),0,OFFSET(Bronzo!$A$1,MATCH(H1046,Bronzo!$A:$A,0)-1,MATCH(I1046,Bronzo!$A$1:$AA$1,0)-1)),4)</f>
        <v>0</v>
      </c>
      <c r="T1046" s="445">
        <f t="shared" ca="1" si="256"/>
        <v>0</v>
      </c>
      <c r="U1046" s="442"/>
      <c r="V1046" s="445">
        <v>0</v>
      </c>
      <c r="W1046" s="448">
        <f t="shared" ca="1" si="257"/>
        <v>0</v>
      </c>
      <c r="X1046" s="451">
        <f t="shared" si="267"/>
        <v>0</v>
      </c>
      <c r="Y1046" s="439"/>
      <c r="Z1046" s="439">
        <f t="shared" ca="1" si="258"/>
        <v>0</v>
      </c>
      <c r="AA1046" s="404"/>
      <c r="AF1046" s="372">
        <f t="shared" ca="1" si="268"/>
        <v>46156</v>
      </c>
      <c r="AG1046" s="372" t="b">
        <f t="shared" si="269"/>
        <v>1</v>
      </c>
      <c r="AH1046" s="405" t="str">
        <f t="shared" si="270"/>
        <v/>
      </c>
      <c r="AK1046">
        <f t="shared" si="271"/>
        <v>0</v>
      </c>
      <c r="AL1046">
        <f t="shared" si="272"/>
        <v>1900</v>
      </c>
      <c r="AS1046">
        <f t="shared" si="273"/>
        <v>0</v>
      </c>
      <c r="AT1046">
        <f t="shared" si="274"/>
        <v>0</v>
      </c>
    </row>
    <row r="1047" spans="1:46" customFormat="1" ht="15.75" x14ac:dyDescent="0.25">
      <c r="A1047" s="369"/>
      <c r="B1047" s="398"/>
      <c r="C1047" s="399"/>
      <c r="D1047" s="400"/>
      <c r="E1047" s="401"/>
      <c r="F1047" s="434"/>
      <c r="G1047" s="402"/>
      <c r="H1047" s="403"/>
      <c r="I1047" s="403"/>
      <c r="J1047" s="439"/>
      <c r="K1047" s="442">
        <f ca="1">ROUND(IF(ISERROR(OFFSET(Tabella!$A$1,MATCH(H1047,Tabella!$A:$A,0)-1,MATCH(J1047,Tabella!$A$1:$AC$1,0)-1)=TRUE),0,+OFFSET(Tabella!$A$1,MATCH(H1047,Tabella!$A:$A,0)-1,MATCH(J1047,Tabella!$A$1:$AC$1,0)-1)),4)</f>
        <v>0</v>
      </c>
      <c r="L1047" s="445">
        <f ca="1">ROUND(IF(ISERROR(OFFSET(Ottone!$A$1,MATCH(H1047,Ottone!$A:$A,0)-1,MATCH(J1047,Ottone!$A$1:$Z$1,0)-1)=TRUE),0,OFFSET(Ottone!$A$1,MATCH(H1047,Ottone!$A:$A,0)-1,MATCH(J1047,Ottone!$A$1:$Z$1,0)-1))*IF(E1047="Ottone",1,0),4)</f>
        <v>0</v>
      </c>
      <c r="M1047" s="445">
        <f ca="1">ROUND(IF(ISERROR(OFFSET(Rame!$A$1,MATCH(H1047,Rame!$A:$A,0)-1,MATCH(J1047,Rame!$A$1:$AA$1,0)-1)=TRUE),0,OFFSET(Rame!$A$1,MATCH(H1047,Rame!$A:$A,0)-1,MATCH(J1047,Rame!$A$1:$AA$1,0)-1))*IF(E1047="Rame",1,0),4)</f>
        <v>0</v>
      </c>
      <c r="N1047" s="445"/>
      <c r="O1047" s="445">
        <f t="shared" ca="1" si="259"/>
        <v>0</v>
      </c>
      <c r="P1047" s="445">
        <f ca="1">ROUND(+IF(ISERROR(OFFSET(Tabella!$G$1,MATCH(H1047,Tabella!$G:$G,0)-1,MATCH(I1047,Tabella!$G$1:$FG$1,0)-1)=TRUE),0,OFFSET(Tabella!$G$1,MATCH(H1047,Tabella!$G:$G,0)-1,MATCH(I1047,Tabella!$G$1:$AB$1,0)-1)),4)</f>
        <v>0</v>
      </c>
      <c r="Q1047" s="445">
        <f ca="1">ROUND(IF(ISERROR(OFFSET(Ottone!$F$1,MATCH(H1047,Ottone!$A:$A,0)-1,MATCH(I1047,Ottone!$F$1:$FF$1,0)-1)=TRUE),0,OFFSET(Ottone!$F$1,MATCH(H1047,Ottone!$A:$A,0)-1,MATCH(I1047,Ottone!$F$1:$FF$1,0)-1))*IF(E1047="Ottone",1,0),4)</f>
        <v>0</v>
      </c>
      <c r="R1047" s="445">
        <f ca="1">ROUND(IF(ISERROR(OFFSET(Rame!$F$1,MATCH(H1047,Rame!$F:$F,0)-1,MATCH(I1047,Rame!$F$1:$FF$1,0)-1)=TRUE),0,OFFSET(Rame!$F$1,MATCH(H1047,Rame!$F:$F,0)-1,MATCH(I1047,Rame!$F$1:$FF$1,0)-1))*IF(E1047="Rame",1,0),4)</f>
        <v>0</v>
      </c>
      <c r="S1047" s="445">
        <f ca="1">ROUND(IF(ISERROR(OFFSET(Bronzo!$A$1,MATCH(H1047,Bronzo!$A:$A,0)-1,MATCH(I1047,Bronzo!$A$1:$AA$1,0)-1)=TRUE),0,OFFSET(Bronzo!$A$1,MATCH(H1047,Bronzo!$A:$A,0)-1,MATCH(I1047,Bronzo!$A$1:$AA$1,0)-1)),4)</f>
        <v>0</v>
      </c>
      <c r="T1047" s="445">
        <f t="shared" ref="T1047:T1110" ca="1" si="275">ROUND(SUM(P1047:S1047),4)</f>
        <v>0</v>
      </c>
      <c r="U1047" s="442"/>
      <c r="V1047" s="445">
        <v>0</v>
      </c>
      <c r="W1047" s="448">
        <f t="shared" ref="W1047:W1110" ca="1" si="276">ROUND(+O1047+T1047+U1047+V1047,4)</f>
        <v>0</v>
      </c>
      <c r="X1047" s="451">
        <f t="shared" si="267"/>
        <v>0</v>
      </c>
      <c r="Y1047" s="439"/>
      <c r="Z1047" s="439">
        <f t="shared" ref="Z1047:Z1110" ca="1" si="277">ROUND(+Y1047-W1047-F1047,4)</f>
        <v>0</v>
      </c>
      <c r="AA1047" s="404"/>
      <c r="AF1047" s="372">
        <f t="shared" ca="1" si="268"/>
        <v>46156</v>
      </c>
      <c r="AG1047" s="372" t="b">
        <f t="shared" si="269"/>
        <v>1</v>
      </c>
      <c r="AH1047" s="405" t="str">
        <f t="shared" si="270"/>
        <v/>
      </c>
      <c r="AK1047">
        <f t="shared" si="271"/>
        <v>0</v>
      </c>
      <c r="AL1047">
        <f t="shared" si="272"/>
        <v>1900</v>
      </c>
      <c r="AS1047">
        <f t="shared" si="273"/>
        <v>0</v>
      </c>
      <c r="AT1047">
        <f t="shared" si="274"/>
        <v>0</v>
      </c>
    </row>
    <row r="1048" spans="1:46" customFormat="1" ht="15.75" x14ac:dyDescent="0.25">
      <c r="A1048" s="369"/>
      <c r="B1048" s="398"/>
      <c r="C1048" s="399"/>
      <c r="D1048" s="400"/>
      <c r="E1048" s="401"/>
      <c r="F1048" s="434"/>
      <c r="G1048" s="402"/>
      <c r="H1048" s="403"/>
      <c r="I1048" s="403"/>
      <c r="J1048" s="439"/>
      <c r="K1048" s="442">
        <f ca="1">ROUND(IF(ISERROR(OFFSET(Tabella!$A$1,MATCH(H1048,Tabella!$A:$A,0)-1,MATCH(J1048,Tabella!$A$1:$AC$1,0)-1)=TRUE),0,+OFFSET(Tabella!$A$1,MATCH(H1048,Tabella!$A:$A,0)-1,MATCH(J1048,Tabella!$A$1:$AC$1,0)-1)),4)</f>
        <v>0</v>
      </c>
      <c r="L1048" s="445">
        <f ca="1">ROUND(IF(ISERROR(OFFSET(Ottone!$A$1,MATCH(H1048,Ottone!$A:$A,0)-1,MATCH(J1048,Ottone!$A$1:$Z$1,0)-1)=TRUE),0,OFFSET(Ottone!$A$1,MATCH(H1048,Ottone!$A:$A,0)-1,MATCH(J1048,Ottone!$A$1:$Z$1,0)-1))*IF(E1048="Ottone",1,0),4)</f>
        <v>0</v>
      </c>
      <c r="M1048" s="445">
        <f ca="1">ROUND(IF(ISERROR(OFFSET(Rame!$A$1,MATCH(H1048,Rame!$A:$A,0)-1,MATCH(J1048,Rame!$A$1:$AA$1,0)-1)=TRUE),0,OFFSET(Rame!$A$1,MATCH(H1048,Rame!$A:$A,0)-1,MATCH(J1048,Rame!$A$1:$AA$1,0)-1))*IF(E1048="Rame",1,0),4)</f>
        <v>0</v>
      </c>
      <c r="N1048" s="445"/>
      <c r="O1048" s="445">
        <f t="shared" ca="1" si="259"/>
        <v>0</v>
      </c>
      <c r="P1048" s="445">
        <f ca="1">ROUND(+IF(ISERROR(OFFSET(Tabella!$G$1,MATCH(H1048,Tabella!$G:$G,0)-1,MATCH(I1048,Tabella!$G$1:$FG$1,0)-1)=TRUE),0,OFFSET(Tabella!$G$1,MATCH(H1048,Tabella!$G:$G,0)-1,MATCH(I1048,Tabella!$G$1:$AB$1,0)-1)),4)</f>
        <v>0</v>
      </c>
      <c r="Q1048" s="445">
        <f ca="1">ROUND(IF(ISERROR(OFFSET(Ottone!$F$1,MATCH(H1048,Ottone!$A:$A,0)-1,MATCH(I1048,Ottone!$F$1:$FF$1,0)-1)=TRUE),0,OFFSET(Ottone!$F$1,MATCH(H1048,Ottone!$A:$A,0)-1,MATCH(I1048,Ottone!$F$1:$FF$1,0)-1))*IF(E1048="Ottone",1,0),4)</f>
        <v>0</v>
      </c>
      <c r="R1048" s="445">
        <f ca="1">ROUND(IF(ISERROR(OFFSET(Rame!$F$1,MATCH(H1048,Rame!$F:$F,0)-1,MATCH(I1048,Rame!$F$1:$FF$1,0)-1)=TRUE),0,OFFSET(Rame!$F$1,MATCH(H1048,Rame!$F:$F,0)-1,MATCH(I1048,Rame!$F$1:$FF$1,0)-1))*IF(E1048="Rame",1,0),4)</f>
        <v>0</v>
      </c>
      <c r="S1048" s="445">
        <f ca="1">ROUND(IF(ISERROR(OFFSET(Bronzo!$A$1,MATCH(H1048,Bronzo!$A:$A,0)-1,MATCH(I1048,Bronzo!$A$1:$AA$1,0)-1)=TRUE),0,OFFSET(Bronzo!$A$1,MATCH(H1048,Bronzo!$A:$A,0)-1,MATCH(I1048,Bronzo!$A$1:$AA$1,0)-1)),4)</f>
        <v>0</v>
      </c>
      <c r="T1048" s="445">
        <f t="shared" ca="1" si="275"/>
        <v>0</v>
      </c>
      <c r="U1048" s="442"/>
      <c r="V1048" s="445">
        <v>0</v>
      </c>
      <c r="W1048" s="448">
        <f t="shared" ca="1" si="276"/>
        <v>0</v>
      </c>
      <c r="X1048" s="451">
        <f t="shared" si="267"/>
        <v>0</v>
      </c>
      <c r="Y1048" s="439"/>
      <c r="Z1048" s="439">
        <f t="shared" ca="1" si="277"/>
        <v>0</v>
      </c>
      <c r="AA1048" s="404"/>
      <c r="AF1048" s="372">
        <f t="shared" ca="1" si="268"/>
        <v>46156</v>
      </c>
      <c r="AG1048" s="372" t="b">
        <f t="shared" si="269"/>
        <v>1</v>
      </c>
      <c r="AH1048" s="405" t="str">
        <f t="shared" si="270"/>
        <v/>
      </c>
      <c r="AK1048">
        <f t="shared" si="271"/>
        <v>0</v>
      </c>
      <c r="AL1048">
        <f t="shared" si="272"/>
        <v>1900</v>
      </c>
      <c r="AS1048">
        <f t="shared" si="273"/>
        <v>0</v>
      </c>
      <c r="AT1048">
        <f t="shared" si="274"/>
        <v>0</v>
      </c>
    </row>
    <row r="1049" spans="1:46" customFormat="1" ht="15.75" x14ac:dyDescent="0.25">
      <c r="A1049" s="369"/>
      <c r="B1049" s="398"/>
      <c r="C1049" s="399"/>
      <c r="D1049" s="400"/>
      <c r="E1049" s="401"/>
      <c r="F1049" s="434"/>
      <c r="G1049" s="402"/>
      <c r="H1049" s="403"/>
      <c r="I1049" s="403"/>
      <c r="J1049" s="439"/>
      <c r="K1049" s="442">
        <f ca="1">ROUND(IF(ISERROR(OFFSET(Tabella!$A$1,MATCH(H1049,Tabella!$A:$A,0)-1,MATCH(J1049,Tabella!$A$1:$AC$1,0)-1)=TRUE),0,+OFFSET(Tabella!$A$1,MATCH(H1049,Tabella!$A:$A,0)-1,MATCH(J1049,Tabella!$A$1:$AC$1,0)-1)),4)</f>
        <v>0</v>
      </c>
      <c r="L1049" s="445">
        <f ca="1">ROUND(IF(ISERROR(OFFSET(Ottone!$A$1,MATCH(H1049,Ottone!$A:$A,0)-1,MATCH(J1049,Ottone!$A$1:$Z$1,0)-1)=TRUE),0,OFFSET(Ottone!$A$1,MATCH(H1049,Ottone!$A:$A,0)-1,MATCH(J1049,Ottone!$A$1:$Z$1,0)-1))*IF(E1049="Ottone",1,0),4)</f>
        <v>0</v>
      </c>
      <c r="M1049" s="445">
        <f ca="1">ROUND(IF(ISERROR(OFFSET(Rame!$A$1,MATCH(H1049,Rame!$A:$A,0)-1,MATCH(J1049,Rame!$A$1:$AA$1,0)-1)=TRUE),0,OFFSET(Rame!$A$1,MATCH(H1049,Rame!$A:$A,0)-1,MATCH(J1049,Rame!$A$1:$AA$1,0)-1))*IF(E1049="Rame",1,0),4)</f>
        <v>0</v>
      </c>
      <c r="N1049" s="445"/>
      <c r="O1049" s="445">
        <f t="shared" ca="1" si="259"/>
        <v>0</v>
      </c>
      <c r="P1049" s="445">
        <f ca="1">ROUND(+IF(ISERROR(OFFSET(Tabella!$G$1,MATCH(H1049,Tabella!$G:$G,0)-1,MATCH(I1049,Tabella!$G$1:$FG$1,0)-1)=TRUE),0,OFFSET(Tabella!$G$1,MATCH(H1049,Tabella!$G:$G,0)-1,MATCH(I1049,Tabella!$G$1:$AB$1,0)-1)),4)</f>
        <v>0</v>
      </c>
      <c r="Q1049" s="445">
        <f ca="1">ROUND(IF(ISERROR(OFFSET(Ottone!$F$1,MATCH(H1049,Ottone!$A:$A,0)-1,MATCH(I1049,Ottone!$F$1:$FF$1,0)-1)=TRUE),0,OFFSET(Ottone!$F$1,MATCH(H1049,Ottone!$A:$A,0)-1,MATCH(I1049,Ottone!$F$1:$FF$1,0)-1))*IF(E1049="Ottone",1,0),4)</f>
        <v>0</v>
      </c>
      <c r="R1049" s="445">
        <f ca="1">ROUND(IF(ISERROR(OFFSET(Rame!$F$1,MATCH(H1049,Rame!$F:$F,0)-1,MATCH(I1049,Rame!$F$1:$FF$1,0)-1)=TRUE),0,OFFSET(Rame!$F$1,MATCH(H1049,Rame!$F:$F,0)-1,MATCH(I1049,Rame!$F$1:$FF$1,0)-1))*IF(E1049="Rame",1,0),4)</f>
        <v>0</v>
      </c>
      <c r="S1049" s="445">
        <f ca="1">ROUND(IF(ISERROR(OFFSET(Bronzo!$A$1,MATCH(H1049,Bronzo!$A:$A,0)-1,MATCH(I1049,Bronzo!$A$1:$AA$1,0)-1)=TRUE),0,OFFSET(Bronzo!$A$1,MATCH(H1049,Bronzo!$A:$A,0)-1,MATCH(I1049,Bronzo!$A$1:$AA$1,0)-1)),4)</f>
        <v>0</v>
      </c>
      <c r="T1049" s="445">
        <f t="shared" ca="1" si="275"/>
        <v>0</v>
      </c>
      <c r="U1049" s="442"/>
      <c r="V1049" s="445">
        <v>0</v>
      </c>
      <c r="W1049" s="448">
        <f t="shared" ca="1" si="276"/>
        <v>0</v>
      </c>
      <c r="X1049" s="451">
        <f t="shared" si="267"/>
        <v>0</v>
      </c>
      <c r="Y1049" s="439"/>
      <c r="Z1049" s="439">
        <f t="shared" ca="1" si="277"/>
        <v>0</v>
      </c>
      <c r="AA1049" s="404"/>
      <c r="AF1049" s="372">
        <f t="shared" ca="1" si="268"/>
        <v>46156</v>
      </c>
      <c r="AG1049" s="372" t="b">
        <f t="shared" si="269"/>
        <v>1</v>
      </c>
      <c r="AH1049" s="405" t="str">
        <f t="shared" si="270"/>
        <v/>
      </c>
      <c r="AK1049">
        <f t="shared" si="271"/>
        <v>0</v>
      </c>
      <c r="AL1049">
        <f t="shared" si="272"/>
        <v>1900</v>
      </c>
      <c r="AS1049">
        <f t="shared" si="273"/>
        <v>0</v>
      </c>
      <c r="AT1049">
        <f t="shared" si="274"/>
        <v>0</v>
      </c>
    </row>
    <row r="1050" spans="1:46" customFormat="1" ht="15.75" x14ac:dyDescent="0.25">
      <c r="A1050" s="369"/>
      <c r="B1050" s="398"/>
      <c r="C1050" s="399"/>
      <c r="D1050" s="400"/>
      <c r="E1050" s="401"/>
      <c r="F1050" s="434"/>
      <c r="G1050" s="402"/>
      <c r="H1050" s="403"/>
      <c r="I1050" s="403"/>
      <c r="J1050" s="439"/>
      <c r="K1050" s="442">
        <f ca="1">ROUND(IF(ISERROR(OFFSET(Tabella!$A$1,MATCH(H1050,Tabella!$A:$A,0)-1,MATCH(J1050,Tabella!$A$1:$AC$1,0)-1)=TRUE),0,+OFFSET(Tabella!$A$1,MATCH(H1050,Tabella!$A:$A,0)-1,MATCH(J1050,Tabella!$A$1:$AC$1,0)-1)),4)</f>
        <v>0</v>
      </c>
      <c r="L1050" s="445">
        <f ca="1">ROUND(IF(ISERROR(OFFSET(Ottone!$A$1,MATCH(H1050,Ottone!$A:$A,0)-1,MATCH(J1050,Ottone!$A$1:$Z$1,0)-1)=TRUE),0,OFFSET(Ottone!$A$1,MATCH(H1050,Ottone!$A:$A,0)-1,MATCH(J1050,Ottone!$A$1:$Z$1,0)-1))*IF(E1050="Ottone",1,0),4)</f>
        <v>0</v>
      </c>
      <c r="M1050" s="445">
        <f ca="1">ROUND(IF(ISERROR(OFFSET(Rame!$A$1,MATCH(H1050,Rame!$A:$A,0)-1,MATCH(J1050,Rame!$A$1:$AA$1,0)-1)=TRUE),0,OFFSET(Rame!$A$1,MATCH(H1050,Rame!$A:$A,0)-1,MATCH(J1050,Rame!$A$1:$AA$1,0)-1))*IF(E1050="Rame",1,0),4)</f>
        <v>0</v>
      </c>
      <c r="N1050" s="445"/>
      <c r="O1050" s="445">
        <f t="shared" ca="1" si="259"/>
        <v>0</v>
      </c>
      <c r="P1050" s="445">
        <f ca="1">ROUND(+IF(ISERROR(OFFSET(Tabella!$G$1,MATCH(H1050,Tabella!$G:$G,0)-1,MATCH(I1050,Tabella!$G$1:$FG$1,0)-1)=TRUE),0,OFFSET(Tabella!$G$1,MATCH(H1050,Tabella!$G:$G,0)-1,MATCH(I1050,Tabella!$G$1:$AB$1,0)-1)),4)</f>
        <v>0</v>
      </c>
      <c r="Q1050" s="445">
        <f ca="1">ROUND(IF(ISERROR(OFFSET(Ottone!$F$1,MATCH(H1050,Ottone!$A:$A,0)-1,MATCH(I1050,Ottone!$F$1:$FF$1,0)-1)=TRUE),0,OFFSET(Ottone!$F$1,MATCH(H1050,Ottone!$A:$A,0)-1,MATCH(I1050,Ottone!$F$1:$FF$1,0)-1))*IF(E1050="Ottone",1,0),4)</f>
        <v>0</v>
      </c>
      <c r="R1050" s="445">
        <f ca="1">ROUND(IF(ISERROR(OFFSET(Rame!$F$1,MATCH(H1050,Rame!$F:$F,0)-1,MATCH(I1050,Rame!$F$1:$FF$1,0)-1)=TRUE),0,OFFSET(Rame!$F$1,MATCH(H1050,Rame!$F:$F,0)-1,MATCH(I1050,Rame!$F$1:$FF$1,0)-1))*IF(E1050="Rame",1,0),4)</f>
        <v>0</v>
      </c>
      <c r="S1050" s="445">
        <f ca="1">ROUND(IF(ISERROR(OFFSET(Bronzo!$A$1,MATCH(H1050,Bronzo!$A:$A,0)-1,MATCH(I1050,Bronzo!$A$1:$AA$1,0)-1)=TRUE),0,OFFSET(Bronzo!$A$1,MATCH(H1050,Bronzo!$A:$A,0)-1,MATCH(I1050,Bronzo!$A$1:$AA$1,0)-1)),4)</f>
        <v>0</v>
      </c>
      <c r="T1050" s="445">
        <f t="shared" ca="1" si="275"/>
        <v>0</v>
      </c>
      <c r="U1050" s="442"/>
      <c r="V1050" s="445">
        <v>0</v>
      </c>
      <c r="W1050" s="448">
        <f t="shared" ca="1" si="276"/>
        <v>0</v>
      </c>
      <c r="X1050" s="451">
        <f t="shared" si="267"/>
        <v>0</v>
      </c>
      <c r="Y1050" s="439"/>
      <c r="Z1050" s="439">
        <f t="shared" ca="1" si="277"/>
        <v>0</v>
      </c>
      <c r="AA1050" s="404"/>
      <c r="AF1050" s="372">
        <f t="shared" ca="1" si="268"/>
        <v>46156</v>
      </c>
      <c r="AG1050" s="372" t="b">
        <f t="shared" si="269"/>
        <v>1</v>
      </c>
      <c r="AH1050" s="405" t="str">
        <f t="shared" si="270"/>
        <v/>
      </c>
      <c r="AK1050">
        <f t="shared" si="271"/>
        <v>0</v>
      </c>
      <c r="AL1050">
        <f t="shared" si="272"/>
        <v>1900</v>
      </c>
      <c r="AS1050">
        <f t="shared" si="273"/>
        <v>0</v>
      </c>
      <c r="AT1050">
        <f t="shared" si="274"/>
        <v>0</v>
      </c>
    </row>
    <row r="1051" spans="1:46" customFormat="1" ht="15.75" x14ac:dyDescent="0.25">
      <c r="A1051" s="369"/>
      <c r="B1051" s="398"/>
      <c r="C1051" s="399"/>
      <c r="D1051" s="400"/>
      <c r="E1051" s="401"/>
      <c r="F1051" s="434"/>
      <c r="G1051" s="402"/>
      <c r="H1051" s="403"/>
      <c r="I1051" s="403"/>
      <c r="J1051" s="439"/>
      <c r="K1051" s="442">
        <f ca="1">ROUND(IF(ISERROR(OFFSET(Tabella!$A$1,MATCH(H1051,Tabella!$A:$A,0)-1,MATCH(J1051,Tabella!$A$1:$AC$1,0)-1)=TRUE),0,+OFFSET(Tabella!$A$1,MATCH(H1051,Tabella!$A:$A,0)-1,MATCH(J1051,Tabella!$A$1:$AC$1,0)-1)),4)</f>
        <v>0</v>
      </c>
      <c r="L1051" s="445">
        <f ca="1">ROUND(IF(ISERROR(OFFSET(Ottone!$A$1,MATCH(H1051,Ottone!$A:$A,0)-1,MATCH(J1051,Ottone!$A$1:$Z$1,0)-1)=TRUE),0,OFFSET(Ottone!$A$1,MATCH(H1051,Ottone!$A:$A,0)-1,MATCH(J1051,Ottone!$A$1:$Z$1,0)-1))*IF(E1051="Ottone",1,0),4)</f>
        <v>0</v>
      </c>
      <c r="M1051" s="445">
        <f ca="1">ROUND(IF(ISERROR(OFFSET(Rame!$A$1,MATCH(H1051,Rame!$A:$A,0)-1,MATCH(J1051,Rame!$A$1:$AA$1,0)-1)=TRUE),0,OFFSET(Rame!$A$1,MATCH(H1051,Rame!$A:$A,0)-1,MATCH(J1051,Rame!$A$1:$AA$1,0)-1))*IF(E1051="Rame",1,0),4)</f>
        <v>0</v>
      </c>
      <c r="N1051" s="445"/>
      <c r="O1051" s="445">
        <f t="shared" ca="1" si="259"/>
        <v>0</v>
      </c>
      <c r="P1051" s="445">
        <f ca="1">ROUND(+IF(ISERROR(OFFSET(Tabella!$G$1,MATCH(H1051,Tabella!$G:$G,0)-1,MATCH(I1051,Tabella!$G$1:$FG$1,0)-1)=TRUE),0,OFFSET(Tabella!$G$1,MATCH(H1051,Tabella!$G:$G,0)-1,MATCH(I1051,Tabella!$G$1:$AB$1,0)-1)),4)</f>
        <v>0</v>
      </c>
      <c r="Q1051" s="445">
        <f ca="1">ROUND(IF(ISERROR(OFFSET(Ottone!$F$1,MATCH(H1051,Ottone!$A:$A,0)-1,MATCH(I1051,Ottone!$F$1:$FF$1,0)-1)=TRUE),0,OFFSET(Ottone!$F$1,MATCH(H1051,Ottone!$A:$A,0)-1,MATCH(I1051,Ottone!$F$1:$FF$1,0)-1))*IF(E1051="Ottone",1,0),4)</f>
        <v>0</v>
      </c>
      <c r="R1051" s="445">
        <f ca="1">ROUND(IF(ISERROR(OFFSET(Rame!$F$1,MATCH(H1051,Rame!$F:$F,0)-1,MATCH(I1051,Rame!$F$1:$FF$1,0)-1)=TRUE),0,OFFSET(Rame!$F$1,MATCH(H1051,Rame!$F:$F,0)-1,MATCH(I1051,Rame!$F$1:$FF$1,0)-1))*IF(E1051="Rame",1,0),4)</f>
        <v>0</v>
      </c>
      <c r="S1051" s="445">
        <f ca="1">ROUND(IF(ISERROR(OFFSET(Bronzo!$A$1,MATCH(H1051,Bronzo!$A:$A,0)-1,MATCH(I1051,Bronzo!$A$1:$AA$1,0)-1)=TRUE),0,OFFSET(Bronzo!$A$1,MATCH(H1051,Bronzo!$A:$A,0)-1,MATCH(I1051,Bronzo!$A$1:$AA$1,0)-1)),4)</f>
        <v>0</v>
      </c>
      <c r="T1051" s="445">
        <f t="shared" ca="1" si="275"/>
        <v>0</v>
      </c>
      <c r="U1051" s="442"/>
      <c r="V1051" s="445">
        <v>0</v>
      </c>
      <c r="W1051" s="448">
        <f t="shared" ca="1" si="276"/>
        <v>0</v>
      </c>
      <c r="X1051" s="451">
        <f t="shared" si="267"/>
        <v>0</v>
      </c>
      <c r="Y1051" s="439"/>
      <c r="Z1051" s="439">
        <f t="shared" ca="1" si="277"/>
        <v>0</v>
      </c>
      <c r="AA1051" s="404"/>
      <c r="AF1051" s="372">
        <f t="shared" ca="1" si="268"/>
        <v>46156</v>
      </c>
      <c r="AG1051" s="372" t="b">
        <f t="shared" si="269"/>
        <v>1</v>
      </c>
      <c r="AH1051" s="405" t="str">
        <f t="shared" si="270"/>
        <v/>
      </c>
      <c r="AK1051">
        <f t="shared" si="271"/>
        <v>0</v>
      </c>
      <c r="AL1051">
        <f t="shared" si="272"/>
        <v>1900</v>
      </c>
      <c r="AS1051">
        <f t="shared" si="273"/>
        <v>0</v>
      </c>
      <c r="AT1051">
        <f t="shared" si="274"/>
        <v>0</v>
      </c>
    </row>
    <row r="1052" spans="1:46" customFormat="1" ht="15.75" x14ac:dyDescent="0.25">
      <c r="A1052" s="369"/>
      <c r="B1052" s="398"/>
      <c r="C1052" s="399"/>
      <c r="D1052" s="400"/>
      <c r="E1052" s="401"/>
      <c r="F1052" s="434"/>
      <c r="G1052" s="402"/>
      <c r="H1052" s="403"/>
      <c r="I1052" s="403"/>
      <c r="J1052" s="439"/>
      <c r="K1052" s="442">
        <f ca="1">ROUND(IF(ISERROR(OFFSET(Tabella!$A$1,MATCH(H1052,Tabella!$A:$A,0)-1,MATCH(J1052,Tabella!$A$1:$AC$1,0)-1)=TRUE),0,+OFFSET(Tabella!$A$1,MATCH(H1052,Tabella!$A:$A,0)-1,MATCH(J1052,Tabella!$A$1:$AC$1,0)-1)),4)</f>
        <v>0</v>
      </c>
      <c r="L1052" s="445">
        <f ca="1">ROUND(IF(ISERROR(OFFSET(Ottone!$A$1,MATCH(H1052,Ottone!$A:$A,0)-1,MATCH(J1052,Ottone!$A$1:$Z$1,0)-1)=TRUE),0,OFFSET(Ottone!$A$1,MATCH(H1052,Ottone!$A:$A,0)-1,MATCH(J1052,Ottone!$A$1:$Z$1,0)-1))*IF(E1052="Ottone",1,0),4)</f>
        <v>0</v>
      </c>
      <c r="M1052" s="445">
        <f ca="1">ROUND(IF(ISERROR(OFFSET(Rame!$A$1,MATCH(H1052,Rame!$A:$A,0)-1,MATCH(J1052,Rame!$A$1:$AA$1,0)-1)=TRUE),0,OFFSET(Rame!$A$1,MATCH(H1052,Rame!$A:$A,0)-1,MATCH(J1052,Rame!$A$1:$AA$1,0)-1))*IF(E1052="Rame",1,0),4)</f>
        <v>0</v>
      </c>
      <c r="N1052" s="445"/>
      <c r="O1052" s="445">
        <f t="shared" ca="1" si="259"/>
        <v>0</v>
      </c>
      <c r="P1052" s="445">
        <f ca="1">ROUND(+IF(ISERROR(OFFSET(Tabella!$G$1,MATCH(H1052,Tabella!$G:$G,0)-1,MATCH(I1052,Tabella!$G$1:$FG$1,0)-1)=TRUE),0,OFFSET(Tabella!$G$1,MATCH(H1052,Tabella!$G:$G,0)-1,MATCH(I1052,Tabella!$G$1:$AB$1,0)-1)),4)</f>
        <v>0</v>
      </c>
      <c r="Q1052" s="445">
        <f ca="1">ROUND(IF(ISERROR(OFFSET(Ottone!$F$1,MATCH(H1052,Ottone!$A:$A,0)-1,MATCH(I1052,Ottone!$F$1:$FF$1,0)-1)=TRUE),0,OFFSET(Ottone!$F$1,MATCH(H1052,Ottone!$A:$A,0)-1,MATCH(I1052,Ottone!$F$1:$FF$1,0)-1))*IF(E1052="Ottone",1,0),4)</f>
        <v>0</v>
      </c>
      <c r="R1052" s="445">
        <f ca="1">ROUND(IF(ISERROR(OFFSET(Rame!$F$1,MATCH(H1052,Rame!$F:$F,0)-1,MATCH(I1052,Rame!$F$1:$FF$1,0)-1)=TRUE),0,OFFSET(Rame!$F$1,MATCH(H1052,Rame!$F:$F,0)-1,MATCH(I1052,Rame!$F$1:$FF$1,0)-1))*IF(E1052="Rame",1,0),4)</f>
        <v>0</v>
      </c>
      <c r="S1052" s="445">
        <f ca="1">ROUND(IF(ISERROR(OFFSET(Bronzo!$A$1,MATCH(H1052,Bronzo!$A:$A,0)-1,MATCH(I1052,Bronzo!$A$1:$AA$1,0)-1)=TRUE),0,OFFSET(Bronzo!$A$1,MATCH(H1052,Bronzo!$A:$A,0)-1,MATCH(I1052,Bronzo!$A$1:$AA$1,0)-1)),4)</f>
        <v>0</v>
      </c>
      <c r="T1052" s="445">
        <f t="shared" ca="1" si="275"/>
        <v>0</v>
      </c>
      <c r="U1052" s="442"/>
      <c r="V1052" s="445">
        <v>0</v>
      </c>
      <c r="W1052" s="448">
        <f t="shared" ca="1" si="276"/>
        <v>0</v>
      </c>
      <c r="X1052" s="451">
        <f t="shared" si="267"/>
        <v>0</v>
      </c>
      <c r="Y1052" s="439"/>
      <c r="Z1052" s="439">
        <f t="shared" ca="1" si="277"/>
        <v>0</v>
      </c>
      <c r="AA1052" s="404"/>
      <c r="AF1052" s="372">
        <f t="shared" ca="1" si="268"/>
        <v>46156</v>
      </c>
      <c r="AG1052" s="372" t="b">
        <f t="shared" si="269"/>
        <v>1</v>
      </c>
      <c r="AH1052" s="405" t="str">
        <f t="shared" si="270"/>
        <v/>
      </c>
      <c r="AK1052">
        <f t="shared" si="271"/>
        <v>0</v>
      </c>
      <c r="AL1052">
        <f t="shared" si="272"/>
        <v>1900</v>
      </c>
      <c r="AS1052">
        <f t="shared" si="273"/>
        <v>0</v>
      </c>
      <c r="AT1052">
        <f t="shared" si="274"/>
        <v>0</v>
      </c>
    </row>
    <row r="1053" spans="1:46" customFormat="1" ht="15.75" x14ac:dyDescent="0.25">
      <c r="A1053" s="369"/>
      <c r="B1053" s="398"/>
      <c r="C1053" s="399"/>
      <c r="D1053" s="400"/>
      <c r="E1053" s="401"/>
      <c r="F1053" s="434"/>
      <c r="G1053" s="402"/>
      <c r="H1053" s="403"/>
      <c r="I1053" s="403"/>
      <c r="J1053" s="439"/>
      <c r="K1053" s="442">
        <f ca="1">ROUND(IF(ISERROR(OFFSET(Tabella!$A$1,MATCH(H1053,Tabella!$A:$A,0)-1,MATCH(J1053,Tabella!$A$1:$AC$1,0)-1)=TRUE),0,+OFFSET(Tabella!$A$1,MATCH(H1053,Tabella!$A:$A,0)-1,MATCH(J1053,Tabella!$A$1:$AC$1,0)-1)),4)</f>
        <v>0</v>
      </c>
      <c r="L1053" s="445">
        <f ca="1">ROUND(IF(ISERROR(OFFSET(Ottone!$A$1,MATCH(H1053,Ottone!$A:$A,0)-1,MATCH(J1053,Ottone!$A$1:$Z$1,0)-1)=TRUE),0,OFFSET(Ottone!$A$1,MATCH(H1053,Ottone!$A:$A,0)-1,MATCH(J1053,Ottone!$A$1:$Z$1,0)-1))*IF(E1053="Ottone",1,0),4)</f>
        <v>0</v>
      </c>
      <c r="M1053" s="445">
        <f ca="1">ROUND(IF(ISERROR(OFFSET(Rame!$A$1,MATCH(H1053,Rame!$A:$A,0)-1,MATCH(J1053,Rame!$A$1:$AA$1,0)-1)=TRUE),0,OFFSET(Rame!$A$1,MATCH(H1053,Rame!$A:$A,0)-1,MATCH(J1053,Rame!$A$1:$AA$1,0)-1))*IF(E1053="Rame",1,0),4)</f>
        <v>0</v>
      </c>
      <c r="N1053" s="445"/>
      <c r="O1053" s="445">
        <f t="shared" ca="1" si="259"/>
        <v>0</v>
      </c>
      <c r="P1053" s="445">
        <f ca="1">ROUND(+IF(ISERROR(OFFSET(Tabella!$G$1,MATCH(H1053,Tabella!$G:$G,0)-1,MATCH(I1053,Tabella!$G$1:$FG$1,0)-1)=TRUE),0,OFFSET(Tabella!$G$1,MATCH(H1053,Tabella!$G:$G,0)-1,MATCH(I1053,Tabella!$G$1:$AB$1,0)-1)),4)</f>
        <v>0</v>
      </c>
      <c r="Q1053" s="445">
        <f ca="1">ROUND(IF(ISERROR(OFFSET(Ottone!$F$1,MATCH(H1053,Ottone!$A:$A,0)-1,MATCH(I1053,Ottone!$F$1:$FF$1,0)-1)=TRUE),0,OFFSET(Ottone!$F$1,MATCH(H1053,Ottone!$A:$A,0)-1,MATCH(I1053,Ottone!$F$1:$FF$1,0)-1))*IF(E1053="Ottone",1,0),4)</f>
        <v>0</v>
      </c>
      <c r="R1053" s="445">
        <f ca="1">ROUND(IF(ISERROR(OFFSET(Rame!$F$1,MATCH(H1053,Rame!$F:$F,0)-1,MATCH(I1053,Rame!$F$1:$FF$1,0)-1)=TRUE),0,OFFSET(Rame!$F$1,MATCH(H1053,Rame!$F:$F,0)-1,MATCH(I1053,Rame!$F$1:$FF$1,0)-1))*IF(E1053="Rame",1,0),4)</f>
        <v>0</v>
      </c>
      <c r="S1053" s="445">
        <f ca="1">ROUND(IF(ISERROR(OFFSET(Bronzo!$A$1,MATCH(H1053,Bronzo!$A:$A,0)-1,MATCH(I1053,Bronzo!$A$1:$AA$1,0)-1)=TRUE),0,OFFSET(Bronzo!$A$1,MATCH(H1053,Bronzo!$A:$A,0)-1,MATCH(I1053,Bronzo!$A$1:$AA$1,0)-1)),4)</f>
        <v>0</v>
      </c>
      <c r="T1053" s="445">
        <f t="shared" ca="1" si="275"/>
        <v>0</v>
      </c>
      <c r="U1053" s="442"/>
      <c r="V1053" s="445">
        <v>0</v>
      </c>
      <c r="W1053" s="448">
        <f t="shared" ca="1" si="276"/>
        <v>0</v>
      </c>
      <c r="X1053" s="451">
        <f t="shared" si="267"/>
        <v>0</v>
      </c>
      <c r="Y1053" s="439"/>
      <c r="Z1053" s="439">
        <f t="shared" ca="1" si="277"/>
        <v>0</v>
      </c>
      <c r="AA1053" s="404"/>
      <c r="AF1053" s="372">
        <f t="shared" ca="1" si="268"/>
        <v>46156</v>
      </c>
      <c r="AG1053" s="372" t="b">
        <f t="shared" si="269"/>
        <v>1</v>
      </c>
      <c r="AH1053" s="405" t="str">
        <f t="shared" si="270"/>
        <v/>
      </c>
      <c r="AK1053">
        <f t="shared" si="271"/>
        <v>0</v>
      </c>
      <c r="AL1053">
        <f t="shared" si="272"/>
        <v>1900</v>
      </c>
      <c r="AS1053">
        <f t="shared" si="273"/>
        <v>0</v>
      </c>
      <c r="AT1053">
        <f t="shared" si="274"/>
        <v>0</v>
      </c>
    </row>
    <row r="1054" spans="1:46" customFormat="1" ht="15.75" x14ac:dyDescent="0.25">
      <c r="A1054" s="369"/>
      <c r="B1054" s="398"/>
      <c r="C1054" s="399"/>
      <c r="D1054" s="400"/>
      <c r="E1054" s="401"/>
      <c r="F1054" s="434"/>
      <c r="G1054" s="402"/>
      <c r="H1054" s="403"/>
      <c r="I1054" s="403"/>
      <c r="J1054" s="439"/>
      <c r="K1054" s="442">
        <f ca="1">ROUND(IF(ISERROR(OFFSET(Tabella!$A$1,MATCH(H1054,Tabella!$A:$A,0)-1,MATCH(J1054,Tabella!$A$1:$AC$1,0)-1)=TRUE),0,+OFFSET(Tabella!$A$1,MATCH(H1054,Tabella!$A:$A,0)-1,MATCH(J1054,Tabella!$A$1:$AC$1,0)-1)),4)</f>
        <v>0</v>
      </c>
      <c r="L1054" s="445">
        <f ca="1">ROUND(IF(ISERROR(OFFSET(Ottone!$A$1,MATCH(H1054,Ottone!$A:$A,0)-1,MATCH(J1054,Ottone!$A$1:$Z$1,0)-1)=TRUE),0,OFFSET(Ottone!$A$1,MATCH(H1054,Ottone!$A:$A,0)-1,MATCH(J1054,Ottone!$A$1:$Z$1,0)-1))*IF(E1054="Ottone",1,0),4)</f>
        <v>0</v>
      </c>
      <c r="M1054" s="445">
        <f ca="1">ROUND(IF(ISERROR(OFFSET(Rame!$A$1,MATCH(H1054,Rame!$A:$A,0)-1,MATCH(J1054,Rame!$A$1:$AA$1,0)-1)=TRUE),0,OFFSET(Rame!$A$1,MATCH(H1054,Rame!$A:$A,0)-1,MATCH(J1054,Rame!$A$1:$AA$1,0)-1))*IF(E1054="Rame",1,0),4)</f>
        <v>0</v>
      </c>
      <c r="N1054" s="445"/>
      <c r="O1054" s="445">
        <f t="shared" ca="1" si="259"/>
        <v>0</v>
      </c>
      <c r="P1054" s="445">
        <f ca="1">ROUND(+IF(ISERROR(OFFSET(Tabella!$G$1,MATCH(H1054,Tabella!$G:$G,0)-1,MATCH(I1054,Tabella!$G$1:$FG$1,0)-1)=TRUE),0,OFFSET(Tabella!$G$1,MATCH(H1054,Tabella!$G:$G,0)-1,MATCH(I1054,Tabella!$G$1:$AB$1,0)-1)),4)</f>
        <v>0</v>
      </c>
      <c r="Q1054" s="445">
        <f ca="1">ROUND(IF(ISERROR(OFFSET(Ottone!$F$1,MATCH(H1054,Ottone!$A:$A,0)-1,MATCH(I1054,Ottone!$F$1:$FF$1,0)-1)=TRUE),0,OFFSET(Ottone!$F$1,MATCH(H1054,Ottone!$A:$A,0)-1,MATCH(I1054,Ottone!$F$1:$FF$1,0)-1))*IF(E1054="Ottone",1,0),4)</f>
        <v>0</v>
      </c>
      <c r="R1054" s="445">
        <f ca="1">ROUND(IF(ISERROR(OFFSET(Rame!$F$1,MATCH(H1054,Rame!$F:$F,0)-1,MATCH(I1054,Rame!$F$1:$FF$1,0)-1)=TRUE),0,OFFSET(Rame!$F$1,MATCH(H1054,Rame!$F:$F,0)-1,MATCH(I1054,Rame!$F$1:$FF$1,0)-1))*IF(E1054="Rame",1,0),4)</f>
        <v>0</v>
      </c>
      <c r="S1054" s="445">
        <f ca="1">ROUND(IF(ISERROR(OFFSET(Bronzo!$A$1,MATCH(H1054,Bronzo!$A:$A,0)-1,MATCH(I1054,Bronzo!$A$1:$AA$1,0)-1)=TRUE),0,OFFSET(Bronzo!$A$1,MATCH(H1054,Bronzo!$A:$A,0)-1,MATCH(I1054,Bronzo!$A$1:$AA$1,0)-1)),4)</f>
        <v>0</v>
      </c>
      <c r="T1054" s="445">
        <f t="shared" ca="1" si="275"/>
        <v>0</v>
      </c>
      <c r="U1054" s="442"/>
      <c r="V1054" s="445">
        <v>0</v>
      </c>
      <c r="W1054" s="448">
        <f t="shared" ca="1" si="276"/>
        <v>0</v>
      </c>
      <c r="X1054" s="451">
        <f t="shared" si="267"/>
        <v>0</v>
      </c>
      <c r="Y1054" s="439"/>
      <c r="Z1054" s="439">
        <f t="shared" ca="1" si="277"/>
        <v>0</v>
      </c>
      <c r="AA1054" s="404"/>
      <c r="AF1054" s="372">
        <f t="shared" ca="1" si="268"/>
        <v>46156</v>
      </c>
      <c r="AG1054" s="372" t="b">
        <f t="shared" si="269"/>
        <v>1</v>
      </c>
      <c r="AH1054" s="405" t="str">
        <f t="shared" si="270"/>
        <v/>
      </c>
      <c r="AK1054">
        <f t="shared" si="271"/>
        <v>0</v>
      </c>
      <c r="AL1054">
        <f t="shared" si="272"/>
        <v>1900</v>
      </c>
      <c r="AS1054">
        <f t="shared" si="273"/>
        <v>0</v>
      </c>
      <c r="AT1054">
        <f t="shared" si="274"/>
        <v>0</v>
      </c>
    </row>
    <row r="1055" spans="1:46" customFormat="1" ht="15.75" x14ac:dyDescent="0.25">
      <c r="A1055" s="369"/>
      <c r="B1055" s="398"/>
      <c r="C1055" s="399"/>
      <c r="D1055" s="400"/>
      <c r="E1055" s="401"/>
      <c r="F1055" s="434"/>
      <c r="G1055" s="402"/>
      <c r="H1055" s="403"/>
      <c r="I1055" s="403"/>
      <c r="J1055" s="439"/>
      <c r="K1055" s="442">
        <f ca="1">ROUND(IF(ISERROR(OFFSET(Tabella!$A$1,MATCH(H1055,Tabella!$A:$A,0)-1,MATCH(J1055,Tabella!$A$1:$AC$1,0)-1)=TRUE),0,+OFFSET(Tabella!$A$1,MATCH(H1055,Tabella!$A:$A,0)-1,MATCH(J1055,Tabella!$A$1:$AC$1,0)-1)),4)</f>
        <v>0</v>
      </c>
      <c r="L1055" s="445">
        <f ca="1">ROUND(IF(ISERROR(OFFSET(Ottone!$A$1,MATCH(H1055,Ottone!$A:$A,0)-1,MATCH(J1055,Ottone!$A$1:$Z$1,0)-1)=TRUE),0,OFFSET(Ottone!$A$1,MATCH(H1055,Ottone!$A:$A,0)-1,MATCH(J1055,Ottone!$A$1:$Z$1,0)-1))*IF(E1055="Ottone",1,0),4)</f>
        <v>0</v>
      </c>
      <c r="M1055" s="445">
        <f ca="1">ROUND(IF(ISERROR(OFFSET(Rame!$A$1,MATCH(H1055,Rame!$A:$A,0)-1,MATCH(J1055,Rame!$A$1:$AA$1,0)-1)=TRUE),0,OFFSET(Rame!$A$1,MATCH(H1055,Rame!$A:$A,0)-1,MATCH(J1055,Rame!$A$1:$AA$1,0)-1))*IF(E1055="Rame",1,0),4)</f>
        <v>0</v>
      </c>
      <c r="N1055" s="445"/>
      <c r="O1055" s="445">
        <f t="shared" ca="1" si="259"/>
        <v>0</v>
      </c>
      <c r="P1055" s="445">
        <f ca="1">ROUND(+IF(ISERROR(OFFSET(Tabella!$G$1,MATCH(H1055,Tabella!$G:$G,0)-1,MATCH(I1055,Tabella!$G$1:$FG$1,0)-1)=TRUE),0,OFFSET(Tabella!$G$1,MATCH(H1055,Tabella!$G:$G,0)-1,MATCH(I1055,Tabella!$G$1:$AB$1,0)-1)),4)</f>
        <v>0</v>
      </c>
      <c r="Q1055" s="445">
        <f ca="1">ROUND(IF(ISERROR(OFFSET(Ottone!$F$1,MATCH(H1055,Ottone!$A:$A,0)-1,MATCH(I1055,Ottone!$F$1:$FF$1,0)-1)=TRUE),0,OFFSET(Ottone!$F$1,MATCH(H1055,Ottone!$A:$A,0)-1,MATCH(I1055,Ottone!$F$1:$FF$1,0)-1))*IF(E1055="Ottone",1,0),4)</f>
        <v>0</v>
      </c>
      <c r="R1055" s="445">
        <f ca="1">ROUND(IF(ISERROR(OFFSET(Rame!$F$1,MATCH(H1055,Rame!$F:$F,0)-1,MATCH(I1055,Rame!$F$1:$FF$1,0)-1)=TRUE),0,OFFSET(Rame!$F$1,MATCH(H1055,Rame!$F:$F,0)-1,MATCH(I1055,Rame!$F$1:$FF$1,0)-1))*IF(E1055="Rame",1,0),4)</f>
        <v>0</v>
      </c>
      <c r="S1055" s="445">
        <f ca="1">ROUND(IF(ISERROR(OFFSET(Bronzo!$A$1,MATCH(H1055,Bronzo!$A:$A,0)-1,MATCH(I1055,Bronzo!$A$1:$AA$1,0)-1)=TRUE),0,OFFSET(Bronzo!$A$1,MATCH(H1055,Bronzo!$A:$A,0)-1,MATCH(I1055,Bronzo!$A$1:$AA$1,0)-1)),4)</f>
        <v>0</v>
      </c>
      <c r="T1055" s="445">
        <f t="shared" ca="1" si="275"/>
        <v>0</v>
      </c>
      <c r="U1055" s="442"/>
      <c r="V1055" s="445">
        <v>0</v>
      </c>
      <c r="W1055" s="448">
        <f t="shared" ca="1" si="276"/>
        <v>0</v>
      </c>
      <c r="X1055" s="451">
        <f t="shared" si="267"/>
        <v>0</v>
      </c>
      <c r="Y1055" s="439"/>
      <c r="Z1055" s="439">
        <f t="shared" ca="1" si="277"/>
        <v>0</v>
      </c>
      <c r="AA1055" s="404"/>
      <c r="AF1055" s="372">
        <f t="shared" ca="1" si="268"/>
        <v>46156</v>
      </c>
      <c r="AG1055" s="372" t="b">
        <f t="shared" si="269"/>
        <v>1</v>
      </c>
      <c r="AH1055" s="405" t="str">
        <f t="shared" si="270"/>
        <v/>
      </c>
      <c r="AK1055">
        <f t="shared" si="271"/>
        <v>0</v>
      </c>
      <c r="AL1055">
        <f t="shared" si="272"/>
        <v>1900</v>
      </c>
      <c r="AS1055">
        <f t="shared" si="273"/>
        <v>0</v>
      </c>
      <c r="AT1055">
        <f t="shared" si="274"/>
        <v>0</v>
      </c>
    </row>
    <row r="1056" spans="1:46" customFormat="1" ht="15.75" x14ac:dyDescent="0.25">
      <c r="A1056" s="369"/>
      <c r="B1056" s="398"/>
      <c r="C1056" s="399"/>
      <c r="D1056" s="400"/>
      <c r="E1056" s="401"/>
      <c r="F1056" s="434"/>
      <c r="G1056" s="402"/>
      <c r="H1056" s="403"/>
      <c r="I1056" s="403"/>
      <c r="J1056" s="439"/>
      <c r="K1056" s="442">
        <f ca="1">ROUND(IF(ISERROR(OFFSET(Tabella!$A$1,MATCH(H1056,Tabella!$A:$A,0)-1,MATCH(J1056,Tabella!$A$1:$AC$1,0)-1)=TRUE),0,+OFFSET(Tabella!$A$1,MATCH(H1056,Tabella!$A:$A,0)-1,MATCH(J1056,Tabella!$A$1:$AC$1,0)-1)),4)</f>
        <v>0</v>
      </c>
      <c r="L1056" s="445">
        <f ca="1">ROUND(IF(ISERROR(OFFSET(Ottone!$A$1,MATCH(H1056,Ottone!$A:$A,0)-1,MATCH(J1056,Ottone!$A$1:$Z$1,0)-1)=TRUE),0,OFFSET(Ottone!$A$1,MATCH(H1056,Ottone!$A:$A,0)-1,MATCH(J1056,Ottone!$A$1:$Z$1,0)-1))*IF(E1056="Ottone",1,0),4)</f>
        <v>0</v>
      </c>
      <c r="M1056" s="445">
        <f ca="1">ROUND(IF(ISERROR(OFFSET(Rame!$A$1,MATCH(H1056,Rame!$A:$A,0)-1,MATCH(J1056,Rame!$A$1:$AA$1,0)-1)=TRUE),0,OFFSET(Rame!$A$1,MATCH(H1056,Rame!$A:$A,0)-1,MATCH(J1056,Rame!$A$1:$AA$1,0)-1))*IF(E1056="Rame",1,0),4)</f>
        <v>0</v>
      </c>
      <c r="N1056" s="445"/>
      <c r="O1056" s="445">
        <f t="shared" ca="1" si="259"/>
        <v>0</v>
      </c>
      <c r="P1056" s="445">
        <f ca="1">ROUND(+IF(ISERROR(OFFSET(Tabella!$G$1,MATCH(H1056,Tabella!$G:$G,0)-1,MATCH(I1056,Tabella!$G$1:$FG$1,0)-1)=TRUE),0,OFFSET(Tabella!$G$1,MATCH(H1056,Tabella!$G:$G,0)-1,MATCH(I1056,Tabella!$G$1:$AB$1,0)-1)),4)</f>
        <v>0</v>
      </c>
      <c r="Q1056" s="445">
        <f ca="1">ROUND(IF(ISERROR(OFFSET(Ottone!$F$1,MATCH(H1056,Ottone!$A:$A,0)-1,MATCH(I1056,Ottone!$F$1:$FF$1,0)-1)=TRUE),0,OFFSET(Ottone!$F$1,MATCH(H1056,Ottone!$A:$A,0)-1,MATCH(I1056,Ottone!$F$1:$FF$1,0)-1))*IF(E1056="Ottone",1,0),4)</f>
        <v>0</v>
      </c>
      <c r="R1056" s="445">
        <f ca="1">ROUND(IF(ISERROR(OFFSET(Rame!$F$1,MATCH(H1056,Rame!$F:$F,0)-1,MATCH(I1056,Rame!$F$1:$FF$1,0)-1)=TRUE),0,OFFSET(Rame!$F$1,MATCH(H1056,Rame!$F:$F,0)-1,MATCH(I1056,Rame!$F$1:$FF$1,0)-1))*IF(E1056="Rame",1,0),4)</f>
        <v>0</v>
      </c>
      <c r="S1056" s="445">
        <f ca="1">ROUND(IF(ISERROR(OFFSET(Bronzo!$A$1,MATCH(H1056,Bronzo!$A:$A,0)-1,MATCH(I1056,Bronzo!$A$1:$AA$1,0)-1)=TRUE),0,OFFSET(Bronzo!$A$1,MATCH(H1056,Bronzo!$A:$A,0)-1,MATCH(I1056,Bronzo!$A$1:$AA$1,0)-1)),4)</f>
        <v>0</v>
      </c>
      <c r="T1056" s="445">
        <f t="shared" ca="1" si="275"/>
        <v>0</v>
      </c>
      <c r="U1056" s="442"/>
      <c r="V1056" s="445">
        <v>0</v>
      </c>
      <c r="W1056" s="448">
        <f t="shared" ca="1" si="276"/>
        <v>0</v>
      </c>
      <c r="X1056" s="451">
        <f t="shared" si="267"/>
        <v>0</v>
      </c>
      <c r="Y1056" s="439"/>
      <c r="Z1056" s="439">
        <f t="shared" ca="1" si="277"/>
        <v>0</v>
      </c>
      <c r="AA1056" s="404"/>
      <c r="AF1056" s="372">
        <f t="shared" ca="1" si="268"/>
        <v>46156</v>
      </c>
      <c r="AG1056" s="372" t="b">
        <f t="shared" si="269"/>
        <v>1</v>
      </c>
      <c r="AH1056" s="405" t="str">
        <f t="shared" si="270"/>
        <v/>
      </c>
      <c r="AK1056">
        <f t="shared" si="271"/>
        <v>0</v>
      </c>
      <c r="AL1056">
        <f t="shared" si="272"/>
        <v>1900</v>
      </c>
      <c r="AS1056">
        <f t="shared" si="273"/>
        <v>0</v>
      </c>
      <c r="AT1056">
        <f t="shared" si="274"/>
        <v>0</v>
      </c>
    </row>
    <row r="1057" spans="1:46" customFormat="1" ht="15.75" x14ac:dyDescent="0.25">
      <c r="A1057" s="369"/>
      <c r="B1057" s="398"/>
      <c r="C1057" s="399"/>
      <c r="D1057" s="400"/>
      <c r="E1057" s="401"/>
      <c r="F1057" s="434"/>
      <c r="G1057" s="402"/>
      <c r="H1057" s="403"/>
      <c r="I1057" s="403"/>
      <c r="J1057" s="439"/>
      <c r="K1057" s="442">
        <f ca="1">ROUND(IF(ISERROR(OFFSET(Tabella!$A$1,MATCH(H1057,Tabella!$A:$A,0)-1,MATCH(J1057,Tabella!$A$1:$AC$1,0)-1)=TRUE),0,+OFFSET(Tabella!$A$1,MATCH(H1057,Tabella!$A:$A,0)-1,MATCH(J1057,Tabella!$A$1:$AC$1,0)-1)),4)</f>
        <v>0</v>
      </c>
      <c r="L1057" s="445">
        <f ca="1">ROUND(IF(ISERROR(OFFSET(Ottone!$A$1,MATCH(H1057,Ottone!$A:$A,0)-1,MATCH(J1057,Ottone!$A$1:$Z$1,0)-1)=TRUE),0,OFFSET(Ottone!$A$1,MATCH(H1057,Ottone!$A:$A,0)-1,MATCH(J1057,Ottone!$A$1:$Z$1,0)-1))*IF(E1057="Ottone",1,0),4)</f>
        <v>0</v>
      </c>
      <c r="M1057" s="445">
        <f ca="1">ROUND(IF(ISERROR(OFFSET(Rame!$A$1,MATCH(H1057,Rame!$A:$A,0)-1,MATCH(J1057,Rame!$A$1:$AA$1,0)-1)=TRUE),0,OFFSET(Rame!$A$1,MATCH(H1057,Rame!$A:$A,0)-1,MATCH(J1057,Rame!$A$1:$AA$1,0)-1))*IF(E1057="Rame",1,0),4)</f>
        <v>0</v>
      </c>
      <c r="N1057" s="445"/>
      <c r="O1057" s="445">
        <f t="shared" ca="1" si="259"/>
        <v>0</v>
      </c>
      <c r="P1057" s="445">
        <f ca="1">ROUND(+IF(ISERROR(OFFSET(Tabella!$G$1,MATCH(H1057,Tabella!$G:$G,0)-1,MATCH(I1057,Tabella!$G$1:$FG$1,0)-1)=TRUE),0,OFFSET(Tabella!$G$1,MATCH(H1057,Tabella!$G:$G,0)-1,MATCH(I1057,Tabella!$G$1:$AB$1,0)-1)),4)</f>
        <v>0</v>
      </c>
      <c r="Q1057" s="445">
        <f ca="1">ROUND(IF(ISERROR(OFFSET(Ottone!$F$1,MATCH(H1057,Ottone!$A:$A,0)-1,MATCH(I1057,Ottone!$F$1:$FF$1,0)-1)=TRUE),0,OFFSET(Ottone!$F$1,MATCH(H1057,Ottone!$A:$A,0)-1,MATCH(I1057,Ottone!$F$1:$FF$1,0)-1))*IF(E1057="Ottone",1,0),4)</f>
        <v>0</v>
      </c>
      <c r="R1057" s="445">
        <f ca="1">ROUND(IF(ISERROR(OFFSET(Rame!$F$1,MATCH(H1057,Rame!$F:$F,0)-1,MATCH(I1057,Rame!$F$1:$FF$1,0)-1)=TRUE),0,OFFSET(Rame!$F$1,MATCH(H1057,Rame!$F:$F,0)-1,MATCH(I1057,Rame!$F$1:$FF$1,0)-1))*IF(E1057="Rame",1,0),4)</f>
        <v>0</v>
      </c>
      <c r="S1057" s="445">
        <f ca="1">ROUND(IF(ISERROR(OFFSET(Bronzo!$A$1,MATCH(H1057,Bronzo!$A:$A,0)-1,MATCH(I1057,Bronzo!$A$1:$AA$1,0)-1)=TRUE),0,OFFSET(Bronzo!$A$1,MATCH(H1057,Bronzo!$A:$A,0)-1,MATCH(I1057,Bronzo!$A$1:$AA$1,0)-1)),4)</f>
        <v>0</v>
      </c>
      <c r="T1057" s="445">
        <f t="shared" ca="1" si="275"/>
        <v>0</v>
      </c>
      <c r="U1057" s="442"/>
      <c r="V1057" s="445">
        <v>0</v>
      </c>
      <c r="W1057" s="448">
        <f t="shared" ca="1" si="276"/>
        <v>0</v>
      </c>
      <c r="X1057" s="451">
        <f t="shared" si="267"/>
        <v>0</v>
      </c>
      <c r="Y1057" s="439"/>
      <c r="Z1057" s="439">
        <f t="shared" ca="1" si="277"/>
        <v>0</v>
      </c>
      <c r="AA1057" s="404"/>
      <c r="AF1057" s="372">
        <f t="shared" ca="1" si="268"/>
        <v>46156</v>
      </c>
      <c r="AG1057" s="372" t="b">
        <f t="shared" si="269"/>
        <v>1</v>
      </c>
      <c r="AH1057" s="405" t="str">
        <f t="shared" si="270"/>
        <v/>
      </c>
      <c r="AK1057">
        <f t="shared" si="271"/>
        <v>0</v>
      </c>
      <c r="AL1057">
        <f t="shared" si="272"/>
        <v>1900</v>
      </c>
      <c r="AS1057">
        <f t="shared" si="273"/>
        <v>0</v>
      </c>
      <c r="AT1057">
        <f t="shared" si="274"/>
        <v>0</v>
      </c>
    </row>
    <row r="1058" spans="1:46" customFormat="1" ht="15.75" x14ac:dyDescent="0.25">
      <c r="A1058" s="369"/>
      <c r="B1058" s="398"/>
      <c r="C1058" s="399"/>
      <c r="D1058" s="400"/>
      <c r="E1058" s="401"/>
      <c r="F1058" s="434"/>
      <c r="G1058" s="402"/>
      <c r="H1058" s="403"/>
      <c r="I1058" s="403"/>
      <c r="J1058" s="439"/>
      <c r="K1058" s="442">
        <f ca="1">ROUND(IF(ISERROR(OFFSET(Tabella!$A$1,MATCH(H1058,Tabella!$A:$A,0)-1,MATCH(J1058,Tabella!$A$1:$AC$1,0)-1)=TRUE),0,+OFFSET(Tabella!$A$1,MATCH(H1058,Tabella!$A:$A,0)-1,MATCH(J1058,Tabella!$A$1:$AC$1,0)-1)),4)</f>
        <v>0</v>
      </c>
      <c r="L1058" s="445">
        <f ca="1">ROUND(IF(ISERROR(OFFSET(Ottone!$A$1,MATCH(H1058,Ottone!$A:$A,0)-1,MATCH(J1058,Ottone!$A$1:$Z$1,0)-1)=TRUE),0,OFFSET(Ottone!$A$1,MATCH(H1058,Ottone!$A:$A,0)-1,MATCH(J1058,Ottone!$A$1:$Z$1,0)-1))*IF(E1058="Ottone",1,0),4)</f>
        <v>0</v>
      </c>
      <c r="M1058" s="445">
        <f ca="1">ROUND(IF(ISERROR(OFFSET(Rame!$A$1,MATCH(H1058,Rame!$A:$A,0)-1,MATCH(J1058,Rame!$A$1:$AA$1,0)-1)=TRUE),0,OFFSET(Rame!$A$1,MATCH(H1058,Rame!$A:$A,0)-1,MATCH(J1058,Rame!$A$1:$AA$1,0)-1))*IF(E1058="Rame",1,0),4)</f>
        <v>0</v>
      </c>
      <c r="N1058" s="445"/>
      <c r="O1058" s="445">
        <f t="shared" ca="1" si="259"/>
        <v>0</v>
      </c>
      <c r="P1058" s="445">
        <f ca="1">ROUND(+IF(ISERROR(OFFSET(Tabella!$G$1,MATCH(H1058,Tabella!$G:$G,0)-1,MATCH(I1058,Tabella!$G$1:$FG$1,0)-1)=TRUE),0,OFFSET(Tabella!$G$1,MATCH(H1058,Tabella!$G:$G,0)-1,MATCH(I1058,Tabella!$G$1:$AB$1,0)-1)),4)</f>
        <v>0</v>
      </c>
      <c r="Q1058" s="445">
        <f ca="1">ROUND(IF(ISERROR(OFFSET(Ottone!$F$1,MATCH(H1058,Ottone!$A:$A,0)-1,MATCH(I1058,Ottone!$F$1:$FF$1,0)-1)=TRUE),0,OFFSET(Ottone!$F$1,MATCH(H1058,Ottone!$A:$A,0)-1,MATCH(I1058,Ottone!$F$1:$FF$1,0)-1))*IF(E1058="Ottone",1,0),4)</f>
        <v>0</v>
      </c>
      <c r="R1058" s="445">
        <f ca="1">ROUND(IF(ISERROR(OFFSET(Rame!$F$1,MATCH(H1058,Rame!$F:$F,0)-1,MATCH(I1058,Rame!$F$1:$FF$1,0)-1)=TRUE),0,OFFSET(Rame!$F$1,MATCH(H1058,Rame!$F:$F,0)-1,MATCH(I1058,Rame!$F$1:$FF$1,0)-1))*IF(E1058="Rame",1,0),4)</f>
        <v>0</v>
      </c>
      <c r="S1058" s="445">
        <f ca="1">ROUND(IF(ISERROR(OFFSET(Bronzo!$A$1,MATCH(H1058,Bronzo!$A:$A,0)-1,MATCH(I1058,Bronzo!$A$1:$AA$1,0)-1)=TRUE),0,OFFSET(Bronzo!$A$1,MATCH(H1058,Bronzo!$A:$A,0)-1,MATCH(I1058,Bronzo!$A$1:$AA$1,0)-1)),4)</f>
        <v>0</v>
      </c>
      <c r="T1058" s="445">
        <f t="shared" ca="1" si="275"/>
        <v>0</v>
      </c>
      <c r="U1058" s="442"/>
      <c r="V1058" s="445">
        <v>0</v>
      </c>
      <c r="W1058" s="448">
        <f t="shared" ca="1" si="276"/>
        <v>0</v>
      </c>
      <c r="X1058" s="451">
        <f t="shared" si="267"/>
        <v>0</v>
      </c>
      <c r="Y1058" s="439"/>
      <c r="Z1058" s="439">
        <f t="shared" ca="1" si="277"/>
        <v>0</v>
      </c>
      <c r="AA1058" s="404"/>
      <c r="AF1058" s="372">
        <f t="shared" ca="1" si="268"/>
        <v>46156</v>
      </c>
      <c r="AG1058" s="372" t="b">
        <f t="shared" si="269"/>
        <v>1</v>
      </c>
      <c r="AH1058" s="405" t="str">
        <f t="shared" si="270"/>
        <v/>
      </c>
      <c r="AK1058">
        <f t="shared" si="271"/>
        <v>0</v>
      </c>
      <c r="AL1058">
        <f t="shared" si="272"/>
        <v>1900</v>
      </c>
      <c r="AS1058">
        <f t="shared" si="273"/>
        <v>0</v>
      </c>
      <c r="AT1058">
        <f t="shared" si="274"/>
        <v>0</v>
      </c>
    </row>
    <row r="1059" spans="1:46" customFormat="1" ht="15.75" x14ac:dyDescent="0.25">
      <c r="A1059" s="369"/>
      <c r="B1059" s="398"/>
      <c r="C1059" s="399"/>
      <c r="D1059" s="400"/>
      <c r="E1059" s="401"/>
      <c r="F1059" s="434"/>
      <c r="G1059" s="402"/>
      <c r="H1059" s="403"/>
      <c r="I1059" s="403"/>
      <c r="J1059" s="439"/>
      <c r="K1059" s="442">
        <f ca="1">ROUND(IF(ISERROR(OFFSET(Tabella!$A$1,MATCH(H1059,Tabella!$A:$A,0)-1,MATCH(J1059,Tabella!$A$1:$AC$1,0)-1)=TRUE),0,+OFFSET(Tabella!$A$1,MATCH(H1059,Tabella!$A:$A,0)-1,MATCH(J1059,Tabella!$A$1:$AC$1,0)-1)),4)</f>
        <v>0</v>
      </c>
      <c r="L1059" s="445">
        <f ca="1">ROUND(IF(ISERROR(OFFSET(Ottone!$A$1,MATCH(H1059,Ottone!$A:$A,0)-1,MATCH(J1059,Ottone!$A$1:$Z$1,0)-1)=TRUE),0,OFFSET(Ottone!$A$1,MATCH(H1059,Ottone!$A:$A,0)-1,MATCH(J1059,Ottone!$A$1:$Z$1,0)-1))*IF(E1059="Ottone",1,0),4)</f>
        <v>0</v>
      </c>
      <c r="M1059" s="445">
        <f ca="1">ROUND(IF(ISERROR(OFFSET(Rame!$A$1,MATCH(H1059,Rame!$A:$A,0)-1,MATCH(J1059,Rame!$A$1:$AA$1,0)-1)=TRUE),0,OFFSET(Rame!$A$1,MATCH(H1059,Rame!$A:$A,0)-1,MATCH(J1059,Rame!$A$1:$AA$1,0)-1))*IF(E1059="Rame",1,0),4)</f>
        <v>0</v>
      </c>
      <c r="N1059" s="445"/>
      <c r="O1059" s="445">
        <f t="shared" ca="1" si="259"/>
        <v>0</v>
      </c>
      <c r="P1059" s="445">
        <f ca="1">ROUND(+IF(ISERROR(OFFSET(Tabella!$G$1,MATCH(H1059,Tabella!$G:$G,0)-1,MATCH(I1059,Tabella!$G$1:$FG$1,0)-1)=TRUE),0,OFFSET(Tabella!$G$1,MATCH(H1059,Tabella!$G:$G,0)-1,MATCH(I1059,Tabella!$G$1:$AB$1,0)-1)),4)</f>
        <v>0</v>
      </c>
      <c r="Q1059" s="445">
        <f ca="1">ROUND(IF(ISERROR(OFFSET(Ottone!$F$1,MATCH(H1059,Ottone!$A:$A,0)-1,MATCH(I1059,Ottone!$F$1:$FF$1,0)-1)=TRUE),0,OFFSET(Ottone!$F$1,MATCH(H1059,Ottone!$A:$A,0)-1,MATCH(I1059,Ottone!$F$1:$FF$1,0)-1))*IF(E1059="Ottone",1,0),4)</f>
        <v>0</v>
      </c>
      <c r="R1059" s="445">
        <f ca="1">ROUND(IF(ISERROR(OFFSET(Rame!$F$1,MATCH(H1059,Rame!$F:$F,0)-1,MATCH(I1059,Rame!$F$1:$FF$1,0)-1)=TRUE),0,OFFSET(Rame!$F$1,MATCH(H1059,Rame!$F:$F,0)-1,MATCH(I1059,Rame!$F$1:$FF$1,0)-1))*IF(E1059="Rame",1,0),4)</f>
        <v>0</v>
      </c>
      <c r="S1059" s="445">
        <f ca="1">ROUND(IF(ISERROR(OFFSET(Bronzo!$A$1,MATCH(H1059,Bronzo!$A:$A,0)-1,MATCH(I1059,Bronzo!$A$1:$AA$1,0)-1)=TRUE),0,OFFSET(Bronzo!$A$1,MATCH(H1059,Bronzo!$A:$A,0)-1,MATCH(I1059,Bronzo!$A$1:$AA$1,0)-1)),4)</f>
        <v>0</v>
      </c>
      <c r="T1059" s="445">
        <f t="shared" ca="1" si="275"/>
        <v>0</v>
      </c>
      <c r="U1059" s="442"/>
      <c r="V1059" s="445">
        <v>0</v>
      </c>
      <c r="W1059" s="448">
        <f t="shared" ca="1" si="276"/>
        <v>0</v>
      </c>
      <c r="X1059" s="451">
        <f t="shared" si="267"/>
        <v>0</v>
      </c>
      <c r="Y1059" s="439"/>
      <c r="Z1059" s="439">
        <f t="shared" ca="1" si="277"/>
        <v>0</v>
      </c>
      <c r="AA1059" s="404"/>
      <c r="AF1059" s="372">
        <f t="shared" ca="1" si="268"/>
        <v>46156</v>
      </c>
      <c r="AG1059" s="372" t="b">
        <f t="shared" si="269"/>
        <v>1</v>
      </c>
      <c r="AH1059" s="405" t="str">
        <f t="shared" si="270"/>
        <v/>
      </c>
      <c r="AK1059">
        <f t="shared" si="271"/>
        <v>0</v>
      </c>
      <c r="AL1059">
        <f t="shared" si="272"/>
        <v>1900</v>
      </c>
      <c r="AS1059">
        <f t="shared" si="273"/>
        <v>0</v>
      </c>
      <c r="AT1059">
        <f t="shared" si="274"/>
        <v>0</v>
      </c>
    </row>
    <row r="1060" spans="1:46" customFormat="1" ht="15.75" x14ac:dyDescent="0.25">
      <c r="A1060" s="369"/>
      <c r="B1060" s="398"/>
      <c r="C1060" s="399"/>
      <c r="D1060" s="400"/>
      <c r="E1060" s="401"/>
      <c r="F1060" s="434"/>
      <c r="G1060" s="402"/>
      <c r="H1060" s="403"/>
      <c r="I1060" s="403"/>
      <c r="J1060" s="439"/>
      <c r="K1060" s="442">
        <f ca="1">ROUND(IF(ISERROR(OFFSET(Tabella!$A$1,MATCH(H1060,Tabella!$A:$A,0)-1,MATCH(J1060,Tabella!$A$1:$AC$1,0)-1)=TRUE),0,+OFFSET(Tabella!$A$1,MATCH(H1060,Tabella!$A:$A,0)-1,MATCH(J1060,Tabella!$A$1:$AC$1,0)-1)),4)</f>
        <v>0</v>
      </c>
      <c r="L1060" s="445">
        <f ca="1">ROUND(IF(ISERROR(OFFSET(Ottone!$A$1,MATCH(H1060,Ottone!$A:$A,0)-1,MATCH(J1060,Ottone!$A$1:$Z$1,0)-1)=TRUE),0,OFFSET(Ottone!$A$1,MATCH(H1060,Ottone!$A:$A,0)-1,MATCH(J1060,Ottone!$A$1:$Z$1,0)-1))*IF(E1060="Ottone",1,0),4)</f>
        <v>0</v>
      </c>
      <c r="M1060" s="445">
        <f ca="1">ROUND(IF(ISERROR(OFFSET(Rame!$A$1,MATCH(H1060,Rame!$A:$A,0)-1,MATCH(J1060,Rame!$A$1:$AA$1,0)-1)=TRUE),0,OFFSET(Rame!$A$1,MATCH(H1060,Rame!$A:$A,0)-1,MATCH(J1060,Rame!$A$1:$AA$1,0)-1))*IF(E1060="Rame",1,0),4)</f>
        <v>0</v>
      </c>
      <c r="N1060" s="445"/>
      <c r="O1060" s="445">
        <f t="shared" ca="1" si="259"/>
        <v>0</v>
      </c>
      <c r="P1060" s="445">
        <f ca="1">ROUND(+IF(ISERROR(OFFSET(Tabella!$G$1,MATCH(H1060,Tabella!$G:$G,0)-1,MATCH(I1060,Tabella!$G$1:$FG$1,0)-1)=TRUE),0,OFFSET(Tabella!$G$1,MATCH(H1060,Tabella!$G:$G,0)-1,MATCH(I1060,Tabella!$G$1:$AB$1,0)-1)),4)</f>
        <v>0</v>
      </c>
      <c r="Q1060" s="445">
        <f ca="1">ROUND(IF(ISERROR(OFFSET(Ottone!$F$1,MATCH(H1060,Ottone!$A:$A,0)-1,MATCH(I1060,Ottone!$F$1:$FF$1,0)-1)=TRUE),0,OFFSET(Ottone!$F$1,MATCH(H1060,Ottone!$A:$A,0)-1,MATCH(I1060,Ottone!$F$1:$FF$1,0)-1))*IF(E1060="Ottone",1,0),4)</f>
        <v>0</v>
      </c>
      <c r="R1060" s="445">
        <f ca="1">ROUND(IF(ISERROR(OFFSET(Rame!$F$1,MATCH(H1060,Rame!$F:$F,0)-1,MATCH(I1060,Rame!$F$1:$FF$1,0)-1)=TRUE),0,OFFSET(Rame!$F$1,MATCH(H1060,Rame!$F:$F,0)-1,MATCH(I1060,Rame!$F$1:$FF$1,0)-1))*IF(E1060="Rame",1,0),4)</f>
        <v>0</v>
      </c>
      <c r="S1060" s="445">
        <f ca="1">ROUND(IF(ISERROR(OFFSET(Bronzo!$A$1,MATCH(H1060,Bronzo!$A:$A,0)-1,MATCH(I1060,Bronzo!$A$1:$AA$1,0)-1)=TRUE),0,OFFSET(Bronzo!$A$1,MATCH(H1060,Bronzo!$A:$A,0)-1,MATCH(I1060,Bronzo!$A$1:$AA$1,0)-1)),4)</f>
        <v>0</v>
      </c>
      <c r="T1060" s="445">
        <f t="shared" ca="1" si="275"/>
        <v>0</v>
      </c>
      <c r="U1060" s="442"/>
      <c r="V1060" s="445">
        <v>0</v>
      </c>
      <c r="W1060" s="448">
        <f t="shared" ca="1" si="276"/>
        <v>0</v>
      </c>
      <c r="X1060" s="451">
        <f t="shared" si="267"/>
        <v>0</v>
      </c>
      <c r="Y1060" s="439"/>
      <c r="Z1060" s="439">
        <f t="shared" ca="1" si="277"/>
        <v>0</v>
      </c>
      <c r="AA1060" s="404"/>
      <c r="AF1060" s="372">
        <f t="shared" ca="1" si="268"/>
        <v>46156</v>
      </c>
      <c r="AG1060" s="372" t="b">
        <f t="shared" si="269"/>
        <v>1</v>
      </c>
      <c r="AH1060" s="405" t="str">
        <f t="shared" si="270"/>
        <v/>
      </c>
      <c r="AK1060">
        <f t="shared" si="271"/>
        <v>0</v>
      </c>
      <c r="AL1060">
        <f t="shared" si="272"/>
        <v>1900</v>
      </c>
      <c r="AS1060">
        <f t="shared" si="273"/>
        <v>0</v>
      </c>
      <c r="AT1060">
        <f t="shared" si="274"/>
        <v>0</v>
      </c>
    </row>
    <row r="1061" spans="1:46" customFormat="1" ht="15.75" x14ac:dyDescent="0.25">
      <c r="A1061" s="369"/>
      <c r="B1061" s="398"/>
      <c r="C1061" s="399"/>
      <c r="D1061" s="400"/>
      <c r="E1061" s="401"/>
      <c r="F1061" s="434"/>
      <c r="G1061" s="402"/>
      <c r="H1061" s="403"/>
      <c r="I1061" s="403"/>
      <c r="J1061" s="439"/>
      <c r="K1061" s="442">
        <f ca="1">ROUND(IF(ISERROR(OFFSET(Tabella!$A$1,MATCH(H1061,Tabella!$A:$A,0)-1,MATCH(J1061,Tabella!$A$1:$AC$1,0)-1)=TRUE),0,+OFFSET(Tabella!$A$1,MATCH(H1061,Tabella!$A:$A,0)-1,MATCH(J1061,Tabella!$A$1:$AC$1,0)-1)),4)</f>
        <v>0</v>
      </c>
      <c r="L1061" s="445">
        <f ca="1">ROUND(IF(ISERROR(OFFSET(Ottone!$A$1,MATCH(H1061,Ottone!$A:$A,0)-1,MATCH(J1061,Ottone!$A$1:$Z$1,0)-1)=TRUE),0,OFFSET(Ottone!$A$1,MATCH(H1061,Ottone!$A:$A,0)-1,MATCH(J1061,Ottone!$A$1:$Z$1,0)-1))*IF(E1061="Ottone",1,0),4)</f>
        <v>0</v>
      </c>
      <c r="M1061" s="445">
        <f ca="1">ROUND(IF(ISERROR(OFFSET(Rame!$A$1,MATCH(H1061,Rame!$A:$A,0)-1,MATCH(J1061,Rame!$A$1:$AA$1,0)-1)=TRUE),0,OFFSET(Rame!$A$1,MATCH(H1061,Rame!$A:$A,0)-1,MATCH(J1061,Rame!$A$1:$AA$1,0)-1))*IF(E1061="Rame",1,0),4)</f>
        <v>0</v>
      </c>
      <c r="N1061" s="445"/>
      <c r="O1061" s="445">
        <f t="shared" ca="1" si="259"/>
        <v>0</v>
      </c>
      <c r="P1061" s="445">
        <f ca="1">ROUND(+IF(ISERROR(OFFSET(Tabella!$G$1,MATCH(H1061,Tabella!$G:$G,0)-1,MATCH(I1061,Tabella!$G$1:$FG$1,0)-1)=TRUE),0,OFFSET(Tabella!$G$1,MATCH(H1061,Tabella!$G:$G,0)-1,MATCH(I1061,Tabella!$G$1:$AB$1,0)-1)),4)</f>
        <v>0</v>
      </c>
      <c r="Q1061" s="445">
        <f ca="1">ROUND(IF(ISERROR(OFFSET(Ottone!$F$1,MATCH(H1061,Ottone!$A:$A,0)-1,MATCH(I1061,Ottone!$F$1:$FF$1,0)-1)=TRUE),0,OFFSET(Ottone!$F$1,MATCH(H1061,Ottone!$A:$A,0)-1,MATCH(I1061,Ottone!$F$1:$FF$1,0)-1))*IF(E1061="Ottone",1,0),4)</f>
        <v>0</v>
      </c>
      <c r="R1061" s="445">
        <f ca="1">ROUND(IF(ISERROR(OFFSET(Rame!$F$1,MATCH(H1061,Rame!$F:$F,0)-1,MATCH(I1061,Rame!$F$1:$FF$1,0)-1)=TRUE),0,OFFSET(Rame!$F$1,MATCH(H1061,Rame!$F:$F,0)-1,MATCH(I1061,Rame!$F$1:$FF$1,0)-1))*IF(E1061="Rame",1,0),4)</f>
        <v>0</v>
      </c>
      <c r="S1061" s="445">
        <f ca="1">ROUND(IF(ISERROR(OFFSET(Bronzo!$A$1,MATCH(H1061,Bronzo!$A:$A,0)-1,MATCH(I1061,Bronzo!$A$1:$AA$1,0)-1)=TRUE),0,OFFSET(Bronzo!$A$1,MATCH(H1061,Bronzo!$A:$A,0)-1,MATCH(I1061,Bronzo!$A$1:$AA$1,0)-1)),4)</f>
        <v>0</v>
      </c>
      <c r="T1061" s="445">
        <f t="shared" ca="1" si="275"/>
        <v>0</v>
      </c>
      <c r="U1061" s="442"/>
      <c r="V1061" s="445">
        <v>0</v>
      </c>
      <c r="W1061" s="448">
        <f t="shared" ca="1" si="276"/>
        <v>0</v>
      </c>
      <c r="X1061" s="451">
        <f t="shared" si="267"/>
        <v>0</v>
      </c>
      <c r="Y1061" s="439"/>
      <c r="Z1061" s="439">
        <f t="shared" ca="1" si="277"/>
        <v>0</v>
      </c>
      <c r="AA1061" s="404"/>
      <c r="AF1061" s="372">
        <f t="shared" ca="1" si="268"/>
        <v>46156</v>
      </c>
      <c r="AG1061" s="372" t="b">
        <f t="shared" si="269"/>
        <v>1</v>
      </c>
      <c r="AH1061" s="405" t="str">
        <f t="shared" si="270"/>
        <v/>
      </c>
      <c r="AK1061">
        <f t="shared" si="271"/>
        <v>0</v>
      </c>
      <c r="AL1061">
        <f t="shared" si="272"/>
        <v>1900</v>
      </c>
      <c r="AS1061">
        <f t="shared" si="273"/>
        <v>0</v>
      </c>
      <c r="AT1061">
        <f t="shared" si="274"/>
        <v>0</v>
      </c>
    </row>
    <row r="1062" spans="1:46" customFormat="1" ht="15.75" x14ac:dyDescent="0.25">
      <c r="A1062" s="369"/>
      <c r="B1062" s="398"/>
      <c r="C1062" s="399"/>
      <c r="D1062" s="400"/>
      <c r="E1062" s="401"/>
      <c r="F1062" s="434"/>
      <c r="G1062" s="402"/>
      <c r="H1062" s="403"/>
      <c r="I1062" s="403"/>
      <c r="J1062" s="439"/>
      <c r="K1062" s="442">
        <f ca="1">ROUND(IF(ISERROR(OFFSET(Tabella!$A$1,MATCH(H1062,Tabella!$A:$A,0)-1,MATCH(J1062,Tabella!$A$1:$AC$1,0)-1)=TRUE),0,+OFFSET(Tabella!$A$1,MATCH(H1062,Tabella!$A:$A,0)-1,MATCH(J1062,Tabella!$A$1:$AC$1,0)-1)),4)</f>
        <v>0</v>
      </c>
      <c r="L1062" s="445">
        <f ca="1">ROUND(IF(ISERROR(OFFSET(Ottone!$A$1,MATCH(H1062,Ottone!$A:$A,0)-1,MATCH(J1062,Ottone!$A$1:$Z$1,0)-1)=TRUE),0,OFFSET(Ottone!$A$1,MATCH(H1062,Ottone!$A:$A,0)-1,MATCH(J1062,Ottone!$A$1:$Z$1,0)-1))*IF(E1062="Ottone",1,0),4)</f>
        <v>0</v>
      </c>
      <c r="M1062" s="445">
        <f ca="1">ROUND(IF(ISERROR(OFFSET(Rame!$A$1,MATCH(H1062,Rame!$A:$A,0)-1,MATCH(J1062,Rame!$A$1:$AA$1,0)-1)=TRUE),0,OFFSET(Rame!$A$1,MATCH(H1062,Rame!$A:$A,0)-1,MATCH(J1062,Rame!$A$1:$AA$1,0)-1))*IF(E1062="Rame",1,0),4)</f>
        <v>0</v>
      </c>
      <c r="N1062" s="445"/>
      <c r="O1062" s="445">
        <f t="shared" ca="1" si="259"/>
        <v>0</v>
      </c>
      <c r="P1062" s="445">
        <f ca="1">ROUND(+IF(ISERROR(OFFSET(Tabella!$G$1,MATCH(H1062,Tabella!$G:$G,0)-1,MATCH(I1062,Tabella!$G$1:$FG$1,0)-1)=TRUE),0,OFFSET(Tabella!$G$1,MATCH(H1062,Tabella!$G:$G,0)-1,MATCH(I1062,Tabella!$G$1:$AB$1,0)-1)),4)</f>
        <v>0</v>
      </c>
      <c r="Q1062" s="445">
        <f ca="1">ROUND(IF(ISERROR(OFFSET(Ottone!$F$1,MATCH(H1062,Ottone!$A:$A,0)-1,MATCH(I1062,Ottone!$F$1:$FF$1,0)-1)=TRUE),0,OFFSET(Ottone!$F$1,MATCH(H1062,Ottone!$A:$A,0)-1,MATCH(I1062,Ottone!$F$1:$FF$1,0)-1))*IF(E1062="Ottone",1,0),4)</f>
        <v>0</v>
      </c>
      <c r="R1062" s="445">
        <f ca="1">ROUND(IF(ISERROR(OFFSET(Rame!$F$1,MATCH(H1062,Rame!$F:$F,0)-1,MATCH(I1062,Rame!$F$1:$FF$1,0)-1)=TRUE),0,OFFSET(Rame!$F$1,MATCH(H1062,Rame!$F:$F,0)-1,MATCH(I1062,Rame!$F$1:$FF$1,0)-1))*IF(E1062="Rame",1,0),4)</f>
        <v>0</v>
      </c>
      <c r="S1062" s="445">
        <f ca="1">ROUND(IF(ISERROR(OFFSET(Bronzo!$A$1,MATCH(H1062,Bronzo!$A:$A,0)-1,MATCH(I1062,Bronzo!$A$1:$AA$1,0)-1)=TRUE),0,OFFSET(Bronzo!$A$1,MATCH(H1062,Bronzo!$A:$A,0)-1,MATCH(I1062,Bronzo!$A$1:$AA$1,0)-1)),4)</f>
        <v>0</v>
      </c>
      <c r="T1062" s="445">
        <f t="shared" ca="1" si="275"/>
        <v>0</v>
      </c>
      <c r="U1062" s="442"/>
      <c r="V1062" s="445">
        <v>0</v>
      </c>
      <c r="W1062" s="448">
        <f t="shared" ca="1" si="276"/>
        <v>0</v>
      </c>
      <c r="X1062" s="451">
        <f t="shared" si="267"/>
        <v>0</v>
      </c>
      <c r="Y1062" s="439"/>
      <c r="Z1062" s="439">
        <f t="shared" ca="1" si="277"/>
        <v>0</v>
      </c>
      <c r="AA1062" s="404"/>
      <c r="AF1062" s="372">
        <f t="shared" ca="1" si="268"/>
        <v>46156</v>
      </c>
      <c r="AG1062" s="372" t="b">
        <f t="shared" si="269"/>
        <v>1</v>
      </c>
      <c r="AH1062" s="405" t="str">
        <f t="shared" si="270"/>
        <v/>
      </c>
      <c r="AK1062">
        <f t="shared" si="271"/>
        <v>0</v>
      </c>
      <c r="AL1062">
        <f t="shared" si="272"/>
        <v>1900</v>
      </c>
      <c r="AS1062">
        <f t="shared" si="273"/>
        <v>0</v>
      </c>
      <c r="AT1062">
        <f t="shared" si="274"/>
        <v>0</v>
      </c>
    </row>
    <row r="1063" spans="1:46" customFormat="1" ht="15.75" x14ac:dyDescent="0.25">
      <c r="A1063" s="369"/>
      <c r="B1063" s="398"/>
      <c r="C1063" s="399"/>
      <c r="D1063" s="400"/>
      <c r="E1063" s="401"/>
      <c r="F1063" s="434"/>
      <c r="G1063" s="402"/>
      <c r="H1063" s="403"/>
      <c r="I1063" s="403"/>
      <c r="J1063" s="439"/>
      <c r="K1063" s="442">
        <f ca="1">ROUND(IF(ISERROR(OFFSET(Tabella!$A$1,MATCH(H1063,Tabella!$A:$A,0)-1,MATCH(J1063,Tabella!$A$1:$AC$1,0)-1)=TRUE),0,+OFFSET(Tabella!$A$1,MATCH(H1063,Tabella!$A:$A,0)-1,MATCH(J1063,Tabella!$A$1:$AC$1,0)-1)),4)</f>
        <v>0</v>
      </c>
      <c r="L1063" s="445">
        <f ca="1">ROUND(IF(ISERROR(OFFSET(Ottone!$A$1,MATCH(H1063,Ottone!$A:$A,0)-1,MATCH(J1063,Ottone!$A$1:$Z$1,0)-1)=TRUE),0,OFFSET(Ottone!$A$1,MATCH(H1063,Ottone!$A:$A,0)-1,MATCH(J1063,Ottone!$A$1:$Z$1,0)-1))*IF(E1063="Ottone",1,0),4)</f>
        <v>0</v>
      </c>
      <c r="M1063" s="445">
        <f ca="1">ROUND(IF(ISERROR(OFFSET(Rame!$A$1,MATCH(H1063,Rame!$A:$A,0)-1,MATCH(J1063,Rame!$A$1:$AA$1,0)-1)=TRUE),0,OFFSET(Rame!$A$1,MATCH(H1063,Rame!$A:$A,0)-1,MATCH(J1063,Rame!$A$1:$AA$1,0)-1))*IF(E1063="Rame",1,0),4)</f>
        <v>0</v>
      </c>
      <c r="N1063" s="445"/>
      <c r="O1063" s="445">
        <f t="shared" ca="1" si="259"/>
        <v>0</v>
      </c>
      <c r="P1063" s="445">
        <f ca="1">ROUND(+IF(ISERROR(OFFSET(Tabella!$G$1,MATCH(H1063,Tabella!$G:$G,0)-1,MATCH(I1063,Tabella!$G$1:$FG$1,0)-1)=TRUE),0,OFFSET(Tabella!$G$1,MATCH(H1063,Tabella!$G:$G,0)-1,MATCH(I1063,Tabella!$G$1:$AB$1,0)-1)),4)</f>
        <v>0</v>
      </c>
      <c r="Q1063" s="445">
        <f ca="1">ROUND(IF(ISERROR(OFFSET(Ottone!$F$1,MATCH(H1063,Ottone!$A:$A,0)-1,MATCH(I1063,Ottone!$F$1:$FF$1,0)-1)=TRUE),0,OFFSET(Ottone!$F$1,MATCH(H1063,Ottone!$A:$A,0)-1,MATCH(I1063,Ottone!$F$1:$FF$1,0)-1))*IF(E1063="Ottone",1,0),4)</f>
        <v>0</v>
      </c>
      <c r="R1063" s="445">
        <f ca="1">ROUND(IF(ISERROR(OFFSET(Rame!$F$1,MATCH(H1063,Rame!$F:$F,0)-1,MATCH(I1063,Rame!$F$1:$FF$1,0)-1)=TRUE),0,OFFSET(Rame!$F$1,MATCH(H1063,Rame!$F:$F,0)-1,MATCH(I1063,Rame!$F$1:$FF$1,0)-1))*IF(E1063="Rame",1,0),4)</f>
        <v>0</v>
      </c>
      <c r="S1063" s="445">
        <f ca="1">ROUND(IF(ISERROR(OFFSET(Bronzo!$A$1,MATCH(H1063,Bronzo!$A:$A,0)-1,MATCH(I1063,Bronzo!$A$1:$AA$1,0)-1)=TRUE),0,OFFSET(Bronzo!$A$1,MATCH(H1063,Bronzo!$A:$A,0)-1,MATCH(I1063,Bronzo!$A$1:$AA$1,0)-1)),4)</f>
        <v>0</v>
      </c>
      <c r="T1063" s="445">
        <f t="shared" ca="1" si="275"/>
        <v>0</v>
      </c>
      <c r="U1063" s="442"/>
      <c r="V1063" s="445">
        <v>0</v>
      </c>
      <c r="W1063" s="448">
        <f t="shared" ca="1" si="276"/>
        <v>0</v>
      </c>
      <c r="X1063" s="451">
        <f t="shared" si="267"/>
        <v>0</v>
      </c>
      <c r="Y1063" s="439"/>
      <c r="Z1063" s="439">
        <f t="shared" ca="1" si="277"/>
        <v>0</v>
      </c>
      <c r="AA1063" s="404"/>
      <c r="AF1063" s="372">
        <f t="shared" ca="1" si="268"/>
        <v>46156</v>
      </c>
      <c r="AG1063" s="372" t="b">
        <f t="shared" si="269"/>
        <v>1</v>
      </c>
      <c r="AH1063" s="405" t="str">
        <f t="shared" si="270"/>
        <v/>
      </c>
      <c r="AK1063">
        <f t="shared" si="271"/>
        <v>0</v>
      </c>
      <c r="AL1063">
        <f t="shared" si="272"/>
        <v>1900</v>
      </c>
      <c r="AS1063">
        <f t="shared" si="273"/>
        <v>0</v>
      </c>
      <c r="AT1063">
        <f t="shared" si="274"/>
        <v>0</v>
      </c>
    </row>
    <row r="1064" spans="1:46" customFormat="1" ht="15.75" x14ac:dyDescent="0.25">
      <c r="A1064" s="369"/>
      <c r="B1064" s="398"/>
      <c r="C1064" s="399"/>
      <c r="D1064" s="400"/>
      <c r="E1064" s="401"/>
      <c r="F1064" s="434"/>
      <c r="G1064" s="402"/>
      <c r="H1064" s="403"/>
      <c r="I1064" s="403"/>
      <c r="J1064" s="439"/>
      <c r="K1064" s="442">
        <f ca="1">ROUND(IF(ISERROR(OFFSET(Tabella!$A$1,MATCH(H1064,Tabella!$A:$A,0)-1,MATCH(J1064,Tabella!$A$1:$AC$1,0)-1)=TRUE),0,+OFFSET(Tabella!$A$1,MATCH(H1064,Tabella!$A:$A,0)-1,MATCH(J1064,Tabella!$A$1:$AC$1,0)-1)),4)</f>
        <v>0</v>
      </c>
      <c r="L1064" s="445">
        <f ca="1">ROUND(IF(ISERROR(OFFSET(Ottone!$A$1,MATCH(H1064,Ottone!$A:$A,0)-1,MATCH(J1064,Ottone!$A$1:$Z$1,0)-1)=TRUE),0,OFFSET(Ottone!$A$1,MATCH(H1064,Ottone!$A:$A,0)-1,MATCH(J1064,Ottone!$A$1:$Z$1,0)-1))*IF(E1064="Ottone",1,0),4)</f>
        <v>0</v>
      </c>
      <c r="M1064" s="445">
        <f ca="1">ROUND(IF(ISERROR(OFFSET(Rame!$A$1,MATCH(H1064,Rame!$A:$A,0)-1,MATCH(J1064,Rame!$A$1:$AA$1,0)-1)=TRUE),0,OFFSET(Rame!$A$1,MATCH(H1064,Rame!$A:$A,0)-1,MATCH(J1064,Rame!$A$1:$AA$1,0)-1))*IF(E1064="Rame",1,0),4)</f>
        <v>0</v>
      </c>
      <c r="N1064" s="445"/>
      <c r="O1064" s="445">
        <f t="shared" ref="O1064:O1127" ca="1" si="278">ROUND(SUM(K1064:N1064),4)</f>
        <v>0</v>
      </c>
      <c r="P1064" s="445">
        <f ca="1">ROUND(+IF(ISERROR(OFFSET(Tabella!$G$1,MATCH(H1064,Tabella!$G:$G,0)-1,MATCH(I1064,Tabella!$G$1:$FG$1,0)-1)=TRUE),0,OFFSET(Tabella!$G$1,MATCH(H1064,Tabella!$G:$G,0)-1,MATCH(I1064,Tabella!$G$1:$AB$1,0)-1)),4)</f>
        <v>0</v>
      </c>
      <c r="Q1064" s="445">
        <f ca="1">ROUND(IF(ISERROR(OFFSET(Ottone!$F$1,MATCH(H1064,Ottone!$A:$A,0)-1,MATCH(I1064,Ottone!$F$1:$FF$1,0)-1)=TRUE),0,OFFSET(Ottone!$F$1,MATCH(H1064,Ottone!$A:$A,0)-1,MATCH(I1064,Ottone!$F$1:$FF$1,0)-1))*IF(E1064="Ottone",1,0),4)</f>
        <v>0</v>
      </c>
      <c r="R1064" s="445">
        <f ca="1">ROUND(IF(ISERROR(OFFSET(Rame!$F$1,MATCH(H1064,Rame!$F:$F,0)-1,MATCH(I1064,Rame!$F$1:$FF$1,0)-1)=TRUE),0,OFFSET(Rame!$F$1,MATCH(H1064,Rame!$F:$F,0)-1,MATCH(I1064,Rame!$F$1:$FF$1,0)-1))*IF(E1064="Rame",1,0),4)</f>
        <v>0</v>
      </c>
      <c r="S1064" s="445">
        <f ca="1">ROUND(IF(ISERROR(OFFSET(Bronzo!$A$1,MATCH(H1064,Bronzo!$A:$A,0)-1,MATCH(I1064,Bronzo!$A$1:$AA$1,0)-1)=TRUE),0,OFFSET(Bronzo!$A$1,MATCH(H1064,Bronzo!$A:$A,0)-1,MATCH(I1064,Bronzo!$A$1:$AA$1,0)-1)),4)</f>
        <v>0</v>
      </c>
      <c r="T1064" s="445">
        <f t="shared" ca="1" si="275"/>
        <v>0</v>
      </c>
      <c r="U1064" s="442"/>
      <c r="V1064" s="445">
        <v>0</v>
      </c>
      <c r="W1064" s="448">
        <f t="shared" ca="1" si="276"/>
        <v>0</v>
      </c>
      <c r="X1064" s="451">
        <f t="shared" si="267"/>
        <v>0</v>
      </c>
      <c r="Y1064" s="439"/>
      <c r="Z1064" s="439">
        <f t="shared" ca="1" si="277"/>
        <v>0</v>
      </c>
      <c r="AA1064" s="404"/>
      <c r="AF1064" s="372">
        <f t="shared" ca="1" si="268"/>
        <v>46156</v>
      </c>
      <c r="AG1064" s="372" t="b">
        <f t="shared" si="269"/>
        <v>1</v>
      </c>
      <c r="AH1064" s="405" t="str">
        <f t="shared" si="270"/>
        <v/>
      </c>
      <c r="AK1064">
        <f t="shared" si="271"/>
        <v>0</v>
      </c>
      <c r="AL1064">
        <f t="shared" si="272"/>
        <v>1900</v>
      </c>
      <c r="AS1064">
        <f t="shared" si="273"/>
        <v>0</v>
      </c>
      <c r="AT1064">
        <f t="shared" si="274"/>
        <v>0</v>
      </c>
    </row>
    <row r="1065" spans="1:46" customFormat="1" ht="15.75" x14ac:dyDescent="0.25">
      <c r="A1065" s="369"/>
      <c r="B1065" s="398"/>
      <c r="C1065" s="399"/>
      <c r="D1065" s="400"/>
      <c r="E1065" s="401"/>
      <c r="F1065" s="434"/>
      <c r="G1065" s="402"/>
      <c r="H1065" s="403"/>
      <c r="I1065" s="403"/>
      <c r="J1065" s="439"/>
      <c r="K1065" s="442">
        <f ca="1">ROUND(IF(ISERROR(OFFSET(Tabella!$A$1,MATCH(H1065,Tabella!$A:$A,0)-1,MATCH(J1065,Tabella!$A$1:$AC$1,0)-1)=TRUE),0,+OFFSET(Tabella!$A$1,MATCH(H1065,Tabella!$A:$A,0)-1,MATCH(J1065,Tabella!$A$1:$AC$1,0)-1)),4)</f>
        <v>0</v>
      </c>
      <c r="L1065" s="445">
        <f ca="1">ROUND(IF(ISERROR(OFFSET(Ottone!$A$1,MATCH(H1065,Ottone!$A:$A,0)-1,MATCH(J1065,Ottone!$A$1:$Z$1,0)-1)=TRUE),0,OFFSET(Ottone!$A$1,MATCH(H1065,Ottone!$A:$A,0)-1,MATCH(J1065,Ottone!$A$1:$Z$1,0)-1))*IF(E1065="Ottone",1,0),4)</f>
        <v>0</v>
      </c>
      <c r="M1065" s="445">
        <f ca="1">ROUND(IF(ISERROR(OFFSET(Rame!$A$1,MATCH(H1065,Rame!$A:$A,0)-1,MATCH(J1065,Rame!$A$1:$AA$1,0)-1)=TRUE),0,OFFSET(Rame!$A$1,MATCH(H1065,Rame!$A:$A,0)-1,MATCH(J1065,Rame!$A$1:$AA$1,0)-1))*IF(E1065="Rame",1,0),4)</f>
        <v>0</v>
      </c>
      <c r="N1065" s="445"/>
      <c r="O1065" s="445">
        <f t="shared" ca="1" si="278"/>
        <v>0</v>
      </c>
      <c r="P1065" s="445">
        <f ca="1">ROUND(+IF(ISERROR(OFFSET(Tabella!$G$1,MATCH(H1065,Tabella!$G:$G,0)-1,MATCH(I1065,Tabella!$G$1:$FG$1,0)-1)=TRUE),0,OFFSET(Tabella!$G$1,MATCH(H1065,Tabella!$G:$G,0)-1,MATCH(I1065,Tabella!$G$1:$AB$1,0)-1)),4)</f>
        <v>0</v>
      </c>
      <c r="Q1065" s="445">
        <f ca="1">ROUND(IF(ISERROR(OFFSET(Ottone!$F$1,MATCH(H1065,Ottone!$A:$A,0)-1,MATCH(I1065,Ottone!$F$1:$FF$1,0)-1)=TRUE),0,OFFSET(Ottone!$F$1,MATCH(H1065,Ottone!$A:$A,0)-1,MATCH(I1065,Ottone!$F$1:$FF$1,0)-1))*IF(E1065="Ottone",1,0),4)</f>
        <v>0</v>
      </c>
      <c r="R1065" s="445">
        <f ca="1">ROUND(IF(ISERROR(OFFSET(Rame!$F$1,MATCH(H1065,Rame!$F:$F,0)-1,MATCH(I1065,Rame!$F$1:$FF$1,0)-1)=TRUE),0,OFFSET(Rame!$F$1,MATCH(H1065,Rame!$F:$F,0)-1,MATCH(I1065,Rame!$F$1:$FF$1,0)-1))*IF(E1065="Rame",1,0),4)</f>
        <v>0</v>
      </c>
      <c r="S1065" s="445">
        <f ca="1">ROUND(IF(ISERROR(OFFSET(Bronzo!$A$1,MATCH(H1065,Bronzo!$A:$A,0)-1,MATCH(I1065,Bronzo!$A$1:$AA$1,0)-1)=TRUE),0,OFFSET(Bronzo!$A$1,MATCH(H1065,Bronzo!$A:$A,0)-1,MATCH(I1065,Bronzo!$A$1:$AA$1,0)-1)),4)</f>
        <v>0</v>
      </c>
      <c r="T1065" s="445">
        <f t="shared" ca="1" si="275"/>
        <v>0</v>
      </c>
      <c r="U1065" s="442"/>
      <c r="V1065" s="445">
        <v>0</v>
      </c>
      <c r="W1065" s="448">
        <f t="shared" ca="1" si="276"/>
        <v>0</v>
      </c>
      <c r="X1065" s="451">
        <f t="shared" si="267"/>
        <v>0</v>
      </c>
      <c r="Y1065" s="439"/>
      <c r="Z1065" s="439">
        <f t="shared" ca="1" si="277"/>
        <v>0</v>
      </c>
      <c r="AA1065" s="404"/>
      <c r="AF1065" s="372">
        <f t="shared" ca="1" si="268"/>
        <v>46156</v>
      </c>
      <c r="AG1065" s="372" t="b">
        <f t="shared" si="269"/>
        <v>1</v>
      </c>
      <c r="AH1065" s="405" t="str">
        <f t="shared" si="270"/>
        <v/>
      </c>
      <c r="AK1065">
        <f t="shared" si="271"/>
        <v>0</v>
      </c>
      <c r="AL1065">
        <f t="shared" si="272"/>
        <v>1900</v>
      </c>
      <c r="AS1065">
        <f t="shared" si="273"/>
        <v>0</v>
      </c>
      <c r="AT1065">
        <f t="shared" si="274"/>
        <v>0</v>
      </c>
    </row>
    <row r="1066" spans="1:46" customFormat="1" ht="15.75" x14ac:dyDescent="0.25">
      <c r="A1066" s="369"/>
      <c r="B1066" s="398"/>
      <c r="C1066" s="399"/>
      <c r="D1066" s="400"/>
      <c r="E1066" s="401"/>
      <c r="F1066" s="434"/>
      <c r="G1066" s="402"/>
      <c r="H1066" s="403"/>
      <c r="I1066" s="403"/>
      <c r="J1066" s="439"/>
      <c r="K1066" s="442">
        <f ca="1">ROUND(IF(ISERROR(OFFSET(Tabella!$A$1,MATCH(H1066,Tabella!$A:$A,0)-1,MATCH(J1066,Tabella!$A$1:$AC$1,0)-1)=TRUE),0,+OFFSET(Tabella!$A$1,MATCH(H1066,Tabella!$A:$A,0)-1,MATCH(J1066,Tabella!$A$1:$AC$1,0)-1)),4)</f>
        <v>0</v>
      </c>
      <c r="L1066" s="445">
        <f ca="1">ROUND(IF(ISERROR(OFFSET(Ottone!$A$1,MATCH(H1066,Ottone!$A:$A,0)-1,MATCH(J1066,Ottone!$A$1:$Z$1,0)-1)=TRUE),0,OFFSET(Ottone!$A$1,MATCH(H1066,Ottone!$A:$A,0)-1,MATCH(J1066,Ottone!$A$1:$Z$1,0)-1))*IF(E1066="Ottone",1,0),4)</f>
        <v>0</v>
      </c>
      <c r="M1066" s="445">
        <f ca="1">ROUND(IF(ISERROR(OFFSET(Rame!$A$1,MATCH(H1066,Rame!$A:$A,0)-1,MATCH(J1066,Rame!$A$1:$AA$1,0)-1)=TRUE),0,OFFSET(Rame!$A$1,MATCH(H1066,Rame!$A:$A,0)-1,MATCH(J1066,Rame!$A$1:$AA$1,0)-1))*IF(E1066="Rame",1,0),4)</f>
        <v>0</v>
      </c>
      <c r="N1066" s="445"/>
      <c r="O1066" s="445">
        <f t="shared" ca="1" si="278"/>
        <v>0</v>
      </c>
      <c r="P1066" s="445">
        <f ca="1">ROUND(+IF(ISERROR(OFFSET(Tabella!$G$1,MATCH(H1066,Tabella!$G:$G,0)-1,MATCH(I1066,Tabella!$G$1:$FG$1,0)-1)=TRUE),0,OFFSET(Tabella!$G$1,MATCH(H1066,Tabella!$G:$G,0)-1,MATCH(I1066,Tabella!$G$1:$AB$1,0)-1)),4)</f>
        <v>0</v>
      </c>
      <c r="Q1066" s="445">
        <f ca="1">ROUND(IF(ISERROR(OFFSET(Ottone!$F$1,MATCH(H1066,Ottone!$A:$A,0)-1,MATCH(I1066,Ottone!$F$1:$FF$1,0)-1)=TRUE),0,OFFSET(Ottone!$F$1,MATCH(H1066,Ottone!$A:$A,0)-1,MATCH(I1066,Ottone!$F$1:$FF$1,0)-1))*IF(E1066="Ottone",1,0),4)</f>
        <v>0</v>
      </c>
      <c r="R1066" s="445">
        <f ca="1">ROUND(IF(ISERROR(OFFSET(Rame!$F$1,MATCH(H1066,Rame!$F:$F,0)-1,MATCH(I1066,Rame!$F$1:$FF$1,0)-1)=TRUE),0,OFFSET(Rame!$F$1,MATCH(H1066,Rame!$F:$F,0)-1,MATCH(I1066,Rame!$F$1:$FF$1,0)-1))*IF(E1066="Rame",1,0),4)</f>
        <v>0</v>
      </c>
      <c r="S1066" s="445">
        <f ca="1">ROUND(IF(ISERROR(OFFSET(Bronzo!$A$1,MATCH(H1066,Bronzo!$A:$A,0)-1,MATCH(I1066,Bronzo!$A$1:$AA$1,0)-1)=TRUE),0,OFFSET(Bronzo!$A$1,MATCH(H1066,Bronzo!$A:$A,0)-1,MATCH(I1066,Bronzo!$A$1:$AA$1,0)-1)),4)</f>
        <v>0</v>
      </c>
      <c r="T1066" s="445">
        <f t="shared" ca="1" si="275"/>
        <v>0</v>
      </c>
      <c r="U1066" s="442"/>
      <c r="V1066" s="445">
        <v>0</v>
      </c>
      <c r="W1066" s="448">
        <f t="shared" ca="1" si="276"/>
        <v>0</v>
      </c>
      <c r="X1066" s="451">
        <f t="shared" si="267"/>
        <v>0</v>
      </c>
      <c r="Y1066" s="439"/>
      <c r="Z1066" s="439">
        <f t="shared" ca="1" si="277"/>
        <v>0</v>
      </c>
      <c r="AA1066" s="404"/>
      <c r="AF1066" s="372">
        <f t="shared" ca="1" si="268"/>
        <v>46156</v>
      </c>
      <c r="AG1066" s="372" t="b">
        <f t="shared" si="269"/>
        <v>1</v>
      </c>
      <c r="AH1066" s="405" t="str">
        <f t="shared" si="270"/>
        <v/>
      </c>
      <c r="AK1066">
        <f t="shared" si="271"/>
        <v>0</v>
      </c>
      <c r="AL1066">
        <f t="shared" si="272"/>
        <v>1900</v>
      </c>
      <c r="AS1066">
        <f t="shared" si="273"/>
        <v>0</v>
      </c>
      <c r="AT1066">
        <f t="shared" si="274"/>
        <v>0</v>
      </c>
    </row>
    <row r="1067" spans="1:46" customFormat="1" ht="15.75" x14ac:dyDescent="0.25">
      <c r="A1067" s="369"/>
      <c r="B1067" s="398"/>
      <c r="C1067" s="399"/>
      <c r="D1067" s="400"/>
      <c r="E1067" s="401"/>
      <c r="F1067" s="434"/>
      <c r="G1067" s="402"/>
      <c r="H1067" s="403"/>
      <c r="I1067" s="403"/>
      <c r="J1067" s="439"/>
      <c r="K1067" s="442">
        <f ca="1">ROUND(IF(ISERROR(OFFSET(Tabella!$A$1,MATCH(H1067,Tabella!$A:$A,0)-1,MATCH(J1067,Tabella!$A$1:$AC$1,0)-1)=TRUE),0,+OFFSET(Tabella!$A$1,MATCH(H1067,Tabella!$A:$A,0)-1,MATCH(J1067,Tabella!$A$1:$AC$1,0)-1)),4)</f>
        <v>0</v>
      </c>
      <c r="L1067" s="445">
        <f ca="1">ROUND(IF(ISERROR(OFFSET(Ottone!$A$1,MATCH(H1067,Ottone!$A:$A,0)-1,MATCH(J1067,Ottone!$A$1:$Z$1,0)-1)=TRUE),0,OFFSET(Ottone!$A$1,MATCH(H1067,Ottone!$A:$A,0)-1,MATCH(J1067,Ottone!$A$1:$Z$1,0)-1))*IF(E1067="Ottone",1,0),4)</f>
        <v>0</v>
      </c>
      <c r="M1067" s="445">
        <f ca="1">ROUND(IF(ISERROR(OFFSET(Rame!$A$1,MATCH(H1067,Rame!$A:$A,0)-1,MATCH(J1067,Rame!$A$1:$AA$1,0)-1)=TRUE),0,OFFSET(Rame!$A$1,MATCH(H1067,Rame!$A:$A,0)-1,MATCH(J1067,Rame!$A$1:$AA$1,0)-1))*IF(E1067="Rame",1,0),4)</f>
        <v>0</v>
      </c>
      <c r="N1067" s="445"/>
      <c r="O1067" s="445">
        <f t="shared" ca="1" si="278"/>
        <v>0</v>
      </c>
      <c r="P1067" s="445">
        <f ca="1">ROUND(+IF(ISERROR(OFFSET(Tabella!$G$1,MATCH(H1067,Tabella!$G:$G,0)-1,MATCH(I1067,Tabella!$G$1:$FG$1,0)-1)=TRUE),0,OFFSET(Tabella!$G$1,MATCH(H1067,Tabella!$G:$G,0)-1,MATCH(I1067,Tabella!$G$1:$AB$1,0)-1)),4)</f>
        <v>0</v>
      </c>
      <c r="Q1067" s="445">
        <f ca="1">ROUND(IF(ISERROR(OFFSET(Ottone!$F$1,MATCH(H1067,Ottone!$A:$A,0)-1,MATCH(I1067,Ottone!$F$1:$FF$1,0)-1)=TRUE),0,OFFSET(Ottone!$F$1,MATCH(H1067,Ottone!$A:$A,0)-1,MATCH(I1067,Ottone!$F$1:$FF$1,0)-1))*IF(E1067="Ottone",1,0),4)</f>
        <v>0</v>
      </c>
      <c r="R1067" s="445">
        <f ca="1">ROUND(IF(ISERROR(OFFSET(Rame!$F$1,MATCH(H1067,Rame!$F:$F,0)-1,MATCH(I1067,Rame!$F$1:$FF$1,0)-1)=TRUE),0,OFFSET(Rame!$F$1,MATCH(H1067,Rame!$F:$F,0)-1,MATCH(I1067,Rame!$F$1:$FF$1,0)-1))*IF(E1067="Rame",1,0),4)</f>
        <v>0</v>
      </c>
      <c r="S1067" s="445">
        <f ca="1">ROUND(IF(ISERROR(OFFSET(Bronzo!$A$1,MATCH(H1067,Bronzo!$A:$A,0)-1,MATCH(I1067,Bronzo!$A$1:$AA$1,0)-1)=TRUE),0,OFFSET(Bronzo!$A$1,MATCH(H1067,Bronzo!$A:$A,0)-1,MATCH(I1067,Bronzo!$A$1:$AA$1,0)-1)),4)</f>
        <v>0</v>
      </c>
      <c r="T1067" s="445">
        <f t="shared" ca="1" si="275"/>
        <v>0</v>
      </c>
      <c r="U1067" s="442"/>
      <c r="V1067" s="445">
        <v>0</v>
      </c>
      <c r="W1067" s="448">
        <f t="shared" ca="1" si="276"/>
        <v>0</v>
      </c>
      <c r="X1067" s="451">
        <f t="shared" si="267"/>
        <v>0</v>
      </c>
      <c r="Y1067" s="439"/>
      <c r="Z1067" s="439">
        <f t="shared" ca="1" si="277"/>
        <v>0</v>
      </c>
      <c r="AA1067" s="404"/>
      <c r="AF1067" s="372">
        <f t="shared" ca="1" si="268"/>
        <v>46156</v>
      </c>
      <c r="AG1067" s="372" t="b">
        <f t="shared" si="269"/>
        <v>1</v>
      </c>
      <c r="AH1067" s="405" t="str">
        <f t="shared" si="270"/>
        <v/>
      </c>
      <c r="AK1067">
        <f t="shared" si="271"/>
        <v>0</v>
      </c>
      <c r="AL1067">
        <f t="shared" si="272"/>
        <v>1900</v>
      </c>
      <c r="AS1067">
        <f t="shared" si="273"/>
        <v>0</v>
      </c>
      <c r="AT1067">
        <f t="shared" si="274"/>
        <v>0</v>
      </c>
    </row>
    <row r="1068" spans="1:46" customFormat="1" ht="15.75" x14ac:dyDescent="0.25">
      <c r="A1068" s="369"/>
      <c r="B1068" s="398"/>
      <c r="C1068" s="399"/>
      <c r="D1068" s="400"/>
      <c r="E1068" s="401"/>
      <c r="F1068" s="434"/>
      <c r="G1068" s="402"/>
      <c r="H1068" s="403"/>
      <c r="I1068" s="403"/>
      <c r="J1068" s="439"/>
      <c r="K1068" s="442">
        <f ca="1">ROUND(IF(ISERROR(OFFSET(Tabella!$A$1,MATCH(H1068,Tabella!$A:$A,0)-1,MATCH(J1068,Tabella!$A$1:$AC$1,0)-1)=TRUE),0,+OFFSET(Tabella!$A$1,MATCH(H1068,Tabella!$A:$A,0)-1,MATCH(J1068,Tabella!$A$1:$AC$1,0)-1)),4)</f>
        <v>0</v>
      </c>
      <c r="L1068" s="445">
        <f ca="1">ROUND(IF(ISERROR(OFFSET(Ottone!$A$1,MATCH(H1068,Ottone!$A:$A,0)-1,MATCH(J1068,Ottone!$A$1:$Z$1,0)-1)=TRUE),0,OFFSET(Ottone!$A$1,MATCH(H1068,Ottone!$A:$A,0)-1,MATCH(J1068,Ottone!$A$1:$Z$1,0)-1))*IF(E1068="Ottone",1,0),4)</f>
        <v>0</v>
      </c>
      <c r="M1068" s="445">
        <f ca="1">ROUND(IF(ISERROR(OFFSET(Rame!$A$1,MATCH(H1068,Rame!$A:$A,0)-1,MATCH(J1068,Rame!$A$1:$AA$1,0)-1)=TRUE),0,OFFSET(Rame!$A$1,MATCH(H1068,Rame!$A:$A,0)-1,MATCH(J1068,Rame!$A$1:$AA$1,0)-1))*IF(E1068="Rame",1,0),4)</f>
        <v>0</v>
      </c>
      <c r="N1068" s="445"/>
      <c r="O1068" s="445">
        <f t="shared" ca="1" si="278"/>
        <v>0</v>
      </c>
      <c r="P1068" s="445">
        <f ca="1">ROUND(+IF(ISERROR(OFFSET(Tabella!$G$1,MATCH(H1068,Tabella!$G:$G,0)-1,MATCH(I1068,Tabella!$G$1:$FG$1,0)-1)=TRUE),0,OFFSET(Tabella!$G$1,MATCH(H1068,Tabella!$G:$G,0)-1,MATCH(I1068,Tabella!$G$1:$AB$1,0)-1)),4)</f>
        <v>0</v>
      </c>
      <c r="Q1068" s="445">
        <f ca="1">ROUND(IF(ISERROR(OFFSET(Ottone!$F$1,MATCH(H1068,Ottone!$A:$A,0)-1,MATCH(I1068,Ottone!$F$1:$FF$1,0)-1)=TRUE),0,OFFSET(Ottone!$F$1,MATCH(H1068,Ottone!$A:$A,0)-1,MATCH(I1068,Ottone!$F$1:$FF$1,0)-1))*IF(E1068="Ottone",1,0),4)</f>
        <v>0</v>
      </c>
      <c r="R1068" s="445">
        <f ca="1">ROUND(IF(ISERROR(OFFSET(Rame!$F$1,MATCH(H1068,Rame!$F:$F,0)-1,MATCH(I1068,Rame!$F$1:$FF$1,0)-1)=TRUE),0,OFFSET(Rame!$F$1,MATCH(H1068,Rame!$F:$F,0)-1,MATCH(I1068,Rame!$F$1:$FF$1,0)-1))*IF(E1068="Rame",1,0),4)</f>
        <v>0</v>
      </c>
      <c r="S1068" s="445">
        <f ca="1">ROUND(IF(ISERROR(OFFSET(Bronzo!$A$1,MATCH(H1068,Bronzo!$A:$A,0)-1,MATCH(I1068,Bronzo!$A$1:$AA$1,0)-1)=TRUE),0,OFFSET(Bronzo!$A$1,MATCH(H1068,Bronzo!$A:$A,0)-1,MATCH(I1068,Bronzo!$A$1:$AA$1,0)-1)),4)</f>
        <v>0</v>
      </c>
      <c r="T1068" s="445">
        <f t="shared" ca="1" si="275"/>
        <v>0</v>
      </c>
      <c r="U1068" s="442"/>
      <c r="V1068" s="445">
        <v>0</v>
      </c>
      <c r="W1068" s="448">
        <f t="shared" ca="1" si="276"/>
        <v>0</v>
      </c>
      <c r="X1068" s="451">
        <f t="shared" si="267"/>
        <v>0</v>
      </c>
      <c r="Y1068" s="439"/>
      <c r="Z1068" s="439">
        <f t="shared" ca="1" si="277"/>
        <v>0</v>
      </c>
      <c r="AA1068" s="404"/>
      <c r="AF1068" s="372">
        <f t="shared" ca="1" si="268"/>
        <v>46156</v>
      </c>
      <c r="AG1068" s="372" t="b">
        <f t="shared" si="269"/>
        <v>1</v>
      </c>
      <c r="AH1068" s="405" t="str">
        <f t="shared" si="270"/>
        <v/>
      </c>
      <c r="AK1068">
        <f t="shared" si="271"/>
        <v>0</v>
      </c>
      <c r="AL1068">
        <f t="shared" si="272"/>
        <v>1900</v>
      </c>
      <c r="AS1068">
        <f t="shared" si="273"/>
        <v>0</v>
      </c>
      <c r="AT1068">
        <f t="shared" si="274"/>
        <v>0</v>
      </c>
    </row>
    <row r="1069" spans="1:46" customFormat="1" ht="15.75" x14ac:dyDescent="0.25">
      <c r="A1069" s="369"/>
      <c r="B1069" s="398"/>
      <c r="C1069" s="399"/>
      <c r="D1069" s="400"/>
      <c r="E1069" s="401"/>
      <c r="F1069" s="434"/>
      <c r="G1069" s="402"/>
      <c r="H1069" s="403"/>
      <c r="I1069" s="403"/>
      <c r="J1069" s="439"/>
      <c r="K1069" s="442">
        <f ca="1">ROUND(IF(ISERROR(OFFSET(Tabella!$A$1,MATCH(H1069,Tabella!$A:$A,0)-1,MATCH(J1069,Tabella!$A$1:$AC$1,0)-1)=TRUE),0,+OFFSET(Tabella!$A$1,MATCH(H1069,Tabella!$A:$A,0)-1,MATCH(J1069,Tabella!$A$1:$AC$1,0)-1)),4)</f>
        <v>0</v>
      </c>
      <c r="L1069" s="445">
        <f ca="1">ROUND(IF(ISERROR(OFFSET(Ottone!$A$1,MATCH(H1069,Ottone!$A:$A,0)-1,MATCH(J1069,Ottone!$A$1:$Z$1,0)-1)=TRUE),0,OFFSET(Ottone!$A$1,MATCH(H1069,Ottone!$A:$A,0)-1,MATCH(J1069,Ottone!$A$1:$Z$1,0)-1))*IF(E1069="Ottone",1,0),4)</f>
        <v>0</v>
      </c>
      <c r="M1069" s="445">
        <f ca="1">ROUND(IF(ISERROR(OFFSET(Rame!$A$1,MATCH(H1069,Rame!$A:$A,0)-1,MATCH(J1069,Rame!$A$1:$AA$1,0)-1)=TRUE),0,OFFSET(Rame!$A$1,MATCH(H1069,Rame!$A:$A,0)-1,MATCH(J1069,Rame!$A$1:$AA$1,0)-1))*IF(E1069="Rame",1,0),4)</f>
        <v>0</v>
      </c>
      <c r="N1069" s="445"/>
      <c r="O1069" s="445">
        <f t="shared" ca="1" si="278"/>
        <v>0</v>
      </c>
      <c r="P1069" s="445">
        <f ca="1">ROUND(+IF(ISERROR(OFFSET(Tabella!$G$1,MATCH(H1069,Tabella!$G:$G,0)-1,MATCH(I1069,Tabella!$G$1:$FG$1,0)-1)=TRUE),0,OFFSET(Tabella!$G$1,MATCH(H1069,Tabella!$G:$G,0)-1,MATCH(I1069,Tabella!$G$1:$AB$1,0)-1)),4)</f>
        <v>0</v>
      </c>
      <c r="Q1069" s="445">
        <f ca="1">ROUND(IF(ISERROR(OFFSET(Ottone!$F$1,MATCH(H1069,Ottone!$A:$A,0)-1,MATCH(I1069,Ottone!$F$1:$FF$1,0)-1)=TRUE),0,OFFSET(Ottone!$F$1,MATCH(H1069,Ottone!$A:$A,0)-1,MATCH(I1069,Ottone!$F$1:$FF$1,0)-1))*IF(E1069="Ottone",1,0),4)</f>
        <v>0</v>
      </c>
      <c r="R1069" s="445">
        <f ca="1">ROUND(IF(ISERROR(OFFSET(Rame!$F$1,MATCH(H1069,Rame!$F:$F,0)-1,MATCH(I1069,Rame!$F$1:$FF$1,0)-1)=TRUE),0,OFFSET(Rame!$F$1,MATCH(H1069,Rame!$F:$F,0)-1,MATCH(I1069,Rame!$F$1:$FF$1,0)-1))*IF(E1069="Rame",1,0),4)</f>
        <v>0</v>
      </c>
      <c r="S1069" s="445">
        <f ca="1">ROUND(IF(ISERROR(OFFSET(Bronzo!$A$1,MATCH(H1069,Bronzo!$A:$A,0)-1,MATCH(I1069,Bronzo!$A$1:$AA$1,0)-1)=TRUE),0,OFFSET(Bronzo!$A$1,MATCH(H1069,Bronzo!$A:$A,0)-1,MATCH(I1069,Bronzo!$A$1:$AA$1,0)-1)),4)</f>
        <v>0</v>
      </c>
      <c r="T1069" s="445">
        <f t="shared" ca="1" si="275"/>
        <v>0</v>
      </c>
      <c r="U1069" s="442"/>
      <c r="V1069" s="445">
        <v>0</v>
      </c>
      <c r="W1069" s="448">
        <f t="shared" ca="1" si="276"/>
        <v>0</v>
      </c>
      <c r="X1069" s="451">
        <f t="shared" si="267"/>
        <v>0</v>
      </c>
      <c r="Y1069" s="439"/>
      <c r="Z1069" s="439">
        <f t="shared" ca="1" si="277"/>
        <v>0</v>
      </c>
      <c r="AA1069" s="404"/>
      <c r="AF1069" s="372">
        <f t="shared" ca="1" si="268"/>
        <v>46156</v>
      </c>
      <c r="AG1069" s="372" t="b">
        <f t="shared" si="269"/>
        <v>1</v>
      </c>
      <c r="AH1069" s="405" t="str">
        <f t="shared" si="270"/>
        <v/>
      </c>
      <c r="AK1069">
        <f t="shared" si="271"/>
        <v>0</v>
      </c>
      <c r="AL1069">
        <f t="shared" si="272"/>
        <v>1900</v>
      </c>
      <c r="AS1069">
        <f t="shared" si="273"/>
        <v>0</v>
      </c>
      <c r="AT1069">
        <f t="shared" si="274"/>
        <v>0</v>
      </c>
    </row>
    <row r="1070" spans="1:46" customFormat="1" ht="15.75" x14ac:dyDescent="0.25">
      <c r="A1070" s="369"/>
      <c r="B1070" s="398"/>
      <c r="C1070" s="399"/>
      <c r="D1070" s="400"/>
      <c r="E1070" s="401"/>
      <c r="F1070" s="434"/>
      <c r="G1070" s="402"/>
      <c r="H1070" s="403"/>
      <c r="I1070" s="403"/>
      <c r="J1070" s="439"/>
      <c r="K1070" s="442">
        <f ca="1">ROUND(IF(ISERROR(OFFSET(Tabella!$A$1,MATCH(H1070,Tabella!$A:$A,0)-1,MATCH(J1070,Tabella!$A$1:$AC$1,0)-1)=TRUE),0,+OFFSET(Tabella!$A$1,MATCH(H1070,Tabella!$A:$A,0)-1,MATCH(J1070,Tabella!$A$1:$AC$1,0)-1)),4)</f>
        <v>0</v>
      </c>
      <c r="L1070" s="445">
        <f ca="1">ROUND(IF(ISERROR(OFFSET(Ottone!$A$1,MATCH(H1070,Ottone!$A:$A,0)-1,MATCH(J1070,Ottone!$A$1:$Z$1,0)-1)=TRUE),0,OFFSET(Ottone!$A$1,MATCH(H1070,Ottone!$A:$A,0)-1,MATCH(J1070,Ottone!$A$1:$Z$1,0)-1))*IF(E1070="Ottone",1,0),4)</f>
        <v>0</v>
      </c>
      <c r="M1070" s="445">
        <f ca="1">ROUND(IF(ISERROR(OFFSET(Rame!$A$1,MATCH(H1070,Rame!$A:$A,0)-1,MATCH(J1070,Rame!$A$1:$AA$1,0)-1)=TRUE),0,OFFSET(Rame!$A$1,MATCH(H1070,Rame!$A:$A,0)-1,MATCH(J1070,Rame!$A$1:$AA$1,0)-1))*IF(E1070="Rame",1,0),4)</f>
        <v>0</v>
      </c>
      <c r="N1070" s="445"/>
      <c r="O1070" s="445">
        <f t="shared" ca="1" si="278"/>
        <v>0</v>
      </c>
      <c r="P1070" s="445">
        <f ca="1">ROUND(+IF(ISERROR(OFFSET(Tabella!$G$1,MATCH(H1070,Tabella!$G:$G,0)-1,MATCH(I1070,Tabella!$G$1:$FG$1,0)-1)=TRUE),0,OFFSET(Tabella!$G$1,MATCH(H1070,Tabella!$G:$G,0)-1,MATCH(I1070,Tabella!$G$1:$AB$1,0)-1)),4)</f>
        <v>0</v>
      </c>
      <c r="Q1070" s="445">
        <f ca="1">ROUND(IF(ISERROR(OFFSET(Ottone!$F$1,MATCH(H1070,Ottone!$A:$A,0)-1,MATCH(I1070,Ottone!$F$1:$FF$1,0)-1)=TRUE),0,OFFSET(Ottone!$F$1,MATCH(H1070,Ottone!$A:$A,0)-1,MATCH(I1070,Ottone!$F$1:$FF$1,0)-1))*IF(E1070="Ottone",1,0),4)</f>
        <v>0</v>
      </c>
      <c r="R1070" s="445">
        <f ca="1">ROUND(IF(ISERROR(OFFSET(Rame!$F$1,MATCH(H1070,Rame!$F:$F,0)-1,MATCH(I1070,Rame!$F$1:$FF$1,0)-1)=TRUE),0,OFFSET(Rame!$F$1,MATCH(H1070,Rame!$F:$F,0)-1,MATCH(I1070,Rame!$F$1:$FF$1,0)-1))*IF(E1070="Rame",1,0),4)</f>
        <v>0</v>
      </c>
      <c r="S1070" s="445">
        <f ca="1">ROUND(IF(ISERROR(OFFSET(Bronzo!$A$1,MATCH(H1070,Bronzo!$A:$A,0)-1,MATCH(I1070,Bronzo!$A$1:$AA$1,0)-1)=TRUE),0,OFFSET(Bronzo!$A$1,MATCH(H1070,Bronzo!$A:$A,0)-1,MATCH(I1070,Bronzo!$A$1:$AA$1,0)-1)),4)</f>
        <v>0</v>
      </c>
      <c r="T1070" s="445">
        <f t="shared" ca="1" si="275"/>
        <v>0</v>
      </c>
      <c r="U1070" s="442"/>
      <c r="V1070" s="445">
        <v>0</v>
      </c>
      <c r="W1070" s="448">
        <f t="shared" ca="1" si="276"/>
        <v>0</v>
      </c>
      <c r="X1070" s="451">
        <f t="shared" si="267"/>
        <v>0</v>
      </c>
      <c r="Y1070" s="439"/>
      <c r="Z1070" s="439">
        <f t="shared" ca="1" si="277"/>
        <v>0</v>
      </c>
      <c r="AA1070" s="404"/>
      <c r="AF1070" s="372">
        <f t="shared" ca="1" si="268"/>
        <v>46156</v>
      </c>
      <c r="AG1070" s="372" t="b">
        <f t="shared" si="269"/>
        <v>1</v>
      </c>
      <c r="AH1070" s="405" t="str">
        <f t="shared" si="270"/>
        <v/>
      </c>
      <c r="AK1070">
        <f t="shared" si="271"/>
        <v>0</v>
      </c>
      <c r="AL1070">
        <f t="shared" si="272"/>
        <v>1900</v>
      </c>
      <c r="AS1070">
        <f t="shared" si="273"/>
        <v>0</v>
      </c>
      <c r="AT1070">
        <f t="shared" si="274"/>
        <v>0</v>
      </c>
    </row>
    <row r="1071" spans="1:46" customFormat="1" ht="15.75" x14ac:dyDescent="0.25">
      <c r="A1071" s="369"/>
      <c r="B1071" s="398"/>
      <c r="C1071" s="399"/>
      <c r="D1071" s="400"/>
      <c r="E1071" s="401"/>
      <c r="F1071" s="434"/>
      <c r="G1071" s="402"/>
      <c r="H1071" s="403"/>
      <c r="I1071" s="403"/>
      <c r="J1071" s="439"/>
      <c r="K1071" s="442">
        <f ca="1">ROUND(IF(ISERROR(OFFSET(Tabella!$A$1,MATCH(H1071,Tabella!$A:$A,0)-1,MATCH(J1071,Tabella!$A$1:$AC$1,0)-1)=TRUE),0,+OFFSET(Tabella!$A$1,MATCH(H1071,Tabella!$A:$A,0)-1,MATCH(J1071,Tabella!$A$1:$AC$1,0)-1)),4)</f>
        <v>0</v>
      </c>
      <c r="L1071" s="445">
        <f ca="1">ROUND(IF(ISERROR(OFFSET(Ottone!$A$1,MATCH(H1071,Ottone!$A:$A,0)-1,MATCH(J1071,Ottone!$A$1:$Z$1,0)-1)=TRUE),0,OFFSET(Ottone!$A$1,MATCH(H1071,Ottone!$A:$A,0)-1,MATCH(J1071,Ottone!$A$1:$Z$1,0)-1))*IF(E1071="Ottone",1,0),4)</f>
        <v>0</v>
      </c>
      <c r="M1071" s="445">
        <f ca="1">ROUND(IF(ISERROR(OFFSET(Rame!$A$1,MATCH(H1071,Rame!$A:$A,0)-1,MATCH(J1071,Rame!$A$1:$AA$1,0)-1)=TRUE),0,OFFSET(Rame!$A$1,MATCH(H1071,Rame!$A:$A,0)-1,MATCH(J1071,Rame!$A$1:$AA$1,0)-1))*IF(E1071="Rame",1,0),4)</f>
        <v>0</v>
      </c>
      <c r="N1071" s="445"/>
      <c r="O1071" s="445">
        <f t="shared" ca="1" si="278"/>
        <v>0</v>
      </c>
      <c r="P1071" s="445">
        <f ca="1">ROUND(+IF(ISERROR(OFFSET(Tabella!$G$1,MATCH(H1071,Tabella!$G:$G,0)-1,MATCH(I1071,Tabella!$G$1:$FG$1,0)-1)=TRUE),0,OFFSET(Tabella!$G$1,MATCH(H1071,Tabella!$G:$G,0)-1,MATCH(I1071,Tabella!$G$1:$AB$1,0)-1)),4)</f>
        <v>0</v>
      </c>
      <c r="Q1071" s="445">
        <f ca="1">ROUND(IF(ISERROR(OFFSET(Ottone!$F$1,MATCH(H1071,Ottone!$A:$A,0)-1,MATCH(I1071,Ottone!$F$1:$FF$1,0)-1)=TRUE),0,OFFSET(Ottone!$F$1,MATCH(H1071,Ottone!$A:$A,0)-1,MATCH(I1071,Ottone!$F$1:$FF$1,0)-1))*IF(E1071="Ottone",1,0),4)</f>
        <v>0</v>
      </c>
      <c r="R1071" s="445">
        <f ca="1">ROUND(IF(ISERROR(OFFSET(Rame!$F$1,MATCH(H1071,Rame!$F:$F,0)-1,MATCH(I1071,Rame!$F$1:$FF$1,0)-1)=TRUE),0,OFFSET(Rame!$F$1,MATCH(H1071,Rame!$F:$F,0)-1,MATCH(I1071,Rame!$F$1:$FF$1,0)-1))*IF(E1071="Rame",1,0),4)</f>
        <v>0</v>
      </c>
      <c r="S1071" s="445">
        <f ca="1">ROUND(IF(ISERROR(OFFSET(Bronzo!$A$1,MATCH(H1071,Bronzo!$A:$A,0)-1,MATCH(I1071,Bronzo!$A$1:$AA$1,0)-1)=TRUE),0,OFFSET(Bronzo!$A$1,MATCH(H1071,Bronzo!$A:$A,0)-1,MATCH(I1071,Bronzo!$A$1:$AA$1,0)-1)),4)</f>
        <v>0</v>
      </c>
      <c r="T1071" s="445">
        <f t="shared" ca="1" si="275"/>
        <v>0</v>
      </c>
      <c r="U1071" s="442"/>
      <c r="V1071" s="445">
        <v>0</v>
      </c>
      <c r="W1071" s="448">
        <f t="shared" ca="1" si="276"/>
        <v>0</v>
      </c>
      <c r="X1071" s="451">
        <f t="shared" si="267"/>
        <v>0</v>
      </c>
      <c r="Y1071" s="439"/>
      <c r="Z1071" s="439">
        <f t="shared" ca="1" si="277"/>
        <v>0</v>
      </c>
      <c r="AA1071" s="404"/>
      <c r="AF1071" s="372">
        <f t="shared" ca="1" si="268"/>
        <v>46156</v>
      </c>
      <c r="AG1071" s="372" t="b">
        <f t="shared" si="269"/>
        <v>1</v>
      </c>
      <c r="AH1071" s="405" t="str">
        <f t="shared" si="270"/>
        <v/>
      </c>
      <c r="AK1071">
        <f t="shared" si="271"/>
        <v>0</v>
      </c>
      <c r="AL1071">
        <f t="shared" si="272"/>
        <v>1900</v>
      </c>
      <c r="AS1071">
        <f t="shared" si="273"/>
        <v>0</v>
      </c>
      <c r="AT1071">
        <f t="shared" si="274"/>
        <v>0</v>
      </c>
    </row>
    <row r="1072" spans="1:46" customFormat="1" ht="15.75" x14ac:dyDescent="0.25">
      <c r="A1072" s="369"/>
      <c r="B1072" s="398"/>
      <c r="C1072" s="399"/>
      <c r="D1072" s="400"/>
      <c r="E1072" s="401"/>
      <c r="F1072" s="434"/>
      <c r="G1072" s="402"/>
      <c r="H1072" s="403"/>
      <c r="I1072" s="403"/>
      <c r="J1072" s="439"/>
      <c r="K1072" s="442">
        <f ca="1">ROUND(IF(ISERROR(OFFSET(Tabella!$A$1,MATCH(H1072,Tabella!$A:$A,0)-1,MATCH(J1072,Tabella!$A$1:$AC$1,0)-1)=TRUE),0,+OFFSET(Tabella!$A$1,MATCH(H1072,Tabella!$A:$A,0)-1,MATCH(J1072,Tabella!$A$1:$AC$1,0)-1)),4)</f>
        <v>0</v>
      </c>
      <c r="L1072" s="445">
        <f ca="1">ROUND(IF(ISERROR(OFFSET(Ottone!$A$1,MATCH(H1072,Ottone!$A:$A,0)-1,MATCH(J1072,Ottone!$A$1:$Z$1,0)-1)=TRUE),0,OFFSET(Ottone!$A$1,MATCH(H1072,Ottone!$A:$A,0)-1,MATCH(J1072,Ottone!$A$1:$Z$1,0)-1))*IF(E1072="Ottone",1,0),4)</f>
        <v>0</v>
      </c>
      <c r="M1072" s="445">
        <f ca="1">ROUND(IF(ISERROR(OFFSET(Rame!$A$1,MATCH(H1072,Rame!$A:$A,0)-1,MATCH(J1072,Rame!$A$1:$AA$1,0)-1)=TRUE),0,OFFSET(Rame!$A$1,MATCH(H1072,Rame!$A:$A,0)-1,MATCH(J1072,Rame!$A$1:$AA$1,0)-1))*IF(E1072="Rame",1,0),4)</f>
        <v>0</v>
      </c>
      <c r="N1072" s="445"/>
      <c r="O1072" s="445">
        <f t="shared" ca="1" si="278"/>
        <v>0</v>
      </c>
      <c r="P1072" s="445">
        <f ca="1">ROUND(+IF(ISERROR(OFFSET(Tabella!$G$1,MATCH(H1072,Tabella!$G:$G,0)-1,MATCH(I1072,Tabella!$G$1:$FG$1,0)-1)=TRUE),0,OFFSET(Tabella!$G$1,MATCH(H1072,Tabella!$G:$G,0)-1,MATCH(I1072,Tabella!$G$1:$AB$1,0)-1)),4)</f>
        <v>0</v>
      </c>
      <c r="Q1072" s="445">
        <f ca="1">ROUND(IF(ISERROR(OFFSET(Ottone!$F$1,MATCH(H1072,Ottone!$A:$A,0)-1,MATCH(I1072,Ottone!$F$1:$FF$1,0)-1)=TRUE),0,OFFSET(Ottone!$F$1,MATCH(H1072,Ottone!$A:$A,0)-1,MATCH(I1072,Ottone!$F$1:$FF$1,0)-1))*IF(E1072="Ottone",1,0),4)</f>
        <v>0</v>
      </c>
      <c r="R1072" s="445">
        <f ca="1">ROUND(IF(ISERROR(OFFSET(Rame!$F$1,MATCH(H1072,Rame!$F:$F,0)-1,MATCH(I1072,Rame!$F$1:$FF$1,0)-1)=TRUE),0,OFFSET(Rame!$F$1,MATCH(H1072,Rame!$F:$F,0)-1,MATCH(I1072,Rame!$F$1:$FF$1,0)-1))*IF(E1072="Rame",1,0),4)</f>
        <v>0</v>
      </c>
      <c r="S1072" s="445">
        <f ca="1">ROUND(IF(ISERROR(OFFSET(Bronzo!$A$1,MATCH(H1072,Bronzo!$A:$A,0)-1,MATCH(I1072,Bronzo!$A$1:$AA$1,0)-1)=TRUE),0,OFFSET(Bronzo!$A$1,MATCH(H1072,Bronzo!$A:$A,0)-1,MATCH(I1072,Bronzo!$A$1:$AA$1,0)-1)),4)</f>
        <v>0</v>
      </c>
      <c r="T1072" s="445">
        <f t="shared" ca="1" si="275"/>
        <v>0</v>
      </c>
      <c r="U1072" s="442"/>
      <c r="V1072" s="445">
        <v>0</v>
      </c>
      <c r="W1072" s="448">
        <f t="shared" ca="1" si="276"/>
        <v>0</v>
      </c>
      <c r="X1072" s="451">
        <f t="shared" si="267"/>
        <v>0</v>
      </c>
      <c r="Y1072" s="439"/>
      <c r="Z1072" s="439">
        <f t="shared" ca="1" si="277"/>
        <v>0</v>
      </c>
      <c r="AA1072" s="404"/>
      <c r="AF1072" s="372">
        <f t="shared" ca="1" si="268"/>
        <v>46156</v>
      </c>
      <c r="AG1072" s="372" t="b">
        <f t="shared" si="269"/>
        <v>1</v>
      </c>
      <c r="AH1072" s="405" t="str">
        <f t="shared" si="270"/>
        <v/>
      </c>
      <c r="AK1072">
        <f t="shared" si="271"/>
        <v>0</v>
      </c>
      <c r="AL1072">
        <f t="shared" si="272"/>
        <v>1900</v>
      </c>
      <c r="AS1072">
        <f t="shared" si="273"/>
        <v>0</v>
      </c>
      <c r="AT1072">
        <f t="shared" si="274"/>
        <v>0</v>
      </c>
    </row>
    <row r="1073" spans="1:46" customFormat="1" ht="15.75" x14ac:dyDescent="0.25">
      <c r="A1073" s="369"/>
      <c r="B1073" s="398"/>
      <c r="C1073" s="399"/>
      <c r="D1073" s="400"/>
      <c r="E1073" s="401"/>
      <c r="F1073" s="434"/>
      <c r="G1073" s="402"/>
      <c r="H1073" s="403"/>
      <c r="I1073" s="403"/>
      <c r="J1073" s="439"/>
      <c r="K1073" s="442">
        <f ca="1">ROUND(IF(ISERROR(OFFSET(Tabella!$A$1,MATCH(H1073,Tabella!$A:$A,0)-1,MATCH(J1073,Tabella!$A$1:$AC$1,0)-1)=TRUE),0,+OFFSET(Tabella!$A$1,MATCH(H1073,Tabella!$A:$A,0)-1,MATCH(J1073,Tabella!$A$1:$AC$1,0)-1)),4)</f>
        <v>0</v>
      </c>
      <c r="L1073" s="445">
        <f ca="1">ROUND(IF(ISERROR(OFFSET(Ottone!$A$1,MATCH(H1073,Ottone!$A:$A,0)-1,MATCH(J1073,Ottone!$A$1:$Z$1,0)-1)=TRUE),0,OFFSET(Ottone!$A$1,MATCH(H1073,Ottone!$A:$A,0)-1,MATCH(J1073,Ottone!$A$1:$Z$1,0)-1))*IF(E1073="Ottone",1,0),4)</f>
        <v>0</v>
      </c>
      <c r="M1073" s="445">
        <f ca="1">ROUND(IF(ISERROR(OFFSET(Rame!$A$1,MATCH(H1073,Rame!$A:$A,0)-1,MATCH(J1073,Rame!$A$1:$AA$1,0)-1)=TRUE),0,OFFSET(Rame!$A$1,MATCH(H1073,Rame!$A:$A,0)-1,MATCH(J1073,Rame!$A$1:$AA$1,0)-1))*IF(E1073="Rame",1,0),4)</f>
        <v>0</v>
      </c>
      <c r="N1073" s="445"/>
      <c r="O1073" s="445">
        <f t="shared" ca="1" si="278"/>
        <v>0</v>
      </c>
      <c r="P1073" s="445">
        <f ca="1">ROUND(+IF(ISERROR(OFFSET(Tabella!$G$1,MATCH(H1073,Tabella!$G:$G,0)-1,MATCH(I1073,Tabella!$G$1:$FG$1,0)-1)=TRUE),0,OFFSET(Tabella!$G$1,MATCH(H1073,Tabella!$G:$G,0)-1,MATCH(I1073,Tabella!$G$1:$AB$1,0)-1)),4)</f>
        <v>0</v>
      </c>
      <c r="Q1073" s="445">
        <f ca="1">ROUND(IF(ISERROR(OFFSET(Ottone!$F$1,MATCH(H1073,Ottone!$A:$A,0)-1,MATCH(I1073,Ottone!$F$1:$FF$1,0)-1)=TRUE),0,OFFSET(Ottone!$F$1,MATCH(H1073,Ottone!$A:$A,0)-1,MATCH(I1073,Ottone!$F$1:$FF$1,0)-1))*IF(E1073="Ottone",1,0),4)</f>
        <v>0</v>
      </c>
      <c r="R1073" s="445">
        <f ca="1">ROUND(IF(ISERROR(OFFSET(Rame!$F$1,MATCH(H1073,Rame!$F:$F,0)-1,MATCH(I1073,Rame!$F$1:$FF$1,0)-1)=TRUE),0,OFFSET(Rame!$F$1,MATCH(H1073,Rame!$F:$F,0)-1,MATCH(I1073,Rame!$F$1:$FF$1,0)-1))*IF(E1073="Rame",1,0),4)</f>
        <v>0</v>
      </c>
      <c r="S1073" s="445">
        <f ca="1">ROUND(IF(ISERROR(OFFSET(Bronzo!$A$1,MATCH(H1073,Bronzo!$A:$A,0)-1,MATCH(I1073,Bronzo!$A$1:$AA$1,0)-1)=TRUE),0,OFFSET(Bronzo!$A$1,MATCH(H1073,Bronzo!$A:$A,0)-1,MATCH(I1073,Bronzo!$A$1:$AA$1,0)-1)),4)</f>
        <v>0</v>
      </c>
      <c r="T1073" s="445">
        <f t="shared" ca="1" si="275"/>
        <v>0</v>
      </c>
      <c r="U1073" s="442"/>
      <c r="V1073" s="445">
        <v>0</v>
      </c>
      <c r="W1073" s="448">
        <f t="shared" ca="1" si="276"/>
        <v>0</v>
      </c>
      <c r="X1073" s="451">
        <f t="shared" si="267"/>
        <v>0</v>
      </c>
      <c r="Y1073" s="439"/>
      <c r="Z1073" s="439">
        <f t="shared" ca="1" si="277"/>
        <v>0</v>
      </c>
      <c r="AA1073" s="404"/>
      <c r="AF1073" s="372">
        <f t="shared" ca="1" si="268"/>
        <v>46156</v>
      </c>
      <c r="AG1073" s="372" t="b">
        <f t="shared" si="269"/>
        <v>1</v>
      </c>
      <c r="AH1073" s="405" t="str">
        <f t="shared" si="270"/>
        <v/>
      </c>
      <c r="AK1073">
        <f t="shared" si="271"/>
        <v>0</v>
      </c>
      <c r="AL1073">
        <f t="shared" si="272"/>
        <v>1900</v>
      </c>
      <c r="AS1073">
        <f t="shared" si="273"/>
        <v>0</v>
      </c>
      <c r="AT1073">
        <f t="shared" si="274"/>
        <v>0</v>
      </c>
    </row>
    <row r="1074" spans="1:46" customFormat="1" ht="15.75" x14ac:dyDescent="0.25">
      <c r="A1074" s="369"/>
      <c r="B1074" s="398"/>
      <c r="C1074" s="399"/>
      <c r="D1074" s="400"/>
      <c r="E1074" s="401"/>
      <c r="F1074" s="434"/>
      <c r="G1074" s="402"/>
      <c r="H1074" s="403"/>
      <c r="I1074" s="403"/>
      <c r="J1074" s="439"/>
      <c r="K1074" s="442">
        <f ca="1">ROUND(IF(ISERROR(OFFSET(Tabella!$A$1,MATCH(H1074,Tabella!$A:$A,0)-1,MATCH(J1074,Tabella!$A$1:$AC$1,0)-1)=TRUE),0,+OFFSET(Tabella!$A$1,MATCH(H1074,Tabella!$A:$A,0)-1,MATCH(J1074,Tabella!$A$1:$AC$1,0)-1)),4)</f>
        <v>0</v>
      </c>
      <c r="L1074" s="445">
        <f ca="1">ROUND(IF(ISERROR(OFFSET(Ottone!$A$1,MATCH(H1074,Ottone!$A:$A,0)-1,MATCH(J1074,Ottone!$A$1:$Z$1,0)-1)=TRUE),0,OFFSET(Ottone!$A$1,MATCH(H1074,Ottone!$A:$A,0)-1,MATCH(J1074,Ottone!$A$1:$Z$1,0)-1))*IF(E1074="Ottone",1,0),4)</f>
        <v>0</v>
      </c>
      <c r="M1074" s="445">
        <f ca="1">ROUND(IF(ISERROR(OFFSET(Rame!$A$1,MATCH(H1074,Rame!$A:$A,0)-1,MATCH(J1074,Rame!$A$1:$AA$1,0)-1)=TRUE),0,OFFSET(Rame!$A$1,MATCH(H1074,Rame!$A:$A,0)-1,MATCH(J1074,Rame!$A$1:$AA$1,0)-1))*IF(E1074="Rame",1,0),4)</f>
        <v>0</v>
      </c>
      <c r="N1074" s="445"/>
      <c r="O1074" s="445">
        <f t="shared" ca="1" si="278"/>
        <v>0</v>
      </c>
      <c r="P1074" s="445">
        <f ca="1">ROUND(+IF(ISERROR(OFFSET(Tabella!$G$1,MATCH(H1074,Tabella!$G:$G,0)-1,MATCH(I1074,Tabella!$G$1:$FG$1,0)-1)=TRUE),0,OFFSET(Tabella!$G$1,MATCH(H1074,Tabella!$G:$G,0)-1,MATCH(I1074,Tabella!$G$1:$AB$1,0)-1)),4)</f>
        <v>0</v>
      </c>
      <c r="Q1074" s="445">
        <f ca="1">ROUND(IF(ISERROR(OFFSET(Ottone!$F$1,MATCH(H1074,Ottone!$A:$A,0)-1,MATCH(I1074,Ottone!$F$1:$FF$1,0)-1)=TRUE),0,OFFSET(Ottone!$F$1,MATCH(H1074,Ottone!$A:$A,0)-1,MATCH(I1074,Ottone!$F$1:$FF$1,0)-1))*IF(E1074="Ottone",1,0),4)</f>
        <v>0</v>
      </c>
      <c r="R1074" s="445">
        <f ca="1">ROUND(IF(ISERROR(OFFSET(Rame!$F$1,MATCH(H1074,Rame!$F:$F,0)-1,MATCH(I1074,Rame!$F$1:$FF$1,0)-1)=TRUE),0,OFFSET(Rame!$F$1,MATCH(H1074,Rame!$F:$F,0)-1,MATCH(I1074,Rame!$F$1:$FF$1,0)-1))*IF(E1074="Rame",1,0),4)</f>
        <v>0</v>
      </c>
      <c r="S1074" s="445">
        <f ca="1">ROUND(IF(ISERROR(OFFSET(Bronzo!$A$1,MATCH(H1074,Bronzo!$A:$A,0)-1,MATCH(I1074,Bronzo!$A$1:$AA$1,0)-1)=TRUE),0,OFFSET(Bronzo!$A$1,MATCH(H1074,Bronzo!$A:$A,0)-1,MATCH(I1074,Bronzo!$A$1:$AA$1,0)-1)),4)</f>
        <v>0</v>
      </c>
      <c r="T1074" s="445">
        <f t="shared" ca="1" si="275"/>
        <v>0</v>
      </c>
      <c r="U1074" s="442"/>
      <c r="V1074" s="445">
        <v>0</v>
      </c>
      <c r="W1074" s="448">
        <f t="shared" ca="1" si="276"/>
        <v>0</v>
      </c>
      <c r="X1074" s="451">
        <f t="shared" si="267"/>
        <v>0</v>
      </c>
      <c r="Y1074" s="439"/>
      <c r="Z1074" s="439">
        <f t="shared" ca="1" si="277"/>
        <v>0</v>
      </c>
      <c r="AA1074" s="404"/>
      <c r="AF1074" s="372">
        <f t="shared" ca="1" si="268"/>
        <v>46156</v>
      </c>
      <c r="AG1074" s="372" t="b">
        <f t="shared" si="269"/>
        <v>1</v>
      </c>
      <c r="AH1074" s="405" t="str">
        <f t="shared" si="270"/>
        <v/>
      </c>
      <c r="AK1074">
        <f t="shared" si="271"/>
        <v>0</v>
      </c>
      <c r="AL1074">
        <f t="shared" si="272"/>
        <v>1900</v>
      </c>
      <c r="AS1074">
        <f t="shared" si="273"/>
        <v>0</v>
      </c>
      <c r="AT1074">
        <f t="shared" si="274"/>
        <v>0</v>
      </c>
    </row>
    <row r="1075" spans="1:46" customFormat="1" ht="15.75" x14ac:dyDescent="0.25">
      <c r="A1075" s="369"/>
      <c r="B1075" s="398"/>
      <c r="C1075" s="399"/>
      <c r="D1075" s="400"/>
      <c r="E1075" s="401"/>
      <c r="F1075" s="434"/>
      <c r="G1075" s="402"/>
      <c r="H1075" s="403"/>
      <c r="I1075" s="403"/>
      <c r="J1075" s="439"/>
      <c r="K1075" s="442">
        <f ca="1">ROUND(IF(ISERROR(OFFSET(Tabella!$A$1,MATCH(H1075,Tabella!$A:$A,0)-1,MATCH(J1075,Tabella!$A$1:$AC$1,0)-1)=TRUE),0,+OFFSET(Tabella!$A$1,MATCH(H1075,Tabella!$A:$A,0)-1,MATCH(J1075,Tabella!$A$1:$AC$1,0)-1)),4)</f>
        <v>0</v>
      </c>
      <c r="L1075" s="445">
        <f ca="1">ROUND(IF(ISERROR(OFFSET(Ottone!$A$1,MATCH(H1075,Ottone!$A:$A,0)-1,MATCH(J1075,Ottone!$A$1:$Z$1,0)-1)=TRUE),0,OFFSET(Ottone!$A$1,MATCH(H1075,Ottone!$A:$A,0)-1,MATCH(J1075,Ottone!$A$1:$Z$1,0)-1))*IF(E1075="Ottone",1,0),4)</f>
        <v>0</v>
      </c>
      <c r="M1075" s="445">
        <f ca="1">ROUND(IF(ISERROR(OFFSET(Rame!$A$1,MATCH(H1075,Rame!$A:$A,0)-1,MATCH(J1075,Rame!$A$1:$AA$1,0)-1)=TRUE),0,OFFSET(Rame!$A$1,MATCH(H1075,Rame!$A:$A,0)-1,MATCH(J1075,Rame!$A$1:$AA$1,0)-1))*IF(E1075="Rame",1,0),4)</f>
        <v>0</v>
      </c>
      <c r="N1075" s="445"/>
      <c r="O1075" s="445">
        <f t="shared" ca="1" si="278"/>
        <v>0</v>
      </c>
      <c r="P1075" s="445">
        <f ca="1">ROUND(+IF(ISERROR(OFFSET(Tabella!$G$1,MATCH(H1075,Tabella!$G:$G,0)-1,MATCH(I1075,Tabella!$G$1:$FG$1,0)-1)=TRUE),0,OFFSET(Tabella!$G$1,MATCH(H1075,Tabella!$G:$G,0)-1,MATCH(I1075,Tabella!$G$1:$AB$1,0)-1)),4)</f>
        <v>0</v>
      </c>
      <c r="Q1075" s="445">
        <f ca="1">ROUND(IF(ISERROR(OFFSET(Ottone!$F$1,MATCH(H1075,Ottone!$A:$A,0)-1,MATCH(I1075,Ottone!$F$1:$FF$1,0)-1)=TRUE),0,OFFSET(Ottone!$F$1,MATCH(H1075,Ottone!$A:$A,0)-1,MATCH(I1075,Ottone!$F$1:$FF$1,0)-1))*IF(E1075="Ottone",1,0),4)</f>
        <v>0</v>
      </c>
      <c r="R1075" s="445">
        <f ca="1">ROUND(IF(ISERROR(OFFSET(Rame!$F$1,MATCH(H1075,Rame!$F:$F,0)-1,MATCH(I1075,Rame!$F$1:$FF$1,0)-1)=TRUE),0,OFFSET(Rame!$F$1,MATCH(H1075,Rame!$F:$F,0)-1,MATCH(I1075,Rame!$F$1:$FF$1,0)-1))*IF(E1075="Rame",1,0),4)</f>
        <v>0</v>
      </c>
      <c r="S1075" s="445">
        <f ca="1">ROUND(IF(ISERROR(OFFSET(Bronzo!$A$1,MATCH(H1075,Bronzo!$A:$A,0)-1,MATCH(I1075,Bronzo!$A$1:$AA$1,0)-1)=TRUE),0,OFFSET(Bronzo!$A$1,MATCH(H1075,Bronzo!$A:$A,0)-1,MATCH(I1075,Bronzo!$A$1:$AA$1,0)-1)),4)</f>
        <v>0</v>
      </c>
      <c r="T1075" s="445">
        <f t="shared" ca="1" si="275"/>
        <v>0</v>
      </c>
      <c r="U1075" s="442"/>
      <c r="V1075" s="445">
        <v>0</v>
      </c>
      <c r="W1075" s="448">
        <f t="shared" ca="1" si="276"/>
        <v>0</v>
      </c>
      <c r="X1075" s="451">
        <f t="shared" si="267"/>
        <v>0</v>
      </c>
      <c r="Y1075" s="439"/>
      <c r="Z1075" s="439">
        <f t="shared" ca="1" si="277"/>
        <v>0</v>
      </c>
      <c r="AA1075" s="404"/>
      <c r="AF1075" s="372">
        <f t="shared" ref="AF1075:AF1087" ca="1" si="279">TODAY()</f>
        <v>46156</v>
      </c>
      <c r="AG1075" s="372" t="b">
        <f t="shared" ref="AG1075:AG1087" si="280">ISBLANK(AA1075)</f>
        <v>1</v>
      </c>
      <c r="AH1075" s="405" t="str">
        <f t="shared" ref="AH1075:AH1087" si="281">IF(AG1075=FALSE,_xlfn.DAYS(AA1075,AF1075),"")</f>
        <v/>
      </c>
      <c r="AK1075">
        <f t="shared" ref="AK1075:AK1087" si="282">WEEKNUM(AA1075)</f>
        <v>0</v>
      </c>
      <c r="AL1075">
        <f t="shared" ref="AL1075:AL1087" si="283">YEAR(AA1075)</f>
        <v>1900</v>
      </c>
      <c r="AS1075">
        <f t="shared" ref="AS1075:AS1087" si="284">IF(AA1075="",0,MONTH(AA1075))</f>
        <v>0</v>
      </c>
      <c r="AT1075">
        <f t="shared" ref="AT1075:AT1087" si="285">IF(AA1075="",0,YEAR(AA1075))</f>
        <v>0</v>
      </c>
    </row>
    <row r="1076" spans="1:46" customFormat="1" ht="15.75" x14ac:dyDescent="0.25">
      <c r="A1076" s="369"/>
      <c r="B1076" s="398"/>
      <c r="C1076" s="399"/>
      <c r="D1076" s="400"/>
      <c r="E1076" s="401"/>
      <c r="F1076" s="434"/>
      <c r="G1076" s="402"/>
      <c r="H1076" s="403"/>
      <c r="I1076" s="403"/>
      <c r="J1076" s="439"/>
      <c r="K1076" s="442">
        <f ca="1">ROUND(IF(ISERROR(OFFSET(Tabella!$A$1,MATCH(H1076,Tabella!$A:$A,0)-1,MATCH(J1076,Tabella!$A$1:$AC$1,0)-1)=TRUE),0,+OFFSET(Tabella!$A$1,MATCH(H1076,Tabella!$A:$A,0)-1,MATCH(J1076,Tabella!$A$1:$AC$1,0)-1)),4)</f>
        <v>0</v>
      </c>
      <c r="L1076" s="445">
        <f ca="1">ROUND(IF(ISERROR(OFFSET(Ottone!$A$1,MATCH(H1076,Ottone!$A:$A,0)-1,MATCH(J1076,Ottone!$A$1:$Z$1,0)-1)=TRUE),0,OFFSET(Ottone!$A$1,MATCH(H1076,Ottone!$A:$A,0)-1,MATCH(J1076,Ottone!$A$1:$Z$1,0)-1))*IF(E1076="Ottone",1,0),4)</f>
        <v>0</v>
      </c>
      <c r="M1076" s="445">
        <f ca="1">ROUND(IF(ISERROR(OFFSET(Rame!$A$1,MATCH(H1076,Rame!$A:$A,0)-1,MATCH(J1076,Rame!$A$1:$AA$1,0)-1)=TRUE),0,OFFSET(Rame!$A$1,MATCH(H1076,Rame!$A:$A,0)-1,MATCH(J1076,Rame!$A$1:$AA$1,0)-1))*IF(E1076="Rame",1,0),4)</f>
        <v>0</v>
      </c>
      <c r="N1076" s="445"/>
      <c r="O1076" s="445">
        <f t="shared" ca="1" si="278"/>
        <v>0</v>
      </c>
      <c r="P1076" s="445">
        <f ca="1">ROUND(+IF(ISERROR(OFFSET(Tabella!$G$1,MATCH(H1076,Tabella!$G:$G,0)-1,MATCH(I1076,Tabella!$G$1:$FG$1,0)-1)=TRUE),0,OFFSET(Tabella!$G$1,MATCH(H1076,Tabella!$G:$G,0)-1,MATCH(I1076,Tabella!$G$1:$AB$1,0)-1)),4)</f>
        <v>0</v>
      </c>
      <c r="Q1076" s="445">
        <f ca="1">ROUND(IF(ISERROR(OFFSET(Ottone!$F$1,MATCH(H1076,Ottone!$A:$A,0)-1,MATCH(I1076,Ottone!$F$1:$FF$1,0)-1)=TRUE),0,OFFSET(Ottone!$F$1,MATCH(H1076,Ottone!$A:$A,0)-1,MATCH(I1076,Ottone!$F$1:$FF$1,0)-1))*IF(E1076="Ottone",1,0),4)</f>
        <v>0</v>
      </c>
      <c r="R1076" s="445">
        <f ca="1">ROUND(IF(ISERROR(OFFSET(Rame!$F$1,MATCH(H1076,Rame!$F:$F,0)-1,MATCH(I1076,Rame!$F$1:$FF$1,0)-1)=TRUE),0,OFFSET(Rame!$F$1,MATCH(H1076,Rame!$F:$F,0)-1,MATCH(I1076,Rame!$F$1:$FF$1,0)-1))*IF(E1076="Rame",1,0),4)</f>
        <v>0</v>
      </c>
      <c r="S1076" s="445">
        <f ca="1">ROUND(IF(ISERROR(OFFSET(Bronzo!$A$1,MATCH(H1076,Bronzo!$A:$A,0)-1,MATCH(I1076,Bronzo!$A$1:$AA$1,0)-1)=TRUE),0,OFFSET(Bronzo!$A$1,MATCH(H1076,Bronzo!$A:$A,0)-1,MATCH(I1076,Bronzo!$A$1:$AA$1,0)-1)),4)</f>
        <v>0</v>
      </c>
      <c r="T1076" s="445">
        <f t="shared" ca="1" si="275"/>
        <v>0</v>
      </c>
      <c r="U1076" s="442"/>
      <c r="V1076" s="445">
        <v>0</v>
      </c>
      <c r="W1076" s="448">
        <f t="shared" ca="1" si="276"/>
        <v>0</v>
      </c>
      <c r="X1076" s="451">
        <f t="shared" si="267"/>
        <v>0</v>
      </c>
      <c r="Y1076" s="439"/>
      <c r="Z1076" s="439">
        <f t="shared" ca="1" si="277"/>
        <v>0</v>
      </c>
      <c r="AA1076" s="404"/>
      <c r="AF1076" s="372">
        <f t="shared" ca="1" si="279"/>
        <v>46156</v>
      </c>
      <c r="AG1076" s="372" t="b">
        <f t="shared" si="280"/>
        <v>1</v>
      </c>
      <c r="AH1076" s="405" t="str">
        <f t="shared" si="281"/>
        <v/>
      </c>
      <c r="AK1076">
        <f t="shared" si="282"/>
        <v>0</v>
      </c>
      <c r="AL1076">
        <f t="shared" si="283"/>
        <v>1900</v>
      </c>
      <c r="AS1076">
        <f t="shared" si="284"/>
        <v>0</v>
      </c>
      <c r="AT1076">
        <f t="shared" si="285"/>
        <v>0</v>
      </c>
    </row>
    <row r="1077" spans="1:46" customFormat="1" ht="15.75" x14ac:dyDescent="0.25">
      <c r="A1077" s="369"/>
      <c r="B1077" s="398"/>
      <c r="C1077" s="399"/>
      <c r="D1077" s="400"/>
      <c r="E1077" s="401"/>
      <c r="F1077" s="434"/>
      <c r="G1077" s="402"/>
      <c r="H1077" s="403"/>
      <c r="I1077" s="403"/>
      <c r="J1077" s="439"/>
      <c r="K1077" s="442">
        <f ca="1">ROUND(IF(ISERROR(OFFSET(Tabella!$A$1,MATCH(H1077,Tabella!$A:$A,0)-1,MATCH(J1077,Tabella!$A$1:$AC$1,0)-1)=TRUE),0,+OFFSET(Tabella!$A$1,MATCH(H1077,Tabella!$A:$A,0)-1,MATCH(J1077,Tabella!$A$1:$AC$1,0)-1)),4)</f>
        <v>0</v>
      </c>
      <c r="L1077" s="445">
        <f ca="1">ROUND(IF(ISERROR(OFFSET(Ottone!$A$1,MATCH(H1077,Ottone!$A:$A,0)-1,MATCH(J1077,Ottone!$A$1:$Z$1,0)-1)=TRUE),0,OFFSET(Ottone!$A$1,MATCH(H1077,Ottone!$A:$A,0)-1,MATCH(J1077,Ottone!$A$1:$Z$1,0)-1))*IF(E1077="Ottone",1,0),4)</f>
        <v>0</v>
      </c>
      <c r="M1077" s="445">
        <f ca="1">ROUND(IF(ISERROR(OFFSET(Rame!$A$1,MATCH(H1077,Rame!$A:$A,0)-1,MATCH(J1077,Rame!$A$1:$AA$1,0)-1)=TRUE),0,OFFSET(Rame!$A$1,MATCH(H1077,Rame!$A:$A,0)-1,MATCH(J1077,Rame!$A$1:$AA$1,0)-1))*IF(E1077="Rame",1,0),4)</f>
        <v>0</v>
      </c>
      <c r="N1077" s="445"/>
      <c r="O1077" s="445">
        <f t="shared" ca="1" si="278"/>
        <v>0</v>
      </c>
      <c r="P1077" s="445">
        <f ca="1">ROUND(+IF(ISERROR(OFFSET(Tabella!$G$1,MATCH(H1077,Tabella!$G:$G,0)-1,MATCH(I1077,Tabella!$G$1:$FG$1,0)-1)=TRUE),0,OFFSET(Tabella!$G$1,MATCH(H1077,Tabella!$G:$G,0)-1,MATCH(I1077,Tabella!$G$1:$AB$1,0)-1)),4)</f>
        <v>0</v>
      </c>
      <c r="Q1077" s="445">
        <f ca="1">ROUND(IF(ISERROR(OFFSET(Ottone!$F$1,MATCH(H1077,Ottone!$A:$A,0)-1,MATCH(I1077,Ottone!$F$1:$FF$1,0)-1)=TRUE),0,OFFSET(Ottone!$F$1,MATCH(H1077,Ottone!$A:$A,0)-1,MATCH(I1077,Ottone!$F$1:$FF$1,0)-1))*IF(E1077="Ottone",1,0),4)</f>
        <v>0</v>
      </c>
      <c r="R1077" s="445">
        <f ca="1">ROUND(IF(ISERROR(OFFSET(Rame!$F$1,MATCH(H1077,Rame!$F:$F,0)-1,MATCH(I1077,Rame!$F$1:$FF$1,0)-1)=TRUE),0,OFFSET(Rame!$F$1,MATCH(H1077,Rame!$F:$F,0)-1,MATCH(I1077,Rame!$F$1:$FF$1,0)-1))*IF(E1077="Rame",1,0),4)</f>
        <v>0</v>
      </c>
      <c r="S1077" s="445">
        <f ca="1">ROUND(IF(ISERROR(OFFSET(Bronzo!$A$1,MATCH(H1077,Bronzo!$A:$A,0)-1,MATCH(I1077,Bronzo!$A$1:$AA$1,0)-1)=TRUE),0,OFFSET(Bronzo!$A$1,MATCH(H1077,Bronzo!$A:$A,0)-1,MATCH(I1077,Bronzo!$A$1:$AA$1,0)-1)),4)</f>
        <v>0</v>
      </c>
      <c r="T1077" s="445">
        <f t="shared" ca="1" si="275"/>
        <v>0</v>
      </c>
      <c r="U1077" s="442"/>
      <c r="V1077" s="445">
        <v>0</v>
      </c>
      <c r="W1077" s="448">
        <f t="shared" ca="1" si="276"/>
        <v>0</v>
      </c>
      <c r="X1077" s="451">
        <f t="shared" si="267"/>
        <v>0</v>
      </c>
      <c r="Y1077" s="439"/>
      <c r="Z1077" s="439">
        <f t="shared" ca="1" si="277"/>
        <v>0</v>
      </c>
      <c r="AA1077" s="404"/>
      <c r="AF1077" s="372">
        <f t="shared" ca="1" si="279"/>
        <v>46156</v>
      </c>
      <c r="AG1077" s="372" t="b">
        <f t="shared" si="280"/>
        <v>1</v>
      </c>
      <c r="AH1077" s="405" t="str">
        <f t="shared" si="281"/>
        <v/>
      </c>
      <c r="AK1077">
        <f t="shared" si="282"/>
        <v>0</v>
      </c>
      <c r="AL1077">
        <f t="shared" si="283"/>
        <v>1900</v>
      </c>
      <c r="AS1077">
        <f t="shared" si="284"/>
        <v>0</v>
      </c>
      <c r="AT1077">
        <f t="shared" si="285"/>
        <v>0</v>
      </c>
    </row>
    <row r="1078" spans="1:46" customFormat="1" ht="15.75" x14ac:dyDescent="0.25">
      <c r="A1078" s="369"/>
      <c r="B1078" s="398"/>
      <c r="C1078" s="399"/>
      <c r="D1078" s="400"/>
      <c r="E1078" s="401"/>
      <c r="F1078" s="434"/>
      <c r="G1078" s="402"/>
      <c r="H1078" s="403"/>
      <c r="I1078" s="403"/>
      <c r="J1078" s="439"/>
      <c r="K1078" s="442">
        <f ca="1">ROUND(IF(ISERROR(OFFSET(Tabella!$A$1,MATCH(H1078,Tabella!$A:$A,0)-1,MATCH(J1078,Tabella!$A$1:$AC$1,0)-1)=TRUE),0,+OFFSET(Tabella!$A$1,MATCH(H1078,Tabella!$A:$A,0)-1,MATCH(J1078,Tabella!$A$1:$AC$1,0)-1)),4)</f>
        <v>0</v>
      </c>
      <c r="L1078" s="445">
        <f ca="1">ROUND(IF(ISERROR(OFFSET(Ottone!$A$1,MATCH(H1078,Ottone!$A:$A,0)-1,MATCH(J1078,Ottone!$A$1:$Z$1,0)-1)=TRUE),0,OFFSET(Ottone!$A$1,MATCH(H1078,Ottone!$A:$A,0)-1,MATCH(J1078,Ottone!$A$1:$Z$1,0)-1))*IF(E1078="Ottone",1,0),4)</f>
        <v>0</v>
      </c>
      <c r="M1078" s="445">
        <f ca="1">ROUND(IF(ISERROR(OFFSET(Rame!$A$1,MATCH(H1078,Rame!$A:$A,0)-1,MATCH(J1078,Rame!$A$1:$AA$1,0)-1)=TRUE),0,OFFSET(Rame!$A$1,MATCH(H1078,Rame!$A:$A,0)-1,MATCH(J1078,Rame!$A$1:$AA$1,0)-1))*IF(E1078="Rame",1,0),4)</f>
        <v>0</v>
      </c>
      <c r="N1078" s="445"/>
      <c r="O1078" s="445">
        <f t="shared" ca="1" si="278"/>
        <v>0</v>
      </c>
      <c r="P1078" s="445">
        <f ca="1">ROUND(+IF(ISERROR(OFFSET(Tabella!$G$1,MATCH(H1078,Tabella!$G:$G,0)-1,MATCH(I1078,Tabella!$G$1:$FG$1,0)-1)=TRUE),0,OFFSET(Tabella!$G$1,MATCH(H1078,Tabella!$G:$G,0)-1,MATCH(I1078,Tabella!$G$1:$AB$1,0)-1)),4)</f>
        <v>0</v>
      </c>
      <c r="Q1078" s="445">
        <f ca="1">ROUND(IF(ISERROR(OFFSET(Ottone!$F$1,MATCH(H1078,Ottone!$A:$A,0)-1,MATCH(I1078,Ottone!$F$1:$FF$1,0)-1)=TRUE),0,OFFSET(Ottone!$F$1,MATCH(H1078,Ottone!$A:$A,0)-1,MATCH(I1078,Ottone!$F$1:$FF$1,0)-1))*IF(E1078="Ottone",1,0),4)</f>
        <v>0</v>
      </c>
      <c r="R1078" s="445">
        <f ca="1">ROUND(IF(ISERROR(OFFSET(Rame!$F$1,MATCH(H1078,Rame!$F:$F,0)-1,MATCH(I1078,Rame!$F$1:$FF$1,0)-1)=TRUE),0,OFFSET(Rame!$F$1,MATCH(H1078,Rame!$F:$F,0)-1,MATCH(I1078,Rame!$F$1:$FF$1,0)-1))*IF(E1078="Rame",1,0),4)</f>
        <v>0</v>
      </c>
      <c r="S1078" s="445">
        <f ca="1">ROUND(IF(ISERROR(OFFSET(Bronzo!$A$1,MATCH(H1078,Bronzo!$A:$A,0)-1,MATCH(I1078,Bronzo!$A$1:$AA$1,0)-1)=TRUE),0,OFFSET(Bronzo!$A$1,MATCH(H1078,Bronzo!$A:$A,0)-1,MATCH(I1078,Bronzo!$A$1:$AA$1,0)-1)),4)</f>
        <v>0</v>
      </c>
      <c r="T1078" s="445">
        <f t="shared" ca="1" si="275"/>
        <v>0</v>
      </c>
      <c r="U1078" s="442"/>
      <c r="V1078" s="445">
        <v>0</v>
      </c>
      <c r="W1078" s="448">
        <f t="shared" ca="1" si="276"/>
        <v>0</v>
      </c>
      <c r="X1078" s="451">
        <f t="shared" si="267"/>
        <v>0</v>
      </c>
      <c r="Y1078" s="439"/>
      <c r="Z1078" s="439">
        <f t="shared" ca="1" si="277"/>
        <v>0</v>
      </c>
      <c r="AA1078" s="404"/>
      <c r="AF1078" s="372">
        <f t="shared" ca="1" si="279"/>
        <v>46156</v>
      </c>
      <c r="AG1078" s="372" t="b">
        <f t="shared" si="280"/>
        <v>1</v>
      </c>
      <c r="AH1078" s="405" t="str">
        <f t="shared" si="281"/>
        <v/>
      </c>
      <c r="AK1078">
        <f t="shared" si="282"/>
        <v>0</v>
      </c>
      <c r="AL1078">
        <f t="shared" si="283"/>
        <v>1900</v>
      </c>
      <c r="AS1078">
        <f t="shared" si="284"/>
        <v>0</v>
      </c>
      <c r="AT1078">
        <f t="shared" si="285"/>
        <v>0</v>
      </c>
    </row>
    <row r="1079" spans="1:46" customFormat="1" ht="15.75" x14ac:dyDescent="0.25">
      <c r="A1079" s="369"/>
      <c r="B1079" s="398"/>
      <c r="C1079" s="399"/>
      <c r="D1079" s="400"/>
      <c r="E1079" s="401"/>
      <c r="F1079" s="434"/>
      <c r="G1079" s="402"/>
      <c r="H1079" s="403"/>
      <c r="I1079" s="403"/>
      <c r="J1079" s="439"/>
      <c r="K1079" s="442">
        <f ca="1">ROUND(IF(ISERROR(OFFSET(Tabella!$A$1,MATCH(H1079,Tabella!$A:$A,0)-1,MATCH(J1079,Tabella!$A$1:$AC$1,0)-1)=TRUE),0,+OFFSET(Tabella!$A$1,MATCH(H1079,Tabella!$A:$A,0)-1,MATCH(J1079,Tabella!$A$1:$AC$1,0)-1)),4)</f>
        <v>0</v>
      </c>
      <c r="L1079" s="445">
        <f ca="1">ROUND(IF(ISERROR(OFFSET(Ottone!$A$1,MATCH(H1079,Ottone!$A:$A,0)-1,MATCH(J1079,Ottone!$A$1:$Z$1,0)-1)=TRUE),0,OFFSET(Ottone!$A$1,MATCH(H1079,Ottone!$A:$A,0)-1,MATCH(J1079,Ottone!$A$1:$Z$1,0)-1))*IF(E1079="Ottone",1,0),4)</f>
        <v>0</v>
      </c>
      <c r="M1079" s="445">
        <f ca="1">ROUND(IF(ISERROR(OFFSET(Rame!$A$1,MATCH(H1079,Rame!$A:$A,0)-1,MATCH(J1079,Rame!$A$1:$AA$1,0)-1)=TRUE),0,OFFSET(Rame!$A$1,MATCH(H1079,Rame!$A:$A,0)-1,MATCH(J1079,Rame!$A$1:$AA$1,0)-1))*IF(E1079="Rame",1,0),4)</f>
        <v>0</v>
      </c>
      <c r="N1079" s="445"/>
      <c r="O1079" s="445">
        <f t="shared" ca="1" si="278"/>
        <v>0</v>
      </c>
      <c r="P1079" s="445">
        <f ca="1">ROUND(+IF(ISERROR(OFFSET(Tabella!$G$1,MATCH(H1079,Tabella!$G:$G,0)-1,MATCH(I1079,Tabella!$G$1:$FG$1,0)-1)=TRUE),0,OFFSET(Tabella!$G$1,MATCH(H1079,Tabella!$G:$G,0)-1,MATCH(I1079,Tabella!$G$1:$AB$1,0)-1)),4)</f>
        <v>0</v>
      </c>
      <c r="Q1079" s="445">
        <f ca="1">ROUND(IF(ISERROR(OFFSET(Ottone!$F$1,MATCH(H1079,Ottone!$A:$A,0)-1,MATCH(I1079,Ottone!$F$1:$FF$1,0)-1)=TRUE),0,OFFSET(Ottone!$F$1,MATCH(H1079,Ottone!$A:$A,0)-1,MATCH(I1079,Ottone!$F$1:$FF$1,0)-1))*IF(E1079="Ottone",1,0),4)</f>
        <v>0</v>
      </c>
      <c r="R1079" s="445">
        <f ca="1">ROUND(IF(ISERROR(OFFSET(Rame!$F$1,MATCH(H1079,Rame!$F:$F,0)-1,MATCH(I1079,Rame!$F$1:$FF$1,0)-1)=TRUE),0,OFFSET(Rame!$F$1,MATCH(H1079,Rame!$F:$F,0)-1,MATCH(I1079,Rame!$F$1:$FF$1,0)-1))*IF(E1079="Rame",1,0),4)</f>
        <v>0</v>
      </c>
      <c r="S1079" s="445">
        <f ca="1">ROUND(IF(ISERROR(OFFSET(Bronzo!$A$1,MATCH(H1079,Bronzo!$A:$A,0)-1,MATCH(I1079,Bronzo!$A$1:$AA$1,0)-1)=TRUE),0,OFFSET(Bronzo!$A$1,MATCH(H1079,Bronzo!$A:$A,0)-1,MATCH(I1079,Bronzo!$A$1:$AA$1,0)-1)),4)</f>
        <v>0</v>
      </c>
      <c r="T1079" s="445">
        <f t="shared" ca="1" si="275"/>
        <v>0</v>
      </c>
      <c r="U1079" s="442"/>
      <c r="V1079" s="445">
        <v>0</v>
      </c>
      <c r="W1079" s="448">
        <f t="shared" ca="1" si="276"/>
        <v>0</v>
      </c>
      <c r="X1079" s="451">
        <f t="shared" si="267"/>
        <v>0</v>
      </c>
      <c r="Y1079" s="439"/>
      <c r="Z1079" s="439">
        <f t="shared" ca="1" si="277"/>
        <v>0</v>
      </c>
      <c r="AA1079" s="404"/>
      <c r="AF1079" s="372">
        <f t="shared" ca="1" si="279"/>
        <v>46156</v>
      </c>
      <c r="AG1079" s="372" t="b">
        <f t="shared" si="280"/>
        <v>1</v>
      </c>
      <c r="AH1079" s="405" t="str">
        <f t="shared" si="281"/>
        <v/>
      </c>
      <c r="AK1079">
        <f t="shared" si="282"/>
        <v>0</v>
      </c>
      <c r="AL1079">
        <f t="shared" si="283"/>
        <v>1900</v>
      </c>
      <c r="AS1079">
        <f t="shared" si="284"/>
        <v>0</v>
      </c>
      <c r="AT1079">
        <f t="shared" si="285"/>
        <v>0</v>
      </c>
    </row>
    <row r="1080" spans="1:46" customFormat="1" ht="15.75" x14ac:dyDescent="0.25">
      <c r="A1080" s="369"/>
      <c r="B1080" s="398"/>
      <c r="C1080" s="399"/>
      <c r="D1080" s="400"/>
      <c r="E1080" s="401"/>
      <c r="F1080" s="434"/>
      <c r="G1080" s="402"/>
      <c r="H1080" s="403"/>
      <c r="I1080" s="403"/>
      <c r="J1080" s="439"/>
      <c r="K1080" s="442">
        <f ca="1">ROUND(IF(ISERROR(OFFSET(Tabella!$A$1,MATCH(H1080,Tabella!$A:$A,0)-1,MATCH(J1080,Tabella!$A$1:$AC$1,0)-1)=TRUE),0,+OFFSET(Tabella!$A$1,MATCH(H1080,Tabella!$A:$A,0)-1,MATCH(J1080,Tabella!$A$1:$AC$1,0)-1)),4)</f>
        <v>0</v>
      </c>
      <c r="L1080" s="445">
        <f ca="1">ROUND(IF(ISERROR(OFFSET(Ottone!$A$1,MATCH(H1080,Ottone!$A:$A,0)-1,MATCH(J1080,Ottone!$A$1:$Z$1,0)-1)=TRUE),0,OFFSET(Ottone!$A$1,MATCH(H1080,Ottone!$A:$A,0)-1,MATCH(J1080,Ottone!$A$1:$Z$1,0)-1))*IF(E1080="Ottone",1,0),4)</f>
        <v>0</v>
      </c>
      <c r="M1080" s="445">
        <f ca="1">ROUND(IF(ISERROR(OFFSET(Rame!$A$1,MATCH(H1080,Rame!$A:$A,0)-1,MATCH(J1080,Rame!$A$1:$AA$1,0)-1)=TRUE),0,OFFSET(Rame!$A$1,MATCH(H1080,Rame!$A:$A,0)-1,MATCH(J1080,Rame!$A$1:$AA$1,0)-1))*IF(E1080="Rame",1,0),4)</f>
        <v>0</v>
      </c>
      <c r="N1080" s="445"/>
      <c r="O1080" s="445">
        <f t="shared" ca="1" si="278"/>
        <v>0</v>
      </c>
      <c r="P1080" s="445">
        <f ca="1">ROUND(+IF(ISERROR(OFFSET(Tabella!$G$1,MATCH(H1080,Tabella!$G:$G,0)-1,MATCH(I1080,Tabella!$G$1:$FG$1,0)-1)=TRUE),0,OFFSET(Tabella!$G$1,MATCH(H1080,Tabella!$G:$G,0)-1,MATCH(I1080,Tabella!$G$1:$AB$1,0)-1)),4)</f>
        <v>0</v>
      </c>
      <c r="Q1080" s="445">
        <f ca="1">ROUND(IF(ISERROR(OFFSET(Ottone!$F$1,MATCH(H1080,Ottone!$A:$A,0)-1,MATCH(I1080,Ottone!$F$1:$FF$1,0)-1)=TRUE),0,OFFSET(Ottone!$F$1,MATCH(H1080,Ottone!$A:$A,0)-1,MATCH(I1080,Ottone!$F$1:$FF$1,0)-1))*IF(E1080="Ottone",1,0),4)</f>
        <v>0</v>
      </c>
      <c r="R1080" s="445">
        <f ca="1">ROUND(IF(ISERROR(OFFSET(Rame!$F$1,MATCH(H1080,Rame!$F:$F,0)-1,MATCH(I1080,Rame!$F$1:$FF$1,0)-1)=TRUE),0,OFFSET(Rame!$F$1,MATCH(H1080,Rame!$F:$F,0)-1,MATCH(I1080,Rame!$F$1:$FF$1,0)-1))*IF(E1080="Rame",1,0),4)</f>
        <v>0</v>
      </c>
      <c r="S1080" s="445">
        <f ca="1">ROUND(IF(ISERROR(OFFSET(Bronzo!$A$1,MATCH(H1080,Bronzo!$A:$A,0)-1,MATCH(I1080,Bronzo!$A$1:$AA$1,0)-1)=TRUE),0,OFFSET(Bronzo!$A$1,MATCH(H1080,Bronzo!$A:$A,0)-1,MATCH(I1080,Bronzo!$A$1:$AA$1,0)-1)),4)</f>
        <v>0</v>
      </c>
      <c r="T1080" s="445">
        <f t="shared" ca="1" si="275"/>
        <v>0</v>
      </c>
      <c r="U1080" s="442"/>
      <c r="V1080" s="445">
        <v>0</v>
      </c>
      <c r="W1080" s="448">
        <f t="shared" ca="1" si="276"/>
        <v>0</v>
      </c>
      <c r="X1080" s="451">
        <f t="shared" si="267"/>
        <v>0</v>
      </c>
      <c r="Y1080" s="439"/>
      <c r="Z1080" s="439">
        <f t="shared" ca="1" si="277"/>
        <v>0</v>
      </c>
      <c r="AA1080" s="404"/>
      <c r="AF1080" s="372">
        <f t="shared" ca="1" si="279"/>
        <v>46156</v>
      </c>
      <c r="AG1080" s="372" t="b">
        <f t="shared" si="280"/>
        <v>1</v>
      </c>
      <c r="AH1080" s="405" t="str">
        <f t="shared" si="281"/>
        <v/>
      </c>
      <c r="AK1080">
        <f t="shared" si="282"/>
        <v>0</v>
      </c>
      <c r="AL1080">
        <f t="shared" si="283"/>
        <v>1900</v>
      </c>
      <c r="AS1080">
        <f t="shared" si="284"/>
        <v>0</v>
      </c>
      <c r="AT1080">
        <f t="shared" si="285"/>
        <v>0</v>
      </c>
    </row>
    <row r="1081" spans="1:46" customFormat="1" ht="15.75" x14ac:dyDescent="0.25">
      <c r="A1081" s="369"/>
      <c r="B1081" s="398"/>
      <c r="C1081" s="399"/>
      <c r="D1081" s="400"/>
      <c r="E1081" s="401"/>
      <c r="F1081" s="434"/>
      <c r="G1081" s="402"/>
      <c r="H1081" s="403"/>
      <c r="I1081" s="403"/>
      <c r="J1081" s="439"/>
      <c r="K1081" s="442">
        <f ca="1">ROUND(IF(ISERROR(OFFSET(Tabella!$A$1,MATCH(H1081,Tabella!$A:$A,0)-1,MATCH(J1081,Tabella!$A$1:$AC$1,0)-1)=TRUE),0,+OFFSET(Tabella!$A$1,MATCH(H1081,Tabella!$A:$A,0)-1,MATCH(J1081,Tabella!$A$1:$AC$1,0)-1)),4)</f>
        <v>0</v>
      </c>
      <c r="L1081" s="445">
        <f ca="1">ROUND(IF(ISERROR(OFFSET(Ottone!$A$1,MATCH(H1081,Ottone!$A:$A,0)-1,MATCH(J1081,Ottone!$A$1:$Z$1,0)-1)=TRUE),0,OFFSET(Ottone!$A$1,MATCH(H1081,Ottone!$A:$A,0)-1,MATCH(J1081,Ottone!$A$1:$Z$1,0)-1))*IF(E1081="Ottone",1,0),4)</f>
        <v>0</v>
      </c>
      <c r="M1081" s="445">
        <f ca="1">ROUND(IF(ISERROR(OFFSET(Rame!$A$1,MATCH(H1081,Rame!$A:$A,0)-1,MATCH(J1081,Rame!$A$1:$AA$1,0)-1)=TRUE),0,OFFSET(Rame!$A$1,MATCH(H1081,Rame!$A:$A,0)-1,MATCH(J1081,Rame!$A$1:$AA$1,0)-1))*IF(E1081="Rame",1,0),4)</f>
        <v>0</v>
      </c>
      <c r="N1081" s="445"/>
      <c r="O1081" s="445">
        <f t="shared" ca="1" si="278"/>
        <v>0</v>
      </c>
      <c r="P1081" s="445">
        <f ca="1">ROUND(+IF(ISERROR(OFFSET(Tabella!$G$1,MATCH(H1081,Tabella!$G:$G,0)-1,MATCH(I1081,Tabella!$G$1:$FG$1,0)-1)=TRUE),0,OFFSET(Tabella!$G$1,MATCH(H1081,Tabella!$G:$G,0)-1,MATCH(I1081,Tabella!$G$1:$AB$1,0)-1)),4)</f>
        <v>0</v>
      </c>
      <c r="Q1081" s="445">
        <f ca="1">ROUND(IF(ISERROR(OFFSET(Ottone!$F$1,MATCH(H1081,Ottone!$A:$A,0)-1,MATCH(I1081,Ottone!$F$1:$FF$1,0)-1)=TRUE),0,OFFSET(Ottone!$F$1,MATCH(H1081,Ottone!$A:$A,0)-1,MATCH(I1081,Ottone!$F$1:$FF$1,0)-1))*IF(E1081="Ottone",1,0),4)</f>
        <v>0</v>
      </c>
      <c r="R1081" s="445">
        <f ca="1">ROUND(IF(ISERROR(OFFSET(Rame!$F$1,MATCH(H1081,Rame!$F:$F,0)-1,MATCH(I1081,Rame!$F$1:$FF$1,0)-1)=TRUE),0,OFFSET(Rame!$F$1,MATCH(H1081,Rame!$F:$F,0)-1,MATCH(I1081,Rame!$F$1:$FF$1,0)-1))*IF(E1081="Rame",1,0),4)</f>
        <v>0</v>
      </c>
      <c r="S1081" s="445">
        <f ca="1">ROUND(IF(ISERROR(OFFSET(Bronzo!$A$1,MATCH(H1081,Bronzo!$A:$A,0)-1,MATCH(I1081,Bronzo!$A$1:$AA$1,0)-1)=TRUE),0,OFFSET(Bronzo!$A$1,MATCH(H1081,Bronzo!$A:$A,0)-1,MATCH(I1081,Bronzo!$A$1:$AA$1,0)-1)),4)</f>
        <v>0</v>
      </c>
      <c r="T1081" s="445">
        <f t="shared" ca="1" si="275"/>
        <v>0</v>
      </c>
      <c r="U1081" s="442"/>
      <c r="V1081" s="445">
        <v>0</v>
      </c>
      <c r="W1081" s="448">
        <f t="shared" ca="1" si="276"/>
        <v>0</v>
      </c>
      <c r="X1081" s="451">
        <f t="shared" si="267"/>
        <v>0</v>
      </c>
      <c r="Y1081" s="439"/>
      <c r="Z1081" s="439">
        <f t="shared" ca="1" si="277"/>
        <v>0</v>
      </c>
      <c r="AA1081" s="404"/>
      <c r="AF1081" s="372">
        <f t="shared" ca="1" si="279"/>
        <v>46156</v>
      </c>
      <c r="AG1081" s="372" t="b">
        <f t="shared" si="280"/>
        <v>1</v>
      </c>
      <c r="AH1081" s="405" t="str">
        <f t="shared" si="281"/>
        <v/>
      </c>
      <c r="AK1081">
        <f t="shared" si="282"/>
        <v>0</v>
      </c>
      <c r="AL1081">
        <f t="shared" si="283"/>
        <v>1900</v>
      </c>
      <c r="AS1081">
        <f t="shared" si="284"/>
        <v>0</v>
      </c>
      <c r="AT1081">
        <f t="shared" si="285"/>
        <v>0</v>
      </c>
    </row>
    <row r="1082" spans="1:46" customFormat="1" ht="15.75" x14ac:dyDescent="0.25">
      <c r="A1082" s="369"/>
      <c r="B1082" s="398"/>
      <c r="C1082" s="399"/>
      <c r="D1082" s="400"/>
      <c r="E1082" s="401"/>
      <c r="F1082" s="434"/>
      <c r="G1082" s="402"/>
      <c r="H1082" s="403"/>
      <c r="I1082" s="403"/>
      <c r="J1082" s="439"/>
      <c r="K1082" s="442">
        <f ca="1">ROUND(IF(ISERROR(OFFSET(Tabella!$A$1,MATCH(H1082,Tabella!$A:$A,0)-1,MATCH(J1082,Tabella!$A$1:$AC$1,0)-1)=TRUE),0,+OFFSET(Tabella!$A$1,MATCH(H1082,Tabella!$A:$A,0)-1,MATCH(J1082,Tabella!$A$1:$AC$1,0)-1)),4)</f>
        <v>0</v>
      </c>
      <c r="L1082" s="445">
        <f ca="1">ROUND(IF(ISERROR(OFFSET(Ottone!$A$1,MATCH(H1082,Ottone!$A:$A,0)-1,MATCH(J1082,Ottone!$A$1:$Z$1,0)-1)=TRUE),0,OFFSET(Ottone!$A$1,MATCH(H1082,Ottone!$A:$A,0)-1,MATCH(J1082,Ottone!$A$1:$Z$1,0)-1))*IF(E1082="Ottone",1,0),4)</f>
        <v>0</v>
      </c>
      <c r="M1082" s="445">
        <f ca="1">ROUND(IF(ISERROR(OFFSET(Rame!$A$1,MATCH(H1082,Rame!$A:$A,0)-1,MATCH(J1082,Rame!$A$1:$AA$1,0)-1)=TRUE),0,OFFSET(Rame!$A$1,MATCH(H1082,Rame!$A:$A,0)-1,MATCH(J1082,Rame!$A$1:$AA$1,0)-1))*IF(E1082="Rame",1,0),4)</f>
        <v>0</v>
      </c>
      <c r="N1082" s="445"/>
      <c r="O1082" s="445">
        <f t="shared" ca="1" si="278"/>
        <v>0</v>
      </c>
      <c r="P1082" s="445">
        <f ca="1">ROUND(+IF(ISERROR(OFFSET(Tabella!$G$1,MATCH(H1082,Tabella!$G:$G,0)-1,MATCH(I1082,Tabella!$G$1:$FG$1,0)-1)=TRUE),0,OFFSET(Tabella!$G$1,MATCH(H1082,Tabella!$G:$G,0)-1,MATCH(I1082,Tabella!$G$1:$AB$1,0)-1)),4)</f>
        <v>0</v>
      </c>
      <c r="Q1082" s="445">
        <f ca="1">ROUND(IF(ISERROR(OFFSET(Ottone!$F$1,MATCH(H1082,Ottone!$A:$A,0)-1,MATCH(I1082,Ottone!$F$1:$FF$1,0)-1)=TRUE),0,OFFSET(Ottone!$F$1,MATCH(H1082,Ottone!$A:$A,0)-1,MATCH(I1082,Ottone!$F$1:$FF$1,0)-1))*IF(E1082="Ottone",1,0),4)</f>
        <v>0</v>
      </c>
      <c r="R1082" s="445">
        <f ca="1">ROUND(IF(ISERROR(OFFSET(Rame!$F$1,MATCH(H1082,Rame!$F:$F,0)-1,MATCH(I1082,Rame!$F$1:$FF$1,0)-1)=TRUE),0,OFFSET(Rame!$F$1,MATCH(H1082,Rame!$F:$F,0)-1,MATCH(I1082,Rame!$F$1:$FF$1,0)-1))*IF(E1082="Rame",1,0),4)</f>
        <v>0</v>
      </c>
      <c r="S1082" s="445">
        <f ca="1">ROUND(IF(ISERROR(OFFSET(Bronzo!$A$1,MATCH(H1082,Bronzo!$A:$A,0)-1,MATCH(I1082,Bronzo!$A$1:$AA$1,0)-1)=TRUE),0,OFFSET(Bronzo!$A$1,MATCH(H1082,Bronzo!$A:$A,0)-1,MATCH(I1082,Bronzo!$A$1:$AA$1,0)-1)),4)</f>
        <v>0</v>
      </c>
      <c r="T1082" s="445">
        <f t="shared" ca="1" si="275"/>
        <v>0</v>
      </c>
      <c r="U1082" s="442"/>
      <c r="V1082" s="445">
        <v>0</v>
      </c>
      <c r="W1082" s="448">
        <f t="shared" ca="1" si="276"/>
        <v>0</v>
      </c>
      <c r="X1082" s="451">
        <f t="shared" si="267"/>
        <v>0</v>
      </c>
      <c r="Y1082" s="439"/>
      <c r="Z1082" s="439">
        <f t="shared" ca="1" si="277"/>
        <v>0</v>
      </c>
      <c r="AA1082" s="404"/>
      <c r="AF1082" s="372">
        <f t="shared" ca="1" si="279"/>
        <v>46156</v>
      </c>
      <c r="AG1082" s="372" t="b">
        <f t="shared" si="280"/>
        <v>1</v>
      </c>
      <c r="AH1082" s="405" t="str">
        <f t="shared" si="281"/>
        <v/>
      </c>
      <c r="AK1082">
        <f t="shared" si="282"/>
        <v>0</v>
      </c>
      <c r="AL1082">
        <f t="shared" si="283"/>
        <v>1900</v>
      </c>
      <c r="AS1082">
        <f t="shared" si="284"/>
        <v>0</v>
      </c>
      <c r="AT1082">
        <f t="shared" si="285"/>
        <v>0</v>
      </c>
    </row>
    <row r="1083" spans="1:46" customFormat="1" ht="15.75" x14ac:dyDescent="0.25">
      <c r="A1083" s="369"/>
      <c r="B1083" s="398"/>
      <c r="C1083" s="399"/>
      <c r="D1083" s="400"/>
      <c r="E1083" s="401"/>
      <c r="F1083" s="434"/>
      <c r="G1083" s="402"/>
      <c r="H1083" s="403"/>
      <c r="I1083" s="403"/>
      <c r="J1083" s="439"/>
      <c r="K1083" s="442">
        <f ca="1">ROUND(IF(ISERROR(OFFSET(Tabella!$A$1,MATCH(H1083,Tabella!$A:$A,0)-1,MATCH(J1083,Tabella!$A$1:$AC$1,0)-1)=TRUE),0,+OFFSET(Tabella!$A$1,MATCH(H1083,Tabella!$A:$A,0)-1,MATCH(J1083,Tabella!$A$1:$AC$1,0)-1)),4)</f>
        <v>0</v>
      </c>
      <c r="L1083" s="445">
        <f ca="1">ROUND(IF(ISERROR(OFFSET(Ottone!$A$1,MATCH(H1083,Ottone!$A:$A,0)-1,MATCH(J1083,Ottone!$A$1:$Z$1,0)-1)=TRUE),0,OFFSET(Ottone!$A$1,MATCH(H1083,Ottone!$A:$A,0)-1,MATCH(J1083,Ottone!$A$1:$Z$1,0)-1))*IF(E1083="Ottone",1,0),4)</f>
        <v>0</v>
      </c>
      <c r="M1083" s="445">
        <f ca="1">ROUND(IF(ISERROR(OFFSET(Rame!$A$1,MATCH(H1083,Rame!$A:$A,0)-1,MATCH(J1083,Rame!$A$1:$AA$1,0)-1)=TRUE),0,OFFSET(Rame!$A$1,MATCH(H1083,Rame!$A:$A,0)-1,MATCH(J1083,Rame!$A$1:$AA$1,0)-1))*IF(E1083="Rame",1,0),4)</f>
        <v>0</v>
      </c>
      <c r="N1083" s="445"/>
      <c r="O1083" s="445">
        <f t="shared" ca="1" si="278"/>
        <v>0</v>
      </c>
      <c r="P1083" s="445">
        <f ca="1">ROUND(+IF(ISERROR(OFFSET(Tabella!$G$1,MATCH(H1083,Tabella!$G:$G,0)-1,MATCH(I1083,Tabella!$G$1:$FG$1,0)-1)=TRUE),0,OFFSET(Tabella!$G$1,MATCH(H1083,Tabella!$G:$G,0)-1,MATCH(I1083,Tabella!$G$1:$AB$1,0)-1)),4)</f>
        <v>0</v>
      </c>
      <c r="Q1083" s="445">
        <f ca="1">ROUND(IF(ISERROR(OFFSET(Ottone!$F$1,MATCH(H1083,Ottone!$A:$A,0)-1,MATCH(I1083,Ottone!$F$1:$FF$1,0)-1)=TRUE),0,OFFSET(Ottone!$F$1,MATCH(H1083,Ottone!$A:$A,0)-1,MATCH(I1083,Ottone!$F$1:$FF$1,0)-1))*IF(E1083="Ottone",1,0),4)</f>
        <v>0</v>
      </c>
      <c r="R1083" s="445">
        <f ca="1">ROUND(IF(ISERROR(OFFSET(Rame!$F$1,MATCH(H1083,Rame!$F:$F,0)-1,MATCH(I1083,Rame!$F$1:$FF$1,0)-1)=TRUE),0,OFFSET(Rame!$F$1,MATCH(H1083,Rame!$F:$F,0)-1,MATCH(I1083,Rame!$F$1:$FF$1,0)-1))*IF(E1083="Rame",1,0),4)</f>
        <v>0</v>
      </c>
      <c r="S1083" s="445">
        <f ca="1">ROUND(IF(ISERROR(OFFSET(Bronzo!$A$1,MATCH(H1083,Bronzo!$A:$A,0)-1,MATCH(I1083,Bronzo!$A$1:$AA$1,0)-1)=TRUE),0,OFFSET(Bronzo!$A$1,MATCH(H1083,Bronzo!$A:$A,0)-1,MATCH(I1083,Bronzo!$A$1:$AA$1,0)-1)),4)</f>
        <v>0</v>
      </c>
      <c r="T1083" s="445">
        <f t="shared" ca="1" si="275"/>
        <v>0</v>
      </c>
      <c r="U1083" s="442"/>
      <c r="V1083" s="445">
        <v>0</v>
      </c>
      <c r="W1083" s="448">
        <f t="shared" ca="1" si="276"/>
        <v>0</v>
      </c>
      <c r="X1083" s="451">
        <f t="shared" si="267"/>
        <v>0</v>
      </c>
      <c r="Y1083" s="439"/>
      <c r="Z1083" s="439">
        <f t="shared" ca="1" si="277"/>
        <v>0</v>
      </c>
      <c r="AA1083" s="404"/>
      <c r="AF1083" s="372">
        <f t="shared" ca="1" si="279"/>
        <v>46156</v>
      </c>
      <c r="AG1083" s="372" t="b">
        <f t="shared" si="280"/>
        <v>1</v>
      </c>
      <c r="AH1083" s="405" t="str">
        <f t="shared" si="281"/>
        <v/>
      </c>
      <c r="AK1083">
        <f t="shared" si="282"/>
        <v>0</v>
      </c>
      <c r="AL1083">
        <f t="shared" si="283"/>
        <v>1900</v>
      </c>
      <c r="AS1083">
        <f t="shared" si="284"/>
        <v>0</v>
      </c>
      <c r="AT1083">
        <f t="shared" si="285"/>
        <v>0</v>
      </c>
    </row>
    <row r="1084" spans="1:46" customFormat="1" ht="15.75" x14ac:dyDescent="0.25">
      <c r="A1084" s="369"/>
      <c r="B1084" s="398"/>
      <c r="C1084" s="399"/>
      <c r="D1084" s="400"/>
      <c r="E1084" s="401"/>
      <c r="F1084" s="434"/>
      <c r="G1084" s="402"/>
      <c r="H1084" s="403"/>
      <c r="I1084" s="403"/>
      <c r="J1084" s="439"/>
      <c r="K1084" s="442">
        <f ca="1">ROUND(IF(ISERROR(OFFSET(Tabella!$A$1,MATCH(H1084,Tabella!$A:$A,0)-1,MATCH(J1084,Tabella!$A$1:$AC$1,0)-1)=TRUE),0,+OFFSET(Tabella!$A$1,MATCH(H1084,Tabella!$A:$A,0)-1,MATCH(J1084,Tabella!$A$1:$AC$1,0)-1)),4)</f>
        <v>0</v>
      </c>
      <c r="L1084" s="445">
        <f ca="1">ROUND(IF(ISERROR(OFFSET(Ottone!$A$1,MATCH(H1084,Ottone!$A:$A,0)-1,MATCH(J1084,Ottone!$A$1:$Z$1,0)-1)=TRUE),0,OFFSET(Ottone!$A$1,MATCH(H1084,Ottone!$A:$A,0)-1,MATCH(J1084,Ottone!$A$1:$Z$1,0)-1))*IF(E1084="Ottone",1,0),4)</f>
        <v>0</v>
      </c>
      <c r="M1084" s="445">
        <f ca="1">ROUND(IF(ISERROR(OFFSET(Rame!$A$1,MATCH(H1084,Rame!$A:$A,0)-1,MATCH(J1084,Rame!$A$1:$AA$1,0)-1)=TRUE),0,OFFSET(Rame!$A$1,MATCH(H1084,Rame!$A:$A,0)-1,MATCH(J1084,Rame!$A$1:$AA$1,0)-1))*IF(E1084="Rame",1,0),4)</f>
        <v>0</v>
      </c>
      <c r="N1084" s="445"/>
      <c r="O1084" s="445">
        <f t="shared" ca="1" si="278"/>
        <v>0</v>
      </c>
      <c r="P1084" s="445">
        <f ca="1">ROUND(+IF(ISERROR(OFFSET(Tabella!$G$1,MATCH(H1084,Tabella!$G:$G,0)-1,MATCH(I1084,Tabella!$G$1:$FG$1,0)-1)=TRUE),0,OFFSET(Tabella!$G$1,MATCH(H1084,Tabella!$G:$G,0)-1,MATCH(I1084,Tabella!$G$1:$AB$1,0)-1)),4)</f>
        <v>0</v>
      </c>
      <c r="Q1084" s="445">
        <f ca="1">ROUND(IF(ISERROR(OFFSET(Ottone!$F$1,MATCH(H1084,Ottone!$A:$A,0)-1,MATCH(I1084,Ottone!$F$1:$FF$1,0)-1)=TRUE),0,OFFSET(Ottone!$F$1,MATCH(H1084,Ottone!$A:$A,0)-1,MATCH(I1084,Ottone!$F$1:$FF$1,0)-1))*IF(E1084="Ottone",1,0),4)</f>
        <v>0</v>
      </c>
      <c r="R1084" s="445">
        <f ca="1">ROUND(IF(ISERROR(OFFSET(Rame!$F$1,MATCH(H1084,Rame!$F:$F,0)-1,MATCH(I1084,Rame!$F$1:$FF$1,0)-1)=TRUE),0,OFFSET(Rame!$F$1,MATCH(H1084,Rame!$F:$F,0)-1,MATCH(I1084,Rame!$F$1:$FF$1,0)-1))*IF(E1084="Rame",1,0),4)</f>
        <v>0</v>
      </c>
      <c r="S1084" s="445">
        <f ca="1">ROUND(IF(ISERROR(OFFSET(Bronzo!$A$1,MATCH(H1084,Bronzo!$A:$A,0)-1,MATCH(I1084,Bronzo!$A$1:$AA$1,0)-1)=TRUE),0,OFFSET(Bronzo!$A$1,MATCH(H1084,Bronzo!$A:$A,0)-1,MATCH(I1084,Bronzo!$A$1:$AA$1,0)-1)),4)</f>
        <v>0</v>
      </c>
      <c r="T1084" s="445">
        <f t="shared" ca="1" si="275"/>
        <v>0</v>
      </c>
      <c r="U1084" s="442"/>
      <c r="V1084" s="445">
        <v>0</v>
      </c>
      <c r="W1084" s="448">
        <f t="shared" ca="1" si="276"/>
        <v>0</v>
      </c>
      <c r="X1084" s="451">
        <f t="shared" si="267"/>
        <v>0</v>
      </c>
      <c r="Y1084" s="439"/>
      <c r="Z1084" s="439">
        <f t="shared" ca="1" si="277"/>
        <v>0</v>
      </c>
      <c r="AA1084" s="404"/>
      <c r="AF1084" s="372">
        <f t="shared" ca="1" si="279"/>
        <v>46156</v>
      </c>
      <c r="AG1084" s="372" t="b">
        <f t="shared" si="280"/>
        <v>1</v>
      </c>
      <c r="AH1084" s="405" t="str">
        <f t="shared" si="281"/>
        <v/>
      </c>
      <c r="AK1084">
        <f t="shared" si="282"/>
        <v>0</v>
      </c>
      <c r="AL1084">
        <f t="shared" si="283"/>
        <v>1900</v>
      </c>
      <c r="AS1084">
        <f t="shared" si="284"/>
        <v>0</v>
      </c>
      <c r="AT1084">
        <f t="shared" si="285"/>
        <v>0</v>
      </c>
    </row>
    <row r="1085" spans="1:46" customFormat="1" ht="15.75" x14ac:dyDescent="0.25">
      <c r="A1085" s="369"/>
      <c r="B1085" s="398"/>
      <c r="C1085" s="399"/>
      <c r="D1085" s="400"/>
      <c r="E1085" s="401"/>
      <c r="F1085" s="434"/>
      <c r="G1085" s="402"/>
      <c r="H1085" s="403"/>
      <c r="I1085" s="403"/>
      <c r="J1085" s="439"/>
      <c r="K1085" s="442">
        <f ca="1">ROUND(IF(ISERROR(OFFSET(Tabella!$A$1,MATCH(H1085,Tabella!$A:$A,0)-1,MATCH(J1085,Tabella!$A$1:$AC$1,0)-1)=TRUE),0,+OFFSET(Tabella!$A$1,MATCH(H1085,Tabella!$A:$A,0)-1,MATCH(J1085,Tabella!$A$1:$AC$1,0)-1)),4)</f>
        <v>0</v>
      </c>
      <c r="L1085" s="445">
        <f ca="1">ROUND(IF(ISERROR(OFFSET(Ottone!$A$1,MATCH(H1085,Ottone!$A:$A,0)-1,MATCH(J1085,Ottone!$A$1:$Z$1,0)-1)=TRUE),0,OFFSET(Ottone!$A$1,MATCH(H1085,Ottone!$A:$A,0)-1,MATCH(J1085,Ottone!$A$1:$Z$1,0)-1))*IF(E1085="Ottone",1,0),4)</f>
        <v>0</v>
      </c>
      <c r="M1085" s="445">
        <f ca="1">ROUND(IF(ISERROR(OFFSET(Rame!$A$1,MATCH(H1085,Rame!$A:$A,0)-1,MATCH(J1085,Rame!$A$1:$AA$1,0)-1)=TRUE),0,OFFSET(Rame!$A$1,MATCH(H1085,Rame!$A:$A,0)-1,MATCH(J1085,Rame!$A$1:$AA$1,0)-1))*IF(E1085="Rame",1,0),4)</f>
        <v>0</v>
      </c>
      <c r="N1085" s="445"/>
      <c r="O1085" s="445">
        <f t="shared" ca="1" si="278"/>
        <v>0</v>
      </c>
      <c r="P1085" s="445">
        <f ca="1">ROUND(+IF(ISERROR(OFFSET(Tabella!$G$1,MATCH(H1085,Tabella!$G:$G,0)-1,MATCH(I1085,Tabella!$G$1:$FG$1,0)-1)=TRUE),0,OFFSET(Tabella!$G$1,MATCH(H1085,Tabella!$G:$G,0)-1,MATCH(I1085,Tabella!$G$1:$AB$1,0)-1)),4)</f>
        <v>0</v>
      </c>
      <c r="Q1085" s="445">
        <f ca="1">ROUND(IF(ISERROR(OFFSET(Ottone!$F$1,MATCH(H1085,Ottone!$A:$A,0)-1,MATCH(I1085,Ottone!$F$1:$FF$1,0)-1)=TRUE),0,OFFSET(Ottone!$F$1,MATCH(H1085,Ottone!$A:$A,0)-1,MATCH(I1085,Ottone!$F$1:$FF$1,0)-1))*IF(E1085="Ottone",1,0),4)</f>
        <v>0</v>
      </c>
      <c r="R1085" s="445">
        <f ca="1">ROUND(IF(ISERROR(OFFSET(Rame!$F$1,MATCH(H1085,Rame!$F:$F,0)-1,MATCH(I1085,Rame!$F$1:$FF$1,0)-1)=TRUE),0,OFFSET(Rame!$F$1,MATCH(H1085,Rame!$F:$F,0)-1,MATCH(I1085,Rame!$F$1:$FF$1,0)-1))*IF(E1085="Rame",1,0),4)</f>
        <v>0</v>
      </c>
      <c r="S1085" s="445">
        <f ca="1">ROUND(IF(ISERROR(OFFSET(Bronzo!$A$1,MATCH(H1085,Bronzo!$A:$A,0)-1,MATCH(I1085,Bronzo!$A$1:$AA$1,0)-1)=TRUE),0,OFFSET(Bronzo!$A$1,MATCH(H1085,Bronzo!$A:$A,0)-1,MATCH(I1085,Bronzo!$A$1:$AA$1,0)-1)),4)</f>
        <v>0</v>
      </c>
      <c r="T1085" s="445">
        <f t="shared" ca="1" si="275"/>
        <v>0</v>
      </c>
      <c r="U1085" s="442"/>
      <c r="V1085" s="445">
        <v>0</v>
      </c>
      <c r="W1085" s="448">
        <f t="shared" ca="1" si="276"/>
        <v>0</v>
      </c>
      <c r="X1085" s="451">
        <f t="shared" si="267"/>
        <v>0</v>
      </c>
      <c r="Y1085" s="439"/>
      <c r="Z1085" s="439">
        <f t="shared" ca="1" si="277"/>
        <v>0</v>
      </c>
      <c r="AA1085" s="404"/>
      <c r="AF1085" s="372">
        <f t="shared" ca="1" si="279"/>
        <v>46156</v>
      </c>
      <c r="AG1085" s="372" t="b">
        <f t="shared" si="280"/>
        <v>1</v>
      </c>
      <c r="AH1085" s="405" t="str">
        <f t="shared" si="281"/>
        <v/>
      </c>
      <c r="AK1085">
        <f t="shared" si="282"/>
        <v>0</v>
      </c>
      <c r="AL1085">
        <f t="shared" si="283"/>
        <v>1900</v>
      </c>
      <c r="AS1085">
        <f t="shared" si="284"/>
        <v>0</v>
      </c>
      <c r="AT1085">
        <f t="shared" si="285"/>
        <v>0</v>
      </c>
    </row>
    <row r="1086" spans="1:46" customFormat="1" ht="15.75" x14ac:dyDescent="0.25">
      <c r="A1086" s="369"/>
      <c r="B1086" s="398"/>
      <c r="C1086" s="399"/>
      <c r="D1086" s="400"/>
      <c r="E1086" s="401"/>
      <c r="F1086" s="434"/>
      <c r="G1086" s="402"/>
      <c r="H1086" s="403"/>
      <c r="I1086" s="403"/>
      <c r="J1086" s="439"/>
      <c r="K1086" s="442">
        <f ca="1">ROUND(IF(ISERROR(OFFSET(Tabella!$A$1,MATCH(H1086,Tabella!$A:$A,0)-1,MATCH(J1086,Tabella!$A$1:$AC$1,0)-1)=TRUE),0,+OFFSET(Tabella!$A$1,MATCH(H1086,Tabella!$A:$A,0)-1,MATCH(J1086,Tabella!$A$1:$AC$1,0)-1)),4)</f>
        <v>0</v>
      </c>
      <c r="L1086" s="445">
        <f ca="1">ROUND(IF(ISERROR(OFFSET(Ottone!$A$1,MATCH(H1086,Ottone!$A:$A,0)-1,MATCH(J1086,Ottone!$A$1:$Z$1,0)-1)=TRUE),0,OFFSET(Ottone!$A$1,MATCH(H1086,Ottone!$A:$A,0)-1,MATCH(J1086,Ottone!$A$1:$Z$1,0)-1))*IF(E1086="Ottone",1,0),4)</f>
        <v>0</v>
      </c>
      <c r="M1086" s="445">
        <f ca="1">ROUND(IF(ISERROR(OFFSET(Rame!$A$1,MATCH(H1086,Rame!$A:$A,0)-1,MATCH(J1086,Rame!$A$1:$AA$1,0)-1)=TRUE),0,OFFSET(Rame!$A$1,MATCH(H1086,Rame!$A:$A,0)-1,MATCH(J1086,Rame!$A$1:$AA$1,0)-1))*IF(E1086="Rame",1,0),4)</f>
        <v>0</v>
      </c>
      <c r="N1086" s="445"/>
      <c r="O1086" s="445">
        <f t="shared" ca="1" si="278"/>
        <v>0</v>
      </c>
      <c r="P1086" s="445">
        <f ca="1">ROUND(+IF(ISERROR(OFFSET(Tabella!$G$1,MATCH(H1086,Tabella!$G:$G,0)-1,MATCH(I1086,Tabella!$G$1:$FG$1,0)-1)=TRUE),0,OFFSET(Tabella!$G$1,MATCH(H1086,Tabella!$G:$G,0)-1,MATCH(I1086,Tabella!$G$1:$AB$1,0)-1)),4)</f>
        <v>0</v>
      </c>
      <c r="Q1086" s="445">
        <f ca="1">ROUND(IF(ISERROR(OFFSET(Ottone!$F$1,MATCH(H1086,Ottone!$A:$A,0)-1,MATCH(I1086,Ottone!$F$1:$FF$1,0)-1)=TRUE),0,OFFSET(Ottone!$F$1,MATCH(H1086,Ottone!$A:$A,0)-1,MATCH(I1086,Ottone!$F$1:$FF$1,0)-1))*IF(E1086="Ottone",1,0),4)</f>
        <v>0</v>
      </c>
      <c r="R1086" s="445">
        <f ca="1">ROUND(IF(ISERROR(OFFSET(Rame!$F$1,MATCH(H1086,Rame!$F:$F,0)-1,MATCH(I1086,Rame!$F$1:$FF$1,0)-1)=TRUE),0,OFFSET(Rame!$F$1,MATCH(H1086,Rame!$F:$F,0)-1,MATCH(I1086,Rame!$F$1:$FF$1,0)-1))*IF(E1086="Rame",1,0),4)</f>
        <v>0</v>
      </c>
      <c r="S1086" s="445">
        <f ca="1">ROUND(IF(ISERROR(OFFSET(Bronzo!$A$1,MATCH(H1086,Bronzo!$A:$A,0)-1,MATCH(I1086,Bronzo!$A$1:$AA$1,0)-1)=TRUE),0,OFFSET(Bronzo!$A$1,MATCH(H1086,Bronzo!$A:$A,0)-1,MATCH(I1086,Bronzo!$A$1:$AA$1,0)-1)),4)</f>
        <v>0</v>
      </c>
      <c r="T1086" s="445">
        <f t="shared" ca="1" si="275"/>
        <v>0</v>
      </c>
      <c r="U1086" s="442"/>
      <c r="V1086" s="445">
        <v>0</v>
      </c>
      <c r="W1086" s="448">
        <f t="shared" ca="1" si="276"/>
        <v>0</v>
      </c>
      <c r="X1086" s="451">
        <f t="shared" si="267"/>
        <v>0</v>
      </c>
      <c r="Y1086" s="439"/>
      <c r="Z1086" s="439">
        <f t="shared" ca="1" si="277"/>
        <v>0</v>
      </c>
      <c r="AA1086" s="404"/>
      <c r="AF1086" s="372">
        <f t="shared" ca="1" si="279"/>
        <v>46156</v>
      </c>
      <c r="AG1086" s="372" t="b">
        <f t="shared" si="280"/>
        <v>1</v>
      </c>
      <c r="AH1086" s="405" t="str">
        <f t="shared" si="281"/>
        <v/>
      </c>
      <c r="AK1086">
        <f t="shared" si="282"/>
        <v>0</v>
      </c>
      <c r="AL1086">
        <f t="shared" si="283"/>
        <v>1900</v>
      </c>
      <c r="AS1086">
        <f t="shared" si="284"/>
        <v>0</v>
      </c>
      <c r="AT1086">
        <f t="shared" si="285"/>
        <v>0</v>
      </c>
    </row>
    <row r="1087" spans="1:46" customFormat="1" ht="15.75" x14ac:dyDescent="0.25">
      <c r="A1087" s="369"/>
      <c r="B1087" s="398"/>
      <c r="C1087" s="399"/>
      <c r="D1087" s="400"/>
      <c r="E1087" s="401"/>
      <c r="F1087" s="434"/>
      <c r="G1087" s="402"/>
      <c r="H1087" s="403"/>
      <c r="I1087" s="403"/>
      <c r="J1087" s="439"/>
      <c r="K1087" s="442">
        <f ca="1">ROUND(IF(ISERROR(OFFSET(Tabella!$A$1,MATCH(H1087,Tabella!$A:$A,0)-1,MATCH(J1087,Tabella!$A$1:$AC$1,0)-1)=TRUE),0,+OFFSET(Tabella!$A$1,MATCH(H1087,Tabella!$A:$A,0)-1,MATCH(J1087,Tabella!$A$1:$AC$1,0)-1)),4)</f>
        <v>0</v>
      </c>
      <c r="L1087" s="445">
        <f ca="1">ROUND(IF(ISERROR(OFFSET(Ottone!$A$1,MATCH(H1087,Ottone!$A:$A,0)-1,MATCH(J1087,Ottone!$A$1:$Z$1,0)-1)=TRUE),0,OFFSET(Ottone!$A$1,MATCH(H1087,Ottone!$A:$A,0)-1,MATCH(J1087,Ottone!$A$1:$Z$1,0)-1))*IF(E1087="Ottone",1,0),4)</f>
        <v>0</v>
      </c>
      <c r="M1087" s="445">
        <f ca="1">ROUND(IF(ISERROR(OFFSET(Rame!$A$1,MATCH(H1087,Rame!$A:$A,0)-1,MATCH(J1087,Rame!$A$1:$AA$1,0)-1)=TRUE),0,OFFSET(Rame!$A$1,MATCH(H1087,Rame!$A:$A,0)-1,MATCH(J1087,Rame!$A$1:$AA$1,0)-1))*IF(E1087="Rame",1,0),4)</f>
        <v>0</v>
      </c>
      <c r="N1087" s="445"/>
      <c r="O1087" s="445">
        <f t="shared" ca="1" si="278"/>
        <v>0</v>
      </c>
      <c r="P1087" s="445">
        <f ca="1">ROUND(+IF(ISERROR(OFFSET(Tabella!$G$1,MATCH(H1087,Tabella!$G:$G,0)-1,MATCH(I1087,Tabella!$G$1:$FG$1,0)-1)=TRUE),0,OFFSET(Tabella!$G$1,MATCH(H1087,Tabella!$G:$G,0)-1,MATCH(I1087,Tabella!$G$1:$AB$1,0)-1)),4)</f>
        <v>0</v>
      </c>
      <c r="Q1087" s="445">
        <f ca="1">ROUND(IF(ISERROR(OFFSET(Ottone!$F$1,MATCH(H1087,Ottone!$A:$A,0)-1,MATCH(I1087,Ottone!$F$1:$FF$1,0)-1)=TRUE),0,OFFSET(Ottone!$F$1,MATCH(H1087,Ottone!$A:$A,0)-1,MATCH(I1087,Ottone!$F$1:$FF$1,0)-1))*IF(E1087="Ottone",1,0),4)</f>
        <v>0</v>
      </c>
      <c r="R1087" s="445">
        <f ca="1">ROUND(IF(ISERROR(OFFSET(Rame!$F$1,MATCH(H1087,Rame!$F:$F,0)-1,MATCH(I1087,Rame!$F$1:$FF$1,0)-1)=TRUE),0,OFFSET(Rame!$F$1,MATCH(H1087,Rame!$F:$F,0)-1,MATCH(I1087,Rame!$F$1:$FF$1,0)-1))*IF(E1087="Rame",1,0),4)</f>
        <v>0</v>
      </c>
      <c r="S1087" s="445">
        <f ca="1">ROUND(IF(ISERROR(OFFSET(Bronzo!$A$1,MATCH(H1087,Bronzo!$A:$A,0)-1,MATCH(I1087,Bronzo!$A$1:$AA$1,0)-1)=TRUE),0,OFFSET(Bronzo!$A$1,MATCH(H1087,Bronzo!$A:$A,0)-1,MATCH(I1087,Bronzo!$A$1:$AA$1,0)-1)),4)</f>
        <v>0</v>
      </c>
      <c r="T1087" s="445">
        <f t="shared" ca="1" si="275"/>
        <v>0</v>
      </c>
      <c r="U1087" s="442"/>
      <c r="V1087" s="445">
        <v>0</v>
      </c>
      <c r="W1087" s="448">
        <f t="shared" ca="1" si="276"/>
        <v>0</v>
      </c>
      <c r="X1087" s="451">
        <f t="shared" si="267"/>
        <v>0</v>
      </c>
      <c r="Y1087" s="439"/>
      <c r="Z1087" s="439">
        <f t="shared" ca="1" si="277"/>
        <v>0</v>
      </c>
      <c r="AA1087" s="404"/>
      <c r="AF1087" s="372">
        <f t="shared" ca="1" si="279"/>
        <v>46156</v>
      </c>
      <c r="AG1087" s="372" t="b">
        <f t="shared" si="280"/>
        <v>1</v>
      </c>
      <c r="AH1087" s="405" t="str">
        <f t="shared" si="281"/>
        <v/>
      </c>
      <c r="AK1087">
        <f t="shared" si="282"/>
        <v>0</v>
      </c>
      <c r="AL1087">
        <f t="shared" si="283"/>
        <v>1900</v>
      </c>
      <c r="AS1087">
        <f t="shared" si="284"/>
        <v>0</v>
      </c>
      <c r="AT1087">
        <f t="shared" si="285"/>
        <v>0</v>
      </c>
    </row>
    <row r="1088" spans="1:46" s="248" customFormat="1" ht="15.75" x14ac:dyDescent="0.25">
      <c r="A1088" s="248" t="str">
        <f t="shared" ref="A1088" si="286">IF(AI1088=10,"In scadenza","-")</f>
        <v>-</v>
      </c>
      <c r="B1088" s="249"/>
      <c r="C1088" s="250"/>
      <c r="D1088" s="251"/>
      <c r="E1088" s="252"/>
      <c r="F1088" s="438"/>
      <c r="G1088" s="253"/>
      <c r="H1088" s="250"/>
      <c r="I1088" s="250"/>
      <c r="J1088" s="441"/>
      <c r="K1088" s="444">
        <f ca="1">ROUND(IF(ISERROR(OFFSET(Tabella!$A$1,MATCH(H1088,Tabella!$A:$A,0)-1,MATCH(J1088,Tabella!$A$1:$AC$1,0)-1)=TRUE),0,+OFFSET(Tabella!$A$1,MATCH(H1088,Tabella!$A:$A,0)-1,MATCH(J1088,Tabella!$A$1:$AC$1,0)-1)),4)</f>
        <v>0</v>
      </c>
      <c r="L1088" s="447">
        <f ca="1">ROUND(IF(ISERROR(OFFSET(Ottone!$A$1,MATCH(H1088,Ottone!$A:$A,0)-1,MATCH(J1088,Ottone!$A$1:$Z$1,0)-1)=TRUE),0,OFFSET(Ottone!$A$1,MATCH(H1088,Ottone!$A:$A,0)-1,MATCH(J1088,Ottone!$A$1:$Z$1,0)-1))*IF(E1088="Ottone",1,0),4)</f>
        <v>0</v>
      </c>
      <c r="M1088" s="447">
        <f ca="1">ROUND(IF(ISERROR(OFFSET(Rame!$A$1,MATCH(H1088,Rame!$A:$A,0)-1,MATCH(J1088,Rame!$A$1:$AA$1,0)-1)=TRUE),0,OFFSET(Rame!$A$1,MATCH(H1088,Rame!$A:$A,0)-1,MATCH(J1088,Rame!$A$1:$AA$1,0)-1))*IF(E1088="Rame",1,0),4)</f>
        <v>0</v>
      </c>
      <c r="N1088" s="447">
        <v>0</v>
      </c>
      <c r="O1088" s="447">
        <f t="shared" ca="1" si="278"/>
        <v>0</v>
      </c>
      <c r="P1088" s="447">
        <f ca="1">ROUND(+IF(ISERROR(OFFSET(Tabella!$G$1,MATCH(H1088,Tabella!$G:$G,0)-1,MATCH(I1088,Tabella!$G$1:$FG$1,0)-1)=TRUE),0,OFFSET(Tabella!$G$1,MATCH(H1088,Tabella!$G:$G,0)-1,MATCH(I1088,Tabella!$G$1:$AB$1,0)-1)),4)</f>
        <v>0</v>
      </c>
      <c r="Q1088" s="447">
        <f ca="1">ROUND(IF(ISERROR(OFFSET(Ottone!$F$1,MATCH(H1088,Ottone!$A:$A,0)-1,MATCH(I1088,Ottone!$F$1:$FF$1,0)-1)=TRUE),0,OFFSET(Ottone!$F$1,MATCH(H1088,Ottone!$A:$A,0)-1,MATCH(I1088,Ottone!$F$1:$FF$1,0)-1))*IF(E1088="Ottone",1,0),4)</f>
        <v>0</v>
      </c>
      <c r="R1088" s="447">
        <f ca="1">ROUND(IF(ISERROR(OFFSET(Rame!$F$1,MATCH(H1088,Rame!$F:$F,0)-1,MATCH(I1088,Rame!$F$1:$FF$1,0)-1)=TRUE),0,OFFSET(Rame!$F$1,MATCH(H1088,Rame!$F:$F,0)-1,MATCH(I1088,Rame!$F$1:$FF$1,0)-1))*IF(E1088="Rame",1,0),4)</f>
        <v>0</v>
      </c>
      <c r="S1088" s="447">
        <f ca="1">ROUND(IF(ISERROR(OFFSET(Bronzo!$A$1,MATCH(H1088,Bronzo!$A:$A,0)-1,MATCH(I1088,Bronzo!$A$1:$AA$1,0)-1)=TRUE),0,OFFSET(Bronzo!$A$1,MATCH(H1088,Bronzo!$A:$A,0)-1,MATCH(I1088,Bronzo!$A$1:$AA$1,0)-1)),4)</f>
        <v>0</v>
      </c>
      <c r="T1088" s="447">
        <f t="shared" ca="1" si="275"/>
        <v>0</v>
      </c>
      <c r="U1088" s="444"/>
      <c r="V1088" s="447">
        <v>0</v>
      </c>
      <c r="W1088" s="450">
        <f t="shared" ca="1" si="276"/>
        <v>0</v>
      </c>
      <c r="X1088" s="441">
        <f t="shared" si="267"/>
        <v>0</v>
      </c>
      <c r="Y1088" s="441"/>
      <c r="Z1088" s="441">
        <f t="shared" ca="1" si="277"/>
        <v>0</v>
      </c>
      <c r="AA1088" s="254"/>
      <c r="AF1088" s="225">
        <f t="shared" ref="AF1088" ca="1" si="287">TODAY()</f>
        <v>46156</v>
      </c>
      <c r="AG1088" s="225" t="b">
        <f t="shared" ref="AG1088" si="288">ISBLANK(AA1088)</f>
        <v>1</v>
      </c>
      <c r="AH1088" s="242" t="str">
        <f t="shared" ref="AH1088" si="289">IF(AG1088=FALSE,_xlfn.DAYS(AA1088,AF1088),"")</f>
        <v/>
      </c>
      <c r="AI1088" s="223"/>
      <c r="AJ1088" s="223"/>
      <c r="AK1088" s="223">
        <f t="shared" ref="AK1088" si="290">WEEKNUM(AA1088)</f>
        <v>0</v>
      </c>
      <c r="AL1088" s="223">
        <f t="shared" ref="AL1088" si="291">YEAR(AA1088)</f>
        <v>1900</v>
      </c>
      <c r="AS1088" s="223">
        <f t="shared" ref="AS1088" si="292">IF(AA1088="",0,MONTH(AA1088))</f>
        <v>0</v>
      </c>
      <c r="AT1088" s="223">
        <f t="shared" ref="AT1088" si="293">IF(AA1088="",0,YEAR(AA1088))</f>
        <v>0</v>
      </c>
    </row>
    <row r="1089" spans="1:37" ht="16.5" thickBot="1" x14ac:dyDescent="0.3">
      <c r="B1089" s="406" t="s">
        <v>518</v>
      </c>
      <c r="C1089" s="255"/>
      <c r="D1089" s="256">
        <f>SUM(D7:D1088)</f>
        <v>706969</v>
      </c>
      <c r="E1089" s="255"/>
      <c r="F1089" s="257"/>
      <c r="G1089" s="258"/>
      <c r="H1089" s="255"/>
      <c r="I1089" s="255"/>
      <c r="J1089" s="259"/>
      <c r="K1089" s="259"/>
      <c r="L1089" s="259"/>
      <c r="M1089" s="259"/>
      <c r="N1089" s="259"/>
      <c r="O1089" s="259"/>
      <c r="P1089" s="259"/>
      <c r="Q1089" s="259"/>
      <c r="R1089" s="259"/>
      <c r="S1089" s="259"/>
      <c r="T1089" s="259"/>
      <c r="U1089" s="259"/>
      <c r="V1089" s="259"/>
      <c r="W1089" s="259"/>
      <c r="X1089" s="260">
        <f>SUM(X7:X1088)</f>
        <v>47175.450000000012</v>
      </c>
      <c r="Y1089" s="259"/>
      <c r="Z1089" s="259"/>
      <c r="AH1089" s="242"/>
    </row>
    <row r="1090" spans="1:37" ht="15.75" x14ac:dyDescent="0.25">
      <c r="B1090" s="255"/>
      <c r="C1090" s="255"/>
      <c r="D1090" s="261"/>
      <c r="E1090" s="255"/>
      <c r="F1090" s="262"/>
      <c r="G1090" s="258"/>
      <c r="H1090" s="255"/>
      <c r="I1090" s="255"/>
      <c r="J1090" s="259"/>
      <c r="K1090" s="259"/>
      <c r="L1090" s="259"/>
      <c r="M1090" s="259"/>
      <c r="N1090" s="259"/>
      <c r="O1090" s="263"/>
      <c r="P1090" s="259"/>
      <c r="Q1090" s="259"/>
      <c r="R1090" s="259"/>
      <c r="S1090" s="259"/>
      <c r="T1090" s="259"/>
      <c r="U1090" s="259"/>
      <c r="V1090" s="259"/>
      <c r="W1090" s="259"/>
      <c r="X1090" s="259"/>
      <c r="Y1090" s="259"/>
      <c r="Z1090" s="259"/>
    </row>
    <row r="1091" spans="1:37" ht="15.75" x14ac:dyDescent="0.25">
      <c r="B1091" s="255"/>
      <c r="C1091" s="255"/>
      <c r="D1091" s="261"/>
      <c r="E1091" s="255"/>
      <c r="F1091" s="262"/>
      <c r="G1091" s="258"/>
      <c r="H1091" s="261"/>
      <c r="I1091" s="255"/>
      <c r="J1091" s="259"/>
      <c r="K1091" s="259"/>
      <c r="L1091" s="259"/>
      <c r="M1091" s="259"/>
      <c r="N1091" s="259"/>
      <c r="O1091" s="259"/>
      <c r="P1091" s="259"/>
      <c r="Q1091" s="259"/>
      <c r="R1091" s="259"/>
      <c r="S1091" s="259"/>
      <c r="T1091" s="259"/>
      <c r="U1091" s="259"/>
      <c r="V1091" s="259"/>
      <c r="W1091" s="259"/>
      <c r="X1091" s="259"/>
      <c r="Y1091" s="259"/>
      <c r="Z1091" s="259"/>
      <c r="AE1091" s="264"/>
      <c r="AH1091" s="264"/>
    </row>
    <row r="1092" spans="1:37" ht="16.5" thickBot="1" x14ac:dyDescent="0.3">
      <c r="B1092" s="255"/>
      <c r="C1092" s="255"/>
      <c r="D1092" s="261"/>
      <c r="E1092" s="255"/>
      <c r="F1092" s="262"/>
      <c r="G1092" s="258"/>
      <c r="H1092" s="261"/>
      <c r="I1092" s="255"/>
      <c r="J1092" s="259"/>
      <c r="K1092" s="259"/>
      <c r="L1092" s="259"/>
      <c r="M1092" s="259"/>
      <c r="N1092" s="259"/>
      <c r="O1092" s="259"/>
      <c r="P1092" s="259"/>
      <c r="Q1092" s="259"/>
      <c r="R1092" s="259"/>
      <c r="S1092" s="259"/>
      <c r="T1092" s="259"/>
      <c r="U1092" s="259"/>
      <c r="V1092" s="259"/>
      <c r="W1092" s="259"/>
      <c r="X1092" s="259"/>
      <c r="Y1092" s="259"/>
      <c r="Z1092" s="259"/>
    </row>
    <row r="1093" spans="1:37" ht="15.75" x14ac:dyDescent="0.25">
      <c r="B1093" s="255"/>
      <c r="C1093" s="265" t="s">
        <v>60</v>
      </c>
      <c r="D1093" s="266" t="s">
        <v>38</v>
      </c>
      <c r="E1093" s="267" t="s">
        <v>48</v>
      </c>
      <c r="F1093" s="268" t="s">
        <v>294</v>
      </c>
      <c r="G1093" s="269" t="s">
        <v>303</v>
      </c>
      <c r="H1093" s="261"/>
      <c r="I1093" s="255"/>
      <c r="J1093" s="259"/>
      <c r="K1093" s="259"/>
      <c r="L1093" s="259"/>
      <c r="M1093" s="259"/>
      <c r="N1093" s="259"/>
      <c r="O1093" s="259"/>
      <c r="P1093" s="259"/>
      <c r="Q1093" s="259"/>
      <c r="R1093" s="259"/>
      <c r="S1093" s="259"/>
      <c r="T1093" s="259"/>
      <c r="U1093" s="259"/>
      <c r="V1093" s="235"/>
      <c r="W1093" s="243"/>
      <c r="X1093" s="232"/>
      <c r="Y1093" s="233"/>
      <c r="Z1093" s="234"/>
      <c r="AA1093" s="235"/>
      <c r="AB1093" s="235"/>
      <c r="AC1093" s="236">
        <v>0.1</v>
      </c>
      <c r="AD1093" s="238"/>
      <c r="AE1093" s="238"/>
      <c r="AF1093" s="237"/>
      <c r="AG1093" s="238">
        <v>0</v>
      </c>
      <c r="AH1093" s="239">
        <v>1.1000000000000001</v>
      </c>
      <c r="AI1093" s="240"/>
      <c r="AJ1093" s="236"/>
      <c r="AK1093" s="236">
        <v>2.4100000000000019</v>
      </c>
    </row>
    <row r="1094" spans="1:37" ht="15.75" x14ac:dyDescent="0.25">
      <c r="B1094" s="255"/>
      <c r="C1094" s="249"/>
      <c r="D1094" s="251"/>
      <c r="E1094" s="270"/>
      <c r="F1094" s="271"/>
      <c r="G1094" s="272"/>
      <c r="H1094" s="255"/>
      <c r="I1094" s="255"/>
      <c r="J1094" s="259"/>
      <c r="K1094" s="259"/>
      <c r="L1094" s="259"/>
      <c r="M1094" s="259"/>
      <c r="N1094" s="259"/>
      <c r="O1094" s="259"/>
      <c r="P1094" s="259"/>
      <c r="Q1094" s="259"/>
      <c r="R1094" s="259"/>
      <c r="S1094" s="259"/>
      <c r="T1094" s="259"/>
      <c r="U1094" s="259"/>
      <c r="V1094" s="259"/>
      <c r="W1094" s="259"/>
      <c r="X1094" s="259"/>
      <c r="Y1094" s="259"/>
      <c r="Z1094" s="259"/>
    </row>
    <row r="1095" spans="1:37" ht="15.75" x14ac:dyDescent="0.25">
      <c r="B1095" s="255">
        <v>1</v>
      </c>
      <c r="C1095" s="273" t="s">
        <v>213</v>
      </c>
      <c r="D1095" s="274">
        <f>SUMIF(C7:C1088,"abb",D7:D1088)</f>
        <v>0</v>
      </c>
      <c r="E1095" s="275">
        <f>SUMIF(C7:C1088,"abb",X7:X1088)</f>
        <v>0</v>
      </c>
      <c r="F1095" s="271">
        <f>SUMIFS(X$7:X$1088,C$7:C$1088,"Abb",AD$7:AD$1088,"OK")</f>
        <v>0</v>
      </c>
      <c r="G1095" s="272"/>
      <c r="H1095" s="276"/>
      <c r="I1095" s="255"/>
      <c r="J1095" s="259"/>
      <c r="K1095" s="259"/>
      <c r="L1095" s="259"/>
      <c r="M1095" s="259"/>
      <c r="N1095" s="259"/>
      <c r="O1095" s="259"/>
      <c r="P1095" s="259"/>
      <c r="Q1095" s="259"/>
      <c r="R1095" s="259"/>
      <c r="S1095" s="259"/>
      <c r="T1095" s="259"/>
      <c r="U1095" s="259"/>
      <c r="V1095" s="259"/>
      <c r="W1095" s="259"/>
      <c r="X1095" s="259"/>
      <c r="Y1095" s="259"/>
      <c r="Z1095" s="259"/>
    </row>
    <row r="1096" spans="1:37" ht="15.75" x14ac:dyDescent="0.25">
      <c r="B1096" s="255">
        <f>+B1095+1</f>
        <v>2</v>
      </c>
      <c r="C1096" s="277" t="s">
        <v>239</v>
      </c>
      <c r="D1096" s="274">
        <f>SUMIF(C7:C1088,"abbza",D7:D1088)</f>
        <v>0</v>
      </c>
      <c r="E1096" s="275">
        <f>SUMIF(C7:C1088,"abbza",X7:X1088)</f>
        <v>0</v>
      </c>
      <c r="F1096" s="271">
        <f>SUMIFS(X$7:X$1088,C$7:C$1088,"Abbza",AD$7:AD$1088,"OK")</f>
        <v>0</v>
      </c>
      <c r="G1096" s="272"/>
      <c r="H1096" s="276"/>
      <c r="I1096" s="255"/>
      <c r="J1096" s="259"/>
      <c r="K1096" s="259"/>
      <c r="L1096" s="259"/>
      <c r="M1096" s="259"/>
      <c r="N1096" s="259"/>
      <c r="O1096" s="259"/>
      <c r="P1096" s="259"/>
      <c r="Q1096" s="259"/>
      <c r="R1096" s="259"/>
      <c r="S1096" s="259"/>
      <c r="T1096" s="259"/>
      <c r="U1096" s="278"/>
      <c r="V1096" s="279"/>
      <c r="W1096" s="235"/>
      <c r="X1096" s="236"/>
      <c r="Y1096" s="238"/>
      <c r="Z1096" s="238"/>
      <c r="AA1096" s="237"/>
      <c r="AB1096" s="238">
        <v>0</v>
      </c>
      <c r="AC1096" s="239">
        <v>1.1000000000000001</v>
      </c>
      <c r="AD1096" s="240"/>
      <c r="AE1096" s="236"/>
      <c r="AF1096" s="236"/>
    </row>
    <row r="1097" spans="1:37" ht="15.75" x14ac:dyDescent="0.25">
      <c r="B1097" s="255">
        <f t="shared" ref="B1097:B1173" si="294">+B1096+1</f>
        <v>3</v>
      </c>
      <c r="C1097" s="277" t="s">
        <v>220</v>
      </c>
      <c r="D1097" s="280">
        <f>SUMIF(C7:C1088,"aeg",D7:D1088)</f>
        <v>0</v>
      </c>
      <c r="E1097" s="281">
        <f>SUMIF(C7:C1088,"aeg",X7:X1088)</f>
        <v>0</v>
      </c>
      <c r="F1097" s="271">
        <f>SUMIFS(X$7:X$1088,C$7:C$1088,"Aeg",AD$7:AD$1088,"OK")</f>
        <v>0</v>
      </c>
      <c r="G1097" s="272"/>
      <c r="H1097" s="276"/>
      <c r="I1097" s="255"/>
      <c r="J1097" s="259"/>
      <c r="K1097" s="259"/>
      <c r="L1097" s="259"/>
      <c r="M1097" s="259"/>
      <c r="N1097" s="259"/>
      <c r="O1097" s="259"/>
      <c r="P1097" s="259"/>
      <c r="Q1097" s="259"/>
      <c r="R1097" s="259"/>
      <c r="S1097" s="259"/>
      <c r="T1097" s="259"/>
      <c r="U1097" s="259"/>
      <c r="V1097" s="259"/>
      <c r="W1097" s="259"/>
      <c r="X1097" s="259"/>
      <c r="Y1097" s="259"/>
      <c r="Z1097" s="259"/>
      <c r="AA1097" s="223">
        <f>SUMIF(AA7:AA1088,"",D7:D1088)</f>
        <v>294822</v>
      </c>
    </row>
    <row r="1098" spans="1:37" ht="15.75" x14ac:dyDescent="0.25">
      <c r="A1098" s="222" t="s">
        <v>273</v>
      </c>
      <c r="B1098" s="255">
        <f t="shared" si="294"/>
        <v>4</v>
      </c>
      <c r="C1098" s="282" t="s">
        <v>105</v>
      </c>
      <c r="D1098" s="280">
        <f>SUMIF(C7:C1088,"alge",D7:D1088)</f>
        <v>0</v>
      </c>
      <c r="E1098" s="281">
        <f>SUMIF(C7:C1088,"alge",X7:X1088)</f>
        <v>0</v>
      </c>
      <c r="F1098" s="271">
        <f>SUMIFS(X$7:X$1088,C$7:C$1088,"Alge",AD$7:AD$1088,"OK")</f>
        <v>0</v>
      </c>
      <c r="G1098" s="272"/>
      <c r="H1098" s="276"/>
      <c r="I1098" s="255"/>
      <c r="J1098" s="259"/>
      <c r="K1098" s="259"/>
      <c r="L1098" s="259"/>
      <c r="M1098" s="259"/>
      <c r="N1098" s="259"/>
      <c r="O1098" s="259"/>
      <c r="P1098" s="259"/>
      <c r="Q1098" s="259"/>
      <c r="R1098" s="259"/>
      <c r="S1098" s="259"/>
      <c r="T1098" s="259"/>
      <c r="U1098" s="259"/>
      <c r="V1098" s="259"/>
      <c r="W1098" s="240"/>
      <c r="X1098" s="259"/>
      <c r="Y1098" s="259"/>
      <c r="Z1098" s="259"/>
      <c r="AA1098" s="264">
        <f>+D1089-AA1097</f>
        <v>412147</v>
      </c>
    </row>
    <row r="1099" spans="1:37" ht="15.75" x14ac:dyDescent="0.25">
      <c r="B1099" s="255">
        <f t="shared" si="294"/>
        <v>5</v>
      </c>
      <c r="C1099" s="283" t="s">
        <v>357</v>
      </c>
      <c r="D1099" s="280">
        <f>SUMIF(C7:C1088,"alstom",D7:D1088)</f>
        <v>0</v>
      </c>
      <c r="E1099" s="281">
        <f>SUMIF(C7:C1088,"alstom",X7:X1088)</f>
        <v>0</v>
      </c>
      <c r="F1099" s="271">
        <f>SUMIFS(X$7:X$1088,C$7:C$1088,"Alstom",AD$7:AD$1088,"OK")</f>
        <v>0</v>
      </c>
      <c r="G1099" s="272"/>
      <c r="H1099" s="276"/>
      <c r="I1099" s="255"/>
      <c r="J1099" s="259"/>
      <c r="K1099" s="259"/>
      <c r="L1099" s="259"/>
      <c r="M1099" s="259"/>
      <c r="N1099" s="259"/>
      <c r="O1099" s="259"/>
      <c r="P1099" s="259"/>
      <c r="Q1099" s="259"/>
      <c r="R1099" s="259"/>
      <c r="S1099" s="259"/>
      <c r="T1099" s="259"/>
      <c r="U1099" s="259"/>
      <c r="V1099" s="259"/>
      <c r="W1099" s="259"/>
      <c r="X1099" s="259"/>
      <c r="Y1099" s="259"/>
      <c r="Z1099" s="259"/>
    </row>
    <row r="1100" spans="1:37" ht="15.75" x14ac:dyDescent="0.25">
      <c r="B1100" s="255">
        <f t="shared" si="294"/>
        <v>6</v>
      </c>
      <c r="C1100" s="284" t="s">
        <v>113</v>
      </c>
      <c r="D1100" s="280">
        <f>SUMIF(C7:C1088,"amer",D7:D1088)</f>
        <v>2500</v>
      </c>
      <c r="E1100" s="281">
        <f>SUMIF(C7:C1088,"amer",X7:X1088)</f>
        <v>375</v>
      </c>
      <c r="F1100" s="271">
        <f>SUMIFS(X$7:X$1088,C$7:C$1088,"Amer",AD$7:AD$1088,"OK")</f>
        <v>0</v>
      </c>
      <c r="G1100" s="272">
        <f>SUMIFS(D$7:D$1088,C$7:C$1088,"amer",AD$7:AD$1088,"OK")</f>
        <v>0</v>
      </c>
      <c r="H1100" s="263"/>
      <c r="I1100" s="255"/>
      <c r="J1100" s="259"/>
      <c r="K1100" s="259"/>
      <c r="L1100" s="259"/>
      <c r="M1100" s="259"/>
      <c r="N1100" s="259"/>
      <c r="O1100" s="259"/>
      <c r="P1100" s="259"/>
      <c r="Q1100" s="259"/>
      <c r="R1100" s="259"/>
      <c r="S1100" s="259"/>
      <c r="T1100" s="259"/>
      <c r="U1100" s="259"/>
      <c r="V1100" s="259"/>
      <c r="W1100" s="259"/>
      <c r="X1100" s="259"/>
      <c r="Y1100" s="259"/>
      <c r="Z1100" s="259"/>
    </row>
    <row r="1101" spans="1:37" ht="15.75" x14ac:dyDescent="0.25">
      <c r="B1101" s="255">
        <f t="shared" si="294"/>
        <v>7</v>
      </c>
      <c r="C1101" s="284" t="s">
        <v>265</v>
      </c>
      <c r="D1101" s="280">
        <f>SUMIF(C7:C1088,"arcansas",D7:D1088)</f>
        <v>0</v>
      </c>
      <c r="E1101" s="281">
        <f>SUMIF(C7:C1088,"arcansas",X7:X1088)</f>
        <v>0</v>
      </c>
      <c r="F1101" s="271">
        <f>SUMIFS(X$7:X$1088,C$7:C$1088,"Arcansas",AD$7:AD$1088,"OK")</f>
        <v>0</v>
      </c>
      <c r="G1101" s="272"/>
      <c r="H1101" s="276"/>
      <c r="I1101" s="255"/>
      <c r="J1101" s="259"/>
      <c r="K1101" s="259"/>
      <c r="L1101" s="259"/>
      <c r="M1101" s="259"/>
      <c r="N1101" s="259"/>
      <c r="O1101" s="259"/>
      <c r="P1101" s="259"/>
      <c r="Q1101" s="259"/>
      <c r="R1101" s="259"/>
      <c r="S1101" s="259"/>
      <c r="T1101" s="259"/>
      <c r="U1101" s="259"/>
      <c r="V1101" s="259"/>
      <c r="W1101" s="259"/>
      <c r="X1101" s="259"/>
      <c r="Y1101" s="259"/>
      <c r="Z1101" s="259"/>
    </row>
    <row r="1102" spans="1:37" ht="15.75" x14ac:dyDescent="0.25">
      <c r="B1102" s="255">
        <f t="shared" si="294"/>
        <v>8</v>
      </c>
      <c r="C1102" s="284" t="s">
        <v>394</v>
      </c>
      <c r="D1102" s="280">
        <f>SUMIF(C$7:C$1088,"arteche",D$7:D$1088)</f>
        <v>0</v>
      </c>
      <c r="E1102" s="281">
        <f>SUMIF(C$7:C$1088,"arteche",X$7:X$1088)</f>
        <v>0</v>
      </c>
      <c r="F1102" s="271">
        <f>SUMIFS(X$7:X$1088,C$7:C$1088,"arteche",AD$7:AD$1088,"OK")</f>
        <v>0</v>
      </c>
      <c r="G1102" s="272">
        <f>SUMIFS(D$7:D$1088,C$7:C$1088,"arteche",AD$7:AD$1088,"OK")</f>
        <v>0</v>
      </c>
      <c r="H1102" s="276"/>
      <c r="I1102" s="255"/>
      <c r="J1102" s="259"/>
      <c r="K1102" s="259"/>
      <c r="L1102" s="259"/>
      <c r="M1102" s="259"/>
      <c r="N1102" s="259"/>
      <c r="O1102" s="259"/>
      <c r="P1102" s="259"/>
      <c r="Q1102" s="259"/>
      <c r="R1102" s="259"/>
      <c r="S1102" s="259"/>
      <c r="T1102" s="259"/>
      <c r="U1102" s="259"/>
      <c r="V1102" s="259"/>
      <c r="W1102" s="259"/>
      <c r="X1102" s="259"/>
      <c r="Y1102" s="259"/>
      <c r="Z1102" s="259"/>
    </row>
    <row r="1103" spans="1:37" ht="15.75" x14ac:dyDescent="0.25">
      <c r="B1103" s="255">
        <f t="shared" si="294"/>
        <v>9</v>
      </c>
      <c r="C1103" s="284" t="s">
        <v>221</v>
      </c>
      <c r="D1103" s="280">
        <f>SUMIF(C7:C1088,"artel",D7:D1088)</f>
        <v>0</v>
      </c>
      <c r="E1103" s="281">
        <f>SUMIF(C7:C1088,"artel",X7:X1088)</f>
        <v>0</v>
      </c>
      <c r="F1103" s="271">
        <f>SUMIFS(X$7:X$1088,C$7:C$1088,"Artel",AD$7:AD$1088,"OK")</f>
        <v>0</v>
      </c>
      <c r="G1103" s="272"/>
      <c r="H1103" s="276"/>
      <c r="I1103" s="255"/>
      <c r="J1103" s="259"/>
      <c r="K1103" s="259"/>
      <c r="L1103" s="259"/>
      <c r="M1103" s="259"/>
      <c r="N1103" s="259"/>
      <c r="O1103" s="259"/>
      <c r="P1103" s="259"/>
      <c r="Q1103" s="259"/>
      <c r="R1103" s="259"/>
      <c r="S1103" s="259"/>
      <c r="T1103" s="259"/>
      <c r="U1103" s="259"/>
      <c r="V1103" s="259"/>
      <c r="W1103" s="259"/>
      <c r="X1103" s="259"/>
      <c r="Y1103" s="259"/>
      <c r="Z1103" s="259"/>
    </row>
    <row r="1104" spans="1:37" ht="15.75" x14ac:dyDescent="0.25">
      <c r="B1104" s="255">
        <f t="shared" si="294"/>
        <v>10</v>
      </c>
      <c r="C1104" s="284" t="s">
        <v>293</v>
      </c>
      <c r="D1104" s="280">
        <f>SUMIF(C$7:C$1088,"automation",D$7:D$1088)</f>
        <v>0</v>
      </c>
      <c r="E1104" s="281">
        <f>SUMIF(C7:C1088,"automation",X7:X1088)</f>
        <v>0</v>
      </c>
      <c r="F1104" s="271">
        <f>SUMIFS(X$7:X$1088,C$7:C$1088,"Automation",AD$7:AD$1088,"OK")</f>
        <v>0</v>
      </c>
      <c r="G1104" s="272">
        <f>SUMIFS(D$7:D$1088,C$7:C$1088,"automation",AD$7:AD$1088,"OK")</f>
        <v>0</v>
      </c>
      <c r="H1104" s="276"/>
      <c r="I1104" s="255"/>
      <c r="J1104" s="259"/>
      <c r="K1104" s="259"/>
      <c r="L1104" s="259"/>
      <c r="M1104" s="259"/>
      <c r="N1104" s="259"/>
      <c r="O1104" s="259"/>
      <c r="P1104" s="259"/>
      <c r="Q1104" s="259"/>
      <c r="R1104" s="259"/>
      <c r="S1104" s="259"/>
      <c r="T1104" s="259"/>
      <c r="U1104" s="259"/>
      <c r="V1104" s="259"/>
      <c r="W1104" s="259"/>
      <c r="X1104" s="259"/>
      <c r="Y1104" s="259"/>
      <c r="Z1104" s="259"/>
    </row>
    <row r="1105" spans="1:26" ht="15.75" x14ac:dyDescent="0.25">
      <c r="B1105" s="255">
        <f t="shared" si="294"/>
        <v>11</v>
      </c>
      <c r="C1105" s="284" t="s">
        <v>211</v>
      </c>
      <c r="D1105" s="280">
        <f>SUMIF(C7:C1088,"baietti",D7:D1088)</f>
        <v>0</v>
      </c>
      <c r="E1105" s="281">
        <f>SUMIF(C7:C1088,"baietti",X7:X1088)</f>
        <v>0</v>
      </c>
      <c r="F1105" s="271">
        <f>SUMIFS(X$7:X$1088,C$7:C$1088,"Baietti",AD$7:AD$1088,"OK")</f>
        <v>0</v>
      </c>
      <c r="G1105" s="272"/>
      <c r="H1105" s="276"/>
      <c r="I1105" s="255"/>
      <c r="J1105" s="259"/>
      <c r="K1105" s="259"/>
      <c r="L1105" s="259"/>
      <c r="M1105" s="259"/>
      <c r="N1105" s="259"/>
      <c r="O1105" s="259"/>
      <c r="P1105" s="259"/>
      <c r="Q1105" s="259"/>
      <c r="R1105" s="259"/>
      <c r="S1105" s="259"/>
      <c r="T1105" s="259"/>
      <c r="U1105" s="259"/>
      <c r="V1105" s="259"/>
      <c r="W1105" s="259"/>
      <c r="X1105" s="259"/>
      <c r="Y1105" s="259"/>
      <c r="Z1105" s="259"/>
    </row>
    <row r="1106" spans="1:26" ht="15.75" x14ac:dyDescent="0.25">
      <c r="B1106" s="255">
        <f t="shared" si="294"/>
        <v>12</v>
      </c>
      <c r="C1106" s="284" t="s">
        <v>499</v>
      </c>
      <c r="D1106" s="280">
        <f>SUMIF(C$7:C$1088,"bcv",D$7:D$1088)</f>
        <v>2000</v>
      </c>
      <c r="E1106" s="281">
        <f>SUMIF(C$7:C$1088,"bcv",X$7:X$1088)</f>
        <v>300</v>
      </c>
      <c r="F1106" s="271">
        <f>SUMIFS(X$7:X$1088,C$7:C$1088,"Bcv",AD$7:AD$1088,"OK")</f>
        <v>0</v>
      </c>
      <c r="G1106" s="272">
        <f>SUMIFS(D$7:D$1088,C$7:C$1088,"bcv",AD$7:AD$1088,"OK")</f>
        <v>0</v>
      </c>
      <c r="H1106" s="276"/>
      <c r="I1106" s="255"/>
      <c r="J1106" s="259"/>
      <c r="K1106" s="259"/>
      <c r="L1106" s="259"/>
      <c r="M1106" s="259"/>
      <c r="N1106" s="259"/>
      <c r="O1106" s="259"/>
      <c r="P1106" s="259"/>
      <c r="Q1106" s="259"/>
      <c r="R1106" s="259"/>
      <c r="S1106" s="259"/>
      <c r="T1106" s="259"/>
      <c r="U1106" s="259"/>
      <c r="V1106" s="259"/>
      <c r="W1106" s="259"/>
      <c r="X1106" s="259"/>
      <c r="Y1106" s="259"/>
      <c r="Z1106" s="259"/>
    </row>
    <row r="1107" spans="1:26" ht="15.75" x14ac:dyDescent="0.25">
      <c r="A1107" s="222" t="s">
        <v>273</v>
      </c>
      <c r="B1107" s="255">
        <f t="shared" si="294"/>
        <v>13</v>
      </c>
      <c r="C1107" s="285" t="s">
        <v>236</v>
      </c>
      <c r="D1107" s="280">
        <f>SUMIF(C7:C1088,"bmi",D7:D1088)</f>
        <v>0</v>
      </c>
      <c r="E1107" s="281">
        <f>SUMIF(C7:C1088,"bmi",X7:X1088)</f>
        <v>0</v>
      </c>
      <c r="F1107" s="271">
        <f>SUMIFS(X$7:X$1088,C$7:C$1088,"BMI",AD$7:AD$1088,"OK")</f>
        <v>0</v>
      </c>
      <c r="G1107" s="272"/>
      <c r="H1107" s="276"/>
      <c r="I1107" s="255"/>
      <c r="J1107" s="259"/>
      <c r="K1107" s="259"/>
      <c r="L1107" s="259"/>
      <c r="M1107" s="259"/>
      <c r="N1107" s="259"/>
      <c r="O1107" s="259"/>
      <c r="P1107" s="259"/>
      <c r="Q1107" s="259"/>
      <c r="R1107" s="259"/>
      <c r="S1107" s="259"/>
      <c r="T1107" s="259"/>
      <c r="U1107" s="259"/>
      <c r="V1107" s="259"/>
      <c r="W1107" s="259"/>
      <c r="X1107" s="259"/>
      <c r="Y1107" s="259"/>
      <c r="Z1107" s="259"/>
    </row>
    <row r="1108" spans="1:26" ht="15.75" x14ac:dyDescent="0.25">
      <c r="A1108" s="222" t="s">
        <v>273</v>
      </c>
      <c r="B1108" s="255">
        <f t="shared" si="294"/>
        <v>14</v>
      </c>
      <c r="C1108" s="285" t="s">
        <v>222</v>
      </c>
      <c r="D1108" s="280">
        <f>SUMIF(C$7:C$1088,"bastia",D$7:D$1088)</f>
        <v>0</v>
      </c>
      <c r="E1108" s="281">
        <f>SUMIF(C$7:C$1088,"bastia",X$7:X$1088)</f>
        <v>0</v>
      </c>
      <c r="F1108" s="271">
        <f>SUMIFS(X$7:X$1088,C$7:C$1088,"Bastia",AD$7:AD$1088,"OK")</f>
        <v>0</v>
      </c>
      <c r="G1108" s="272"/>
      <c r="H1108" s="276"/>
      <c r="I1108" s="255"/>
      <c r="J1108" s="259"/>
      <c r="K1108" s="259"/>
      <c r="L1108" s="259"/>
      <c r="M1108" s="259"/>
      <c r="N1108" s="259"/>
      <c r="O1108" s="259"/>
      <c r="P1108" s="259"/>
      <c r="Q1108" s="259"/>
      <c r="R1108" s="259"/>
      <c r="S1108" s="259"/>
      <c r="T1108" s="259"/>
      <c r="U1108" s="259"/>
      <c r="V1108" s="259"/>
      <c r="W1108" s="259"/>
      <c r="X1108" s="259"/>
      <c r="Y1108" s="259"/>
      <c r="Z1108" s="259"/>
    </row>
    <row r="1109" spans="1:26" ht="15.75" x14ac:dyDescent="0.25">
      <c r="B1109" s="255">
        <f t="shared" si="294"/>
        <v>15</v>
      </c>
      <c r="C1109" s="286" t="s">
        <v>334</v>
      </c>
      <c r="D1109" s="280">
        <f>SUMIF(C$7:C$1088,"be.tube",D$7:D$1088)</f>
        <v>0</v>
      </c>
      <c r="E1109" s="281">
        <f>SUMIF(C$7:C$1088,"be.tube",X$7:X$1088)</f>
        <v>0</v>
      </c>
      <c r="F1109" s="271">
        <f>SUMIFS(X$7:X$1088,C$7:C$1088,"be.tube",AD$7:AD$1088,"OK")</f>
        <v>0</v>
      </c>
      <c r="G1109" s="272"/>
      <c r="H1109" s="276"/>
      <c r="I1109" s="255"/>
      <c r="J1109" s="259"/>
      <c r="K1109" s="259"/>
      <c r="L1109" s="259"/>
      <c r="M1109" s="259"/>
      <c r="N1109" s="259"/>
      <c r="O1109" s="259"/>
      <c r="P1109" s="259"/>
      <c r="Q1109" s="259"/>
      <c r="R1109" s="259"/>
      <c r="S1109" s="259"/>
      <c r="T1109" s="259"/>
      <c r="U1109" s="259"/>
      <c r="V1109" s="259"/>
      <c r="W1109" s="259"/>
      <c r="X1109" s="259"/>
      <c r="Y1109" s="259"/>
      <c r="Z1109" s="259"/>
    </row>
    <row r="1110" spans="1:26" ht="15.75" x14ac:dyDescent="0.25">
      <c r="B1110" s="255">
        <f t="shared" si="294"/>
        <v>16</v>
      </c>
      <c r="C1110" s="286" t="s">
        <v>333</v>
      </c>
      <c r="D1110" s="280">
        <f>SUMIF(C$7:C$1088,"best",D$7:D$1088)</f>
        <v>0</v>
      </c>
      <c r="E1110" s="281">
        <f>SUMIF(C$7:C$1088,"best",X$7:X$1088)</f>
        <v>0</v>
      </c>
      <c r="F1110" s="271">
        <f>SUMIFS(X$7:X$1088,C$7:C$1088,"Best",AD$7:AD$1088,"OK")</f>
        <v>0</v>
      </c>
      <c r="G1110" s="272"/>
      <c r="H1110" s="276"/>
      <c r="I1110" s="255"/>
      <c r="J1110" s="259"/>
      <c r="K1110" s="259"/>
      <c r="L1110" s="259"/>
      <c r="M1110" s="259"/>
      <c r="N1110" s="259"/>
      <c r="O1110" s="259"/>
      <c r="P1110" s="259"/>
      <c r="Q1110" s="259"/>
      <c r="R1110" s="259"/>
      <c r="S1110" s="259"/>
      <c r="T1110" s="259"/>
      <c r="U1110" s="259"/>
      <c r="V1110" s="259"/>
      <c r="W1110" s="259"/>
      <c r="X1110" s="259"/>
      <c r="Y1110" s="259"/>
      <c r="Z1110" s="259"/>
    </row>
    <row r="1111" spans="1:26" ht="15.75" x14ac:dyDescent="0.25">
      <c r="B1111" s="255">
        <f t="shared" si="294"/>
        <v>17</v>
      </c>
      <c r="C1111" s="284" t="s">
        <v>95</v>
      </c>
      <c r="D1111" s="280">
        <f>SUMIF(C$7:C$1088,"braga",D$7:D$1088)</f>
        <v>0</v>
      </c>
      <c r="E1111" s="281">
        <f>SUMIF(C$7:C$1088,"braga",X$7:X$1088)</f>
        <v>0</v>
      </c>
      <c r="F1111" s="271">
        <f>SUMIFS(X$7:X$1088,C$7:C$1088,"Braga",AD$7:AD$1088,"OK")</f>
        <v>0</v>
      </c>
      <c r="G1111" s="272">
        <f>SUMIFS(D$7:D$1088,C$7:C$1088,"braga",AD$7:AD$1088,"OK")</f>
        <v>0</v>
      </c>
      <c r="H1111" s="276"/>
      <c r="I1111" s="255"/>
      <c r="J1111" s="259"/>
      <c r="K1111" s="259"/>
      <c r="L1111" s="259"/>
      <c r="M1111" s="259"/>
      <c r="N1111" s="259"/>
      <c r="O1111" s="259"/>
      <c r="P1111" s="259"/>
      <c r="Q1111" s="259"/>
      <c r="R1111" s="259"/>
      <c r="S1111" s="259"/>
      <c r="T1111" s="259"/>
      <c r="U1111" s="259"/>
      <c r="V1111" s="259"/>
      <c r="W1111" s="259"/>
      <c r="X1111" s="259"/>
      <c r="Y1111" s="259"/>
      <c r="Z1111" s="259"/>
    </row>
    <row r="1112" spans="1:26" ht="15.75" x14ac:dyDescent="0.25">
      <c r="B1112" s="255">
        <f t="shared" si="294"/>
        <v>18</v>
      </c>
      <c r="C1112" s="284" t="s">
        <v>392</v>
      </c>
      <c r="D1112" s="280">
        <f>SUMIF(C$7:C$1088,"brioschi",D$7:D$1088)</f>
        <v>0</v>
      </c>
      <c r="E1112" s="281">
        <f>SUMIF(C$7:C$1088,"brioschi",X$7:X$1088)</f>
        <v>0</v>
      </c>
      <c r="F1112" s="271">
        <f>SUMIFS(X$7:X$1088,C$7:C$1088,"Brioschi",AD$7:AD$1088,"OK")</f>
        <v>0</v>
      </c>
      <c r="G1112" s="272">
        <f>SUMIFS(D$7:D$1088,C$7:C$1088,"brioschi",AD$7:AD$1088,"OK")</f>
        <v>0</v>
      </c>
      <c r="H1112" s="276"/>
      <c r="I1112" s="255"/>
      <c r="J1112" s="259"/>
      <c r="K1112" s="259"/>
      <c r="L1112" s="259"/>
      <c r="M1112" s="259"/>
      <c r="N1112" s="259"/>
      <c r="O1112" s="259"/>
      <c r="P1112" s="259"/>
      <c r="Q1112" s="259"/>
      <c r="R1112" s="259"/>
      <c r="S1112" s="259"/>
      <c r="T1112" s="259"/>
      <c r="U1112" s="259"/>
      <c r="V1112" s="259"/>
      <c r="W1112" s="259"/>
      <c r="X1112" s="259"/>
      <c r="Y1112" s="259"/>
      <c r="Z1112" s="259"/>
    </row>
    <row r="1113" spans="1:26" ht="15.75" x14ac:dyDescent="0.25">
      <c r="A1113" s="222" t="s">
        <v>273</v>
      </c>
      <c r="B1113" s="255">
        <f t="shared" si="294"/>
        <v>19</v>
      </c>
      <c r="C1113" s="285" t="s">
        <v>223</v>
      </c>
      <c r="D1113" s="280">
        <f>SUMIF(C7:C1088,"bollani",D7:D1088)</f>
        <v>0</v>
      </c>
      <c r="E1113" s="281">
        <f>SUMIF(C7:C1088,"bollani",X7:X1088)</f>
        <v>0</v>
      </c>
      <c r="F1113" s="271">
        <f>SUMIFS(X$7:X$1088,C$7:C$1088,"Bollani",AD$7:AD$1088,"OK")</f>
        <v>0</v>
      </c>
      <c r="G1113" s="272"/>
      <c r="H1113" s="276"/>
      <c r="I1113" s="255"/>
      <c r="J1113" s="259"/>
      <c r="K1113" s="259"/>
      <c r="L1113" s="259"/>
      <c r="M1113" s="259"/>
      <c r="N1113" s="259"/>
      <c r="O1113" s="259"/>
      <c r="P1113" s="259"/>
      <c r="Q1113" s="259"/>
      <c r="R1113" s="259"/>
      <c r="S1113" s="259"/>
      <c r="T1113" s="259"/>
      <c r="U1113" s="259"/>
      <c r="V1113" s="259"/>
      <c r="W1113" s="259"/>
      <c r="X1113" s="259"/>
      <c r="Y1113" s="259"/>
      <c r="Z1113" s="259"/>
    </row>
    <row r="1114" spans="1:26" ht="15.75" x14ac:dyDescent="0.25">
      <c r="B1114" s="255"/>
      <c r="C1114" s="284" t="s">
        <v>424</v>
      </c>
      <c r="D1114" s="280">
        <f>SUMIF(C7:C1089,"botter",D7:D1089)</f>
        <v>0</v>
      </c>
      <c r="E1114" s="281">
        <f>SUMIF(C7:C1089,"botter",X7:X1089)</f>
        <v>0</v>
      </c>
      <c r="F1114" s="271">
        <f>SUMIFS(X$7:X$1088,C$7:C$1088,"Botter",AD$7:AD$1088,"OK")</f>
        <v>0</v>
      </c>
      <c r="G1114" s="272"/>
      <c r="H1114" s="276"/>
      <c r="I1114" s="255"/>
      <c r="J1114" s="259"/>
      <c r="K1114" s="259"/>
      <c r="L1114" s="259"/>
      <c r="M1114" s="259"/>
      <c r="N1114" s="259"/>
      <c r="O1114" s="259"/>
      <c r="P1114" s="259"/>
      <c r="Q1114" s="259"/>
      <c r="R1114" s="259"/>
      <c r="S1114" s="259"/>
      <c r="T1114" s="259"/>
      <c r="U1114" s="259"/>
      <c r="V1114" s="259"/>
      <c r="W1114" s="259"/>
      <c r="X1114" s="259"/>
      <c r="Y1114" s="259"/>
      <c r="Z1114" s="259"/>
    </row>
    <row r="1115" spans="1:26" ht="15.75" x14ac:dyDescent="0.25">
      <c r="B1115" s="255">
        <f>+B1113+1</f>
        <v>20</v>
      </c>
      <c r="C1115" s="284" t="s">
        <v>263</v>
      </c>
      <c r="D1115" s="280">
        <f>SUMIF(C$7:C$1088,"Bticino",D$7:D$1088)</f>
        <v>115793</v>
      </c>
      <c r="E1115" s="281">
        <f>SUMIF(C$7:C$1088,"Bticino",X$7:X$1088)</f>
        <v>8105.51</v>
      </c>
      <c r="F1115" s="271">
        <f>SUMIFS(X$7:X$1088,C$7:C$1088,"Bticino",AD$7:AD$1088,"OK")</f>
        <v>2440.13</v>
      </c>
      <c r="G1115" s="272">
        <f>SUMIFS(D$7:D$1088,C$7:C$1088,"bticino",AD$7:AD$1088,"OK")</f>
        <v>34859</v>
      </c>
      <c r="H1115" s="276"/>
      <c r="I1115" s="255"/>
      <c r="J1115" s="259"/>
      <c r="K1115" s="259"/>
      <c r="L1115" s="259"/>
      <c r="M1115" s="259"/>
      <c r="N1115" s="259"/>
      <c r="O1115" s="259"/>
      <c r="P1115" s="259"/>
      <c r="Q1115" s="259"/>
      <c r="R1115" s="259"/>
      <c r="S1115" s="259"/>
      <c r="T1115" s="259"/>
      <c r="U1115" s="259"/>
      <c r="V1115" s="259"/>
      <c r="W1115" s="259"/>
      <c r="X1115" s="259"/>
      <c r="Y1115" s="259"/>
      <c r="Z1115" s="259"/>
    </row>
    <row r="1116" spans="1:26" ht="15.75" x14ac:dyDescent="0.25">
      <c r="A1116" s="222" t="s">
        <v>273</v>
      </c>
      <c r="B1116" s="255">
        <f t="shared" si="294"/>
        <v>21</v>
      </c>
      <c r="C1116" s="285" t="s">
        <v>224</v>
      </c>
      <c r="D1116" s="280">
        <f>SUMIF(C7:C1088,"catis",D7:D1088)</f>
        <v>0</v>
      </c>
      <c r="E1116" s="281">
        <f>SUMIF(C7:C1088,"catis",X7:X1088)</f>
        <v>0</v>
      </c>
      <c r="F1116" s="271">
        <f>SUMIFS(X$7:X$1088,C$7:C$1088,"Catis",AD$7:AD$1088,"OK")</f>
        <v>0</v>
      </c>
      <c r="G1116" s="272"/>
      <c r="H1116" s="276"/>
      <c r="I1116" s="255"/>
      <c r="J1116" s="259"/>
      <c r="K1116" s="259"/>
      <c r="L1116" s="259"/>
      <c r="M1116" s="259"/>
      <c r="N1116" s="259"/>
      <c r="O1116" s="259"/>
      <c r="P1116" s="259"/>
      <c r="Q1116" s="259"/>
      <c r="R1116" s="259"/>
      <c r="S1116" s="259"/>
      <c r="T1116" s="259"/>
      <c r="U1116" s="259"/>
      <c r="V1116" s="259"/>
      <c r="W1116" s="259"/>
      <c r="X1116" s="259"/>
      <c r="Y1116" s="259"/>
      <c r="Z1116" s="259"/>
    </row>
    <row r="1117" spans="1:26" ht="15.75" x14ac:dyDescent="0.25">
      <c r="B1117" s="255">
        <f t="shared" si="294"/>
        <v>22</v>
      </c>
      <c r="C1117" s="284" t="s">
        <v>245</v>
      </c>
      <c r="D1117" s="280">
        <f>SUMIF(C7:C1088,"cabur",D7:D1088)</f>
        <v>0</v>
      </c>
      <c r="E1117" s="281">
        <f>SUMIF(C7:C1088,"cabur",X7:X1088)</f>
        <v>0</v>
      </c>
      <c r="F1117" s="271">
        <f>SUMIFS(X$7:X$1088,C$7:C$1088,"Cabur",AD$7:AD$1088,"OK")</f>
        <v>0</v>
      </c>
      <c r="G1117" s="272"/>
      <c r="H1117" s="276"/>
      <c r="I1117" s="255"/>
      <c r="J1117" s="259"/>
      <c r="K1117" s="259"/>
      <c r="L1117" s="259"/>
      <c r="M1117" s="259"/>
      <c r="N1117" s="259"/>
      <c r="O1117" s="259"/>
      <c r="P1117" s="259"/>
      <c r="Q1117" s="259"/>
      <c r="R1117" s="259"/>
      <c r="S1117" s="259"/>
      <c r="T1117" s="259"/>
      <c r="U1117" s="259"/>
      <c r="V1117" s="259"/>
      <c r="W1117" s="259"/>
      <c r="X1117" s="259"/>
      <c r="Y1117" s="259"/>
      <c r="Z1117" s="259"/>
    </row>
    <row r="1118" spans="1:26" ht="15.75" x14ac:dyDescent="0.25">
      <c r="A1118" s="222" t="s">
        <v>391</v>
      </c>
      <c r="B1118" s="255">
        <f t="shared" si="294"/>
        <v>23</v>
      </c>
      <c r="C1118" s="287" t="s">
        <v>329</v>
      </c>
      <c r="D1118" s="280">
        <f>SUMIF(C7:C1088,"carbognin",D7:D1088)</f>
        <v>0</v>
      </c>
      <c r="E1118" s="281">
        <f>SUMIF(C7:C1088,"carbognin",X7:X1088)</f>
        <v>0</v>
      </c>
      <c r="F1118" s="271">
        <f>SUMIFS(X$7:X$1088,C$7:C$1088,"Carbognin",AD$7:AD$1088,"OK")</f>
        <v>0</v>
      </c>
      <c r="G1118" s="272">
        <f>SUMIFS(D$7:D$1088,C$7:C$1088,"carbognin",AD$7:AD$1088,"OK")</f>
        <v>0</v>
      </c>
      <c r="H1118" s="276"/>
      <c r="I1118" s="255"/>
      <c r="J1118" s="259"/>
      <c r="K1118" s="259"/>
      <c r="L1118" s="259"/>
      <c r="M1118" s="259"/>
      <c r="N1118" s="259"/>
      <c r="O1118" s="259"/>
      <c r="P1118" s="259"/>
      <c r="Q1118" s="259"/>
      <c r="R1118" s="259"/>
      <c r="S1118" s="259"/>
      <c r="T1118" s="259"/>
      <c r="U1118" s="259"/>
      <c r="V1118" s="259"/>
      <c r="W1118" s="259"/>
      <c r="X1118" s="259"/>
      <c r="Y1118" s="259"/>
      <c r="Z1118" s="259"/>
    </row>
    <row r="1119" spans="1:26" ht="15.75" x14ac:dyDescent="0.25">
      <c r="A1119" s="222" t="s">
        <v>273</v>
      </c>
      <c r="B1119" s="255">
        <f t="shared" si="294"/>
        <v>24</v>
      </c>
      <c r="C1119" s="285" t="s">
        <v>225</v>
      </c>
      <c r="D1119" s="280">
        <f>SUMIF(C$7:C$1088,"cea 2",D$7:D$1088)</f>
        <v>0</v>
      </c>
      <c r="E1119" s="281">
        <f>SUMIF(C$7:C$1088,"cea 2",X$7:X$1088)</f>
        <v>0</v>
      </c>
      <c r="F1119" s="271">
        <f>SUMIFS(X$7:X$1088,C$7:C$1088,"Cea 2",AD$7:AD$1088,"OK")</f>
        <v>0</v>
      </c>
      <c r="G1119" s="272"/>
      <c r="H1119" s="276"/>
      <c r="I1119" s="255"/>
      <c r="J1119" s="259"/>
      <c r="K1119" s="259"/>
      <c r="L1119" s="259"/>
      <c r="M1119" s="259"/>
      <c r="N1119" s="259"/>
      <c r="O1119" s="259"/>
      <c r="P1119" s="259"/>
      <c r="Q1119" s="259"/>
      <c r="R1119" s="259"/>
      <c r="S1119" s="259"/>
      <c r="T1119" s="259"/>
      <c r="U1119" s="259"/>
      <c r="V1119" s="259"/>
      <c r="W1119" s="259"/>
      <c r="X1119" s="259"/>
      <c r="Y1119" s="259"/>
      <c r="Z1119" s="259"/>
    </row>
    <row r="1120" spans="1:26" ht="15.75" x14ac:dyDescent="0.25">
      <c r="B1120" s="255">
        <f t="shared" si="294"/>
        <v>25</v>
      </c>
      <c r="C1120" s="286" t="s">
        <v>331</v>
      </c>
      <c r="D1120" s="280">
        <f>SUMIF(C$7:C$1088,"cem",D$7:D$1088)</f>
        <v>0</v>
      </c>
      <c r="E1120" s="281">
        <f>SUMIF(C$7:C$1088,"cem",X$7:X$1088)</f>
        <v>0</v>
      </c>
      <c r="F1120" s="271">
        <f>SUMIFS(X$7:X$1088,C$7:C$1088,"Cem",AD$7:AD$1088,"OK")</f>
        <v>0</v>
      </c>
      <c r="G1120" s="272">
        <f>SUMIFS(D$7:D$1088,C$7:C$1088,"cem",AD$7:AD$1088,"OK")</f>
        <v>0</v>
      </c>
      <c r="H1120" s="276"/>
      <c r="I1120" s="255"/>
      <c r="J1120" s="259"/>
      <c r="K1120" s="259"/>
      <c r="L1120" s="259"/>
      <c r="M1120" s="259"/>
      <c r="N1120" s="259"/>
      <c r="O1120" s="259"/>
      <c r="P1120" s="259"/>
      <c r="Q1120" s="259"/>
      <c r="R1120" s="259"/>
      <c r="S1120" s="259"/>
      <c r="T1120" s="259"/>
      <c r="U1120" s="259"/>
      <c r="V1120" s="259"/>
      <c r="W1120" s="259"/>
      <c r="X1120" s="259"/>
      <c r="Y1120" s="259"/>
      <c r="Z1120" s="259"/>
    </row>
    <row r="1121" spans="1:26" ht="15.75" x14ac:dyDescent="0.25">
      <c r="A1121" s="222" t="s">
        <v>273</v>
      </c>
      <c r="B1121" s="255">
        <f t="shared" si="294"/>
        <v>26</v>
      </c>
      <c r="C1121" s="285" t="s">
        <v>226</v>
      </c>
      <c r="D1121" s="280">
        <f>SUMIF(C7:C1088,"chimimetal",D7:D1088)</f>
        <v>0</v>
      </c>
      <c r="E1121" s="281">
        <f>SUMIF(C7:C1088,"chimimetal",X7:X1088)</f>
        <v>0</v>
      </c>
      <c r="F1121" s="271">
        <f>SUMIFS(X$7:X$1088,C$7:C$1088,"Chimimetal",AD$7:AD$1088,"OK")</f>
        <v>0</v>
      </c>
      <c r="G1121" s="272"/>
      <c r="H1121" s="276"/>
      <c r="I1121" s="255"/>
      <c r="J1121" s="259"/>
      <c r="K1121" s="259"/>
      <c r="L1121" s="259"/>
      <c r="M1121" s="259"/>
      <c r="N1121" s="259"/>
      <c r="O1121" s="259"/>
      <c r="P1121" s="259"/>
      <c r="Q1121" s="259"/>
      <c r="R1121" s="259"/>
      <c r="S1121" s="259"/>
      <c r="T1121" s="259"/>
      <c r="U1121" s="259"/>
      <c r="V1121" s="259"/>
      <c r="W1121" s="259"/>
      <c r="X1121" s="259"/>
      <c r="Y1121" s="259"/>
      <c r="Z1121" s="259"/>
    </row>
    <row r="1122" spans="1:26" ht="15.75" x14ac:dyDescent="0.25">
      <c r="B1122" s="255">
        <f t="shared" si="294"/>
        <v>27</v>
      </c>
      <c r="C1122" s="284" t="s">
        <v>114</v>
      </c>
      <c r="D1122" s="280">
        <f>SUMIF(C7:C1088,"colombo",D7:D1088)</f>
        <v>2700</v>
      </c>
      <c r="E1122" s="281">
        <f>SUMIF(C7:C1088,"colombo",X7:X1088)</f>
        <v>189</v>
      </c>
      <c r="F1122" s="271">
        <f>SUMIFS(X$7:X$1088,C$7:C$1088,"Colombo",AD$7:AD$1088,"OK")</f>
        <v>0</v>
      </c>
      <c r="G1122" s="272">
        <f>SUMIFS(D$7:D$1088,C$7:C$1088,"Colombo",AD$7:AD$1088,"OK")</f>
        <v>0</v>
      </c>
      <c r="H1122" s="276"/>
      <c r="I1122" s="255"/>
      <c r="J1122" s="259"/>
      <c r="K1122" s="259"/>
      <c r="L1122" s="259"/>
      <c r="M1122" s="259"/>
      <c r="N1122" s="259"/>
      <c r="O1122" s="259"/>
      <c r="P1122" s="259"/>
      <c r="Q1122" s="259"/>
      <c r="R1122" s="259"/>
      <c r="S1122" s="259"/>
      <c r="T1122" s="259"/>
      <c r="U1122" s="259"/>
      <c r="V1122" s="259"/>
      <c r="W1122" s="259"/>
      <c r="X1122" s="259"/>
      <c r="Y1122" s="259"/>
      <c r="Z1122" s="259"/>
    </row>
    <row r="1123" spans="1:26" ht="15.75" x14ac:dyDescent="0.25">
      <c r="B1123" s="255">
        <f t="shared" si="294"/>
        <v>28</v>
      </c>
      <c r="C1123" s="284" t="s">
        <v>227</v>
      </c>
      <c r="D1123" s="280">
        <f>SUMIF(C7:C1088,"cta",D7:D1088)</f>
        <v>0</v>
      </c>
      <c r="E1123" s="281">
        <f>SUMIF(C7:C1088,"CTA",X7:X1088)</f>
        <v>0</v>
      </c>
      <c r="F1123" s="271">
        <f>SUMIFS(X$7:X$1088,C$7:C$1088,"Cta",AD$7:AD$1088,"OK")</f>
        <v>0</v>
      </c>
      <c r="G1123" s="272"/>
      <c r="H1123" s="276"/>
      <c r="I1123" s="255"/>
      <c r="J1123" s="259"/>
      <c r="K1123" s="259"/>
      <c r="L1123" s="259"/>
      <c r="M1123" s="259"/>
      <c r="N1123" s="259"/>
      <c r="O1123" s="259"/>
      <c r="P1123" s="259"/>
      <c r="Q1123" s="259"/>
      <c r="R1123" s="259"/>
      <c r="S1123" s="259"/>
      <c r="T1123" s="259"/>
      <c r="U1123" s="259"/>
      <c r="V1123" s="259"/>
      <c r="W1123" s="259"/>
      <c r="X1123" s="259"/>
      <c r="Y1123" s="259"/>
      <c r="Z1123" s="259"/>
    </row>
    <row r="1124" spans="1:26" ht="15.75" x14ac:dyDescent="0.25">
      <c r="B1124" s="255">
        <f t="shared" si="294"/>
        <v>29</v>
      </c>
      <c r="C1124" s="284" t="s">
        <v>228</v>
      </c>
      <c r="D1124" s="280">
        <f>SUMIF(C$7:C$1088,"CTS",D$7:D$1088)</f>
        <v>440</v>
      </c>
      <c r="E1124" s="281">
        <f>SUMIF(C$7:C$1088,"CTS",X$7:X$1088)</f>
        <v>132</v>
      </c>
      <c r="F1124" s="271">
        <f>SUMIFS(X$7:X$1088,C$7:C$1088,"Cts",AD$7:AD$1088,"OK")</f>
        <v>0</v>
      </c>
      <c r="G1124" s="272">
        <f>SUMIFS(D$7:D$1088,C$7:C$1088,"Cts",AD$7:AD$1088,"OK")</f>
        <v>0</v>
      </c>
      <c r="H1124" s="276"/>
      <c r="I1124" s="255"/>
      <c r="J1124" s="259"/>
      <c r="K1124" s="259"/>
      <c r="L1124" s="259"/>
      <c r="M1124" s="259"/>
      <c r="N1124" s="259"/>
      <c r="O1124" s="259"/>
      <c r="P1124" s="259"/>
      <c r="Q1124" s="259"/>
      <c r="R1124" s="259"/>
      <c r="S1124" s="259"/>
      <c r="T1124" s="259"/>
      <c r="U1124" s="259"/>
      <c r="V1124" s="259"/>
      <c r="W1124" s="259"/>
      <c r="X1124" s="259"/>
      <c r="Y1124" s="259"/>
      <c r="Z1124" s="259"/>
    </row>
    <row r="1125" spans="1:26" ht="15.75" x14ac:dyDescent="0.25">
      <c r="B1125" s="255">
        <f t="shared" si="294"/>
        <v>30</v>
      </c>
      <c r="C1125" s="284" t="s">
        <v>390</v>
      </c>
      <c r="D1125" s="280">
        <f>SUMIF(C$7:C$1088,"derbio",D$7:D$1088)</f>
        <v>0</v>
      </c>
      <c r="E1125" s="281">
        <f>SUMIF(C$7:C$1088,"derbio",X$7:X$1088)</f>
        <v>0</v>
      </c>
      <c r="F1125" s="271">
        <f>SUMIFS(X$7:X$1088,C$7:C$1088,"derbio",AD$7:AD$1088,"OK")</f>
        <v>0</v>
      </c>
      <c r="G1125" s="272">
        <f>SUMIFS(D$7:D$1088,C$7:C$1088,"derbio",AD$7:AD$1088,"OK")</f>
        <v>0</v>
      </c>
      <c r="H1125" s="276"/>
      <c r="I1125" s="255"/>
      <c r="J1125" s="259"/>
      <c r="K1125" s="259"/>
      <c r="L1125" s="259"/>
      <c r="M1125" s="259"/>
      <c r="N1125" s="259"/>
      <c r="O1125" s="259"/>
      <c r="P1125" s="259"/>
      <c r="Q1125" s="259"/>
      <c r="R1125" s="259"/>
      <c r="S1125" s="259"/>
      <c r="T1125" s="259"/>
      <c r="U1125" s="259"/>
      <c r="V1125" s="259"/>
      <c r="W1125" s="259"/>
      <c r="X1125" s="259"/>
      <c r="Y1125" s="259"/>
      <c r="Z1125" s="259"/>
    </row>
    <row r="1126" spans="1:26" ht="15.75" x14ac:dyDescent="0.25">
      <c r="B1126" s="255">
        <f t="shared" si="294"/>
        <v>31</v>
      </c>
      <c r="C1126" s="284" t="s">
        <v>237</v>
      </c>
      <c r="D1126" s="280">
        <f>SUMIF(C7:C1088,"duesse",D7:D1088)</f>
        <v>0</v>
      </c>
      <c r="E1126" s="281">
        <f>SUMIF(C7:C1088,"duesse",X7:X1088)</f>
        <v>0</v>
      </c>
      <c r="F1126" s="271">
        <f>SUMIFS(X$7:X$1088,C$7:C$1088,"Duesse",AD$7:AD$1088,"OK")</f>
        <v>0</v>
      </c>
      <c r="G1126" s="272"/>
      <c r="H1126" s="276"/>
      <c r="I1126" s="255"/>
      <c r="J1126" s="259"/>
      <c r="K1126" s="259"/>
      <c r="L1126" s="259"/>
      <c r="M1126" s="259"/>
      <c r="N1126" s="259"/>
      <c r="O1126" s="259"/>
      <c r="P1126" s="259"/>
      <c r="Q1126" s="259"/>
      <c r="R1126" s="259"/>
      <c r="S1126" s="259"/>
      <c r="T1126" s="259"/>
      <c r="U1126" s="259"/>
      <c r="V1126" s="259"/>
      <c r="W1126" s="259"/>
      <c r="X1126" s="259"/>
      <c r="Y1126" s="259"/>
      <c r="Z1126" s="259"/>
    </row>
    <row r="1127" spans="1:26" ht="15.75" x14ac:dyDescent="0.25">
      <c r="A1127" s="222" t="s">
        <v>273</v>
      </c>
      <c r="B1127" s="255">
        <f t="shared" si="294"/>
        <v>32</v>
      </c>
      <c r="C1127" s="285" t="s">
        <v>256</v>
      </c>
      <c r="D1127" s="280">
        <f>SUMIF(C7:C1088,"ea",D7:D1088)</f>
        <v>0</v>
      </c>
      <c r="E1127" s="281">
        <f>SUMIF(C7:C1088,"ea",X7:X1088)</f>
        <v>0</v>
      </c>
      <c r="F1127" s="271">
        <f>SUMIFS(X$7:X$1088,C$7:C$1088,"Ea",AD$7:AD$1088,"OK")</f>
        <v>0</v>
      </c>
      <c r="G1127" s="272"/>
      <c r="H1127" s="276"/>
      <c r="I1127" s="255"/>
      <c r="J1127" s="259"/>
      <c r="K1127" s="259"/>
      <c r="L1127" s="259"/>
      <c r="M1127" s="259"/>
      <c r="N1127" s="259"/>
      <c r="O1127" s="259"/>
      <c r="P1127" s="259"/>
      <c r="Q1127" s="259"/>
      <c r="R1127" s="259"/>
      <c r="S1127" s="259"/>
      <c r="T1127" s="259"/>
      <c r="U1127" s="259"/>
      <c r="V1127" s="259"/>
      <c r="W1127" s="259"/>
      <c r="X1127" s="259"/>
      <c r="Y1127" s="259"/>
      <c r="Z1127" s="259"/>
    </row>
    <row r="1128" spans="1:26" ht="15.75" x14ac:dyDescent="0.25">
      <c r="B1128" s="255">
        <f t="shared" si="294"/>
        <v>33</v>
      </c>
      <c r="C1128" s="284" t="s">
        <v>219</v>
      </c>
      <c r="D1128" s="280">
        <f>SUMIF(C7:C1088,"ebg",D7:D1088)</f>
        <v>6300</v>
      </c>
      <c r="E1128" s="281">
        <f>SUMIF(C7:C1088,"ebg",X7:X1088)</f>
        <v>515</v>
      </c>
      <c r="F1128" s="271">
        <f>SUMIFS(X$7:X$1088,C$7:C$1088,"Ebg",AD$7:AD$1088,"OK")</f>
        <v>0</v>
      </c>
      <c r="G1128" s="272"/>
      <c r="H1128" s="276"/>
      <c r="I1128" s="255"/>
      <c r="J1128" s="259"/>
      <c r="K1128" s="259"/>
      <c r="L1128" s="259"/>
      <c r="M1128" s="259"/>
      <c r="N1128" s="259"/>
      <c r="O1128" s="259"/>
      <c r="P1128" s="259"/>
      <c r="Q1128" s="259"/>
      <c r="R1128" s="259"/>
      <c r="S1128" s="259"/>
      <c r="T1128" s="259"/>
      <c r="U1128" s="259"/>
      <c r="V1128" s="259"/>
      <c r="W1128" s="259"/>
      <c r="X1128" s="259"/>
      <c r="Y1128" s="259"/>
      <c r="Z1128" s="259"/>
    </row>
    <row r="1129" spans="1:26" ht="15.75" x14ac:dyDescent="0.25">
      <c r="B1129" s="255">
        <f t="shared" si="294"/>
        <v>34</v>
      </c>
      <c r="C1129" s="284" t="s">
        <v>330</v>
      </c>
      <c r="D1129" s="280">
        <f>SUMIF(C7:C1088,"efacec",D7:D1088)</f>
        <v>31350</v>
      </c>
      <c r="E1129" s="281">
        <f>SUMIF(C7:C1088,"efacec",X7:X1088)</f>
        <v>2194.5</v>
      </c>
      <c r="F1129" s="271">
        <f>SUMIFS(X$7:X$1088,C$7:C$1088,"Efacec",AD$7:AD$1088,"OK")</f>
        <v>0</v>
      </c>
      <c r="G1129" s="272">
        <f>SUMIFS(D$7:D$1088,C$7:C$1088,"efacec",AD$7:AD$1088,"OK")</f>
        <v>0</v>
      </c>
      <c r="H1129" s="276"/>
      <c r="I1129" s="255"/>
      <c r="J1129" s="259"/>
      <c r="K1129" s="259"/>
      <c r="L1129" s="259"/>
      <c r="M1129" s="259"/>
      <c r="N1129" s="259"/>
      <c r="O1129" s="259"/>
      <c r="P1129" s="259"/>
      <c r="Q1129" s="259"/>
      <c r="R1129" s="259"/>
      <c r="S1129" s="259"/>
      <c r="T1129" s="259"/>
      <c r="U1129" s="259"/>
      <c r="V1129" s="259"/>
      <c r="W1129" s="259"/>
      <c r="X1129" s="259"/>
      <c r="Y1129" s="259"/>
      <c r="Z1129" s="259"/>
    </row>
    <row r="1130" spans="1:26" ht="15.75" x14ac:dyDescent="0.25">
      <c r="B1130" s="255">
        <f t="shared" si="294"/>
        <v>35</v>
      </c>
      <c r="C1130" s="284" t="s">
        <v>235</v>
      </c>
      <c r="D1130" s="280">
        <f>SUMIF(C7:C1088,"eht",D7:D1088)</f>
        <v>0</v>
      </c>
      <c r="E1130" s="281">
        <f>SUMIF(C7:C1088,"eht",X7:X1088)</f>
        <v>0</v>
      </c>
      <c r="F1130" s="271">
        <f>SUMIFS(X$7:X$1088,C$7:C$1088,"Eht",AD$7:AD$1088,"OK")</f>
        <v>0</v>
      </c>
      <c r="G1130" s="272"/>
      <c r="H1130" s="276"/>
      <c r="I1130" s="255"/>
      <c r="J1130" s="259"/>
      <c r="K1130" s="259"/>
      <c r="L1130" s="259"/>
      <c r="M1130" s="259"/>
      <c r="N1130" s="259"/>
      <c r="O1130" s="259"/>
      <c r="P1130" s="259"/>
      <c r="Q1130" s="259"/>
      <c r="R1130" s="259"/>
      <c r="S1130" s="259"/>
      <c r="T1130" s="259"/>
      <c r="U1130" s="259"/>
      <c r="V1130" s="259"/>
      <c r="W1130" s="259"/>
      <c r="X1130" s="259"/>
      <c r="Y1130" s="259"/>
      <c r="Z1130" s="259"/>
    </row>
    <row r="1131" spans="1:26" ht="15.75" x14ac:dyDescent="0.25">
      <c r="A1131" s="222" t="s">
        <v>273</v>
      </c>
      <c r="B1131" s="255">
        <f t="shared" si="294"/>
        <v>36</v>
      </c>
      <c r="C1131" s="288" t="s">
        <v>229</v>
      </c>
      <c r="D1131" s="280">
        <f>SUMIF(C7:C1088,"ELAST",D7:D1088)</f>
        <v>0</v>
      </c>
      <c r="E1131" s="281">
        <f>SUMIF(C7:C1088,"elast",X7:X1088)</f>
        <v>0</v>
      </c>
      <c r="F1131" s="271">
        <f>SUMIFS(X$7:X$1088,C$7:C$1088,"Elast",AD$7:AD$1088,"OK")</f>
        <v>0</v>
      </c>
      <c r="G1131" s="272"/>
      <c r="H1131" s="276"/>
      <c r="I1131" s="255"/>
      <c r="J1131" s="259"/>
      <c r="K1131" s="259"/>
      <c r="L1131" s="259"/>
      <c r="M1131" s="259"/>
      <c r="N1131" s="259"/>
      <c r="O1131" s="259"/>
      <c r="P1131" s="259"/>
      <c r="Q1131" s="259"/>
      <c r="R1131" s="259"/>
      <c r="S1131" s="259"/>
      <c r="T1131" s="259"/>
      <c r="U1131" s="259"/>
      <c r="V1131" s="259"/>
      <c r="W1131" s="259"/>
      <c r="X1131" s="259"/>
      <c r="Y1131" s="259"/>
      <c r="Z1131" s="259"/>
    </row>
    <row r="1132" spans="1:26" ht="15.75" x14ac:dyDescent="0.25">
      <c r="B1132" s="255">
        <f t="shared" si="294"/>
        <v>37</v>
      </c>
      <c r="C1132" s="284" t="s">
        <v>111</v>
      </c>
      <c r="D1132" s="280">
        <f>SUMIF(C7:C1088,"elca",D7:D1088)</f>
        <v>0</v>
      </c>
      <c r="E1132" s="281">
        <f>SUMIF(C7:C1088,"elca",X7:X1088)</f>
        <v>0</v>
      </c>
      <c r="F1132" s="271">
        <f>SUMIFS(X$7:X$1088,C$7:C$1088,"Elca",AD$7:AD$1088,"OK")</f>
        <v>0</v>
      </c>
      <c r="G1132" s="272">
        <f>SUMIFS(D$7:D$1088,C$7:C$1088,"Elca",AD$7:AD$1088,"OK")</f>
        <v>0</v>
      </c>
      <c r="H1132" s="276"/>
      <c r="I1132" s="255"/>
      <c r="J1132" s="259"/>
      <c r="K1132" s="259"/>
      <c r="L1132" s="259"/>
      <c r="M1132" s="259"/>
      <c r="N1132" s="259"/>
      <c r="O1132" s="259"/>
      <c r="P1132" s="259"/>
      <c r="Q1132" s="259"/>
      <c r="R1132" s="259"/>
      <c r="S1132" s="259"/>
      <c r="T1132" s="259"/>
      <c r="U1132" s="259"/>
      <c r="V1132" s="259"/>
      <c r="W1132" s="259"/>
      <c r="X1132" s="259"/>
      <c r="Y1132" s="259"/>
      <c r="Z1132" s="259"/>
    </row>
    <row r="1133" spans="1:26" ht="15.75" x14ac:dyDescent="0.25">
      <c r="B1133" s="255">
        <f t="shared" si="294"/>
        <v>38</v>
      </c>
      <c r="C1133" s="284" t="s">
        <v>365</v>
      </c>
      <c r="D1133" s="280">
        <f>SUMIF(C$7:C$1088,"Elesa",D$7:D$1088)</f>
        <v>0</v>
      </c>
      <c r="E1133" s="281">
        <f>SUMIF(C$7:C$1088,"elesa",X$7:X$1088)</f>
        <v>0</v>
      </c>
      <c r="F1133" s="271">
        <f>SUMIFS(X$7:X$1088,C$7:C$1088,"elesa",AD$7:AD$1088,"OK")</f>
        <v>0</v>
      </c>
      <c r="G1133" s="272">
        <f>SUMIFS(D$7:D$1088,C$7:C$1088,"elesa",AD$7:AD$1088,"OK")</f>
        <v>0</v>
      </c>
      <c r="H1133" s="276"/>
      <c r="I1133" s="255"/>
      <c r="J1133" s="259"/>
      <c r="K1133" s="259"/>
      <c r="L1133" s="259"/>
      <c r="M1133" s="259"/>
      <c r="N1133" s="259"/>
      <c r="O1133" s="259"/>
      <c r="P1133" s="259"/>
      <c r="Q1133" s="259"/>
      <c r="R1133" s="259"/>
      <c r="S1133" s="259"/>
      <c r="T1133" s="259"/>
      <c r="U1133" s="259"/>
      <c r="V1133" s="259"/>
      <c r="W1133" s="259"/>
      <c r="X1133" s="259"/>
      <c r="Y1133" s="259"/>
      <c r="Z1133" s="259"/>
    </row>
    <row r="1134" spans="1:26" ht="15.75" x14ac:dyDescent="0.25">
      <c r="B1134" s="255">
        <f t="shared" si="294"/>
        <v>39</v>
      </c>
      <c r="C1134" s="284" t="s">
        <v>230</v>
      </c>
      <c r="D1134" s="280">
        <f>SUMIF(C7:C1088,"elektra",D7:D1088)</f>
        <v>0</v>
      </c>
      <c r="E1134" s="281">
        <f>SUMIF(C7:C1088,"elektra",X7:X1088)</f>
        <v>0</v>
      </c>
      <c r="F1134" s="271">
        <f>SUMIFS(X$7:X$1088,C$7:C$1088,"Elektra",AD$7:AD$1088,"OK")</f>
        <v>0</v>
      </c>
      <c r="G1134" s="272">
        <f>SUMIFS(D$7:D$1088,C$7:C$1088,"Elektra",AD$7:AD$1088,"OK")</f>
        <v>0</v>
      </c>
      <c r="H1134" s="276"/>
      <c r="I1134" s="255"/>
      <c r="J1134" s="259"/>
      <c r="K1134" s="259"/>
      <c r="L1134" s="259"/>
      <c r="M1134" s="259"/>
      <c r="N1134" s="259"/>
      <c r="O1134" s="259"/>
      <c r="P1134" s="259"/>
      <c r="Q1134" s="259"/>
      <c r="R1134" s="259"/>
      <c r="S1134" s="259"/>
      <c r="T1134" s="259"/>
      <c r="U1134" s="259"/>
      <c r="V1134" s="259"/>
      <c r="W1134" s="259"/>
      <c r="X1134" s="259"/>
      <c r="Y1134" s="259"/>
      <c r="Z1134" s="259"/>
    </row>
    <row r="1135" spans="1:26" ht="15.75" x14ac:dyDescent="0.25">
      <c r="B1135" s="255">
        <f t="shared" si="294"/>
        <v>40</v>
      </c>
      <c r="C1135" s="284" t="s">
        <v>106</v>
      </c>
      <c r="D1135" s="280">
        <f>SUMIF(C7:C1088,"eletrafo",D7:D1088)</f>
        <v>0</v>
      </c>
      <c r="E1135" s="281">
        <f>SUMIF(C7:C1088,"eletrafo",X7:X1088)</f>
        <v>0</v>
      </c>
      <c r="F1135" s="271">
        <f>SUMIFS(X$7:X$1088,C$7:C$1088,"Eletrafo",AD$7:AD$1088,"OK")</f>
        <v>0</v>
      </c>
      <c r="G1135" s="272">
        <f>SUMIFS(D$7:D$1088,C$7:C$1088,"Eletrafo",AD$7:AD$1088,"OK")</f>
        <v>0</v>
      </c>
      <c r="H1135" s="276"/>
      <c r="I1135" s="255"/>
      <c r="J1135" s="259"/>
      <c r="K1135" s="259"/>
      <c r="L1135" s="259"/>
      <c r="M1135" s="259"/>
      <c r="N1135" s="259"/>
      <c r="O1135" s="259"/>
      <c r="P1135" s="259"/>
      <c r="Q1135" s="259"/>
      <c r="R1135" s="259"/>
      <c r="S1135" s="259"/>
      <c r="T1135" s="259"/>
      <c r="U1135" s="259"/>
      <c r="V1135" s="259"/>
      <c r="W1135" s="259"/>
      <c r="X1135" s="259"/>
      <c r="Y1135" s="259"/>
      <c r="Z1135" s="259"/>
    </row>
    <row r="1136" spans="1:26" ht="15.75" x14ac:dyDescent="0.25">
      <c r="B1136" s="255">
        <f t="shared" si="294"/>
        <v>41</v>
      </c>
      <c r="C1136" s="284" t="s">
        <v>199</v>
      </c>
      <c r="D1136" s="280">
        <f>SUMIF(C7:C1088,"elettromil",D7:D1088)</f>
        <v>0</v>
      </c>
      <c r="E1136" s="281">
        <f>SUMIF(C7:C1088,"elettromil",X7:X1088)</f>
        <v>0</v>
      </c>
      <c r="F1136" s="271">
        <f>SUMIFS(X$7:X$1088,C$7:C$1088,"Elettromil",AD$7:AD$1088,"OK")</f>
        <v>0</v>
      </c>
      <c r="G1136" s="272">
        <f>SUMIFS(D$7:D$1088,C$7:C$1088,"ELETTROMIL",AD$7:AD$1088,"OK")</f>
        <v>0</v>
      </c>
      <c r="H1136" s="276"/>
      <c r="I1136" s="255"/>
      <c r="J1136" s="259"/>
      <c r="K1136" s="259"/>
      <c r="L1136" s="259"/>
      <c r="M1136" s="259"/>
      <c r="N1136" s="259"/>
      <c r="O1136" s="259"/>
      <c r="P1136" s="259"/>
      <c r="Q1136" s="259"/>
      <c r="R1136" s="259"/>
      <c r="S1136" s="259"/>
      <c r="T1136" s="259"/>
      <c r="U1136" s="259"/>
      <c r="V1136" s="259"/>
      <c r="W1136" s="259"/>
      <c r="X1136" s="259"/>
      <c r="Y1136" s="259"/>
      <c r="Z1136" s="259"/>
    </row>
    <row r="1137" spans="1:26" ht="15.75" x14ac:dyDescent="0.25">
      <c r="A1137" s="222" t="s">
        <v>273</v>
      </c>
      <c r="B1137" s="255">
        <f t="shared" si="294"/>
        <v>42</v>
      </c>
      <c r="C1137" s="285" t="s">
        <v>91</v>
      </c>
      <c r="D1137" s="280">
        <f>SUMIF(C7:C1088,"elettroplastica",D7:D1088)</f>
        <v>0</v>
      </c>
      <c r="E1137" s="281">
        <f>SUMIF(C7:C1088,"elettropalstica",X7:X1088)</f>
        <v>0</v>
      </c>
      <c r="F1137" s="271">
        <f>SUMIFS(X$7:X$1088,C$7:C$1088,"Elettroplastica",AD$7:AD$1088,"OK")</f>
        <v>0</v>
      </c>
      <c r="G1137" s="272"/>
      <c r="H1137" s="276"/>
      <c r="I1137" s="255"/>
      <c r="J1137" s="259"/>
      <c r="K1137" s="259"/>
      <c r="L1137" s="259"/>
      <c r="M1137" s="259"/>
      <c r="N1137" s="259"/>
      <c r="O1137" s="259"/>
      <c r="P1137" s="259"/>
      <c r="Q1137" s="259"/>
      <c r="R1137" s="259"/>
      <c r="S1137" s="259"/>
      <c r="T1137" s="259"/>
      <c r="U1137" s="259"/>
      <c r="V1137" s="259"/>
      <c r="W1137" s="259"/>
      <c r="X1137" s="259"/>
      <c r="Y1137" s="259"/>
      <c r="Z1137" s="259"/>
    </row>
    <row r="1138" spans="1:26" ht="15.75" x14ac:dyDescent="0.25">
      <c r="A1138" s="222" t="s">
        <v>273</v>
      </c>
      <c r="B1138" s="255">
        <f t="shared" si="294"/>
        <v>43</v>
      </c>
      <c r="C1138" s="287" t="s">
        <v>295</v>
      </c>
      <c r="D1138" s="280">
        <f>SUMIF(C7:C1088,"elhand",D7:D1088)</f>
        <v>0</v>
      </c>
      <c r="E1138" s="281">
        <f>SUMIF(C7:C1088,"elhand",X7:X1088)</f>
        <v>0</v>
      </c>
      <c r="F1138" s="271">
        <f>SUMIFS(X$7:X$1088,C$7:C$1088,"elhand",AD$7:AD$1088,"OK")</f>
        <v>0</v>
      </c>
      <c r="G1138" s="272">
        <f>SUMIFS(D$7:D$1088,C$7:C$1088,"elhand",AD$7:AD$1088,"OK")</f>
        <v>0</v>
      </c>
      <c r="H1138" s="276"/>
      <c r="I1138" s="255"/>
      <c r="J1138" s="259"/>
      <c r="K1138" s="259"/>
      <c r="L1138" s="259"/>
      <c r="M1138" s="259"/>
      <c r="N1138" s="259"/>
      <c r="O1138" s="259"/>
      <c r="P1138" s="259"/>
      <c r="Q1138" s="259"/>
      <c r="R1138" s="259"/>
      <c r="S1138" s="259"/>
      <c r="T1138" s="259"/>
      <c r="U1138" s="259"/>
      <c r="V1138" s="259"/>
      <c r="W1138" s="259"/>
      <c r="X1138" s="259"/>
      <c r="Y1138" s="259"/>
      <c r="Z1138" s="259"/>
    </row>
    <row r="1139" spans="1:26" ht="15.75" x14ac:dyDescent="0.25">
      <c r="B1139" s="255">
        <f t="shared" si="294"/>
        <v>44</v>
      </c>
      <c r="C1139" s="284" t="s">
        <v>443</v>
      </c>
      <c r="D1139" s="280">
        <f>SUMIF(C7:C1088,"elpi cast",D7:D1088)</f>
        <v>55928</v>
      </c>
      <c r="E1139" s="281">
        <f>SUMIF(C7:C1088,"elpi cast",X7:X1088)</f>
        <v>1814.9600000000003</v>
      </c>
      <c r="F1139" s="271">
        <f>SUMIFS(X$7:X$1088,C$7:C$1088,"Elpicast",AD$7:AD$1088,"OK")</f>
        <v>0</v>
      </c>
      <c r="G1139" s="272">
        <f>SUMIFS(D$7:D$1088,C$7:C$1088,"elpi cast",AD$7:AD$1088,"OK")</f>
        <v>22628</v>
      </c>
      <c r="H1139" s="276"/>
      <c r="I1139" s="255"/>
      <c r="J1139" s="259"/>
      <c r="K1139" s="259"/>
      <c r="L1139" s="259"/>
      <c r="M1139" s="259"/>
      <c r="N1139" s="259"/>
      <c r="O1139" s="259"/>
      <c r="P1139" s="259"/>
      <c r="Q1139" s="259"/>
      <c r="R1139" s="259"/>
      <c r="S1139" s="259"/>
      <c r="T1139" s="259"/>
      <c r="U1139" s="259"/>
      <c r="V1139" s="259"/>
      <c r="W1139" s="259"/>
      <c r="X1139" s="259"/>
      <c r="Y1139" s="259"/>
      <c r="Z1139" s="259"/>
    </row>
    <row r="1140" spans="1:26" ht="15.75" x14ac:dyDescent="0.25">
      <c r="B1140" s="255">
        <f t="shared" si="294"/>
        <v>45</v>
      </c>
      <c r="C1140" s="284" t="s">
        <v>97</v>
      </c>
      <c r="D1140" s="280">
        <f>SUMIF(C7:C1088,"emg",D7:D1088)</f>
        <v>276</v>
      </c>
      <c r="E1140" s="281">
        <f>SUMIF(C7:C1088,"emg",X7:X1088)</f>
        <v>41.4</v>
      </c>
      <c r="F1140" s="271">
        <f>SUMIFS(X$7:X$1088,C$7:C$1088,"Emg",AD$7:AD$1088,"OK")</f>
        <v>41.4</v>
      </c>
      <c r="G1140" s="272">
        <f>SUMIFS(D$7:D$1088,C$7:C$1088,"emg",AD$7:AD$1088,"OK")</f>
        <v>276</v>
      </c>
      <c r="H1140" s="276"/>
      <c r="I1140" s="255"/>
      <c r="J1140" s="259"/>
      <c r="K1140" s="259"/>
      <c r="L1140" s="259"/>
      <c r="M1140" s="259"/>
      <c r="N1140" s="259"/>
      <c r="O1140" s="259"/>
      <c r="P1140" s="259"/>
      <c r="Q1140" s="259"/>
      <c r="R1140" s="259"/>
      <c r="S1140" s="259"/>
      <c r="T1140" s="259"/>
      <c r="U1140" s="259"/>
      <c r="V1140" s="259"/>
      <c r="W1140" s="259"/>
      <c r="X1140" s="259"/>
      <c r="Y1140" s="259"/>
      <c r="Z1140" s="259"/>
    </row>
    <row r="1141" spans="1:26" ht="15.75" x14ac:dyDescent="0.25">
      <c r="B1141" s="255"/>
      <c r="C1141" s="284" t="s">
        <v>437</v>
      </c>
      <c r="D1141" s="280">
        <f>SUMIF(C7:C1089,"eservice",D7:D1089)</f>
        <v>0</v>
      </c>
      <c r="E1141" s="281">
        <f>SUMIF(C7:C1089,"eservice",X7:X1089)</f>
        <v>0</v>
      </c>
      <c r="F1141" s="271">
        <f>SUMIFS(X$7:X$1088,C$7:C$1088,"eservice",AD$7:AD$1088,"OK")</f>
        <v>0</v>
      </c>
      <c r="G1141" s="272">
        <f>SUMIFS(D$7:D$1088,C$7:C$1088,"eservice",AD$7:AD$1088,"OK")</f>
        <v>0</v>
      </c>
      <c r="H1141" s="276"/>
      <c r="I1141" s="255"/>
      <c r="J1141" s="259"/>
      <c r="K1141" s="259"/>
      <c r="L1141" s="259"/>
      <c r="M1141" s="259"/>
      <c r="N1141" s="259"/>
      <c r="O1141" s="259"/>
      <c r="P1141" s="259"/>
      <c r="Q1141" s="259"/>
      <c r="R1141" s="259"/>
      <c r="S1141" s="259"/>
      <c r="T1141" s="259"/>
      <c r="U1141" s="259"/>
      <c r="V1141" s="259"/>
      <c r="W1141" s="259"/>
      <c r="X1141" s="259"/>
      <c r="Y1141" s="259"/>
      <c r="Z1141" s="259"/>
    </row>
    <row r="1142" spans="1:26" ht="15.75" x14ac:dyDescent="0.25">
      <c r="B1142" s="255">
        <f>+B1140+1</f>
        <v>46</v>
      </c>
      <c r="C1142" s="284" t="s">
        <v>258</v>
      </c>
      <c r="D1142" s="280">
        <f>SUMIF(C7:C1088,"espa",D7:D1088)</f>
        <v>0</v>
      </c>
      <c r="E1142" s="281">
        <f>SUMIF(C7:C1088,"espa",X7:X1088)</f>
        <v>0</v>
      </c>
      <c r="F1142" s="271">
        <f>SUMIFS(X$7:X$1088,C$7:C$1088,"Espa",AD$7:AD$1088,"OK")</f>
        <v>0</v>
      </c>
      <c r="G1142" s="272">
        <f>SUMIFS(D$7:D$1088,C$7:C$1088,"ESPA",AD$7:AD$1088,"OK")</f>
        <v>0</v>
      </c>
      <c r="H1142" s="276"/>
      <c r="I1142" s="255"/>
      <c r="J1142" s="259"/>
      <c r="K1142" s="259"/>
      <c r="L1142" s="259"/>
      <c r="M1142" s="259"/>
      <c r="N1142" s="259"/>
      <c r="O1142" s="259"/>
      <c r="P1142" s="259"/>
      <c r="Q1142" s="259"/>
      <c r="R1142" s="259"/>
      <c r="S1142" s="259"/>
      <c r="T1142" s="259"/>
      <c r="U1142" s="259"/>
      <c r="V1142" s="259"/>
      <c r="W1142" s="259"/>
      <c r="X1142" s="259"/>
      <c r="Y1142" s="259"/>
      <c r="Z1142" s="259"/>
    </row>
    <row r="1143" spans="1:26" ht="15.75" x14ac:dyDescent="0.25">
      <c r="B1143" s="255">
        <f t="shared" si="294"/>
        <v>47</v>
      </c>
      <c r="C1143" s="284" t="s">
        <v>373</v>
      </c>
      <c r="D1143" s="280">
        <f>SUMIF(C$7:C$1088,"fabero",D$7:D$1088)</f>
        <v>0</v>
      </c>
      <c r="E1143" s="281">
        <f>SUMIF(C$7:C$1088,"fabero",X$7:X$1088)</f>
        <v>0</v>
      </c>
      <c r="F1143" s="271">
        <f>SUMIFS(X$7:X$1088,C$7:C$1088,"Fabero",AD$7:AD$1088,"OK")</f>
        <v>0</v>
      </c>
      <c r="G1143" s="272">
        <f>SUMIFS(D$7:D$1088,C$7:C$1088,"fabero",AD$7:AD$1088,"OK")</f>
        <v>0</v>
      </c>
      <c r="H1143" s="276"/>
      <c r="I1143" s="255"/>
      <c r="J1143" s="259"/>
      <c r="K1143" s="259"/>
      <c r="L1143" s="259"/>
      <c r="M1143" s="259"/>
      <c r="N1143" s="259"/>
      <c r="O1143" s="259"/>
      <c r="P1143" s="259"/>
      <c r="Q1143" s="259"/>
      <c r="R1143" s="259"/>
      <c r="S1143" s="259"/>
      <c r="T1143" s="259"/>
      <c r="U1143" s="259"/>
      <c r="V1143" s="259"/>
      <c r="W1143" s="259"/>
      <c r="X1143" s="259"/>
      <c r="Y1143" s="259"/>
      <c r="Z1143" s="259"/>
    </row>
    <row r="1144" spans="1:26" ht="15.75" x14ac:dyDescent="0.25">
      <c r="B1144" s="255">
        <f t="shared" si="294"/>
        <v>48</v>
      </c>
      <c r="C1144" s="284" t="s">
        <v>242</v>
      </c>
      <c r="D1144" s="280">
        <f>SUMIF(C$7:C$1088,"fashion",D$7:D$1088)</f>
        <v>0</v>
      </c>
      <c r="E1144" s="281">
        <f>SUMIF(C$7:C$1088,"fashion",X$7:X$1088)</f>
        <v>0</v>
      </c>
      <c r="F1144" s="271">
        <f>SUMIFS(X$7:X$1088,C$7:C$1088,"Fashion",AD$7:AD$1088,"OK")</f>
        <v>0</v>
      </c>
      <c r="G1144" s="272">
        <f>SUMIFS(D$7:D$1088,C$7:C$1088,"fashion",AD$7:AD$1088,"OK")</f>
        <v>0</v>
      </c>
      <c r="H1144" s="276"/>
      <c r="I1144" s="255"/>
      <c r="J1144" s="259"/>
      <c r="K1144" s="259"/>
      <c r="L1144" s="259"/>
      <c r="M1144" s="259"/>
      <c r="N1144" s="259"/>
      <c r="O1144" s="259"/>
      <c r="P1144" s="259"/>
      <c r="Q1144" s="259"/>
      <c r="R1144" s="259"/>
      <c r="S1144" s="259"/>
      <c r="T1144" s="259"/>
      <c r="U1144" s="259"/>
      <c r="V1144" s="259"/>
      <c r="W1144" s="259"/>
      <c r="X1144" s="259"/>
      <c r="Y1144" s="259"/>
      <c r="Z1144" s="259"/>
    </row>
    <row r="1145" spans="1:26" ht="15.75" x14ac:dyDescent="0.25">
      <c r="B1145" s="255">
        <f t="shared" si="294"/>
        <v>49</v>
      </c>
      <c r="C1145" s="284" t="s">
        <v>338</v>
      </c>
      <c r="D1145" s="280">
        <f>SUMIF(C$7:C$1088,"facem",D$7:D$1088)</f>
        <v>0</v>
      </c>
      <c r="E1145" s="281">
        <f>SUMIF(C$7:C$1088,"facem",X$7:X$1088)</f>
        <v>0</v>
      </c>
      <c r="F1145" s="271">
        <f>SUMIFS(X$7:X$1088,C$7:C$1088,"Facem",AD$7:AD$1088,"OK")</f>
        <v>0</v>
      </c>
      <c r="G1145" s="272">
        <f>SUMIFS(D$7:D$1088,C$7:C$1088,"facem",AD$7:AD$1088,"OK")</f>
        <v>0</v>
      </c>
      <c r="H1145" s="276"/>
      <c r="I1145" s="255"/>
      <c r="J1145" s="259"/>
      <c r="K1145" s="259"/>
      <c r="L1145" s="259"/>
      <c r="M1145" s="259"/>
      <c r="N1145" s="259"/>
      <c r="O1145" s="259"/>
      <c r="P1145" s="259"/>
      <c r="Q1145" s="259"/>
      <c r="R1145" s="259"/>
      <c r="S1145" s="259"/>
      <c r="T1145" s="259"/>
      <c r="U1145" s="259"/>
      <c r="V1145" s="259"/>
      <c r="W1145" s="259"/>
      <c r="X1145" s="259"/>
      <c r="Y1145" s="259"/>
      <c r="Z1145" s="259"/>
    </row>
    <row r="1146" spans="1:26" ht="15.75" x14ac:dyDescent="0.25">
      <c r="A1146" s="222" t="s">
        <v>273</v>
      </c>
      <c r="B1146" s="255">
        <f t="shared" si="294"/>
        <v>50</v>
      </c>
      <c r="C1146" s="287" t="s">
        <v>240</v>
      </c>
      <c r="D1146" s="280">
        <f>SUMIF(C7:C1089,"fat",D7:D1089)</f>
        <v>0</v>
      </c>
      <c r="E1146" s="281">
        <f>SUMIF(C7:C1089,"fat",X7:X1089)</f>
        <v>0</v>
      </c>
      <c r="F1146" s="271">
        <f>SUMIFS(X$7:X$1088,C$7:C$1088,"Fat",AD$7:AD$1088,"OK")</f>
        <v>0</v>
      </c>
      <c r="G1146" s="272"/>
      <c r="H1146" s="276"/>
      <c r="I1146" s="255"/>
      <c r="J1146" s="259"/>
      <c r="K1146" s="259"/>
      <c r="L1146" s="259"/>
      <c r="M1146" s="259"/>
      <c r="N1146" s="259"/>
      <c r="O1146" s="259"/>
      <c r="P1146" s="259"/>
      <c r="Q1146" s="259"/>
      <c r="R1146" s="259"/>
      <c r="S1146" s="259"/>
      <c r="T1146" s="259"/>
      <c r="U1146" s="259"/>
      <c r="V1146" s="259"/>
      <c r="W1146" s="259"/>
      <c r="X1146" s="259"/>
      <c r="Y1146" s="259"/>
      <c r="Z1146" s="259"/>
    </row>
    <row r="1147" spans="1:26" ht="15.75" x14ac:dyDescent="0.25">
      <c r="B1147" s="255">
        <f t="shared" si="294"/>
        <v>51</v>
      </c>
      <c r="C1147" s="284" t="s">
        <v>100</v>
      </c>
      <c r="D1147" s="280">
        <f>SUMIF(C7:C1088,"fdueg",D7:D1088)</f>
        <v>0</v>
      </c>
      <c r="E1147" s="281">
        <f>SUMIF(C7:C1088,"fdueg",X7:X1088)</f>
        <v>0</v>
      </c>
      <c r="F1147" s="271">
        <f>SUMIFS(X$7:X$1088,C$7:C$1088,"FdueG",AD$7:AD$1088,"OK")</f>
        <v>0</v>
      </c>
      <c r="G1147" s="272">
        <f>SUMIFS(D$7:D$1088,C$7:C$1088,"Fdueg",AD$7:AD$1088,"OK")</f>
        <v>0</v>
      </c>
      <c r="H1147" s="276"/>
      <c r="I1147" s="255"/>
      <c r="J1147" s="259"/>
      <c r="K1147" s="259"/>
      <c r="L1147" s="259"/>
      <c r="M1147" s="259"/>
      <c r="N1147" s="259"/>
      <c r="O1147" s="259"/>
      <c r="P1147" s="259"/>
      <c r="Q1147" s="259"/>
      <c r="R1147" s="259"/>
      <c r="S1147" s="259"/>
      <c r="T1147" s="259"/>
      <c r="U1147" s="259"/>
      <c r="V1147" s="259"/>
      <c r="W1147" s="259"/>
      <c r="X1147" s="259"/>
      <c r="Y1147" s="259"/>
      <c r="Z1147" s="259"/>
    </row>
    <row r="1148" spans="1:26" ht="15.75" x14ac:dyDescent="0.25">
      <c r="B1148" s="255">
        <f t="shared" si="294"/>
        <v>52</v>
      </c>
      <c r="C1148" s="284" t="s">
        <v>262</v>
      </c>
      <c r="D1148" s="280">
        <f>SUMIF(C7:C1088,"feem",D7:D1088)</f>
        <v>0</v>
      </c>
      <c r="E1148" s="281">
        <f>SUMIF(C7:C1088,"feem",X7:X1088)</f>
        <v>0</v>
      </c>
      <c r="F1148" s="271">
        <f>SUMIFS(X$7:X$1088,C$7:C$1088,"Feem",AD$7:AD$1088,"OK")</f>
        <v>0</v>
      </c>
      <c r="G1148" s="272">
        <f>SUMIFS(D$7:D$1088,C$7:C$1088,"FEEM",AD$7:AD$1088,"OK")</f>
        <v>0</v>
      </c>
      <c r="H1148" s="276"/>
      <c r="I1148" s="255"/>
      <c r="J1148" s="259"/>
      <c r="K1148" s="259"/>
      <c r="L1148" s="259"/>
      <c r="M1148" s="259"/>
      <c r="N1148" s="259"/>
      <c r="O1148" s="259"/>
      <c r="P1148" s="259"/>
      <c r="Q1148" s="259"/>
      <c r="R1148" s="259"/>
      <c r="S1148" s="259"/>
      <c r="T1148" s="259"/>
      <c r="U1148" s="259"/>
      <c r="V1148" s="259"/>
      <c r="W1148" s="259"/>
      <c r="X1148" s="259"/>
      <c r="Y1148" s="259"/>
      <c r="Z1148" s="259"/>
    </row>
    <row r="1149" spans="1:26" ht="15.75" x14ac:dyDescent="0.25">
      <c r="A1149" s="222" t="s">
        <v>273</v>
      </c>
      <c r="B1149" s="255">
        <f t="shared" si="294"/>
        <v>53</v>
      </c>
      <c r="C1149" s="285" t="s">
        <v>231</v>
      </c>
      <c r="D1149" s="280">
        <f>SUMIF(C7:C1088,"fenaroli",D7:D1088)</f>
        <v>0</v>
      </c>
      <c r="E1149" s="281">
        <f>SUMIF(C7:C1088,"fenaroli",X7:X1088)</f>
        <v>0</v>
      </c>
      <c r="F1149" s="271">
        <f>SUMIFS(X$7:X$1088,C$7:C$1088,"Fenaroli",AD$7:AD$1088,"OK")</f>
        <v>0</v>
      </c>
      <c r="G1149" s="272"/>
      <c r="H1149" s="276"/>
      <c r="I1149" s="255"/>
      <c r="J1149" s="259"/>
      <c r="K1149" s="259"/>
      <c r="L1149" s="259"/>
      <c r="M1149" s="259"/>
      <c r="N1149" s="259"/>
      <c r="O1149" s="259"/>
      <c r="P1149" s="259"/>
      <c r="Q1149" s="259"/>
      <c r="R1149" s="259"/>
      <c r="S1149" s="259"/>
      <c r="T1149" s="259"/>
      <c r="U1149" s="259"/>
      <c r="V1149" s="259"/>
      <c r="W1149" s="259"/>
      <c r="X1149" s="259"/>
      <c r="Y1149" s="259"/>
      <c r="Z1149" s="259"/>
    </row>
    <row r="1150" spans="1:26" ht="15.75" x14ac:dyDescent="0.25">
      <c r="B1150" s="255"/>
      <c r="C1150" s="284" t="s">
        <v>398</v>
      </c>
      <c r="D1150" s="280">
        <f>SUMIF(C7:C1089,"fenix",D7:D1089)</f>
        <v>0</v>
      </c>
      <c r="E1150" s="281">
        <f>SUMIF(C7:C1089,"fenix",X7:X1089)</f>
        <v>0</v>
      </c>
      <c r="F1150" s="271">
        <f>SUMIFS(X$7:X$1088,C$7:C$1088,"Fenix",AD$7:AD$1088,"OK")</f>
        <v>0</v>
      </c>
      <c r="G1150" s="272">
        <f>SUMIFS(D$7:D$1088,C$7:C$1088,"Fenix",AD$7:AD$1088,"OK")</f>
        <v>0</v>
      </c>
      <c r="H1150" s="276"/>
      <c r="I1150" s="255"/>
      <c r="J1150" s="259"/>
      <c r="K1150" s="259"/>
      <c r="L1150" s="259"/>
      <c r="M1150" s="259"/>
      <c r="N1150" s="259"/>
      <c r="O1150" s="259"/>
      <c r="P1150" s="259"/>
      <c r="Q1150" s="259"/>
      <c r="R1150" s="259"/>
      <c r="S1150" s="259"/>
      <c r="T1150" s="259"/>
      <c r="U1150" s="259"/>
      <c r="V1150" s="259"/>
      <c r="W1150" s="259"/>
      <c r="X1150" s="259"/>
      <c r="Y1150" s="259"/>
      <c r="Z1150" s="259"/>
    </row>
    <row r="1151" spans="1:26" ht="15.75" x14ac:dyDescent="0.25">
      <c r="B1151" s="255">
        <f>+B1149+1</f>
        <v>54</v>
      </c>
      <c r="C1151" s="284" t="s">
        <v>335</v>
      </c>
      <c r="D1151" s="280">
        <f>SUMIF(C7:C1088,"fmt",D7:D1088)</f>
        <v>900</v>
      </c>
      <c r="E1151" s="281">
        <f>SUMIF(C7:C1088,"fmt",X7:X1088)</f>
        <v>135</v>
      </c>
      <c r="F1151" s="271">
        <f>SUMIFS(X$7:X$1088,C$7:C$1088,"Fmt",AD$7:AD$1088,"OK")</f>
        <v>0</v>
      </c>
      <c r="G1151" s="272">
        <f>SUMIFS(D$7:D$1088,C$7:C$1088,"Fmt",AD$7:AD$1088,"OK")</f>
        <v>0</v>
      </c>
      <c r="H1151" s="276"/>
      <c r="I1151" s="255"/>
      <c r="J1151" s="259"/>
      <c r="K1151" s="259"/>
      <c r="L1151" s="259"/>
      <c r="M1151" s="259"/>
      <c r="N1151" s="259"/>
      <c r="O1151" s="259"/>
      <c r="P1151" s="259"/>
      <c r="Q1151" s="259"/>
      <c r="R1151" s="259"/>
      <c r="S1151" s="259"/>
      <c r="T1151" s="259"/>
      <c r="U1151" s="259"/>
      <c r="V1151" s="259"/>
      <c r="W1151" s="259"/>
      <c r="X1151" s="259"/>
      <c r="Y1151" s="259"/>
      <c r="Z1151" s="259"/>
    </row>
    <row r="1152" spans="1:26" ht="15.75" x14ac:dyDescent="0.25">
      <c r="B1152" s="255">
        <f t="shared" si="294"/>
        <v>55</v>
      </c>
      <c r="C1152" s="284" t="s">
        <v>359</v>
      </c>
      <c r="D1152" s="280">
        <f>SUMIF(C7:C1088,"ftm",D7:D1088)</f>
        <v>0</v>
      </c>
      <c r="E1152" s="281">
        <f>SUMIF(C7:C1088,"ftm",X7:X1088)</f>
        <v>0</v>
      </c>
      <c r="F1152" s="271">
        <f>SUMIFS(X$7:X$1088,C$7:C$1088,"ftm",AD$7:AD$1088,"OK")</f>
        <v>0</v>
      </c>
      <c r="G1152" s="272">
        <f>SUMIFS(D$7:D$1088,C$7:C$1088,"ftm",AD$7:AD$1088,"OK")</f>
        <v>0</v>
      </c>
      <c r="H1152" s="276"/>
      <c r="I1152" s="255"/>
      <c r="J1152" s="259"/>
      <c r="K1152" s="259"/>
      <c r="L1152" s="259"/>
      <c r="M1152" s="259"/>
      <c r="N1152" s="259"/>
      <c r="O1152" s="259"/>
      <c r="P1152" s="259"/>
      <c r="Q1152" s="259"/>
      <c r="R1152" s="259"/>
      <c r="S1152" s="259"/>
      <c r="T1152" s="259"/>
      <c r="U1152" s="259"/>
      <c r="V1152" s="259"/>
      <c r="W1152" s="259"/>
      <c r="X1152" s="259"/>
      <c r="Y1152" s="259"/>
      <c r="Z1152" s="259"/>
    </row>
    <row r="1153" spans="1:26" ht="15.75" x14ac:dyDescent="0.25">
      <c r="A1153" s="222" t="s">
        <v>273</v>
      </c>
      <c r="B1153" s="255">
        <f t="shared" si="294"/>
        <v>56</v>
      </c>
      <c r="C1153" s="285" t="s">
        <v>271</v>
      </c>
      <c r="D1153" s="280">
        <f>SUMIF(C7:C1088,"gct",D7:D1088)</f>
        <v>0</v>
      </c>
      <c r="E1153" s="281">
        <f>SUMIF(C7:C1088,"gct",X7:X1088)</f>
        <v>0</v>
      </c>
      <c r="F1153" s="271">
        <f>SUMIFS(X$7:X$1088,C$7:C$1088,"Gct",AD$7:AD$1088,"OK")</f>
        <v>0</v>
      </c>
      <c r="G1153" s="272"/>
      <c r="H1153" s="276"/>
      <c r="I1153" s="255"/>
      <c r="J1153" s="259"/>
      <c r="K1153" s="259"/>
      <c r="L1153" s="259"/>
      <c r="M1153" s="259"/>
      <c r="N1153" s="259"/>
      <c r="O1153" s="259"/>
      <c r="P1153" s="259"/>
      <c r="Q1153" s="259"/>
      <c r="R1153" s="259"/>
      <c r="S1153" s="259"/>
      <c r="T1153" s="259"/>
      <c r="U1153" s="259"/>
      <c r="V1153" s="259"/>
      <c r="W1153" s="259"/>
      <c r="X1153" s="259"/>
      <c r="Y1153" s="259"/>
      <c r="Z1153" s="259"/>
    </row>
    <row r="1154" spans="1:26" ht="15.75" x14ac:dyDescent="0.25">
      <c r="B1154" s="255">
        <f t="shared" si="294"/>
        <v>57</v>
      </c>
      <c r="C1154" s="284" t="s">
        <v>232</v>
      </c>
      <c r="D1154" s="280">
        <f>SUMIF(C7:C1088,"gbe",D7:D1088)</f>
        <v>12650</v>
      </c>
      <c r="E1154" s="281">
        <f>SUMIF(C7:C1088,"gbe",X7:X1088)</f>
        <v>818.5</v>
      </c>
      <c r="F1154" s="271">
        <f>SUMIFS(X$7:X$1088,C$7:C$1088,"GBE",AD$7:AD$1088,"OK")</f>
        <v>0</v>
      </c>
      <c r="G1154" s="272">
        <f>SUMIFS(D$7:D$1088,C$7:C$1088,"GBE",AD$7:AD$1088,"OK")</f>
        <v>0</v>
      </c>
      <c r="H1154" s="276"/>
      <c r="I1154" s="255"/>
      <c r="J1154" s="259"/>
      <c r="K1154" s="259"/>
      <c r="L1154" s="259"/>
      <c r="M1154" s="259"/>
      <c r="N1154" s="259"/>
      <c r="O1154" s="259"/>
      <c r="P1154" s="259"/>
      <c r="Q1154" s="259"/>
      <c r="R1154" s="259"/>
      <c r="S1154" s="259"/>
      <c r="T1154" s="259"/>
      <c r="U1154" s="259"/>
      <c r="V1154" s="259"/>
      <c r="W1154" s="259"/>
      <c r="X1154" s="259"/>
      <c r="Y1154" s="259"/>
      <c r="Z1154" s="259"/>
    </row>
    <row r="1155" spans="1:26" ht="15.75" x14ac:dyDescent="0.25">
      <c r="B1155" s="255">
        <f t="shared" si="294"/>
        <v>58</v>
      </c>
      <c r="C1155" s="284" t="s">
        <v>257</v>
      </c>
      <c r="D1155" s="280">
        <f>SUMIF(C7:C1088,"gauss",D7:D1088)</f>
        <v>1498</v>
      </c>
      <c r="E1155" s="281">
        <f>SUMIF(C7:C1088,"gauss",X7:X1088)</f>
        <v>104.86</v>
      </c>
      <c r="F1155" s="271">
        <f>SUMIFS(X$7:X$1088,C$7:C$1088,"Gauss",AD$7:AD$1088,"OK")</f>
        <v>104.86</v>
      </c>
      <c r="G1155" s="272">
        <f>SUMIFS(D$7:D$1088,C$7:C$1088,"Gauss",AD$7:AD$1088,"OK")</f>
        <v>1498</v>
      </c>
      <c r="H1155" s="276"/>
      <c r="I1155" s="255"/>
      <c r="J1155" s="259"/>
      <c r="K1155" s="259"/>
      <c r="L1155" s="259"/>
      <c r="M1155" s="259"/>
      <c r="N1155" s="259"/>
      <c r="O1155" s="259"/>
      <c r="P1155" s="259"/>
      <c r="Q1155" s="259"/>
      <c r="R1155" s="259"/>
      <c r="S1155" s="259"/>
      <c r="T1155" s="259"/>
      <c r="U1155" s="259"/>
      <c r="V1155" s="259"/>
      <c r="W1155" s="259"/>
      <c r="X1155" s="259"/>
      <c r="Y1155" s="259"/>
      <c r="Z1155" s="259"/>
    </row>
    <row r="1156" spans="1:26" ht="15.75" x14ac:dyDescent="0.25">
      <c r="B1156" s="255">
        <f t="shared" si="294"/>
        <v>59</v>
      </c>
      <c r="C1156" s="284" t="s">
        <v>162</v>
      </c>
      <c r="D1156" s="280">
        <f>SUMIF(C$7:C$1088,"galliera",D$7:D$1088)</f>
        <v>0</v>
      </c>
      <c r="E1156" s="281">
        <f>SUMIF(C$7:C$1088,"galliera",X$7:X$1088)</f>
        <v>0</v>
      </c>
      <c r="F1156" s="271">
        <f>SUMIFS(X$7:X$1088,C$7:C$1088,"Galliera",AD$7:AD$1088,"OK")</f>
        <v>0</v>
      </c>
      <c r="G1156" s="272">
        <f>SUMIFS(D$7:D$1088,C$7:C$1088,"GALLIERA",AD$7:AD$1088,"OK")</f>
        <v>0</v>
      </c>
      <c r="H1156" s="276"/>
      <c r="I1156" s="255"/>
      <c r="J1156" s="259"/>
      <c r="K1156" s="259"/>
      <c r="L1156" s="259"/>
      <c r="M1156" s="259"/>
      <c r="N1156" s="259"/>
      <c r="O1156" s="259"/>
      <c r="P1156" s="259"/>
      <c r="Q1156" s="259"/>
      <c r="R1156" s="259"/>
      <c r="S1156" s="259"/>
      <c r="T1156" s="259"/>
      <c r="U1156" s="259"/>
      <c r="V1156" s="259"/>
      <c r="W1156" s="259"/>
      <c r="X1156" s="259"/>
      <c r="Y1156" s="259"/>
      <c r="Z1156" s="259"/>
    </row>
    <row r="1157" spans="1:26" ht="15.75" x14ac:dyDescent="0.25">
      <c r="B1157" s="255">
        <f t="shared" si="294"/>
        <v>60</v>
      </c>
      <c r="C1157" s="284" t="s">
        <v>336</v>
      </c>
      <c r="D1157" s="280">
        <f>SUMIF(C$7:C$1088,"gedelsa",D$7:D$1088)</f>
        <v>17525</v>
      </c>
      <c r="E1157" s="281">
        <f>SUMIF(C$7:C$1088,"gedelsa",X$7:X$1088)</f>
        <v>1541.23</v>
      </c>
      <c r="F1157" s="271">
        <f>SUMIFS(X$7:X$1088,C$7:C$1088,"gedelsa",AD$7:AD$1088,"OK")</f>
        <v>0</v>
      </c>
      <c r="G1157" s="272">
        <f>SUMIFS(D$7:D$1088,C$7:C$1088,"gedelsa",AD$7:AD$1088,"OK")</f>
        <v>0</v>
      </c>
      <c r="H1157" s="276"/>
      <c r="I1157" s="255"/>
      <c r="J1157" s="259"/>
      <c r="K1157" s="259"/>
      <c r="L1157" s="259"/>
      <c r="M1157" s="259"/>
      <c r="N1157" s="259"/>
      <c r="O1157" s="259"/>
      <c r="P1157" s="259"/>
      <c r="Q1157" s="259"/>
      <c r="R1157" s="259"/>
      <c r="S1157" s="259"/>
      <c r="T1157" s="259"/>
      <c r="U1157" s="259"/>
      <c r="V1157" s="259"/>
      <c r="W1157" s="259"/>
      <c r="X1157" s="259"/>
      <c r="Y1157" s="259"/>
      <c r="Z1157" s="259"/>
    </row>
    <row r="1158" spans="1:26" ht="15.75" x14ac:dyDescent="0.25">
      <c r="B1158" s="255"/>
      <c r="C1158" s="284" t="s">
        <v>421</v>
      </c>
      <c r="D1158" s="280">
        <f>SUMIF(C$7:C$1088,"gen set",D$7:D$1088)</f>
        <v>0</v>
      </c>
      <c r="E1158" s="281">
        <f>SUMIF(C$7:C$1088,"gen set",X$7:X$1088)</f>
        <v>0</v>
      </c>
      <c r="F1158" s="271">
        <f>SUMIFS(X$7:X$1088,C$7:C$1088,"gen set",AD$7:AD$1088,"OK")</f>
        <v>0</v>
      </c>
      <c r="G1158" s="272">
        <f>SUMIFS(D$7:D$1088,C$7:C$1088,"gen set",AD$7:AD$1088,"OK")</f>
        <v>0</v>
      </c>
      <c r="H1158" s="276"/>
      <c r="I1158" s="255"/>
      <c r="J1158" s="259"/>
      <c r="K1158" s="259"/>
      <c r="L1158" s="259"/>
      <c r="M1158" s="259"/>
      <c r="N1158" s="259"/>
      <c r="O1158" s="259"/>
      <c r="P1158" s="259"/>
      <c r="Q1158" s="259"/>
      <c r="R1158" s="259"/>
      <c r="S1158" s="259"/>
      <c r="T1158" s="259"/>
      <c r="U1158" s="259"/>
      <c r="V1158" s="259"/>
      <c r="W1158" s="259"/>
      <c r="X1158" s="259"/>
      <c r="Y1158" s="259"/>
      <c r="Z1158" s="259"/>
    </row>
    <row r="1159" spans="1:26" ht="15.75" x14ac:dyDescent="0.25">
      <c r="B1159" s="255">
        <f>+B1157+1</f>
        <v>61</v>
      </c>
      <c r="C1159" s="284" t="s">
        <v>253</v>
      </c>
      <c r="D1159" s="280">
        <f>SUMIF(C7:C1088,"getra",D7:D1088)</f>
        <v>0</v>
      </c>
      <c r="E1159" s="281">
        <f>SUMIF(C7:C1088,"getra",X7:X1088)</f>
        <v>0</v>
      </c>
      <c r="F1159" s="271">
        <f>SUMIFS(X$7:X$1088,C$7:C$1088,"Getra",AD$7:AD$1088,"OK")</f>
        <v>0</v>
      </c>
      <c r="G1159" s="272">
        <f>SUMIFS(D$7:D$1088,C$7:C$1088,"GETRA",AD$7:AD$1088,"OK")</f>
        <v>0</v>
      </c>
      <c r="H1159" s="276"/>
      <c r="I1159" s="255"/>
      <c r="J1159" s="259"/>
      <c r="K1159" s="259"/>
      <c r="L1159" s="259"/>
      <c r="M1159" s="259"/>
      <c r="N1159" s="259"/>
      <c r="O1159" s="259"/>
      <c r="P1159" s="259"/>
      <c r="Q1159" s="259"/>
      <c r="R1159" s="259"/>
      <c r="S1159" s="259"/>
      <c r="T1159" s="259"/>
      <c r="U1159" s="259"/>
      <c r="V1159" s="259"/>
      <c r="W1159" s="259"/>
      <c r="X1159" s="259"/>
      <c r="Y1159" s="259"/>
      <c r="Z1159" s="259"/>
    </row>
    <row r="1160" spans="1:26" ht="15.75" x14ac:dyDescent="0.25">
      <c r="B1160" s="255">
        <f t="shared" si="294"/>
        <v>62</v>
      </c>
      <c r="C1160" s="284" t="s">
        <v>298</v>
      </c>
      <c r="D1160" s="280">
        <f>SUMIF(C7:C1089,"getra power",D7:D1089)</f>
        <v>0</v>
      </c>
      <c r="E1160" s="281">
        <f>SUMIF(C7:C1089,"getra power",X7:X1089)</f>
        <v>0</v>
      </c>
      <c r="F1160" s="271">
        <f>SUMIFS(X$7:X$1088,C$7:C$1088,"Getra power",AD$7:AD$1088,"OK")</f>
        <v>0</v>
      </c>
      <c r="G1160" s="272"/>
      <c r="H1160" s="276"/>
      <c r="I1160" s="255"/>
      <c r="J1160" s="259"/>
      <c r="K1160" s="259"/>
      <c r="L1160" s="259"/>
      <c r="M1160" s="259"/>
      <c r="N1160" s="259"/>
      <c r="O1160" s="259"/>
      <c r="P1160" s="259"/>
      <c r="Q1160" s="259"/>
      <c r="R1160" s="259"/>
      <c r="S1160" s="259"/>
      <c r="T1160" s="259"/>
      <c r="U1160" s="259"/>
      <c r="V1160" s="259"/>
      <c r="W1160" s="259"/>
      <c r="X1160" s="259"/>
      <c r="Y1160" s="259"/>
      <c r="Z1160" s="259"/>
    </row>
    <row r="1161" spans="1:26" ht="15.75" x14ac:dyDescent="0.25">
      <c r="B1161" s="255">
        <f t="shared" si="294"/>
        <v>63</v>
      </c>
      <c r="C1161" s="284" t="s">
        <v>233</v>
      </c>
      <c r="D1161" s="280">
        <f>SUMIF(C7:C1088,"gida",D7:D1088)</f>
        <v>0</v>
      </c>
      <c r="E1161" s="281">
        <f>SUMIF(C7:C1088,"gida",X7:X1088)</f>
        <v>0</v>
      </c>
      <c r="F1161" s="271">
        <f>SUMIFS(X$7:X$1088,C$7:C$1088,"Gida",AD$7:AD$1088,"OK")</f>
        <v>0</v>
      </c>
      <c r="G1161" s="272"/>
      <c r="H1161" s="276"/>
      <c r="I1161" s="255"/>
      <c r="J1161" s="259"/>
      <c r="K1161" s="259"/>
      <c r="L1161" s="259"/>
      <c r="M1161" s="259"/>
      <c r="N1161" s="259"/>
      <c r="O1161" s="259"/>
      <c r="P1161" s="259"/>
      <c r="Q1161" s="259"/>
      <c r="R1161" s="259"/>
      <c r="S1161" s="259"/>
      <c r="T1161" s="259"/>
      <c r="U1161" s="259"/>
      <c r="V1161" s="259"/>
      <c r="W1161" s="259"/>
      <c r="X1161" s="259"/>
      <c r="Y1161" s="259"/>
      <c r="Z1161" s="259"/>
    </row>
    <row r="1162" spans="1:26" ht="15.75" x14ac:dyDescent="0.25">
      <c r="A1162" s="222" t="s">
        <v>273</v>
      </c>
      <c r="B1162" s="255">
        <f t="shared" si="294"/>
        <v>64</v>
      </c>
      <c r="C1162" s="285" t="s">
        <v>118</v>
      </c>
      <c r="D1162" s="280">
        <f>SUMIF(C7:C1088,"giussani",D7:D1088)</f>
        <v>0</v>
      </c>
      <c r="E1162" s="281">
        <f>SUMIF(C7:C1088,"giussani",X7:X1088)</f>
        <v>0</v>
      </c>
      <c r="F1162" s="271">
        <f>SUMIFS(X$7:X$1088,C$7:C$1088,"Giussani",AD$7:AD$1088,"OK")</f>
        <v>0</v>
      </c>
      <c r="G1162" s="272"/>
      <c r="H1162" s="276"/>
      <c r="I1162" s="255"/>
      <c r="J1162" s="259"/>
      <c r="K1162" s="259"/>
      <c r="L1162" s="259"/>
      <c r="M1162" s="259"/>
      <c r="N1162" s="259"/>
      <c r="O1162" s="259"/>
      <c r="P1162" s="259"/>
      <c r="Q1162" s="259"/>
      <c r="R1162" s="259"/>
      <c r="S1162" s="259"/>
      <c r="T1162" s="259"/>
      <c r="U1162" s="259"/>
      <c r="V1162" s="259"/>
      <c r="W1162" s="259"/>
      <c r="X1162" s="259"/>
      <c r="Y1162" s="259"/>
      <c r="Z1162" s="259"/>
    </row>
    <row r="1163" spans="1:26" ht="15.75" x14ac:dyDescent="0.25">
      <c r="B1163" s="255">
        <f t="shared" si="294"/>
        <v>65</v>
      </c>
      <c r="C1163" s="284" t="s">
        <v>395</v>
      </c>
      <c r="D1163" s="274">
        <f>SUMIF(C$7:C$1088,"Givi",D$7:D$1088)</f>
        <v>0</v>
      </c>
      <c r="E1163" s="289">
        <f>SUMIF(C$7:C$1088,"givi",X$7:X$1088)</f>
        <v>0</v>
      </c>
      <c r="F1163" s="271">
        <f>SUMIFS(X$7:X$1088,C$7:C$1088,"givi",AD$7:AD$1088,"OK")</f>
        <v>0</v>
      </c>
      <c r="G1163" s="290">
        <f>SUMIFS(D$7:D$1088,C$7:C$1088,"givi",AD$7:AD$1088,"OK")</f>
        <v>0</v>
      </c>
      <c r="H1163" s="276"/>
      <c r="I1163" s="255"/>
      <c r="J1163" s="259"/>
      <c r="K1163" s="259"/>
      <c r="L1163" s="259"/>
      <c r="M1163" s="259"/>
      <c r="N1163" s="259"/>
      <c r="O1163" s="259"/>
      <c r="P1163" s="259"/>
      <c r="Q1163" s="259"/>
      <c r="R1163" s="259"/>
      <c r="S1163" s="259"/>
      <c r="T1163" s="259"/>
      <c r="U1163" s="259"/>
      <c r="V1163" s="259"/>
      <c r="W1163" s="259"/>
      <c r="X1163" s="259"/>
      <c r="Y1163" s="259"/>
      <c r="Z1163" s="259"/>
    </row>
    <row r="1164" spans="1:26" ht="15.75" x14ac:dyDescent="0.25">
      <c r="B1164" s="255">
        <f t="shared" si="294"/>
        <v>66</v>
      </c>
      <c r="C1164" s="284" t="s">
        <v>250</v>
      </c>
      <c r="D1164" s="280">
        <f>SUMIF(C7:C1088,"glenair",D7:D1088)</f>
        <v>0</v>
      </c>
      <c r="E1164" s="281">
        <f>SUMIF(C7:C1088,"glenair",X7:X1088)</f>
        <v>0</v>
      </c>
      <c r="F1164" s="271">
        <f>SUMIFS(X$7:X$1088,C$7:C$1088,"Glenair",AD$7:AD$1088,"OK")</f>
        <v>0</v>
      </c>
      <c r="G1164" s="272">
        <f>SUMIFS(D$7:D$1088,C$7:C$1088,"GLENAIR",AD$7:AD$1088,"OK")</f>
        <v>0</v>
      </c>
      <c r="H1164" s="276"/>
      <c r="I1164" s="255"/>
      <c r="J1164" s="259"/>
      <c r="K1164" s="259"/>
      <c r="L1164" s="259"/>
      <c r="M1164" s="259"/>
      <c r="N1164" s="259"/>
      <c r="O1164" s="259"/>
      <c r="P1164" s="259"/>
      <c r="Q1164" s="259"/>
      <c r="R1164" s="259"/>
      <c r="S1164" s="259"/>
      <c r="T1164" s="259"/>
      <c r="U1164" s="259"/>
      <c r="V1164" s="259"/>
      <c r="W1164" s="259"/>
      <c r="X1164" s="259"/>
      <c r="Y1164" s="259"/>
      <c r="Z1164" s="259"/>
    </row>
    <row r="1165" spans="1:26" ht="15.75" x14ac:dyDescent="0.25">
      <c r="B1165" s="255">
        <f t="shared" si="294"/>
        <v>67</v>
      </c>
      <c r="C1165" s="284" t="s">
        <v>126</v>
      </c>
      <c r="D1165" s="280">
        <f>SUMIF(C7:C1088,"gts",D7:D1088)</f>
        <v>0</v>
      </c>
      <c r="E1165" s="281">
        <f>SUMIF(C7:C1088,"gts",X7:X1088)</f>
        <v>0</v>
      </c>
      <c r="F1165" s="271">
        <f>SUMIFS(X$7:X$1088,C$7:C$1088,"GTS",AD$7:AD$1088,"OK")</f>
        <v>0</v>
      </c>
      <c r="G1165" s="272">
        <f>SUMIFS(D$7:D$1088,C$7:C$1088,"GTS",AD$7:AD$1088,"OK")</f>
        <v>0</v>
      </c>
      <c r="H1165" s="276"/>
      <c r="I1165" s="255"/>
      <c r="J1165" s="259"/>
      <c r="K1165" s="259"/>
      <c r="L1165" s="259"/>
      <c r="M1165" s="259"/>
      <c r="N1165" s="259"/>
      <c r="O1165" s="259"/>
      <c r="P1165" s="259"/>
      <c r="Q1165" s="259"/>
      <c r="R1165" s="259"/>
      <c r="S1165" s="259"/>
      <c r="T1165" s="259"/>
      <c r="U1165" s="259"/>
      <c r="V1165" s="259"/>
      <c r="W1165" s="259"/>
      <c r="X1165" s="259"/>
      <c r="Y1165" s="259"/>
      <c r="Z1165" s="259"/>
    </row>
    <row r="1166" spans="1:26" ht="15.75" x14ac:dyDescent="0.25">
      <c r="A1166" s="222" t="s">
        <v>273</v>
      </c>
      <c r="B1166" s="255">
        <f t="shared" si="294"/>
        <v>68</v>
      </c>
      <c r="C1166" s="287" t="s">
        <v>204</v>
      </c>
      <c r="D1166" s="280">
        <f>SUMIF(C7:C1088,"hammond",D7:D1088)</f>
        <v>0</v>
      </c>
      <c r="E1166" s="281">
        <f>SUMIF(C7:C1088,"hammond",X7:X1088)</f>
        <v>0</v>
      </c>
      <c r="F1166" s="271">
        <f>SUMIFS(X$7:X$1088,C$7:C$1088,"Hammond",AD$7:AD$1088,"OK")</f>
        <v>0</v>
      </c>
      <c r="G1166" s="272"/>
      <c r="H1166" s="276"/>
      <c r="I1166" s="255"/>
      <c r="J1166" s="259"/>
      <c r="K1166" s="259"/>
      <c r="L1166" s="259"/>
      <c r="M1166" s="259"/>
      <c r="N1166" s="259"/>
      <c r="O1166" s="259"/>
      <c r="P1166" s="259"/>
      <c r="Q1166" s="259"/>
      <c r="R1166" s="259"/>
      <c r="S1166" s="259"/>
      <c r="T1166" s="259"/>
      <c r="U1166" s="259"/>
      <c r="V1166" s="259"/>
      <c r="W1166" s="259"/>
      <c r="X1166" s="259"/>
      <c r="Y1166" s="259"/>
      <c r="Z1166" s="259"/>
    </row>
    <row r="1167" spans="1:26" ht="15.75" x14ac:dyDescent="0.25">
      <c r="B1167" s="255">
        <f t="shared" si="294"/>
        <v>69</v>
      </c>
      <c r="C1167" s="284" t="s">
        <v>340</v>
      </c>
      <c r="D1167" s="280">
        <f>SUMIF(C7:C1088,"htt",D7:D1088)</f>
        <v>0</v>
      </c>
      <c r="E1167" s="281">
        <f>SUMIF(C7:C1088,"htt",X7:X1088)</f>
        <v>0</v>
      </c>
      <c r="F1167" s="271">
        <f>SUMIFS(X$7:X$1088,C$7:C$1088,"htt",AD$7:AD$1088,"OK")</f>
        <v>0</v>
      </c>
      <c r="G1167" s="272">
        <f>SUMIFS(D$7:D$1088,C$7:C$1088,"htt",AD$7:AD$1088,"OK")</f>
        <v>0</v>
      </c>
      <c r="H1167" s="276"/>
      <c r="I1167" s="255"/>
      <c r="J1167" s="259"/>
      <c r="K1167" s="259"/>
      <c r="L1167" s="259"/>
      <c r="M1167" s="259"/>
      <c r="N1167" s="259"/>
      <c r="O1167" s="259"/>
      <c r="P1167" s="259"/>
      <c r="Q1167" s="259"/>
      <c r="R1167" s="259"/>
      <c r="S1167" s="259"/>
      <c r="T1167" s="259"/>
      <c r="U1167" s="259"/>
      <c r="V1167" s="259"/>
      <c r="W1167" s="259"/>
      <c r="X1167" s="259"/>
      <c r="Y1167" s="259"/>
      <c r="Z1167" s="259"/>
    </row>
    <row r="1168" spans="1:26" ht="15.75" x14ac:dyDescent="0.25">
      <c r="A1168" s="222" t="s">
        <v>273</v>
      </c>
      <c r="B1168" s="255">
        <f t="shared" si="294"/>
        <v>70</v>
      </c>
      <c r="C1168" s="285" t="s">
        <v>234</v>
      </c>
      <c r="D1168" s="280">
        <f>SUMIF(C7:C1088,"ibs",D7:D1088)</f>
        <v>0</v>
      </c>
      <c r="E1168" s="281">
        <f>SUMIF(C7:C1088,"ibs",X7:X1088)</f>
        <v>0</v>
      </c>
      <c r="F1168" s="271">
        <f>SUMIFS(X$7:X$1088,C$7:C$1088,"IBS",AD$7:AD$1088,"OK")</f>
        <v>0</v>
      </c>
      <c r="G1168" s="272"/>
      <c r="H1168" s="276"/>
      <c r="I1168" s="255"/>
      <c r="J1168" s="259"/>
      <c r="K1168" s="259"/>
      <c r="L1168" s="259"/>
      <c r="M1168" s="259"/>
      <c r="N1168" s="259"/>
      <c r="O1168" s="259"/>
      <c r="P1168" s="259"/>
      <c r="Q1168" s="259"/>
      <c r="R1168" s="259"/>
      <c r="S1168" s="259"/>
      <c r="T1168" s="259"/>
      <c r="U1168" s="259"/>
      <c r="V1168" s="259"/>
      <c r="W1168" s="259"/>
      <c r="X1168" s="259"/>
      <c r="Y1168" s="259"/>
      <c r="Z1168" s="259"/>
    </row>
    <row r="1169" spans="1:26" ht="15.75" x14ac:dyDescent="0.25">
      <c r="B1169" s="255">
        <f t="shared" si="294"/>
        <v>71</v>
      </c>
      <c r="C1169" s="284" t="s">
        <v>93</v>
      </c>
      <c r="D1169" s="280">
        <f>SUMIF(C7:C1088,"icar",D7:D1088)</f>
        <v>0</v>
      </c>
      <c r="E1169" s="281">
        <f>SUMIF(C7:C1088,"icar",X7:X1088)</f>
        <v>0</v>
      </c>
      <c r="F1169" s="271">
        <f>SUMIFS(X$7:X$1088,C$7:C$1088,"Icar",AD$7:AD$1088,"OK")</f>
        <v>0</v>
      </c>
      <c r="G1169" s="272"/>
      <c r="H1169" s="276"/>
      <c r="I1169" s="255"/>
      <c r="J1169" s="259"/>
      <c r="K1169" s="259"/>
      <c r="L1169" s="259"/>
      <c r="M1169" s="259"/>
      <c r="N1169" s="259"/>
      <c r="O1169" s="259"/>
      <c r="P1169" s="259"/>
      <c r="Q1169" s="259"/>
      <c r="R1169" s="259"/>
      <c r="S1169" s="259"/>
      <c r="T1169" s="259"/>
      <c r="U1169" s="259"/>
      <c r="V1169" s="259"/>
      <c r="W1169" s="259"/>
      <c r="X1169" s="259"/>
      <c r="Y1169" s="259"/>
      <c r="Z1169" s="259"/>
    </row>
    <row r="1170" spans="1:26" ht="15.75" x14ac:dyDescent="0.25">
      <c r="B1170" s="255">
        <f t="shared" si="294"/>
        <v>72</v>
      </c>
      <c r="C1170" s="284" t="s">
        <v>301</v>
      </c>
      <c r="D1170" s="280">
        <f>SUMIF(C7:C1088,"ice",D7:D1088)</f>
        <v>0</v>
      </c>
      <c r="E1170" s="281">
        <f>SUMIF(C7:C1088,"ice",X7:X1088)</f>
        <v>0</v>
      </c>
      <c r="F1170" s="271">
        <f>SUMIFS(X$7:X$1088,C$7:C$1088,"Ice",AD$7:AD$1088,"OK")</f>
        <v>0</v>
      </c>
      <c r="G1170" s="272">
        <f>SUMIFS(D$7:D$1088,C$7:C$1088,"ICE",AD$7:AD$1088,"OK")</f>
        <v>0</v>
      </c>
      <c r="H1170" s="276"/>
      <c r="I1170" s="255"/>
      <c r="J1170" s="259"/>
      <c r="K1170" s="259"/>
      <c r="L1170" s="259"/>
      <c r="M1170" s="259"/>
      <c r="N1170" s="259"/>
      <c r="O1170" s="259"/>
      <c r="P1170" s="259"/>
      <c r="Q1170" s="259"/>
      <c r="R1170" s="259"/>
      <c r="S1170" s="259"/>
      <c r="T1170" s="259"/>
      <c r="U1170" s="259"/>
      <c r="V1170" s="259"/>
      <c r="W1170" s="259"/>
      <c r="X1170" s="259"/>
      <c r="Y1170" s="259"/>
      <c r="Z1170" s="259"/>
    </row>
    <row r="1171" spans="1:26" ht="15.75" x14ac:dyDescent="0.25">
      <c r="B1171" s="255">
        <f t="shared" si="294"/>
        <v>73</v>
      </c>
      <c r="C1171" s="284" t="s">
        <v>254</v>
      </c>
      <c r="D1171" s="280">
        <f>SUMIF(C7:C1088,"imefy",D7:D1088)</f>
        <v>0</v>
      </c>
      <c r="E1171" s="281">
        <f>SUMIF(C7:C1088,"imefy",X7:X1088)</f>
        <v>0</v>
      </c>
      <c r="F1171" s="271">
        <f>SUMIFS(X$7:X$1088,C$7:C$1088,"Imefy",AD$7:AD$1088,"OK")</f>
        <v>0</v>
      </c>
      <c r="G1171" s="272">
        <f>SUMIFS(D$7:D$1088,C$7:C$1088,"Imefy",AD$7:AD$1088,"OK")</f>
        <v>0</v>
      </c>
      <c r="H1171" s="276"/>
      <c r="I1171" s="255"/>
      <c r="J1171" s="259"/>
      <c r="K1171" s="259"/>
      <c r="L1171" s="259"/>
      <c r="M1171" s="259"/>
      <c r="N1171" s="259"/>
      <c r="O1171" s="259"/>
      <c r="P1171" s="259"/>
      <c r="Q1171" s="259"/>
      <c r="R1171" s="259"/>
      <c r="S1171" s="259"/>
      <c r="T1171" s="259"/>
      <c r="U1171" s="259"/>
      <c r="V1171" s="259"/>
      <c r="W1171" s="259"/>
      <c r="X1171" s="259"/>
      <c r="Y1171" s="259"/>
      <c r="Z1171" s="259"/>
    </row>
    <row r="1172" spans="1:26" ht="15.75" x14ac:dyDescent="0.25">
      <c r="B1172" s="255">
        <f t="shared" si="294"/>
        <v>74</v>
      </c>
      <c r="C1172" s="284" t="s">
        <v>210</v>
      </c>
      <c r="D1172" s="280">
        <f>SUMIF(C7:C1088,"intermagnetics",D7:D1088)</f>
        <v>15150</v>
      </c>
      <c r="E1172" s="281">
        <f>SUMIF(C7:C1088,"intermagnetics",X7:X1088)</f>
        <v>822.5</v>
      </c>
      <c r="F1172" s="271">
        <f>SUMIFS(X$7:X$1088,C$7:C$1088,"Intermagnetics",AD$7:AD$1088,"OK")</f>
        <v>0</v>
      </c>
      <c r="G1172" s="272">
        <f>SUMIFS(D$7:D$1088,C$7:C$1088,"intermagnetics",AD$7:AD$1088,"OK")</f>
        <v>0</v>
      </c>
      <c r="H1172" s="276"/>
      <c r="I1172" s="255"/>
      <c r="J1172" s="259"/>
      <c r="K1172" s="259"/>
      <c r="L1172" s="259"/>
      <c r="M1172" s="259"/>
      <c r="N1172" s="259"/>
      <c r="O1172" s="259"/>
      <c r="P1172" s="259"/>
      <c r="Q1172" s="259"/>
      <c r="R1172" s="259"/>
      <c r="S1172" s="259"/>
      <c r="T1172" s="259"/>
      <c r="U1172" s="259"/>
      <c r="V1172" s="259"/>
      <c r="W1172" s="259"/>
      <c r="X1172" s="259"/>
      <c r="Y1172" s="259"/>
      <c r="Z1172" s="259"/>
    </row>
    <row r="1173" spans="1:26" ht="15.75" x14ac:dyDescent="0.25">
      <c r="B1173" s="255">
        <f t="shared" si="294"/>
        <v>75</v>
      </c>
      <c r="C1173" s="284" t="s">
        <v>296</v>
      </c>
      <c r="D1173" s="280">
        <f>SUMIF(C7:C1088,"ips",D7:D1088)</f>
        <v>0</v>
      </c>
      <c r="E1173" s="281">
        <f>SUMIF(C7:C1088,"ips",X7:X1088)</f>
        <v>0</v>
      </c>
      <c r="F1173" s="271">
        <f>SUMIFS(X$7:X$1088,C$7:C$1088,"Ips",AD$7:AD$1088,"OK")</f>
        <v>0</v>
      </c>
      <c r="G1173" s="272"/>
      <c r="H1173" s="276"/>
      <c r="I1173" s="255"/>
      <c r="J1173" s="259"/>
      <c r="K1173" s="259"/>
      <c r="L1173" s="259"/>
      <c r="M1173" s="259"/>
      <c r="N1173" s="259"/>
      <c r="O1173" s="259"/>
      <c r="P1173" s="259"/>
      <c r="Q1173" s="259"/>
      <c r="R1173" s="259"/>
      <c r="S1173" s="259"/>
      <c r="T1173" s="259"/>
      <c r="U1173" s="259"/>
      <c r="V1173" s="259"/>
      <c r="W1173" s="259"/>
      <c r="X1173" s="259"/>
      <c r="Y1173" s="259"/>
      <c r="Z1173" s="259"/>
    </row>
    <row r="1174" spans="1:26" ht="15.75" x14ac:dyDescent="0.25">
      <c r="B1174" s="255">
        <f t="shared" ref="B1174:B1243" si="295">+B1173+1</f>
        <v>76</v>
      </c>
      <c r="C1174" s="284" t="s">
        <v>268</v>
      </c>
      <c r="D1174" s="280">
        <f>SUMIF(C7:C1088,"iskra",D7:D1088)</f>
        <v>0</v>
      </c>
      <c r="E1174" s="281">
        <f>SUMIF(C7:C1088,"iskra",X7:X1088)</f>
        <v>0</v>
      </c>
      <c r="F1174" s="271">
        <f>SUMIFS(X$7:X$1088,C$7:C$1088,"Iskra",AD$7:AD$1088,"OK")</f>
        <v>0</v>
      </c>
      <c r="G1174" s="272"/>
      <c r="H1174" s="276"/>
      <c r="I1174" s="255"/>
      <c r="J1174" s="259"/>
      <c r="K1174" s="259"/>
      <c r="L1174" s="259"/>
      <c r="M1174" s="259"/>
      <c r="N1174" s="259"/>
      <c r="O1174" s="259"/>
      <c r="P1174" s="259"/>
      <c r="Q1174" s="259"/>
      <c r="R1174" s="259"/>
      <c r="S1174" s="259"/>
      <c r="T1174" s="259"/>
      <c r="U1174" s="259"/>
      <c r="V1174" s="259"/>
      <c r="W1174" s="259"/>
      <c r="X1174" s="259"/>
      <c r="Y1174" s="259"/>
      <c r="Z1174" s="259"/>
    </row>
    <row r="1175" spans="1:26" ht="15.75" x14ac:dyDescent="0.25">
      <c r="B1175" s="255">
        <f t="shared" si="295"/>
        <v>77</v>
      </c>
      <c r="C1175" s="284" t="s">
        <v>241</v>
      </c>
      <c r="D1175" s="274">
        <f>SUMIF(C7:C1088,"italweber",D7:D1088)</f>
        <v>0</v>
      </c>
      <c r="E1175" s="289">
        <f>SUMIF(C7:C1088,"italweber",X7:X1088)</f>
        <v>0</v>
      </c>
      <c r="F1175" s="271">
        <f>SUMIFS(X$7:X$1088,C$7:C$1088,"Italweber",AD$7:AD$1088,"OK")</f>
        <v>0</v>
      </c>
      <c r="G1175" s="290">
        <f>SUMIFS(D$7:D$1088,C$7:C$1088,"ITALWEBER",AD$7:AD$1088,"OK")</f>
        <v>0</v>
      </c>
      <c r="H1175" s="291"/>
      <c r="J1175" s="259"/>
      <c r="O1175" s="292"/>
    </row>
    <row r="1176" spans="1:26" ht="15.75" x14ac:dyDescent="0.25">
      <c r="B1176" s="255">
        <f t="shared" si="295"/>
        <v>78</v>
      </c>
      <c r="C1176" s="284" t="s">
        <v>205</v>
      </c>
      <c r="D1176" s="274">
        <f>SUMIF(C7:C1088,"Ite",D7:D1088)</f>
        <v>0</v>
      </c>
      <c r="E1176" s="289">
        <f>SUMIF(C7:C1088,"Ite",X7:X1088)</f>
        <v>0</v>
      </c>
      <c r="F1176" s="271">
        <f>SUMIFS(X$7:X$1088,C$7:C$1088,"Ite",AD$7:AD$1088,"OK")</f>
        <v>0</v>
      </c>
      <c r="G1176" s="290"/>
      <c r="H1176" s="291"/>
      <c r="J1176" s="259"/>
      <c r="O1176" s="292"/>
    </row>
    <row r="1177" spans="1:26" ht="15.75" x14ac:dyDescent="0.25">
      <c r="B1177" s="255"/>
      <c r="C1177" s="284" t="s">
        <v>399</v>
      </c>
      <c r="D1177" s="274">
        <f>SUMIF(C7:C1089,"LOMBARDO",D7:D1089)</f>
        <v>0</v>
      </c>
      <c r="E1177" s="289">
        <f>SUMIF(C7:C1089,"lombardo",X7:X1089)</f>
        <v>0</v>
      </c>
      <c r="F1177" s="271">
        <f>SUMIFS(X$7:X$1088,C$7:C$1088,"lombardo",AD$7:AD$1088,"OK")</f>
        <v>0</v>
      </c>
      <c r="G1177" s="290"/>
      <c r="H1177" s="291"/>
      <c r="J1177" s="259"/>
      <c r="O1177" s="292"/>
    </row>
    <row r="1178" spans="1:26" ht="15.75" x14ac:dyDescent="0.25">
      <c r="B1178" s="255">
        <f>+B1176+1</f>
        <v>79</v>
      </c>
      <c r="C1178" s="284" t="s">
        <v>332</v>
      </c>
      <c r="D1178" s="274">
        <f>SUMIF(C7:C1088,"jara",D7:D1088)</f>
        <v>0</v>
      </c>
      <c r="E1178" s="289">
        <f>SUMIF(C7:C1088,"jara",X7:X1088)</f>
        <v>0</v>
      </c>
      <c r="F1178" s="271">
        <f>SUMIFS(X$7:X$1088,C$7:C$1088,"jara",AD$7:AD$1088,"OK")</f>
        <v>0</v>
      </c>
      <c r="G1178" s="290"/>
      <c r="H1178" s="291"/>
      <c r="J1178" s="259"/>
      <c r="O1178" s="292"/>
    </row>
    <row r="1179" spans="1:26" ht="15.75" x14ac:dyDescent="0.25">
      <c r="A1179" s="222" t="s">
        <v>273</v>
      </c>
      <c r="B1179" s="255">
        <f t="shared" si="295"/>
        <v>80</v>
      </c>
      <c r="C1179" s="285" t="s">
        <v>171</v>
      </c>
      <c r="D1179" s="274">
        <f>SUMIF(C7:C1088,"jast",D7:D1088)</f>
        <v>0</v>
      </c>
      <c r="E1179" s="289">
        <f>SUMIF(C7:C1088,"jast",X7:X1088)</f>
        <v>0</v>
      </c>
      <c r="F1179" s="271">
        <f>SUMIFS(X$7:X$1088,C$7:C$1088,"Jast",AD$7:AD$1088,"OK")</f>
        <v>0</v>
      </c>
      <c r="G1179" s="290"/>
      <c r="H1179" s="291"/>
      <c r="J1179" s="259"/>
      <c r="O1179" s="292"/>
    </row>
    <row r="1180" spans="1:26" ht="15.75" x14ac:dyDescent="0.25">
      <c r="A1180" s="222" t="s">
        <v>273</v>
      </c>
      <c r="B1180" s="255">
        <f t="shared" si="295"/>
        <v>81</v>
      </c>
      <c r="C1180" s="285" t="s">
        <v>163</v>
      </c>
      <c r="D1180" s="274">
        <f>SUMIF(C$7:C$1088,"KM",D$7:D$1088)</f>
        <v>0</v>
      </c>
      <c r="E1180" s="289">
        <f>SUMIF(C$7:C$1088,"KM",X$7:X$1088)</f>
        <v>0</v>
      </c>
      <c r="F1180" s="271">
        <f>SUMIFS(X$7:X$1088,C$7:C$1088,"KM",AD$7:AD$1088,"OK")</f>
        <v>0</v>
      </c>
      <c r="G1180" s="290"/>
      <c r="H1180" s="291"/>
      <c r="J1180" s="259"/>
      <c r="O1180" s="292"/>
    </row>
    <row r="1181" spans="1:26" ht="15.75" x14ac:dyDescent="0.25">
      <c r="B1181" s="255">
        <f t="shared" si="295"/>
        <v>82</v>
      </c>
      <c r="C1181" s="284" t="s">
        <v>393</v>
      </c>
      <c r="D1181" s="274">
        <f>SUMIF(C$7:C$1088,"leam",D$7:D$1088)</f>
        <v>100</v>
      </c>
      <c r="E1181" s="289">
        <f>SUMIF(C$7:C$1088,"leam",X$7:X$1088)</f>
        <v>15</v>
      </c>
      <c r="F1181" s="271">
        <f>SUMIFS(X$7:X$1088,C$7:C$1088,"leam",AD$7:AD$1088,"OK")</f>
        <v>0</v>
      </c>
      <c r="G1181" s="290">
        <f>SUMIFS(D$7:D$1088,C$7:C$1088,"leam",AD$7:AD$1088,"OK")</f>
        <v>0</v>
      </c>
      <c r="H1181" s="291"/>
      <c r="J1181" s="259"/>
      <c r="O1181" s="292"/>
    </row>
    <row r="1182" spans="1:26" ht="15.75" x14ac:dyDescent="0.25">
      <c r="B1182" s="255">
        <f t="shared" si="295"/>
        <v>83</v>
      </c>
      <c r="C1182" s="286" t="s">
        <v>339</v>
      </c>
      <c r="D1182" s="274">
        <f>SUMIF(C7:C1088,"Lifasa",D7:D1088)</f>
        <v>0</v>
      </c>
      <c r="E1182" s="289">
        <f>SUMIF(C7:C1088,"lifasa",X7:X1088)</f>
        <v>0</v>
      </c>
      <c r="F1182" s="271">
        <f>SUMIFS(X$7:X$1088,C$7:C$1088,"lifasa",AD$7:AD$1088,"OK")</f>
        <v>0</v>
      </c>
      <c r="G1182" s="290">
        <f>SUMIFS(D$7:D$1088,C$7:C$1088,"lifasa",AD$7:AD$1088,"OK")</f>
        <v>0</v>
      </c>
      <c r="H1182" s="291"/>
      <c r="J1182" s="259"/>
      <c r="O1182" s="292"/>
    </row>
    <row r="1183" spans="1:26" ht="15.75" x14ac:dyDescent="0.25">
      <c r="B1183" s="255">
        <f t="shared" si="295"/>
        <v>84</v>
      </c>
      <c r="C1183" s="293" t="s">
        <v>116</v>
      </c>
      <c r="D1183" s="274">
        <f>SUMIF(C7:C1088,"Mace",D7:D1088)</f>
        <v>0</v>
      </c>
      <c r="E1183" s="289">
        <f>SUMIF(C7:C1088,"Mace",X7:X1088)</f>
        <v>0</v>
      </c>
      <c r="F1183" s="271">
        <f>SUMIFS(X$7:X$1088,C$7:C$1088,"Mace",AD$7:AD$1088,"OK")</f>
        <v>0</v>
      </c>
      <c r="G1183" s="290">
        <f>SUMIFS(D$7:D$1088,C$7:C$1088,"mace",AD$7:AD$1088,"OK")</f>
        <v>0</v>
      </c>
      <c r="H1183" s="291"/>
      <c r="J1183" s="259"/>
      <c r="O1183" s="292"/>
    </row>
    <row r="1184" spans="1:26" ht="15.75" x14ac:dyDescent="0.25">
      <c r="B1184" s="255">
        <f t="shared" si="295"/>
        <v>85</v>
      </c>
      <c r="C1184" s="284" t="s">
        <v>396</v>
      </c>
      <c r="D1184" s="274">
        <f>SUMIF(C$7:C$1088,"Mangoldt",D$7:D$1088)</f>
        <v>29352</v>
      </c>
      <c r="E1184" s="289">
        <f>SUMIF(C$7:C$1088,"Mangoldt",X$7:X$1088)</f>
        <v>2120.64</v>
      </c>
      <c r="F1184" s="271">
        <f>SUMIFS(X$7:X$1088,C$7:C$1088,"Mangoldt",AD$7:AD$1088,"OK")</f>
        <v>66.64</v>
      </c>
      <c r="G1184" s="290">
        <f>SUMIFS(D$7:D$1088,C$7:C$1088,"mangoldt",AD$7:AD$1088,"OK")</f>
        <v>952</v>
      </c>
      <c r="H1184" s="291"/>
      <c r="J1184" s="259"/>
      <c r="O1184" s="292"/>
    </row>
    <row r="1185" spans="1:15" ht="15.75" x14ac:dyDescent="0.25">
      <c r="B1185" s="255">
        <f t="shared" si="295"/>
        <v>86</v>
      </c>
      <c r="C1185" s="284" t="s">
        <v>260</v>
      </c>
      <c r="D1185" s="274">
        <f>SUMIF(C7:C1088,"Mec",D7:D1088)</f>
        <v>2573</v>
      </c>
      <c r="E1185" s="289">
        <f>SUMIF(C7:C1088,"Mec",X7:X1088)</f>
        <v>174.52999999999997</v>
      </c>
      <c r="F1185" s="271">
        <f>SUMIFS(X$7:X$1088,C$7:C$1088,"Mec",AD$7:AD$1088,"OK")</f>
        <v>0</v>
      </c>
      <c r="G1185" s="290">
        <f>SUMIFS(D$7:D$1088,C$7:C$1088,"mec",AD$7:AD$1088,"OK")</f>
        <v>0</v>
      </c>
      <c r="H1185" s="291"/>
      <c r="J1185" s="259"/>
      <c r="O1185" s="292"/>
    </row>
    <row r="1186" spans="1:15" ht="15.75" x14ac:dyDescent="0.25">
      <c r="B1186" s="255">
        <f t="shared" si="295"/>
        <v>87</v>
      </c>
      <c r="C1186" s="293" t="s">
        <v>92</v>
      </c>
      <c r="D1186" s="274">
        <f>SUMIF(C$7:C$1088,"Meca",D$7:D$1088)</f>
        <v>34900</v>
      </c>
      <c r="E1186" s="289">
        <f>SUMIF(C$7:C$1088,"Meca",X$7:X$1088)</f>
        <v>2443</v>
      </c>
      <c r="F1186" s="271">
        <f>SUMIFS(X$7:X$1088,C$7:C$1088,"Meca",AD$7:AD$1088,"OK")</f>
        <v>0</v>
      </c>
      <c r="G1186" s="290">
        <f>SUMIFS(D$7:D$1088,C$7:C$1088,"meca",AD$7:AD$1088,"OK")</f>
        <v>0</v>
      </c>
      <c r="H1186" s="291"/>
      <c r="J1186" s="259"/>
      <c r="O1186" s="292"/>
    </row>
    <row r="1187" spans="1:15" ht="15.75" x14ac:dyDescent="0.25">
      <c r="B1187" s="255">
        <f t="shared" si="295"/>
        <v>88</v>
      </c>
      <c r="C1187" s="284" t="s">
        <v>375</v>
      </c>
      <c r="D1187" s="274">
        <f>SUMIF(C$7:C$1088,"Metaltrasfo",D$7:D$1088)</f>
        <v>0</v>
      </c>
      <c r="E1187" s="289">
        <f>SUMIF(C$7:C$1088,"Metaltrasfo",X$7:X$1088)</f>
        <v>0</v>
      </c>
      <c r="F1187" s="271">
        <f>SUMIFS(X$7:X$1088,C$7:C$1088,"Metaltrasfo",AD$7:AD$1088,"OK")</f>
        <v>0</v>
      </c>
      <c r="G1187" s="290">
        <f>SUMIFS(D$7:D$1088,C$7:C$1088,"metaltrasfo",AD$7:AD$1088,"OK")</f>
        <v>0</v>
      </c>
      <c r="H1187" s="291"/>
      <c r="J1187" s="259"/>
      <c r="O1187" s="292"/>
    </row>
    <row r="1188" spans="1:15" ht="15.75" x14ac:dyDescent="0.25">
      <c r="B1188" s="255">
        <f t="shared" si="295"/>
        <v>89</v>
      </c>
      <c r="C1188" s="284" t="s">
        <v>304</v>
      </c>
      <c r="D1188" s="274">
        <f>SUMIF(C$7:C$1088,"Meth",D$7:D$1088)</f>
        <v>730</v>
      </c>
      <c r="E1188" s="289">
        <f>SUMIF(C$7:C$1088,"Meth",X$7:X$1088)</f>
        <v>109.5</v>
      </c>
      <c r="F1188" s="271">
        <f>SUMIFS(X$7:X$1088,C$7:C$1088,"Meth",AD$7:AD$1088,"OK")</f>
        <v>0</v>
      </c>
      <c r="G1188" s="290">
        <f>SUMIFS(D$7:D$1088,C$7:C$1088,"meth",AD$7:AD$1088,"OK")</f>
        <v>0</v>
      </c>
      <c r="H1188" s="291"/>
      <c r="J1188" s="259"/>
      <c r="O1188" s="292"/>
    </row>
    <row r="1189" spans="1:15" ht="15.75" x14ac:dyDescent="0.25">
      <c r="B1189" s="255">
        <f t="shared" si="295"/>
        <v>90</v>
      </c>
      <c r="C1189" s="293" t="s">
        <v>108</v>
      </c>
      <c r="D1189" s="274">
        <f>SUMIF(C7:C1088,"MF",D7:D1088)</f>
        <v>87268</v>
      </c>
      <c r="E1189" s="289">
        <f>SUMIF(C7:C1088,"MF",X7:X1088)</f>
        <v>6181.2</v>
      </c>
      <c r="F1189" s="271">
        <f>SUMIFS(X$7:X$1088,C$7:C$1088,"MF",AD$7:AD$1088,"OK")</f>
        <v>47.7</v>
      </c>
      <c r="G1189" s="290">
        <f>SUMIFS(D$7:D$1088,C$7:C$1088,"mf",AD$7:AD$1088,"OK")</f>
        <v>318</v>
      </c>
      <c r="H1189" s="291"/>
      <c r="J1189" s="259"/>
      <c r="O1189" s="292"/>
    </row>
    <row r="1190" spans="1:15" ht="15.75" x14ac:dyDescent="0.25">
      <c r="B1190" s="255">
        <f t="shared" si="295"/>
        <v>91</v>
      </c>
      <c r="C1190" s="284" t="s">
        <v>125</v>
      </c>
      <c r="D1190" s="274">
        <f>SUMIF(C7:C1088,"MG",D7:D1088)</f>
        <v>0</v>
      </c>
      <c r="E1190" s="289">
        <f>SUMIF(C7:C1088,"MG",X7:X1088)</f>
        <v>0</v>
      </c>
      <c r="F1190" s="271">
        <f>SUMIFS(X$7:X$1088,C$7:C$1088,"MG",AD$7:AD$1088,"OK")</f>
        <v>0</v>
      </c>
      <c r="G1190" s="290">
        <f>SUMIFS(D$7:D$1088,C$7:C$1088,"mg",AD$7:AD$1088,"OK")</f>
        <v>0</v>
      </c>
      <c r="H1190" s="291"/>
      <c r="J1190" s="259"/>
      <c r="O1190" s="292"/>
    </row>
    <row r="1191" spans="1:15" ht="15.75" x14ac:dyDescent="0.25">
      <c r="B1191" s="255">
        <f t="shared" si="295"/>
        <v>92</v>
      </c>
      <c r="C1191" s="284" t="s">
        <v>269</v>
      </c>
      <c r="D1191" s="274">
        <f>SUMIF(C7:C1088,"MINIFABER",D7:D1088)</f>
        <v>3200</v>
      </c>
      <c r="E1191" s="289">
        <f>SUMIF(C7:C1088,"Minifaber",X7:X1088)</f>
        <v>440</v>
      </c>
      <c r="F1191" s="271">
        <f>SUMIFS(X$7:X$1088,C$7:C$1088,"Minifaber",AD$7:AD$1088,"OK")</f>
        <v>0</v>
      </c>
      <c r="G1191" s="290">
        <f>SUMIFS(D$7:D$1088,C$7:C$1088,"minifaber",AD$7:AD$1088,"OK")</f>
        <v>0</v>
      </c>
      <c r="H1191" s="291"/>
      <c r="J1191" s="259"/>
      <c r="O1191" s="292"/>
    </row>
    <row r="1192" spans="1:15" ht="15.75" x14ac:dyDescent="0.25">
      <c r="B1192" s="255">
        <f t="shared" si="295"/>
        <v>93</v>
      </c>
      <c r="C1192" s="284" t="s">
        <v>191</v>
      </c>
      <c r="D1192" s="274">
        <f>SUMIF(C7:C1088,"mottura",D7:D1088)</f>
        <v>0</v>
      </c>
      <c r="E1192" s="289">
        <f>SUMIF(C7:C1088,"Mottura",X7:X1088)</f>
        <v>0</v>
      </c>
      <c r="F1192" s="271">
        <f>SUMIFS(X$7:X$1088,C$7:C$1088,"Mottura",AD$7:AD$1088,"OK")</f>
        <v>0</v>
      </c>
      <c r="G1192" s="294">
        <f>SUMIFS(D$7:D$1088,C$7:C$1088,"mottura",AD$7:AD$1088,"OK")</f>
        <v>0</v>
      </c>
      <c r="H1192" s="291"/>
      <c r="I1192" s="264"/>
      <c r="J1192" s="259"/>
      <c r="O1192" s="292"/>
    </row>
    <row r="1193" spans="1:15" ht="15.75" x14ac:dyDescent="0.25">
      <c r="B1193" s="255">
        <f t="shared" si="295"/>
        <v>94</v>
      </c>
      <c r="C1193" s="284" t="s">
        <v>206</v>
      </c>
      <c r="D1193" s="274">
        <f>SUMIF(C7:C1088,"Montrucchio",D7:D1088)</f>
        <v>0</v>
      </c>
      <c r="E1193" s="289">
        <f>SUMIF(C7:C1088,"Montrucchio",X7:X1088)</f>
        <v>0</v>
      </c>
      <c r="F1193" s="271">
        <f>SUMIFS(X$7:X$1088,C$7:C$1088,"Montrucchio",AD$7:AD$1088,"OK")</f>
        <v>0</v>
      </c>
      <c r="G1193" s="290"/>
      <c r="H1193" s="291"/>
      <c r="J1193" s="259"/>
      <c r="O1193" s="292"/>
    </row>
    <row r="1194" spans="1:15" ht="15.75" x14ac:dyDescent="0.25">
      <c r="A1194" s="222" t="s">
        <v>273</v>
      </c>
      <c r="B1194" s="255">
        <f t="shared" si="295"/>
        <v>95</v>
      </c>
      <c r="C1194" s="295" t="s">
        <v>101</v>
      </c>
      <c r="D1194" s="274">
        <f>SUMIF(C7:C1088,"MP",D7:D1088)</f>
        <v>0</v>
      </c>
      <c r="E1194" s="289">
        <f>SUMIF(C7:C1088,"MP",X7:X1088)</f>
        <v>0</v>
      </c>
      <c r="F1194" s="271">
        <f>SUMIFS(X$7:X$1088,C$7:C$1088,"MP",AD$7:AD$1088,"OK")</f>
        <v>0</v>
      </c>
      <c r="G1194" s="290"/>
      <c r="H1194" s="291"/>
      <c r="J1194" s="259"/>
      <c r="O1194" s="292"/>
    </row>
    <row r="1195" spans="1:15" ht="15.75" x14ac:dyDescent="0.25">
      <c r="A1195" s="222" t="s">
        <v>273</v>
      </c>
      <c r="B1195" s="255">
        <f t="shared" si="295"/>
        <v>96</v>
      </c>
      <c r="C1195" s="285" t="s">
        <v>209</v>
      </c>
      <c r="D1195" s="274">
        <f>SUMIF(C7:C1088,"MTP",D7:D1088)</f>
        <v>0</v>
      </c>
      <c r="E1195" s="289">
        <f>SUMIF(C7:C1088,"MTP",X7:X1088)</f>
        <v>0</v>
      </c>
      <c r="F1195" s="271">
        <f>SUMIFS(X$7:X$1088,C$7:C$1088,"Mtp",AD$7:AD$1088,"OK")</f>
        <v>0</v>
      </c>
      <c r="G1195" s="290"/>
      <c r="H1195" s="291"/>
      <c r="J1195" s="259"/>
      <c r="O1195" s="292"/>
    </row>
    <row r="1196" spans="1:15" ht="15.75" x14ac:dyDescent="0.25">
      <c r="B1196" s="255">
        <f t="shared" si="295"/>
        <v>97</v>
      </c>
      <c r="C1196" s="284" t="s">
        <v>360</v>
      </c>
      <c r="D1196" s="274">
        <f>SUMIF(C$7:C$1088,"Necom",D$7:D$1088)</f>
        <v>0</v>
      </c>
      <c r="E1196" s="289">
        <f>SUMIF(C$7:C$1088,"Necom",X$7:X$1088)</f>
        <v>0</v>
      </c>
      <c r="F1196" s="271">
        <f>SUMIFS(X$7:X$1088,C$7:C$1088,"Necom",AD$7:AD$1088,"OK")</f>
        <v>0</v>
      </c>
      <c r="G1196" s="290">
        <f>SUMIFS(D$7:D$1088,C$7:C$1088,"necom",AD$7:AD$1088,"OK")</f>
        <v>0</v>
      </c>
      <c r="H1196" s="291"/>
      <c r="J1196" s="259"/>
      <c r="O1196" s="292"/>
    </row>
    <row r="1197" spans="1:15" ht="15.75" x14ac:dyDescent="0.25">
      <c r="B1197" s="255">
        <f t="shared" si="295"/>
        <v>98</v>
      </c>
      <c r="C1197" s="284" t="s">
        <v>374</v>
      </c>
      <c r="D1197" s="274">
        <f>SUMIF(C$7:C$1088,"Nts",D$7:D$1088)</f>
        <v>0</v>
      </c>
      <c r="E1197" s="289">
        <f>SUMIF(C$7:C$1088,"Nts",X$7:X$1088)</f>
        <v>0</v>
      </c>
      <c r="F1197" s="271">
        <f>SUMIFS(X$7:X$1088,C$7:C$1088,"Nts",AD$7:AD$1088,"OK")</f>
        <v>0</v>
      </c>
      <c r="G1197" s="290">
        <f>SUMIFS(D$7:D$1088,C$7:C$1088,"nts",AD$7:AD$1088,"OK")</f>
        <v>0</v>
      </c>
      <c r="H1197" s="291"/>
      <c r="J1197" s="259"/>
      <c r="O1197" s="292"/>
    </row>
    <row r="1198" spans="1:15" ht="15.75" x14ac:dyDescent="0.25">
      <c r="B1198" s="255">
        <f t="shared" si="295"/>
        <v>99</v>
      </c>
      <c r="C1198" s="284" t="s">
        <v>261</v>
      </c>
      <c r="D1198" s="274">
        <f>SUMIF(C7:C1088,"new cta",D7:D1088)</f>
        <v>0</v>
      </c>
      <c r="E1198" s="289">
        <f>SUMIF(C7:C1088,"new cta",X7:X1088)</f>
        <v>0</v>
      </c>
      <c r="F1198" s="271">
        <f>SUMIFS(X$7:X$1088,C$7:C$1088,"New Cta",AD$7:AD$1088,"OK")</f>
        <v>0</v>
      </c>
      <c r="G1198" s="290"/>
      <c r="H1198" s="291"/>
      <c r="J1198" s="259"/>
      <c r="O1198" s="292"/>
    </row>
    <row r="1199" spans="1:15" ht="15.75" x14ac:dyDescent="0.25">
      <c r="B1199" s="255">
        <f t="shared" si="295"/>
        <v>100</v>
      </c>
      <c r="C1199" s="293" t="s">
        <v>102</v>
      </c>
      <c r="D1199" s="274">
        <f>SUMIF(C7:C1088,"Newton",D7:D1088)</f>
        <v>65828</v>
      </c>
      <c r="E1199" s="289">
        <f>SUMIF(C7:C1088,"Newton",X7:X1088)</f>
        <v>4786.3999999999996</v>
      </c>
      <c r="F1199" s="271">
        <f>SUMIFS(X$7:X$1088,C$7:C$1088,"Newton",AD$7:AD$1088,"OK")</f>
        <v>354.79999999999995</v>
      </c>
      <c r="G1199" s="290">
        <f>SUMIFS(D$7:D$1088,C$7:C$1088,"newton",AD$7:AD$1088,"OK")</f>
        <v>3548</v>
      </c>
      <c r="H1199" s="291"/>
      <c r="J1199" s="259"/>
      <c r="O1199" s="292"/>
    </row>
    <row r="1200" spans="1:15" ht="15.75" x14ac:dyDescent="0.25">
      <c r="B1200" s="255">
        <f t="shared" si="295"/>
        <v>101</v>
      </c>
      <c r="C1200" s="284" t="s">
        <v>251</v>
      </c>
      <c r="D1200" s="274">
        <f>SUMIF(C7:C1088,"Ocrem",D7:D1088)</f>
        <v>0</v>
      </c>
      <c r="E1200" s="289">
        <f>SUMIF(C7:C1088,"ocrem",X7:X1088)</f>
        <v>0</v>
      </c>
      <c r="F1200" s="271">
        <f>SUMIFS(X$7:X$1088,C$7:C$1088,"Ocrem",AD$7:AD$1088,"OK")</f>
        <v>0</v>
      </c>
      <c r="G1200" s="290">
        <f>SUMIFS(D$7:D$1088,C$7:C$1088,"ocrem",AD$7:AD$1088,"OK")</f>
        <v>0</v>
      </c>
      <c r="H1200" s="291"/>
      <c r="J1200" s="259"/>
      <c r="O1200" s="292"/>
    </row>
    <row r="1201" spans="1:15" ht="15.75" x14ac:dyDescent="0.25">
      <c r="B1201" s="255">
        <f t="shared" si="295"/>
        <v>102</v>
      </c>
      <c r="C1201" s="284" t="s">
        <v>246</v>
      </c>
      <c r="D1201" s="274">
        <f>SUMIF(C7:C1088,"Ocrev",D7:D1088)</f>
        <v>3880</v>
      </c>
      <c r="E1201" s="289">
        <f>SUMIF(C7:C1088,"ocrev",X7:X1088)</f>
        <v>271.60000000000002</v>
      </c>
      <c r="F1201" s="271">
        <f>SUMIFS(X$7:X$1088,C$7:C$1088,"Ocrev",AD$7:AD$1088,"OK")</f>
        <v>0</v>
      </c>
      <c r="G1201" s="290">
        <f>SUMIFS(D$7:D$1088,C$7:C$1088,"ocrev",AD$7:AD$1088,"OK")</f>
        <v>0</v>
      </c>
      <c r="H1201" s="291"/>
      <c r="J1201" s="259"/>
      <c r="O1201" s="292"/>
    </row>
    <row r="1202" spans="1:15" ht="15.75" x14ac:dyDescent="0.25">
      <c r="A1202" s="222" t="s">
        <v>273</v>
      </c>
      <c r="B1202" s="255">
        <f t="shared" si="295"/>
        <v>103</v>
      </c>
      <c r="C1202" s="285" t="s">
        <v>249</v>
      </c>
      <c r="D1202" s="274">
        <f>SUMIF(C3:C1088,"Okram",D3:D1088)</f>
        <v>0</v>
      </c>
      <c r="E1202" s="289">
        <f>SUMIF(C3:C1088,"okram",X3:X1088)</f>
        <v>0</v>
      </c>
      <c r="F1202" s="271">
        <f>SUMIFS(X$7:X$1088,C$7:C$1088,"Okram",AD$7:AD$1088,"OK")</f>
        <v>0</v>
      </c>
      <c r="G1202" s="290"/>
      <c r="H1202" s="291"/>
      <c r="J1202" s="259"/>
      <c r="O1202" s="292"/>
    </row>
    <row r="1203" spans="1:15" ht="15.75" x14ac:dyDescent="0.25">
      <c r="B1203" s="255">
        <f t="shared" si="295"/>
        <v>104</v>
      </c>
      <c r="C1203" s="293" t="s">
        <v>207</v>
      </c>
      <c r="D1203" s="274">
        <f>SUMIF(C7:C1088,"ortea",D7:D1088)</f>
        <v>0</v>
      </c>
      <c r="E1203" s="289">
        <f>SUMIF(C7:C1088,"ortea",X7:X1088)</f>
        <v>0</v>
      </c>
      <c r="F1203" s="271">
        <f>SUMIFS(X$7:X$1088,C$7:C$1088,"Ortea",AD$7:AD$1088,"OK")</f>
        <v>0</v>
      </c>
      <c r="G1203" s="290">
        <f>SUMIFS(D$7:D$1088,C$7:C$1088,"ortea",AD$7:AD$1088,"OK")</f>
        <v>0</v>
      </c>
      <c r="H1203" s="291"/>
      <c r="J1203" s="259"/>
      <c r="O1203" s="292"/>
    </row>
    <row r="1204" spans="1:15" ht="15.75" x14ac:dyDescent="0.25">
      <c r="B1204" s="255"/>
      <c r="C1204" s="284" t="s">
        <v>418</v>
      </c>
      <c r="D1204" s="274">
        <f>SUMIF(C7:C1089,"ottavi",D7:D1089)</f>
        <v>39000</v>
      </c>
      <c r="E1204" s="289">
        <f>SUMIF(C7:C1089,"ottavi",X7:X1089)</f>
        <v>2730</v>
      </c>
      <c r="F1204" s="271">
        <f>SUMIFS(X$7:X$1088,C$7:C$1088,"Ottavi",AD$7:AD$1088,"OK")</f>
        <v>0</v>
      </c>
      <c r="G1204" s="290">
        <f>SUMIFS(D$7:D$1088,C$7:C$1088,"ottavi",AD$7:AD$1088,"OK")</f>
        <v>0</v>
      </c>
      <c r="H1204" s="291"/>
      <c r="J1204" s="259"/>
      <c r="O1204" s="292"/>
    </row>
    <row r="1205" spans="1:15" ht="15.75" x14ac:dyDescent="0.25">
      <c r="B1205" s="255"/>
      <c r="C1205" s="284" t="s">
        <v>402</v>
      </c>
      <c r="D1205" s="274">
        <f>SUMIF(C7:C1089,"pat",D7:D1089)</f>
        <v>300</v>
      </c>
      <c r="E1205" s="289">
        <f>SUMIF(C7:C1089,"pat",X7:X1089)</f>
        <v>21</v>
      </c>
      <c r="F1205" s="271">
        <f>SUMIFS(X$7:X$1088,C$7:C$1088,"pat",AD$7:AD$1088,"OK")</f>
        <v>0</v>
      </c>
      <c r="G1205" s="290">
        <f>SUMIFS(D$7:D$1088,C$7:C$1088,"pat",AD$7:AD$1088,"OK")</f>
        <v>0</v>
      </c>
      <c r="H1205" s="291"/>
      <c r="J1205" s="259"/>
      <c r="O1205" s="292"/>
    </row>
    <row r="1206" spans="1:15" ht="15.75" x14ac:dyDescent="0.25">
      <c r="A1206" s="222" t="s">
        <v>273</v>
      </c>
      <c r="B1206" s="255">
        <f>+B1203+1</f>
        <v>105</v>
      </c>
      <c r="C1206" s="285" t="s">
        <v>198</v>
      </c>
      <c r="D1206" s="274">
        <f>SUMIF(C7:C1088,"Pcm",D7:D1088)</f>
        <v>0</v>
      </c>
      <c r="E1206" s="289">
        <f>SUMIF(C7:C1088,"pcm",X7:X1088)</f>
        <v>0</v>
      </c>
      <c r="F1206" s="271">
        <f>SUMIFS(X$7:X$1088,C$7:C$1088,"PMC",AD$7:AD$1088,"OK")</f>
        <v>0</v>
      </c>
      <c r="G1206" s="290"/>
      <c r="H1206" s="291"/>
      <c r="J1206" s="259"/>
      <c r="O1206" s="292"/>
    </row>
    <row r="1207" spans="1:15" ht="15.75" x14ac:dyDescent="0.25">
      <c r="B1207" s="255">
        <f t="shared" si="295"/>
        <v>106</v>
      </c>
      <c r="C1207" s="293" t="s">
        <v>98</v>
      </c>
      <c r="D1207" s="274">
        <f>SUMIF(C7:C1088,"Piola",D7:D1088)</f>
        <v>0</v>
      </c>
      <c r="E1207" s="289">
        <f>SUMIF(C7:C1088,"Piola",X7:X1088)</f>
        <v>0</v>
      </c>
      <c r="F1207" s="271">
        <f>SUMIFS(X$7:X$1088,C$7:C$1088,"Piola",AD$7:AD$1088,"OK")</f>
        <v>0</v>
      </c>
      <c r="G1207" s="290"/>
      <c r="H1207" s="291"/>
      <c r="J1207" s="259"/>
      <c r="O1207" s="292"/>
    </row>
    <row r="1208" spans="1:15" ht="15.75" x14ac:dyDescent="0.25">
      <c r="B1208" s="255">
        <f t="shared" si="295"/>
        <v>107</v>
      </c>
      <c r="C1208" s="293" t="s">
        <v>103</v>
      </c>
      <c r="D1208" s="274">
        <f>SUMIF(C7:C1088,"Piossasco",D7:D1088)</f>
        <v>2000</v>
      </c>
      <c r="E1208" s="289">
        <f>SUMIF(C7:C1088,"Piossasco",X7:X1088)</f>
        <v>204</v>
      </c>
      <c r="F1208" s="271">
        <f>SUMIFS(X$7:X$1088,C$7:C$1088,"Piossasco",AD$7:AD$1088,"OK")</f>
        <v>0</v>
      </c>
      <c r="G1208" s="290">
        <f>SUMIFS(D$7:D$1088,C$7:C$1088,"piossasco",AD$7:AD$1088,"OK")</f>
        <v>0</v>
      </c>
      <c r="H1208" s="291"/>
      <c r="J1208" s="259"/>
      <c r="O1208" s="292"/>
    </row>
    <row r="1209" spans="1:15" ht="15.75" x14ac:dyDescent="0.25">
      <c r="B1209" s="255">
        <f t="shared" si="295"/>
        <v>108</v>
      </c>
      <c r="C1209" s="284" t="s">
        <v>341</v>
      </c>
      <c r="D1209" s="274">
        <f>SUMIF(C7:C1088,"PM",D7:D1088)</f>
        <v>0</v>
      </c>
      <c r="E1209" s="289">
        <f>SUMIF(C7:C1088,"PM",X7:X1088)</f>
        <v>0</v>
      </c>
      <c r="F1209" s="271">
        <f>SUMIFS(X$7:X$1088,C$7:C$1088,"PM",AD$7:AD$1088,"OK")</f>
        <v>0</v>
      </c>
      <c r="G1209" s="290">
        <f>SUMIFS(D$7:D$1088,C$7:C$1088,"pM",AD$7:AD$1088,"OK")</f>
        <v>0</v>
      </c>
      <c r="H1209" s="291"/>
      <c r="J1209" s="259"/>
      <c r="O1209" s="292"/>
    </row>
    <row r="1210" spans="1:15" ht="15.75" x14ac:dyDescent="0.25">
      <c r="B1210" s="255">
        <f t="shared" si="295"/>
        <v>109</v>
      </c>
      <c r="C1210" s="286" t="s">
        <v>252</v>
      </c>
      <c r="D1210" s="296">
        <f>SUMIF(C7:C1088,"Power europe",D7:D1088)</f>
        <v>0</v>
      </c>
      <c r="E1210" s="297">
        <f>SUMIF(C7:C1088,"Power europe",X7:X1088)</f>
        <v>0</v>
      </c>
      <c r="F1210" s="298">
        <f>SUMIFS(X$7:X$1088,C$7:C$1088,"Power europe",AD$7:AD$1088,"OK")</f>
        <v>0</v>
      </c>
      <c r="G1210" s="294">
        <f>SUMIFS(D$7:D$1088,C$7:C$1088,"power europe",AD$7:AD$1088,"OK")</f>
        <v>0</v>
      </c>
      <c r="H1210" s="291"/>
      <c r="J1210" s="259"/>
      <c r="O1210" s="292"/>
    </row>
    <row r="1211" spans="1:15" ht="15.75" x14ac:dyDescent="0.25">
      <c r="B1211" s="255">
        <f t="shared" si="295"/>
        <v>110</v>
      </c>
      <c r="C1211" s="284" t="s">
        <v>172</v>
      </c>
      <c r="D1211" s="274">
        <f>SUMIF(C$7:C$1088,"pol",D$7:D$1088)</f>
        <v>0</v>
      </c>
      <c r="E1211" s="289">
        <f>SUMIF(C$7:C$1088,"pol",X$7:X$1088)</f>
        <v>0</v>
      </c>
      <c r="F1211" s="271">
        <f>SUMIFS(X$7:X$1088,C$7:C$1088,"Pol",AD$7:AD$1088,"OK")</f>
        <v>0</v>
      </c>
      <c r="G1211" s="290"/>
      <c r="H1211" s="291"/>
      <c r="J1211" s="259"/>
      <c r="O1211" s="292"/>
    </row>
    <row r="1212" spans="1:15" ht="15.75" x14ac:dyDescent="0.25">
      <c r="B1212" s="255">
        <f t="shared" si="295"/>
        <v>111</v>
      </c>
      <c r="C1212" s="284" t="s">
        <v>367</v>
      </c>
      <c r="D1212" s="274">
        <f>SUMIF(C$7:C$1088,"progetto stampi",D$7:D$1088)</f>
        <v>0</v>
      </c>
      <c r="E1212" s="289">
        <f>SUMIF(C$7:C$1088,"progetto stampi",X$7:X$1088)</f>
        <v>0</v>
      </c>
      <c r="F1212" s="271">
        <f>SUMIFS(X$7:X$1088,C$7:C$1088,"progetto stampi",AD$7:AD$1088,"OK")</f>
        <v>0</v>
      </c>
      <c r="G1212" s="290">
        <f>SUMIFS(D$7:D$1088,C$7:C$1088,"progetto stampi",AD$7:AD$1088,"OK")</f>
        <v>0</v>
      </c>
      <c r="H1212" s="291"/>
      <c r="J1212" s="259"/>
      <c r="O1212" s="292"/>
    </row>
    <row r="1213" spans="1:15" ht="15.75" x14ac:dyDescent="0.25">
      <c r="B1213" s="255">
        <f t="shared" si="295"/>
        <v>112</v>
      </c>
      <c r="C1213" s="284" t="s">
        <v>194</v>
      </c>
      <c r="D1213" s="274">
        <f>SUMIF(C7:C1088,"progress",D7:D1088)</f>
        <v>0</v>
      </c>
      <c r="E1213" s="289">
        <f>SUMIF(C7:C1088,"Progress",X7:X1088)</f>
        <v>0</v>
      </c>
      <c r="F1213" s="271">
        <f>SUMIFS(X$7:X$1088,C$7:C$1088,"Progress",AD$7:AD$1088,"OK")</f>
        <v>0</v>
      </c>
      <c r="G1213" s="290">
        <f>SUMIFS(D$7:D$1088,C$7:C$1088,"progress",AD$7:AD$1088,"OK")</f>
        <v>0</v>
      </c>
      <c r="H1213" s="291"/>
      <c r="J1213" s="259"/>
      <c r="O1213" s="292"/>
    </row>
    <row r="1214" spans="1:15" ht="15.75" x14ac:dyDescent="0.25">
      <c r="B1214" s="255">
        <f t="shared" si="295"/>
        <v>113</v>
      </c>
      <c r="C1214" s="293" t="s">
        <v>115</v>
      </c>
      <c r="D1214" s="274">
        <f>SUMIF(C7:C1088,"project",D7:D1088)</f>
        <v>0</v>
      </c>
      <c r="E1214" s="289">
        <f>SUMIF(C7:C1088,"Project",X7:X1088)</f>
        <v>0</v>
      </c>
      <c r="F1214" s="271">
        <f>SUMIFS(X$7:X$1088,C$7:C$1088,"Project",AD$7:AD$1088,"OK")</f>
        <v>0</v>
      </c>
      <c r="G1214" s="290"/>
      <c r="H1214" s="291"/>
      <c r="J1214" s="259"/>
      <c r="O1214" s="292"/>
    </row>
    <row r="1215" spans="1:15" ht="15.75" x14ac:dyDescent="0.25">
      <c r="B1215" s="255">
        <f t="shared" si="295"/>
        <v>114</v>
      </c>
      <c r="C1215" s="284" t="s">
        <v>195</v>
      </c>
      <c r="D1215" s="274">
        <f>SUMIF(C$7:C$1088,"rapeti",D$7:D$1088)</f>
        <v>0</v>
      </c>
      <c r="E1215" s="289">
        <f>SUMIF(C$7:C$1088,"rapeti",X$7:X$1088)</f>
        <v>0</v>
      </c>
      <c r="F1215" s="271">
        <f>SUMIFS(X$7:X$1088,C$7:C$1088,"Rapeti",AD$7:AD$1088,"OK")</f>
        <v>0</v>
      </c>
      <c r="G1215" s="290">
        <f>SUMIFS(D$7:D$1088,C$7:C$1088,"rapeti",AD$7:AD$1088,"OK")</f>
        <v>0</v>
      </c>
      <c r="H1215" s="291"/>
      <c r="J1215" s="259"/>
      <c r="O1215" s="292"/>
    </row>
    <row r="1216" spans="1:15" ht="15.75" x14ac:dyDescent="0.25">
      <c r="B1216" s="255">
        <f t="shared" si="295"/>
        <v>115</v>
      </c>
      <c r="C1216" s="284" t="s">
        <v>371</v>
      </c>
      <c r="D1216" s="274">
        <f>SUMIF(C$7:C$1088,"rasera",D$7:D$1088)</f>
        <v>0</v>
      </c>
      <c r="E1216" s="289">
        <f>SUMIF(C$7:C$1088,"rasera",X$7:X$1088)</f>
        <v>0</v>
      </c>
      <c r="F1216" s="271">
        <f>SUMIFS(X$7:X$1088,C$7:C$1088,"Rasera",AD$7:AD$1088,"OK")</f>
        <v>0</v>
      </c>
      <c r="G1216" s="290">
        <f>SUMIFS(D$7:D$1088,C$7:C$1088,"rasera",AD$7:AD$1088,"OK")</f>
        <v>0</v>
      </c>
      <c r="H1216" s="291"/>
      <c r="J1216" s="259"/>
      <c r="O1216" s="292"/>
    </row>
    <row r="1217" spans="1:15" ht="15.75" x14ac:dyDescent="0.25">
      <c r="A1217" s="222" t="s">
        <v>273</v>
      </c>
      <c r="B1217" s="255">
        <f t="shared" si="295"/>
        <v>116</v>
      </c>
      <c r="C1217" s="285" t="s">
        <v>270</v>
      </c>
      <c r="D1217" s="274">
        <f>SUMIF(C7:C1088,"ratto",D7:D1088)</f>
        <v>0</v>
      </c>
      <c r="E1217" s="289">
        <f>SUMIF(C7:C1088,"ratto",X7:X1088)</f>
        <v>0</v>
      </c>
      <c r="F1217" s="271">
        <f>SUMIFS(X$7:X$1088,C$7:C$1088,"Ratto",AD$7:AD$1088,"OK")</f>
        <v>0</v>
      </c>
      <c r="G1217" s="290"/>
      <c r="H1217" s="291"/>
      <c r="J1217" s="259"/>
      <c r="O1217" s="292"/>
    </row>
    <row r="1218" spans="1:15" ht="15.75" x14ac:dyDescent="0.25">
      <c r="B1218" s="255"/>
      <c r="C1218" s="284" t="s">
        <v>422</v>
      </c>
      <c r="D1218" s="274">
        <f>SUMIF(C7:C1089,"rausch",D7:D1089)</f>
        <v>0</v>
      </c>
      <c r="E1218" s="289">
        <f>SUMIF(C7:C1089,"rausch",X7:X1089)</f>
        <v>0</v>
      </c>
      <c r="F1218" s="271">
        <f>SUMIFS(X$7:X$1088,C$7:C$1088,"Rausch",AD$7:AD$1088,"OK")</f>
        <v>0</v>
      </c>
      <c r="G1218" s="290">
        <f>SUMIFS(D$7:D$1088,C$7:C$1088,"rausch",AD$7:AD$1088,"OK")</f>
        <v>0</v>
      </c>
      <c r="H1218" s="291"/>
      <c r="J1218" s="259"/>
      <c r="O1218" s="292"/>
    </row>
    <row r="1219" spans="1:15" ht="15.75" x14ac:dyDescent="0.25">
      <c r="A1219" s="222" t="s">
        <v>273</v>
      </c>
      <c r="B1219" s="255">
        <f>+B1217+1</f>
        <v>117</v>
      </c>
      <c r="C1219" s="285" t="s">
        <v>255</v>
      </c>
      <c r="D1219" s="274">
        <f>SUMIF(C7:C1088,"Rizzi",D7:D1088)</f>
        <v>0</v>
      </c>
      <c r="E1219" s="289">
        <f>SUMIF(C7:C1088,"rizzi",X7:X1088)</f>
        <v>0</v>
      </c>
      <c r="F1219" s="271">
        <f>SUMIFS(X$7:X$1088,C$7:C$1088,"Rizzi",AD$7:AD$1088,"OK")</f>
        <v>0</v>
      </c>
      <c r="G1219" s="290"/>
      <c r="H1219" s="291"/>
      <c r="J1219" s="259"/>
      <c r="O1219" s="292"/>
    </row>
    <row r="1220" spans="1:15" ht="15.75" x14ac:dyDescent="0.25">
      <c r="B1220" s="255"/>
      <c r="C1220" s="284" t="s">
        <v>423</v>
      </c>
      <c r="D1220" s="274">
        <f>SUMIF(C7:C1089,"Rotech",D7:D1089)</f>
        <v>0</v>
      </c>
      <c r="E1220" s="289">
        <f>SUMIF(C7:C1089,"rotech",X7:X1089)</f>
        <v>0</v>
      </c>
      <c r="F1220" s="271">
        <f>SUMIFS(X$7:X$1088,C$7:C$1088,"Rotech",AD$7:AD$1088,"OK")</f>
        <v>0</v>
      </c>
      <c r="G1220" s="290">
        <f>SUMIFS(D$7:D$1088,C$7:C$1088,"valle",AD$7:AD$1088,"OK")</f>
        <v>0</v>
      </c>
      <c r="H1220" s="291"/>
      <c r="J1220" s="259"/>
      <c r="O1220" s="292"/>
    </row>
    <row r="1221" spans="1:15" ht="15.75" x14ac:dyDescent="0.25">
      <c r="B1221" s="255">
        <f>+B1219+1</f>
        <v>118</v>
      </c>
      <c r="C1221" s="284" t="s">
        <v>364</v>
      </c>
      <c r="D1221" s="299">
        <f>SUMIF(C$7:C$1088,"SBG",D$7:D$1088)</f>
        <v>0</v>
      </c>
      <c r="E1221" s="300">
        <f>SUMIF(C$7:C$1088,"SBG",X$7:X$1088)</f>
        <v>0</v>
      </c>
      <c r="F1221" s="271">
        <f>SUMIFS(X$7:X$1088,C$7:C$1088,"SBG",AD$7:AD$1088,"OK")</f>
        <v>0</v>
      </c>
      <c r="G1221" s="290">
        <f>SUMIFS(D$7:D$1088,C$7:C$1088,"SBG",AD$7:AD$1088,"OK")</f>
        <v>0</v>
      </c>
      <c r="H1221" s="291"/>
      <c r="J1221" s="259"/>
      <c r="O1221" s="292"/>
    </row>
    <row r="1222" spans="1:15" ht="15.75" x14ac:dyDescent="0.25">
      <c r="B1222" s="255">
        <f t="shared" si="295"/>
        <v>119</v>
      </c>
      <c r="C1222" s="284" t="s">
        <v>214</v>
      </c>
      <c r="D1222" s="274">
        <f>SUMIF(C$7:C$1088,"scm",D$7:D$1088)</f>
        <v>0</v>
      </c>
      <c r="E1222" s="289">
        <f>SUMIF(C$7:C$1088,"scm",X$7:X$1088)</f>
        <v>0</v>
      </c>
      <c r="F1222" s="271">
        <f>SUMIFS(X$7:X$1088,C$7:C$1088,"SCM",AD$7:AD$1088,"OK")</f>
        <v>0</v>
      </c>
      <c r="G1222" s="290"/>
      <c r="H1222" s="291"/>
      <c r="J1222" s="259"/>
      <c r="O1222" s="292"/>
    </row>
    <row r="1223" spans="1:15" ht="15.75" x14ac:dyDescent="0.25">
      <c r="A1223" s="222" t="s">
        <v>273</v>
      </c>
      <c r="B1223" s="255">
        <f t="shared" si="295"/>
        <v>120</v>
      </c>
      <c r="C1223" s="285" t="s">
        <v>197</v>
      </c>
      <c r="D1223" s="274">
        <f>SUMIF(C$7:C$1088,"sea",D$7:D$1088)</f>
        <v>0</v>
      </c>
      <c r="E1223" s="289">
        <f>SUMIF(C$7:C$1088,"sea",X$7:X$1088)</f>
        <v>0</v>
      </c>
      <c r="F1223" s="271">
        <f>SUMIFS(X$7:X$1088,C$7:C$1088,"Sea",AD$7:AD$1088,"OK")</f>
        <v>0</v>
      </c>
      <c r="G1223" s="290"/>
      <c r="H1223" s="291"/>
      <c r="J1223" s="259"/>
      <c r="O1223" s="292"/>
    </row>
    <row r="1224" spans="1:15" ht="15.75" x14ac:dyDescent="0.25">
      <c r="B1224" s="255">
        <f t="shared" si="295"/>
        <v>121</v>
      </c>
      <c r="C1224" s="284" t="s">
        <v>358</v>
      </c>
      <c r="D1224" s="274">
        <f>SUMIF(C$7:C$1088,"seMar",D$7:D$1088)</f>
        <v>0</v>
      </c>
      <c r="E1224" s="289">
        <f>SUMIF(C$7:C$1088,"semar",X$7:X$1088)</f>
        <v>0</v>
      </c>
      <c r="F1224" s="271">
        <f>SUMIFS(X$7:X$1088,C$7:C$1088,"Semar",AD$7:AD$1088,"OK")</f>
        <v>0</v>
      </c>
      <c r="G1224" s="290"/>
      <c r="H1224" s="291"/>
      <c r="J1224" s="259"/>
      <c r="O1224" s="292"/>
    </row>
    <row r="1225" spans="1:15" ht="15.75" x14ac:dyDescent="0.25">
      <c r="B1225" s="255">
        <f t="shared" si="295"/>
        <v>122</v>
      </c>
      <c r="C1225" s="284" t="s">
        <v>361</v>
      </c>
      <c r="D1225" s="274">
        <f>SUMIF(C$7:C$1088,"sgb",D$7:D$1088)</f>
        <v>0</v>
      </c>
      <c r="E1225" s="289">
        <f>SUMIF(C$7:C$1088,"sgb",X$7:X$1088)</f>
        <v>0</v>
      </c>
      <c r="F1225" s="271">
        <f>SUMIFS(X$7:X$1088,C$7:C$1088,"SGB",AD$7:AD$1088,"OK")</f>
        <v>0</v>
      </c>
      <c r="G1225" s="290"/>
      <c r="H1225" s="291"/>
      <c r="J1225" s="259"/>
      <c r="O1225" s="292"/>
    </row>
    <row r="1226" spans="1:15" ht="15.75" x14ac:dyDescent="0.25">
      <c r="B1226" s="255">
        <f t="shared" si="295"/>
        <v>123</v>
      </c>
      <c r="C1226" s="284" t="s">
        <v>170</v>
      </c>
      <c r="D1226" s="274">
        <f>SUMIF(C7:C1088,"sgm",D7:D1088)</f>
        <v>2110</v>
      </c>
      <c r="E1226" s="289">
        <f>SUMIF(C7:C1088,"sgm",X7:X1088)</f>
        <v>147.69999999999999</v>
      </c>
      <c r="F1226" s="271">
        <f>SUMIFS(X$7:X$1088,C$7:C$1088,"SGM",AD$7:AD$1088,"OK")</f>
        <v>0</v>
      </c>
      <c r="G1226" s="290">
        <f>SUMIFS(D$7:D$1088,C$7:C$1088,"sgm",AD$7:AD$1088,"OK")</f>
        <v>0</v>
      </c>
      <c r="H1226" s="291"/>
      <c r="J1226" s="259"/>
    </row>
    <row r="1227" spans="1:15" ht="15.75" x14ac:dyDescent="0.25">
      <c r="B1227" s="255">
        <f t="shared" si="295"/>
        <v>124</v>
      </c>
      <c r="C1227" s="284" t="s">
        <v>208</v>
      </c>
      <c r="D1227" s="274">
        <f>SUMIF(C7:C1088,"siltech",D7:D1088)</f>
        <v>62381</v>
      </c>
      <c r="E1227" s="289">
        <f>SUMIF(C7:C1088,"siltech",X7:X1088)</f>
        <v>3649.27</v>
      </c>
      <c r="F1227" s="271">
        <f>SUMIFS(X$7:X$1088,C$7:C$1088,"Siltech",AD$7:AD$1088,"OK")</f>
        <v>91.77</v>
      </c>
      <c r="G1227" s="290">
        <f>SUMIFS(D$7:D$1088,C$7:C$1088,"siltech",AD$7:AD$1088,"OK")</f>
        <v>1311</v>
      </c>
      <c r="H1227" s="291"/>
      <c r="J1227" s="259"/>
    </row>
    <row r="1228" spans="1:15" ht="15.75" x14ac:dyDescent="0.25">
      <c r="B1228" s="255">
        <f t="shared" si="295"/>
        <v>125</v>
      </c>
      <c r="C1228" s="301" t="s">
        <v>109</v>
      </c>
      <c r="D1228" s="274">
        <f>SUMIF(C7:C1088,"Sirmet",D7:D1088)</f>
        <v>0</v>
      </c>
      <c r="E1228" s="289">
        <f>SUMIF(C7:C1088,"SIRMET",X7:X1088)</f>
        <v>0</v>
      </c>
      <c r="F1228" s="271">
        <f>SUMIFS(X$7:X$1088,C$7:C$1088,"Sirmet",AD$7:AD$1088,"OK")</f>
        <v>0</v>
      </c>
      <c r="G1228" s="290"/>
      <c r="H1228" s="291"/>
      <c r="J1228" s="259"/>
    </row>
    <row r="1229" spans="1:15" ht="15.75" x14ac:dyDescent="0.25">
      <c r="B1229" s="255">
        <f t="shared" si="295"/>
        <v>126</v>
      </c>
      <c r="C1229" s="284" t="s">
        <v>259</v>
      </c>
      <c r="D1229" s="274">
        <f>SUMIF(C7:C1088,"tamura",D7:D1088)</f>
        <v>400</v>
      </c>
      <c r="E1229" s="289">
        <f>SUMIF(C7:C1088,"tamura",X7:X1088)</f>
        <v>60</v>
      </c>
      <c r="F1229" s="271">
        <f>SUMIFS(X$7:X$1088,C$7:C$1088,"Tamura",AD$7:AD$1088,"OK")</f>
        <v>0</v>
      </c>
      <c r="G1229" s="290">
        <f>SUMIFS(D$7:D$1088,C$7:C$1088,"tamura",AD$7:AD$1088,"OK")</f>
        <v>0</v>
      </c>
      <c r="H1229" s="291"/>
      <c r="J1229" s="259"/>
    </row>
    <row r="1230" spans="1:15" ht="15.75" x14ac:dyDescent="0.25">
      <c r="A1230" s="222" t="s">
        <v>273</v>
      </c>
      <c r="B1230" s="255">
        <f t="shared" si="295"/>
        <v>127</v>
      </c>
      <c r="C1230" s="295" t="s">
        <v>107</v>
      </c>
      <c r="D1230" s="274">
        <f>SUMIF(C7:C1088,"Tecnomintra",D7:D1088)</f>
        <v>0</v>
      </c>
      <c r="E1230" s="289">
        <f>SUMIF(C7:C1088,"Tecnomintra",X7:X1088)</f>
        <v>0</v>
      </c>
      <c r="F1230" s="271">
        <f>SUMIFS(X$7:X$1088,C$7:C$1088,"Tecnomitra",AD$7:AD$1088,"OK")</f>
        <v>0</v>
      </c>
      <c r="G1230" s="290"/>
      <c r="H1230" s="291"/>
      <c r="J1230" s="259"/>
    </row>
    <row r="1231" spans="1:15" ht="15.75" x14ac:dyDescent="0.25">
      <c r="A1231" s="222" t="s">
        <v>273</v>
      </c>
      <c r="B1231" s="255">
        <f t="shared" si="295"/>
        <v>128</v>
      </c>
      <c r="C1231" s="285" t="s">
        <v>264</v>
      </c>
      <c r="D1231" s="274">
        <f>SUMIF(C7:C1088,"Telecomponenti",D7:D1088)</f>
        <v>0</v>
      </c>
      <c r="E1231" s="289">
        <f>SUMIF(C7:C1088,"telecomponenti",X7:X1088)</f>
        <v>0</v>
      </c>
      <c r="F1231" s="271">
        <f>SUMIFS(X$7:X$1088,C$7:C$1088,"Telecomponenti",AD$7:AD$1088,"OK")</f>
        <v>0</v>
      </c>
      <c r="G1231" s="290"/>
      <c r="H1231" s="291"/>
      <c r="J1231" s="259"/>
    </row>
    <row r="1232" spans="1:15" ht="15.75" x14ac:dyDescent="0.25">
      <c r="B1232" s="255">
        <f t="shared" si="295"/>
        <v>129</v>
      </c>
      <c r="C1232" s="284" t="s">
        <v>193</v>
      </c>
      <c r="D1232" s="274">
        <f>SUMIF(C7:C1088,"Tesar",D7:D1088)</f>
        <v>0</v>
      </c>
      <c r="E1232" s="289">
        <f>SUMIF(C7:C1088,"Tesar",X7:X1088)</f>
        <v>0</v>
      </c>
      <c r="F1232" s="271">
        <f>SUMIFS(X$7:X$1088,C$7:C$1088,"Tesar",AD$7:AD$1088,"OK")</f>
        <v>0</v>
      </c>
      <c r="G1232" s="290">
        <f>SUMIFS(D$7:D$1088,C$7:C$1088,"tesar",AD$7:AD$1088,"OK")</f>
        <v>0</v>
      </c>
      <c r="H1232" s="291"/>
      <c r="I1232" s="264"/>
      <c r="J1232" s="259"/>
    </row>
    <row r="1233" spans="1:10" ht="15.75" x14ac:dyDescent="0.25">
      <c r="B1233" s="255">
        <f t="shared" si="295"/>
        <v>130</v>
      </c>
      <c r="C1233" s="302" t="s">
        <v>400</v>
      </c>
      <c r="D1233" s="274">
        <f>SUMIF(C7:C1088,"Tesar pl",D7:D1088)</f>
        <v>500</v>
      </c>
      <c r="E1233" s="289">
        <f>SUMIF(C7:C1088,"Tesar pl",X7:X1088)</f>
        <v>75</v>
      </c>
      <c r="F1233" s="271">
        <f>SUMIFS(X$7:X$1088,C$7:C$1088,"Tesar pl",AD$7:AD$1088,"OK")</f>
        <v>0</v>
      </c>
      <c r="G1233" s="290">
        <f>SUMIFS(D$7:D$1088,C$7:C$1088,"tesar pl",AD$7:AD$1088,"OK")</f>
        <v>0</v>
      </c>
      <c r="H1233" s="291"/>
      <c r="I1233" s="264"/>
      <c r="J1233" s="259"/>
    </row>
    <row r="1234" spans="1:10" ht="15.75" x14ac:dyDescent="0.25">
      <c r="B1234" s="255">
        <f t="shared" si="295"/>
        <v>131</v>
      </c>
      <c r="C1234" s="302" t="s">
        <v>247</v>
      </c>
      <c r="D1234" s="274">
        <f>SUMIF(C7:C1088,"Tironi",D7:D1088)</f>
        <v>0</v>
      </c>
      <c r="E1234" s="289">
        <f>SUMIF(C7:C1088,"Tironi",X7:X1088)</f>
        <v>0</v>
      </c>
      <c r="F1234" s="271">
        <f>SUMIFS(X$7:X$1088,C$7:C$1088,"Tironi",AD$7:AD$1088,"OK")</f>
        <v>0</v>
      </c>
      <c r="G1234" s="290"/>
      <c r="H1234" s="291"/>
      <c r="J1234" s="259"/>
    </row>
    <row r="1235" spans="1:10" ht="15.75" x14ac:dyDescent="0.25">
      <c r="B1235" s="255">
        <f t="shared" si="295"/>
        <v>132</v>
      </c>
      <c r="C1235" s="302" t="s">
        <v>212</v>
      </c>
      <c r="D1235" s="274">
        <f>SUMIF(C7:C1088,"Tmc",D7:D1088)</f>
        <v>102753</v>
      </c>
      <c r="E1235" s="289">
        <f>SUMIF(C7:C1088,"Tmc",X7:X1088)</f>
        <v>6148.75</v>
      </c>
      <c r="F1235" s="271">
        <f>SUMIFS(X$7:X$1088,C$7:C$1088,"Tmc",AD$7:AD$1088,"OK")</f>
        <v>3878.7500000000005</v>
      </c>
      <c r="G1235" s="290">
        <f>SUMIFS(D$7:D$1088,C$7:C$1088,"tmc",AD$7:AD$1088,"OK")</f>
        <v>76753</v>
      </c>
      <c r="H1235" s="291"/>
      <c r="I1235" s="264"/>
      <c r="J1235" s="259"/>
    </row>
    <row r="1236" spans="1:10" ht="15.75" x14ac:dyDescent="0.25">
      <c r="B1236" s="255">
        <f t="shared" si="295"/>
        <v>133</v>
      </c>
      <c r="C1236" s="302" t="s">
        <v>439</v>
      </c>
      <c r="D1236" s="274">
        <f>SUMIF(C7:C1088,"Tranceria vicenza",D7:D1088)</f>
        <v>3884</v>
      </c>
      <c r="E1236" s="289">
        <f>SUMIF(C7:C1088,"Tranceria vicenza",X7:X1088)</f>
        <v>388.4</v>
      </c>
      <c r="F1236" s="271">
        <f>SUMIFS(X$7:X$1088,C$7:C$1088,"Tranceria vicenza",AD$7:AD$1088,"OK")</f>
        <v>55.4</v>
      </c>
      <c r="G1236" s="290">
        <f>SUMIFS(D$7:D$1088,C$7:C$1088,"tranceria vicenza",AD$7:AD$1088,"OK")</f>
        <v>554</v>
      </c>
      <c r="H1236" s="291"/>
      <c r="I1236" s="264"/>
      <c r="J1236" s="259"/>
    </row>
    <row r="1237" spans="1:10" ht="15.75" x14ac:dyDescent="0.25">
      <c r="B1237" s="255">
        <f t="shared" si="295"/>
        <v>134</v>
      </c>
      <c r="C1237" s="302" t="s">
        <v>376</v>
      </c>
      <c r="D1237" s="299">
        <f>SUMIF(C7:C1088,"trafa",D7:D1088)</f>
        <v>0</v>
      </c>
      <c r="E1237" s="300">
        <f>SUMIF(C7:C1089,"Trafa",X7:X1089)</f>
        <v>0</v>
      </c>
      <c r="F1237" s="271">
        <f>SUMIFS(X$7:X$1088,C$7:C$1088,"Trafa",AD$7:AD$1088,"OK")</f>
        <v>0</v>
      </c>
      <c r="G1237" s="290">
        <f>SUMIFS(D$7:D$1088,C$7:C$1088,"trafa",AD$7:AD$1088,"OK")</f>
        <v>0</v>
      </c>
      <c r="H1237" s="291"/>
      <c r="I1237" s="264"/>
      <c r="J1237" s="259"/>
    </row>
    <row r="1238" spans="1:10" ht="15.75" x14ac:dyDescent="0.25">
      <c r="B1238" s="255">
        <f t="shared" si="295"/>
        <v>135</v>
      </c>
      <c r="C1238" s="302" t="s">
        <v>420</v>
      </c>
      <c r="D1238" s="274">
        <f>SUMIF(C$7:C$1088,"trafocoop",D$7:D$1088)</f>
        <v>0</v>
      </c>
      <c r="E1238" s="289">
        <f>SUMIF(C$7:C$1088,"trafocoop",X$7:X$1088)</f>
        <v>0</v>
      </c>
      <c r="F1238" s="271">
        <f>SUMIFS(X$7:X$1088,C$7:C$1088,"trafocoop",AD$7:AD$1088,"OK")</f>
        <v>0</v>
      </c>
      <c r="G1238" s="290">
        <f>SUMIFS(D$7:D$1088,C$7:C$1088,"trafocoop",AD$7:AD$1088,"OK")</f>
        <v>0</v>
      </c>
      <c r="H1238" s="291"/>
      <c r="I1238" s="264"/>
      <c r="J1238" s="259"/>
    </row>
    <row r="1239" spans="1:10" ht="15.75" x14ac:dyDescent="0.25">
      <c r="A1239" s="222" t="s">
        <v>391</v>
      </c>
      <c r="B1239" s="255">
        <f t="shared" si="295"/>
        <v>136</v>
      </c>
      <c r="C1239" s="303" t="s">
        <v>90</v>
      </c>
      <c r="D1239" s="299">
        <f>SUMIF(C7:C1088,"Trafomec",D7:D1088)</f>
        <v>0</v>
      </c>
      <c r="E1239" s="300">
        <f>SUMIF(C7:C1088,"Trafomec",X7:X1088)</f>
        <v>0</v>
      </c>
      <c r="F1239" s="271">
        <f>SUMIFS(X$7:X$1088,C$7:C$1088,"Trafomec",AD$7:AD$1088,"OK")</f>
        <v>0</v>
      </c>
      <c r="G1239" s="290"/>
      <c r="H1239" s="291"/>
      <c r="I1239" s="264"/>
      <c r="J1239" s="259"/>
    </row>
    <row r="1240" spans="1:10" ht="15.75" x14ac:dyDescent="0.25">
      <c r="A1240" s="222" t="s">
        <v>391</v>
      </c>
      <c r="B1240" s="255">
        <f t="shared" si="295"/>
        <v>137</v>
      </c>
      <c r="C1240" s="303" t="s">
        <v>192</v>
      </c>
      <c r="D1240" s="299">
        <f>SUMIF(C7:C1088,"Trafomec SRL",D7:D1088)</f>
        <v>0</v>
      </c>
      <c r="E1240" s="304">
        <f>SUMIF(C7:C1088,"Trafomec SRL",X7:X1088)</f>
        <v>0</v>
      </c>
      <c r="F1240" s="271">
        <f>SUMIFS(X$7:X$1088,C$7:C$1088,"Trafomec Srl",AD$7:AD$1088,"OK")</f>
        <v>0</v>
      </c>
      <c r="G1240" s="290"/>
      <c r="H1240" s="291"/>
      <c r="J1240" s="259"/>
    </row>
    <row r="1241" spans="1:10" ht="15.75" x14ac:dyDescent="0.25">
      <c r="B1241" s="255">
        <f t="shared" si="295"/>
        <v>138</v>
      </c>
      <c r="C1241" s="302" t="s">
        <v>238</v>
      </c>
      <c r="D1241" s="299">
        <f>SUMIF(C7:C1088,"trasfoproject",D7:D1088)</f>
        <v>0</v>
      </c>
      <c r="E1241" s="304">
        <f>SUMIF(C7:C1088,"trasfoproject",X7:X1088)</f>
        <v>0</v>
      </c>
      <c r="F1241" s="271">
        <f>SUMIFS(X$7:X$1088,C$7:C$1088,"Trasfoproject",AD$7:AD$1088,"OK")</f>
        <v>0</v>
      </c>
      <c r="G1241" s="290">
        <f>SUMIFS(D$7:D$1088,C$7:C$1088,"trasfoproject",AD$7:AD$1088,"OK")</f>
        <v>0</v>
      </c>
      <c r="H1241" s="291"/>
      <c r="I1241" s="264"/>
      <c r="J1241" s="259"/>
    </row>
    <row r="1242" spans="1:10" ht="15.75" x14ac:dyDescent="0.25">
      <c r="B1242" s="255">
        <f t="shared" si="295"/>
        <v>139</v>
      </c>
      <c r="C1242" s="302" t="s">
        <v>169</v>
      </c>
      <c r="D1242" s="299">
        <f>SUMIF(C7:C1088,"trasfor",D7:D1088)</f>
        <v>0</v>
      </c>
      <c r="E1242" s="300">
        <f>SUMIF(C7:C1088,"trasfor",X7:X1088)</f>
        <v>0</v>
      </c>
      <c r="F1242" s="271">
        <f>SUMIFS(X$7:X$1088,C$7:C$1088,"Trasfor",AD$7:AD$1088,"OK")</f>
        <v>0</v>
      </c>
      <c r="G1242" s="290">
        <f>SUMIFS(D$7:D$1088,C$7:C$1088,"trasfor",AD$7:AD$1088,"OK")</f>
        <v>0</v>
      </c>
      <c r="H1242" s="291"/>
      <c r="J1242" s="259"/>
    </row>
    <row r="1243" spans="1:10" ht="15.75" x14ac:dyDescent="0.25">
      <c r="B1243" s="255">
        <f t="shared" si="295"/>
        <v>140</v>
      </c>
      <c r="C1243" s="302" t="s">
        <v>218</v>
      </c>
      <c r="D1243" s="299">
        <f>SUMIF(C7:C1088,"trasfotec",D7:D1088)</f>
        <v>0</v>
      </c>
      <c r="E1243" s="300">
        <f>SUMIF(C7:C1088,"trasfotec",X7:X1088)</f>
        <v>0</v>
      </c>
      <c r="F1243" s="271">
        <f>SUMIFS(X$7:X$1088,C$7:C$1088,"Trasfotec",AD$7:AD$1088,"OK")</f>
        <v>0</v>
      </c>
      <c r="G1243" s="290"/>
      <c r="H1243" s="291"/>
      <c r="J1243" s="259"/>
    </row>
    <row r="1244" spans="1:10" ht="15.75" x14ac:dyDescent="0.25">
      <c r="A1244" s="222" t="s">
        <v>273</v>
      </c>
      <c r="B1244" s="255">
        <f t="shared" ref="B1244:B1253" si="296">+B1243+1</f>
        <v>141</v>
      </c>
      <c r="C1244" s="305" t="s">
        <v>300</v>
      </c>
      <c r="D1244" s="299">
        <f>SUMIF(C7:C1088,"utk",D7:D1088)</f>
        <v>0</v>
      </c>
      <c r="E1244" s="300">
        <f>SUMIF(C7:C1088,"utk",X7:X1088)</f>
        <v>0</v>
      </c>
      <c r="F1244" s="271">
        <f>SUMIFS(X$7:X$1088,C$7:C$1088,"utk",AD$7:AD$1088,"OK")</f>
        <v>0</v>
      </c>
      <c r="G1244" s="290">
        <f>SUMIFS(D$7:D$1088,C$7:C$1088,"utk",AD$7:AD$1088,"OK")</f>
        <v>0</v>
      </c>
      <c r="H1244" s="291"/>
      <c r="I1244" s="264"/>
      <c r="J1244" s="259"/>
    </row>
    <row r="1245" spans="1:10" ht="15.75" x14ac:dyDescent="0.25">
      <c r="B1245" s="255">
        <f t="shared" si="296"/>
        <v>142</v>
      </c>
      <c r="C1245" s="302" t="s">
        <v>401</v>
      </c>
      <c r="D1245" s="299">
        <f>SUMIF(C$7:C$1088,"vallee",D$7:D$1088)</f>
        <v>800</v>
      </c>
      <c r="E1245" s="300">
        <f>SUMIF(C$7:C$1088,"vallee",X$7:X$1088)</f>
        <v>120</v>
      </c>
      <c r="F1245" s="271">
        <f>SUMIFS(X$7:X$1088,C$7:C$1088,"Vallee",AD$7:AD$1088,"OK")</f>
        <v>0</v>
      </c>
      <c r="G1245" s="290">
        <f>SUMIFS(D$7:D$1088,C$7:C$1088,"vallee",AD$7:AD$1088,"OK")</f>
        <v>0</v>
      </c>
      <c r="H1245" s="291"/>
      <c r="J1245" s="259"/>
    </row>
    <row r="1246" spans="1:10" ht="15.75" x14ac:dyDescent="0.25">
      <c r="A1246" s="222" t="s">
        <v>273</v>
      </c>
      <c r="B1246" s="255">
        <f t="shared" si="296"/>
        <v>143</v>
      </c>
      <c r="C1246" s="305" t="s">
        <v>337</v>
      </c>
      <c r="D1246" s="299">
        <f>SUMIF(C$7:C$1088,"varat",D$7:D$1088)</f>
        <v>0</v>
      </c>
      <c r="E1246" s="300">
        <f>SUMIF(C$7:C$1088,"varat",X$7:X$1088)</f>
        <v>0</v>
      </c>
      <c r="F1246" s="271">
        <f>SUMIFS(X$7:X$1088,C$7:C$1088,"Varat",AD$7:AD$1088,"OK")</f>
        <v>0</v>
      </c>
      <c r="G1246" s="290">
        <f>SUMIFS(D$7:D$1088,C$7:C$1088,"varat",AD$7:AD$1088,"OK")</f>
        <v>0</v>
      </c>
      <c r="H1246" s="291"/>
      <c r="J1246" s="259"/>
    </row>
    <row r="1247" spans="1:10" ht="15.75" x14ac:dyDescent="0.25">
      <c r="B1247" s="255">
        <f t="shared" si="296"/>
        <v>144</v>
      </c>
      <c r="C1247" s="302" t="s">
        <v>327</v>
      </c>
      <c r="D1247" s="299">
        <f>SUMIF(C$7:C$1088,"vazzoler",D$7:D$1088)</f>
        <v>0</v>
      </c>
      <c r="E1247" s="300">
        <f>SUMIF(C$7:C$1088,"vazzoler",X$7:X$1088)</f>
        <v>0</v>
      </c>
      <c r="F1247" s="271">
        <f>SUMIFS(X$7:X$1088,C$7:C$1088,"Vazzoler",AD$7:AD$1088,"OK")</f>
        <v>0</v>
      </c>
      <c r="G1247" s="290">
        <f>SUMIFS(D$7:D$1088,C$7:C$1088,"vazzoler",AD$7:AD$1088,"OK")</f>
        <v>0</v>
      </c>
      <c r="H1247" s="291"/>
      <c r="J1247" s="259"/>
    </row>
    <row r="1248" spans="1:10" ht="15.75" x14ac:dyDescent="0.25">
      <c r="A1248" s="222" t="s">
        <v>273</v>
      </c>
      <c r="B1248" s="255">
        <f t="shared" si="296"/>
        <v>145</v>
      </c>
      <c r="C1248" s="305" t="s">
        <v>366</v>
      </c>
      <c r="D1248" s="299">
        <f>SUMIF(C$7:C$1088,"WEG",D$7:D$1088)</f>
        <v>0</v>
      </c>
      <c r="E1248" s="300">
        <f>SUMIF(C$7:C$1088,"WEG",X$7:X$1088)</f>
        <v>0</v>
      </c>
      <c r="F1248" s="271">
        <f>SUMIFS(X$7:X$1088,C$7:C$1088,"WEG",AD$7:AD$1088,"OK")</f>
        <v>0</v>
      </c>
      <c r="G1248" s="290">
        <f>SUMIFS(D$7:D$1088,C$7:C$1088,"WEG",AD$7:AD$1088,"OK")</f>
        <v>0</v>
      </c>
      <c r="H1248" s="291"/>
      <c r="J1248" s="259"/>
    </row>
    <row r="1249" spans="1:24" ht="15.75" x14ac:dyDescent="0.25">
      <c r="B1249" s="255">
        <f t="shared" si="296"/>
        <v>146</v>
      </c>
      <c r="C1249" s="306" t="s">
        <v>117</v>
      </c>
      <c r="D1249" s="299">
        <f>SUMIF(C7:C1088,"Wetter",D7:D1088)</f>
        <v>0</v>
      </c>
      <c r="E1249" s="300">
        <f>SUMIF(C7:C1088,"Wetter",X7:X1088)</f>
        <v>0</v>
      </c>
      <c r="F1249" s="271">
        <f>SUMIFS(X$7:X$1088,C$7:C$1088,"Wetter",AD$7:AD$1088,"OK")</f>
        <v>0</v>
      </c>
      <c r="G1249" s="290"/>
      <c r="H1249" s="291"/>
      <c r="I1249" s="264"/>
      <c r="J1249" s="259"/>
    </row>
    <row r="1250" spans="1:24" ht="15.75" x14ac:dyDescent="0.25">
      <c r="B1250" s="255">
        <f t="shared" si="296"/>
        <v>147</v>
      </c>
      <c r="C1250" s="302" t="s">
        <v>248</v>
      </c>
      <c r="D1250" s="299">
        <f>SUMIF(C7:C1088,"Zanetti",D7:D1088)</f>
        <v>0</v>
      </c>
      <c r="E1250" s="300">
        <f>SUMIF(C7:C1088,"Zanetti",X7:X1088)</f>
        <v>0</v>
      </c>
      <c r="F1250" s="271">
        <f>SUMIFS(X$7:X$1088,C$7:C$1088,"Zanetti",AD$7:AD$1088,"OK")</f>
        <v>0</v>
      </c>
      <c r="G1250" s="290">
        <f>SUMIFS(D$7:D$1088,C$7:C$1088,"zANETTI",AD$7:AD$1088,"OK")</f>
        <v>0</v>
      </c>
      <c r="H1250" s="291"/>
      <c r="J1250" s="259"/>
    </row>
    <row r="1251" spans="1:24" ht="15.75" x14ac:dyDescent="0.25">
      <c r="A1251" s="222" t="s">
        <v>391</v>
      </c>
      <c r="B1251" s="255">
        <f t="shared" si="296"/>
        <v>148</v>
      </c>
      <c r="C1251" s="303" t="s">
        <v>299</v>
      </c>
      <c r="D1251" s="307">
        <f>SUMIF(C7:C1088,"Zennaro",D7:D1088)</f>
        <v>0</v>
      </c>
      <c r="E1251" s="300">
        <f>SUMIF(C7:C1088,"Zennaro",X7:X1088)</f>
        <v>0</v>
      </c>
      <c r="F1251" s="271">
        <f>SUMIFS(X$7:X$1088,C$7:C$1088,"Zennaro",AD$7:AD$1088,"OK")</f>
        <v>0</v>
      </c>
      <c r="G1251" s="290">
        <f>SUMIFS(D$7:D$1088,C$7:C$1088,"zennaro",AD$7:AD$1088,"OK")</f>
        <v>0</v>
      </c>
      <c r="H1251" s="291"/>
      <c r="J1251" s="259"/>
    </row>
    <row r="1252" spans="1:24" ht="15.75" x14ac:dyDescent="0.25">
      <c r="B1252" s="255">
        <f t="shared" si="296"/>
        <v>149</v>
      </c>
      <c r="C1252" s="308" t="s">
        <v>99</v>
      </c>
      <c r="D1252" s="299">
        <f>SUMIF(C7:C1088,"zucchiatti",D7:D1088)</f>
        <v>0</v>
      </c>
      <c r="E1252" s="300">
        <f>SUMIF(C7:C1088,"zucchiatti",X7:X1088)</f>
        <v>0</v>
      </c>
      <c r="F1252" s="271">
        <f>SUMIFS(X$7:X$1088,C$7:C$1088,"Zucchiatti",AD$7:AD$1088,"OK")</f>
        <v>0</v>
      </c>
      <c r="G1252" s="290">
        <f>SUMIFS(D$7:D$1088,C$7:C$1088,"zucchiatti",AD$7:AD$1088,"OK")</f>
        <v>0</v>
      </c>
      <c r="H1252" s="291"/>
      <c r="J1252" s="259"/>
    </row>
    <row r="1253" spans="1:24" ht="15.75" x14ac:dyDescent="0.25">
      <c r="B1253" s="255">
        <f t="shared" si="296"/>
        <v>150</v>
      </c>
      <c r="C1253" s="302" t="s">
        <v>312</v>
      </c>
      <c r="D1253" s="299">
        <f>SUMIF(C7:C1088,"zurc",D7:D1088)</f>
        <v>0</v>
      </c>
      <c r="E1253" s="300">
        <f>SUMIF(C7:C1088,"zurc",X7:X1088)</f>
        <v>0</v>
      </c>
      <c r="F1253" s="271">
        <f>SUMIFS(X$7:X$1088,C$7:C$1088,"Zurc",AD$7:AD$1088,"OK")</f>
        <v>0</v>
      </c>
      <c r="G1253" s="290">
        <f>SUMIFS(D$7:D$1088,C$7:C$1088,"zurc",AD$7:AD$1088,"OK")</f>
        <v>0</v>
      </c>
      <c r="H1253" s="291"/>
      <c r="J1253" s="259"/>
    </row>
    <row r="1254" spans="1:24" ht="15.75" thickBot="1" x14ac:dyDescent="0.3">
      <c r="C1254" s="309"/>
      <c r="D1254" s="299"/>
      <c r="E1254" s="310"/>
      <c r="F1254" s="311"/>
      <c r="G1254" s="312"/>
      <c r="H1254" s="264"/>
    </row>
    <row r="1255" spans="1:24" ht="15.75" thickBot="1" x14ac:dyDescent="0.3">
      <c r="C1255" s="313" t="s">
        <v>196</v>
      </c>
      <c r="D1255" s="314">
        <f>SUM(D1095:D1254)</f>
        <v>706969</v>
      </c>
      <c r="E1255" s="315">
        <f>SUM(E1094:E1254)</f>
        <v>47175.44999999999</v>
      </c>
      <c r="F1255" s="316">
        <f>SUM(F1094:F1254)</f>
        <v>7081.45</v>
      </c>
      <c r="G1255" s="317">
        <f>SUM(G1094:G1254)</f>
        <v>142697</v>
      </c>
      <c r="H1255" s="228"/>
      <c r="J1255" s="264"/>
    </row>
    <row r="1256" spans="1:24" x14ac:dyDescent="0.25">
      <c r="D1256" s="264">
        <f>+D1255-D1089</f>
        <v>0</v>
      </c>
      <c r="E1256" s="228"/>
      <c r="F1256" s="264"/>
      <c r="G1256" s="264"/>
      <c r="V1256" s="318"/>
    </row>
    <row r="1257" spans="1:24" ht="15.75" thickBot="1" x14ac:dyDescent="0.3">
      <c r="D1257" s="264"/>
      <c r="E1257" s="264"/>
      <c r="F1257" s="264"/>
      <c r="G1257" s="264"/>
    </row>
    <row r="1258" spans="1:24" x14ac:dyDescent="0.25">
      <c r="C1258" s="319" t="s">
        <v>266</v>
      </c>
      <c r="D1258" s="320">
        <f>COUNTA(C1094:C1254)</f>
        <v>159</v>
      </c>
    </row>
    <row r="1259" spans="1:24" x14ac:dyDescent="0.25">
      <c r="C1259" s="321" t="s">
        <v>267</v>
      </c>
      <c r="D1259" s="322">
        <f>COUNTIF(D1094:D1254,"&gt;0")</f>
        <v>33</v>
      </c>
      <c r="F1259" s="228"/>
    </row>
    <row r="1260" spans="1:24" x14ac:dyDescent="0.25">
      <c r="C1260" s="321" t="s">
        <v>272</v>
      </c>
      <c r="D1260" s="322">
        <f>COUNTIF(A1094:A1254,"p")</f>
        <v>35</v>
      </c>
      <c r="G1260" s="264"/>
    </row>
    <row r="1261" spans="1:24" ht="15.75" thickBot="1" x14ac:dyDescent="0.3">
      <c r="C1261" s="323" t="s">
        <v>274</v>
      </c>
      <c r="D1261" s="324">
        <f>+D1258-D1260</f>
        <v>124</v>
      </c>
    </row>
    <row r="1262" spans="1:24" x14ac:dyDescent="0.25">
      <c r="D1262" s="264"/>
    </row>
    <row r="1263" spans="1:24" ht="15.75" thickBot="1" x14ac:dyDescent="0.3">
      <c r="D1263" s="264"/>
    </row>
    <row r="1264" spans="1:24" ht="15.75" thickBot="1" x14ac:dyDescent="0.3">
      <c r="D1264" s="365" t="s">
        <v>4</v>
      </c>
      <c r="E1264" s="366"/>
      <c r="F1264" s="367"/>
      <c r="G1264" s="365" t="s">
        <v>6</v>
      </c>
      <c r="H1264" s="366"/>
      <c r="I1264" s="367"/>
      <c r="J1264" s="365" t="s">
        <v>5</v>
      </c>
      <c r="K1264" s="366"/>
      <c r="L1264" s="366"/>
      <c r="M1264" s="366"/>
      <c r="N1264" s="366"/>
      <c r="O1264" s="366"/>
      <c r="P1264" s="366"/>
      <c r="Q1264" s="366"/>
      <c r="R1264" s="366"/>
      <c r="S1264" s="366"/>
      <c r="T1264" s="366"/>
      <c r="U1264" s="366"/>
      <c r="V1264" s="365" t="s">
        <v>173</v>
      </c>
      <c r="W1264" s="366"/>
      <c r="X1264" s="367"/>
    </row>
    <row r="1265" spans="3:24" ht="15.75" thickBot="1" x14ac:dyDescent="0.3">
      <c r="C1265" s="325" t="s">
        <v>201</v>
      </c>
      <c r="D1265" s="326" t="str">
        <f>IF(D1278+G1278+J1278+V1278=D1089,"Kg","Errore")</f>
        <v>Errore</v>
      </c>
      <c r="E1265" s="326" t="str">
        <f>IF(E1278+H1278+T1278+W1278=X1089,"Commissioni","Errore")</f>
        <v>Errore</v>
      </c>
      <c r="F1265" s="327" t="s">
        <v>203</v>
      </c>
      <c r="G1265" s="326" t="s">
        <v>202</v>
      </c>
      <c r="H1265" s="326" t="s">
        <v>200</v>
      </c>
      <c r="I1265" s="327" t="s">
        <v>203</v>
      </c>
      <c r="J1265" s="326" t="s">
        <v>202</v>
      </c>
      <c r="T1265" s="326" t="s">
        <v>200</v>
      </c>
      <c r="U1265" s="327" t="s">
        <v>203</v>
      </c>
      <c r="V1265" s="328" t="s">
        <v>202</v>
      </c>
      <c r="W1265" s="326" t="s">
        <v>200</v>
      </c>
      <c r="X1265" s="327" t="s">
        <v>203</v>
      </c>
    </row>
    <row r="1266" spans="3:24" x14ac:dyDescent="0.25">
      <c r="C1266" s="329"/>
      <c r="D1266" s="330">
        <f>SUMIFS($D$7:$D$1088,$E$7:$E$1088,"alluminio",$J$7:$J$1088,"")</f>
        <v>0</v>
      </c>
      <c r="E1266" s="331">
        <f>SUMIFS($X$7:$X$1088,$E$7:$E$1088,"alluminio",$J$7:$J$1088,"")</f>
        <v>0</v>
      </c>
      <c r="F1266" s="332">
        <f>+D1266*C1266</f>
        <v>0</v>
      </c>
      <c r="G1266" s="330">
        <f>SUMIFS($D$7:$D$1088,$E$7:$E$1088,"rame",$J$7:$J$1088,"")</f>
        <v>0</v>
      </c>
      <c r="H1266" s="331">
        <f>SUMIFS($X$7:$X$1088,$E$7:$E$1088,"RAME",$J$7:$J$1088,"")</f>
        <v>0</v>
      </c>
      <c r="I1266" s="332">
        <f>+G1266*C1266</f>
        <v>0</v>
      </c>
      <c r="J1266" s="333">
        <f>SUMIFS($D$7:$D$1088,$E$7:$E$1088,"ottone",$J$7:$J$1088,"")</f>
        <v>0</v>
      </c>
      <c r="T1266" s="331">
        <f>SUMIFS($X$7:$X$1088,$E$7:$E$1088,"ottone",$J$7:$J$1088,"")</f>
        <v>0</v>
      </c>
      <c r="U1266" s="332">
        <f t="shared" ref="U1266:U1277" si="297">+J1266*C1266</f>
        <v>0</v>
      </c>
      <c r="V1266" s="333">
        <f>SUMIFS($D$7:$D$1088,$E$7:$E$1088,"Bronzo",$J$7:$J$1088,"")</f>
        <v>0</v>
      </c>
      <c r="W1266" s="331">
        <f>SUMIFS($X$7:$X$1088,$E$7:$E$1088,"bronzo",$J$7:$J$1088,"")</f>
        <v>0</v>
      </c>
      <c r="X1266" s="332">
        <f t="shared" ref="X1266:X1277" si="298">+V1266*C1266</f>
        <v>0</v>
      </c>
    </row>
    <row r="1267" spans="3:24" x14ac:dyDescent="0.25">
      <c r="C1267" s="334">
        <v>0.04</v>
      </c>
      <c r="D1267" s="335">
        <f>SUMIFS($D$7:$D$1088,$E$7:$E$1088,"alluminio",$J$7:$J$1088,0.04)</f>
        <v>0</v>
      </c>
      <c r="E1267" s="336">
        <f>SUMIFS($X$7:$X$1088,$E$7:$E$1088,"alluminio",$J$7:$J$1088,0.04)</f>
        <v>0</v>
      </c>
      <c r="F1267" s="337">
        <f>+D1267*C1267</f>
        <v>0</v>
      </c>
      <c r="G1267" s="335">
        <f>SUMIFS($D$7:$D$1088,$E$7:$E$1088,"rame",$J$7:$J$1088,0.04)</f>
        <v>0</v>
      </c>
      <c r="H1267" s="336">
        <f>SUMIFS($X$7:$X$1088,$E$7:$E$1088,"RAME",$J$7:$J$1088,0.04)</f>
        <v>0</v>
      </c>
      <c r="I1267" s="337">
        <f t="shared" ref="I1267:I1277" si="299">+G1267*C1267</f>
        <v>0</v>
      </c>
      <c r="J1267" s="338">
        <f>SUMIFS($D$7:$D$1088,$E$7:$E$1088,"ottone",$J$7:$J$1088,0.04)</f>
        <v>0</v>
      </c>
      <c r="K1267" s="248"/>
      <c r="L1267" s="248"/>
      <c r="M1267" s="248"/>
      <c r="N1267" s="248"/>
      <c r="O1267" s="248"/>
      <c r="P1267" s="248"/>
      <c r="Q1267" s="248"/>
      <c r="R1267" s="248"/>
      <c r="S1267" s="248"/>
      <c r="T1267" s="336">
        <f>SUMIFS($X$7:$X$1088,$E$7:$E$1088,"ottone",$J$7:$J$1088,0.04)</f>
        <v>0</v>
      </c>
      <c r="U1267" s="337">
        <f t="shared" si="297"/>
        <v>0</v>
      </c>
      <c r="V1267" s="339">
        <f>SUMIFS($D$7:$D$1088,$E$7:$E$1088,"Bronzo",$J$7:$J$1088,0.04)</f>
        <v>0</v>
      </c>
      <c r="W1267" s="336">
        <f>SUMIFS($X$7:$X$1088,$E$7:$E$1088,"bronzo",$J$7:$J$1088,0.04)</f>
        <v>0</v>
      </c>
      <c r="X1267" s="337">
        <f t="shared" si="298"/>
        <v>0</v>
      </c>
    </row>
    <row r="1268" spans="3:24" x14ac:dyDescent="0.25">
      <c r="C1268" s="334">
        <v>0.05</v>
      </c>
      <c r="D1268" s="335">
        <f>SUMIFS($D$7:$D$1088,$E$7:$E$1088,"alluminio",$J$7:$J$1088,0.05)</f>
        <v>141360</v>
      </c>
      <c r="E1268" s="336">
        <f>SUMIFS($X$7:$X$1088,$E$7:$E$1088,"alluminio",$J$7:$J$1088,0.05)</f>
        <v>7068.0000000000009</v>
      </c>
      <c r="F1268" s="337">
        <f>+D1268*C1268</f>
        <v>7068</v>
      </c>
      <c r="G1268" s="335">
        <f>SUMIFS($D$7:$D$1088,$E$7:$E$1088,"rame",$J$7:$J$1088,0.05)</f>
        <v>520</v>
      </c>
      <c r="H1268" s="336">
        <f>SUMIFS($X$7:$X$1088,$E$7:$E$1088,"RAME",$J$7:$J$1088,0.05)</f>
        <v>26</v>
      </c>
      <c r="I1268" s="337">
        <f t="shared" si="299"/>
        <v>26</v>
      </c>
      <c r="J1268" s="335">
        <f>SUMIFS($D$7:$D$1088,$E$7:$E$1088,"ottone",$J$7:$J$1088,0.05)</f>
        <v>0</v>
      </c>
      <c r="T1268" s="336">
        <f>SUMIFS($X$7:$X$1088,$E$7:$E$1088,"ottone",$J$7:$J$1088,0.05)</f>
        <v>0</v>
      </c>
      <c r="U1268" s="337">
        <f t="shared" si="297"/>
        <v>0</v>
      </c>
      <c r="V1268" s="339">
        <f>SUMIFS($D$7:$D$1088,$E$7:$E$1088,"bronzo",$J$7:$J$1088,0.05)</f>
        <v>0</v>
      </c>
      <c r="W1268" s="336">
        <f>SUMIFS($X$7:$X$1088,$E$7:$E$1088,"bronzo",$J$7:$J$1088,0.05)</f>
        <v>0</v>
      </c>
      <c r="X1268" s="337">
        <f t="shared" si="298"/>
        <v>0</v>
      </c>
    </row>
    <row r="1269" spans="3:24" x14ac:dyDescent="0.25">
      <c r="C1269" s="334">
        <v>0.06</v>
      </c>
      <c r="D1269" s="335">
        <f>SUMIFS($D$7:$D$1088,$E$7:$E$1088,"alluminio",$J$7:$J$1088,0.06)</f>
        <v>0</v>
      </c>
      <c r="E1269" s="336">
        <f>SUMIFS($X$7:$X$1088,$E$7:$E$1088,"alluminio",$J$7:$J$1088,0.06)</f>
        <v>0</v>
      </c>
      <c r="F1269" s="337">
        <f>+D1269*C1269</f>
        <v>0</v>
      </c>
      <c r="G1269" s="335">
        <f>SUMIFS($D$7:$D$1088,$E$7:$E$1088,"rame",$J$7:$J$1088,0.06)</f>
        <v>0</v>
      </c>
      <c r="H1269" s="336">
        <f>SUMIFS($X$7:$X$1088,$E$7:$E$1088,"RAME",$J$7:$J$1088,0.06)</f>
        <v>0</v>
      </c>
      <c r="I1269" s="337">
        <f>+G1269*C1269</f>
        <v>0</v>
      </c>
      <c r="J1269" s="335">
        <f>SUMIFS($D$7:$D$1088,$E$7:$E$1088,"ottone",$J$7:$J$1088,0.06)</f>
        <v>0</v>
      </c>
      <c r="T1269" s="336">
        <f>SUMIFS($X$7:$X$1088,$E$7:$E$1088,"ottone",$J$7:$J$1088,0.06)</f>
        <v>0</v>
      </c>
      <c r="U1269" s="337">
        <f t="shared" si="297"/>
        <v>0</v>
      </c>
      <c r="V1269" s="339">
        <f>SUMIFS($D$7:$D$1088,$E$7:$E$1088,"bronzo",$J$7:$J$1088,0.06)</f>
        <v>0</v>
      </c>
      <c r="W1269" s="336">
        <f>SUMIFS($X$7:$X$1088,$E$7:$E$1088,"bronzo",$J$7:$J$1088,0.06)</f>
        <v>0</v>
      </c>
      <c r="X1269" s="337">
        <f t="shared" si="298"/>
        <v>0</v>
      </c>
    </row>
    <row r="1270" spans="3:24" x14ac:dyDescent="0.25">
      <c r="C1270" s="334">
        <v>7.0000000000000007E-2</v>
      </c>
      <c r="D1270" s="335">
        <f>SUMIFS($D$7:$D$1088,$E$7:$E$1088,"alluminio",$J$7:$J$1088,0.07)</f>
        <v>512190</v>
      </c>
      <c r="E1270" s="336">
        <f>SUMIFS($X$7:$X$1088,$E$7:$E$1088,"alluminio",$J$7:$J$1088,0.07)</f>
        <v>33753.300000000003</v>
      </c>
      <c r="F1270" s="337">
        <f t="shared" ref="F1270:F1277" si="300">+D1270*C1270</f>
        <v>35853.300000000003</v>
      </c>
      <c r="G1270" s="335">
        <f>SUMIFS($D$7:$D$1088,$E$7:$E$1088,"rame",$J$7:$J$1088,0.07)</f>
        <v>0</v>
      </c>
      <c r="H1270" s="336">
        <f>SUMIFS($X$7:$X$1088,$E$7:$E$1088,"RAME",$J$7:$J$1088,0.07)</f>
        <v>0</v>
      </c>
      <c r="I1270" s="337">
        <f t="shared" si="299"/>
        <v>0</v>
      </c>
      <c r="J1270" s="335">
        <f>SUMIFS($D$7:$D$1088,$E$7:$E$1088,"ottone",$J$7:$J$1088,0.07)</f>
        <v>0</v>
      </c>
      <c r="T1270" s="340">
        <f>SUMIFS($X$7:$X$1088,$E$7:$E$1088,"ottone",$J$7:$J$1088,0.07)</f>
        <v>0</v>
      </c>
      <c r="U1270" s="341">
        <f t="shared" si="297"/>
        <v>0</v>
      </c>
      <c r="V1270" s="339">
        <f>SUMIFS($D$7:$D$1088,$E$7:$E$1088,"bronzo",$J$7:$J$1088,0.07)</f>
        <v>0</v>
      </c>
      <c r="W1270" s="336">
        <f>SUMIFS($X$7:$X$1088,$E$7:$E$1088,"bronzo",$J$7:$J$1088,0.07)</f>
        <v>0</v>
      </c>
      <c r="X1270" s="337">
        <f t="shared" si="298"/>
        <v>0</v>
      </c>
    </row>
    <row r="1271" spans="3:24" x14ac:dyDescent="0.25">
      <c r="C1271" s="342">
        <v>0.1</v>
      </c>
      <c r="D1271" s="343">
        <f>SUMIFS($D$7:$D$1088,$E$7:$E$1088,"alluminio",$J$7:$J$1088,0.1)</f>
        <v>12332</v>
      </c>
      <c r="E1271" s="344">
        <f>SUMIFS($X$7:$X$1088,$E$7:$E$1088,"alluminio",$J$7:$J$1088,0.1)</f>
        <v>1233.2</v>
      </c>
      <c r="F1271" s="345">
        <f t="shared" si="300"/>
        <v>1233.2</v>
      </c>
      <c r="G1271" s="343">
        <f>SUMIFS($D$7:$D$1088,$E$7:$E$1088,"RAME",$J$7:$J$1088,0.1)</f>
        <v>20222</v>
      </c>
      <c r="H1271" s="344">
        <f>SUMIFS($X$7:$X$1088,$E$7:$E$1088,"RAME",$J$7:$J$1088,0.1)</f>
        <v>2022.2</v>
      </c>
      <c r="I1271" s="345">
        <f t="shared" si="299"/>
        <v>2022.2</v>
      </c>
      <c r="J1271" s="343">
        <f>SUMIFS($D$7:$D$1088,$E$7:$E$1088,"ottone",$J$7:$J$1088,0.1)</f>
        <v>0</v>
      </c>
      <c r="T1271" s="346">
        <f>SUMIFS($X$7:$X$1088,$E$7:$E$1088,"ottone",$J$7:$J$1088,0.1)</f>
        <v>0</v>
      </c>
      <c r="U1271" s="347">
        <f t="shared" si="297"/>
        <v>0</v>
      </c>
      <c r="V1271" s="348">
        <f>SUMIFS($D$7:$D$1088,$E$7:$E$1088,"bronzo",$J$7:$J$1088,0.1)</f>
        <v>0</v>
      </c>
      <c r="W1271" s="344">
        <f>SUMIFS($X$7:$X$1088,$E$7:$E$1088,"bronzo",$J$7:$J$1088,0.1)</f>
        <v>0</v>
      </c>
      <c r="X1271" s="345">
        <f t="shared" si="298"/>
        <v>0</v>
      </c>
    </row>
    <row r="1272" spans="3:24" x14ac:dyDescent="0.25">
      <c r="C1272" s="349">
        <v>0.15</v>
      </c>
      <c r="D1272" s="350">
        <f>SUMIFS($D$7:$D$1088,$E$7:$E$1088,"alluminio",$J$7:$J$1088,0.15)</f>
        <v>0</v>
      </c>
      <c r="E1272" s="351">
        <f>SUMIFS($X$7:$X$1088,$E$7:$E$1088,"alluminio",$J$7:$J$1088,0.15)</f>
        <v>0</v>
      </c>
      <c r="F1272" s="352">
        <f t="shared" si="300"/>
        <v>0</v>
      </c>
      <c r="G1272" s="350">
        <f>SUMIFS($D$7:$D$1088,$E$7:$E$1088,"RAME",$J$7:$J$1088,0.15)</f>
        <v>15155</v>
      </c>
      <c r="H1272" s="351">
        <f>SUMIFS($X$7:$X$1088,$E$7:$E$1088,"RAME",$J$7:$J$1088,0.15)</f>
        <v>2273.25</v>
      </c>
      <c r="I1272" s="352">
        <f t="shared" si="299"/>
        <v>2273.25</v>
      </c>
      <c r="J1272" s="350">
        <f>SUMIFS($D$7:$D$1088,$E$7:$E$1088,"ottone",$J$7:$J$1088,0.15)</f>
        <v>2500</v>
      </c>
      <c r="T1272" s="351">
        <f>SUMIFS($X$7:$X$1088,$E$7:$E$1088,"ottone",$J$7:$J$1088,0.15)</f>
        <v>375</v>
      </c>
      <c r="U1272" s="352">
        <f t="shared" si="297"/>
        <v>375</v>
      </c>
      <c r="V1272" s="353">
        <f>SUMIFS($D$7:$D$1088,$E$7:$E$1088,"bronzo",$J$7:$J$1088,0.15)</f>
        <v>0</v>
      </c>
      <c r="W1272" s="351">
        <f>SUMIFS($X$7:$X$1088,$E$7:$E$1088,"bronzo",$J$7:$J$1088,0.15)</f>
        <v>0</v>
      </c>
      <c r="X1272" s="352">
        <f t="shared" si="298"/>
        <v>0</v>
      </c>
    </row>
    <row r="1273" spans="3:24" x14ac:dyDescent="0.25">
      <c r="C1273" s="349">
        <v>0.2</v>
      </c>
      <c r="D1273" s="350">
        <f>SUMIFS($D$7:$D$1088,$E$7:$E$1088,"alluminio",$J$7:$J$1088,0.2)</f>
        <v>0</v>
      </c>
      <c r="E1273" s="351">
        <f>SUMIFS($X$7:$X$1088,$E$7:$E$1088,"alluminio",$J$7:$J$1088,0.2)</f>
        <v>0</v>
      </c>
      <c r="F1273" s="352">
        <f t="shared" si="300"/>
        <v>0</v>
      </c>
      <c r="G1273" s="350">
        <f>SUMIFS($D$7:$D$1088,$E$7:$E$1088,"RAME",$J$7:$J$1088,0.2)</f>
        <v>0</v>
      </c>
      <c r="H1273" s="351">
        <f>SUMIFS($X$7:$X$1088,$E$7:$E$1088,"RAME",$J$7:$J$1088,0.2)</f>
        <v>0</v>
      </c>
      <c r="I1273" s="352">
        <f t="shared" si="299"/>
        <v>0</v>
      </c>
      <c r="J1273" s="350">
        <f>SUMIFS($D$7:$D$1088,$E$7:$E$1088,"ottone",$J$7:$J$1088,0.2)</f>
        <v>0</v>
      </c>
      <c r="T1273" s="351">
        <f>SUMIFS($X$7:$X$1088,$E$7:$E$1088,"OTTONE",$J$7:$J$1088,0.2)</f>
        <v>0</v>
      </c>
      <c r="U1273" s="352">
        <f t="shared" si="297"/>
        <v>0</v>
      </c>
      <c r="V1273" s="353">
        <f>SUMIFS($D$7:$D$1088,$E$7:$E$1088,"bronzo",$J$7:$J$1088,0.2)</f>
        <v>0</v>
      </c>
      <c r="W1273" s="351">
        <f>SUMIFS($X$7:$X$1088,$E$7:$E$1088,"bronzo",$J$7:$J$1088,0.2)</f>
        <v>0</v>
      </c>
      <c r="X1273" s="352">
        <f t="shared" si="298"/>
        <v>0</v>
      </c>
    </row>
    <row r="1274" spans="3:24" x14ac:dyDescent="0.25">
      <c r="C1274" s="349">
        <v>0.25</v>
      </c>
      <c r="D1274" s="350">
        <f>SUMIFS($D$7:$D$1088,$E$7:$E$1088,"alluminio",$J$7:$J$1088,0.25)</f>
        <v>0</v>
      </c>
      <c r="E1274" s="351">
        <f>SUMIFS($X$7:$X$1088,$E$7:$E$1088,"alluminio",$J$7:$J$1088,0.25)</f>
        <v>0</v>
      </c>
      <c r="F1274" s="352">
        <f t="shared" si="300"/>
        <v>0</v>
      </c>
      <c r="G1274" s="350">
        <f>SUMIFS($D$7:$D$1088,$E$7:$E$1088,"RAME",$J$7:$J$1088,0.25)</f>
        <v>0</v>
      </c>
      <c r="H1274" s="351">
        <f>SUMIFS($X$7:$X$1088,$E$7:$E$1088,"RAME",$J$7:$J$1088,0.25)</f>
        <v>0</v>
      </c>
      <c r="I1274" s="352">
        <f t="shared" si="299"/>
        <v>0</v>
      </c>
      <c r="J1274" s="350">
        <f>SUMIFS($D$7:$D$1088,$E$7:$E$1088,"ottone",$J$7:$J$1088,0.25)</f>
        <v>0</v>
      </c>
      <c r="T1274" s="351">
        <f>SUMIFS($X$7:$X$1088,$E$7:$E$1088,"OTTONE",$J$7:$J$1088,0.3)</f>
        <v>0</v>
      </c>
      <c r="U1274" s="352">
        <f t="shared" si="297"/>
        <v>0</v>
      </c>
      <c r="V1274" s="353">
        <f>SUMIFS($D$7:$D$1088,$E$7:$E$1088,"bronzo",$J$7:$J$1088,30)</f>
        <v>0</v>
      </c>
      <c r="W1274" s="351">
        <f>SUMIFS($X$7:$X$1088,$E$7:$E$1088,"bronzo",$J$7:$J$1088,0.3)</f>
        <v>0</v>
      </c>
      <c r="X1274" s="352">
        <f t="shared" si="298"/>
        <v>0</v>
      </c>
    </row>
    <row r="1275" spans="3:24" x14ac:dyDescent="0.25">
      <c r="C1275" s="349">
        <v>0.3</v>
      </c>
      <c r="D1275" s="350">
        <f>SUMIFS($D$7:$D$1088,$E$7:$E$1088,"alluminio",$J$7:$J$1088,0.3)</f>
        <v>440</v>
      </c>
      <c r="E1275" s="351">
        <f>SUMIFS($X$7:$X$1088,$E$7:$E$1088,"alluminio",$J$7:$J$1088,0.3)</f>
        <v>132</v>
      </c>
      <c r="F1275" s="352">
        <f>+D1275*C1275</f>
        <v>132</v>
      </c>
      <c r="G1275" s="350">
        <f>SUMIFS($D$7:$D$1088,$E$7:$E$1088,"RAME",$J$7:$J$1088,0.3)</f>
        <v>0</v>
      </c>
      <c r="H1275" s="351">
        <f>SUMIFS($X$7:$X$1088,$E$7:$E$1088,"RAME",$J$7:$J$1088,0.3)</f>
        <v>0</v>
      </c>
      <c r="I1275" s="352">
        <f>+G1275*C1275</f>
        <v>0</v>
      </c>
      <c r="J1275" s="350">
        <f>SUMIFS($D$7:$D$1088,$E$7:$E$1088,"ottone",$J$7:$J$1088,0.3)</f>
        <v>0</v>
      </c>
      <c r="T1275" s="351">
        <f>SUMIFS($X$7:$X$1088,$E$7:$E$1088,"OTTONE",$J$7:$J$1088,0.25)</f>
        <v>0</v>
      </c>
      <c r="U1275" s="352">
        <f t="shared" si="297"/>
        <v>0</v>
      </c>
      <c r="V1275" s="353">
        <f>SUMIFS($D$7:$D$1088,$E$7:$E$1088,"bronzo",$J$7:$J$1088,0.25)</f>
        <v>0</v>
      </c>
      <c r="W1275" s="351">
        <f>SUMIFS($X$7:$X$1088,$E$7:$E$1088,"bronzo",$J$7:$J$1088,0.25)</f>
        <v>0</v>
      </c>
      <c r="X1275" s="352">
        <f t="shared" si="298"/>
        <v>0</v>
      </c>
    </row>
    <row r="1276" spans="3:24" x14ac:dyDescent="0.25">
      <c r="C1276" s="349">
        <v>0.35</v>
      </c>
      <c r="D1276" s="350">
        <f>SUMIFS($D$7:$D$1088,$E$7:$E$1088,"alluminio",$J$7:$J$1088,0.35)</f>
        <v>0</v>
      </c>
      <c r="E1276" s="351">
        <f>SUMIFS($X$7:$X$1088,$E$7:$E$1088,"alluminio",$J$7:$J$1088,0.35)</f>
        <v>0</v>
      </c>
      <c r="F1276" s="352">
        <f t="shared" si="300"/>
        <v>0</v>
      </c>
      <c r="G1276" s="350">
        <f>SUMIFS($D$7:$D$1088,$E$7:$E$1088,"RAME",$J$7:$J$1088,0.35)</f>
        <v>0</v>
      </c>
      <c r="H1276" s="351">
        <f>SUMIFS($X$7:$X$1088,$E$7:$E$1088,"RAME",$J$7:$J$1088,0.35)</f>
        <v>0</v>
      </c>
      <c r="I1276" s="352">
        <f t="shared" si="299"/>
        <v>0</v>
      </c>
      <c r="J1276" s="350">
        <f>SUMIFS($D$7:$D$1088,$E$7:$E$1088,"ottone",$J$7:$J$1088,0.35)</f>
        <v>0</v>
      </c>
      <c r="T1276" s="351">
        <f>SUMIFS($X$7:$X$1088,$E$7:$E$1088,"OTTONE",$J$7:$J$1088,0.35)</f>
        <v>0</v>
      </c>
      <c r="U1276" s="352">
        <f t="shared" si="297"/>
        <v>0</v>
      </c>
      <c r="V1276" s="353">
        <f>SUMIFS($D$7:$D$1088,$E$7:$E$1088,"bronzo",$J$7:$J$1088,0.35)</f>
        <v>0</v>
      </c>
      <c r="W1276" s="351">
        <f>SUMIFS($X$7:$X$1088,$E$7:$E$1088,"bronzo",$J$7:$J$1088,0.35)</f>
        <v>0</v>
      </c>
      <c r="X1276" s="352">
        <f t="shared" si="298"/>
        <v>0</v>
      </c>
    </row>
    <row r="1277" spans="3:24" ht="15.75" thickBot="1" x14ac:dyDescent="0.3">
      <c r="C1277" s="349">
        <v>0.55000000000000004</v>
      </c>
      <c r="D1277" s="354">
        <f>SUMIFS($D$7:$D$1088,$E$7:$E$1088,"alluminio",$J$7:$J$1088,0.55)</f>
        <v>0</v>
      </c>
      <c r="E1277" s="355">
        <f>SUMIFS($X$7:$X$1088,$E$7:$E$1088,"alluminio",$J$7:$J$1088,0.55)</f>
        <v>0</v>
      </c>
      <c r="F1277" s="356">
        <f t="shared" si="300"/>
        <v>0</v>
      </c>
      <c r="G1277" s="354">
        <f>SUMIFS($D$7:$D$1088,$E$7:$E$1088,"RAME",$J$7:$J$1088,0.55)</f>
        <v>0</v>
      </c>
      <c r="H1277" s="355">
        <f>SUMIFS($X$7:$X$1088,$E$7:$E$1088,"RAME",$J$7:$J$1088,0.55)</f>
        <v>0</v>
      </c>
      <c r="I1277" s="356">
        <f t="shared" si="299"/>
        <v>0</v>
      </c>
      <c r="J1277" s="354">
        <f>SUMIFS($D$7:$D$1088,$E$7:$E$1088,"ottone",$J$7:$J$1088,0.55)</f>
        <v>0</v>
      </c>
      <c r="T1277" s="355">
        <f>SUMIFS($X$7:$X$1088,$E$7:$E$1088,"OTTONE",$J$7:$J$1088,0.55)</f>
        <v>0</v>
      </c>
      <c r="U1277" s="356">
        <f t="shared" si="297"/>
        <v>0</v>
      </c>
      <c r="V1277" s="357">
        <f>SUMIFS($D$7:$D$1088,$E$7:$E$1088,"bronzo",$J$7:$J$1088,0.55)</f>
        <v>0</v>
      </c>
      <c r="W1277" s="355">
        <f>SUMIFS($X$7:$X$1088,$E$7:$E$1088,"bronzo",$J$7:$J$1088,0.55)</f>
        <v>0</v>
      </c>
      <c r="X1277" s="356">
        <f t="shared" si="298"/>
        <v>0</v>
      </c>
    </row>
    <row r="1278" spans="3:24" ht="15.75" thickBot="1" x14ac:dyDescent="0.3">
      <c r="C1278" s="358"/>
      <c r="D1278" s="359">
        <f>SUM(D1266:D1277)</f>
        <v>666322</v>
      </c>
      <c r="E1278" s="360">
        <f>SUM(E1267:E1277)</f>
        <v>42186.5</v>
      </c>
      <c r="F1278" s="361">
        <f>SUM(F1267:F1277)</f>
        <v>44286.5</v>
      </c>
      <c r="G1278" s="359">
        <f>SUM(G1266:G1277)</f>
        <v>35897</v>
      </c>
      <c r="H1278" s="360">
        <f>SUM(H1266:H1277)</f>
        <v>4321.45</v>
      </c>
      <c r="I1278" s="361">
        <f>SUM(I1266:I1277)</f>
        <v>4321.45</v>
      </c>
      <c r="J1278" s="359">
        <f>SUM(J1266:N1277)</f>
        <v>2500</v>
      </c>
      <c r="T1278" s="360">
        <f>SUM(T1266:T1277)</f>
        <v>375</v>
      </c>
      <c r="U1278" s="362">
        <f>SUM(U1266:U1277)</f>
        <v>375</v>
      </c>
      <c r="V1278" s="359">
        <f>SUM(V1266:V1277)</f>
        <v>0</v>
      </c>
      <c r="W1278" s="360">
        <f>SUM(W1266:W1277)</f>
        <v>0</v>
      </c>
      <c r="X1278" s="361">
        <f>SUM(X1266:X1277)</f>
        <v>0</v>
      </c>
    </row>
    <row r="1280" spans="3:24" x14ac:dyDescent="0.25">
      <c r="D1280" s="363"/>
      <c r="G1280" s="291"/>
      <c r="J1280" s="291"/>
    </row>
    <row r="1281" spans="4:4" x14ac:dyDescent="0.25">
      <c r="D1281" s="364">
        <f>+D1278+G1278+J1278+V1278</f>
        <v>704719</v>
      </c>
    </row>
    <row r="1282" spans="4:4" x14ac:dyDescent="0.25">
      <c r="D1282" s="264">
        <f>+D1281-D1255</f>
        <v>-2250</v>
      </c>
    </row>
    <row r="1284" spans="4:4" x14ac:dyDescent="0.25">
      <c r="D1284" s="364"/>
    </row>
    <row r="1285" spans="4:4" x14ac:dyDescent="0.25">
      <c r="D1285" s="264"/>
    </row>
    <row r="1287" spans="4:4" x14ac:dyDescent="0.25">
      <c r="D1287" s="223">
        <v>384665</v>
      </c>
    </row>
    <row r="1288" spans="4:4" x14ac:dyDescent="0.25">
      <c r="D1288" s="364">
        <f>+D1287-D1278</f>
        <v>-281657</v>
      </c>
    </row>
  </sheetData>
  <sheetProtection formatCells="0" insertRows="0" deleteRows="0"/>
  <autoFilter ref="A5:AM1089"/>
  <dataConsolidate/>
  <phoneticPr fontId="19" type="noConversion"/>
  <conditionalFormatting sqref="D5">
    <cfRule type="containsText" dxfId="125" priority="300" stopIfTrue="1" operator="containsText" text="ERRORE KG">
      <formula>NOT(ISERROR(SEARCH("ERRORE KG",D5)))</formula>
    </cfRule>
    <cfRule type="colorScale" priority="301">
      <colorScale>
        <cfvo type="num" val="&quot;0+$C$52&quot;"/>
        <cfvo type="num" val="&quot;0+$C$88&quot;"/>
        <color rgb="FFFF7128"/>
        <color rgb="FFFFEF9C"/>
      </colorScale>
    </cfRule>
  </conditionalFormatting>
  <conditionalFormatting sqref="X5">
    <cfRule type="containsText" dxfId="124" priority="299" stopIfTrue="1" operator="containsText" text="ERRORE COMMISSIONI">
      <formula>NOT(ISERROR(SEARCH("ERRORE COMMISSIONI",X5)))</formula>
    </cfRule>
  </conditionalFormatting>
  <conditionalFormatting sqref="AA1088 AA7:AA971">
    <cfRule type="expression" priority="294" stopIfTrue="1">
      <formula>AA7=0</formula>
    </cfRule>
    <cfRule type="expression" dxfId="123" priority="295" stopIfTrue="1">
      <formula>AA7&lt;TODAY()</formula>
    </cfRule>
  </conditionalFormatting>
  <conditionalFormatting sqref="D1265:D1266">
    <cfRule type="containsText" dxfId="122" priority="289" stopIfTrue="1" operator="containsText" text="errore">
      <formula>NOT(ISERROR(SEARCH("errore",D1265)))</formula>
    </cfRule>
  </conditionalFormatting>
  <conditionalFormatting sqref="E1265:E1266">
    <cfRule type="containsText" dxfId="121" priority="288" stopIfTrue="1" operator="containsText" text="errore">
      <formula>NOT(ISERROR(SEARCH("errore",E1265)))</formula>
    </cfRule>
  </conditionalFormatting>
  <conditionalFormatting sqref="A1088">
    <cfRule type="containsText" dxfId="120" priority="280" operator="containsText" text="in scadenza">
      <formula>NOT(ISERROR(SEARCH("in scadenza",A1088)))</formula>
    </cfRule>
  </conditionalFormatting>
  <conditionalFormatting sqref="AA6">
    <cfRule type="expression" priority="271" stopIfTrue="1">
      <formula>AA6=0</formula>
    </cfRule>
    <cfRule type="expression" dxfId="119" priority="272" stopIfTrue="1">
      <formula>AA6&lt;TODAY()</formula>
    </cfRule>
  </conditionalFormatting>
  <conditionalFormatting sqref="C1088 C7:C971">
    <cfRule type="expression" dxfId="118" priority="269">
      <formula>AND(C7&lt;&gt;"", COUNTIF($C$1095:$C$1453, C7)=0)</formula>
    </cfRule>
  </conditionalFormatting>
  <conditionalFormatting sqref="AA973">
    <cfRule type="expression" priority="263" stopIfTrue="1">
      <formula>AA973=0</formula>
    </cfRule>
    <cfRule type="expression" dxfId="117" priority="264" stopIfTrue="1">
      <formula>AA973&lt;TODAY()</formula>
    </cfRule>
  </conditionalFormatting>
  <conditionalFormatting sqref="AA972">
    <cfRule type="expression" priority="256" stopIfTrue="1">
      <formula>AA972=0</formula>
    </cfRule>
    <cfRule type="expression" dxfId="116" priority="257" stopIfTrue="1">
      <formula>AA972&lt;TODAY()</formula>
    </cfRule>
  </conditionalFormatting>
  <conditionalFormatting sqref="AA974">
    <cfRule type="expression" priority="241" stopIfTrue="1">
      <formula>AA974=0</formula>
    </cfRule>
    <cfRule type="expression" dxfId="115" priority="242" stopIfTrue="1">
      <formula>AA974&lt;TODAY()</formula>
    </cfRule>
  </conditionalFormatting>
  <conditionalFormatting sqref="AA975">
    <cfRule type="expression" priority="239" stopIfTrue="1">
      <formula>AA975=0</formula>
    </cfRule>
    <cfRule type="expression" dxfId="114" priority="240" stopIfTrue="1">
      <formula>AA975&lt;TODAY()</formula>
    </cfRule>
  </conditionalFormatting>
  <conditionalFormatting sqref="AA976">
    <cfRule type="expression" priority="237" stopIfTrue="1">
      <formula>AA976=0</formula>
    </cfRule>
    <cfRule type="expression" dxfId="113" priority="238" stopIfTrue="1">
      <formula>AA976&lt;TODAY()</formula>
    </cfRule>
  </conditionalFormatting>
  <conditionalFormatting sqref="AA977">
    <cfRule type="expression" priority="235" stopIfTrue="1">
      <formula>AA977=0</formula>
    </cfRule>
    <cfRule type="expression" dxfId="112" priority="236" stopIfTrue="1">
      <formula>AA977&lt;TODAY()</formula>
    </cfRule>
  </conditionalFormatting>
  <conditionalFormatting sqref="AA978">
    <cfRule type="expression" priority="233" stopIfTrue="1">
      <formula>AA978=0</formula>
    </cfRule>
    <cfRule type="expression" dxfId="111" priority="234" stopIfTrue="1">
      <formula>AA978&lt;TODAY()</formula>
    </cfRule>
  </conditionalFormatting>
  <conditionalFormatting sqref="AA979">
    <cfRule type="expression" priority="229" stopIfTrue="1">
      <formula>AA979=0</formula>
    </cfRule>
    <cfRule type="expression" dxfId="110" priority="230" stopIfTrue="1">
      <formula>AA979&lt;TODAY()</formula>
    </cfRule>
  </conditionalFormatting>
  <conditionalFormatting sqref="AA980">
    <cfRule type="expression" priority="225" stopIfTrue="1">
      <formula>AA980=0</formula>
    </cfRule>
    <cfRule type="expression" dxfId="109" priority="226" stopIfTrue="1">
      <formula>AA980&lt;TODAY()</formula>
    </cfRule>
  </conditionalFormatting>
  <conditionalFormatting sqref="AA981">
    <cfRule type="expression" priority="221" stopIfTrue="1">
      <formula>AA981=0</formula>
    </cfRule>
    <cfRule type="expression" dxfId="108" priority="222" stopIfTrue="1">
      <formula>AA981&lt;TODAY()</formula>
    </cfRule>
  </conditionalFormatting>
  <conditionalFormatting sqref="AA982">
    <cfRule type="expression" priority="215" stopIfTrue="1">
      <formula>AA982=0</formula>
    </cfRule>
    <cfRule type="expression" dxfId="107" priority="216" stopIfTrue="1">
      <formula>AA982&lt;TODAY()</formula>
    </cfRule>
  </conditionalFormatting>
  <conditionalFormatting sqref="AA983">
    <cfRule type="expression" priority="209" stopIfTrue="1">
      <formula>AA983=0</formula>
    </cfRule>
    <cfRule type="expression" dxfId="106" priority="210" stopIfTrue="1">
      <formula>AA983&lt;TODAY()</formula>
    </cfRule>
  </conditionalFormatting>
  <conditionalFormatting sqref="AA984">
    <cfRule type="expression" priority="207" stopIfTrue="1">
      <formula>AA984=0</formula>
    </cfRule>
    <cfRule type="expression" dxfId="105" priority="208" stopIfTrue="1">
      <formula>AA984&lt;TODAY()</formula>
    </cfRule>
  </conditionalFormatting>
  <conditionalFormatting sqref="AA985">
    <cfRule type="expression" priority="205" stopIfTrue="1">
      <formula>AA985=0</formula>
    </cfRule>
    <cfRule type="expression" dxfId="104" priority="206" stopIfTrue="1">
      <formula>AA985&lt;TODAY()</formula>
    </cfRule>
  </conditionalFormatting>
  <conditionalFormatting sqref="AA986">
    <cfRule type="expression" priority="203" stopIfTrue="1">
      <formula>AA986=0</formula>
    </cfRule>
    <cfRule type="expression" dxfId="103" priority="204" stopIfTrue="1">
      <formula>AA986&lt;TODAY()</formula>
    </cfRule>
  </conditionalFormatting>
  <conditionalFormatting sqref="AA987">
    <cfRule type="expression" priority="201" stopIfTrue="1">
      <formula>AA987=0</formula>
    </cfRule>
    <cfRule type="expression" dxfId="102" priority="202" stopIfTrue="1">
      <formula>AA987&lt;TODAY()</formula>
    </cfRule>
  </conditionalFormatting>
  <conditionalFormatting sqref="AA988">
    <cfRule type="expression" priority="199" stopIfTrue="1">
      <formula>AA988=0</formula>
    </cfRule>
    <cfRule type="expression" dxfId="101" priority="200" stopIfTrue="1">
      <formula>AA988&lt;TODAY()</formula>
    </cfRule>
  </conditionalFormatting>
  <conditionalFormatting sqref="AA989">
    <cfRule type="expression" priority="197" stopIfTrue="1">
      <formula>AA989=0</formula>
    </cfRule>
    <cfRule type="expression" dxfId="100" priority="198" stopIfTrue="1">
      <formula>AA989&lt;TODAY()</formula>
    </cfRule>
  </conditionalFormatting>
  <conditionalFormatting sqref="AA990">
    <cfRule type="expression" priority="195" stopIfTrue="1">
      <formula>AA990=0</formula>
    </cfRule>
    <cfRule type="expression" dxfId="99" priority="196" stopIfTrue="1">
      <formula>AA990&lt;TODAY()</formula>
    </cfRule>
  </conditionalFormatting>
  <conditionalFormatting sqref="AA991">
    <cfRule type="expression" priority="193" stopIfTrue="1">
      <formula>AA991=0</formula>
    </cfRule>
    <cfRule type="expression" dxfId="98" priority="194" stopIfTrue="1">
      <formula>AA991&lt;TODAY()</formula>
    </cfRule>
  </conditionalFormatting>
  <conditionalFormatting sqref="AA992">
    <cfRule type="expression" priority="191" stopIfTrue="1">
      <formula>AA992=0</formula>
    </cfRule>
    <cfRule type="expression" dxfId="97" priority="192" stopIfTrue="1">
      <formula>AA992&lt;TODAY()</formula>
    </cfRule>
  </conditionalFormatting>
  <conditionalFormatting sqref="AA993">
    <cfRule type="expression" priority="189" stopIfTrue="1">
      <formula>AA993=0</formula>
    </cfRule>
    <cfRule type="expression" dxfId="96" priority="190" stopIfTrue="1">
      <formula>AA993&lt;TODAY()</formula>
    </cfRule>
  </conditionalFormatting>
  <conditionalFormatting sqref="AA994">
    <cfRule type="expression" priority="187" stopIfTrue="1">
      <formula>AA994=0</formula>
    </cfRule>
    <cfRule type="expression" dxfId="95" priority="188" stopIfTrue="1">
      <formula>AA994&lt;TODAY()</formula>
    </cfRule>
  </conditionalFormatting>
  <conditionalFormatting sqref="AA995">
    <cfRule type="expression" priority="185" stopIfTrue="1">
      <formula>AA995=0</formula>
    </cfRule>
    <cfRule type="expression" dxfId="94" priority="186" stopIfTrue="1">
      <formula>AA995&lt;TODAY()</formula>
    </cfRule>
  </conditionalFormatting>
  <conditionalFormatting sqref="AA996">
    <cfRule type="expression" priority="183" stopIfTrue="1">
      <formula>AA996=0</formula>
    </cfRule>
    <cfRule type="expression" dxfId="93" priority="184" stopIfTrue="1">
      <formula>AA996&lt;TODAY()</formula>
    </cfRule>
  </conditionalFormatting>
  <conditionalFormatting sqref="AA997">
    <cfRule type="expression" priority="181" stopIfTrue="1">
      <formula>AA997=0</formula>
    </cfRule>
    <cfRule type="expression" dxfId="92" priority="182" stopIfTrue="1">
      <formula>AA997&lt;TODAY()</formula>
    </cfRule>
  </conditionalFormatting>
  <conditionalFormatting sqref="AA998">
    <cfRule type="expression" priority="179" stopIfTrue="1">
      <formula>AA998=0</formula>
    </cfRule>
    <cfRule type="expression" dxfId="91" priority="180" stopIfTrue="1">
      <formula>AA998&lt;TODAY()</formula>
    </cfRule>
  </conditionalFormatting>
  <conditionalFormatting sqref="AA999">
    <cfRule type="expression" priority="177" stopIfTrue="1">
      <formula>AA999=0</formula>
    </cfRule>
    <cfRule type="expression" dxfId="90" priority="178" stopIfTrue="1">
      <formula>AA999&lt;TODAY()</formula>
    </cfRule>
  </conditionalFormatting>
  <conditionalFormatting sqref="AA1000">
    <cfRule type="expression" priority="175" stopIfTrue="1">
      <formula>AA1000=0</formula>
    </cfRule>
    <cfRule type="expression" dxfId="89" priority="176" stopIfTrue="1">
      <formula>AA1000&lt;TODAY()</formula>
    </cfRule>
  </conditionalFormatting>
  <conditionalFormatting sqref="AA1001">
    <cfRule type="expression" priority="173" stopIfTrue="1">
      <formula>AA1001=0</formula>
    </cfRule>
    <cfRule type="expression" dxfId="88" priority="174" stopIfTrue="1">
      <formula>AA1001&lt;TODAY()</formula>
    </cfRule>
  </conditionalFormatting>
  <conditionalFormatting sqref="AA1002">
    <cfRule type="expression" priority="171" stopIfTrue="1">
      <formula>AA1002=0</formula>
    </cfRule>
    <cfRule type="expression" dxfId="87" priority="172" stopIfTrue="1">
      <formula>AA1002&lt;TODAY()</formula>
    </cfRule>
  </conditionalFormatting>
  <conditionalFormatting sqref="AA1003">
    <cfRule type="expression" priority="169" stopIfTrue="1">
      <formula>AA1003=0</formula>
    </cfRule>
    <cfRule type="expression" dxfId="86" priority="170" stopIfTrue="1">
      <formula>AA1003&lt;TODAY()</formula>
    </cfRule>
  </conditionalFormatting>
  <conditionalFormatting sqref="AA1004">
    <cfRule type="expression" priority="167" stopIfTrue="1">
      <formula>AA1004=0</formula>
    </cfRule>
    <cfRule type="expression" dxfId="85" priority="168" stopIfTrue="1">
      <formula>AA1004&lt;TODAY()</formula>
    </cfRule>
  </conditionalFormatting>
  <conditionalFormatting sqref="AA1005">
    <cfRule type="expression" priority="165" stopIfTrue="1">
      <formula>AA1005=0</formula>
    </cfRule>
    <cfRule type="expression" dxfId="84" priority="166" stopIfTrue="1">
      <formula>AA1005&lt;TODAY()</formula>
    </cfRule>
  </conditionalFormatting>
  <conditionalFormatting sqref="AA1006">
    <cfRule type="expression" priority="163" stopIfTrue="1">
      <formula>AA1006=0</formula>
    </cfRule>
    <cfRule type="expression" dxfId="83" priority="164" stopIfTrue="1">
      <formula>AA1006&lt;TODAY()</formula>
    </cfRule>
  </conditionalFormatting>
  <conditionalFormatting sqref="AA1007">
    <cfRule type="expression" priority="161" stopIfTrue="1">
      <formula>AA1007=0</formula>
    </cfRule>
    <cfRule type="expression" dxfId="82" priority="162" stopIfTrue="1">
      <formula>AA1007&lt;TODAY()</formula>
    </cfRule>
  </conditionalFormatting>
  <conditionalFormatting sqref="AA1008">
    <cfRule type="expression" priority="159" stopIfTrue="1">
      <formula>AA1008=0</formula>
    </cfRule>
    <cfRule type="expression" dxfId="81" priority="160" stopIfTrue="1">
      <formula>AA1008&lt;TODAY()</formula>
    </cfRule>
  </conditionalFormatting>
  <conditionalFormatting sqref="AA1009">
    <cfRule type="expression" priority="157" stopIfTrue="1">
      <formula>AA1009=0</formula>
    </cfRule>
    <cfRule type="expression" dxfId="80" priority="158" stopIfTrue="1">
      <formula>AA1009&lt;TODAY()</formula>
    </cfRule>
  </conditionalFormatting>
  <conditionalFormatting sqref="AA1010">
    <cfRule type="expression" priority="155" stopIfTrue="1">
      <formula>AA1010=0</formula>
    </cfRule>
    <cfRule type="expression" dxfId="79" priority="156" stopIfTrue="1">
      <formula>AA1010&lt;TODAY()</formula>
    </cfRule>
  </conditionalFormatting>
  <conditionalFormatting sqref="AA1011">
    <cfRule type="expression" priority="153" stopIfTrue="1">
      <formula>AA1011=0</formula>
    </cfRule>
    <cfRule type="expression" dxfId="78" priority="154" stopIfTrue="1">
      <formula>AA1011&lt;TODAY()</formula>
    </cfRule>
  </conditionalFormatting>
  <conditionalFormatting sqref="AA1012">
    <cfRule type="expression" priority="151" stopIfTrue="1">
      <formula>AA1012=0</formula>
    </cfRule>
    <cfRule type="expression" dxfId="77" priority="152" stopIfTrue="1">
      <formula>AA1012&lt;TODAY()</formula>
    </cfRule>
  </conditionalFormatting>
  <conditionalFormatting sqref="AA1013">
    <cfRule type="expression" priority="149" stopIfTrue="1">
      <formula>AA1013=0</formula>
    </cfRule>
    <cfRule type="expression" dxfId="76" priority="150" stopIfTrue="1">
      <formula>AA1013&lt;TODAY()</formula>
    </cfRule>
  </conditionalFormatting>
  <conditionalFormatting sqref="AA1014">
    <cfRule type="expression" priority="147" stopIfTrue="1">
      <formula>AA1014=0</formula>
    </cfRule>
    <cfRule type="expression" dxfId="75" priority="148" stopIfTrue="1">
      <formula>AA1014&lt;TODAY()</formula>
    </cfRule>
  </conditionalFormatting>
  <conditionalFormatting sqref="AA1015">
    <cfRule type="expression" priority="145" stopIfTrue="1">
      <formula>AA1015=0</formula>
    </cfRule>
    <cfRule type="expression" dxfId="74" priority="146" stopIfTrue="1">
      <formula>AA1015&lt;TODAY()</formula>
    </cfRule>
  </conditionalFormatting>
  <conditionalFormatting sqref="AA1016">
    <cfRule type="expression" priority="143" stopIfTrue="1">
      <formula>AA1016=0</formula>
    </cfRule>
    <cfRule type="expression" dxfId="73" priority="144" stopIfTrue="1">
      <formula>AA1016&lt;TODAY()</formula>
    </cfRule>
  </conditionalFormatting>
  <conditionalFormatting sqref="AA1017">
    <cfRule type="expression" priority="141" stopIfTrue="1">
      <formula>AA1017=0</formula>
    </cfRule>
    <cfRule type="expression" dxfId="72" priority="142" stopIfTrue="1">
      <formula>AA1017&lt;TODAY()</formula>
    </cfRule>
  </conditionalFormatting>
  <conditionalFormatting sqref="AA1018">
    <cfRule type="expression" priority="139" stopIfTrue="1">
      <formula>AA1018=0</formula>
    </cfRule>
    <cfRule type="expression" dxfId="71" priority="140" stopIfTrue="1">
      <formula>AA1018&lt;TODAY()</formula>
    </cfRule>
  </conditionalFormatting>
  <conditionalFormatting sqref="AA1019">
    <cfRule type="expression" priority="137" stopIfTrue="1">
      <formula>AA1019=0</formula>
    </cfRule>
    <cfRule type="expression" dxfId="70" priority="138" stopIfTrue="1">
      <formula>AA1019&lt;TODAY()</formula>
    </cfRule>
  </conditionalFormatting>
  <conditionalFormatting sqref="AA1020">
    <cfRule type="expression" priority="135" stopIfTrue="1">
      <formula>AA1020=0</formula>
    </cfRule>
    <cfRule type="expression" dxfId="69" priority="136" stopIfTrue="1">
      <formula>AA1020&lt;TODAY()</formula>
    </cfRule>
  </conditionalFormatting>
  <conditionalFormatting sqref="AA1021">
    <cfRule type="expression" priority="133" stopIfTrue="1">
      <formula>AA1021=0</formula>
    </cfRule>
    <cfRule type="expression" dxfId="68" priority="134" stopIfTrue="1">
      <formula>AA1021&lt;TODAY()</formula>
    </cfRule>
  </conditionalFormatting>
  <conditionalFormatting sqref="AA1022">
    <cfRule type="expression" priority="131" stopIfTrue="1">
      <formula>AA1022=0</formula>
    </cfRule>
    <cfRule type="expression" dxfId="67" priority="132" stopIfTrue="1">
      <formula>AA1022&lt;TODAY()</formula>
    </cfRule>
  </conditionalFormatting>
  <conditionalFormatting sqref="AA1023">
    <cfRule type="expression" priority="129" stopIfTrue="1">
      <formula>AA1023=0</formula>
    </cfRule>
    <cfRule type="expression" dxfId="66" priority="130" stopIfTrue="1">
      <formula>AA1023&lt;TODAY()</formula>
    </cfRule>
  </conditionalFormatting>
  <conditionalFormatting sqref="AA1024">
    <cfRule type="expression" priority="127" stopIfTrue="1">
      <formula>AA1024=0</formula>
    </cfRule>
    <cfRule type="expression" dxfId="65" priority="128" stopIfTrue="1">
      <formula>AA1024&lt;TODAY()</formula>
    </cfRule>
  </conditionalFormatting>
  <conditionalFormatting sqref="AA1025">
    <cfRule type="expression" priority="125" stopIfTrue="1">
      <formula>AA1025=0</formula>
    </cfRule>
    <cfRule type="expression" dxfId="64" priority="126" stopIfTrue="1">
      <formula>AA1025&lt;TODAY()</formula>
    </cfRule>
  </conditionalFormatting>
  <conditionalFormatting sqref="AA1026">
    <cfRule type="expression" priority="123" stopIfTrue="1">
      <formula>AA1026=0</formula>
    </cfRule>
    <cfRule type="expression" dxfId="63" priority="124" stopIfTrue="1">
      <formula>AA1026&lt;TODAY()</formula>
    </cfRule>
  </conditionalFormatting>
  <conditionalFormatting sqref="AA1027">
    <cfRule type="expression" priority="121" stopIfTrue="1">
      <formula>AA1027=0</formula>
    </cfRule>
    <cfRule type="expression" dxfId="62" priority="122" stopIfTrue="1">
      <formula>AA1027&lt;TODAY()</formula>
    </cfRule>
  </conditionalFormatting>
  <conditionalFormatting sqref="AA1028">
    <cfRule type="expression" priority="119" stopIfTrue="1">
      <formula>AA1028=0</formula>
    </cfRule>
    <cfRule type="expression" dxfId="61" priority="120" stopIfTrue="1">
      <formula>AA1028&lt;TODAY()</formula>
    </cfRule>
  </conditionalFormatting>
  <conditionalFormatting sqref="AA1029">
    <cfRule type="expression" priority="117" stopIfTrue="1">
      <formula>AA1029=0</formula>
    </cfRule>
    <cfRule type="expression" dxfId="60" priority="118" stopIfTrue="1">
      <formula>AA1029&lt;TODAY()</formula>
    </cfRule>
  </conditionalFormatting>
  <conditionalFormatting sqref="AA1030">
    <cfRule type="expression" priority="115" stopIfTrue="1">
      <formula>AA1030=0</formula>
    </cfRule>
    <cfRule type="expression" dxfId="59" priority="116" stopIfTrue="1">
      <formula>AA1030&lt;TODAY()</formula>
    </cfRule>
  </conditionalFormatting>
  <conditionalFormatting sqref="AA1031">
    <cfRule type="expression" priority="113" stopIfTrue="1">
      <formula>AA1031=0</formula>
    </cfRule>
    <cfRule type="expression" dxfId="58" priority="114" stopIfTrue="1">
      <formula>AA1031&lt;TODAY()</formula>
    </cfRule>
  </conditionalFormatting>
  <conditionalFormatting sqref="AA1032">
    <cfRule type="expression" priority="111" stopIfTrue="1">
      <formula>AA1032=0</formula>
    </cfRule>
    <cfRule type="expression" dxfId="57" priority="112" stopIfTrue="1">
      <formula>AA1032&lt;TODAY()</formula>
    </cfRule>
  </conditionalFormatting>
  <conditionalFormatting sqref="AA1033">
    <cfRule type="expression" priority="109" stopIfTrue="1">
      <formula>AA1033=0</formula>
    </cfRule>
    <cfRule type="expression" dxfId="56" priority="110" stopIfTrue="1">
      <formula>AA1033&lt;TODAY()</formula>
    </cfRule>
  </conditionalFormatting>
  <conditionalFormatting sqref="AA1034">
    <cfRule type="expression" priority="107" stopIfTrue="1">
      <formula>AA1034=0</formula>
    </cfRule>
    <cfRule type="expression" dxfId="55" priority="108" stopIfTrue="1">
      <formula>AA1034&lt;TODAY()</formula>
    </cfRule>
  </conditionalFormatting>
  <conditionalFormatting sqref="AA1035">
    <cfRule type="expression" priority="105" stopIfTrue="1">
      <formula>AA1035=0</formula>
    </cfRule>
    <cfRule type="expression" dxfId="54" priority="106" stopIfTrue="1">
      <formula>AA1035&lt;TODAY()</formula>
    </cfRule>
  </conditionalFormatting>
  <conditionalFormatting sqref="AA1036">
    <cfRule type="expression" priority="103" stopIfTrue="1">
      <formula>AA1036=0</formula>
    </cfRule>
    <cfRule type="expression" dxfId="53" priority="104" stopIfTrue="1">
      <formula>AA1036&lt;TODAY()</formula>
    </cfRule>
  </conditionalFormatting>
  <conditionalFormatting sqref="AA1037">
    <cfRule type="expression" priority="101" stopIfTrue="1">
      <formula>AA1037=0</formula>
    </cfRule>
    <cfRule type="expression" dxfId="52" priority="102" stopIfTrue="1">
      <formula>AA1037&lt;TODAY()</formula>
    </cfRule>
  </conditionalFormatting>
  <conditionalFormatting sqref="AA1038">
    <cfRule type="expression" priority="99" stopIfTrue="1">
      <formula>AA1038=0</formula>
    </cfRule>
    <cfRule type="expression" dxfId="51" priority="100" stopIfTrue="1">
      <formula>AA1038&lt;TODAY()</formula>
    </cfRule>
  </conditionalFormatting>
  <conditionalFormatting sqref="AA1039">
    <cfRule type="expression" priority="97" stopIfTrue="1">
      <formula>AA1039=0</formula>
    </cfRule>
    <cfRule type="expression" dxfId="50" priority="98" stopIfTrue="1">
      <formula>AA1039&lt;TODAY()</formula>
    </cfRule>
  </conditionalFormatting>
  <conditionalFormatting sqref="AA1040">
    <cfRule type="expression" priority="95" stopIfTrue="1">
      <formula>AA1040=0</formula>
    </cfRule>
    <cfRule type="expression" dxfId="49" priority="96" stopIfTrue="1">
      <formula>AA1040&lt;TODAY()</formula>
    </cfRule>
  </conditionalFormatting>
  <conditionalFormatting sqref="AA1041">
    <cfRule type="expression" priority="93" stopIfTrue="1">
      <formula>AA1041=0</formula>
    </cfRule>
    <cfRule type="expression" dxfId="48" priority="94" stopIfTrue="1">
      <formula>AA1041&lt;TODAY()</formula>
    </cfRule>
  </conditionalFormatting>
  <conditionalFormatting sqref="AA1042">
    <cfRule type="expression" priority="91" stopIfTrue="1">
      <formula>AA1042=0</formula>
    </cfRule>
    <cfRule type="expression" dxfId="47" priority="92" stopIfTrue="1">
      <formula>AA1042&lt;TODAY()</formula>
    </cfRule>
  </conditionalFormatting>
  <conditionalFormatting sqref="AA1043">
    <cfRule type="expression" priority="89" stopIfTrue="1">
      <formula>AA1043=0</formula>
    </cfRule>
    <cfRule type="expression" dxfId="46" priority="90" stopIfTrue="1">
      <formula>AA1043&lt;TODAY()</formula>
    </cfRule>
  </conditionalFormatting>
  <conditionalFormatting sqref="AA1044">
    <cfRule type="expression" priority="87" stopIfTrue="1">
      <formula>AA1044=0</formula>
    </cfRule>
    <cfRule type="expression" dxfId="45" priority="88" stopIfTrue="1">
      <formula>AA1044&lt;TODAY()</formula>
    </cfRule>
  </conditionalFormatting>
  <conditionalFormatting sqref="AA1045">
    <cfRule type="expression" priority="85" stopIfTrue="1">
      <formula>AA1045=0</formula>
    </cfRule>
    <cfRule type="expression" dxfId="44" priority="86" stopIfTrue="1">
      <formula>AA1045&lt;TODAY()</formula>
    </cfRule>
  </conditionalFormatting>
  <conditionalFormatting sqref="AA1046">
    <cfRule type="expression" priority="83" stopIfTrue="1">
      <formula>AA1046=0</formula>
    </cfRule>
    <cfRule type="expression" dxfId="43" priority="84" stopIfTrue="1">
      <formula>AA1046&lt;TODAY()</formula>
    </cfRule>
  </conditionalFormatting>
  <conditionalFormatting sqref="AA1047">
    <cfRule type="expression" priority="81" stopIfTrue="1">
      <formula>AA1047=0</formula>
    </cfRule>
    <cfRule type="expression" dxfId="42" priority="82" stopIfTrue="1">
      <formula>AA1047&lt;TODAY()</formula>
    </cfRule>
  </conditionalFormatting>
  <conditionalFormatting sqref="AA1048">
    <cfRule type="expression" priority="79" stopIfTrue="1">
      <formula>AA1048=0</formula>
    </cfRule>
    <cfRule type="expression" dxfId="41" priority="80" stopIfTrue="1">
      <formula>AA1048&lt;TODAY()</formula>
    </cfRule>
  </conditionalFormatting>
  <conditionalFormatting sqref="AA1049">
    <cfRule type="expression" priority="77" stopIfTrue="1">
      <formula>AA1049=0</formula>
    </cfRule>
    <cfRule type="expression" dxfId="40" priority="78" stopIfTrue="1">
      <formula>AA1049&lt;TODAY()</formula>
    </cfRule>
  </conditionalFormatting>
  <conditionalFormatting sqref="AA1050">
    <cfRule type="expression" priority="75" stopIfTrue="1">
      <formula>AA1050=0</formula>
    </cfRule>
    <cfRule type="expression" dxfId="39" priority="76" stopIfTrue="1">
      <formula>AA1050&lt;TODAY()</formula>
    </cfRule>
  </conditionalFormatting>
  <conditionalFormatting sqref="AA1051">
    <cfRule type="expression" priority="73" stopIfTrue="1">
      <formula>AA1051=0</formula>
    </cfRule>
    <cfRule type="expression" dxfId="38" priority="74" stopIfTrue="1">
      <formula>AA1051&lt;TODAY()</formula>
    </cfRule>
  </conditionalFormatting>
  <conditionalFormatting sqref="AA1052">
    <cfRule type="expression" priority="71" stopIfTrue="1">
      <formula>AA1052=0</formula>
    </cfRule>
    <cfRule type="expression" dxfId="37" priority="72" stopIfTrue="1">
      <formula>AA1052&lt;TODAY()</formula>
    </cfRule>
  </conditionalFormatting>
  <conditionalFormatting sqref="AA1053">
    <cfRule type="expression" priority="69" stopIfTrue="1">
      <formula>AA1053=0</formula>
    </cfRule>
    <cfRule type="expression" dxfId="36" priority="70" stopIfTrue="1">
      <formula>AA1053&lt;TODAY()</formula>
    </cfRule>
  </conditionalFormatting>
  <conditionalFormatting sqref="AA1054">
    <cfRule type="expression" priority="67" stopIfTrue="1">
      <formula>AA1054=0</formula>
    </cfRule>
    <cfRule type="expression" dxfId="35" priority="68" stopIfTrue="1">
      <formula>AA1054&lt;TODAY()</formula>
    </cfRule>
  </conditionalFormatting>
  <conditionalFormatting sqref="AA1055">
    <cfRule type="expression" priority="65" stopIfTrue="1">
      <formula>AA1055=0</formula>
    </cfRule>
    <cfRule type="expression" dxfId="34" priority="66" stopIfTrue="1">
      <formula>AA1055&lt;TODAY()</formula>
    </cfRule>
  </conditionalFormatting>
  <conditionalFormatting sqref="AA1056">
    <cfRule type="expression" priority="63" stopIfTrue="1">
      <formula>AA1056=0</formula>
    </cfRule>
    <cfRule type="expression" dxfId="33" priority="64" stopIfTrue="1">
      <formula>AA1056&lt;TODAY()</formula>
    </cfRule>
  </conditionalFormatting>
  <conditionalFormatting sqref="AA1057">
    <cfRule type="expression" priority="61" stopIfTrue="1">
      <formula>AA1057=0</formula>
    </cfRule>
    <cfRule type="expression" dxfId="32" priority="62" stopIfTrue="1">
      <formula>AA1057&lt;TODAY()</formula>
    </cfRule>
  </conditionalFormatting>
  <conditionalFormatting sqref="AA1058">
    <cfRule type="expression" priority="59" stopIfTrue="1">
      <formula>AA1058=0</formula>
    </cfRule>
    <cfRule type="expression" dxfId="31" priority="60" stopIfTrue="1">
      <formula>AA1058&lt;TODAY()</formula>
    </cfRule>
  </conditionalFormatting>
  <conditionalFormatting sqref="AA1059">
    <cfRule type="expression" priority="57" stopIfTrue="1">
      <formula>AA1059=0</formula>
    </cfRule>
    <cfRule type="expression" dxfId="30" priority="58" stopIfTrue="1">
      <formula>AA1059&lt;TODAY()</formula>
    </cfRule>
  </conditionalFormatting>
  <conditionalFormatting sqref="AA1060">
    <cfRule type="expression" priority="55" stopIfTrue="1">
      <formula>AA1060=0</formula>
    </cfRule>
    <cfRule type="expression" dxfId="29" priority="56" stopIfTrue="1">
      <formula>AA1060&lt;TODAY()</formula>
    </cfRule>
  </conditionalFormatting>
  <conditionalFormatting sqref="AA1061">
    <cfRule type="expression" priority="53" stopIfTrue="1">
      <formula>AA1061=0</formula>
    </cfRule>
    <cfRule type="expression" dxfId="28" priority="54" stopIfTrue="1">
      <formula>AA1061&lt;TODAY()</formula>
    </cfRule>
  </conditionalFormatting>
  <conditionalFormatting sqref="AA1062">
    <cfRule type="expression" priority="51" stopIfTrue="1">
      <formula>AA1062=0</formula>
    </cfRule>
    <cfRule type="expression" dxfId="27" priority="52" stopIfTrue="1">
      <formula>AA1062&lt;TODAY()</formula>
    </cfRule>
  </conditionalFormatting>
  <conditionalFormatting sqref="AA1063">
    <cfRule type="expression" priority="49" stopIfTrue="1">
      <formula>AA1063=0</formula>
    </cfRule>
    <cfRule type="expression" dxfId="26" priority="50" stopIfTrue="1">
      <formula>AA1063&lt;TODAY()</formula>
    </cfRule>
  </conditionalFormatting>
  <conditionalFormatting sqref="AA1064">
    <cfRule type="expression" priority="47" stopIfTrue="1">
      <formula>AA1064=0</formula>
    </cfRule>
    <cfRule type="expression" dxfId="25" priority="48" stopIfTrue="1">
      <formula>AA1064&lt;TODAY()</formula>
    </cfRule>
  </conditionalFormatting>
  <conditionalFormatting sqref="AA1065">
    <cfRule type="expression" priority="45" stopIfTrue="1">
      <formula>AA1065=0</formula>
    </cfRule>
    <cfRule type="expression" dxfId="24" priority="46" stopIfTrue="1">
      <formula>AA1065&lt;TODAY()</formula>
    </cfRule>
  </conditionalFormatting>
  <conditionalFormatting sqref="AA1066">
    <cfRule type="expression" priority="43" stopIfTrue="1">
      <formula>AA1066=0</formula>
    </cfRule>
    <cfRule type="expression" dxfId="23" priority="44" stopIfTrue="1">
      <formula>AA1066&lt;TODAY()</formula>
    </cfRule>
  </conditionalFormatting>
  <conditionalFormatting sqref="AA1067">
    <cfRule type="expression" priority="41" stopIfTrue="1">
      <formula>AA1067=0</formula>
    </cfRule>
    <cfRule type="expression" dxfId="22" priority="42" stopIfTrue="1">
      <formula>AA1067&lt;TODAY()</formula>
    </cfRule>
  </conditionalFormatting>
  <conditionalFormatting sqref="AA1068">
    <cfRule type="expression" priority="39" stopIfTrue="1">
      <formula>AA1068=0</formula>
    </cfRule>
    <cfRule type="expression" dxfId="21" priority="40" stopIfTrue="1">
      <formula>AA1068&lt;TODAY()</formula>
    </cfRule>
  </conditionalFormatting>
  <conditionalFormatting sqref="AA1069">
    <cfRule type="expression" priority="37" stopIfTrue="1">
      <formula>AA1069=0</formula>
    </cfRule>
    <cfRule type="expression" dxfId="20" priority="38" stopIfTrue="1">
      <formula>AA1069&lt;TODAY()</formula>
    </cfRule>
  </conditionalFormatting>
  <conditionalFormatting sqref="AA1070">
    <cfRule type="expression" priority="35" stopIfTrue="1">
      <formula>AA1070=0</formula>
    </cfRule>
    <cfRule type="expression" dxfId="19" priority="36" stopIfTrue="1">
      <formula>AA1070&lt;TODAY()</formula>
    </cfRule>
  </conditionalFormatting>
  <conditionalFormatting sqref="AA1071">
    <cfRule type="expression" priority="33" stopIfTrue="1">
      <formula>AA1071=0</formula>
    </cfRule>
    <cfRule type="expression" dxfId="18" priority="34" stopIfTrue="1">
      <formula>AA1071&lt;TODAY()</formula>
    </cfRule>
  </conditionalFormatting>
  <conditionalFormatting sqref="AA1072">
    <cfRule type="expression" priority="31" stopIfTrue="1">
      <formula>AA1072=0</formula>
    </cfRule>
    <cfRule type="expression" dxfId="17" priority="32" stopIfTrue="1">
      <formula>AA1072&lt;TODAY()</formula>
    </cfRule>
  </conditionalFormatting>
  <conditionalFormatting sqref="AA1073">
    <cfRule type="expression" priority="29" stopIfTrue="1">
      <formula>AA1073=0</formula>
    </cfRule>
    <cfRule type="expression" dxfId="16" priority="30" stopIfTrue="1">
      <formula>AA1073&lt;TODAY()</formula>
    </cfRule>
  </conditionalFormatting>
  <conditionalFormatting sqref="AA1074">
    <cfRule type="expression" priority="27" stopIfTrue="1">
      <formula>AA1074=0</formula>
    </cfRule>
    <cfRule type="expression" dxfId="15" priority="28" stopIfTrue="1">
      <formula>AA1074&lt;TODAY()</formula>
    </cfRule>
  </conditionalFormatting>
  <conditionalFormatting sqref="AA1075">
    <cfRule type="expression" priority="25" stopIfTrue="1">
      <formula>AA1075=0</formula>
    </cfRule>
    <cfRule type="expression" dxfId="14" priority="26" stopIfTrue="1">
      <formula>AA1075&lt;TODAY()</formula>
    </cfRule>
  </conditionalFormatting>
  <conditionalFormatting sqref="AA1076">
    <cfRule type="expression" priority="23" stopIfTrue="1">
      <formula>AA1076=0</formula>
    </cfRule>
    <cfRule type="expression" dxfId="13" priority="24" stopIfTrue="1">
      <formula>AA1076&lt;TODAY()</formula>
    </cfRule>
  </conditionalFormatting>
  <conditionalFormatting sqref="AA1077">
    <cfRule type="expression" priority="21" stopIfTrue="1">
      <formula>AA1077=0</formula>
    </cfRule>
    <cfRule type="expression" dxfId="12" priority="22" stopIfTrue="1">
      <formula>AA1077&lt;TODAY()</formula>
    </cfRule>
  </conditionalFormatting>
  <conditionalFormatting sqref="AA1078">
    <cfRule type="expression" priority="19" stopIfTrue="1">
      <formula>AA1078=0</formula>
    </cfRule>
    <cfRule type="expression" dxfId="11" priority="20" stopIfTrue="1">
      <formula>AA1078&lt;TODAY()</formula>
    </cfRule>
  </conditionalFormatting>
  <conditionalFormatting sqref="AA1079">
    <cfRule type="expression" priority="17" stopIfTrue="1">
      <formula>AA1079=0</formula>
    </cfRule>
    <cfRule type="expression" dxfId="10" priority="18" stopIfTrue="1">
      <formula>AA1079&lt;TODAY()</formula>
    </cfRule>
  </conditionalFormatting>
  <conditionalFormatting sqref="AA1080">
    <cfRule type="expression" priority="15" stopIfTrue="1">
      <formula>AA1080=0</formula>
    </cfRule>
    <cfRule type="expression" dxfId="9" priority="16" stopIfTrue="1">
      <formula>AA1080&lt;TODAY()</formula>
    </cfRule>
  </conditionalFormatting>
  <conditionalFormatting sqref="AA1081">
    <cfRule type="expression" priority="13" stopIfTrue="1">
      <formula>AA1081=0</formula>
    </cfRule>
    <cfRule type="expression" dxfId="8" priority="14" stopIfTrue="1">
      <formula>AA1081&lt;TODAY()</formula>
    </cfRule>
  </conditionalFormatting>
  <conditionalFormatting sqref="AA1082">
    <cfRule type="expression" priority="11" stopIfTrue="1">
      <formula>AA1082=0</formula>
    </cfRule>
    <cfRule type="expression" dxfId="7" priority="12" stopIfTrue="1">
      <formula>AA1082&lt;TODAY()</formula>
    </cfRule>
  </conditionalFormatting>
  <conditionalFormatting sqref="AA1083">
    <cfRule type="expression" priority="9" stopIfTrue="1">
      <formula>AA1083=0</formula>
    </cfRule>
    <cfRule type="expression" dxfId="6" priority="10" stopIfTrue="1">
      <formula>AA1083&lt;TODAY()</formula>
    </cfRule>
  </conditionalFormatting>
  <conditionalFormatting sqref="AA1084">
    <cfRule type="expression" priority="7" stopIfTrue="1">
      <formula>AA1084=0</formula>
    </cfRule>
    <cfRule type="expression" dxfId="5" priority="8" stopIfTrue="1">
      <formula>AA1084&lt;TODAY()</formula>
    </cfRule>
  </conditionalFormatting>
  <conditionalFormatting sqref="AA1085">
    <cfRule type="expression" priority="5" stopIfTrue="1">
      <formula>AA1085=0</formula>
    </cfRule>
    <cfRule type="expression" dxfId="4" priority="6" stopIfTrue="1">
      <formula>AA1085&lt;TODAY()</formula>
    </cfRule>
  </conditionalFormatting>
  <conditionalFormatting sqref="AA1086">
    <cfRule type="expression" priority="3" stopIfTrue="1">
      <formula>AA1086=0</formula>
    </cfRule>
    <cfRule type="expression" dxfId="3" priority="4" stopIfTrue="1">
      <formula>AA1086&lt;TODAY()</formula>
    </cfRule>
  </conditionalFormatting>
  <conditionalFormatting sqref="AA1087">
    <cfRule type="expression" priority="1" stopIfTrue="1">
      <formula>AA1087=0</formula>
    </cfRule>
    <cfRule type="expression" dxfId="2" priority="2" stopIfTrue="1">
      <formula>AA1087&lt;TODAY()</formula>
    </cfRule>
  </conditionalFormatting>
  <dataValidations xWindow="132" yWindow="413" count="6">
    <dataValidation type="list" allowBlank="1" showInputMessage="1" showErrorMessage="1" sqref="J1089:J1253">
      <formula1>IF(E1089="Alluminio",ProvvAl2,IF(E1089="Bronzo",ProvvBr,ProvvCu2))</formula1>
    </dataValidation>
    <dataValidation type="list" allowBlank="1" showInputMessage="1" showErrorMessage="1" sqref="X1096 AC1093 J7:J1088">
      <formula1>IF(E7="Alluminio",ProvvAl3,IF(E7="Bronzo",ProvvBr,ProvvCu3))</formula1>
    </dataValidation>
    <dataValidation type="list" allowBlank="1" showInputMessage="1" showErrorMessage="1" sqref="AB1093 W1096 I7:I1174">
      <formula1>IF(E7="Alluminio",LargAl,IF(E7="Bronzo",LargBr,LarCu))</formula1>
    </dataValidation>
    <dataValidation type="list" allowBlank="1" showInputMessage="1" showErrorMessage="1" sqref="V1096 AA1093 H7:H1088">
      <formula1>IF(E7="Alluminio",Alu,IF(E7="Bronzo",Br,Cu))</formula1>
    </dataValidation>
    <dataValidation type="list" allowBlank="1" showInputMessage="1" showErrorMessage="1" sqref="X1093 E7:E1092">
      <formula1>Materiale2</formula1>
    </dataValidation>
    <dataValidation type="list" allowBlank="1" showInputMessage="1" showErrorMessage="1" sqref="AD316:AD1088 AD6:AD314">
      <formula1>"OK"</formula1>
    </dataValidation>
  </dataValidations>
  <pageMargins left="0.70866141732283472" right="0.70866141732283472" top="0.74803149606299213" bottom="0.74803149606299213" header="0.31496062992125984" footer="0.31496062992125984"/>
  <pageSetup paperSize="9" scale="80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mdNuovaRiga">
          <controlPr defaultSize="0" autoLine="0" r:id="rId5">
            <anchor moveWithCells="1">
              <from>
                <xdr:col>1</xdr:col>
                <xdr:colOff>276225</xdr:colOff>
                <xdr:row>0</xdr:row>
                <xdr:rowOff>9525</xdr:rowOff>
              </from>
              <to>
                <xdr:col>1</xdr:col>
                <xdr:colOff>1524000</xdr:colOff>
                <xdr:row>2</xdr:row>
                <xdr:rowOff>57150</xdr:rowOff>
              </to>
            </anchor>
          </controlPr>
        </control>
      </mc:Choice>
      <mc:Fallback>
        <control shapeId="1029" r:id="rId4" name="CmdNuovaRiga"/>
      </mc:Fallback>
    </mc:AlternateContent>
    <mc:AlternateContent xmlns:mc="http://schemas.openxmlformats.org/markup-compatibility/2006">
      <mc:Choice Requires="x14">
        <control shapeId="1030" r:id="rId6" name="cmdDuplicaRigaSelezionata">
          <controlPr defaultSize="0" autoLine="0" r:id="rId7">
            <anchor moveWithCells="1">
              <from>
                <xdr:col>2</xdr:col>
                <xdr:colOff>85725</xdr:colOff>
                <xdr:row>0</xdr:row>
                <xdr:rowOff>28575</xdr:rowOff>
              </from>
              <to>
                <xdr:col>3</xdr:col>
                <xdr:colOff>285750</xdr:colOff>
                <xdr:row>2</xdr:row>
                <xdr:rowOff>57150</xdr:rowOff>
              </to>
            </anchor>
          </controlPr>
        </control>
      </mc:Choice>
      <mc:Fallback>
        <control shapeId="1030" r:id="rId6" name="cmdDuplicaRigaSelezionata"/>
      </mc:Fallback>
    </mc:AlternateContent>
    <mc:AlternateContent xmlns:mc="http://schemas.openxmlformats.org/markup-compatibility/2006">
      <mc:Choice Requires="x14">
        <control shapeId="1032" r:id="rId8" name="CmdEliminaERipristinaRiga">
          <controlPr defaultSize="0" autoLine="0" r:id="rId9">
            <anchor moveWithCells="1">
              <from>
                <xdr:col>3</xdr:col>
                <xdr:colOff>428625</xdr:colOff>
                <xdr:row>0</xdr:row>
                <xdr:rowOff>66675</xdr:rowOff>
              </from>
              <to>
                <xdr:col>4</xdr:col>
                <xdr:colOff>447675</xdr:colOff>
                <xdr:row>2</xdr:row>
                <xdr:rowOff>114300</xdr:rowOff>
              </to>
            </anchor>
          </controlPr>
        </control>
      </mc:Choice>
      <mc:Fallback>
        <control shapeId="1032" r:id="rId8" name="CmdEliminaERipristinaRiga"/>
      </mc:Fallback>
    </mc:AlternateContent>
    <mc:AlternateContent xmlns:mc="http://schemas.openxmlformats.org/markup-compatibility/2006">
      <mc:Choice Requires="x14">
        <control shapeId="1034" r:id="rId10" name="CmdSelezionaTabella">
          <controlPr defaultSize="0" autoLine="0" autoPict="0" r:id="rId11">
            <anchor moveWithCells="1">
              <from>
                <xdr:col>11</xdr:col>
                <xdr:colOff>19050</xdr:colOff>
                <xdr:row>0</xdr:row>
                <xdr:rowOff>95250</xdr:rowOff>
              </from>
              <to>
                <xdr:col>16</xdr:col>
                <xdr:colOff>438150</xdr:colOff>
                <xdr:row>2</xdr:row>
                <xdr:rowOff>142875</xdr:rowOff>
              </to>
            </anchor>
          </controlPr>
        </control>
      </mc:Choice>
      <mc:Fallback>
        <control shapeId="1034" r:id="rId10" name="CmdSelezionaTabella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6"/>
  <dimension ref="A3:L63"/>
  <sheetViews>
    <sheetView topLeftCell="A28" workbookViewId="0">
      <selection activeCell="K5" sqref="K5"/>
    </sheetView>
  </sheetViews>
  <sheetFormatPr defaultRowHeight="15" x14ac:dyDescent="0.25"/>
  <cols>
    <col min="1" max="1" width="12.140625" customWidth="1"/>
    <col min="2" max="4" width="14.7109375" customWidth="1"/>
    <col min="6" max="8" width="15.7109375" customWidth="1"/>
    <col min="10" max="10" width="17.7109375" customWidth="1"/>
    <col min="11" max="11" width="15.140625" customWidth="1"/>
    <col min="12" max="12" width="16.7109375" customWidth="1"/>
  </cols>
  <sheetData>
    <row r="3" spans="1:12" ht="16.5" thickBot="1" x14ac:dyDescent="0.3">
      <c r="A3" t="e">
        <f>IF((#REF!+$C$58)=#REF!,"OK","ERRORE")</f>
        <v>#REF!</v>
      </c>
      <c r="B3" s="428" t="s">
        <v>389</v>
      </c>
      <c r="C3" s="428"/>
      <c r="D3" s="428"/>
      <c r="F3" s="428" t="s">
        <v>397</v>
      </c>
      <c r="G3" s="428"/>
      <c r="H3" s="428"/>
      <c r="J3" s="428" t="s">
        <v>405</v>
      </c>
      <c r="K3" s="428"/>
      <c r="L3" s="428"/>
    </row>
    <row r="4" spans="1:12" ht="39.75" thickBot="1" x14ac:dyDescent="0.3">
      <c r="B4" s="213" t="s">
        <v>362</v>
      </c>
      <c r="C4" s="214" t="s">
        <v>38</v>
      </c>
      <c r="D4" s="220" t="s">
        <v>363</v>
      </c>
      <c r="F4" s="213" t="s">
        <v>362</v>
      </c>
      <c r="G4" s="214" t="s">
        <v>38</v>
      </c>
      <c r="H4" s="220" t="s">
        <v>363</v>
      </c>
      <c r="J4" s="213" t="s">
        <v>362</v>
      </c>
      <c r="K4" s="214" t="s">
        <v>38</v>
      </c>
      <c r="L4" s="220" t="s">
        <v>363</v>
      </c>
    </row>
    <row r="5" spans="1:12" x14ac:dyDescent="0.25">
      <c r="B5" s="210">
        <v>1</v>
      </c>
      <c r="C5" s="215">
        <f>SUMIFS(Calkos!$D$7:$D$1088,Calkos!$AK$7:$AK$1088,1,Calkos!$AL$7:$AL$1088,2023)</f>
        <v>0</v>
      </c>
      <c r="D5" s="219"/>
      <c r="F5" s="210">
        <v>1</v>
      </c>
      <c r="G5" s="215">
        <f>SUMIFS(Calkos!$D$7:$D$1088,Calkos!$AK$7:$AK$1088,1,Calkos!$AL$7:$AL$1088,2024)</f>
        <v>0</v>
      </c>
      <c r="H5" s="219"/>
      <c r="J5" s="210">
        <v>1</v>
      </c>
      <c r="K5" s="215">
        <f>SUMIFS(Calkos!$D$7:$D$1088,Calkos!$AK$7:$AK$1088,1,Calkos!$AL$7:$AL$1088,2025)</f>
        <v>0</v>
      </c>
      <c r="L5" s="219"/>
    </row>
    <row r="6" spans="1:12" x14ac:dyDescent="0.25">
      <c r="B6" s="211">
        <f>+B5+1</f>
        <v>2</v>
      </c>
      <c r="C6" s="216">
        <f>SUMIFS(Calkos!$D$7:$D$1088,Calkos!$AK$7:$AK$1088,2,Calkos!$AL$7:$AL$1088,2023)</f>
        <v>0</v>
      </c>
      <c r="D6" s="202"/>
      <c r="F6" s="211">
        <f>+F5+1</f>
        <v>2</v>
      </c>
      <c r="G6" s="216">
        <f>SUMIFS(Calkos!$D$7:$D$1088,Calkos!$AK$7:$AK$1088,2,Calkos!$AL$7:$AL$1088,2024)</f>
        <v>0</v>
      </c>
      <c r="H6" s="202"/>
      <c r="J6" s="211">
        <f>+J5+1</f>
        <v>2</v>
      </c>
      <c r="K6" s="216">
        <f>SUMIFS(Calkos!$D$7:$D$1088,Calkos!$AK$7:$AK$1088,2,Calkos!$AL$7:$AL$1088,2025)</f>
        <v>0</v>
      </c>
      <c r="L6" s="202"/>
    </row>
    <row r="7" spans="1:12" x14ac:dyDescent="0.25">
      <c r="B7" s="211">
        <f t="shared" ref="B7:B57" si="0">+B6+1</f>
        <v>3</v>
      </c>
      <c r="C7" s="216">
        <f>SUMIFS(Calkos!$D$7:$D$1088,Calkos!$AK$7:$AK$1088,3,Calkos!$AL$7:$AL$1088,2023)</f>
        <v>0</v>
      </c>
      <c r="D7" s="202"/>
      <c r="F7" s="211">
        <f t="shared" ref="F7:F57" si="1">+F6+1</f>
        <v>3</v>
      </c>
      <c r="G7" s="216">
        <f>SUMIFS(Calkos!$D$7:$D$1088,Calkos!$AK$7:$AK$1088,3,Calkos!$AL$7:$AL$1088,2024)</f>
        <v>0</v>
      </c>
      <c r="H7" s="202"/>
      <c r="J7" s="211">
        <f t="shared" ref="J7:J57" si="2">+J6+1</f>
        <v>3</v>
      </c>
      <c r="K7" s="216">
        <f>SUMIFS(Calkos!$D$7:$D$1088,Calkos!$AK$7:$AK$1088,3,Calkos!$AL$7:$AL$1088,2025)</f>
        <v>0</v>
      </c>
      <c r="L7" s="202"/>
    </row>
    <row r="8" spans="1:12" x14ac:dyDescent="0.25">
      <c r="B8" s="211">
        <f t="shared" si="0"/>
        <v>4</v>
      </c>
      <c r="C8" s="216">
        <f>SUMIFS(Calkos!$D$7:$D$1088,Calkos!$AK$7:$AK$1088,4,Calkos!$AL$7:$AL$1088,2023)</f>
        <v>0</v>
      </c>
      <c r="D8" s="202"/>
      <c r="F8" s="211">
        <f t="shared" si="1"/>
        <v>4</v>
      </c>
      <c r="G8" s="216">
        <f>SUMIFS(Calkos!$D$7:$D$1088,Calkos!$AK$7:$AK$1088,4,Calkos!$AL$7:$AL$1088,2024)</f>
        <v>0</v>
      </c>
      <c r="H8" s="202"/>
      <c r="J8" s="211">
        <f t="shared" si="2"/>
        <v>4</v>
      </c>
      <c r="K8" s="216">
        <f>SUMIFS(Calkos!$D$7:$D$1088,Calkos!$AK$7:$AK$1088,4,Calkos!$AL$7:$AL$1088,2025)</f>
        <v>0</v>
      </c>
      <c r="L8" s="202"/>
    </row>
    <row r="9" spans="1:12" x14ac:dyDescent="0.25">
      <c r="B9" s="211">
        <f t="shared" si="0"/>
        <v>5</v>
      </c>
      <c r="C9" s="216">
        <f>SUMIFS(Calkos!$D$7:$D$1088,Calkos!$AK$7:$AK$1088,5,Calkos!$AL$7:$AL$1088,2023)</f>
        <v>0</v>
      </c>
      <c r="D9" s="202"/>
      <c r="F9" s="211">
        <f t="shared" si="1"/>
        <v>5</v>
      </c>
      <c r="G9" s="216">
        <f>SUMIFS(Calkos!$D$7:$D$1088,Calkos!$AK$7:$AK$1088,5,Calkos!$AL$7:$AL$1088,2024)</f>
        <v>0</v>
      </c>
      <c r="H9" s="202"/>
      <c r="J9" s="211">
        <f t="shared" si="2"/>
        <v>5</v>
      </c>
      <c r="K9" s="216">
        <f>SUMIFS(Calkos!$D$7:$D$1088,Calkos!$AK$7:$AK$1088,5,Calkos!$AL$7:$AL$1088,2025)</f>
        <v>0</v>
      </c>
      <c r="L9" s="202"/>
    </row>
    <row r="10" spans="1:12" x14ac:dyDescent="0.25">
      <c r="B10" s="211">
        <f t="shared" si="0"/>
        <v>6</v>
      </c>
      <c r="C10" s="216">
        <f>SUMIFS(Calkos!$D$7:$D$1088,Calkos!$AK$7:$AK$1088,6,Calkos!$AL$7:$AL$1088,2023)</f>
        <v>0</v>
      </c>
      <c r="D10" s="202"/>
      <c r="F10" s="211">
        <f t="shared" si="1"/>
        <v>6</v>
      </c>
      <c r="G10" s="216">
        <f>SUMIFS(Calkos!$D$7:$D$1088,Calkos!$AK$7:$AK$1088,6,Calkos!$AL$7:$AL$1088,2024)</f>
        <v>0</v>
      </c>
      <c r="H10" s="202"/>
      <c r="J10" s="211">
        <f t="shared" si="2"/>
        <v>6</v>
      </c>
      <c r="K10" s="216">
        <f>SUMIFS(Calkos!$D$7:$D$1088,Calkos!$AK$7:$AK$1088,6,Calkos!$AL$7:$AL$1088,2025)</f>
        <v>0</v>
      </c>
      <c r="L10" s="202"/>
    </row>
    <row r="11" spans="1:12" x14ac:dyDescent="0.25">
      <c r="B11" s="211">
        <f t="shared" si="0"/>
        <v>7</v>
      </c>
      <c r="C11" s="216">
        <f>SUMIFS(Calkos!$D$7:$D$1088,Calkos!$AK$7:$AK$1088,7,Calkos!$AL$7:$AL$1088,2023)</f>
        <v>0</v>
      </c>
      <c r="D11" s="202"/>
      <c r="F11" s="211">
        <f t="shared" si="1"/>
        <v>7</v>
      </c>
      <c r="G11" s="216">
        <f>SUMIFS(Calkos!$D$7:$D$1088,Calkos!$AK$7:$AK$1088,7,Calkos!$AL$7:$AL$1088,2024)</f>
        <v>0</v>
      </c>
      <c r="H11" s="202"/>
      <c r="J11" s="211">
        <f t="shared" si="2"/>
        <v>7</v>
      </c>
      <c r="K11" s="216">
        <f>SUMIFS(Calkos!$D$7:$D$1088,Calkos!$AK$7:$AK$1088,7,Calkos!$AL$7:$AL$1088,2025)</f>
        <v>0</v>
      </c>
      <c r="L11" s="202"/>
    </row>
    <row r="12" spans="1:12" x14ac:dyDescent="0.25">
      <c r="B12" s="211">
        <f t="shared" si="0"/>
        <v>8</v>
      </c>
      <c r="C12" s="216">
        <f>SUMIFS(Calkos!$D$7:$D$1088,Calkos!$AK$7:$AK$1088,8,Calkos!$AL$7:$AL$1088,2023)</f>
        <v>0</v>
      </c>
      <c r="D12" s="202"/>
      <c r="F12" s="211">
        <f t="shared" si="1"/>
        <v>8</v>
      </c>
      <c r="G12" s="216">
        <f>SUMIFS(Calkos!$D$7:$D$1088,Calkos!$AK$7:$AK$1088,8,Calkos!$AL$7:$AL$1088,2024)</f>
        <v>0</v>
      </c>
      <c r="H12" s="202"/>
      <c r="J12" s="211">
        <f t="shared" si="2"/>
        <v>8</v>
      </c>
      <c r="K12" s="216">
        <f>SUMIFS(Calkos!$D$7:$D$1088,Calkos!$AK$7:$AK$1088,8,Calkos!$AL$7:$AL$1088,2025)</f>
        <v>0</v>
      </c>
      <c r="L12" s="202"/>
    </row>
    <row r="13" spans="1:12" x14ac:dyDescent="0.25">
      <c r="B13" s="211">
        <f t="shared" si="0"/>
        <v>9</v>
      </c>
      <c r="C13" s="216">
        <f>SUMIFS(Calkos!$D$7:$D$1088,Calkos!$AK$7:$AK$1088,9,Calkos!$AL$7:$AL$1088,2023)</f>
        <v>0</v>
      </c>
      <c r="D13" s="202"/>
      <c r="F13" s="211">
        <f t="shared" si="1"/>
        <v>9</v>
      </c>
      <c r="G13" s="216">
        <f>SUMIFS(Calkos!$D$7:$D$1088,Calkos!$AK$7:$AK$1088,9,Calkos!$AL$7:$AL$1088,2024)</f>
        <v>0</v>
      </c>
      <c r="H13" s="202"/>
      <c r="J13" s="211">
        <f t="shared" si="2"/>
        <v>9</v>
      </c>
      <c r="K13" s="216">
        <f>SUMIFS(Calkos!$D$7:$D$1088,Calkos!$AK$7:$AK$1088,9,Calkos!$AL$7:$AL$1088,2025)</f>
        <v>0</v>
      </c>
      <c r="L13" s="202"/>
    </row>
    <row r="14" spans="1:12" x14ac:dyDescent="0.25">
      <c r="B14" s="211">
        <f t="shared" si="0"/>
        <v>10</v>
      </c>
      <c r="C14" s="216">
        <f>SUMIFS(Calkos!$D$7:$D$1088,Calkos!$AK$7:$AK$1088,10,Calkos!$AL$7:$AL$1088,2023)</f>
        <v>0</v>
      </c>
      <c r="D14" s="202"/>
      <c r="F14" s="211">
        <f t="shared" si="1"/>
        <v>10</v>
      </c>
      <c r="G14" s="216">
        <f>SUMIFS(Calkos!$D$7:$D$1088,Calkos!$AK$7:$AK$1088,10,Calkos!$AL$7:$AL$1088,2024)</f>
        <v>0</v>
      </c>
      <c r="H14" s="202"/>
      <c r="J14" s="211">
        <f t="shared" si="2"/>
        <v>10</v>
      </c>
      <c r="K14" s="216">
        <f>SUMIFS(Calkos!$D$7:$D$1088,Calkos!$AK$7:$AK$1088,10,Calkos!$AL$7:$AL$1088,2025)</f>
        <v>0</v>
      </c>
      <c r="L14" s="202"/>
    </row>
    <row r="15" spans="1:12" x14ac:dyDescent="0.25">
      <c r="B15" s="211">
        <f t="shared" si="0"/>
        <v>11</v>
      </c>
      <c r="C15" s="216">
        <f>SUMIFS(Calkos!$D$7:$D$1088,Calkos!$AK$7:$AK$1088,11,Calkos!$AL$7:$AL$1088,2023)</f>
        <v>0</v>
      </c>
      <c r="D15" s="202"/>
      <c r="F15" s="211">
        <f t="shared" si="1"/>
        <v>11</v>
      </c>
      <c r="G15" s="216">
        <f>SUMIFS(Calkos!$D$7:$D$1088,Calkos!$AK$7:$AK$1088,11,Calkos!$AL$7:$AL$1088,2024)</f>
        <v>0</v>
      </c>
      <c r="H15" s="202"/>
      <c r="J15" s="211">
        <f t="shared" si="2"/>
        <v>11</v>
      </c>
      <c r="K15" s="216">
        <f>SUMIFS(Calkos!$D$7:$D$1088,Calkos!$AK$7:$AK$1088,11,Calkos!$AL$7:$AL$1088,2025)</f>
        <v>0</v>
      </c>
      <c r="L15" s="202"/>
    </row>
    <row r="16" spans="1:12" x14ac:dyDescent="0.25">
      <c r="B16" s="211">
        <f t="shared" si="0"/>
        <v>12</v>
      </c>
      <c r="C16" s="216">
        <f>SUMIFS(Calkos!$D$7:$D$1088,Calkos!$AK$7:$AK$1088,12,Calkos!$AL$7:$AL$1088,2023)</f>
        <v>0</v>
      </c>
      <c r="D16" s="202"/>
      <c r="F16" s="211">
        <f t="shared" si="1"/>
        <v>12</v>
      </c>
      <c r="G16" s="216">
        <f>SUMIFS(Calkos!$D$7:$D$1088,Calkos!$AK$7:$AK$1088,12,Calkos!$AL$7:$AL$1088,2024)</f>
        <v>0</v>
      </c>
      <c r="H16" s="202"/>
      <c r="J16" s="211">
        <f t="shared" si="2"/>
        <v>12</v>
      </c>
      <c r="K16" s="216">
        <f>SUMIFS(Calkos!$D$7:$D$1088,Calkos!$AK$7:$AK$1088,12,Calkos!$AL$7:$AL$1088,2025)</f>
        <v>0</v>
      </c>
      <c r="L16" s="202"/>
    </row>
    <row r="17" spans="2:12" x14ac:dyDescent="0.25">
      <c r="B17" s="211">
        <f t="shared" si="0"/>
        <v>13</v>
      </c>
      <c r="C17" s="216">
        <f>SUMIFS(Calkos!$D$7:$D$1088,Calkos!$AK$7:$AK$1088,13,Calkos!$AL$7:$AL$1088,2023)</f>
        <v>0</v>
      </c>
      <c r="D17" s="202"/>
      <c r="F17" s="211">
        <f t="shared" si="1"/>
        <v>13</v>
      </c>
      <c r="G17" s="216">
        <f>SUMIFS(Calkos!$D$7:$D$1088,Calkos!$AK$7:$AK$1088,13,Calkos!$AL$7:$AL$1088,2024)</f>
        <v>0</v>
      </c>
      <c r="H17" s="202"/>
      <c r="J17" s="211">
        <f t="shared" si="2"/>
        <v>13</v>
      </c>
      <c r="K17" s="216">
        <f>SUMIFS(Calkos!$D$7:$D$1088,Calkos!$AK$7:$AK$1088,13,Calkos!$AL$7:$AL$1088,2025)</f>
        <v>0</v>
      </c>
      <c r="L17" s="202"/>
    </row>
    <row r="18" spans="2:12" x14ac:dyDescent="0.25">
      <c r="B18" s="211">
        <f t="shared" si="0"/>
        <v>14</v>
      </c>
      <c r="C18" s="216">
        <f>SUMIFS(Calkos!$D$7:$D$1088,Calkos!$AK$7:$AK$1088,14,Calkos!$AL$7:$AL$1088,2023)</f>
        <v>0</v>
      </c>
      <c r="D18" s="202"/>
      <c r="F18" s="211">
        <f t="shared" si="1"/>
        <v>14</v>
      </c>
      <c r="G18" s="216">
        <f>SUMIFS(Calkos!$D$7:$D$1088,Calkos!$AK$7:$AK$1088,14,Calkos!$AL$7:$AL$1088,2024)</f>
        <v>0</v>
      </c>
      <c r="H18" s="202"/>
      <c r="J18" s="211">
        <f t="shared" si="2"/>
        <v>14</v>
      </c>
      <c r="K18" s="216">
        <f>SUMIFS(Calkos!$D$7:$D$1088,Calkos!$AK$7:$AK$1088,14,Calkos!$AL$7:$AL$1088,2025)</f>
        <v>0</v>
      </c>
      <c r="L18" s="202"/>
    </row>
    <row r="19" spans="2:12" x14ac:dyDescent="0.25">
      <c r="B19" s="211">
        <f t="shared" si="0"/>
        <v>15</v>
      </c>
      <c r="C19" s="216">
        <f>SUMIFS(Calkos!$D$7:$D$1088,Calkos!$AK$7:$AK$1088,15,Calkos!$AL$7:$AL$1088,2023)</f>
        <v>0</v>
      </c>
      <c r="D19" s="202"/>
      <c r="F19" s="211">
        <f t="shared" si="1"/>
        <v>15</v>
      </c>
      <c r="G19" s="216">
        <f>SUMIFS(Calkos!$D$7:$D$1088,Calkos!$AK$7:$AK$1088,15,Calkos!$AL$7:$AL$1088,2024)</f>
        <v>0</v>
      </c>
      <c r="H19" s="202"/>
      <c r="J19" s="211">
        <f t="shared" si="2"/>
        <v>15</v>
      </c>
      <c r="K19" s="216">
        <f>SUMIFS(Calkos!$D$7:$D$1088,Calkos!$AK$7:$AK$1088,15,Calkos!$AL$7:$AL$1088,2025)</f>
        <v>0</v>
      </c>
      <c r="L19" s="202"/>
    </row>
    <row r="20" spans="2:12" x14ac:dyDescent="0.25">
      <c r="B20" s="211">
        <f t="shared" si="0"/>
        <v>16</v>
      </c>
      <c r="C20" s="216">
        <f>SUMIFS(Calkos!$D$7:$D$1088,Calkos!$AK$7:$AK$1088,16,Calkos!$AL$7:$AL$1088,2023)</f>
        <v>0</v>
      </c>
      <c r="D20" s="202"/>
      <c r="F20" s="211">
        <f t="shared" si="1"/>
        <v>16</v>
      </c>
      <c r="G20" s="216">
        <f>SUMIFS(Calkos!$D$7:$D$1088,Calkos!$AK$7:$AK$1088,16,Calkos!$AL$7:$AL$1088,2024)</f>
        <v>0</v>
      </c>
      <c r="H20" s="202"/>
      <c r="J20" s="211">
        <f t="shared" si="2"/>
        <v>16</v>
      </c>
      <c r="K20" s="216">
        <f>SUMIFS(Calkos!$D$7:$D$1088,Calkos!$AK$7:$AK$1088,16,Calkos!$AL$7:$AL$1088,2025)</f>
        <v>0</v>
      </c>
      <c r="L20" s="202"/>
    </row>
    <row r="21" spans="2:12" x14ac:dyDescent="0.25">
      <c r="B21" s="211">
        <f t="shared" si="0"/>
        <v>17</v>
      </c>
      <c r="C21" s="216">
        <f>SUMIFS(Calkos!$D$7:$D$1088,Calkos!$AK$7:$AK$1088,17,Calkos!$AL$7:$AL$1088,2023)</f>
        <v>0</v>
      </c>
      <c r="D21" s="202"/>
      <c r="F21" s="211">
        <f t="shared" si="1"/>
        <v>17</v>
      </c>
      <c r="G21" s="216">
        <f>SUMIFS(Calkos!$D$7:$D$1088,Calkos!$AK$7:$AK$1088,17,Calkos!$AL$7:$AL$1088,2024)</f>
        <v>0</v>
      </c>
      <c r="H21" s="202"/>
      <c r="J21" s="211">
        <f t="shared" si="2"/>
        <v>17</v>
      </c>
      <c r="K21" s="216">
        <f>SUMIFS(Calkos!$D$7:$D$1088,Calkos!$AK$7:$AK$1088,17,Calkos!$AL$7:$AL$1088,2025)</f>
        <v>0</v>
      </c>
      <c r="L21" s="202"/>
    </row>
    <row r="22" spans="2:12" x14ac:dyDescent="0.25">
      <c r="B22" s="211">
        <f t="shared" si="0"/>
        <v>18</v>
      </c>
      <c r="C22" s="216">
        <f>SUMIFS(Calkos!$D$7:$D$1088,Calkos!$AK$7:$AK$1088,18,Calkos!$AL$7:$AL$1088,2023)</f>
        <v>0</v>
      </c>
      <c r="D22" s="202"/>
      <c r="F22" s="211">
        <f t="shared" si="1"/>
        <v>18</v>
      </c>
      <c r="G22" s="216">
        <f>SUMIFS(Calkos!$D$7:$D$1088,Calkos!$AK$7:$AK$1088,18,Calkos!$AL$7:$AL$1088,2024)</f>
        <v>0</v>
      </c>
      <c r="H22" s="202"/>
      <c r="J22" s="211">
        <f t="shared" si="2"/>
        <v>18</v>
      </c>
      <c r="K22" s="216">
        <f>SUMIFS(Calkos!$D$7:$D$1088,Calkos!$AK$7:$AK$1088,18,Calkos!$AL$7:$AL$1088,2025)</f>
        <v>0</v>
      </c>
      <c r="L22" s="202"/>
    </row>
    <row r="23" spans="2:12" x14ac:dyDescent="0.25">
      <c r="B23" s="211">
        <f t="shared" si="0"/>
        <v>19</v>
      </c>
      <c r="C23" s="216">
        <f>SUMIFS(Calkos!$D$7:$D$1088,Calkos!$AK$7:$AK$1088,19,Calkos!$AL$7:$AL$1088,2023)</f>
        <v>0</v>
      </c>
      <c r="D23" s="202"/>
      <c r="F23" s="211">
        <f t="shared" si="1"/>
        <v>19</v>
      </c>
      <c r="G23" s="216">
        <f>SUMIFS(Calkos!$D$7:$D$1088,Calkos!$AK$7:$AK$1088,19,Calkos!$AL$7:$AL$1088,2024)</f>
        <v>0</v>
      </c>
      <c r="H23" s="202"/>
      <c r="J23" s="211">
        <f t="shared" si="2"/>
        <v>19</v>
      </c>
      <c r="K23" s="216">
        <f>SUMIFS(Calkos!$D$7:$D$1088,Calkos!$AK$7:$AK$1088,19,Calkos!$AL$7:$AL$1088,2025)</f>
        <v>0</v>
      </c>
      <c r="L23" s="202"/>
    </row>
    <row r="24" spans="2:12" x14ac:dyDescent="0.25">
      <c r="B24" s="211">
        <f t="shared" si="0"/>
        <v>20</v>
      </c>
      <c r="C24" s="216">
        <f>SUMIFS(Calkos!$D$7:$D$1088,Calkos!$AK$7:$AK$1088,20,Calkos!$AL$7:$AL$1088,2023)</f>
        <v>0</v>
      </c>
      <c r="D24" s="202"/>
      <c r="F24" s="211">
        <f t="shared" si="1"/>
        <v>20</v>
      </c>
      <c r="G24" s="216">
        <f>SUMIFS(Calkos!$D$7:$D$1088,Calkos!$AK$7:$AK$1088,20,Calkos!$AL$7:$AL$1088,2024)</f>
        <v>0</v>
      </c>
      <c r="H24" s="202"/>
      <c r="J24" s="211">
        <f t="shared" si="2"/>
        <v>20</v>
      </c>
      <c r="K24" s="216">
        <f>SUMIFS(Calkos!$D$7:$D$1088,Calkos!$AK$7:$AK$1088,20,Calkos!$AL$7:$AL$1088,2025)</f>
        <v>0</v>
      </c>
      <c r="L24" s="202"/>
    </row>
    <row r="25" spans="2:12" x14ac:dyDescent="0.25">
      <c r="B25" s="211">
        <f t="shared" si="0"/>
        <v>21</v>
      </c>
      <c r="C25" s="216">
        <f>SUMIFS(Calkos!$D$7:$D$1088,Calkos!$AK$7:$AK$1088,21,Calkos!$AL$7:$AL$1088,2023)</f>
        <v>0</v>
      </c>
      <c r="D25" s="202"/>
      <c r="F25" s="211">
        <f t="shared" si="1"/>
        <v>21</v>
      </c>
      <c r="G25" s="216">
        <f>SUMIFS(Calkos!$D$7:$D$1088,Calkos!$AK$7:$AK$1088,21,Calkos!$AL$7:$AL$1088,2024)</f>
        <v>0</v>
      </c>
      <c r="H25" s="202"/>
      <c r="J25" s="211">
        <f t="shared" si="2"/>
        <v>21</v>
      </c>
      <c r="K25" s="216">
        <f>SUMIFS(Calkos!$D$7:$D$1088,Calkos!$AK$7:$AK$1088,21,Calkos!$AL$7:$AL$1088,2025)</f>
        <v>0</v>
      </c>
      <c r="L25" s="202"/>
    </row>
    <row r="26" spans="2:12" x14ac:dyDescent="0.25">
      <c r="B26" s="211">
        <f t="shared" si="0"/>
        <v>22</v>
      </c>
      <c r="C26" s="216">
        <f>SUMIFS(Calkos!$D$7:$D$1088,Calkos!$AK$7:$AK$1088,22,Calkos!$AL$7:$AL$1088,2023)</f>
        <v>0</v>
      </c>
      <c r="D26" s="202"/>
      <c r="F26" s="211">
        <f t="shared" si="1"/>
        <v>22</v>
      </c>
      <c r="G26" s="216">
        <f>SUMIFS(Calkos!$D$7:$D$1088,Calkos!$AK$7:$AK$1088,22,Calkos!$AL$7:$AL$1088,2024)</f>
        <v>0</v>
      </c>
      <c r="H26" s="202"/>
      <c r="J26" s="211">
        <f t="shared" si="2"/>
        <v>22</v>
      </c>
      <c r="K26" s="216">
        <f>SUMIFS(Calkos!$D$7:$D$1088,Calkos!$AK$7:$AK$1088,22,Calkos!$AL$7:$AL$1088,2025)</f>
        <v>0</v>
      </c>
      <c r="L26" s="202"/>
    </row>
    <row r="27" spans="2:12" x14ac:dyDescent="0.25">
      <c r="B27" s="211">
        <f t="shared" si="0"/>
        <v>23</v>
      </c>
      <c r="C27" s="216">
        <f>SUMIFS(Calkos!$D$7:$D$1088,Calkos!$AK$7:$AK$1088,23,Calkos!$AL$7:$AL$1088,2023)</f>
        <v>0</v>
      </c>
      <c r="D27" s="202"/>
      <c r="F27" s="211">
        <f t="shared" si="1"/>
        <v>23</v>
      </c>
      <c r="G27" s="216">
        <f>SUMIFS(Calkos!$D$7:$D$1088,Calkos!$AK$7:$AK$1088,23,Calkos!$AL$7:$AL$1088,2024)</f>
        <v>0</v>
      </c>
      <c r="H27" s="202"/>
      <c r="J27" s="211">
        <f t="shared" si="2"/>
        <v>23</v>
      </c>
      <c r="K27" s="216">
        <f>SUMIFS(Calkos!$D$7:$D$1088,Calkos!$AK$7:$AK$1088,23,Calkos!$AL$7:$AL$1088,2025)</f>
        <v>0</v>
      </c>
      <c r="L27" s="202"/>
    </row>
    <row r="28" spans="2:12" x14ac:dyDescent="0.25">
      <c r="B28" s="211">
        <f t="shared" si="0"/>
        <v>24</v>
      </c>
      <c r="C28" s="216">
        <f>SUMIFS(Calkos!$D$7:$D$1088,Calkos!$AK$7:$AK$1088,24,Calkos!$AL$7:$AL$1088,2023)</f>
        <v>0</v>
      </c>
      <c r="D28" s="202"/>
      <c r="F28" s="211">
        <f t="shared" si="1"/>
        <v>24</v>
      </c>
      <c r="G28" s="216">
        <f>SUMIFS(Calkos!$D$7:$D$1088,Calkos!$AK$7:$AK$1088,24,Calkos!$AL$7:$AL$1088,2024)</f>
        <v>0</v>
      </c>
      <c r="H28" s="202"/>
      <c r="J28" s="211">
        <f t="shared" si="2"/>
        <v>24</v>
      </c>
      <c r="K28" s="216">
        <f>SUMIFS(Calkos!$D$7:$D$1088,Calkos!$AK$7:$AK$1088,24,Calkos!$AL$7:$AL$1088,2054)</f>
        <v>0</v>
      </c>
      <c r="L28" s="202"/>
    </row>
    <row r="29" spans="2:12" x14ac:dyDescent="0.25">
      <c r="B29" s="211">
        <f t="shared" si="0"/>
        <v>25</v>
      </c>
      <c r="C29" s="216">
        <f>SUMIFS(Calkos!$D$7:$D$1088,Calkos!$AK$7:$AK$1088,25,Calkos!$AL$7:$AL$1088,2023)</f>
        <v>0</v>
      </c>
      <c r="D29" s="202"/>
      <c r="F29" s="211">
        <f t="shared" si="1"/>
        <v>25</v>
      </c>
      <c r="G29" s="216">
        <f>SUMIFS(Calkos!$D$7:$D$1088,Calkos!$AK$7:$AK$1088,25,Calkos!$AL$7:$AL$1088,2024)</f>
        <v>0</v>
      </c>
      <c r="H29" s="202"/>
      <c r="J29" s="211">
        <f t="shared" si="2"/>
        <v>25</v>
      </c>
      <c r="K29" s="216">
        <f>SUMIFS(Calkos!$D$7:$D$1088,Calkos!$AK$7:$AK$1088,25,Calkos!$AL$7:$AL$1088,2054)</f>
        <v>0</v>
      </c>
      <c r="L29" s="202"/>
    </row>
    <row r="30" spans="2:12" x14ac:dyDescent="0.25">
      <c r="B30" s="211">
        <f t="shared" si="0"/>
        <v>26</v>
      </c>
      <c r="C30" s="216">
        <f>SUMIFS(Calkos!$D$7:$D$1088,Calkos!$AK$7:$AK$1088,26,Calkos!$AL$7:$AL$1088,2023)</f>
        <v>0</v>
      </c>
      <c r="D30" s="202"/>
      <c r="F30" s="211">
        <f t="shared" si="1"/>
        <v>26</v>
      </c>
      <c r="G30" s="216">
        <f>SUMIFS(Calkos!$D$7:$D$1088,Calkos!$AK$7:$AK$1088,26,Calkos!$AL$7:$AL$1088,2024)</f>
        <v>0</v>
      </c>
      <c r="H30" s="202"/>
      <c r="J30" s="211">
        <f t="shared" si="2"/>
        <v>26</v>
      </c>
      <c r="K30" s="216">
        <f>SUMIFS(Calkos!$D$7:$D$1088,Calkos!$AK$7:$AK$1088,26,Calkos!$AL$7:$AL$1088,2054)</f>
        <v>0</v>
      </c>
      <c r="L30" s="202"/>
    </row>
    <row r="31" spans="2:12" x14ac:dyDescent="0.25">
      <c r="B31" s="211">
        <f t="shared" si="0"/>
        <v>27</v>
      </c>
      <c r="C31" s="216">
        <f>SUMIFS(Calkos!$D$7:$D$1088,Calkos!$AK$7:$AK$1088,27,Calkos!$AL$7:$AL$1088,2023)</f>
        <v>0</v>
      </c>
      <c r="D31" s="202"/>
      <c r="F31" s="211">
        <f t="shared" si="1"/>
        <v>27</v>
      </c>
      <c r="G31" s="216">
        <f>SUMIFS(Calkos!$D$7:$D$1088,Calkos!$AK$7:$AK$1088,27,Calkos!$AL$7:$AL$1088,2024)</f>
        <v>0</v>
      </c>
      <c r="H31" s="202"/>
      <c r="J31" s="211">
        <f t="shared" si="2"/>
        <v>27</v>
      </c>
      <c r="K31" s="216">
        <f>SUMIFS(Calkos!$D$7:$D$1088,Calkos!$AK$7:$AK$1088,27,Calkos!$AL$7:$AL$1088,2054)</f>
        <v>0</v>
      </c>
      <c r="L31" s="202"/>
    </row>
    <row r="32" spans="2:12" x14ac:dyDescent="0.25">
      <c r="B32" s="211">
        <f t="shared" si="0"/>
        <v>28</v>
      </c>
      <c r="C32" s="216">
        <f>SUMIFS(Calkos!$D$7:$D$1088,Calkos!$AK$7:$AK$1088,28,Calkos!$AL$7:$AL$1088,2023)</f>
        <v>0</v>
      </c>
      <c r="D32" s="202"/>
      <c r="F32" s="211">
        <f t="shared" si="1"/>
        <v>28</v>
      </c>
      <c r="G32" s="216">
        <f>SUMIFS(Calkos!$D$7:$D$1088,Calkos!$AK$7:$AK$1088,28,Calkos!$AL$7:$AL$1088,2024)</f>
        <v>0</v>
      </c>
      <c r="H32" s="202"/>
      <c r="J32" s="211">
        <f t="shared" si="2"/>
        <v>28</v>
      </c>
      <c r="K32" s="216">
        <f>SUMIFS(Calkos!$D$7:$D$1088,Calkos!$AK$7:$AK$1088,28,Calkos!$AL$7:$AL$1088,2054)</f>
        <v>0</v>
      </c>
      <c r="L32" s="202"/>
    </row>
    <row r="33" spans="2:12" x14ac:dyDescent="0.25">
      <c r="B33" s="211">
        <f t="shared" si="0"/>
        <v>29</v>
      </c>
      <c r="C33" s="216">
        <f>SUMIFS(Calkos!$D$7:$D$1088,Calkos!$AK$7:$AK$1088,29,Calkos!$AL$7:$AL$1088,2023)</f>
        <v>0</v>
      </c>
      <c r="D33" s="202"/>
      <c r="F33" s="211">
        <f t="shared" si="1"/>
        <v>29</v>
      </c>
      <c r="G33" s="216">
        <f>SUMIFS(Calkos!$D$7:$D$1088,Calkos!$AK$7:$AK$1088,29,Calkos!$AL$7:$AL$1088,2024)</f>
        <v>0</v>
      </c>
      <c r="H33" s="202"/>
      <c r="J33" s="211">
        <f t="shared" si="2"/>
        <v>29</v>
      </c>
      <c r="K33" s="216">
        <f>SUMIFS(Calkos!$D$7:$D$1088,Calkos!$AK$7:$AK$1088,29,Calkos!$AL$7:$AL$1088,2054)</f>
        <v>0</v>
      </c>
      <c r="L33" s="202"/>
    </row>
    <row r="34" spans="2:12" x14ac:dyDescent="0.25">
      <c r="B34" s="211">
        <f t="shared" si="0"/>
        <v>30</v>
      </c>
      <c r="C34" s="216">
        <f>SUMIFS(Calkos!$D$7:$D$1088,Calkos!$AK$7:$AK$1088,30,Calkos!$AL$7:$AL$1088,2023)</f>
        <v>0</v>
      </c>
      <c r="D34" s="202"/>
      <c r="F34" s="211">
        <f t="shared" si="1"/>
        <v>30</v>
      </c>
      <c r="G34" s="216">
        <f>SUMIFS(Calkos!$D$7:$D$1088,Calkos!$AK$7:$AK$1088,30,Calkos!$AL$7:$AL$1088,2024)</f>
        <v>0</v>
      </c>
      <c r="H34" s="202"/>
      <c r="J34" s="211">
        <f t="shared" si="2"/>
        <v>30</v>
      </c>
      <c r="K34" s="216">
        <f>SUMIFS(Calkos!$D$7:$D$1088,Calkos!$AK$7:$AK$1088,30,Calkos!$AL$7:$AL$1088,2054)</f>
        <v>0</v>
      </c>
      <c r="L34" s="202"/>
    </row>
    <row r="35" spans="2:12" x14ac:dyDescent="0.25">
      <c r="B35" s="211">
        <f t="shared" si="0"/>
        <v>31</v>
      </c>
      <c r="C35" s="216">
        <f>SUMIFS(Calkos!$D$7:$D$1088,Calkos!$AK$7:$AK$1088,31,Calkos!$AL$7:$AL$1088,2023)</f>
        <v>0</v>
      </c>
      <c r="D35" s="202"/>
      <c r="F35" s="211">
        <f t="shared" si="1"/>
        <v>31</v>
      </c>
      <c r="G35" s="216">
        <f>SUMIFS(Calkos!$D$7:$D$1088,Calkos!$AK$7:$AK$1088,31,Calkos!$AL$7:$AL$1088,2024)</f>
        <v>0</v>
      </c>
      <c r="H35" s="202"/>
      <c r="J35" s="211">
        <f t="shared" si="2"/>
        <v>31</v>
      </c>
      <c r="K35" s="216">
        <f>SUMIFS(Calkos!$D$7:$D$1088,Calkos!$AK$7:$AK$1088,31,Calkos!$AL$7:$AL$1088,2054)</f>
        <v>0</v>
      </c>
      <c r="L35" s="202"/>
    </row>
    <row r="36" spans="2:12" x14ac:dyDescent="0.25">
      <c r="B36" s="211">
        <f t="shared" si="0"/>
        <v>32</v>
      </c>
      <c r="C36" s="216">
        <f>SUMIFS(Calkos!$D$7:$D$1088,Calkos!$AK$7:$AK$1088,32,Calkos!$AL$7:$AL$1088,2023)</f>
        <v>0</v>
      </c>
      <c r="D36" s="202"/>
      <c r="F36" s="211">
        <f t="shared" si="1"/>
        <v>32</v>
      </c>
      <c r="G36" s="216">
        <f>SUMIFS(Calkos!$D$7:$D$1088,Calkos!$AK$7:$AK$1088,32,Calkos!$AL$7:$AL$1088,2024)</f>
        <v>0</v>
      </c>
      <c r="H36" s="202"/>
      <c r="J36" s="211">
        <f t="shared" si="2"/>
        <v>32</v>
      </c>
      <c r="K36" s="216">
        <f>SUMIFS(Calkos!$D$7:$D$1088,Calkos!$AK$7:$AK$1088,32,Calkos!$AL$7:$AL$1088,2054)</f>
        <v>0</v>
      </c>
      <c r="L36" s="202"/>
    </row>
    <row r="37" spans="2:12" x14ac:dyDescent="0.25">
      <c r="B37" s="211">
        <f t="shared" si="0"/>
        <v>33</v>
      </c>
      <c r="C37" s="216">
        <f>SUMIFS(Calkos!$D$7:$D$1088,Calkos!$AK$7:$AK$1088,33,Calkos!$AL$7:$AL$1088,2023)</f>
        <v>0</v>
      </c>
      <c r="D37" s="202"/>
      <c r="F37" s="211">
        <f t="shared" si="1"/>
        <v>33</v>
      </c>
      <c r="G37" s="216">
        <f>SUMIFS(Calkos!$D$7:$D$1088,Calkos!$AK$7:$AK$1088,33,Calkos!$AL$7:$AL$1088,2024)</f>
        <v>0</v>
      </c>
      <c r="H37" s="202"/>
      <c r="J37" s="211">
        <f t="shared" si="2"/>
        <v>33</v>
      </c>
      <c r="K37" s="216">
        <f>SUMIFS(Calkos!$D$7:$D$1088,Calkos!$AK$7:$AK$1088,33,Calkos!$AL$7:$AL$1088,2025)</f>
        <v>0</v>
      </c>
      <c r="L37" s="202"/>
    </row>
    <row r="38" spans="2:12" x14ac:dyDescent="0.25">
      <c r="B38" s="211">
        <f t="shared" si="0"/>
        <v>34</v>
      </c>
      <c r="C38" s="216">
        <f>SUMIFS(Calkos!$D$7:$D$1088,Calkos!$AK$7:$AK$1088,34,Calkos!$AL$7:$AL$1088,2023)</f>
        <v>0</v>
      </c>
      <c r="D38" s="202"/>
      <c r="F38" s="211">
        <f t="shared" si="1"/>
        <v>34</v>
      </c>
      <c r="G38" s="216">
        <f>SUMIFS(Calkos!$D$7:$D$1088,Calkos!$AK$7:$AK$1088,34,Calkos!$AL$7:$AL$1088,2024)</f>
        <v>0</v>
      </c>
      <c r="H38" s="202"/>
      <c r="J38" s="211">
        <f t="shared" si="2"/>
        <v>34</v>
      </c>
      <c r="K38" s="216">
        <f>SUMIFS(Calkos!$D$7:$D$1088,Calkos!$AK$7:$AK$1088,34,Calkos!$AL$7:$AL$1088,2025)</f>
        <v>0</v>
      </c>
      <c r="L38" s="202"/>
    </row>
    <row r="39" spans="2:12" x14ac:dyDescent="0.25">
      <c r="B39" s="211">
        <f t="shared" si="0"/>
        <v>35</v>
      </c>
      <c r="C39" s="216">
        <f>SUMIFS(Calkos!$D$7:$D$1088,Calkos!$AK$7:$AK$1088,35,Calkos!$AL$7:$AL$1088,2023)</f>
        <v>0</v>
      </c>
      <c r="D39" s="202"/>
      <c r="F39" s="211">
        <f t="shared" si="1"/>
        <v>35</v>
      </c>
      <c r="G39" s="216">
        <f>SUMIFS(Calkos!$D$7:$D$1088,Calkos!$AK$7:$AK$1088,35,Calkos!$AL$7:$AL$1088,2024)</f>
        <v>0</v>
      </c>
      <c r="H39" s="202"/>
      <c r="J39" s="211">
        <f t="shared" si="2"/>
        <v>35</v>
      </c>
      <c r="K39" s="216">
        <f>SUMIFS(Calkos!$D$7:$D$1088,Calkos!$AK$7:$AK$1088,35,Calkos!$AL$7:$AL$1088,2025)</f>
        <v>0</v>
      </c>
      <c r="L39" s="202"/>
    </row>
    <row r="40" spans="2:12" x14ac:dyDescent="0.25">
      <c r="B40" s="211">
        <f t="shared" si="0"/>
        <v>36</v>
      </c>
      <c r="C40" s="216">
        <f>SUMIFS(Calkos!$D$7:$D$1088,Calkos!$AK$7:$AK$1088,36,Calkos!$AL$7:$AL$1088,2023)</f>
        <v>0</v>
      </c>
      <c r="D40" s="202"/>
      <c r="F40" s="211">
        <f t="shared" si="1"/>
        <v>36</v>
      </c>
      <c r="G40" s="216">
        <f>SUMIFS(Calkos!$D$7:$D$1088,Calkos!$AK$7:$AK$1088,36,Calkos!$AL$7:$AL$1088,2024)</f>
        <v>0</v>
      </c>
      <c r="H40" s="202"/>
      <c r="J40" s="211">
        <f t="shared" si="2"/>
        <v>36</v>
      </c>
      <c r="K40" s="216">
        <f>SUMIFS(Calkos!$D$7:$D$1088,Calkos!$AK$7:$AK$1088,36,Calkos!$AL$7:$AL$1088,2025)</f>
        <v>0</v>
      </c>
      <c r="L40" s="202"/>
    </row>
    <row r="41" spans="2:12" x14ac:dyDescent="0.25">
      <c r="B41" s="211">
        <f t="shared" si="0"/>
        <v>37</v>
      </c>
      <c r="C41" s="216">
        <f>SUMIFS(Calkos!$D$7:$D$1088,Calkos!$AK$7:$AK$1088,37,Calkos!$AL$7:$AL$1088,2023)</f>
        <v>0</v>
      </c>
      <c r="D41" s="202"/>
      <c r="F41" s="211">
        <f t="shared" si="1"/>
        <v>37</v>
      </c>
      <c r="G41" s="216">
        <f>SUMIFS(Calkos!$D$7:$D$1088,Calkos!$AK$7:$AK$1088,37,Calkos!$AL$7:$AL$1088,2024)</f>
        <v>0</v>
      </c>
      <c r="H41" s="202"/>
      <c r="J41" s="211">
        <f t="shared" si="2"/>
        <v>37</v>
      </c>
      <c r="K41" s="216">
        <f>SUMIFS(Calkos!$D$7:$D$1088,Calkos!$AK$7:$AK$1088,37,Calkos!$AL$7:$AL$1088,2025)</f>
        <v>0</v>
      </c>
      <c r="L41" s="202"/>
    </row>
    <row r="42" spans="2:12" x14ac:dyDescent="0.25">
      <c r="B42" s="211">
        <f t="shared" si="0"/>
        <v>38</v>
      </c>
      <c r="C42" s="216">
        <f>SUMIFS(Calkos!$D$7:$D$1088,Calkos!$AK$7:$AK$1088,38,Calkos!$AL$7:$AL$1088,2023)</f>
        <v>0</v>
      </c>
      <c r="D42" s="202"/>
      <c r="F42" s="211">
        <f t="shared" si="1"/>
        <v>38</v>
      </c>
      <c r="G42" s="216">
        <f>SUMIFS(Calkos!$D$7:$D$1088,Calkos!$AK$7:$AK$1088,38,Calkos!$AL$7:$AL$1088,2024)</f>
        <v>0</v>
      </c>
      <c r="H42" s="202"/>
      <c r="J42" s="211">
        <f t="shared" si="2"/>
        <v>38</v>
      </c>
      <c r="K42" s="216">
        <f>SUMIFS(Calkos!$D$7:$D$1088,Calkos!$AK$7:$AK$1088,38,Calkos!$AL$7:$AL$1088,2025)</f>
        <v>0</v>
      </c>
      <c r="L42" s="202"/>
    </row>
    <row r="43" spans="2:12" x14ac:dyDescent="0.25">
      <c r="B43" s="211">
        <f t="shared" si="0"/>
        <v>39</v>
      </c>
      <c r="C43" s="216">
        <f>SUMIFS(Calkos!$D$7:$D$1088,Calkos!$AK$7:$AK$1088,39,Calkos!$AL$7:$AL$1088,2023)</f>
        <v>0</v>
      </c>
      <c r="D43" s="202"/>
      <c r="F43" s="211">
        <f t="shared" si="1"/>
        <v>39</v>
      </c>
      <c r="G43" s="216">
        <f>SUMIFS(Calkos!$D$7:$D$1088,Calkos!$AK$7:$AK$1088,39,Calkos!$AL$7:$AL$1088,2024)</f>
        <v>0</v>
      </c>
      <c r="H43" s="202"/>
      <c r="J43" s="211">
        <f t="shared" si="2"/>
        <v>39</v>
      </c>
      <c r="K43" s="216">
        <f>SUMIFS(Calkos!$D$7:$D$1088,Calkos!$AK$7:$AK$1088,39,Calkos!$AL$7:$AL$1088,2025)</f>
        <v>0</v>
      </c>
      <c r="L43" s="202"/>
    </row>
    <row r="44" spans="2:12" x14ac:dyDescent="0.25">
      <c r="B44" s="211">
        <f t="shared" si="0"/>
        <v>40</v>
      </c>
      <c r="C44" s="216">
        <f>SUMIFS(Calkos!$D$7:$D$1088,Calkos!$AK$7:$AK$1088,40,Calkos!$AL$7:$AL$1088,2023)</f>
        <v>0</v>
      </c>
      <c r="D44" s="202"/>
      <c r="F44" s="211">
        <f t="shared" si="1"/>
        <v>40</v>
      </c>
      <c r="G44" s="216">
        <f>SUMIFS(Calkos!$D$7:$D$1088,Calkos!$AK$7:$AK$1088,40,Calkos!$AL$7:$AL$1088,2024)</f>
        <v>0</v>
      </c>
      <c r="H44" s="202"/>
      <c r="J44" s="211">
        <f t="shared" si="2"/>
        <v>40</v>
      </c>
      <c r="K44" s="216">
        <f>SUMIFS(Calkos!$D$7:$D$1088,Calkos!$AK$7:$AK$1088,40,Calkos!$AL$7:$AL$1088,2025)</f>
        <v>0</v>
      </c>
      <c r="L44" s="202"/>
    </row>
    <row r="45" spans="2:12" x14ac:dyDescent="0.25">
      <c r="B45" s="211">
        <f t="shared" si="0"/>
        <v>41</v>
      </c>
      <c r="C45" s="216">
        <f>SUMIFS(Calkos!$D$7:$D$1088,Calkos!$AK$7:$AK$1088,41,Calkos!$AL$7:$AL$1088,2023)</f>
        <v>0</v>
      </c>
      <c r="D45" s="202"/>
      <c r="F45" s="211">
        <f t="shared" si="1"/>
        <v>41</v>
      </c>
      <c r="G45" s="216">
        <f>SUMIFS(Calkos!$D$7:$D$1088,Calkos!$AK$7:$AK$1088,41,Calkos!$AL$7:$AL$1088,2024)</f>
        <v>0</v>
      </c>
      <c r="H45" s="202"/>
      <c r="J45" s="211">
        <f t="shared" si="2"/>
        <v>41</v>
      </c>
      <c r="K45" s="216">
        <f>SUMIFS(Calkos!$D$7:$D$1088,Calkos!$AK$7:$AK$1088,41,Calkos!$AL$7:$AL$1088,2025)</f>
        <v>0</v>
      </c>
      <c r="L45" s="202"/>
    </row>
    <row r="46" spans="2:12" x14ac:dyDescent="0.25">
      <c r="B46" s="211">
        <f t="shared" si="0"/>
        <v>42</v>
      </c>
      <c r="C46" s="216">
        <f>SUMIFS(Calkos!$D$7:$D$1088,Calkos!$AK$7:$AK$1088,42,Calkos!$AL$7:$AL$1088,2023)</f>
        <v>0</v>
      </c>
      <c r="D46" s="202"/>
      <c r="F46" s="211">
        <f t="shared" si="1"/>
        <v>42</v>
      </c>
      <c r="G46" s="216">
        <f>SUMIFS(Calkos!$D$7:$D$1088,Calkos!$AK$7:$AK$1088,42,Calkos!$AL$7:$AL$1088,2024)</f>
        <v>0</v>
      </c>
      <c r="H46" s="202"/>
      <c r="J46" s="211">
        <f t="shared" si="2"/>
        <v>42</v>
      </c>
      <c r="K46" s="216">
        <f>SUMIFS(Calkos!$D$7:$D$1088,Calkos!$AK$7:$AK$1088,42,Calkos!$AL$7:$AL$1088,2025)</f>
        <v>0</v>
      </c>
      <c r="L46" s="202"/>
    </row>
    <row r="47" spans="2:12" x14ac:dyDescent="0.25">
      <c r="B47" s="211">
        <f t="shared" si="0"/>
        <v>43</v>
      </c>
      <c r="C47" s="216">
        <f>SUMIFS(Calkos!$D$7:$D$1088,Calkos!$AK$7:$AK$1088,43,Calkos!$AL$7:$AL$1088,2023)</f>
        <v>0</v>
      </c>
      <c r="D47" s="202"/>
      <c r="F47" s="211">
        <f t="shared" si="1"/>
        <v>43</v>
      </c>
      <c r="G47" s="216">
        <f>SUMIFS(Calkos!$D$7:$D$1088,Calkos!$AK$7:$AK$1088,43,Calkos!$AL$7:$AL$1088,2021)</f>
        <v>0</v>
      </c>
      <c r="H47" s="202"/>
      <c r="J47" s="211">
        <f t="shared" si="2"/>
        <v>43</v>
      </c>
      <c r="K47" s="216">
        <f>SUMIFS(Calkos!$D$7:$D$1088,Calkos!$AK$7:$AK$1088,43,Calkos!$AL$7:$AL$1088,2025)</f>
        <v>0</v>
      </c>
      <c r="L47" s="202"/>
    </row>
    <row r="48" spans="2:12" x14ac:dyDescent="0.25">
      <c r="B48" s="211">
        <f t="shared" si="0"/>
        <v>44</v>
      </c>
      <c r="C48" s="216">
        <f>SUMIFS(Calkos!$D$7:$D$1088,Calkos!$AK$7:$AK$1088,44,Calkos!$AL$7:$AL$1088,2023)</f>
        <v>0</v>
      </c>
      <c r="D48" s="202"/>
      <c r="F48" s="211">
        <f t="shared" si="1"/>
        <v>44</v>
      </c>
      <c r="G48" s="216">
        <f>SUMIFS(Calkos!$D$7:$D$1088,Calkos!$AK$7:$AK$1088,44,Calkos!$AL$7:$AL$1088,2024)</f>
        <v>0</v>
      </c>
      <c r="H48" s="202"/>
      <c r="J48" s="211">
        <f t="shared" si="2"/>
        <v>44</v>
      </c>
      <c r="K48" s="216">
        <f>SUMIFS(Calkos!$D$7:$D$1088,Calkos!$AK$7:$AK$1088,44,Calkos!$AL$7:$AL$1088,2025)</f>
        <v>0</v>
      </c>
      <c r="L48" s="202"/>
    </row>
    <row r="49" spans="2:12" x14ac:dyDescent="0.25">
      <c r="B49" s="211">
        <f t="shared" si="0"/>
        <v>45</v>
      </c>
      <c r="C49" s="216">
        <f>SUMIFS(Calkos!$D$7:$D$1088,Calkos!$AK$7:$AK$1088,45,Calkos!$AL$7:$AL$1088,2023)</f>
        <v>0</v>
      </c>
      <c r="D49" s="202"/>
      <c r="F49" s="211">
        <f t="shared" si="1"/>
        <v>45</v>
      </c>
      <c r="G49" s="216">
        <f>SUMIFS(Calkos!$D$7:$D$1088,Calkos!$AK$7:$AK$1088,45,Calkos!$AL$7:$AL$1088,2024)</f>
        <v>0</v>
      </c>
      <c r="H49" s="202"/>
      <c r="J49" s="211">
        <f t="shared" si="2"/>
        <v>45</v>
      </c>
      <c r="K49" s="216">
        <f>SUMIFS(Calkos!$D$7:$D$1088,Calkos!$AK$7:$AK$1088,45,Calkos!$AL$7:$AL$1088,2025)</f>
        <v>0</v>
      </c>
      <c r="L49" s="202"/>
    </row>
    <row r="50" spans="2:12" x14ac:dyDescent="0.25">
      <c r="B50" s="211">
        <f t="shared" si="0"/>
        <v>46</v>
      </c>
      <c r="C50" s="216">
        <f>SUMIFS(Calkos!$D$7:$D$1088,Calkos!$AK$7:$AK$1088,46,Calkos!$AL$7:$AL$1088,2023)</f>
        <v>0</v>
      </c>
      <c r="D50" s="202"/>
      <c r="F50" s="211">
        <f t="shared" si="1"/>
        <v>46</v>
      </c>
      <c r="G50" s="216">
        <f>SUMIFS(Calkos!$D$7:$D$1088,Calkos!$AK$7:$AK$1088,46,Calkos!$AL$7:$AL$1088,2024)</f>
        <v>0</v>
      </c>
      <c r="H50" s="202"/>
      <c r="J50" s="211">
        <f t="shared" si="2"/>
        <v>46</v>
      </c>
      <c r="K50" s="216">
        <f>SUMIFS(Calkos!$D$7:$D$1088,Calkos!$AK$7:$AK$1088,46,Calkos!$AL$7:$AL$1088,2025)</f>
        <v>0</v>
      </c>
      <c r="L50" s="202"/>
    </row>
    <row r="51" spans="2:12" x14ac:dyDescent="0.25">
      <c r="B51" s="211">
        <f t="shared" si="0"/>
        <v>47</v>
      </c>
      <c r="C51" s="216">
        <f>SUMIFS(Calkos!$D$7:$D$1088,Calkos!$AK$7:$AK$1088,47,Calkos!$AL$7:$AL$1088,2023)</f>
        <v>0</v>
      </c>
      <c r="D51" s="202"/>
      <c r="F51" s="211">
        <f t="shared" si="1"/>
        <v>47</v>
      </c>
      <c r="G51" s="216">
        <f>SUMIFS(Calkos!$D$7:$D$1088,Calkos!$AK$7:$AK$1088,47,Calkos!$AL$7:$AL$1088,2024)</f>
        <v>0</v>
      </c>
      <c r="H51" s="202"/>
      <c r="J51" s="211">
        <f t="shared" si="2"/>
        <v>47</v>
      </c>
      <c r="K51" s="216">
        <f>SUMIFS(Calkos!$D$7:$D$1088,Calkos!$AK$7:$AK$1088,47,Calkos!$AL$7:$AL$1088,2025)</f>
        <v>0</v>
      </c>
      <c r="L51" s="202"/>
    </row>
    <row r="52" spans="2:12" x14ac:dyDescent="0.25">
      <c r="B52" s="211">
        <f t="shared" si="0"/>
        <v>48</v>
      </c>
      <c r="C52" s="216">
        <f>SUMIFS(Calkos!$D$7:$D$1088,Calkos!$AK$7:$AK$1088,48,Calkos!$AL$7:$AL$1088,2023)</f>
        <v>0</v>
      </c>
      <c r="D52" s="202"/>
      <c r="F52" s="211">
        <f t="shared" si="1"/>
        <v>48</v>
      </c>
      <c r="G52" s="216">
        <f>SUMIFS(Calkos!$D$7:$D$1088,Calkos!$AK$7:$AK$1088,48,Calkos!$AL$7:$AL$1088,2024)</f>
        <v>0</v>
      </c>
      <c r="H52" s="202"/>
      <c r="J52" s="211">
        <f t="shared" si="2"/>
        <v>48</v>
      </c>
      <c r="K52" s="216">
        <f>SUMIFS(Calkos!$D$7:$D$1088,Calkos!$AK$7:$AK$1088,48,Calkos!$AL$7:$AL$1088,2025)</f>
        <v>0</v>
      </c>
      <c r="L52" s="202"/>
    </row>
    <row r="53" spans="2:12" x14ac:dyDescent="0.25">
      <c r="B53" s="211">
        <f t="shared" si="0"/>
        <v>49</v>
      </c>
      <c r="C53" s="216">
        <f>SUMIFS(Calkos!$D$7:$D$1088,Calkos!$AK$7:$AK$1088,49,Calkos!$AL$7:$AL$1088,2023)</f>
        <v>0</v>
      </c>
      <c r="D53" s="202"/>
      <c r="F53" s="211">
        <f t="shared" si="1"/>
        <v>49</v>
      </c>
      <c r="G53" s="216">
        <f>SUMIFS(Calkos!$D$7:$D$1088,Calkos!$AK$7:$AK$1088,49,Calkos!$AL$7:$AL$1088,2024)</f>
        <v>0</v>
      </c>
      <c r="H53" s="202"/>
      <c r="J53" s="211">
        <f t="shared" si="2"/>
        <v>49</v>
      </c>
      <c r="K53" s="216">
        <f>SUMIFS(Calkos!$D$7:$D$1088,Calkos!$AK$7:$AK$1088,49,Calkos!$AL$7:$AL$1088,2025)</f>
        <v>0</v>
      </c>
      <c r="L53" s="202"/>
    </row>
    <row r="54" spans="2:12" x14ac:dyDescent="0.25">
      <c r="B54" s="211">
        <f t="shared" si="0"/>
        <v>50</v>
      </c>
      <c r="C54" s="216">
        <f>SUMIFS(Calkos!$D$7:$D$1088,Calkos!$AK$7:$AK$1088,50,Calkos!$AL$7:$AL$1088,2023)</f>
        <v>0</v>
      </c>
      <c r="D54" s="202"/>
      <c r="F54" s="211">
        <f t="shared" si="1"/>
        <v>50</v>
      </c>
      <c r="G54" s="216">
        <f>SUMIFS(Calkos!$D$7:$D$1088,Calkos!$AK$7:$AK$1088,50,Calkos!$AL$7:$AL$1088,2024)</f>
        <v>0</v>
      </c>
      <c r="H54" s="202"/>
      <c r="J54" s="211">
        <f t="shared" si="2"/>
        <v>50</v>
      </c>
      <c r="K54" s="216">
        <f>SUMIFS(Calkos!$D$7:$D$1088,Calkos!$AK$7:$AK$1088,50,Calkos!$AL$7:$AL$1088,2025)</f>
        <v>0</v>
      </c>
      <c r="L54" s="202"/>
    </row>
    <row r="55" spans="2:12" x14ac:dyDescent="0.25">
      <c r="B55" s="211">
        <f t="shared" si="0"/>
        <v>51</v>
      </c>
      <c r="C55" s="216">
        <f>SUMIFS(Calkos!$D$7:$D$1088,Calkos!$AK$7:$AK$1088,51,Calkos!$AL$7:$AL$1088,2023)</f>
        <v>0</v>
      </c>
      <c r="D55" s="202"/>
      <c r="F55" s="211">
        <f t="shared" si="1"/>
        <v>51</v>
      </c>
      <c r="G55" s="216">
        <f>SUMIFS(Calkos!$D$7:$D$1088,Calkos!$AK$7:$AK$1088,50,Calkos!$AL$7:$AL$1088,2024)</f>
        <v>0</v>
      </c>
      <c r="H55" s="202"/>
      <c r="J55" s="211">
        <f t="shared" si="2"/>
        <v>51</v>
      </c>
      <c r="K55" s="216">
        <f>SUMIFS(Calkos!$D$7:$D$1088,Calkos!$AK$7:$AK$1088,51,Calkos!$AL$7:$AL$1088,2025)</f>
        <v>0</v>
      </c>
      <c r="L55" s="202"/>
    </row>
    <row r="56" spans="2:12" x14ac:dyDescent="0.25">
      <c r="B56" s="211">
        <f t="shared" si="0"/>
        <v>52</v>
      </c>
      <c r="C56" s="216">
        <f>SUMIFS(Calkos!$D$7:$D$1088,Calkos!$AK$7:$AK$1088,52,Calkos!$AL$7:$AL$1088,2023)</f>
        <v>0</v>
      </c>
      <c r="D56" s="202"/>
      <c r="F56" s="211">
        <f t="shared" si="1"/>
        <v>52</v>
      </c>
      <c r="G56" s="216">
        <f>SUMIFS(Calkos!$D$7:$D$1088,Calkos!$AK$7:$AK$1088,52,Calkos!$AL$7:$AL$1088,2024)</f>
        <v>0</v>
      </c>
      <c r="H56" s="202"/>
      <c r="J56" s="211">
        <f t="shared" si="2"/>
        <v>52</v>
      </c>
      <c r="K56" s="216">
        <f>SUMIFS(Calkos!$D$7:$D$1088,Calkos!$AK$7:$AK$1088,52,Calkos!$AL$7:$AL$1088,2025)</f>
        <v>0</v>
      </c>
      <c r="L56" s="202"/>
    </row>
    <row r="57" spans="2:12" ht="15.75" thickBot="1" x14ac:dyDescent="0.3">
      <c r="B57" s="212">
        <f t="shared" si="0"/>
        <v>53</v>
      </c>
      <c r="C57" s="217">
        <f>SUMIFS(Calkos!$D$7:$D$1088,Calkos!$AK$7:$AK$1088,53,Calkos!$AL$7:$AL$1088,2023)</f>
        <v>0</v>
      </c>
      <c r="D57" s="218"/>
      <c r="F57" s="212">
        <f t="shared" si="1"/>
        <v>53</v>
      </c>
      <c r="G57" s="217">
        <f>SUMIFS(Calkos!$D$7:$D$1088,Calkos!$AK$7:$AK$1088,53,Calkos!$AL$7:$AL$1088,2024)</f>
        <v>0</v>
      </c>
      <c r="H57" s="218"/>
      <c r="J57" s="212">
        <f t="shared" si="2"/>
        <v>53</v>
      </c>
      <c r="K57" s="217">
        <f>SUMIFS(Calkos!$D$7:$D$1088,Calkos!$AK$7:$AK$1088,53,Calkos!$AL$7:$AL$1088,2025)</f>
        <v>0</v>
      </c>
      <c r="L57" s="218"/>
    </row>
    <row r="58" spans="2:12" ht="15.75" thickBot="1" x14ac:dyDescent="0.3">
      <c r="C58" s="209">
        <f>SUM(C5:C57)</f>
        <v>0</v>
      </c>
      <c r="G58" s="209">
        <f>SUM(G5:G57)</f>
        <v>0</v>
      </c>
      <c r="K58" s="209">
        <f>SUM(K5:K57)</f>
        <v>0</v>
      </c>
    </row>
    <row r="62" spans="2:12" x14ac:dyDescent="0.25">
      <c r="B62" t="s">
        <v>368</v>
      </c>
      <c r="C62" t="s">
        <v>369</v>
      </c>
      <c r="D62" t="s">
        <v>370</v>
      </c>
    </row>
    <row r="63" spans="2:12" x14ac:dyDescent="0.25">
      <c r="B63">
        <f>SUMIF(Calkos!$AA7:$AA1088,"",Calkos!$D7:$D1088)</f>
        <v>294822</v>
      </c>
      <c r="C63" s="153">
        <f>+Calkos!$D1089</f>
        <v>706969</v>
      </c>
      <c r="D63" s="153">
        <f>+C63-B63</f>
        <v>412147</v>
      </c>
    </row>
  </sheetData>
  <mergeCells count="3">
    <mergeCell ref="B3:D3"/>
    <mergeCell ref="F3:H3"/>
    <mergeCell ref="J3:L3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5"/>
  <dimension ref="A3:E91"/>
  <sheetViews>
    <sheetView workbookViewId="0">
      <selection activeCell="C50" sqref="C50"/>
    </sheetView>
  </sheetViews>
  <sheetFormatPr defaultRowHeight="15" x14ac:dyDescent="0.25"/>
  <cols>
    <col min="1" max="3" width="15.85546875" customWidth="1"/>
    <col min="4" max="4" width="11.42578125" customWidth="1"/>
  </cols>
  <sheetData>
    <row r="3" spans="1:3" ht="19.5" thickBot="1" x14ac:dyDescent="0.35">
      <c r="A3" s="190"/>
      <c r="B3" s="429">
        <v>2022</v>
      </c>
      <c r="C3" s="429"/>
    </row>
    <row r="4" spans="1:3" ht="16.5" thickBot="1" x14ac:dyDescent="0.3">
      <c r="A4" s="191"/>
      <c r="B4" s="430" t="s">
        <v>342</v>
      </c>
      <c r="C4" s="431"/>
    </row>
    <row r="5" spans="1:3" ht="16.5" thickBot="1" x14ac:dyDescent="0.3">
      <c r="A5" s="192" t="s">
        <v>277</v>
      </c>
      <c r="B5" s="193" t="s">
        <v>343</v>
      </c>
      <c r="C5" s="194" t="s">
        <v>38</v>
      </c>
    </row>
    <row r="6" spans="1:3" x14ac:dyDescent="0.25">
      <c r="A6" s="197" t="s">
        <v>344</v>
      </c>
      <c r="B6" s="198">
        <f>SUMIFS(Calkos!X$7:X$1088,Calkos!$AS$7:$AS$1088,1,Calkos!$AT$7:$AT$1088,2022)</f>
        <v>0</v>
      </c>
      <c r="C6" s="199">
        <f>SUMIFS(Calkos!D$7:D$1088,Calkos!$AS$7:$AS$1088,1,Calkos!$AT$7:$AT$1088,2022)</f>
        <v>0</v>
      </c>
    </row>
    <row r="7" spans="1:3" x14ac:dyDescent="0.25">
      <c r="A7" s="200" t="s">
        <v>345</v>
      </c>
      <c r="B7" s="201">
        <f>SUMIFS(Calkos!X$7:X$1088,Calkos!$AS$7:$AS$1088,2,Calkos!$AT$7:$AT$1088,2022)</f>
        <v>0</v>
      </c>
      <c r="C7" s="202">
        <f>SUMIFS(Calkos!D$7:D$1088,Calkos!$AS$7:$AS$1088,2,Calkos!$AT$7:$AT$1088,2022)</f>
        <v>0</v>
      </c>
    </row>
    <row r="8" spans="1:3" x14ac:dyDescent="0.25">
      <c r="A8" s="200" t="s">
        <v>346</v>
      </c>
      <c r="B8" s="201">
        <f>SUMIFS(Calkos!X$7:X$1088,Calkos!$AS$7:$AS$1088,3,Calkos!$AT$7:$AT$1088,2022)</f>
        <v>0</v>
      </c>
      <c r="C8" s="202">
        <f>SUMIFS(Calkos!D$7:D$1088,Calkos!$AS$7:$AS$1088,3,Calkos!$AT$7:$AT$1088,2022)</f>
        <v>0</v>
      </c>
    </row>
    <row r="9" spans="1:3" x14ac:dyDescent="0.25">
      <c r="A9" s="200" t="s">
        <v>347</v>
      </c>
      <c r="B9" s="201">
        <f>SUMIFS(Calkos!X$7:X$1088,Calkos!$AS$7:$AS$1088,4,Calkos!$AT$7:$AT$1088,2022)</f>
        <v>0</v>
      </c>
      <c r="C9" s="202">
        <f>SUMIFS(Calkos!D$7:D$1088,Calkos!$AS$7:$AS$1088,4,Calkos!$AT$7:$AT$1088,2022)</f>
        <v>0</v>
      </c>
    </row>
    <row r="10" spans="1:3" x14ac:dyDescent="0.25">
      <c r="A10" s="200" t="s">
        <v>348</v>
      </c>
      <c r="B10" s="201">
        <f>SUMIFS(Calkos!X$7:X$1088,Calkos!$AS$7:$AS$1088,5,Calkos!$AT$7:$AT$1088,2022)</f>
        <v>0</v>
      </c>
      <c r="C10" s="202">
        <f>SUMIFS(Calkos!D$7:D$1088,Calkos!$AS$7:$AS$1088,5,Calkos!$AT$7:$AT$1088,2022)</f>
        <v>0</v>
      </c>
    </row>
    <row r="11" spans="1:3" x14ac:dyDescent="0.25">
      <c r="A11" s="200" t="s">
        <v>349</v>
      </c>
      <c r="B11" s="201">
        <f>SUMIFS(Calkos!X$7:X$1088,Calkos!$AS$7:$AS$1088,6,Calkos!$AT$7:$AT$1088,2022)</f>
        <v>0</v>
      </c>
      <c r="C11" s="202">
        <f>SUMIFS(Calkos!D$7:D$1088,Calkos!$AS$7:$AS$1088,6,Calkos!$AT$7:$AT$1088,2022)</f>
        <v>0</v>
      </c>
    </row>
    <row r="12" spans="1:3" x14ac:dyDescent="0.25">
      <c r="A12" s="200" t="s">
        <v>350</v>
      </c>
      <c r="B12" s="201">
        <f>SUMIFS(Calkos!X$7:X$1088,Calkos!$AS$7:$AS$1088,7,Calkos!$AT$7:$AT$1088,2022)</f>
        <v>0</v>
      </c>
      <c r="C12" s="202">
        <f>SUMIFS(Calkos!D$7:D$1088,Calkos!$AS$7:$AS$1088,7,Calkos!$AT$7:$AT$1088,2022)</f>
        <v>0</v>
      </c>
    </row>
    <row r="13" spans="1:3" x14ac:dyDescent="0.25">
      <c r="A13" s="200" t="s">
        <v>351</v>
      </c>
      <c r="B13" s="201">
        <f>SUMIFS(Calkos!X$7:X$1088,Calkos!$AS$7:$AS$1088,8,Calkos!$AT$7:$AT$1088,2022)</f>
        <v>0</v>
      </c>
      <c r="C13" s="202">
        <f>SUMIFS(Calkos!D$7:D$1088,Calkos!$AS$7:$AS$1088,8,Calkos!$AT$7:$AT$1088,2022)</f>
        <v>0</v>
      </c>
    </row>
    <row r="14" spans="1:3" x14ac:dyDescent="0.25">
      <c r="A14" s="200" t="s">
        <v>352</v>
      </c>
      <c r="B14" s="201">
        <f>SUMIFS(Calkos!X$7:X$1088,Calkos!$AS$7:$AS$1088,9,Calkos!$AT$7:$AT$1088,2022)</f>
        <v>0</v>
      </c>
      <c r="C14" s="202">
        <f>SUMIFS(Calkos!D$7:D$1088,Calkos!$AS$7:$AS$1088,9,Calkos!$AT$7:$AT$1088,2022)</f>
        <v>0</v>
      </c>
    </row>
    <row r="15" spans="1:3" x14ac:dyDescent="0.25">
      <c r="A15" s="200" t="s">
        <v>353</v>
      </c>
      <c r="B15" s="201">
        <f>SUMIFS(Calkos!X$7:X$1088,Calkos!$AS$7:$AS$1088,10,Calkos!$AT$7:$AT$1088,2022)</f>
        <v>0</v>
      </c>
      <c r="C15" s="202">
        <f>SUMIFS(Calkos!D$7:D$1088,Calkos!$AS$7:$AS$1088,10,Calkos!$AT$7:$AT$1088,2022)</f>
        <v>0</v>
      </c>
    </row>
    <row r="16" spans="1:3" x14ac:dyDescent="0.25">
      <c r="A16" s="200" t="s">
        <v>354</v>
      </c>
      <c r="B16" s="201">
        <f>SUMIFS(Calkos!X$7:X$1088,Calkos!$AS$7:$AS$1088,11,Calkos!$AT$7:$AT$1088,2022)</f>
        <v>0</v>
      </c>
      <c r="C16" s="202">
        <f>SUMIFS(Calkos!D$7:D$1088,Calkos!$AS$7:$AS$1088,11,Calkos!$AT$7:$AT$1088,2022)</f>
        <v>0</v>
      </c>
    </row>
    <row r="17" spans="1:3" ht="15.75" thickBot="1" x14ac:dyDescent="0.3">
      <c r="A17" s="203" t="s">
        <v>355</v>
      </c>
      <c r="B17" s="204">
        <f>SUMIFS(Calkos!X$7:X$1088,Calkos!$AS$7:$AS$1088,12,Calkos!$AT$7:$AT$1088,2022)</f>
        <v>0</v>
      </c>
      <c r="C17" s="205">
        <f>SUMIFS(Calkos!D$7:D$1088,Calkos!$AS$7:$AS$1088,12,Calkos!$AT$7:$AT$1088,2022)</f>
        <v>0</v>
      </c>
    </row>
    <row r="18" spans="1:3" ht="16.5" thickBot="1" x14ac:dyDescent="0.3">
      <c r="B18" s="196">
        <f>SUM(B6:B17)</f>
        <v>0</v>
      </c>
      <c r="C18" s="195">
        <f>SUM(C6:C17)</f>
        <v>0</v>
      </c>
    </row>
    <row r="21" spans="1:3" ht="19.5" thickBot="1" x14ac:dyDescent="0.35">
      <c r="A21" s="190"/>
      <c r="B21" s="429">
        <v>2023</v>
      </c>
      <c r="C21" s="429"/>
    </row>
    <row r="22" spans="1:3" ht="16.5" thickBot="1" x14ac:dyDescent="0.3">
      <c r="A22" s="191"/>
      <c r="B22" s="430" t="s">
        <v>342</v>
      </c>
      <c r="C22" s="431"/>
    </row>
    <row r="23" spans="1:3" ht="16.5" thickBot="1" x14ac:dyDescent="0.3">
      <c r="A23" s="192" t="s">
        <v>277</v>
      </c>
      <c r="B23" s="193" t="s">
        <v>343</v>
      </c>
      <c r="C23" s="194" t="s">
        <v>38</v>
      </c>
    </row>
    <row r="24" spans="1:3" x14ac:dyDescent="0.25">
      <c r="A24" s="197" t="s">
        <v>377</v>
      </c>
      <c r="B24" s="198">
        <f>SUMIFS(Calkos!X$7:X$1088,Calkos!$AS$7:$AS$1088,1,Calkos!$AT$7:$AT$1088,2023)</f>
        <v>0</v>
      </c>
      <c r="C24" s="199">
        <f>SUMIFS(Calkos!D$7:D$1088,Calkos!$AS$7:$AS$1088,1,Calkos!$AT$7:$AT$1088,2023)</f>
        <v>0</v>
      </c>
    </row>
    <row r="25" spans="1:3" x14ac:dyDescent="0.25">
      <c r="A25" s="200" t="s">
        <v>378</v>
      </c>
      <c r="B25" s="201">
        <f>SUMIFS(Calkos!X$7:X$1088,Calkos!$AS$7:$AS$1088,2,Calkos!$AT$7:$AT$1088,2023)</f>
        <v>0</v>
      </c>
      <c r="C25" s="202">
        <f>SUMIFS(Calkos!D$7:D$1088,Calkos!$AS$7:$AS$1088,2,Calkos!$AT$7:$AT$1088,2023)</f>
        <v>0</v>
      </c>
    </row>
    <row r="26" spans="1:3" x14ac:dyDescent="0.25">
      <c r="A26" s="200" t="s">
        <v>379</v>
      </c>
      <c r="B26" s="201">
        <f>SUMIFS(Calkos!X$7:X$1088,Calkos!$AS$7:$AS$1088,3,Calkos!$AT$7:$AT$1088,2023)</f>
        <v>0</v>
      </c>
      <c r="C26" s="202">
        <f>SUMIFS(Calkos!D$7:D$1088,Calkos!$AS$7:$AS$1088,3,Calkos!$AT$7:$AT$1088,2023)</f>
        <v>0</v>
      </c>
    </row>
    <row r="27" spans="1:3" x14ac:dyDescent="0.25">
      <c r="A27" s="200" t="s">
        <v>380</v>
      </c>
      <c r="B27" s="201">
        <f>SUMIFS(Calkos!X$7:X$1088,Calkos!$AS$7:$AS$1088,4,Calkos!$AT$7:$AT$1088,2023)</f>
        <v>0</v>
      </c>
      <c r="C27" s="202">
        <f>SUMIFS(Calkos!D$7:D$1088,Calkos!$AS$7:$AS$1088,4,Calkos!$AT$7:$AT$1088,2023)</f>
        <v>0</v>
      </c>
    </row>
    <row r="28" spans="1:3" x14ac:dyDescent="0.25">
      <c r="A28" s="200" t="s">
        <v>381</v>
      </c>
      <c r="B28" s="201">
        <f>SUMIFS(Calkos!X$7:X$1088,Calkos!$AS$7:$AS$1088,5,Calkos!$AT$7:$AT$1088,2023)</f>
        <v>0</v>
      </c>
      <c r="C28" s="202">
        <f>SUMIFS(Calkos!D$7:D$1088,Calkos!$AS$7:$AS$1088,5,Calkos!$AT$7:$AT$1088,2023)</f>
        <v>0</v>
      </c>
    </row>
    <row r="29" spans="1:3" x14ac:dyDescent="0.25">
      <c r="A29" s="200" t="s">
        <v>382</v>
      </c>
      <c r="B29" s="201">
        <f>SUMIFS(Calkos!X$7:X$1088,Calkos!$AS$7:$AS$1088,6,Calkos!$AT$7:$AT$1088,2023)</f>
        <v>0</v>
      </c>
      <c r="C29" s="202">
        <f>SUMIFS(Calkos!D$7:D$1088,Calkos!$AS$7:$AS$1088,6,Calkos!$AT$7:$AT$1088,2023)</f>
        <v>0</v>
      </c>
    </row>
    <row r="30" spans="1:3" x14ac:dyDescent="0.25">
      <c r="A30" s="200" t="s">
        <v>383</v>
      </c>
      <c r="B30" s="201">
        <f>SUMIFS(Calkos!X$7:X$1088,Calkos!$AS$7:$AS$1088,7,Calkos!$AT$7:$AT$1088,2023)</f>
        <v>0</v>
      </c>
      <c r="C30" s="202">
        <f>SUMIFS(Calkos!D$7:D$1088,Calkos!$AS$7:$AS$1088,7,Calkos!$AT$7:$AT$1088,2023)</f>
        <v>0</v>
      </c>
    </row>
    <row r="31" spans="1:3" x14ac:dyDescent="0.25">
      <c r="A31" s="200" t="s">
        <v>384</v>
      </c>
      <c r="B31" s="201">
        <f>SUMIFS(Calkos!X$7:X$1088,Calkos!$AS$7:$AS$1088,8,Calkos!$AT$7:$AT$1088,2023)</f>
        <v>0</v>
      </c>
      <c r="C31" s="202">
        <f>SUMIFS(Calkos!D$7:D$1088,Calkos!$AS$7:$AS$1088,8,Calkos!$AT$7:$AT$1088,2023)</f>
        <v>0</v>
      </c>
    </row>
    <row r="32" spans="1:3" x14ac:dyDescent="0.25">
      <c r="A32" s="200" t="s">
        <v>385</v>
      </c>
      <c r="B32" s="201">
        <f>SUMIFS(Calkos!X$7:X$1088,Calkos!$AS$7:$AS$1088,9,Calkos!$AT$7:$AT$1088,2023)</f>
        <v>0</v>
      </c>
      <c r="C32" s="202">
        <f>SUMIFS(Calkos!D$7:D$1088,Calkos!$AS$7:$AS$1088,9,Calkos!$AT$7:$AT$1088,2023)</f>
        <v>0</v>
      </c>
    </row>
    <row r="33" spans="1:3" x14ac:dyDescent="0.25">
      <c r="A33" s="200" t="s">
        <v>386</v>
      </c>
      <c r="B33" s="201">
        <f>SUMIFS(Calkos!X$7:X$1088,Calkos!$AS$7:$AS$1088,10,Calkos!$AT$7:$AT$1088,2023)</f>
        <v>0</v>
      </c>
      <c r="C33" s="202">
        <f>SUMIFS(Calkos!D$7:D$1088,Calkos!$AS$7:$AS$1088,10,Calkos!$AT$7:$AT$1088,2023)</f>
        <v>0</v>
      </c>
    </row>
    <row r="34" spans="1:3" x14ac:dyDescent="0.25">
      <c r="A34" s="200" t="s">
        <v>387</v>
      </c>
      <c r="B34" s="201">
        <f>SUMIFS(Calkos!X$7:X$1088,Calkos!$AS$7:$AS$1088,11,Calkos!$AT$7:$AT$1088,2023)</f>
        <v>0</v>
      </c>
      <c r="C34" s="202">
        <f>SUMIFS(Calkos!D$7:D$1088,Calkos!$AS$7:$AS$1088,11,Calkos!$AT$7:$AT$1088,2023)</f>
        <v>0</v>
      </c>
    </row>
    <row r="35" spans="1:3" ht="15.75" thickBot="1" x14ac:dyDescent="0.3">
      <c r="A35" s="203" t="s">
        <v>388</v>
      </c>
      <c r="B35" s="204">
        <f>SUMIFS(Calkos!X$7:X$1088,Calkos!$AS$7:$AS$1088,12,Calkos!$AT$7:$AT$1088,2023)</f>
        <v>0</v>
      </c>
      <c r="C35" s="205">
        <f>SUMIFS(Calkos!D$7:D$1088,Calkos!$AS$7:$AS$1088,12,Calkos!$AT$7:$AT$1088,2023)</f>
        <v>0</v>
      </c>
    </row>
    <row r="36" spans="1:3" ht="16.5" thickBot="1" x14ac:dyDescent="0.3">
      <c r="B36" s="196">
        <f>SUM(B24:B35)</f>
        <v>0</v>
      </c>
      <c r="C36" s="195">
        <f>SUM(C24:C35)</f>
        <v>0</v>
      </c>
    </row>
    <row r="39" spans="1:3" ht="19.5" thickBot="1" x14ac:dyDescent="0.35">
      <c r="A39" s="190"/>
      <c r="B39" s="429">
        <v>2026</v>
      </c>
      <c r="C39" s="429"/>
    </row>
    <row r="40" spans="1:3" ht="16.5" thickBot="1" x14ac:dyDescent="0.3">
      <c r="A40" s="191"/>
      <c r="B40" s="430" t="s">
        <v>342</v>
      </c>
      <c r="C40" s="431"/>
    </row>
    <row r="41" spans="1:3" ht="16.5" thickBot="1" x14ac:dyDescent="0.3">
      <c r="A41" s="192" t="s">
        <v>277</v>
      </c>
      <c r="B41" s="193" t="s">
        <v>343</v>
      </c>
      <c r="C41" s="194" t="s">
        <v>38</v>
      </c>
    </row>
    <row r="42" spans="1:3" x14ac:dyDescent="0.25">
      <c r="A42" s="197" t="s">
        <v>425</v>
      </c>
      <c r="B42" s="198">
        <f>SUMIFS(Calkos!X$7:X$1088,Calkos!$AS$7:$AS$1088,1,Calkos!$AT$7:$AT$1088,2026)</f>
        <v>0</v>
      </c>
      <c r="C42" s="199">
        <f>SUMIFS(Calkos!D$7:D$1088,Calkos!$AS$7:$AS$1088,1,Calkos!$AT$7:$AT$1088,2026)</f>
        <v>0</v>
      </c>
    </row>
    <row r="43" spans="1:3" x14ac:dyDescent="0.25">
      <c r="A43" s="200" t="s">
        <v>426</v>
      </c>
      <c r="B43" s="201">
        <f>SUMIFS(Calkos!X$7:X$1088,Calkos!$AS$7:$AS$1088,2,Calkos!$AT$7:$AT$1088,2026)</f>
        <v>0</v>
      </c>
      <c r="C43" s="202">
        <f>SUMIFS(Calkos!D$7:D$1088,Calkos!$AS$7:$AS$1088,2,Calkos!$AT$7:$AT$1088,2026)</f>
        <v>0</v>
      </c>
    </row>
    <row r="44" spans="1:3" x14ac:dyDescent="0.25">
      <c r="A44" s="200" t="s">
        <v>427</v>
      </c>
      <c r="B44" s="201">
        <f>SUMIFS(Calkos!X$7:X$1088,Calkos!$AS$7:$AS$1088,3,Calkos!$AT$7:$AT$1088,2026)</f>
        <v>56</v>
      </c>
      <c r="C44" s="202">
        <f>SUMIFS(Calkos!D$7:D$1088,Calkos!$AS$7:$AS$1088,3,Calkos!$AT$7:$AT$1088,2026)</f>
        <v>800</v>
      </c>
    </row>
    <row r="45" spans="1:3" x14ac:dyDescent="0.25">
      <c r="A45" s="200" t="s">
        <v>428</v>
      </c>
      <c r="B45" s="201">
        <f>SUMIFS(Calkos!X$7:X$1088,Calkos!$AS$7:$AS$1088,4,Calkos!$AT$7:$AT$1088,2026)</f>
        <v>2330.1</v>
      </c>
      <c r="C45" s="202">
        <f>SUMIFS(Calkos!D$7:D$1088,Calkos!$AS$7:$AS$1088,4,Calkos!$AT$7:$AT$1088,2026)</f>
        <v>32694</v>
      </c>
    </row>
    <row r="46" spans="1:3" x14ac:dyDescent="0.25">
      <c r="A46" s="200" t="s">
        <v>429</v>
      </c>
      <c r="B46" s="201">
        <f>SUMIFS(Calkos!X$7:X$1088,Calkos!$AS$7:$AS$1088,5,Calkos!$AT$7:$AT$1088,2026)</f>
        <v>11634.349999999999</v>
      </c>
      <c r="C46" s="202">
        <f>SUMIFS(Calkos!D$7:D$1088,Calkos!$AS$7:$AS$1088,5,Calkos!$AT$7:$AT$1088,2026)</f>
        <v>154147</v>
      </c>
    </row>
    <row r="47" spans="1:3" x14ac:dyDescent="0.25">
      <c r="A47" s="200" t="s">
        <v>430</v>
      </c>
      <c r="B47" s="201">
        <f>SUMIFS(Calkos!X$7:X$1088,Calkos!$AS$7:$AS$1088,6,Calkos!$AT$7:$AT$1088,2026)</f>
        <v>3673.45</v>
      </c>
      <c r="C47" s="202">
        <f>SUMIFS(Calkos!D$7:D$1088,Calkos!$AS$7:$AS$1088,6,Calkos!$AT$7:$AT$1088,2026)</f>
        <v>46359</v>
      </c>
    </row>
    <row r="48" spans="1:3" x14ac:dyDescent="0.25">
      <c r="A48" s="200" t="s">
        <v>431</v>
      </c>
      <c r="B48" s="201">
        <f>SUMIFS(Calkos!X$7:X$1088,Calkos!$AS$7:$AS$1088,7,Calkos!$AT$7:$AT$1088,2026)</f>
        <v>1389</v>
      </c>
      <c r="C48" s="202">
        <f>SUMIFS(Calkos!D$7:D$1088,Calkos!$AS$7:$AS$1088,7,Calkos!$AT$7:$AT$1088,2026)</f>
        <v>49750</v>
      </c>
    </row>
    <row r="49" spans="1:5" x14ac:dyDescent="0.25">
      <c r="A49" s="200" t="s">
        <v>432</v>
      </c>
      <c r="B49" s="201">
        <f>SUMIFS(Calkos!X$7:X$1088,Calkos!$AS$7:$AS$1088,8,Calkos!$AT$7:$AT$1088,2026)</f>
        <v>196</v>
      </c>
      <c r="C49" s="202">
        <f>SUMIFS(Calkos!D$7:D$1088,Calkos!$AS$7:$AS$1088,8,Calkos!$AT$7:$AT$1088,2026)</f>
        <v>2800</v>
      </c>
    </row>
    <row r="50" spans="1:5" x14ac:dyDescent="0.25">
      <c r="A50" s="200" t="s">
        <v>433</v>
      </c>
      <c r="B50" s="201">
        <f>SUMIFS(Calkos!X$7:X$1088,Calkos!$AS$7:$AS$1088,9,Calkos!$AT$7:$AT$1088,2026)</f>
        <v>798</v>
      </c>
      <c r="C50" s="202">
        <f>SUMIFS(Calkos!D$7:D$1088,Calkos!$AS$7:$AS$1088,9,Calkos!$AT$7:$AT$1088,2026)</f>
        <v>9400</v>
      </c>
    </row>
    <row r="51" spans="1:5" x14ac:dyDescent="0.25">
      <c r="A51" s="200" t="s">
        <v>434</v>
      </c>
      <c r="B51" s="201">
        <f>SUMIFS(Calkos!X$7:X$1088,Calkos!$AS$7:$AS$1088,10,Calkos!$AT$7:$AT$1088,2026)</f>
        <v>280</v>
      </c>
      <c r="C51" s="202">
        <f>SUMIFS(Calkos!D$7:D$1088,Calkos!$AS$7:$AS$1088,10,Calkos!$AT$7:$AT$1088,2026)</f>
        <v>4000</v>
      </c>
      <c r="E51" s="201">
        <f>SUMIFS(Calkos!AA$7:AA$1088,Calkos!$AS$7:$AS$1088,11,Calkos!$AT$7:$AT$1088,2024)</f>
        <v>0</v>
      </c>
    </row>
    <row r="52" spans="1:5" x14ac:dyDescent="0.25">
      <c r="A52" s="200" t="s">
        <v>435</v>
      </c>
      <c r="B52" s="201">
        <f>SUMIFS(Calkos!X$7:X$1088,Calkos!$AS$7:$AS$1088,11,Calkos!$AT$7:$AT$1088,2026)</f>
        <v>70</v>
      </c>
      <c r="C52" s="202">
        <f>SUMIFS(Calkos!D$7:D$1088,Calkos!$AS$7:$AS$1088,11,Calkos!$AT$7:$AT$1088,2026)</f>
        <v>1000</v>
      </c>
    </row>
    <row r="53" spans="1:5" ht="15.75" thickBot="1" x14ac:dyDescent="0.3">
      <c r="A53" s="203" t="s">
        <v>436</v>
      </c>
      <c r="B53" s="204">
        <f>SUMIFS(Calkos!X$7:X$1088,Calkos!$AS$7:$AS$1088,12,Calkos!$AT$7:$AT$1088,2026)</f>
        <v>0</v>
      </c>
      <c r="C53" s="202">
        <f>SUMIFS(Calkos!D$7:D$1088,Calkos!$AS$7:$AS$1088,12,Calkos!$AT$7:$AT$1088,2026)</f>
        <v>0</v>
      </c>
    </row>
    <row r="54" spans="1:5" ht="16.5" thickBot="1" x14ac:dyDescent="0.3">
      <c r="B54" s="196">
        <f>SUM(B42:B53)</f>
        <v>20426.899999999998</v>
      </c>
      <c r="C54" s="195">
        <f>SUM(C42:C53)</f>
        <v>300950</v>
      </c>
    </row>
    <row r="57" spans="1:5" ht="19.5" thickBot="1" x14ac:dyDescent="0.35">
      <c r="A57" s="190"/>
      <c r="B57" s="429">
        <v>2025</v>
      </c>
      <c r="C57" s="429"/>
    </row>
    <row r="58" spans="1:5" ht="16.5" thickBot="1" x14ac:dyDescent="0.3">
      <c r="A58" s="191"/>
      <c r="B58" s="430" t="s">
        <v>342</v>
      </c>
      <c r="C58" s="431"/>
    </row>
    <row r="59" spans="1:5" ht="16.5" thickBot="1" x14ac:dyDescent="0.3">
      <c r="A59" s="192" t="s">
        <v>277</v>
      </c>
      <c r="B59" s="193" t="s">
        <v>343</v>
      </c>
      <c r="C59" s="194" t="s">
        <v>38</v>
      </c>
    </row>
    <row r="60" spans="1:5" x14ac:dyDescent="0.25">
      <c r="A60" s="197" t="s">
        <v>404</v>
      </c>
      <c r="B60" s="198">
        <f>SUMIFS(Calkos!X$7:X$1088,Calkos!$AS$7:$AS$1088,1,Calkos!$AT$7:$AT$1088,2025)</f>
        <v>0</v>
      </c>
      <c r="C60" s="199">
        <f>SUMIFS(Calkos!D$7:D$1088,Calkos!$AS$7:$AS$1088,1,Calkos!$AT$7:$AT$1088,2025)</f>
        <v>0</v>
      </c>
    </row>
    <row r="61" spans="1:5" x14ac:dyDescent="0.25">
      <c r="A61" s="200" t="s">
        <v>406</v>
      </c>
      <c r="B61" s="201">
        <f>SUMIFS(Calkos!X$7:X$1088,Calkos!$AS$7:$AS$1088,2,Calkos!$AT$7:$AT$1088,2025)</f>
        <v>0</v>
      </c>
      <c r="C61" s="202">
        <f>SUMIFS(Calkos!D$7:D$1088,Calkos!$AS$7:$AS$1088,2,Calkos!$AT$7:$AT$1088,2025)</f>
        <v>0</v>
      </c>
    </row>
    <row r="62" spans="1:5" x14ac:dyDescent="0.25">
      <c r="A62" s="200" t="s">
        <v>407</v>
      </c>
      <c r="B62" s="201">
        <f>SUMIFS(Calkos!X$7:X$1088,Calkos!$AS$7:$AS$1088,3,Calkos!$AT$7:$AT$1088,2025)</f>
        <v>0</v>
      </c>
      <c r="C62" s="202">
        <f>SUMIFS(Calkos!D$7:D$1088,Calkos!$AS$7:$AS$1088,3,Calkos!$AT$7:$AT$1088,2025)</f>
        <v>0</v>
      </c>
    </row>
    <row r="63" spans="1:5" x14ac:dyDescent="0.25">
      <c r="A63" s="200" t="s">
        <v>408</v>
      </c>
      <c r="B63" s="201">
        <f>SUMIFS(Calkos!X$7:X$1088,Calkos!$AS$7:$AS$1088,4,Calkos!$AT$7:$AT$1088,2025)</f>
        <v>0</v>
      </c>
      <c r="C63" s="202">
        <f>SUMIFS(Calkos!D$7:D$1088,Calkos!$AS$7:$AS$1088,4,Calkos!$AT$7:$AT$1088,2025)</f>
        <v>0</v>
      </c>
    </row>
    <row r="64" spans="1:5" x14ac:dyDescent="0.25">
      <c r="A64" s="200" t="s">
        <v>409</v>
      </c>
      <c r="B64" s="201">
        <f>SUMIFS(Calkos!X$7:X$1088,Calkos!$AS$7:$AS$1088,5,Calkos!$AT$7:$AT$1088,2025)</f>
        <v>0</v>
      </c>
      <c r="C64" s="202">
        <f>SUMIFS(Calkos!D$7:D$1088,Calkos!$AS$7:$AS$1088,5,Calkos!$AT$7:$AT$1088,2025)</f>
        <v>0</v>
      </c>
    </row>
    <row r="65" spans="1:3" x14ac:dyDescent="0.25">
      <c r="A65" s="200" t="s">
        <v>410</v>
      </c>
      <c r="B65" s="201">
        <f>SUMIFS(Calkos!X$7:X$1088,Calkos!$AS$7:$AS$1088,6,Calkos!$AT$7:$AT$1088,2025)</f>
        <v>0</v>
      </c>
      <c r="C65" s="202">
        <f>SUMIFS(Calkos!D$7:D$1088,Calkos!$AS$7:$AS$1088,6,Calkos!$AT$7:$AT$1088,2025)</f>
        <v>0</v>
      </c>
    </row>
    <row r="66" spans="1:3" x14ac:dyDescent="0.25">
      <c r="A66" s="200" t="s">
        <v>411</v>
      </c>
      <c r="B66" s="201">
        <f>SUMIFS(Calkos!X$7:X$1088,Calkos!$AS$7:$AS$1088,7,Calkos!$AT$7:$AT$1088,2025)</f>
        <v>0</v>
      </c>
      <c r="C66" s="202">
        <f>SUMIFS(Calkos!D$7:D$1088,Calkos!$AS$7:$AS$1088,7,Calkos!$AT$7:$AT$1088,2025)</f>
        <v>0</v>
      </c>
    </row>
    <row r="67" spans="1:3" x14ac:dyDescent="0.25">
      <c r="A67" s="200" t="s">
        <v>412</v>
      </c>
      <c r="B67" s="201">
        <f>SUMIFS(Calkos!X$7:X$1088,Calkos!$AS$7:$AS$1088,8,Calkos!$AT$7:$AT$1088,2025)</f>
        <v>0</v>
      </c>
      <c r="C67" s="202">
        <f>SUMIFS(Calkos!D$7:D$1088,Calkos!$AS$7:$AS$1088,8,Calkos!$AT$7:$AT$1088,2025)</f>
        <v>0</v>
      </c>
    </row>
    <row r="68" spans="1:3" x14ac:dyDescent="0.25">
      <c r="A68" s="200" t="s">
        <v>413</v>
      </c>
      <c r="B68" s="201">
        <f>SUMIFS(Calkos!X$7:X$1088,Calkos!$AS$7:$AS$1088,9,Calkos!$AT$7:$AT$1088,2025)</f>
        <v>0</v>
      </c>
      <c r="C68" s="202">
        <f>SUMIFS(Calkos!D$7:D$1088,Calkos!$AS$7:$AS$1088,9,Calkos!$AT$7:$AT$1088,2025)</f>
        <v>0</v>
      </c>
    </row>
    <row r="69" spans="1:3" x14ac:dyDescent="0.25">
      <c r="A69" s="200" t="s">
        <v>414</v>
      </c>
      <c r="B69" s="201">
        <f>SUMIFS(Calkos!X$7:X$1088,Calkos!$AS$7:$AS$1088,10,Calkos!$AT$7:$AT$1088,2025)</f>
        <v>0</v>
      </c>
      <c r="C69" s="202">
        <f>SUMIFS(Calkos!D$7:D$1088,Calkos!$AS$7:$AS$1088,10,Calkos!$AT$7:$AT$1088,2025)</f>
        <v>0</v>
      </c>
    </row>
    <row r="70" spans="1:3" x14ac:dyDescent="0.25">
      <c r="A70" s="200" t="s">
        <v>415</v>
      </c>
      <c r="B70" s="201">
        <f>SUMIFS(Calkos!X$7:X$1088,Calkos!$AS$7:$AS$1088,11,Calkos!$AT$7:$AT$1088,2025)</f>
        <v>0</v>
      </c>
      <c r="C70" s="202">
        <f>SUMIFS(Calkos!D$7:D$1088,Calkos!$AS$7:$AS$1088,11,Calkos!$AT$7:$AT$1088,2025)</f>
        <v>0</v>
      </c>
    </row>
    <row r="71" spans="1:3" ht="15.75" thickBot="1" x14ac:dyDescent="0.3">
      <c r="A71" s="203" t="s">
        <v>416</v>
      </c>
      <c r="B71" s="204">
        <f>SUMIFS(Calkos!X$7:X$1089,Calkos!$AS$7:$AS$1089,12,Calkos!$AT$7:$AT$1089,2025)</f>
        <v>0</v>
      </c>
      <c r="C71" s="205">
        <f>SUMIFS(Calkos!D$7:D$1089,Calkos!$AS$7:$AS$1089,12,Calkos!$AT$7:$AT$1089,2025)</f>
        <v>0</v>
      </c>
    </row>
    <row r="72" spans="1:3" ht="16.5" thickBot="1" x14ac:dyDescent="0.3">
      <c r="B72" s="196">
        <f>SUM(B60:B71)</f>
        <v>0</v>
      </c>
      <c r="C72" s="195">
        <f>SUM(C60:C71)</f>
        <v>0</v>
      </c>
    </row>
    <row r="80" spans="1:3" ht="19.5" thickBot="1" x14ac:dyDescent="0.35">
      <c r="B80" s="429" t="s">
        <v>356</v>
      </c>
      <c r="C80" s="429"/>
    </row>
    <row r="81" spans="2:3" ht="15.75" x14ac:dyDescent="0.25">
      <c r="B81" s="430" t="s">
        <v>342</v>
      </c>
      <c r="C81" s="431"/>
    </row>
    <row r="82" spans="2:3" ht="16.5" thickBot="1" x14ac:dyDescent="0.3">
      <c r="B82" s="206" t="str">
        <f>IF(B88=0,"Euro","Errore")</f>
        <v>Errore</v>
      </c>
      <c r="C82" s="194" t="str">
        <f>IF(C88=0,"Kg","Errore")</f>
        <v>Errore</v>
      </c>
    </row>
    <row r="83" spans="2:3" ht="16.5" thickBot="1" x14ac:dyDescent="0.3">
      <c r="B83" s="207">
        <f>+B18+B36+B54+B72</f>
        <v>20426.899999999998</v>
      </c>
      <c r="C83" s="208">
        <f>+C18+C36+C54+C72</f>
        <v>300950</v>
      </c>
    </row>
    <row r="86" spans="2:3" x14ac:dyDescent="0.25">
      <c r="B86" s="198">
        <f>SUMIFS(Calkos!X$7:X$1088,Calkos!$AS$7:$AS$1088,0,Calkos!$AT$7:$AT$1088,0)</f>
        <v>12159.709999999997</v>
      </c>
      <c r="C86" s="199">
        <f>SUMIFS(Calkos!D$7:D$1088,Calkos!$AS$7:$AS$1088,0,Calkos!$AT$7:$AT$1088,0)</f>
        <v>192807</v>
      </c>
    </row>
    <row r="88" spans="2:3" x14ac:dyDescent="0.25">
      <c r="B88" s="78">
        <f>+B83+B86-Calkos!X1089</f>
        <v>-14588.840000000018</v>
      </c>
      <c r="C88" s="153">
        <f>+C83+C86-Calkos!D1089</f>
        <v>-213212</v>
      </c>
    </row>
    <row r="91" spans="2:3" x14ac:dyDescent="0.25">
      <c r="B91" s="221"/>
    </row>
  </sheetData>
  <mergeCells count="10">
    <mergeCell ref="B80:C80"/>
    <mergeCell ref="B81:C81"/>
    <mergeCell ref="B3:C3"/>
    <mergeCell ref="B4:C4"/>
    <mergeCell ref="B21:C21"/>
    <mergeCell ref="B22:C22"/>
    <mergeCell ref="B39:C39"/>
    <mergeCell ref="B40:C40"/>
    <mergeCell ref="B57:C57"/>
    <mergeCell ref="B58:C58"/>
  </mergeCells>
  <conditionalFormatting sqref="B82">
    <cfRule type="containsText" dxfId="1" priority="3" stopIfTrue="1" operator="containsText" text="Errore">
      <formula>NOT(ISERROR(SEARCH("Errore",B82)))</formula>
    </cfRule>
  </conditionalFormatting>
  <conditionalFormatting sqref="C82">
    <cfRule type="containsText" dxfId="0" priority="1" stopIfTrue="1" operator="containsText" text="Errore">
      <formula>NOT(ISERROR(SEARCH("Errore",C82)))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B1:W71"/>
  <sheetViews>
    <sheetView topLeftCell="A22" workbookViewId="0">
      <selection activeCell="R5" sqref="R5"/>
    </sheetView>
  </sheetViews>
  <sheetFormatPr defaultRowHeight="15" x14ac:dyDescent="0.25"/>
  <cols>
    <col min="2" max="2" width="9.85546875" hidden="1" customWidth="1"/>
    <col min="3" max="4" width="9.140625" hidden="1" customWidth="1"/>
    <col min="5" max="5" width="9.85546875" hidden="1" customWidth="1"/>
    <col min="6" max="14" width="9.140625" hidden="1" customWidth="1"/>
    <col min="15" max="15" width="9.85546875" hidden="1" customWidth="1"/>
    <col min="16" max="16" width="13.5703125" customWidth="1"/>
    <col min="17" max="17" width="15" customWidth="1"/>
    <col min="18" max="18" width="14.140625" customWidth="1"/>
    <col min="23" max="23" width="9.42578125" bestFit="1" customWidth="1"/>
  </cols>
  <sheetData>
    <row r="1" spans="2:19" ht="21" x14ac:dyDescent="0.35">
      <c r="P1" s="51" t="s">
        <v>67</v>
      </c>
    </row>
    <row r="2" spans="2:19" ht="21" x14ac:dyDescent="0.35">
      <c r="P2" s="51"/>
    </row>
    <row r="3" spans="2:19" ht="21" x14ac:dyDescent="0.35">
      <c r="P3" s="51"/>
    </row>
    <row r="4" spans="2:19" ht="15.75" thickBot="1" x14ac:dyDescent="0.3">
      <c r="P4" s="26" t="s">
        <v>57</v>
      </c>
    </row>
    <row r="5" spans="2:19" ht="15.75" thickBot="1" x14ac:dyDescent="0.3">
      <c r="B5" s="59"/>
      <c r="C5" s="60"/>
      <c r="D5" s="60"/>
      <c r="E5" s="61" t="s">
        <v>78</v>
      </c>
      <c r="F5" s="61"/>
      <c r="G5" s="60"/>
      <c r="H5" s="71"/>
      <c r="I5" s="68"/>
      <c r="J5" s="60"/>
      <c r="K5" s="60"/>
      <c r="L5" s="61" t="s">
        <v>79</v>
      </c>
      <c r="M5" s="61"/>
      <c r="N5" s="60"/>
      <c r="O5" s="62"/>
    </row>
    <row r="6" spans="2:19" ht="24" x14ac:dyDescent="0.25">
      <c r="B6" s="64" t="s">
        <v>80</v>
      </c>
      <c r="C6" s="58" t="s">
        <v>81</v>
      </c>
      <c r="D6" s="58" t="s">
        <v>82</v>
      </c>
      <c r="E6" s="58" t="s">
        <v>83</v>
      </c>
      <c r="F6" s="58" t="s">
        <v>84</v>
      </c>
      <c r="G6" s="58" t="s">
        <v>85</v>
      </c>
      <c r="H6" s="72" t="s">
        <v>86</v>
      </c>
      <c r="I6" s="69" t="s">
        <v>80</v>
      </c>
      <c r="J6" s="58" t="s">
        <v>81</v>
      </c>
      <c r="K6" s="58" t="s">
        <v>82</v>
      </c>
      <c r="L6" s="58" t="s">
        <v>83</v>
      </c>
      <c r="M6" s="58" t="s">
        <v>84</v>
      </c>
      <c r="N6" s="58" t="s">
        <v>85</v>
      </c>
      <c r="O6" s="156" t="s">
        <v>86</v>
      </c>
      <c r="P6" s="158" t="s">
        <v>55</v>
      </c>
      <c r="Q6" s="75" t="s">
        <v>54</v>
      </c>
      <c r="R6" s="76" t="s">
        <v>56</v>
      </c>
    </row>
    <row r="7" spans="2:19" ht="15.75" thickBot="1" x14ac:dyDescent="0.3">
      <c r="B7" s="65" t="e">
        <f>SUMIFS(Calkos!#REF!,Calkos!#REF!,"Alluminio",Calkos!#REF!,0.07,Calkos!#REF!,"Giussani")</f>
        <v>#REF!</v>
      </c>
      <c r="C7" s="66" t="e">
        <f>SUMIFS(Calkos!#REF!,Calkos!#REF!,"Alluminio",Calkos!#REF!,0.1,Calkos!#REF!,"Giussani")</f>
        <v>#REF!</v>
      </c>
      <c r="D7" s="66" t="e">
        <f>SUMIFS(Calkos!#REF!,Calkos!#REF!,"Alluminio",Calkos!#REF!,0.18,Calkos!#REF!,"Giussani")</f>
        <v>#REF!</v>
      </c>
      <c r="E7" s="66" t="e">
        <f>SUMIFS(Calkos!#REF!,Calkos!#REF!,"Rame",Calkos!#REF!,0.1,Calkos!#REF!,"Giussani")</f>
        <v>#REF!</v>
      </c>
      <c r="F7" s="66" t="e">
        <f>SUMIFS(Calkos!#REF!,Calkos!#REF!,"Rame",Calkos!#REF!,0.18,Calkos!#REF!,"Giussani")</f>
        <v>#REF!</v>
      </c>
      <c r="G7" s="66" t="e">
        <f>SUMIFS(Calkos!#REF!,Calkos!#REF!,"Ottone",Calkos!#REF!,0.1,Calkos!#REF!,"Giussani")</f>
        <v>#REF!</v>
      </c>
      <c r="H7" s="73" t="e">
        <f>SUMIFS(Calkos!#REF!,Calkos!#REF!,"Ottone",Calkos!#REF!,0.18,Calkos!#REF!,"Giussani")</f>
        <v>#REF!</v>
      </c>
      <c r="I7" s="70" t="e">
        <f>SUMIFS(Calkos!#REF!,Calkos!#REF!,"Alluminio",Calkos!#REF!,0.07,Calkos!#REF!,"Giussani")</f>
        <v>#REF!</v>
      </c>
      <c r="J7" s="67" t="e">
        <f>SUMIFS(Calkos!#REF!,Calkos!#REF!,"Alluminio",Calkos!#REF!,0.1,Calkos!#REF!,"Giussani")</f>
        <v>#REF!</v>
      </c>
      <c r="K7" s="67" t="e">
        <f>SUMIFS(Calkos!#REF!,Calkos!#REF!,"Alluminio",Calkos!#REF!,0.18,Calkos!#REF!,"Giussani")</f>
        <v>#REF!</v>
      </c>
      <c r="L7" s="67" t="e">
        <f>SUMIFS(Calkos!#REF!,Calkos!#REF!,"Rame",Calkos!#REF!,0.1,Calkos!#REF!,"Giussani")</f>
        <v>#REF!</v>
      </c>
      <c r="M7" s="67" t="e">
        <f>SUMIFS(Calkos!#REF!,Calkos!#REF!,"Rame",Calkos!#REF!,0.18,Calkos!#REF!,"Giussani")</f>
        <v>#REF!</v>
      </c>
      <c r="N7" s="67" t="e">
        <f>SUMIFS(Calkos!#REF!,Calkos!#REF!,"Ottone",Calkos!#REF!,0.1,Calkos!#REF!,"Giussani")</f>
        <v>#REF!</v>
      </c>
      <c r="O7" s="157" t="e">
        <f>SUMIFS(Calkos!#REF!,Calkos!#REF!,"Ottone",Calkos!#REF!,0.18,Calkos!#REF!,"Giussani")</f>
        <v>#REF!</v>
      </c>
      <c r="P7" s="12" t="e">
        <f>SUMIF(Calkos!#REF!,"Giussani",Calkos!#REF!)</f>
        <v>#REF!</v>
      </c>
      <c r="Q7" s="155" t="e">
        <f>SUMIF(Calkos!#REF!,"Giussani",Calkos!#REF!)</f>
        <v>#REF!</v>
      </c>
      <c r="R7" s="13" t="e">
        <f>+Q7*40%</f>
        <v>#REF!</v>
      </c>
    </row>
    <row r="9" spans="2:19" x14ac:dyDescent="0.25">
      <c r="O9" s="27"/>
      <c r="P9" s="28"/>
      <c r="Q9" s="28"/>
      <c r="R9" s="28"/>
      <c r="S9" s="29"/>
    </row>
    <row r="11" spans="2:19" ht="15.75" thickBot="1" x14ac:dyDescent="0.3">
      <c r="P11" s="26" t="s">
        <v>58</v>
      </c>
    </row>
    <row r="12" spans="2:19" ht="15.75" thickBot="1" x14ac:dyDescent="0.3">
      <c r="B12" s="59"/>
      <c r="C12" s="60"/>
      <c r="D12" s="60"/>
      <c r="E12" s="61" t="s">
        <v>78</v>
      </c>
      <c r="F12" s="61"/>
      <c r="G12" s="60"/>
      <c r="H12" s="71"/>
      <c r="I12" s="68"/>
      <c r="J12" s="60"/>
      <c r="K12" s="60"/>
      <c r="L12" s="61" t="s">
        <v>79</v>
      </c>
      <c r="M12" s="61"/>
      <c r="N12" s="60"/>
      <c r="O12" s="62"/>
    </row>
    <row r="13" spans="2:19" ht="24" x14ac:dyDescent="0.25">
      <c r="B13" s="64" t="s">
        <v>80</v>
      </c>
      <c r="C13" s="58" t="s">
        <v>81</v>
      </c>
      <c r="D13" s="58" t="s">
        <v>82</v>
      </c>
      <c r="E13" s="58" t="s">
        <v>83</v>
      </c>
      <c r="F13" s="58" t="s">
        <v>84</v>
      </c>
      <c r="G13" s="58" t="s">
        <v>85</v>
      </c>
      <c r="H13" s="72" t="s">
        <v>86</v>
      </c>
      <c r="I13" s="69" t="s">
        <v>80</v>
      </c>
      <c r="J13" s="58" t="s">
        <v>81</v>
      </c>
      <c r="K13" s="58" t="s">
        <v>82</v>
      </c>
      <c r="L13" s="58" t="s">
        <v>83</v>
      </c>
      <c r="M13" s="58" t="s">
        <v>84</v>
      </c>
      <c r="N13" s="58" t="s">
        <v>85</v>
      </c>
      <c r="O13" s="156" t="s">
        <v>86</v>
      </c>
      <c r="P13" s="158" t="s">
        <v>55</v>
      </c>
      <c r="Q13" s="75" t="s">
        <v>54</v>
      </c>
      <c r="R13" s="76" t="s">
        <v>56</v>
      </c>
    </row>
    <row r="14" spans="2:19" ht="15.75" thickBot="1" x14ac:dyDescent="0.3">
      <c r="B14" s="65" t="e">
        <f>SUMIFS(Calkos!#REF!,Calkos!#REF!,"Alluminio",Calkos!#REF!,0.07,Calkos!#REF!,"Wetter")</f>
        <v>#REF!</v>
      </c>
      <c r="C14" s="66" t="e">
        <f>SUMIFS(Calkos!#REF!,Calkos!#REF!,"Alluminio",Calkos!#REF!,0.1,Calkos!#REF!,"Wetter")</f>
        <v>#REF!</v>
      </c>
      <c r="D14" s="66" t="e">
        <f>SUMIFS(Calkos!#REF!,Calkos!#REF!,"Alluminio",Calkos!#REF!,0.18,Calkos!#REF!,"Wetter")</f>
        <v>#REF!</v>
      </c>
      <c r="E14" s="66" t="e">
        <f>SUMIFS(Calkos!#REF!,Calkos!#REF!,"Rame",Calkos!#REF!,0.1,Calkos!#REF!,"Wetter")</f>
        <v>#REF!</v>
      </c>
      <c r="F14" s="66" t="e">
        <f>SUMIFS(Calkos!#REF!,Calkos!#REF!,"Rame",Calkos!#REF!,0.18,Calkos!#REF!,"Wetter")</f>
        <v>#REF!</v>
      </c>
      <c r="G14" s="66" t="e">
        <f>SUMIFS(Calkos!#REF!,Calkos!#REF!,"Ottone",Calkos!#REF!,0.1,Calkos!#REF!,"wetter")</f>
        <v>#REF!</v>
      </c>
      <c r="H14" s="73" t="e">
        <f>SUMIFS(Calkos!#REF!,Calkos!#REF!,"Ottone",Calkos!#REF!,0.18,Calkos!#REF!,"wetter")</f>
        <v>#REF!</v>
      </c>
      <c r="I14" s="70" t="e">
        <f>SUMIFS(Calkos!#REF!,Calkos!#REF!,"Alluminio",Calkos!#REF!,0.07,Calkos!#REF!,"Wetter")</f>
        <v>#REF!</v>
      </c>
      <c r="J14" s="67" t="e">
        <f>SUMIFS(Calkos!#REF!,Calkos!#REF!,"Alluminio",Calkos!#REF!,0.1,Calkos!#REF!,"Wetter")</f>
        <v>#REF!</v>
      </c>
      <c r="K14" s="67" t="e">
        <f>SUMIFS(Calkos!#REF!,Calkos!#REF!,"Alluminio",Calkos!#REF!,0.18,Calkos!#REF!,"Wetter")</f>
        <v>#REF!</v>
      </c>
      <c r="L14" s="67" t="e">
        <f>SUMIFS(Calkos!#REF!,Calkos!#REF!,"Rame",Calkos!#REF!,0.1,Calkos!#REF!,"Wetter")</f>
        <v>#REF!</v>
      </c>
      <c r="M14" s="67" t="e">
        <f>SUMIFS(Calkos!#REF!,Calkos!#REF!,"Rame",Calkos!#REF!,0.18,Calkos!#REF!,"wetter")</f>
        <v>#REF!</v>
      </c>
      <c r="N14" s="67" t="e">
        <f>SUMIFS(Calkos!#REF!,Calkos!#REF!,"Ottone",Calkos!#REF!,0.1,Calkos!#REF!,"Wetter")</f>
        <v>#REF!</v>
      </c>
      <c r="O14" s="157" t="e">
        <f>SUMIFS(Calkos!#REF!,Calkos!#REF!,"Ottone",Calkos!#REF!,0.18,Calkos!#REF!,"Wetter")</f>
        <v>#REF!</v>
      </c>
      <c r="P14" s="12" t="e">
        <f>SUMIF(Calkos!#REF!,"Wetter",Calkos!D5:D5)</f>
        <v>#REF!</v>
      </c>
      <c r="Q14" s="155" t="e">
        <f>SUMIF(Calkos!#REF!,"Wetter",Calkos!#REF!)</f>
        <v>#REF!</v>
      </c>
      <c r="R14" s="13" t="e">
        <f>+Q14*40%</f>
        <v>#REF!</v>
      </c>
    </row>
    <row r="17" spans="2:23" ht="15.75" thickBot="1" x14ac:dyDescent="0.3">
      <c r="P17" s="26" t="s">
        <v>164</v>
      </c>
    </row>
    <row r="18" spans="2:23" ht="15.75" thickBot="1" x14ac:dyDescent="0.3">
      <c r="B18" s="59"/>
      <c r="C18" s="60"/>
      <c r="D18" s="60"/>
      <c r="E18" s="61" t="s">
        <v>78</v>
      </c>
      <c r="F18" s="61"/>
      <c r="G18" s="60"/>
      <c r="H18" s="71"/>
      <c r="I18" s="68"/>
      <c r="J18" s="60"/>
      <c r="K18" s="60"/>
      <c r="L18" s="61" t="s">
        <v>79</v>
      </c>
      <c r="M18" s="61"/>
      <c r="N18" s="60"/>
      <c r="O18" s="62"/>
    </row>
    <row r="19" spans="2:23" ht="24" x14ac:dyDescent="0.25">
      <c r="B19" s="64" t="s">
        <v>80</v>
      </c>
      <c r="C19" s="58" t="s">
        <v>81</v>
      </c>
      <c r="D19" s="58" t="s">
        <v>82</v>
      </c>
      <c r="E19" s="58" t="s">
        <v>83</v>
      </c>
      <c r="F19" s="58" t="s">
        <v>84</v>
      </c>
      <c r="G19" s="58" t="s">
        <v>85</v>
      </c>
      <c r="H19" s="72" t="s">
        <v>86</v>
      </c>
      <c r="I19" s="69" t="s">
        <v>80</v>
      </c>
      <c r="J19" s="58" t="s">
        <v>81</v>
      </c>
      <c r="K19" s="58" t="s">
        <v>82</v>
      </c>
      <c r="L19" s="58" t="s">
        <v>83</v>
      </c>
      <c r="M19" s="58" t="s">
        <v>84</v>
      </c>
      <c r="N19" s="58" t="s">
        <v>85</v>
      </c>
      <c r="O19" s="156" t="s">
        <v>86</v>
      </c>
      <c r="P19" s="158" t="s">
        <v>55</v>
      </c>
      <c r="Q19" s="75" t="s">
        <v>54</v>
      </c>
      <c r="R19" s="76" t="s">
        <v>56</v>
      </c>
    </row>
    <row r="20" spans="2:23" ht="15.75" thickBot="1" x14ac:dyDescent="0.3">
      <c r="B20" s="65" t="e">
        <f>SUMIFS(Calkos!#REF!,Calkos!#REF!,"Alluminio",Calkos!#REF!,0.07,Calkos!#REF!,"elast")</f>
        <v>#REF!</v>
      </c>
      <c r="C20" s="66" t="e">
        <f>SUMIFS(Calkos!#REF!,Calkos!#REF!,"Alluminio",Calkos!#REF!,0.1,Calkos!#REF!,"elast")</f>
        <v>#REF!</v>
      </c>
      <c r="D20" s="66" t="e">
        <f>SUMIFS(Calkos!#REF!,Calkos!#REF!,"Alluminio",Calkos!#REF!,0.18,Calkos!#REF!,"elast")</f>
        <v>#REF!</v>
      </c>
      <c r="E20" s="66" t="e">
        <f>SUMIFS(Calkos!#REF!,Calkos!#REF!,"Rame",Calkos!#REF!,0.1,Calkos!#REF!,"elast")</f>
        <v>#REF!</v>
      </c>
      <c r="F20" s="66" t="e">
        <f>SUMIFS(Calkos!#REF!,Calkos!#REF!,"Rame",Calkos!#REF!,0.18,Calkos!#REF!,"elast")</f>
        <v>#REF!</v>
      </c>
      <c r="G20" s="66" t="e">
        <f>SUMIFS(Calkos!#REF!,Calkos!#REF!,"Ottone",Calkos!#REF!,0.1,Calkos!#REF!,"elast")</f>
        <v>#REF!</v>
      </c>
      <c r="H20" s="73" t="e">
        <f>SUMIFS(Calkos!#REF!,Calkos!#REF!,"Ottone",Calkos!#REF!,0.18,Calkos!#REF!,"elast")</f>
        <v>#REF!</v>
      </c>
      <c r="I20" s="70" t="e">
        <f>SUMIFS(Calkos!#REF!,Calkos!#REF!,"Alluminio",Calkos!#REF!,0.07,Calkos!#REF!,"elast")</f>
        <v>#REF!</v>
      </c>
      <c r="J20" s="67" t="e">
        <f>SUMIFS(Calkos!#REF!,Calkos!#REF!,"Alluminio",Calkos!#REF!,0.1,Calkos!#REF!,"elast")</f>
        <v>#REF!</v>
      </c>
      <c r="K20" s="67" t="e">
        <f>SUMIFS(Calkos!#REF!,Calkos!#REF!,"Alluminio",Calkos!#REF!,0.18,Calkos!#REF!,"elast")</f>
        <v>#REF!</v>
      </c>
      <c r="L20" s="67" t="e">
        <f>SUMIFS(Calkos!#REF!,Calkos!#REF!,"Rame",Calkos!#REF!,0.1,Calkos!#REF!,"elast")</f>
        <v>#REF!</v>
      </c>
      <c r="M20" s="67" t="e">
        <f>SUMIFS(Calkos!#REF!,Calkos!#REF!,"Rame",Calkos!#REF!,0.18,Calkos!#REF!,"elast")</f>
        <v>#REF!</v>
      </c>
      <c r="N20" s="67" t="e">
        <f>SUMIFS(Calkos!#REF!,Calkos!#REF!,"Ottone",Calkos!#REF!,0.1,Calkos!#REF!,"elast")</f>
        <v>#REF!</v>
      </c>
      <c r="O20" s="157" t="e">
        <f>SUMIFS(Calkos!#REF!,Calkos!#REF!,"Ottone",Calkos!#REF!,0.18,Calkos!#REF!,"elast")</f>
        <v>#REF!</v>
      </c>
      <c r="P20" s="12" t="e">
        <f>SUMIF(Calkos!#REF!,"Wetter",Calkos!#REF!)</f>
        <v>#REF!</v>
      </c>
      <c r="Q20" s="155" t="e">
        <f>SUMIF(Calkos!#REF!,"Wetter",Calkos!#REF!)</f>
        <v>#REF!</v>
      </c>
      <c r="R20" s="13" t="e">
        <f>+Q20*40%</f>
        <v>#REF!</v>
      </c>
    </row>
    <row r="23" spans="2:23" ht="15.75" thickBot="1" x14ac:dyDescent="0.3">
      <c r="P23" s="26" t="s">
        <v>165</v>
      </c>
    </row>
    <row r="24" spans="2:23" ht="15.75" thickBot="1" x14ac:dyDescent="0.3">
      <c r="B24" s="59"/>
      <c r="C24" s="60"/>
      <c r="D24" s="60"/>
      <c r="E24" s="61" t="s">
        <v>78</v>
      </c>
      <c r="F24" s="61"/>
      <c r="G24" s="60"/>
      <c r="H24" s="71"/>
      <c r="I24" s="68"/>
      <c r="J24" s="60"/>
      <c r="K24" s="60"/>
      <c r="L24" s="61" t="s">
        <v>79</v>
      </c>
      <c r="M24" s="61"/>
      <c r="N24" s="60"/>
      <c r="O24" s="62"/>
    </row>
    <row r="25" spans="2:23" ht="24" x14ac:dyDescent="0.25">
      <c r="B25" s="64" t="s">
        <v>80</v>
      </c>
      <c r="C25" s="58" t="s">
        <v>81</v>
      </c>
      <c r="D25" s="58" t="s">
        <v>82</v>
      </c>
      <c r="E25" s="58" t="s">
        <v>83</v>
      </c>
      <c r="F25" s="58" t="s">
        <v>84</v>
      </c>
      <c r="G25" s="58" t="s">
        <v>85</v>
      </c>
      <c r="H25" s="72" t="s">
        <v>86</v>
      </c>
      <c r="I25" s="69" t="s">
        <v>80</v>
      </c>
      <c r="J25" s="58" t="s">
        <v>81</v>
      </c>
      <c r="K25" s="58" t="s">
        <v>82</v>
      </c>
      <c r="L25" s="58" t="s">
        <v>83</v>
      </c>
      <c r="M25" s="58" t="s">
        <v>84</v>
      </c>
      <c r="N25" s="58" t="s">
        <v>85</v>
      </c>
      <c r="O25" s="156" t="s">
        <v>86</v>
      </c>
      <c r="P25" s="158" t="s">
        <v>55</v>
      </c>
      <c r="Q25" s="75" t="s">
        <v>54</v>
      </c>
      <c r="R25" s="76" t="s">
        <v>56</v>
      </c>
    </row>
    <row r="26" spans="2:23" ht="15.75" thickBot="1" x14ac:dyDescent="0.3">
      <c r="B26" s="65" t="e">
        <f>SUMIFS(Calkos!#REF!,Calkos!#REF!,"Alluminio",Calkos!#REF!,0.07,Calkos!#REF!,"km")</f>
        <v>#REF!</v>
      </c>
      <c r="C26" s="66" t="e">
        <f>SUMIFS(Calkos!#REF!,Calkos!#REF!,"Alluminio",Calkos!#REF!,0.1,Calkos!#REF!,"km")</f>
        <v>#REF!</v>
      </c>
      <c r="D26" s="66" t="e">
        <f>SUMIFS(Calkos!#REF!,Calkos!#REF!,"Alluminio",Calkos!#REF!,0.18,Calkos!#REF!,"km")</f>
        <v>#REF!</v>
      </c>
      <c r="E26" s="66" t="e">
        <f>SUMIFS(Calkos!#REF!,Calkos!#REF!,"Rame",Calkos!#REF!,0.1,Calkos!#REF!,"km")</f>
        <v>#REF!</v>
      </c>
      <c r="F26" s="66" t="e">
        <f>SUMIFS(Calkos!#REF!,Calkos!#REF!,"Rame",Calkos!#REF!,0.18,Calkos!#REF!,"km")</f>
        <v>#REF!</v>
      </c>
      <c r="G26" s="66" t="e">
        <f>SUMIFS(Calkos!#REF!,Calkos!#REF!,"Ottone",Calkos!#REF!,0.1,Calkos!#REF!,"km")</f>
        <v>#REF!</v>
      </c>
      <c r="H26" s="73" t="e">
        <f>SUMIFS(Calkos!#REF!,Calkos!#REF!,"Ottone",Calkos!#REF!,0.18,Calkos!#REF!,"km")</f>
        <v>#REF!</v>
      </c>
      <c r="I26" s="70" t="e">
        <f>SUMIFS(Calkos!#REF!,Calkos!#REF!,"Alluminio",Calkos!#REF!,0.07,Calkos!#REF!,"km")</f>
        <v>#REF!</v>
      </c>
      <c r="J26" s="67" t="e">
        <f>SUMIFS(Calkos!#REF!,Calkos!#REF!,"Alluminio",Calkos!#REF!,0.1,Calkos!#REF!,"km")</f>
        <v>#REF!</v>
      </c>
      <c r="K26" s="67" t="e">
        <f>SUMIFS(Calkos!#REF!,Calkos!#REF!,"Alluminio",Calkos!#REF!,0.18,Calkos!#REF!,"km")</f>
        <v>#REF!</v>
      </c>
      <c r="L26" s="67" t="e">
        <f>SUMIFS(Calkos!#REF!,Calkos!#REF!,"Rame",Calkos!#REF!,0.1,Calkos!#REF!,"km")</f>
        <v>#REF!</v>
      </c>
      <c r="M26" s="67" t="e">
        <f>SUMIFS(Calkos!#REF!,Calkos!#REF!,"Rame",Calkos!#REF!,0.18,Calkos!#REF!,"km")</f>
        <v>#REF!</v>
      </c>
      <c r="N26" s="67" t="e">
        <f>SUMIFS(Calkos!#REF!,Calkos!#REF!,"Ottone",Calkos!#REF!,0.1,Calkos!#REF!,"km")</f>
        <v>#REF!</v>
      </c>
      <c r="O26" s="157" t="e">
        <f>SUMIFS(Calkos!#REF!,Calkos!#REF!,"Ottone",Calkos!#REF!,0.18,Calkos!#REF!,"km")</f>
        <v>#REF!</v>
      </c>
      <c r="P26" s="12" t="e">
        <f>SUMIF(Calkos!#REF!,"KM",Calkos!#REF!)</f>
        <v>#REF!</v>
      </c>
      <c r="Q26" s="155" t="e">
        <f>SUMIF(Calkos!#REF!,"KM",Calkos!#REF!)</f>
        <v>#REF!</v>
      </c>
      <c r="R26" s="13" t="e">
        <f>+Q26*40%</f>
        <v>#REF!</v>
      </c>
    </row>
    <row r="29" spans="2:23" ht="15.75" thickBot="1" x14ac:dyDescent="0.3">
      <c r="P29" s="26" t="s">
        <v>166</v>
      </c>
    </row>
    <row r="30" spans="2:23" ht="15.75" thickBot="1" x14ac:dyDescent="0.3">
      <c r="B30" s="59"/>
      <c r="C30" s="60"/>
      <c r="D30" s="60"/>
      <c r="E30" s="61" t="s">
        <v>78</v>
      </c>
      <c r="F30" s="61"/>
      <c r="G30" s="60"/>
      <c r="H30" s="71"/>
      <c r="I30" s="68"/>
      <c r="J30" s="60"/>
      <c r="K30" s="60"/>
      <c r="L30" s="61" t="s">
        <v>79</v>
      </c>
      <c r="M30" s="61"/>
      <c r="N30" s="60"/>
      <c r="O30" s="62"/>
    </row>
    <row r="31" spans="2:23" ht="24" x14ac:dyDescent="0.25">
      <c r="B31" s="64" t="s">
        <v>80</v>
      </c>
      <c r="C31" s="58" t="s">
        <v>81</v>
      </c>
      <c r="D31" s="58" t="s">
        <v>82</v>
      </c>
      <c r="E31" s="58" t="s">
        <v>83</v>
      </c>
      <c r="F31" s="58" t="s">
        <v>84</v>
      </c>
      <c r="G31" s="58" t="s">
        <v>85</v>
      </c>
      <c r="H31" s="72" t="s">
        <v>86</v>
      </c>
      <c r="I31" s="69" t="s">
        <v>80</v>
      </c>
      <c r="J31" s="58" t="s">
        <v>81</v>
      </c>
      <c r="K31" s="58" t="s">
        <v>82</v>
      </c>
      <c r="L31" s="58" t="s">
        <v>83</v>
      </c>
      <c r="M31" s="58" t="s">
        <v>84</v>
      </c>
      <c r="N31" s="58" t="s">
        <v>85</v>
      </c>
      <c r="O31" s="156" t="s">
        <v>86</v>
      </c>
      <c r="P31" s="158" t="s">
        <v>55</v>
      </c>
      <c r="Q31" s="75" t="s">
        <v>54</v>
      </c>
      <c r="R31" s="76" t="s">
        <v>56</v>
      </c>
      <c r="W31" s="78" t="e">
        <f>+R14+R20+R26+R44</f>
        <v>#REF!</v>
      </c>
    </row>
    <row r="32" spans="2:23" ht="15.75" thickBot="1" x14ac:dyDescent="0.3">
      <c r="B32" s="65" t="e">
        <f>SUMIFS(Calkos!#REF!,Calkos!#REF!,"Alluminio",Calkos!#REF!,0.07,Calkos!#REF!,"masolini")</f>
        <v>#REF!</v>
      </c>
      <c r="C32" s="66" t="e">
        <f>SUMIFS(Calkos!#REF!,Calkos!#REF!,"Alluminio",Calkos!#REF!,0.1,Calkos!#REF!,"masolini")</f>
        <v>#REF!</v>
      </c>
      <c r="D32" s="66" t="e">
        <f>SUMIFS(Calkos!#REF!,Calkos!#REF!,"Alluminio",Calkos!#REF!,0.18,Calkos!#REF!,"masolini")</f>
        <v>#REF!</v>
      </c>
      <c r="E32" s="66" t="e">
        <f>SUMIFS(Calkos!#REF!,Calkos!#REF!,"Rame",Calkos!#REF!,0.1,Calkos!#REF!,"masolini")</f>
        <v>#REF!</v>
      </c>
      <c r="F32" s="66" t="e">
        <f>SUMIFS(Calkos!#REF!,Calkos!#REF!,"Rame",Calkos!#REF!,0.18,Calkos!#REF!,"masolini")</f>
        <v>#REF!</v>
      </c>
      <c r="G32" s="66" t="e">
        <f>SUMIFS(Calkos!#REF!,Calkos!#REF!,"Ottone",Calkos!#REF!,0.1,Calkos!#REF!,"masolini")</f>
        <v>#REF!</v>
      </c>
      <c r="H32" s="73" t="e">
        <f>SUMIFS(Calkos!#REF!,Calkos!#REF!,"Ottone",Calkos!#REF!,0.18,Calkos!#REF!,"masolini")</f>
        <v>#REF!</v>
      </c>
      <c r="I32" s="70" t="e">
        <f>SUMIFS(Calkos!#REF!,Calkos!#REF!,"Alluminio",Calkos!#REF!,0.07,Calkos!#REF!,"masolini")</f>
        <v>#REF!</v>
      </c>
      <c r="J32" s="67" t="e">
        <f>SUMIFS(Calkos!#REF!,Calkos!#REF!,"Alluminio",Calkos!#REF!,0.1,Calkos!#REF!,"masolini")</f>
        <v>#REF!</v>
      </c>
      <c r="K32" s="67" t="e">
        <f>SUMIFS(Calkos!#REF!,Calkos!#REF!,"Alluminio",Calkos!#REF!,0.18,Calkos!#REF!,"masolini")</f>
        <v>#REF!</v>
      </c>
      <c r="L32" s="67" t="e">
        <f>SUMIFS(Calkos!#REF!,Calkos!#REF!,"Rame",Calkos!#REF!,0.1,Calkos!#REF!,"masolini")</f>
        <v>#REF!</v>
      </c>
      <c r="M32" s="67" t="e">
        <f>SUMIFS(Calkos!#REF!,Calkos!#REF!,"Rame",Calkos!#REF!,0.18,Calkos!#REF!,"masolini")</f>
        <v>#REF!</v>
      </c>
      <c r="N32" s="67" t="e">
        <f>SUMIFS(Calkos!#REF!,Calkos!#REF!,"Ottone",Calkos!#REF!,0.1,Calkos!#REF!,"masolini")</f>
        <v>#REF!</v>
      </c>
      <c r="O32" s="157" t="e">
        <f>SUMIFS(Calkos!#REF!,Calkos!#REF!,"Ottone",Calkos!#REF!,0.18,Calkos!#REF!,"masolini")</f>
        <v>#REF!</v>
      </c>
      <c r="P32" s="12" t="e">
        <f>SUMIF(Calkos!#REF!,"Masolini",Calkos!#REF!)</f>
        <v>#REF!</v>
      </c>
      <c r="Q32" s="155" t="e">
        <f>SUMIF(Calkos!#REF!,"Masolini",Calkos!#REF!)</f>
        <v>#REF!</v>
      </c>
      <c r="R32" s="13" t="e">
        <f>+Q32*40%</f>
        <v>#REF!</v>
      </c>
    </row>
    <row r="35" spans="2:18" ht="15.75" thickBot="1" x14ac:dyDescent="0.3">
      <c r="P35" s="26" t="s">
        <v>167</v>
      </c>
    </row>
    <row r="36" spans="2:18" ht="15.75" thickBot="1" x14ac:dyDescent="0.3">
      <c r="B36" s="59"/>
      <c r="C36" s="60"/>
      <c r="D36" s="60"/>
      <c r="E36" s="61" t="s">
        <v>78</v>
      </c>
      <c r="F36" s="61"/>
      <c r="G36" s="60"/>
      <c r="H36" s="71"/>
      <c r="I36" s="68"/>
      <c r="J36" s="60"/>
      <c r="K36" s="60"/>
      <c r="L36" s="61" t="s">
        <v>79</v>
      </c>
      <c r="M36" s="61"/>
      <c r="N36" s="60"/>
      <c r="O36" s="62"/>
    </row>
    <row r="37" spans="2:18" ht="24" x14ac:dyDescent="0.25">
      <c r="B37" s="64" t="s">
        <v>80</v>
      </c>
      <c r="C37" s="58" t="s">
        <v>81</v>
      </c>
      <c r="D37" s="58" t="s">
        <v>82</v>
      </c>
      <c r="E37" s="58" t="s">
        <v>83</v>
      </c>
      <c r="F37" s="58" t="s">
        <v>84</v>
      </c>
      <c r="G37" s="58" t="s">
        <v>85</v>
      </c>
      <c r="H37" s="72" t="s">
        <v>86</v>
      </c>
      <c r="I37" s="69" t="s">
        <v>80</v>
      </c>
      <c r="J37" s="58" t="s">
        <v>81</v>
      </c>
      <c r="K37" s="58" t="s">
        <v>82</v>
      </c>
      <c r="L37" s="58" t="s">
        <v>83</v>
      </c>
      <c r="M37" s="58" t="s">
        <v>84</v>
      </c>
      <c r="N37" s="58" t="s">
        <v>85</v>
      </c>
      <c r="O37" s="156" t="s">
        <v>86</v>
      </c>
      <c r="P37" s="158" t="s">
        <v>55</v>
      </c>
      <c r="Q37" s="75" t="s">
        <v>54</v>
      </c>
      <c r="R37" s="76" t="s">
        <v>56</v>
      </c>
    </row>
    <row r="38" spans="2:18" ht="15.75" thickBot="1" x14ac:dyDescent="0.3">
      <c r="B38" s="65" t="e">
        <f>SUMIFS(Calkos!#REF!,Calkos!#REF!,"Alluminio",Calkos!#REF!,0.07,Calkos!#REF!,"mg")</f>
        <v>#REF!</v>
      </c>
      <c r="C38" s="66" t="e">
        <f>SUMIFS(Calkos!#REF!,Calkos!#REF!,"Alluminio",Calkos!#REF!,0.1,Calkos!#REF!,"mg")</f>
        <v>#REF!</v>
      </c>
      <c r="D38" s="66" t="e">
        <f>SUMIFS(Calkos!#REF!,Calkos!#REF!,"Alluminio",Calkos!#REF!,0.18,Calkos!#REF!,"mg")</f>
        <v>#REF!</v>
      </c>
      <c r="E38" s="66" t="e">
        <f>SUMIFS(Calkos!#REF!,Calkos!#REF!,"Rame",Calkos!#REF!,0.1,Calkos!#REF!,"mg")</f>
        <v>#REF!</v>
      </c>
      <c r="F38" s="66" t="e">
        <f>SUMIFS(Calkos!#REF!,Calkos!#REF!,"Rame",Calkos!#REF!,0.18,Calkos!#REF!,"mg")</f>
        <v>#REF!</v>
      </c>
      <c r="G38" s="66" t="e">
        <f>SUMIFS(Calkos!#REF!,Calkos!#REF!,"Ottone",Calkos!#REF!,0.1,Calkos!#REF!,"mg")</f>
        <v>#REF!</v>
      </c>
      <c r="H38" s="73" t="e">
        <f>SUMIFS(Calkos!#REF!,Calkos!#REF!,"Ottone",Calkos!#REF!,0.18,Calkos!#REF!,"mg")</f>
        <v>#REF!</v>
      </c>
      <c r="I38" s="70" t="e">
        <f>SUMIFS(Calkos!#REF!,Calkos!#REF!,"Alluminio",Calkos!#REF!,0.07,Calkos!#REF!,"mg")</f>
        <v>#REF!</v>
      </c>
      <c r="J38" s="67" t="e">
        <f>SUMIFS(Calkos!#REF!,Calkos!#REF!,"Alluminio",Calkos!#REF!,0.1,Calkos!#REF!,"mg")</f>
        <v>#REF!</v>
      </c>
      <c r="K38" s="67" t="e">
        <f>SUMIFS(Calkos!#REF!,Calkos!#REF!,"Alluminio",Calkos!#REF!,0.18,Calkos!#REF!,"mg")</f>
        <v>#REF!</v>
      </c>
      <c r="L38" s="67" t="e">
        <f>SUMIFS(Calkos!#REF!,Calkos!#REF!,"Rame",Calkos!#REF!,0.1,Calkos!#REF!,"mg")</f>
        <v>#REF!</v>
      </c>
      <c r="M38" s="67" t="e">
        <f>SUMIFS(Calkos!#REF!,Calkos!#REF!,"Rame",Calkos!#REF!,0.18,Calkos!#REF!,"mg")</f>
        <v>#REF!</v>
      </c>
      <c r="N38" s="67" t="e">
        <f>SUMIFS(Calkos!#REF!,Calkos!#REF!,"Ottone",Calkos!#REF!,0.1,Calkos!#REF!,"mg")</f>
        <v>#REF!</v>
      </c>
      <c r="O38" s="157" t="e">
        <f>SUMIFS(Calkos!#REF!,Calkos!#REF!,"Ottone",Calkos!#REF!,0.18,Calkos!#REF!,"mg")</f>
        <v>#REF!</v>
      </c>
      <c r="P38" s="12" t="e">
        <f>SUMIF(Calkos!#REF!,"MG",Calkos!#REF!)</f>
        <v>#REF!</v>
      </c>
      <c r="Q38" s="155" t="e">
        <f>SUMIF(Calkos!#REF!,"MG",Calkos!#REF!)</f>
        <v>#REF!</v>
      </c>
      <c r="R38" s="13" t="e">
        <f>+Q38*40%</f>
        <v>#REF!</v>
      </c>
    </row>
    <row r="39" spans="2:18" x14ac:dyDescent="0.25">
      <c r="I39" s="154"/>
      <c r="J39" s="154"/>
      <c r="K39" s="154"/>
      <c r="L39" s="154"/>
      <c r="M39" s="154"/>
      <c r="N39" s="154"/>
      <c r="O39" s="154"/>
      <c r="P39" s="11"/>
      <c r="Q39" s="41"/>
      <c r="R39" s="41"/>
    </row>
    <row r="40" spans="2:18" x14ac:dyDescent="0.25">
      <c r="I40" s="154"/>
      <c r="J40" s="154"/>
      <c r="K40" s="154"/>
      <c r="L40" s="154"/>
      <c r="M40" s="154"/>
      <c r="N40" s="154"/>
      <c r="O40" s="154"/>
      <c r="P40" s="11"/>
      <c r="Q40" s="41"/>
      <c r="R40" s="41"/>
    </row>
    <row r="41" spans="2:18" ht="15.75" thickBot="1" x14ac:dyDescent="0.3">
      <c r="P41" s="26" t="s">
        <v>168</v>
      </c>
    </row>
    <row r="42" spans="2:18" ht="15.75" thickBot="1" x14ac:dyDescent="0.3">
      <c r="B42" s="59"/>
      <c r="C42" s="60"/>
      <c r="D42" s="60"/>
      <c r="E42" s="61" t="s">
        <v>78</v>
      </c>
      <c r="F42" s="61"/>
      <c r="G42" s="60"/>
      <c r="H42" s="71"/>
      <c r="I42" s="68"/>
      <c r="J42" s="60"/>
      <c r="K42" s="60"/>
      <c r="L42" s="61" t="s">
        <v>79</v>
      </c>
      <c r="M42" s="61"/>
      <c r="N42" s="60"/>
      <c r="O42" s="62"/>
    </row>
    <row r="43" spans="2:18" ht="24" x14ac:dyDescent="0.25">
      <c r="B43" s="64" t="s">
        <v>80</v>
      </c>
      <c r="C43" s="58" t="s">
        <v>81</v>
      </c>
      <c r="D43" s="58" t="s">
        <v>82</v>
      </c>
      <c r="E43" s="58" t="s">
        <v>83</v>
      </c>
      <c r="F43" s="58" t="s">
        <v>84</v>
      </c>
      <c r="G43" s="58" t="s">
        <v>85</v>
      </c>
      <c r="H43" s="72" t="s">
        <v>86</v>
      </c>
      <c r="I43" s="69" t="s">
        <v>80</v>
      </c>
      <c r="J43" s="58" t="s">
        <v>81</v>
      </c>
      <c r="K43" s="58" t="s">
        <v>82</v>
      </c>
      <c r="L43" s="58" t="s">
        <v>83</v>
      </c>
      <c r="M43" s="58" t="s">
        <v>84</v>
      </c>
      <c r="N43" s="58" t="s">
        <v>85</v>
      </c>
      <c r="O43" s="156" t="s">
        <v>86</v>
      </c>
      <c r="P43" s="158" t="s">
        <v>55</v>
      </c>
      <c r="Q43" s="75" t="s">
        <v>54</v>
      </c>
      <c r="R43" s="76" t="s">
        <v>56</v>
      </c>
    </row>
    <row r="44" spans="2:18" ht="15.75" thickBot="1" x14ac:dyDescent="0.3">
      <c r="B44" s="65" t="e">
        <f>SUMIFS(Calkos!#REF!,Calkos!#REF!,"Alluminio",Calkos!#REF!,0.07,Calkos!#REF!,"fenaroli")</f>
        <v>#REF!</v>
      </c>
      <c r="C44" s="66" t="e">
        <f>SUMIFS(Calkos!#REF!,Calkos!#REF!,"Alluminio",Calkos!#REF!,0.1,Calkos!#REF!,"fenaroli")</f>
        <v>#REF!</v>
      </c>
      <c r="D44" s="66" t="e">
        <f>SUMIFS(Calkos!#REF!,Calkos!#REF!,"Alluminio",Calkos!#REF!,0.18,Calkos!#REF!,"fenaroli")</f>
        <v>#REF!</v>
      </c>
      <c r="E44" s="66" t="e">
        <f>SUMIFS(Calkos!#REF!,Calkos!#REF!,"Rame",Calkos!#REF!,0.1,Calkos!#REF!,"fenaroli")</f>
        <v>#REF!</v>
      </c>
      <c r="F44" s="66" t="e">
        <f>SUMIFS(Calkos!#REF!,Calkos!#REF!,"Rame",Calkos!#REF!,0.18,Calkos!#REF!,"fenaroli")</f>
        <v>#REF!</v>
      </c>
      <c r="G44" s="66" t="e">
        <f>SUMIFS(Calkos!#REF!,Calkos!#REF!,"Ottone",Calkos!#REF!,0.1,Calkos!#REF!,"fenaroli")</f>
        <v>#REF!</v>
      </c>
      <c r="H44" s="73" t="e">
        <f>SUMIFS(Calkos!#REF!,Calkos!#REF!,"Ottone",Calkos!#REF!,0.18,Calkos!#REF!,"fenaroli")</f>
        <v>#REF!</v>
      </c>
      <c r="I44" s="70" t="e">
        <f>SUMIFS(Calkos!#REF!,Calkos!#REF!,"Alluminio",Calkos!#REF!,0.07,Calkos!#REF!,"fenaroli")</f>
        <v>#REF!</v>
      </c>
      <c r="J44" s="67" t="e">
        <f>SUMIFS(Calkos!#REF!,Calkos!#REF!,"Alluminio",Calkos!#REF!,0.1,Calkos!#REF!,"fenaroli")</f>
        <v>#REF!</v>
      </c>
      <c r="K44" s="67" t="e">
        <f>SUMIFS(Calkos!#REF!,Calkos!#REF!,"Alluminio",Calkos!#REF!,0.18,Calkos!#REF!,"fenaroli")</f>
        <v>#REF!</v>
      </c>
      <c r="L44" s="67" t="e">
        <f>SUMIFS(Calkos!#REF!,Calkos!#REF!,"Rame",Calkos!#REF!,0.1,Calkos!#REF!,"fenaroli")</f>
        <v>#REF!</v>
      </c>
      <c r="M44" s="67" t="e">
        <f>SUMIFS(Calkos!#REF!,Calkos!#REF!,"Rame",Calkos!#REF!,0.18,Calkos!#REF!,"fenaroli")</f>
        <v>#REF!</v>
      </c>
      <c r="N44" s="67" t="e">
        <f>SUMIFS(Calkos!#REF!,Calkos!#REF!,"Ottone",Calkos!#REF!,0.1,Calkos!#REF!,"fenaroli")</f>
        <v>#REF!</v>
      </c>
      <c r="O44" s="157" t="e">
        <f>SUMIFS(Calkos!#REF!,Calkos!#REF!,"Ottone",Calkos!#REF!,0.18,Calkos!#REF!,"fenaroli")</f>
        <v>#REF!</v>
      </c>
      <c r="P44" s="12" t="e">
        <f>SUMIF(Calkos!#REF!,"Fenaroli",Calkos!#REF!)</f>
        <v>#REF!</v>
      </c>
      <c r="Q44" s="155" t="e">
        <f>SUMIF(Calkos!#REF!,"Fenaroli",Calkos!#REF!)</f>
        <v>#REF!</v>
      </c>
      <c r="R44" s="13" t="e">
        <f>+Q44*0.4</f>
        <v>#REF!</v>
      </c>
    </row>
    <row r="45" spans="2:18" x14ac:dyDescent="0.25">
      <c r="I45" s="154"/>
      <c r="J45" s="154"/>
      <c r="K45" s="154"/>
      <c r="L45" s="154"/>
      <c r="M45" s="154"/>
      <c r="N45" s="154"/>
      <c r="O45" s="154"/>
      <c r="P45" s="11"/>
      <c r="Q45" s="41"/>
      <c r="R45" s="41"/>
    </row>
    <row r="46" spans="2:18" x14ac:dyDescent="0.25">
      <c r="I46" s="154"/>
      <c r="J46" s="154"/>
      <c r="K46" s="154"/>
      <c r="L46" s="154"/>
      <c r="M46" s="154"/>
      <c r="N46" s="154"/>
      <c r="O46" s="154"/>
      <c r="P46" s="11"/>
      <c r="Q46" s="41"/>
      <c r="R46" s="41"/>
    </row>
    <row r="47" spans="2:18" x14ac:dyDescent="0.25">
      <c r="I47" s="154"/>
      <c r="J47" s="154"/>
      <c r="K47" s="154"/>
      <c r="L47" s="154"/>
      <c r="M47" s="154"/>
      <c r="N47" s="154"/>
      <c r="O47" s="154"/>
      <c r="P47" s="11"/>
      <c r="Q47" s="41"/>
      <c r="R47" s="41"/>
    </row>
    <row r="48" spans="2:18" x14ac:dyDescent="0.25">
      <c r="I48" s="154"/>
      <c r="J48" s="154"/>
      <c r="K48" s="154"/>
      <c r="L48" s="154"/>
      <c r="M48" s="154"/>
      <c r="N48" s="154"/>
      <c r="O48" s="154"/>
      <c r="P48" s="11"/>
      <c r="Q48" s="41"/>
      <c r="R48" s="41"/>
    </row>
    <row r="49" spans="2:19" x14ac:dyDescent="0.25">
      <c r="I49" s="154"/>
      <c r="J49" s="154"/>
      <c r="K49" s="154"/>
      <c r="L49" s="154"/>
      <c r="M49" s="154"/>
      <c r="N49" s="154"/>
      <c r="O49" s="154"/>
      <c r="P49" s="11"/>
      <c r="Q49" s="41"/>
      <c r="R49" s="41"/>
    </row>
    <row r="51" spans="2:19" x14ac:dyDescent="0.25">
      <c r="O51" s="27"/>
      <c r="P51" s="28"/>
      <c r="Q51" s="28"/>
      <c r="R51" s="28"/>
      <c r="S51" s="29"/>
    </row>
    <row r="53" spans="2:19" ht="15.75" thickBot="1" x14ac:dyDescent="0.3"/>
    <row r="54" spans="2:19" ht="15.75" thickBot="1" x14ac:dyDescent="0.3">
      <c r="B54" s="59"/>
      <c r="C54" s="60"/>
      <c r="D54" s="60"/>
      <c r="E54" s="61" t="s">
        <v>78</v>
      </c>
      <c r="F54" s="61"/>
      <c r="G54" s="60"/>
      <c r="H54" s="71"/>
      <c r="I54" s="68"/>
      <c r="J54" s="60"/>
      <c r="K54" s="60"/>
      <c r="L54" s="61" t="s">
        <v>79</v>
      </c>
      <c r="M54" s="61"/>
      <c r="N54" s="60"/>
      <c r="O54" s="62"/>
      <c r="P54" s="26" t="s">
        <v>56</v>
      </c>
    </row>
    <row r="55" spans="2:19" ht="24" x14ac:dyDescent="0.25">
      <c r="B55" s="64" t="s">
        <v>80</v>
      </c>
      <c r="C55" s="58" t="s">
        <v>81</v>
      </c>
      <c r="D55" s="58" t="s">
        <v>82</v>
      </c>
      <c r="E55" s="58" t="s">
        <v>83</v>
      </c>
      <c r="F55" s="58" t="s">
        <v>84</v>
      </c>
      <c r="G55" s="58" t="s">
        <v>85</v>
      </c>
      <c r="H55" s="72" t="s">
        <v>86</v>
      </c>
      <c r="I55" s="69" t="s">
        <v>80</v>
      </c>
      <c r="J55" s="58" t="s">
        <v>81</v>
      </c>
      <c r="K55" s="58" t="s">
        <v>82</v>
      </c>
      <c r="L55" s="58" t="s">
        <v>83</v>
      </c>
      <c r="M55" s="58" t="s">
        <v>84</v>
      </c>
      <c r="N55" s="58" t="s">
        <v>85</v>
      </c>
      <c r="O55" s="58" t="s">
        <v>86</v>
      </c>
      <c r="P55" s="22" t="s">
        <v>55</v>
      </c>
      <c r="Q55" s="23" t="s">
        <v>54</v>
      </c>
      <c r="R55" s="24" t="s">
        <v>56</v>
      </c>
    </row>
    <row r="56" spans="2:19" ht="15.75" thickBot="1" x14ac:dyDescent="0.3">
      <c r="B56" s="65" t="e">
        <f>SUMIFS(Calkos!#REF!,Calkos!#REF!,"Alluminio",Calkos!#REF!,0.07,Calkos!#REF!,"Luca")</f>
        <v>#REF!</v>
      </c>
      <c r="C56" s="66" t="e">
        <f>SUMIFS(Calkos!#REF!,Calkos!#REF!,"Alluminio",Calkos!#REF!,0.1,Calkos!#REF!,"luca")</f>
        <v>#REF!</v>
      </c>
      <c r="D56" s="66" t="e">
        <f>SUMIFS(Calkos!#REF!,Calkos!#REF!,"Alluminio",Calkos!#REF!,0.18,Calkos!#REF!,"luca")</f>
        <v>#REF!</v>
      </c>
      <c r="E56" s="66" t="e">
        <f>SUMIFS(Calkos!#REF!,Calkos!#REF!,"Rame",Calkos!#REF!,0.1,Calkos!#REF!,"Luca")</f>
        <v>#REF!</v>
      </c>
      <c r="F56" s="66" t="e">
        <f>SUMIFS(Calkos!#REF!,Calkos!#REF!,"Rame",Calkos!#REF!,0.18,Calkos!#REF!,"Luca")</f>
        <v>#REF!</v>
      </c>
      <c r="G56" s="66" t="e">
        <f>SUMIFS(Calkos!#REF!,Calkos!#REF!,"Ottone",Calkos!#REF!,0.1,Calkos!#REF!,"luca")</f>
        <v>#REF!</v>
      </c>
      <c r="H56" s="73" t="e">
        <f>SUMIFS(Calkos!#REF!,Calkos!#REF!,"Ottone",Calkos!#REF!,0.18,Calkos!#REF!,"Luca")</f>
        <v>#REF!</v>
      </c>
      <c r="I56" s="70" t="e">
        <f>SUMIFS(Calkos!#REF!,Calkos!#REF!,"Alluminio",Calkos!#REF!,0.07,Calkos!#REF!,"Luca")</f>
        <v>#REF!</v>
      </c>
      <c r="J56" s="67" t="e">
        <f>SUMIFS(Calkos!#REF!,Calkos!#REF!,"Alluminio",Calkos!#REF!,0.1,Calkos!#REF!,"luca")</f>
        <v>#REF!</v>
      </c>
      <c r="K56" s="67" t="e">
        <f>SUMIFS(Calkos!#REF!,Calkos!#REF!,"Alluminio",Calkos!#REF!,0.18,Calkos!#REF!,"luca")</f>
        <v>#REF!</v>
      </c>
      <c r="L56" s="67" t="e">
        <f>SUMIFS(Calkos!#REF!,Calkos!#REF!,"Rame",Calkos!#REF!,0.1,Calkos!#REF!,"Luca")</f>
        <v>#REF!</v>
      </c>
      <c r="M56" s="67" t="e">
        <f>SUMIFS(Calkos!#REF!,Calkos!#REF!,"Rame",Calkos!#REF!,0.18,Calkos!#REF!,"luca")</f>
        <v>#REF!</v>
      </c>
      <c r="N56" s="67" t="e">
        <f>SUMIFS(Calkos!#REF!,Calkos!#REF!,"Ottone",Calkos!#REF!,0.1,Calkos!#REF!,"luca")</f>
        <v>#REF!</v>
      </c>
      <c r="O56" s="67" t="e">
        <f>SUMIFS(Calkos!#REF!,Calkos!#REF!,"Ottone",Calkos!#REF!,0.18,Calkos!#REF!,"luca")</f>
        <v>#REF!</v>
      </c>
      <c r="P56" s="12" t="e">
        <f>SUMIF(Calkos!#REF!,"luca",Calkos!#REF!)</f>
        <v>#REF!</v>
      </c>
      <c r="Q56" s="155" t="e">
        <f>SUMIF(Calkos!#REF!,"Luca",Calkos!#REF!)</f>
        <v>#REF!</v>
      </c>
      <c r="R56" s="13" t="e">
        <f>+Q56*40%</f>
        <v>#REF!</v>
      </c>
    </row>
    <row r="57" spans="2:19" x14ac:dyDescent="0.25">
      <c r="P57" s="11"/>
      <c r="Q57" s="41"/>
      <c r="R57" s="41"/>
    </row>
    <row r="58" spans="2:19" x14ac:dyDescent="0.25">
      <c r="O58" s="27"/>
      <c r="P58" s="28"/>
      <c r="Q58" s="28"/>
      <c r="R58" s="28"/>
      <c r="S58" s="29"/>
    </row>
    <row r="59" spans="2:19" x14ac:dyDescent="0.25">
      <c r="P59" s="11"/>
      <c r="Q59" s="41"/>
      <c r="R59" s="41"/>
    </row>
    <row r="60" spans="2:19" ht="19.5" thickBot="1" x14ac:dyDescent="0.35">
      <c r="P60" s="49" t="s">
        <v>66</v>
      </c>
      <c r="Q60" s="50"/>
    </row>
    <row r="61" spans="2:19" ht="18.75" x14ac:dyDescent="0.3">
      <c r="P61" s="42" t="s">
        <v>63</v>
      </c>
      <c r="Q61" s="43" t="e">
        <f>+P56</f>
        <v>#REF!</v>
      </c>
    </row>
    <row r="62" spans="2:19" ht="18.75" x14ac:dyDescent="0.3">
      <c r="P62" s="44" t="s">
        <v>62</v>
      </c>
      <c r="Q62" s="45" t="e">
        <f>+R56</f>
        <v>#REF!</v>
      </c>
    </row>
    <row r="63" spans="2:19" ht="19.5" thickBot="1" x14ac:dyDescent="0.35">
      <c r="P63" s="44" t="s">
        <v>64</v>
      </c>
      <c r="Q63" s="46" t="e">
        <f>+(Q62/2)*23%</f>
        <v>#REF!</v>
      </c>
    </row>
    <row r="64" spans="2:19" ht="19.5" thickBot="1" x14ac:dyDescent="0.35">
      <c r="P64" s="47" t="s">
        <v>65</v>
      </c>
      <c r="Q64" s="48" t="e">
        <f>+Q62-Q63</f>
        <v>#REF!</v>
      </c>
    </row>
    <row r="65" spans="15:19" x14ac:dyDescent="0.25">
      <c r="P65" s="11"/>
      <c r="Q65" s="41"/>
      <c r="R65" s="41"/>
    </row>
    <row r="66" spans="15:19" x14ac:dyDescent="0.25">
      <c r="O66" s="27"/>
      <c r="P66" s="28"/>
      <c r="Q66" s="28"/>
      <c r="R66" s="28"/>
      <c r="S66" s="29"/>
    </row>
    <row r="67" spans="15:19" ht="15.75" thickBot="1" x14ac:dyDescent="0.3">
      <c r="P67" s="26" t="s">
        <v>59</v>
      </c>
    </row>
    <row r="68" spans="15:19" ht="24.75" thickBot="1" x14ac:dyDescent="0.3">
      <c r="P68" s="22" t="s">
        <v>55</v>
      </c>
      <c r="Q68" s="23" t="s">
        <v>54</v>
      </c>
      <c r="R68" s="24" t="s">
        <v>56</v>
      </c>
    </row>
    <row r="69" spans="15:19" x14ac:dyDescent="0.25">
      <c r="O69" s="38" t="s">
        <v>60</v>
      </c>
      <c r="P69" s="10" t="e">
        <f>+P7+P14+P20+P26+P32+P38+P44</f>
        <v>#REF!</v>
      </c>
      <c r="Q69" s="30" t="e">
        <f>+Q7+Q14+Q20+Q26+Q32+Q38+Q44</f>
        <v>#REF!</v>
      </c>
      <c r="R69" s="31" t="e">
        <f>+R7+R14+R20+R26+R32+R38+R44</f>
        <v>#REF!</v>
      </c>
    </row>
    <row r="70" spans="15:19" ht="15.75" thickBot="1" x14ac:dyDescent="0.3">
      <c r="O70" s="39" t="s">
        <v>61</v>
      </c>
      <c r="P70" s="32" t="e">
        <f>+P56</f>
        <v>#REF!</v>
      </c>
      <c r="Q70" s="33" t="e">
        <f>+Q56</f>
        <v>#REF!</v>
      </c>
      <c r="R70" s="34" t="e">
        <f>+R56</f>
        <v>#REF!</v>
      </c>
    </row>
    <row r="71" spans="15:19" ht="15.75" thickBot="1" x14ac:dyDescent="0.3">
      <c r="O71" s="40" t="s">
        <v>50</v>
      </c>
      <c r="P71" s="35" t="e">
        <f>+P69-P70</f>
        <v>#REF!</v>
      </c>
      <c r="Q71" s="36" t="e">
        <f>+Q69-Q70</f>
        <v>#REF!</v>
      </c>
      <c r="R71" s="37" t="e">
        <f>+R69-R70</f>
        <v>#REF!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B1:E36"/>
  <sheetViews>
    <sheetView topLeftCell="A10" workbookViewId="0">
      <selection activeCell="H41" sqref="H41"/>
    </sheetView>
  </sheetViews>
  <sheetFormatPr defaultRowHeight="15" x14ac:dyDescent="0.25"/>
  <cols>
    <col min="2" max="2" width="13.5703125" customWidth="1"/>
    <col min="3" max="3" width="15" customWidth="1"/>
    <col min="4" max="4" width="14.140625" customWidth="1"/>
  </cols>
  <sheetData>
    <row r="1" spans="2:5" ht="21" x14ac:dyDescent="0.35">
      <c r="B1" s="51" t="s">
        <v>67</v>
      </c>
    </row>
    <row r="2" spans="2:5" ht="21" x14ac:dyDescent="0.35">
      <c r="B2" s="51"/>
    </row>
    <row r="3" spans="2:5" ht="21" x14ac:dyDescent="0.35">
      <c r="B3" s="51"/>
    </row>
    <row r="4" spans="2:5" x14ac:dyDescent="0.25">
      <c r="B4" s="26" t="s">
        <v>57</v>
      </c>
    </row>
    <row r="5" spans="2:5" ht="15.75" thickBot="1" x14ac:dyDescent="0.3"/>
    <row r="6" spans="2:5" ht="24" x14ac:dyDescent="0.25">
      <c r="B6" s="74" t="s">
        <v>55</v>
      </c>
      <c r="C6" s="75" t="s">
        <v>54</v>
      </c>
      <c r="D6" s="76" t="s">
        <v>56</v>
      </c>
    </row>
    <row r="7" spans="2:5" ht="15.75" thickBot="1" x14ac:dyDescent="0.3">
      <c r="B7" s="63" t="e">
        <f>+'Luke SkyWalker'!P7</f>
        <v>#REF!</v>
      </c>
      <c r="C7" s="78" t="e">
        <f>+'Luke SkyWalker'!Q7</f>
        <v>#REF!</v>
      </c>
      <c r="D7" s="13" t="e">
        <f>+'Luke SkyWalker'!R7</f>
        <v>#REF!</v>
      </c>
    </row>
    <row r="9" spans="2:5" x14ac:dyDescent="0.25">
      <c r="B9" s="28"/>
      <c r="C9" s="28"/>
      <c r="D9" s="28"/>
      <c r="E9" s="29"/>
    </row>
    <row r="11" spans="2:5" x14ac:dyDescent="0.25">
      <c r="B11" s="26" t="s">
        <v>58</v>
      </c>
    </row>
    <row r="12" spans="2:5" ht="15.75" thickBot="1" x14ac:dyDescent="0.3"/>
    <row r="13" spans="2:5" ht="24" x14ac:dyDescent="0.25">
      <c r="B13" s="74" t="s">
        <v>55</v>
      </c>
      <c r="C13" s="75" t="s">
        <v>54</v>
      </c>
      <c r="D13" s="76" t="s">
        <v>56</v>
      </c>
    </row>
    <row r="14" spans="2:5" ht="15.75" thickBot="1" x14ac:dyDescent="0.3">
      <c r="B14" s="63" t="e">
        <f>SUM(#REF!)</f>
        <v>#REF!</v>
      </c>
      <c r="C14" s="13" t="e">
        <f>SUM(#REF!)</f>
        <v>#REF!</v>
      </c>
      <c r="D14" s="13" t="e">
        <f>IF(#REF!&gt;0,#REF!*0.025,0)+IF(#REF!&gt;0,#REF!*0.04,0)+IF(#REF!&gt;0,#REF!*0.07,0)+IF(#REF!&gt;0,#REF!*0.04,0)+IF(#REF!&gt;0,#REF!*0.07,0)+IF(#REF!&gt;0,#REF!*0.04,0)+IF(#REF!&gt;0,B14*0.07,0)</f>
        <v>#REF!</v>
      </c>
    </row>
    <row r="16" spans="2:5" x14ac:dyDescent="0.25">
      <c r="B16" s="28"/>
      <c r="C16" s="28"/>
      <c r="D16" s="28"/>
      <c r="E16" s="29"/>
    </row>
    <row r="19" spans="2:5" ht="15.75" thickBot="1" x14ac:dyDescent="0.3">
      <c r="B19" s="26" t="s">
        <v>56</v>
      </c>
    </row>
    <row r="20" spans="2:5" ht="24" x14ac:dyDescent="0.25">
      <c r="B20" s="22" t="s">
        <v>55</v>
      </c>
      <c r="C20" s="23" t="s">
        <v>54</v>
      </c>
      <c r="D20" s="24" t="s">
        <v>56</v>
      </c>
    </row>
    <row r="21" spans="2:5" ht="15.75" thickBot="1" x14ac:dyDescent="0.3">
      <c r="B21" s="12" t="e">
        <f>SUM(#REF!)</f>
        <v>#REF!</v>
      </c>
      <c r="C21" s="13" t="e">
        <f>SUM(#REF!)</f>
        <v>#REF!</v>
      </c>
      <c r="D21" s="13" t="e">
        <f>IF(#REF!&gt;0,#REF!*0.025,0)+IF(#REF!&gt;0,#REF!*0.04,0)+IF(#REF!&gt;0,#REF!*0.07,0)+IF(#REF!&gt;0,#REF!*0.04,0)+IF(#REF!&gt;0,#REF!*0.07,0)+IF(#REF!&gt;0,#REF!*0.04,0)+IF(#REF!&gt;0,B21*0.07,0)</f>
        <v>#REF!</v>
      </c>
    </row>
    <row r="22" spans="2:5" x14ac:dyDescent="0.25">
      <c r="B22" s="11"/>
      <c r="C22" s="41"/>
      <c r="D22" s="41"/>
    </row>
    <row r="23" spans="2:5" x14ac:dyDescent="0.25">
      <c r="B23" s="28"/>
      <c r="C23" s="28"/>
      <c r="D23" s="28"/>
      <c r="E23" s="29"/>
    </row>
    <row r="24" spans="2:5" x14ac:dyDescent="0.25">
      <c r="B24" s="11"/>
      <c r="C24" s="41"/>
      <c r="D24" s="41"/>
    </row>
    <row r="25" spans="2:5" ht="19.5" thickBot="1" x14ac:dyDescent="0.35">
      <c r="B25" s="49" t="s">
        <v>66</v>
      </c>
      <c r="C25" s="50"/>
    </row>
    <row r="26" spans="2:5" ht="18.75" x14ac:dyDescent="0.3">
      <c r="B26" s="42" t="s">
        <v>63</v>
      </c>
      <c r="C26" s="43" t="e">
        <f>+B21</f>
        <v>#REF!</v>
      </c>
    </row>
    <row r="27" spans="2:5" ht="18.75" x14ac:dyDescent="0.3">
      <c r="B27" s="44" t="s">
        <v>62</v>
      </c>
      <c r="C27" s="45" t="e">
        <f>+D21</f>
        <v>#REF!</v>
      </c>
    </row>
    <row r="28" spans="2:5" ht="19.5" thickBot="1" x14ac:dyDescent="0.35">
      <c r="B28" s="44" t="s">
        <v>64</v>
      </c>
      <c r="C28" s="46" t="e">
        <f>+(C27/2)*23%</f>
        <v>#REF!</v>
      </c>
    </row>
    <row r="29" spans="2:5" ht="19.5" thickBot="1" x14ac:dyDescent="0.35">
      <c r="B29" s="47" t="s">
        <v>65</v>
      </c>
      <c r="C29" s="48" t="e">
        <f>+C27-C28</f>
        <v>#REF!</v>
      </c>
    </row>
    <row r="30" spans="2:5" x14ac:dyDescent="0.25">
      <c r="B30" s="11"/>
      <c r="C30" s="41"/>
      <c r="D30" s="41"/>
    </row>
    <row r="31" spans="2:5" x14ac:dyDescent="0.25">
      <c r="B31" s="28"/>
      <c r="C31" s="28"/>
      <c r="D31" s="28"/>
      <c r="E31" s="29"/>
    </row>
    <row r="32" spans="2:5" ht="15.75" thickBot="1" x14ac:dyDescent="0.3">
      <c r="B32" s="26" t="s">
        <v>59</v>
      </c>
    </row>
    <row r="33" spans="2:4" ht="24" x14ac:dyDescent="0.25">
      <c r="B33" s="22" t="s">
        <v>55</v>
      </c>
      <c r="C33" s="23" t="s">
        <v>54</v>
      </c>
      <c r="D33" s="24" t="s">
        <v>56</v>
      </c>
    </row>
    <row r="34" spans="2:4" x14ac:dyDescent="0.25">
      <c r="B34" s="10" t="e">
        <f>+B7+B14</f>
        <v>#REF!</v>
      </c>
      <c r="C34" s="30" t="e">
        <f>+C7+C14</f>
        <v>#REF!</v>
      </c>
      <c r="D34" s="31" t="e">
        <f>+D7+D14</f>
        <v>#REF!</v>
      </c>
    </row>
    <row r="35" spans="2:4" ht="15.75" thickBot="1" x14ac:dyDescent="0.3">
      <c r="B35" s="32" t="e">
        <f>+B21</f>
        <v>#REF!</v>
      </c>
      <c r="C35" s="33" t="e">
        <f>+C21</f>
        <v>#REF!</v>
      </c>
      <c r="D35" s="34" t="e">
        <f>+D21</f>
        <v>#REF!</v>
      </c>
    </row>
    <row r="36" spans="2:4" ht="15.75" thickBot="1" x14ac:dyDescent="0.3">
      <c r="B36" s="35" t="e">
        <f>+B34-B35</f>
        <v>#REF!</v>
      </c>
      <c r="C36" s="36" t="e">
        <f>+C34-C35</f>
        <v>#REF!</v>
      </c>
      <c r="D36" s="37" t="e">
        <f>+D34-D35</f>
        <v>#REF!</v>
      </c>
    </row>
  </sheetData>
  <phoneticPr fontId="19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1:J49"/>
  <sheetViews>
    <sheetView topLeftCell="A7" workbookViewId="0">
      <selection activeCell="C1" sqref="C1"/>
    </sheetView>
  </sheetViews>
  <sheetFormatPr defaultRowHeight="15" x14ac:dyDescent="0.25"/>
  <cols>
    <col min="2" max="2" width="13.5703125" customWidth="1"/>
    <col min="3" max="3" width="15" customWidth="1"/>
    <col min="4" max="4" width="14.140625" customWidth="1"/>
    <col min="8" max="8" width="13.5703125" customWidth="1"/>
    <col min="9" max="9" width="15" customWidth="1"/>
    <col min="10" max="10" width="14.140625" customWidth="1"/>
  </cols>
  <sheetData>
    <row r="1" spans="1:10" ht="21" x14ac:dyDescent="0.35">
      <c r="B1" s="51" t="s">
        <v>68</v>
      </c>
    </row>
    <row r="3" spans="1:10" ht="15.75" thickBot="1" x14ac:dyDescent="0.3">
      <c r="B3" s="172" t="s">
        <v>215</v>
      </c>
      <c r="H3" s="26" t="s">
        <v>70</v>
      </c>
    </row>
    <row r="4" spans="1:10" ht="24" x14ac:dyDescent="0.25">
      <c r="B4" s="22" t="s">
        <v>55</v>
      </c>
      <c r="C4" s="23" t="s">
        <v>54</v>
      </c>
      <c r="D4" s="24" t="s">
        <v>69</v>
      </c>
      <c r="F4" s="55"/>
      <c r="H4" s="22" t="s">
        <v>55</v>
      </c>
      <c r="I4" s="23" t="s">
        <v>54</v>
      </c>
      <c r="J4" s="24" t="s">
        <v>69</v>
      </c>
    </row>
    <row r="5" spans="1:10" ht="15.75" thickBot="1" x14ac:dyDescent="0.3">
      <c r="B5" s="12"/>
      <c r="C5" s="13"/>
      <c r="D5" s="25"/>
      <c r="F5" s="55"/>
      <c r="H5" s="12"/>
      <c r="I5" s="13"/>
      <c r="J5" s="25"/>
    </row>
    <row r="6" spans="1:10" x14ac:dyDescent="0.25">
      <c r="F6" s="55"/>
    </row>
    <row r="7" spans="1:10" x14ac:dyDescent="0.25">
      <c r="A7" s="27"/>
      <c r="B7" s="28"/>
      <c r="C7" s="28"/>
      <c r="D7" s="28"/>
      <c r="E7" s="29"/>
      <c r="F7" s="55"/>
      <c r="G7" s="27"/>
      <c r="H7" s="28"/>
      <c r="I7" s="28"/>
      <c r="J7" s="28"/>
    </row>
    <row r="8" spans="1:10" x14ac:dyDescent="0.25">
      <c r="F8" s="55"/>
    </row>
    <row r="9" spans="1:10" ht="15.75" thickBot="1" x14ac:dyDescent="0.3">
      <c r="B9" s="172" t="s">
        <v>216</v>
      </c>
      <c r="F9" s="55"/>
      <c r="H9" s="26" t="s">
        <v>71</v>
      </c>
    </row>
    <row r="10" spans="1:10" ht="24" x14ac:dyDescent="0.25">
      <c r="B10" s="22" t="s">
        <v>55</v>
      </c>
      <c r="C10" s="23" t="s">
        <v>54</v>
      </c>
      <c r="D10" s="24" t="s">
        <v>69</v>
      </c>
      <c r="F10" s="55"/>
      <c r="H10" s="22" t="s">
        <v>55</v>
      </c>
      <c r="I10" s="23" t="s">
        <v>54</v>
      </c>
      <c r="J10" s="24" t="s">
        <v>69</v>
      </c>
    </row>
    <row r="11" spans="1:10" ht="15.75" thickBot="1" x14ac:dyDescent="0.3">
      <c r="B11" s="12"/>
      <c r="C11" s="13"/>
      <c r="D11" s="25"/>
      <c r="F11" s="55"/>
      <c r="H11" s="12"/>
      <c r="I11" s="13"/>
      <c r="J11" s="25"/>
    </row>
    <row r="12" spans="1:10" x14ac:dyDescent="0.25">
      <c r="F12" s="55"/>
    </row>
    <row r="13" spans="1:10" x14ac:dyDescent="0.25">
      <c r="A13" s="27"/>
      <c r="B13" s="28"/>
      <c r="C13" s="28"/>
      <c r="D13" s="28"/>
      <c r="E13" s="29"/>
      <c r="F13" s="55"/>
      <c r="H13" s="28"/>
      <c r="I13" s="28"/>
      <c r="J13" s="28"/>
    </row>
    <row r="14" spans="1:10" x14ac:dyDescent="0.25">
      <c r="F14" s="55"/>
    </row>
    <row r="15" spans="1:10" ht="15.75" thickBot="1" x14ac:dyDescent="0.3">
      <c r="B15" s="172" t="s">
        <v>217</v>
      </c>
      <c r="F15" s="55"/>
      <c r="H15" s="26" t="s">
        <v>72</v>
      </c>
    </row>
    <row r="16" spans="1:10" ht="24" x14ac:dyDescent="0.25">
      <c r="B16" s="22" t="s">
        <v>55</v>
      </c>
      <c r="C16" s="23" t="s">
        <v>54</v>
      </c>
      <c r="D16" s="24" t="s">
        <v>69</v>
      </c>
      <c r="F16" s="55"/>
      <c r="H16" s="22" t="s">
        <v>55</v>
      </c>
      <c r="I16" s="23" t="s">
        <v>54</v>
      </c>
      <c r="J16" s="24" t="s">
        <v>69</v>
      </c>
    </row>
    <row r="17" spans="1:10" ht="15.75" thickBot="1" x14ac:dyDescent="0.3">
      <c r="B17" s="12"/>
      <c r="C17" s="13"/>
      <c r="D17" s="25"/>
      <c r="F17" s="55"/>
      <c r="H17" s="12"/>
      <c r="I17" s="13"/>
      <c r="J17" s="25"/>
    </row>
    <row r="18" spans="1:10" x14ac:dyDescent="0.25">
      <c r="B18" s="53"/>
      <c r="C18" s="54"/>
      <c r="D18" s="54"/>
      <c r="F18" s="55"/>
    </row>
    <row r="19" spans="1:10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</row>
    <row r="21" spans="1:10" ht="15.75" thickBot="1" x14ac:dyDescent="0.3">
      <c r="B21" s="26" t="s">
        <v>73</v>
      </c>
      <c r="F21" s="55"/>
      <c r="H21" s="26" t="s">
        <v>74</v>
      </c>
    </row>
    <row r="22" spans="1:10" ht="24" x14ac:dyDescent="0.25">
      <c r="B22" s="22" t="s">
        <v>55</v>
      </c>
      <c r="C22" s="23" t="s">
        <v>54</v>
      </c>
      <c r="D22" s="24" t="s">
        <v>69</v>
      </c>
      <c r="F22" s="55"/>
      <c r="H22" s="22" t="s">
        <v>55</v>
      </c>
      <c r="I22" s="23" t="s">
        <v>54</v>
      </c>
      <c r="J22" s="24" t="s">
        <v>69</v>
      </c>
    </row>
    <row r="23" spans="1:10" ht="15.75" thickBot="1" x14ac:dyDescent="0.3">
      <c r="B23" s="12"/>
      <c r="C23" s="13"/>
      <c r="D23" s="25"/>
      <c r="F23" s="55"/>
      <c r="H23" s="12"/>
      <c r="I23" s="13"/>
      <c r="J23" s="25"/>
    </row>
    <row r="24" spans="1:10" ht="12.75" customHeight="1" x14ac:dyDescent="0.25"/>
    <row r="27" spans="1:10" x14ac:dyDescent="0.25">
      <c r="A27" s="27"/>
      <c r="B27" s="28"/>
      <c r="C27" s="28"/>
      <c r="D27" s="28"/>
      <c r="E27" s="29"/>
      <c r="F27" s="55"/>
    </row>
    <row r="29" spans="1:10" ht="15.75" thickBot="1" x14ac:dyDescent="0.3">
      <c r="B29" s="26" t="s">
        <v>69</v>
      </c>
    </row>
    <row r="30" spans="1:10" ht="24" x14ac:dyDescent="0.25">
      <c r="B30" s="22" t="s">
        <v>55</v>
      </c>
      <c r="C30" s="23" t="s">
        <v>54</v>
      </c>
      <c r="D30" s="24" t="s">
        <v>69</v>
      </c>
    </row>
    <row r="31" spans="1:10" ht="15.75" thickBot="1" x14ac:dyDescent="0.3">
      <c r="B31" s="12"/>
      <c r="C31" s="13"/>
      <c r="D31" s="25"/>
    </row>
    <row r="32" spans="1:10" x14ac:dyDescent="0.25">
      <c r="B32" s="11"/>
      <c r="C32" s="41"/>
      <c r="D32" s="41"/>
    </row>
    <row r="33" spans="1:5" x14ac:dyDescent="0.25">
      <c r="B33" s="11"/>
      <c r="C33" s="41"/>
      <c r="D33" s="41"/>
    </row>
    <row r="34" spans="1:5" x14ac:dyDescent="0.25">
      <c r="A34" s="27"/>
      <c r="B34" s="28"/>
      <c r="C34" s="28"/>
      <c r="D34" s="28"/>
      <c r="E34" s="29"/>
    </row>
    <row r="35" spans="1:5" x14ac:dyDescent="0.25">
      <c r="B35" s="11"/>
      <c r="C35" s="41"/>
      <c r="D35" s="41"/>
    </row>
    <row r="36" spans="1:5" ht="19.5" thickBot="1" x14ac:dyDescent="0.35">
      <c r="B36" s="49" t="s">
        <v>66</v>
      </c>
      <c r="C36" s="50"/>
    </row>
    <row r="37" spans="1:5" ht="18.75" x14ac:dyDescent="0.3">
      <c r="B37" s="42" t="s">
        <v>63</v>
      </c>
      <c r="C37" s="43">
        <f>+B31</f>
        <v>0</v>
      </c>
    </row>
    <row r="38" spans="1:5" ht="18.75" x14ac:dyDescent="0.3">
      <c r="B38" s="44" t="s">
        <v>62</v>
      </c>
      <c r="C38" s="45">
        <f>+D31</f>
        <v>0</v>
      </c>
    </row>
    <row r="39" spans="1:5" ht="18.75" x14ac:dyDescent="0.3">
      <c r="B39" s="44" t="s">
        <v>75</v>
      </c>
      <c r="C39" s="56">
        <f>+C38*22%</f>
        <v>0</v>
      </c>
    </row>
    <row r="40" spans="1:5" ht="18.75" x14ac:dyDescent="0.3">
      <c r="B40" s="44" t="s">
        <v>65</v>
      </c>
      <c r="C40" s="56">
        <f>+C38+C39</f>
        <v>0</v>
      </c>
    </row>
    <row r="41" spans="1:5" ht="19.5" thickBot="1" x14ac:dyDescent="0.35">
      <c r="B41" s="44" t="s">
        <v>64</v>
      </c>
      <c r="C41" s="46">
        <f>+(C38/2)*23%</f>
        <v>0</v>
      </c>
    </row>
    <row r="42" spans="1:5" ht="38.25" thickBot="1" x14ac:dyDescent="0.35">
      <c r="B42" s="57" t="s">
        <v>76</v>
      </c>
      <c r="C42" s="48">
        <f>+C38-C41</f>
        <v>0</v>
      </c>
    </row>
    <row r="43" spans="1:5" x14ac:dyDescent="0.25">
      <c r="B43" s="11"/>
      <c r="C43" s="41"/>
      <c r="D43" s="41"/>
    </row>
    <row r="44" spans="1:5" x14ac:dyDescent="0.25">
      <c r="A44" s="27"/>
      <c r="B44" s="28"/>
      <c r="C44" s="28"/>
      <c r="D44" s="28"/>
      <c r="E44" s="29"/>
    </row>
    <row r="45" spans="1:5" ht="15.75" thickBot="1" x14ac:dyDescent="0.3">
      <c r="B45" s="26" t="s">
        <v>59</v>
      </c>
    </row>
    <row r="46" spans="1:5" ht="24.75" thickBot="1" x14ac:dyDescent="0.3">
      <c r="B46" s="22" t="s">
        <v>55</v>
      </c>
      <c r="C46" s="23" t="s">
        <v>54</v>
      </c>
      <c r="D46" s="24" t="s">
        <v>69</v>
      </c>
    </row>
    <row r="47" spans="1:5" x14ac:dyDescent="0.25">
      <c r="A47" s="38" t="s">
        <v>60</v>
      </c>
      <c r="B47" s="10">
        <f>+B5+B11+B17+B23+H5+H11+H17+H23</f>
        <v>0</v>
      </c>
      <c r="C47" s="30">
        <f>+C5+C11+C17+C23+I5+I11+I17+I23</f>
        <v>0</v>
      </c>
      <c r="D47" s="31">
        <f>+D5+D11+D17+D23+J5+J11+J17+J23</f>
        <v>0</v>
      </c>
    </row>
    <row r="48" spans="1:5" ht="15.75" thickBot="1" x14ac:dyDescent="0.3">
      <c r="A48" s="39" t="s">
        <v>77</v>
      </c>
      <c r="B48" s="32">
        <f>+B47-B31</f>
        <v>0</v>
      </c>
      <c r="C48" s="33">
        <f>+C31</f>
        <v>0</v>
      </c>
      <c r="D48" s="34">
        <f>+D31</f>
        <v>0</v>
      </c>
    </row>
    <row r="49" spans="1:4" ht="15.75" thickBot="1" x14ac:dyDescent="0.3">
      <c r="A49" s="40" t="s">
        <v>50</v>
      </c>
      <c r="B49" s="35">
        <f>+B47-B48</f>
        <v>0</v>
      </c>
      <c r="C49" s="36">
        <f>+C47-C48</f>
        <v>0</v>
      </c>
      <c r="D49" s="37">
        <f>+D47-D48</f>
        <v>0</v>
      </c>
    </row>
  </sheetData>
  <phoneticPr fontId="19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7"/>
  <dimension ref="A2:C37"/>
  <sheetViews>
    <sheetView workbookViewId="0">
      <selection activeCell="D30" sqref="D30"/>
    </sheetView>
  </sheetViews>
  <sheetFormatPr defaultRowHeight="15" x14ac:dyDescent="0.25"/>
  <cols>
    <col min="1" max="1" width="14.5703125" customWidth="1"/>
    <col min="2" max="2" width="12.85546875" customWidth="1"/>
    <col min="3" max="3" width="11.42578125" customWidth="1"/>
  </cols>
  <sheetData>
    <row r="2" spans="1:3" ht="18.75" x14ac:dyDescent="0.3">
      <c r="A2" s="432" t="s">
        <v>275</v>
      </c>
      <c r="B2" s="432"/>
    </row>
    <row r="4" spans="1:3" ht="15.75" thickBot="1" x14ac:dyDescent="0.3">
      <c r="A4" s="433" t="s">
        <v>276</v>
      </c>
      <c r="B4" s="433"/>
      <c r="C4" s="433"/>
    </row>
    <row r="5" spans="1:3" ht="15.75" thickBot="1" x14ac:dyDescent="0.3">
      <c r="A5" s="174" t="s">
        <v>277</v>
      </c>
      <c r="B5" s="175" t="s">
        <v>278</v>
      </c>
      <c r="C5" s="176" t="s">
        <v>94</v>
      </c>
    </row>
    <row r="6" spans="1:3" x14ac:dyDescent="0.25">
      <c r="A6" s="177" t="s">
        <v>279</v>
      </c>
      <c r="B6" s="178">
        <f>SUMIFS(Calkos!$D$7:$D$1088,Calkos!$AI$7:$AI$1088,1,Calkos!$AL$7:$AL$1088,2018)</f>
        <v>0</v>
      </c>
      <c r="C6" s="179">
        <f>SUMIFS(Calkos!$X$7:$X$1088,Calkos!$AI$7:$AI$1088,1,Calkos!$AL$7:$AL$1088,2018)</f>
        <v>0</v>
      </c>
    </row>
    <row r="7" spans="1:3" x14ac:dyDescent="0.25">
      <c r="A7" s="180" t="s">
        <v>280</v>
      </c>
      <c r="B7" s="181">
        <f>SUMIFS(Calkos!$D$7:$D$1088,Calkos!$AI$7:$AI$1088,2,Calkos!$AL$7:$AL$1088,2018)</f>
        <v>0</v>
      </c>
      <c r="C7" s="182">
        <f>SUMIFS(Calkos!$X$7:$X$1088,Calkos!$AI$7:$AI$1088,2,Calkos!$AL$7:$AL$1088,2018)</f>
        <v>0</v>
      </c>
    </row>
    <row r="8" spans="1:3" x14ac:dyDescent="0.25">
      <c r="A8" s="180" t="s">
        <v>281</v>
      </c>
      <c r="B8" s="181">
        <f>SUMIFS(Calkos!$D$7:$D$1088,Calkos!$AI$7:$AI$1088,3,Calkos!$AL$7:$AL$1088,2018)</f>
        <v>0</v>
      </c>
      <c r="C8" s="182">
        <f>SUMIFS(Calkos!$X$7:$X$1088,Calkos!$AI$7:$AI$1088,3,Calkos!$AL$7:$AL$1088,2018)</f>
        <v>0</v>
      </c>
    </row>
    <row r="9" spans="1:3" x14ac:dyDescent="0.25">
      <c r="A9" s="180" t="s">
        <v>282</v>
      </c>
      <c r="B9" s="181">
        <f>SUMIFS(Calkos!$D$7:$D$1088,Calkos!$AI$7:$AI$1088,4,Calkos!$AL$7:$AL$1088,2018)</f>
        <v>0</v>
      </c>
      <c r="C9" s="182">
        <f>SUMIFS(Calkos!$X$7:$X$1088,Calkos!$AI$7:$AI$1088,4,Calkos!$AL$7:$AL$1088,2018)</f>
        <v>0</v>
      </c>
    </row>
    <row r="10" spans="1:3" x14ac:dyDescent="0.25">
      <c r="A10" s="180" t="s">
        <v>283</v>
      </c>
      <c r="B10" s="181">
        <f>SUMIFS(Calkos!$D$7:$D$1088,Calkos!$AI$7:$AI$1088,5,Calkos!$AL$7:$AL$1088,2018)</f>
        <v>0</v>
      </c>
      <c r="C10" s="182">
        <f>SUMIFS(Calkos!$X$7:$X$1088,Calkos!$AI$7:$AI$1088,5,Calkos!$AL$7:$AL$1088,2018)</f>
        <v>0</v>
      </c>
    </row>
    <row r="11" spans="1:3" x14ac:dyDescent="0.25">
      <c r="A11" s="180" t="s">
        <v>284</v>
      </c>
      <c r="B11" s="181">
        <f>SUMIFS(Calkos!$D$7:$D$1088,Calkos!$AI$7:$AI$1088,6,Calkos!$AL$7:$AL$1088,2018)</f>
        <v>0</v>
      </c>
      <c r="C11" s="182">
        <f>SUMIFS(Calkos!$X$7:$X$1088,Calkos!$AI$7:$AI$1088,6,Calkos!$AL$7:$AL$1088,2018)</f>
        <v>0</v>
      </c>
    </row>
    <row r="12" spans="1:3" x14ac:dyDescent="0.25">
      <c r="A12" s="180" t="s">
        <v>285</v>
      </c>
      <c r="B12" s="181">
        <f>SUMIFS(Calkos!$D$7:$D$1088,Calkos!$AI$7:$AI$1088,7,Calkos!$AL$7:$AL$1088,2018)</f>
        <v>0</v>
      </c>
      <c r="C12" s="182">
        <f>SUMIFS(Calkos!$X$7:$X$1088,Calkos!$AI$7:$AI$1088,7,Calkos!$AL$7:$AL$1088,2018)</f>
        <v>0</v>
      </c>
    </row>
    <row r="13" spans="1:3" x14ac:dyDescent="0.25">
      <c r="A13" s="180" t="s">
        <v>286</v>
      </c>
      <c r="B13" s="181">
        <f>SUMIFS(Calkos!$D$7:$D$1088,Calkos!$AI$7:$AI$1088,8,Calkos!$AL$7:$AL$1088,2018)</f>
        <v>0</v>
      </c>
      <c r="C13" s="182">
        <f>SUMIFS(Calkos!$X$7:$X$1088,Calkos!$AI$7:$AI$1088,8,Calkos!$AL$7:$AL$1088,2018)</f>
        <v>0</v>
      </c>
    </row>
    <row r="14" spans="1:3" x14ac:dyDescent="0.25">
      <c r="A14" s="183" t="s">
        <v>287</v>
      </c>
      <c r="B14" s="181">
        <f>SUMIFS(Calkos!$D$7:$D$1088,Calkos!$AI$7:$AI$1088,9,Calkos!$AL$7:$AL$1088,2018)</f>
        <v>0</v>
      </c>
      <c r="C14" s="182">
        <f>SUMIFS(Calkos!$X$7:$X$1088,Calkos!$AI$7:$AI$1088,9,Calkos!$AL$7:$AL$1088,2018)</f>
        <v>0</v>
      </c>
    </row>
    <row r="15" spans="1:3" x14ac:dyDescent="0.25">
      <c r="A15" s="180" t="s">
        <v>288</v>
      </c>
      <c r="B15" s="181">
        <f>SUMIFS(Calkos!$D$7:$D$1088,Calkos!$AI$7:$AI$1088,10,Calkos!$AL$7:$AL$1088,2018)</f>
        <v>0</v>
      </c>
      <c r="C15" s="182">
        <f>SUMIFS(Calkos!$X$7:$X$1088,Calkos!$AI$7:$AI$1088,10,Calkos!$AL$7:$AL$1088,2018)</f>
        <v>0</v>
      </c>
    </row>
    <row r="16" spans="1:3" x14ac:dyDescent="0.25">
      <c r="A16" s="180" t="s">
        <v>289</v>
      </c>
      <c r="B16" s="181">
        <f>SUMIFS(Calkos!$D$7:$D$1088,Calkos!$AI$7:$AI$1088,11,Calkos!$AL$7:$AL$1088,2018)</f>
        <v>0</v>
      </c>
      <c r="C16" s="182">
        <f>SUMIFS(Calkos!$X$7:$X$1088,Calkos!$AI$7:$AI$1088,11,Calkos!$AL$7:$AL$1088,2018)</f>
        <v>0</v>
      </c>
    </row>
    <row r="17" spans="1:3" ht="15.75" thickBot="1" x14ac:dyDescent="0.3">
      <c r="A17" s="184" t="s">
        <v>290</v>
      </c>
      <c r="B17" s="185">
        <f>SUMIFS(Calkos!$D$7:$D$1088,Calkos!$AI$7:$AI$1088,12,Calkos!$AL$7:$AL$1088,2018)</f>
        <v>0</v>
      </c>
      <c r="C17" s="186">
        <f>SUMIFS(Calkos!$X$7:$X$1088,Calkos!$AI$7:$AI$1088,12,Calkos!$AL$7:$AL$1088,2018)</f>
        <v>0</v>
      </c>
    </row>
    <row r="18" spans="1:3" ht="15.75" thickBot="1" x14ac:dyDescent="0.3">
      <c r="A18" s="173"/>
      <c r="B18" s="187">
        <f>SUM(B6:B17)</f>
        <v>0</v>
      </c>
      <c r="C18" s="188">
        <f>SUM(C6:C17)</f>
        <v>0</v>
      </c>
    </row>
    <row r="20" spans="1:3" ht="15.75" thickBot="1" x14ac:dyDescent="0.3">
      <c r="A20" s="433" t="s">
        <v>291</v>
      </c>
      <c r="B20" s="433"/>
      <c r="C20" s="433"/>
    </row>
    <row r="21" spans="1:3" ht="15.75" thickBot="1" x14ac:dyDescent="0.3">
      <c r="A21" s="174" t="s">
        <v>277</v>
      </c>
      <c r="B21" s="175" t="s">
        <v>278</v>
      </c>
      <c r="C21" s="176" t="s">
        <v>94</v>
      </c>
    </row>
    <row r="22" spans="1:3" x14ac:dyDescent="0.25">
      <c r="A22" s="177" t="s">
        <v>279</v>
      </c>
      <c r="B22" s="178">
        <f>SUMIFS(Calkos!$D$7:$D$1088,Calkos!$AI$7:$AI$1088,1,Calkos!$AL$7:$AL$1088,2019)</f>
        <v>0</v>
      </c>
      <c r="C22" s="179">
        <f>SUMIFS(Calkos!$X$7:$X$1088,Calkos!$AI$7:$AI$1088,1,Calkos!$AL$7:$AL$1088,2019)</f>
        <v>0</v>
      </c>
    </row>
    <row r="23" spans="1:3" x14ac:dyDescent="0.25">
      <c r="A23" s="180" t="s">
        <v>280</v>
      </c>
      <c r="B23" s="181">
        <f>SUMIFS(Calkos!$D$7:$D$1088,Calkos!$AI$7:$AI$1088,2,Calkos!$AL$7:$AL$1088,2019)</f>
        <v>0</v>
      </c>
      <c r="C23" s="182">
        <f>SUMIFS(Calkos!$X$7:$X$1088,Calkos!$AI$7:$AI$1088,2,Calkos!$AL$7:$AL$1088,2019)</f>
        <v>0</v>
      </c>
    </row>
    <row r="24" spans="1:3" x14ac:dyDescent="0.25">
      <c r="A24" s="180" t="s">
        <v>281</v>
      </c>
      <c r="B24" s="181">
        <f>SUMIFS(Calkos!$D$7:$D$1088,Calkos!$AI$7:$AI$1088,3,Calkos!$AL$7:$AL$1088,2019)</f>
        <v>0</v>
      </c>
      <c r="C24" s="182">
        <f>SUMIFS(Calkos!$X$7:$X$1088,Calkos!$AI$7:$AI$1088,3,Calkos!$AL$7:$AL$1088,2019)</f>
        <v>0</v>
      </c>
    </row>
    <row r="25" spans="1:3" x14ac:dyDescent="0.25">
      <c r="A25" s="180" t="s">
        <v>282</v>
      </c>
      <c r="B25" s="181">
        <f>SUMIFS(Calkos!$D$7:$D$1088,Calkos!$AI$7:$AI$1088,4,Calkos!$AL$7:$AL$1088,2019)</f>
        <v>0</v>
      </c>
      <c r="C25" s="182">
        <f>SUMIFS(Calkos!$X$7:$X$1088,Calkos!$AI$7:$AI$1088,4,Calkos!$AL$7:$AL$1088,2019)</f>
        <v>0</v>
      </c>
    </row>
    <row r="26" spans="1:3" x14ac:dyDescent="0.25">
      <c r="A26" s="180" t="s">
        <v>283</v>
      </c>
      <c r="B26" s="181">
        <f>SUMIFS(Calkos!$D$7:$D$1088,Calkos!$AI$7:$AI$1088,5,Calkos!$AL$7:$AL$1088,2019)</f>
        <v>0</v>
      </c>
      <c r="C26" s="182">
        <f>SUMIFS(Calkos!$X$7:$X$1088,Calkos!$AI$7:$AI$1088,5,Calkos!$AL$7:$AL$1088,2019)</f>
        <v>0</v>
      </c>
    </row>
    <row r="27" spans="1:3" x14ac:dyDescent="0.25">
      <c r="A27" s="180" t="s">
        <v>284</v>
      </c>
      <c r="B27" s="181">
        <f>SUMIFS(Calkos!$D$7:$D$1088,Calkos!$AI$7:$AI$1088,6,Calkos!$AL$7:$AL$1088,2019)</f>
        <v>0</v>
      </c>
      <c r="C27" s="182">
        <f>SUMIFS(Calkos!$X$7:$X$1088,Calkos!$AI$7:$AI$1088,6,Calkos!$AL$7:$AL$1088,2019)</f>
        <v>0</v>
      </c>
    </row>
    <row r="28" spans="1:3" x14ac:dyDescent="0.25">
      <c r="A28" s="180" t="s">
        <v>285</v>
      </c>
      <c r="B28" s="181">
        <f>SUMIFS(Calkos!$D$7:$D$1088,Calkos!$AI$7:$AI$1088,7,Calkos!$AL$7:$AL$1088,2019)</f>
        <v>0</v>
      </c>
      <c r="C28" s="182">
        <f>SUMIFS(Calkos!$X$7:$X$1088,Calkos!$AI$7:$AI$1088,7,Calkos!$AL$7:$AL$1088,2019)</f>
        <v>0</v>
      </c>
    </row>
    <row r="29" spans="1:3" x14ac:dyDescent="0.25">
      <c r="A29" s="180" t="s">
        <v>286</v>
      </c>
      <c r="B29" s="181">
        <f>SUMIFS(Calkos!$D$7:$D$1088,Calkos!$AI$7:$AI$1088,8,Calkos!$AL$7:$AL$1088,2019)</f>
        <v>0</v>
      </c>
      <c r="C29" s="182">
        <f>SUMIFS(Calkos!$X$7:$X$1088,Calkos!$AI$7:$AI$1088,8,Calkos!$AL$7:$AL$1088,2019)</f>
        <v>0</v>
      </c>
    </row>
    <row r="30" spans="1:3" x14ac:dyDescent="0.25">
      <c r="A30" s="183" t="s">
        <v>287</v>
      </c>
      <c r="B30" s="181">
        <f>SUMIFS(Calkos!$D$7:$D$1088,Calkos!$AI$7:$AI$1088,9,Calkos!$AL$7:$AL$1088,2019)</f>
        <v>0</v>
      </c>
      <c r="C30" s="182">
        <f>SUMIFS(Calkos!$X$7:$X$1088,Calkos!$AI$7:$AI$1088,9,Calkos!$AL$7:$AL$1088,2019)</f>
        <v>0</v>
      </c>
    </row>
    <row r="31" spans="1:3" x14ac:dyDescent="0.25">
      <c r="A31" s="180" t="s">
        <v>288</v>
      </c>
      <c r="B31" s="181">
        <f>SUMIFS(Calkos!$D$7:$D$1088,Calkos!$AI$7:$AI$1088,10,Calkos!$AL$7:$AL$1088,2019)</f>
        <v>0</v>
      </c>
      <c r="C31" s="182">
        <f>SUMIFS(Calkos!$X$7:$X$1088,Calkos!$AI$7:$AI$1088,10,Calkos!$AL$7:$AL$1088,2019)</f>
        <v>0</v>
      </c>
    </row>
    <row r="32" spans="1:3" x14ac:dyDescent="0.25">
      <c r="A32" s="180" t="s">
        <v>289</v>
      </c>
      <c r="B32" s="181">
        <f>SUMIFS(Calkos!$D$7:$D$1088,Calkos!$AI$7:$AI$1088,11,Calkos!$AL$7:$AL$1088,2019)</f>
        <v>0</v>
      </c>
      <c r="C32" s="182">
        <f>SUMIFS(Calkos!$X$7:$X$1088,Calkos!$AI$7:$AI$1088,11,Calkos!$AL$7:$AL$1088,2019)</f>
        <v>0</v>
      </c>
    </row>
    <row r="33" spans="1:3" ht="15.75" thickBot="1" x14ac:dyDescent="0.3">
      <c r="A33" s="184" t="s">
        <v>290</v>
      </c>
      <c r="B33" s="185">
        <f>SUMIFS(Calkos!$D$7:$D$1088,Calkos!$AI$7:$AI$1088,12,Calkos!$AL$7:$AL$1088,2019)</f>
        <v>0</v>
      </c>
      <c r="C33" s="186">
        <f>SUMIFS(Calkos!$X$7:$X$1088,Calkos!$AI$7:$AI$1088,12,Calkos!$AL$7:$AL$1088,2019)</f>
        <v>0</v>
      </c>
    </row>
    <row r="34" spans="1:3" ht="15.75" thickBot="1" x14ac:dyDescent="0.3">
      <c r="A34" s="173"/>
      <c r="B34" s="187">
        <f>SUM(B22:B33)</f>
        <v>0</v>
      </c>
      <c r="C34" s="188">
        <f>SUM(C22:C33)</f>
        <v>0</v>
      </c>
    </row>
    <row r="37" spans="1:3" x14ac:dyDescent="0.25">
      <c r="A37">
        <f>COUNTIF(Calkos!AA7:AA1088,"&gt;0")</f>
        <v>295</v>
      </c>
      <c r="B37">
        <f>COUNTIF(Calkos!AI7:AI1088,"&gt;0")</f>
        <v>0</v>
      </c>
      <c r="C37">
        <f>COUNTIF(Calkos!AL7:AL1088,"&gt;0")</f>
        <v>507</v>
      </c>
    </row>
  </sheetData>
  <mergeCells count="3">
    <mergeCell ref="A2:B2"/>
    <mergeCell ref="A4:C4"/>
    <mergeCell ref="A20:C20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17</vt:i4>
      </vt:variant>
      <vt:variant>
        <vt:lpstr>Intervalli denominati</vt:lpstr>
      </vt:variant>
      <vt:variant>
        <vt:i4>25</vt:i4>
      </vt:variant>
    </vt:vector>
  </HeadingPairs>
  <TitlesOfParts>
    <vt:vector size="42" baseType="lpstr">
      <vt:lpstr>120 gg</vt:lpstr>
      <vt:lpstr>90 gg</vt:lpstr>
      <vt:lpstr>60 gg</vt:lpstr>
      <vt:lpstr>30 gg</vt:lpstr>
      <vt:lpstr>Rimessa diretta</vt:lpstr>
      <vt:lpstr>Bronzo</vt:lpstr>
      <vt:lpstr>Rame</vt:lpstr>
      <vt:lpstr>Ottone</vt:lpstr>
      <vt:lpstr>Tabella</vt:lpstr>
      <vt:lpstr>Tabelle</vt:lpstr>
      <vt:lpstr>Calkos</vt:lpstr>
      <vt:lpstr>Settimana</vt:lpstr>
      <vt:lpstr>Consegna</vt:lpstr>
      <vt:lpstr>Luke SkyWalker</vt:lpstr>
      <vt:lpstr>Luca</vt:lpstr>
      <vt:lpstr>Ivan</vt:lpstr>
      <vt:lpstr>Riepilogo consegne</vt:lpstr>
      <vt:lpstr>_Alu2</vt:lpstr>
      <vt:lpstr>Al</vt:lpstr>
      <vt:lpstr>Alu</vt:lpstr>
      <vt:lpstr>'120 gg'!Area_stampa</vt:lpstr>
      <vt:lpstr>'30 gg'!Area_stampa</vt:lpstr>
      <vt:lpstr>'60 gg'!Area_stampa</vt:lpstr>
      <vt:lpstr>'90 gg'!Area_stampa</vt:lpstr>
      <vt:lpstr>Calkos!Area_stampa</vt:lpstr>
      <vt:lpstr>'Rimessa diretta'!Area_stampa</vt:lpstr>
      <vt:lpstr>Br</vt:lpstr>
      <vt:lpstr>Cu</vt:lpstr>
      <vt:lpstr>LarCu</vt:lpstr>
      <vt:lpstr>LargAl</vt:lpstr>
      <vt:lpstr>LargBr</vt:lpstr>
      <vt:lpstr>Materiale</vt:lpstr>
      <vt:lpstr>Materiale2</vt:lpstr>
      <vt:lpstr>Ot</vt:lpstr>
      <vt:lpstr>ProvvAl</vt:lpstr>
      <vt:lpstr>ProvvAl2</vt:lpstr>
      <vt:lpstr>ProvvAl3</vt:lpstr>
      <vt:lpstr>ProvvBr</vt:lpstr>
      <vt:lpstr>ProvvCu</vt:lpstr>
      <vt:lpstr>ProvvCu2</vt:lpstr>
      <vt:lpstr>ProvvCu3</vt:lpstr>
      <vt:lpstr>Scadenza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luciano</dc:creator>
  <cp:lastModifiedBy>Lenovo</cp:lastModifiedBy>
  <cp:lastPrinted>2025-04-09T08:04:14Z</cp:lastPrinted>
  <dcterms:created xsi:type="dcterms:W3CDTF">2013-12-07T16:05:07Z</dcterms:created>
  <dcterms:modified xsi:type="dcterms:W3CDTF">2026-05-14T07:21:25Z</dcterms:modified>
</cp:coreProperties>
</file>