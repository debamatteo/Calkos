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ProspettoRagioniere\"/>
    </mc:Choice>
  </mc:AlternateContent>
  <bookViews>
    <workbookView xWindow="0" yWindow="0" windowWidth="28890" windowHeight="408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Calkos!$E$5:$E$579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Calkos!$D$1:$AB$579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10" i="2" l="1"/>
  <c r="AU10" i="2"/>
  <c r="AN10" i="2"/>
  <c r="AM10" i="2"/>
  <c r="AI10" i="2"/>
  <c r="AJ10" i="2" s="1"/>
  <c r="AH10" i="2"/>
  <c r="Z10" i="2"/>
  <c r="U10" i="2"/>
  <c r="T10" i="2"/>
  <c r="S10" i="2"/>
  <c r="R10" i="2"/>
  <c r="V10" i="2" s="1"/>
  <c r="Y10" i="2" s="1"/>
  <c r="AB10" i="2" s="1"/>
  <c r="O10" i="2"/>
  <c r="N10" i="2"/>
  <c r="M10" i="2"/>
  <c r="AV8" i="2"/>
  <c r="AU8" i="2"/>
  <c r="AN8" i="2"/>
  <c r="AM8" i="2"/>
  <c r="AI8" i="2"/>
  <c r="AJ8" i="2" s="1"/>
  <c r="AH8" i="2"/>
  <c r="Z8" i="2"/>
  <c r="U8" i="2"/>
  <c r="T8" i="2"/>
  <c r="S8" i="2"/>
  <c r="R8" i="2"/>
  <c r="O8" i="2"/>
  <c r="N8" i="2"/>
  <c r="M8" i="2"/>
  <c r="V8" i="2" l="1"/>
  <c r="Y8" i="2" s="1"/>
  <c r="AB8" i="2" s="1"/>
  <c r="AV11" i="2"/>
  <c r="AU11" i="2"/>
  <c r="AN11" i="2"/>
  <c r="AM11" i="2"/>
  <c r="AI11" i="2"/>
  <c r="AJ11" i="2" s="1"/>
  <c r="AH11" i="2"/>
  <c r="Z11" i="2"/>
  <c r="U11" i="2"/>
  <c r="T11" i="2"/>
  <c r="S11" i="2"/>
  <c r="R11" i="2"/>
  <c r="O11" i="2"/>
  <c r="N11" i="2"/>
  <c r="M11" i="2"/>
  <c r="AV9" i="2"/>
  <c r="AU9" i="2"/>
  <c r="AN9" i="2"/>
  <c r="AM9" i="2"/>
  <c r="AI9" i="2"/>
  <c r="AJ9" i="2" s="1"/>
  <c r="AH9" i="2"/>
  <c r="Z9" i="2"/>
  <c r="U9" i="2"/>
  <c r="T9" i="2"/>
  <c r="S9" i="2"/>
  <c r="R9" i="2"/>
  <c r="O9" i="2"/>
  <c r="N9" i="2"/>
  <c r="M9" i="2"/>
  <c r="AV13" i="2"/>
  <c r="AU13" i="2"/>
  <c r="AN13" i="2"/>
  <c r="AM13" i="2"/>
  <c r="AI13" i="2"/>
  <c r="AJ13" i="2" s="1"/>
  <c r="AH13" i="2"/>
  <c r="Z13" i="2"/>
  <c r="U13" i="2"/>
  <c r="T13" i="2"/>
  <c r="S13" i="2"/>
  <c r="R13" i="2"/>
  <c r="O13" i="2"/>
  <c r="N13" i="2"/>
  <c r="M13" i="2"/>
  <c r="AV6" i="2"/>
  <c r="AU6" i="2"/>
  <c r="AN6" i="2"/>
  <c r="AM6" i="2"/>
  <c r="AI6" i="2"/>
  <c r="AJ6" i="2" s="1"/>
  <c r="AH6" i="2"/>
  <c r="Z6" i="2"/>
  <c r="U6" i="2"/>
  <c r="T6" i="2"/>
  <c r="S6" i="2"/>
  <c r="R6" i="2"/>
  <c r="O6" i="2"/>
  <c r="N6" i="2"/>
  <c r="M6" i="2"/>
  <c r="V11" i="2" l="1"/>
  <c r="Y11" i="2" s="1"/>
  <c r="AB11" i="2" s="1"/>
  <c r="V9" i="2"/>
  <c r="Y9" i="2" s="1"/>
  <c r="AB9" i="2" s="1"/>
  <c r="V13" i="2"/>
  <c r="Y13" i="2" s="1"/>
  <c r="AB13" i="2" s="1"/>
  <c r="V6" i="2"/>
  <c r="Y6" i="2" s="1"/>
  <c r="AB6" i="2" s="1"/>
  <c r="Z573" i="2" l="1"/>
  <c r="U573" i="2"/>
  <c r="T573" i="2"/>
  <c r="S573" i="2"/>
  <c r="R573" i="2"/>
  <c r="O573" i="2"/>
  <c r="N573" i="2"/>
  <c r="M573" i="2"/>
  <c r="Z572" i="2"/>
  <c r="U572" i="2"/>
  <c r="T572" i="2"/>
  <c r="S572" i="2"/>
  <c r="R572" i="2"/>
  <c r="O572" i="2"/>
  <c r="N572" i="2"/>
  <c r="M572" i="2"/>
  <c r="Z571" i="2"/>
  <c r="U571" i="2"/>
  <c r="T571" i="2"/>
  <c r="S571" i="2"/>
  <c r="R571" i="2"/>
  <c r="O571" i="2"/>
  <c r="N571" i="2"/>
  <c r="M571" i="2"/>
  <c r="Z570" i="2"/>
  <c r="U570" i="2"/>
  <c r="T570" i="2"/>
  <c r="S570" i="2"/>
  <c r="R570" i="2"/>
  <c r="O570" i="2"/>
  <c r="N570" i="2"/>
  <c r="M570" i="2"/>
  <c r="Z569" i="2"/>
  <c r="U569" i="2"/>
  <c r="T569" i="2"/>
  <c r="S569" i="2"/>
  <c r="R569" i="2"/>
  <c r="O569" i="2"/>
  <c r="N569" i="2"/>
  <c r="M569" i="2"/>
  <c r="Z568" i="2"/>
  <c r="U568" i="2"/>
  <c r="T568" i="2"/>
  <c r="S568" i="2"/>
  <c r="R568" i="2"/>
  <c r="O568" i="2"/>
  <c r="N568" i="2"/>
  <c r="M568" i="2"/>
  <c r="Z567" i="2"/>
  <c r="U567" i="2"/>
  <c r="T567" i="2"/>
  <c r="S567" i="2"/>
  <c r="R567" i="2"/>
  <c r="O567" i="2"/>
  <c r="N567" i="2"/>
  <c r="M567" i="2"/>
  <c r="Z566" i="2"/>
  <c r="U566" i="2"/>
  <c r="T566" i="2"/>
  <c r="S566" i="2"/>
  <c r="R566" i="2"/>
  <c r="O566" i="2"/>
  <c r="N566" i="2"/>
  <c r="M566" i="2"/>
  <c r="Z565" i="2"/>
  <c r="U565" i="2"/>
  <c r="T565" i="2"/>
  <c r="S565" i="2"/>
  <c r="R565" i="2"/>
  <c r="O565" i="2"/>
  <c r="N565" i="2"/>
  <c r="M565" i="2"/>
  <c r="O551" i="2"/>
  <c r="N551" i="2"/>
  <c r="M551" i="2"/>
  <c r="O550" i="2"/>
  <c r="N550" i="2"/>
  <c r="M550" i="2"/>
  <c r="O549" i="2"/>
  <c r="N549" i="2"/>
  <c r="M549" i="2"/>
  <c r="O548" i="2"/>
  <c r="N548" i="2"/>
  <c r="M548" i="2"/>
  <c r="O547" i="2"/>
  <c r="N547" i="2"/>
  <c r="M547" i="2"/>
  <c r="O546" i="2"/>
  <c r="N546" i="2"/>
  <c r="M546" i="2"/>
  <c r="V565" i="2" l="1"/>
  <c r="Q570" i="2"/>
  <c r="V566" i="2"/>
  <c r="V572" i="2"/>
  <c r="V571" i="2"/>
  <c r="Q567" i="2"/>
  <c r="Q566" i="2"/>
  <c r="Q573" i="2"/>
  <c r="V567" i="2"/>
  <c r="Q572" i="2"/>
  <c r="V573" i="2"/>
  <c r="Q569" i="2"/>
  <c r="V570" i="2"/>
  <c r="Q565" i="2"/>
  <c r="Q568" i="2"/>
  <c r="V569" i="2"/>
  <c r="Q571" i="2"/>
  <c r="V568" i="2"/>
  <c r="Z262" i="2"/>
  <c r="Z336" i="2"/>
  <c r="Y336" i="2"/>
  <c r="AB336" i="2" s="1"/>
  <c r="Y565" i="2" l="1"/>
  <c r="AB565" i="2" s="1"/>
  <c r="Y571" i="2"/>
  <c r="AB571" i="2" s="1"/>
  <c r="Y568" i="2"/>
  <c r="AB568" i="2" s="1"/>
  <c r="Y572" i="2"/>
  <c r="AB572" i="2" s="1"/>
  <c r="Y566" i="2"/>
  <c r="AB566" i="2" s="1"/>
  <c r="Y570" i="2"/>
  <c r="AB570" i="2" s="1"/>
  <c r="Y569" i="2"/>
  <c r="AB569" i="2" s="1"/>
  <c r="Y567" i="2"/>
  <c r="AB567" i="2" s="1"/>
  <c r="Y573" i="2"/>
  <c r="AB573" i="2" s="1"/>
  <c r="F728" i="2"/>
  <c r="AI341" i="2"/>
  <c r="AM341" i="2"/>
  <c r="AN341" i="2"/>
  <c r="AU341" i="2"/>
  <c r="AV341" i="2"/>
  <c r="Z340" i="2"/>
  <c r="Z341" i="2"/>
  <c r="AI146" i="2" l="1"/>
  <c r="AM146" i="2"/>
  <c r="AN146" i="2"/>
  <c r="AU146" i="2"/>
  <c r="AV146" i="2"/>
  <c r="Z128" i="2"/>
  <c r="Z146" i="2"/>
  <c r="AI101" i="2"/>
  <c r="AM101" i="2"/>
  <c r="AN101" i="2"/>
  <c r="AU101" i="2"/>
  <c r="AV101" i="2"/>
  <c r="Z101" i="2"/>
  <c r="O262" i="2"/>
  <c r="N262" i="2"/>
  <c r="M262" i="2"/>
  <c r="O261" i="2"/>
  <c r="N261" i="2"/>
  <c r="M261" i="2"/>
  <c r="O260" i="2"/>
  <c r="N260" i="2"/>
  <c r="M260" i="2"/>
  <c r="O259" i="2"/>
  <c r="N259" i="2"/>
  <c r="M259" i="2"/>
  <c r="O258" i="2"/>
  <c r="N258" i="2"/>
  <c r="M258" i="2"/>
  <c r="V72" i="2" l="1"/>
  <c r="Y72" i="2" s="1"/>
  <c r="AB72" i="2" s="1"/>
  <c r="Z59" i="2"/>
  <c r="Z72" i="2"/>
  <c r="AI128" i="2"/>
  <c r="AM128" i="2"/>
  <c r="AN128" i="2"/>
  <c r="AU128" i="2"/>
  <c r="AV128" i="2"/>
  <c r="Z91" i="2" l="1"/>
  <c r="Z92" i="2"/>
  <c r="AI16" i="2"/>
  <c r="AM16" i="2"/>
  <c r="AN16" i="2"/>
  <c r="AU16" i="2"/>
  <c r="AV16" i="2"/>
  <c r="Z16" i="2"/>
  <c r="U16" i="2"/>
  <c r="T16" i="2"/>
  <c r="S16" i="2"/>
  <c r="R16" i="2"/>
  <c r="Z127" i="2"/>
  <c r="V16" i="2" l="1"/>
  <c r="Y16" i="2" s="1"/>
  <c r="O115" i="2" l="1"/>
  <c r="N115" i="2"/>
  <c r="M115" i="2"/>
  <c r="O114" i="2"/>
  <c r="N114" i="2"/>
  <c r="M114" i="2"/>
  <c r="O113" i="2"/>
  <c r="N113" i="2"/>
  <c r="M113" i="2"/>
  <c r="O112" i="2"/>
  <c r="N112" i="2"/>
  <c r="M112" i="2"/>
  <c r="O56" i="2"/>
  <c r="N56" i="2"/>
  <c r="M56" i="2"/>
  <c r="O55" i="2"/>
  <c r="N55" i="2"/>
  <c r="M55" i="2"/>
  <c r="O54" i="2"/>
  <c r="N54" i="2"/>
  <c r="M54" i="2"/>
  <c r="O53" i="2"/>
  <c r="N53" i="2"/>
  <c r="M53" i="2"/>
  <c r="O52" i="2"/>
  <c r="N52" i="2"/>
  <c r="M52" i="2"/>
  <c r="O51" i="2"/>
  <c r="N51" i="2"/>
  <c r="M51" i="2"/>
  <c r="O50" i="2"/>
  <c r="N50" i="2"/>
  <c r="M50" i="2"/>
  <c r="O49" i="2"/>
  <c r="N49" i="2"/>
  <c r="M49" i="2"/>
  <c r="I726" i="2" l="1"/>
  <c r="F726" i="2"/>
  <c r="I735" i="2"/>
  <c r="I641" i="2"/>
  <c r="I610" i="2"/>
  <c r="I605" i="2"/>
  <c r="I679" i="2"/>
  <c r="I631" i="2"/>
  <c r="F631" i="2"/>
  <c r="F604" i="2" l="1"/>
  <c r="I708" i="2" l="1"/>
  <c r="I710" i="2" l="1"/>
  <c r="H710" i="2"/>
  <c r="F710" i="2"/>
  <c r="F708" i="2"/>
  <c r="AV564" i="2"/>
  <c r="AU564" i="2"/>
  <c r="AV563" i="2"/>
  <c r="AU563" i="2"/>
  <c r="AV562" i="2"/>
  <c r="AU562" i="2"/>
  <c r="AV561" i="2"/>
  <c r="AU561" i="2"/>
  <c r="AV560" i="2"/>
  <c r="AU560" i="2"/>
  <c r="AV559" i="2"/>
  <c r="AU559" i="2"/>
  <c r="AV558" i="2"/>
  <c r="AU558" i="2"/>
  <c r="AV557" i="2"/>
  <c r="AU557" i="2"/>
  <c r="AV556" i="2"/>
  <c r="AU556" i="2"/>
  <c r="AV555" i="2"/>
  <c r="AU555" i="2"/>
  <c r="AV554" i="2"/>
  <c r="AU554" i="2"/>
  <c r="AV553" i="2"/>
  <c r="AU553" i="2"/>
  <c r="AV552" i="2"/>
  <c r="AU552" i="2"/>
  <c r="AV551" i="2"/>
  <c r="AU551" i="2"/>
  <c r="AV550" i="2"/>
  <c r="AU550" i="2"/>
  <c r="AV549" i="2"/>
  <c r="AU549" i="2"/>
  <c r="AV548" i="2"/>
  <c r="AU548" i="2"/>
  <c r="AV547" i="2"/>
  <c r="AU547" i="2"/>
  <c r="AV546" i="2"/>
  <c r="AU546" i="2"/>
  <c r="AV545" i="2"/>
  <c r="AU545" i="2"/>
  <c r="AV544" i="2"/>
  <c r="AU544" i="2"/>
  <c r="AV543" i="2"/>
  <c r="AU543" i="2"/>
  <c r="AV542" i="2"/>
  <c r="AU542" i="2"/>
  <c r="AV541" i="2"/>
  <c r="AU541" i="2"/>
  <c r="AV540" i="2"/>
  <c r="AU540" i="2"/>
  <c r="AV539" i="2"/>
  <c r="AU539" i="2"/>
  <c r="AV538" i="2"/>
  <c r="AU538" i="2"/>
  <c r="AV537" i="2"/>
  <c r="AU537" i="2"/>
  <c r="AV536" i="2"/>
  <c r="AU536" i="2"/>
  <c r="AV535" i="2"/>
  <c r="AU535" i="2"/>
  <c r="AV534" i="2"/>
  <c r="AU534" i="2"/>
  <c r="AV533" i="2"/>
  <c r="AU533" i="2"/>
  <c r="AV532" i="2"/>
  <c r="AU532" i="2"/>
  <c r="AV531" i="2"/>
  <c r="AU531" i="2"/>
  <c r="AV530" i="2"/>
  <c r="AU530" i="2"/>
  <c r="AV529" i="2"/>
  <c r="AU529" i="2"/>
  <c r="AV528" i="2"/>
  <c r="AU528" i="2"/>
  <c r="AV527" i="2"/>
  <c r="AU527" i="2"/>
  <c r="AV526" i="2"/>
  <c r="AU526" i="2"/>
  <c r="AV525" i="2"/>
  <c r="AU525" i="2"/>
  <c r="AV524" i="2"/>
  <c r="AU524" i="2"/>
  <c r="AV523" i="2"/>
  <c r="AU523" i="2"/>
  <c r="AV522" i="2"/>
  <c r="AU522" i="2"/>
  <c r="AV521" i="2"/>
  <c r="AU521" i="2"/>
  <c r="AV520" i="2"/>
  <c r="AU520" i="2"/>
  <c r="AV519" i="2"/>
  <c r="AU519" i="2"/>
  <c r="AV518" i="2"/>
  <c r="AU518" i="2"/>
  <c r="AV517" i="2"/>
  <c r="AU517" i="2"/>
  <c r="AV516" i="2"/>
  <c r="AU516" i="2"/>
  <c r="AV515" i="2"/>
  <c r="AU515" i="2"/>
  <c r="AV514" i="2"/>
  <c r="AU514" i="2"/>
  <c r="AV513" i="2"/>
  <c r="AU513" i="2"/>
  <c r="AV512" i="2"/>
  <c r="AU512" i="2"/>
  <c r="AV511" i="2"/>
  <c r="AU511" i="2"/>
  <c r="AV510" i="2"/>
  <c r="AU510" i="2"/>
  <c r="AV509" i="2"/>
  <c r="AU509" i="2"/>
  <c r="AV508" i="2"/>
  <c r="AU508" i="2"/>
  <c r="AV507" i="2"/>
  <c r="AU507" i="2"/>
  <c r="AV506" i="2"/>
  <c r="AU506" i="2"/>
  <c r="AV505" i="2"/>
  <c r="AU505" i="2"/>
  <c r="AV504" i="2"/>
  <c r="AU504" i="2"/>
  <c r="AV503" i="2"/>
  <c r="AU503" i="2"/>
  <c r="AV502" i="2"/>
  <c r="AU502" i="2"/>
  <c r="AV501" i="2"/>
  <c r="AU501" i="2"/>
  <c r="AV500" i="2"/>
  <c r="AU500" i="2"/>
  <c r="AV499" i="2"/>
  <c r="AU499" i="2"/>
  <c r="AV498" i="2"/>
  <c r="AU498" i="2"/>
  <c r="AV497" i="2"/>
  <c r="AU497" i="2"/>
  <c r="AV496" i="2"/>
  <c r="AU496" i="2"/>
  <c r="AV495" i="2"/>
  <c r="AU495" i="2"/>
  <c r="AV494" i="2"/>
  <c r="AU494" i="2"/>
  <c r="AV493" i="2"/>
  <c r="AU493" i="2"/>
  <c r="AV492" i="2"/>
  <c r="AU492" i="2"/>
  <c r="AV491" i="2"/>
  <c r="AU491" i="2"/>
  <c r="AV490" i="2"/>
  <c r="AU490" i="2"/>
  <c r="AV489" i="2"/>
  <c r="AU489" i="2"/>
  <c r="AV488" i="2"/>
  <c r="AU488" i="2"/>
  <c r="AV487" i="2"/>
  <c r="AU487" i="2"/>
  <c r="AV486" i="2"/>
  <c r="AU486" i="2"/>
  <c r="AV485" i="2"/>
  <c r="AU485" i="2"/>
  <c r="AV484" i="2"/>
  <c r="AU484" i="2"/>
  <c r="AV483" i="2"/>
  <c r="AU483" i="2"/>
  <c r="AV482" i="2"/>
  <c r="AU482" i="2"/>
  <c r="AV481" i="2"/>
  <c r="AU481" i="2"/>
  <c r="AV480" i="2"/>
  <c r="AU480" i="2"/>
  <c r="AV479" i="2"/>
  <c r="AU479" i="2"/>
  <c r="AV478" i="2"/>
  <c r="AU478" i="2"/>
  <c r="AV477" i="2"/>
  <c r="AU477" i="2"/>
  <c r="AV476" i="2"/>
  <c r="AU476" i="2"/>
  <c r="AV475" i="2"/>
  <c r="AU475" i="2"/>
  <c r="AV474" i="2"/>
  <c r="AU474" i="2"/>
  <c r="AV473" i="2"/>
  <c r="AU473" i="2"/>
  <c r="AV472" i="2"/>
  <c r="AU472" i="2"/>
  <c r="AV471" i="2"/>
  <c r="AU471" i="2"/>
  <c r="AV470" i="2"/>
  <c r="AU470" i="2"/>
  <c r="AV469" i="2"/>
  <c r="AU469" i="2"/>
  <c r="AV468" i="2"/>
  <c r="AU468" i="2"/>
  <c r="AV467" i="2"/>
  <c r="AU467" i="2"/>
  <c r="AV466" i="2"/>
  <c r="AU466" i="2"/>
  <c r="AV465" i="2"/>
  <c r="AU465" i="2"/>
  <c r="AV464" i="2"/>
  <c r="AU464" i="2"/>
  <c r="AV463" i="2"/>
  <c r="AU463" i="2"/>
  <c r="AV462" i="2"/>
  <c r="AU462" i="2"/>
  <c r="AV461" i="2"/>
  <c r="AU461" i="2"/>
  <c r="AV460" i="2"/>
  <c r="AU460" i="2"/>
  <c r="AV459" i="2"/>
  <c r="AU459" i="2"/>
  <c r="AV458" i="2"/>
  <c r="AU458" i="2"/>
  <c r="AV457" i="2"/>
  <c r="AU457" i="2"/>
  <c r="AV456" i="2"/>
  <c r="AU456" i="2"/>
  <c r="AV455" i="2"/>
  <c r="AU455" i="2"/>
  <c r="AV454" i="2"/>
  <c r="AU454" i="2"/>
  <c r="AV453" i="2"/>
  <c r="AU453" i="2"/>
  <c r="AV452" i="2"/>
  <c r="AU452" i="2"/>
  <c r="AV451" i="2"/>
  <c r="AU451" i="2"/>
  <c r="AV450" i="2"/>
  <c r="AU450" i="2"/>
  <c r="AV449" i="2"/>
  <c r="AU449" i="2"/>
  <c r="AV448" i="2"/>
  <c r="AU448" i="2"/>
  <c r="AV447" i="2"/>
  <c r="AU447" i="2"/>
  <c r="AV446" i="2"/>
  <c r="AU446" i="2"/>
  <c r="AV445" i="2"/>
  <c r="AU445" i="2"/>
  <c r="AV444" i="2"/>
  <c r="AU444" i="2"/>
  <c r="AV443" i="2"/>
  <c r="AU443" i="2"/>
  <c r="AV442" i="2"/>
  <c r="AU442" i="2"/>
  <c r="AV441" i="2"/>
  <c r="AU441" i="2"/>
  <c r="AV440" i="2"/>
  <c r="AU440" i="2"/>
  <c r="AV439" i="2"/>
  <c r="AU439" i="2"/>
  <c r="AV438" i="2"/>
  <c r="AU438" i="2"/>
  <c r="AV437" i="2"/>
  <c r="AU437" i="2"/>
  <c r="AV436" i="2"/>
  <c r="AU436" i="2"/>
  <c r="AV435" i="2"/>
  <c r="AU435" i="2"/>
  <c r="AV434" i="2"/>
  <c r="AU434" i="2"/>
  <c r="AV433" i="2"/>
  <c r="AU433" i="2"/>
  <c r="AV432" i="2"/>
  <c r="AU432" i="2"/>
  <c r="AV431" i="2"/>
  <c r="AU431" i="2"/>
  <c r="AV430" i="2"/>
  <c r="AU430" i="2"/>
  <c r="AV429" i="2"/>
  <c r="AU429" i="2"/>
  <c r="AV428" i="2"/>
  <c r="AU428" i="2"/>
  <c r="AV427" i="2"/>
  <c r="AU427" i="2"/>
  <c r="AV426" i="2"/>
  <c r="AU426" i="2"/>
  <c r="AV425" i="2"/>
  <c r="AU425" i="2"/>
  <c r="AV424" i="2"/>
  <c r="AU424" i="2"/>
  <c r="AV423" i="2"/>
  <c r="AU423" i="2"/>
  <c r="AV422" i="2"/>
  <c r="AU422" i="2"/>
  <c r="AV421" i="2"/>
  <c r="AU421" i="2"/>
  <c r="AV420" i="2"/>
  <c r="AU420" i="2"/>
  <c r="AV419" i="2"/>
  <c r="AU419" i="2"/>
  <c r="AV418" i="2"/>
  <c r="AU418" i="2"/>
  <c r="AV417" i="2"/>
  <c r="AU417" i="2"/>
  <c r="AV416" i="2"/>
  <c r="AU416" i="2"/>
  <c r="AV415" i="2"/>
  <c r="AU415" i="2"/>
  <c r="AV414" i="2"/>
  <c r="AU414" i="2"/>
  <c r="AV413" i="2"/>
  <c r="AU413" i="2"/>
  <c r="AV412" i="2"/>
  <c r="AU412" i="2"/>
  <c r="AV411" i="2"/>
  <c r="AU411" i="2"/>
  <c r="AV410" i="2"/>
  <c r="AU410" i="2"/>
  <c r="AV409" i="2"/>
  <c r="AU409" i="2"/>
  <c r="AV408" i="2"/>
  <c r="AU408" i="2"/>
  <c r="AV407" i="2"/>
  <c r="AU407" i="2"/>
  <c r="AV406" i="2"/>
  <c r="AU406" i="2"/>
  <c r="AV405" i="2"/>
  <c r="AU405" i="2"/>
  <c r="AV404" i="2"/>
  <c r="AU404" i="2"/>
  <c r="AV403" i="2"/>
  <c r="AU403" i="2"/>
  <c r="AV402" i="2"/>
  <c r="AU402" i="2"/>
  <c r="AV401" i="2"/>
  <c r="AU401" i="2"/>
  <c r="AV400" i="2"/>
  <c r="AU400" i="2"/>
  <c r="AV399" i="2"/>
  <c r="AU399" i="2"/>
  <c r="AV398" i="2"/>
  <c r="AU398" i="2"/>
  <c r="AV397" i="2"/>
  <c r="AU397" i="2"/>
  <c r="AV396" i="2"/>
  <c r="AU396" i="2"/>
  <c r="AV395" i="2"/>
  <c r="AU395" i="2"/>
  <c r="AV394" i="2"/>
  <c r="AU394" i="2"/>
  <c r="AV393" i="2"/>
  <c r="AU393" i="2"/>
  <c r="AV392" i="2"/>
  <c r="AU392" i="2"/>
  <c r="AV391" i="2"/>
  <c r="AU391" i="2"/>
  <c r="AV390" i="2"/>
  <c r="AU390" i="2"/>
  <c r="AV389" i="2"/>
  <c r="AU389" i="2"/>
  <c r="AV388" i="2"/>
  <c r="AU388" i="2"/>
  <c r="AV387" i="2"/>
  <c r="AU387" i="2"/>
  <c r="AV386" i="2"/>
  <c r="AU386" i="2"/>
  <c r="AV385" i="2"/>
  <c r="AU385" i="2"/>
  <c r="AV384" i="2"/>
  <c r="AU384" i="2"/>
  <c r="AV383" i="2"/>
  <c r="AU383" i="2"/>
  <c r="AV382" i="2"/>
  <c r="AU382" i="2"/>
  <c r="AV381" i="2"/>
  <c r="AU381" i="2"/>
  <c r="AV380" i="2"/>
  <c r="AU380" i="2"/>
  <c r="AV379" i="2"/>
  <c r="AU379" i="2"/>
  <c r="AV378" i="2"/>
  <c r="AU378" i="2"/>
  <c r="AV377" i="2"/>
  <c r="AU377" i="2"/>
  <c r="AV376" i="2"/>
  <c r="AU376" i="2"/>
  <c r="AV375" i="2"/>
  <c r="AU375" i="2"/>
  <c r="AV374" i="2"/>
  <c r="AU374" i="2"/>
  <c r="AV373" i="2"/>
  <c r="AU373" i="2"/>
  <c r="AV372" i="2"/>
  <c r="AU372" i="2"/>
  <c r="AV371" i="2"/>
  <c r="AU371" i="2"/>
  <c r="AV370" i="2"/>
  <c r="AU370" i="2"/>
  <c r="AV369" i="2"/>
  <c r="AU369" i="2"/>
  <c r="AV368" i="2"/>
  <c r="AU368" i="2"/>
  <c r="AV367" i="2"/>
  <c r="AU367" i="2"/>
  <c r="AV366" i="2"/>
  <c r="AU366" i="2"/>
  <c r="AV365" i="2"/>
  <c r="AU365" i="2"/>
  <c r="AV364" i="2"/>
  <c r="AU364" i="2"/>
  <c r="AV363" i="2"/>
  <c r="AU363" i="2"/>
  <c r="AV362" i="2"/>
  <c r="AU362" i="2"/>
  <c r="AV361" i="2"/>
  <c r="AU361" i="2"/>
  <c r="AV360" i="2"/>
  <c r="AU360" i="2"/>
  <c r="AV359" i="2"/>
  <c r="AU359" i="2"/>
  <c r="AV358" i="2"/>
  <c r="AU358" i="2"/>
  <c r="AV357" i="2"/>
  <c r="AU357" i="2"/>
  <c r="AV356" i="2"/>
  <c r="AU356" i="2"/>
  <c r="AV355" i="2"/>
  <c r="AU355" i="2"/>
  <c r="AV354" i="2"/>
  <c r="AU354" i="2"/>
  <c r="AV353" i="2"/>
  <c r="AU353" i="2"/>
  <c r="AV352" i="2"/>
  <c r="AU352" i="2"/>
  <c r="AV351" i="2"/>
  <c r="AU351" i="2"/>
  <c r="AV350" i="2"/>
  <c r="AU350" i="2"/>
  <c r="AV349" i="2"/>
  <c r="AU349" i="2"/>
  <c r="AV348" i="2"/>
  <c r="AU348" i="2"/>
  <c r="AV347" i="2"/>
  <c r="AU347" i="2"/>
  <c r="AV346" i="2"/>
  <c r="AU346" i="2"/>
  <c r="AV345" i="2"/>
  <c r="AU345" i="2"/>
  <c r="AV344" i="2"/>
  <c r="AU344" i="2"/>
  <c r="AV343" i="2"/>
  <c r="AU343" i="2"/>
  <c r="AV342" i="2"/>
  <c r="AU342" i="2"/>
  <c r="AV340" i="2"/>
  <c r="AU340" i="2"/>
  <c r="AV339" i="2"/>
  <c r="AU339" i="2"/>
  <c r="AV338" i="2"/>
  <c r="AU338" i="2"/>
  <c r="AV337" i="2"/>
  <c r="AU337" i="2"/>
  <c r="AV335" i="2"/>
  <c r="AU335" i="2"/>
  <c r="AV334" i="2"/>
  <c r="AU334" i="2"/>
  <c r="AV333" i="2"/>
  <c r="AU333" i="2"/>
  <c r="AV332" i="2"/>
  <c r="AU332" i="2"/>
  <c r="AV331" i="2"/>
  <c r="AU331" i="2"/>
  <c r="AV330" i="2"/>
  <c r="AU330" i="2"/>
  <c r="AV329" i="2"/>
  <c r="AU329" i="2"/>
  <c r="AV328" i="2"/>
  <c r="AU328" i="2"/>
  <c r="AV327" i="2"/>
  <c r="AU327" i="2"/>
  <c r="AV326" i="2"/>
  <c r="AU326" i="2"/>
  <c r="AV325" i="2"/>
  <c r="AU325" i="2"/>
  <c r="AV324" i="2"/>
  <c r="AU324" i="2"/>
  <c r="AV323" i="2"/>
  <c r="AU323" i="2"/>
  <c r="AV322" i="2"/>
  <c r="AU322" i="2"/>
  <c r="AV321" i="2"/>
  <c r="AU321" i="2"/>
  <c r="AV320" i="2"/>
  <c r="AU320" i="2"/>
  <c r="AV319" i="2"/>
  <c r="AU319" i="2"/>
  <c r="AV318" i="2"/>
  <c r="AU318" i="2"/>
  <c r="AV317" i="2"/>
  <c r="AU317" i="2"/>
  <c r="AV316" i="2"/>
  <c r="AU316" i="2"/>
  <c r="AV315" i="2"/>
  <c r="AU315" i="2"/>
  <c r="AV314" i="2"/>
  <c r="AU314" i="2"/>
  <c r="AV313" i="2"/>
  <c r="AU313" i="2"/>
  <c r="AV312" i="2"/>
  <c r="AU312" i="2"/>
  <c r="AV311" i="2"/>
  <c r="AU311" i="2"/>
  <c r="AV310" i="2"/>
  <c r="AU310" i="2"/>
  <c r="AV309" i="2"/>
  <c r="AU309" i="2"/>
  <c r="AV308" i="2"/>
  <c r="AU308" i="2"/>
  <c r="AV307" i="2"/>
  <c r="AU307" i="2"/>
  <c r="AV306" i="2"/>
  <c r="AU306" i="2"/>
  <c r="AV305" i="2"/>
  <c r="AU305" i="2"/>
  <c r="AV304" i="2"/>
  <c r="AU304" i="2"/>
  <c r="AV303" i="2"/>
  <c r="AU303" i="2"/>
  <c r="AV302" i="2"/>
  <c r="AU302" i="2"/>
  <c r="AV301" i="2"/>
  <c r="AU301" i="2"/>
  <c r="AV300" i="2"/>
  <c r="AU300" i="2"/>
  <c r="AV299" i="2"/>
  <c r="AU299" i="2"/>
  <c r="AV298" i="2"/>
  <c r="AU298" i="2"/>
  <c r="AV297" i="2"/>
  <c r="AU297" i="2"/>
  <c r="AV296" i="2"/>
  <c r="AU296" i="2"/>
  <c r="AV295" i="2"/>
  <c r="AU295" i="2"/>
  <c r="AV294" i="2"/>
  <c r="AU294" i="2"/>
  <c r="AV293" i="2"/>
  <c r="AU293" i="2"/>
  <c r="AV292" i="2"/>
  <c r="AU292" i="2"/>
  <c r="AV291" i="2"/>
  <c r="AU291" i="2"/>
  <c r="AV290" i="2"/>
  <c r="AU290" i="2"/>
  <c r="AV289" i="2"/>
  <c r="AU289" i="2"/>
  <c r="AV288" i="2"/>
  <c r="AU288" i="2"/>
  <c r="AV287" i="2"/>
  <c r="AU287" i="2"/>
  <c r="AV286" i="2"/>
  <c r="AU286" i="2"/>
  <c r="AV285" i="2"/>
  <c r="AU285" i="2"/>
  <c r="AV284" i="2"/>
  <c r="AU284" i="2"/>
  <c r="AV283" i="2"/>
  <c r="AU283" i="2"/>
  <c r="AV282" i="2"/>
  <c r="AU282" i="2"/>
  <c r="AV281" i="2"/>
  <c r="AU281" i="2"/>
  <c r="AV280" i="2"/>
  <c r="AU280" i="2"/>
  <c r="AV279" i="2"/>
  <c r="AU279" i="2"/>
  <c r="AV278" i="2"/>
  <c r="AU278" i="2"/>
  <c r="AV277" i="2"/>
  <c r="AU277" i="2"/>
  <c r="AV276" i="2"/>
  <c r="AU276" i="2"/>
  <c r="AV275" i="2"/>
  <c r="AU275" i="2"/>
  <c r="AV274" i="2"/>
  <c r="AU274" i="2"/>
  <c r="AV273" i="2"/>
  <c r="AU273" i="2"/>
  <c r="AV272" i="2"/>
  <c r="AU272" i="2"/>
  <c r="AV271" i="2"/>
  <c r="AU271" i="2"/>
  <c r="AV270" i="2"/>
  <c r="AU270" i="2"/>
  <c r="AV269" i="2"/>
  <c r="AU269" i="2"/>
  <c r="AV268" i="2"/>
  <c r="AU268" i="2"/>
  <c r="AV267" i="2"/>
  <c r="AU267" i="2"/>
  <c r="AV266" i="2"/>
  <c r="AU266" i="2"/>
  <c r="AV265" i="2"/>
  <c r="AU265" i="2"/>
  <c r="AV264" i="2"/>
  <c r="AU264" i="2"/>
  <c r="AV263" i="2"/>
  <c r="AU263" i="2"/>
  <c r="AV262" i="2"/>
  <c r="AU262" i="2"/>
  <c r="AV261" i="2"/>
  <c r="AU261" i="2"/>
  <c r="AV260" i="2"/>
  <c r="AU260" i="2"/>
  <c r="AV259" i="2"/>
  <c r="AU259" i="2"/>
  <c r="AV258" i="2"/>
  <c r="AU258" i="2"/>
  <c r="AV257" i="2"/>
  <c r="AU257" i="2"/>
  <c r="AV256" i="2"/>
  <c r="AU256" i="2"/>
  <c r="AV255" i="2"/>
  <c r="AU255" i="2"/>
  <c r="AV254" i="2"/>
  <c r="AU254" i="2"/>
  <c r="AV253" i="2"/>
  <c r="AU253" i="2"/>
  <c r="AV252" i="2"/>
  <c r="AU252" i="2"/>
  <c r="AV251" i="2"/>
  <c r="AU251" i="2"/>
  <c r="AV250" i="2"/>
  <c r="AU250" i="2"/>
  <c r="AV249" i="2"/>
  <c r="AU249" i="2"/>
  <c r="AV248" i="2"/>
  <c r="AU248" i="2"/>
  <c r="AV247" i="2"/>
  <c r="AU247" i="2"/>
  <c r="AV246" i="2"/>
  <c r="AU246" i="2"/>
  <c r="AV245" i="2"/>
  <c r="AU245" i="2"/>
  <c r="AV244" i="2"/>
  <c r="AU244" i="2"/>
  <c r="AV243" i="2"/>
  <c r="AU243" i="2"/>
  <c r="AV242" i="2"/>
  <c r="AU242" i="2"/>
  <c r="AV241" i="2"/>
  <c r="AU241" i="2"/>
  <c r="AV240" i="2"/>
  <c r="AU240" i="2"/>
  <c r="AV239" i="2"/>
  <c r="AU239" i="2"/>
  <c r="AV238" i="2"/>
  <c r="AU238" i="2"/>
  <c r="AV237" i="2"/>
  <c r="AU237" i="2"/>
  <c r="AV236" i="2"/>
  <c r="AU236" i="2"/>
  <c r="AV235" i="2"/>
  <c r="AU235" i="2"/>
  <c r="AV234" i="2"/>
  <c r="AU234" i="2"/>
  <c r="AV233" i="2"/>
  <c r="AU233" i="2"/>
  <c r="AV232" i="2"/>
  <c r="AU232" i="2"/>
  <c r="AV231" i="2"/>
  <c r="AU231" i="2"/>
  <c r="AV230" i="2"/>
  <c r="AU230" i="2"/>
  <c r="AV229" i="2"/>
  <c r="AU229" i="2"/>
  <c r="AV228" i="2"/>
  <c r="AU228" i="2"/>
  <c r="AV227" i="2"/>
  <c r="AU227" i="2"/>
  <c r="AV226" i="2"/>
  <c r="AU226" i="2"/>
  <c r="AV225" i="2"/>
  <c r="AU225" i="2"/>
  <c r="AV224" i="2"/>
  <c r="AU224" i="2"/>
  <c r="AV223" i="2"/>
  <c r="AU223" i="2"/>
  <c r="AV222" i="2"/>
  <c r="AU222" i="2"/>
  <c r="AV221" i="2"/>
  <c r="AU221" i="2"/>
  <c r="AV220" i="2"/>
  <c r="AU220" i="2"/>
  <c r="AV219" i="2"/>
  <c r="AU219" i="2"/>
  <c r="AV218" i="2"/>
  <c r="AU218" i="2"/>
  <c r="AV217" i="2"/>
  <c r="AU217" i="2"/>
  <c r="AV216" i="2"/>
  <c r="AU216" i="2"/>
  <c r="AV215" i="2"/>
  <c r="AU215" i="2"/>
  <c r="AV214" i="2"/>
  <c r="AU214" i="2"/>
  <c r="AV213" i="2"/>
  <c r="AU213" i="2"/>
  <c r="AV212" i="2"/>
  <c r="AU212" i="2"/>
  <c r="AV211" i="2"/>
  <c r="AU211" i="2"/>
  <c r="AV210" i="2"/>
  <c r="AU210" i="2"/>
  <c r="AV209" i="2"/>
  <c r="AU209" i="2"/>
  <c r="AV208" i="2"/>
  <c r="AU208" i="2"/>
  <c r="AV207" i="2"/>
  <c r="AU207" i="2"/>
  <c r="AV206" i="2"/>
  <c r="AU206" i="2"/>
  <c r="AV205" i="2"/>
  <c r="AU205" i="2"/>
  <c r="AV204" i="2"/>
  <c r="AU204" i="2"/>
  <c r="AV203" i="2"/>
  <c r="AU203" i="2"/>
  <c r="AV202" i="2"/>
  <c r="AU202" i="2"/>
  <c r="AV201" i="2"/>
  <c r="AU201" i="2"/>
  <c r="AV200" i="2"/>
  <c r="AU200" i="2"/>
  <c r="AV199" i="2"/>
  <c r="AU199" i="2"/>
  <c r="AV198" i="2"/>
  <c r="AU198" i="2"/>
  <c r="AV197" i="2"/>
  <c r="AU197" i="2"/>
  <c r="AV196" i="2"/>
  <c r="AU196" i="2"/>
  <c r="AV195" i="2"/>
  <c r="AU195" i="2"/>
  <c r="AV194" i="2"/>
  <c r="AU194" i="2"/>
  <c r="AV193" i="2"/>
  <c r="AU193" i="2"/>
  <c r="AV192" i="2"/>
  <c r="AU192" i="2"/>
  <c r="AV191" i="2"/>
  <c r="AU191" i="2"/>
  <c r="AV190" i="2"/>
  <c r="AU190" i="2"/>
  <c r="AV189" i="2"/>
  <c r="AU189" i="2"/>
  <c r="AV188" i="2"/>
  <c r="AU188" i="2"/>
  <c r="AV187" i="2"/>
  <c r="AU187" i="2"/>
  <c r="AV186" i="2"/>
  <c r="AU186" i="2"/>
  <c r="AV185" i="2"/>
  <c r="AU185" i="2"/>
  <c r="AV184" i="2"/>
  <c r="AU184" i="2"/>
  <c r="AV183" i="2"/>
  <c r="AU183" i="2"/>
  <c r="AV182" i="2"/>
  <c r="AU182" i="2"/>
  <c r="AV181" i="2"/>
  <c r="AU181" i="2"/>
  <c r="AV180" i="2"/>
  <c r="AU180" i="2"/>
  <c r="AV179" i="2"/>
  <c r="AU179" i="2"/>
  <c r="AV178" i="2"/>
  <c r="AU178" i="2"/>
  <c r="AV177" i="2"/>
  <c r="AU177" i="2"/>
  <c r="AV176" i="2"/>
  <c r="AU176" i="2"/>
  <c r="AV175" i="2"/>
  <c r="AU175" i="2"/>
  <c r="AV174" i="2"/>
  <c r="AU174" i="2"/>
  <c r="AV173" i="2"/>
  <c r="AU173" i="2"/>
  <c r="AV172" i="2"/>
  <c r="AU172" i="2"/>
  <c r="AV171" i="2"/>
  <c r="AU171" i="2"/>
  <c r="AV170" i="2"/>
  <c r="AU170" i="2"/>
  <c r="AV169" i="2"/>
  <c r="AU169" i="2"/>
  <c r="AV168" i="2"/>
  <c r="AU168" i="2"/>
  <c r="AV167" i="2"/>
  <c r="AU167" i="2"/>
  <c r="AV166" i="2"/>
  <c r="AU166" i="2"/>
  <c r="AV165" i="2"/>
  <c r="AU165" i="2"/>
  <c r="AV164" i="2"/>
  <c r="AU164" i="2"/>
  <c r="AV163" i="2"/>
  <c r="AU163" i="2"/>
  <c r="AV162" i="2"/>
  <c r="AU162" i="2"/>
  <c r="AV161" i="2"/>
  <c r="AU161" i="2"/>
  <c r="AV160" i="2"/>
  <c r="AU160" i="2"/>
  <c r="AV159" i="2"/>
  <c r="AU159" i="2"/>
  <c r="AV158" i="2"/>
  <c r="AU158" i="2"/>
  <c r="AV157" i="2"/>
  <c r="AU157" i="2"/>
  <c r="AV156" i="2"/>
  <c r="AU156" i="2"/>
  <c r="AV155" i="2"/>
  <c r="AU155" i="2"/>
  <c r="AV154" i="2"/>
  <c r="AU154" i="2"/>
  <c r="AV153" i="2"/>
  <c r="AU153" i="2"/>
  <c r="AV152" i="2"/>
  <c r="AU152" i="2"/>
  <c r="AV151" i="2"/>
  <c r="AU151" i="2"/>
  <c r="AV150" i="2"/>
  <c r="AU150" i="2"/>
  <c r="AV149" i="2"/>
  <c r="AU149" i="2"/>
  <c r="AV148" i="2"/>
  <c r="AU148" i="2"/>
  <c r="AV147" i="2"/>
  <c r="AU147" i="2"/>
  <c r="AV145" i="2"/>
  <c r="AU145" i="2"/>
  <c r="AV144" i="2"/>
  <c r="AU144" i="2"/>
  <c r="AV143" i="2"/>
  <c r="AU143" i="2"/>
  <c r="AV142" i="2"/>
  <c r="AU142" i="2"/>
  <c r="AV141" i="2"/>
  <c r="AU141" i="2"/>
  <c r="AV140" i="2"/>
  <c r="AU140" i="2"/>
  <c r="AV139" i="2"/>
  <c r="AU139" i="2"/>
  <c r="AV138" i="2"/>
  <c r="AU138" i="2"/>
  <c r="AV137" i="2"/>
  <c r="AU137" i="2"/>
  <c r="AV136" i="2"/>
  <c r="AU136" i="2"/>
  <c r="AV135" i="2"/>
  <c r="AU135" i="2"/>
  <c r="AV134" i="2"/>
  <c r="AU134" i="2"/>
  <c r="AV133" i="2"/>
  <c r="AU133" i="2"/>
  <c r="AV132" i="2"/>
  <c r="AU132" i="2"/>
  <c r="AV131" i="2"/>
  <c r="AU131" i="2"/>
  <c r="AV130" i="2"/>
  <c r="AU130" i="2"/>
  <c r="AV129" i="2"/>
  <c r="AU129" i="2"/>
  <c r="AV127" i="2"/>
  <c r="AU127" i="2"/>
  <c r="AV126" i="2"/>
  <c r="AU126" i="2"/>
  <c r="AV125" i="2"/>
  <c r="AU125" i="2"/>
  <c r="AV124" i="2"/>
  <c r="AU124" i="2"/>
  <c r="AV123" i="2"/>
  <c r="AU123" i="2"/>
  <c r="AV122" i="2"/>
  <c r="AU122" i="2"/>
  <c r="AV121" i="2"/>
  <c r="AU121" i="2"/>
  <c r="AV120" i="2"/>
  <c r="AU120" i="2"/>
  <c r="AV119" i="2"/>
  <c r="AU119" i="2"/>
  <c r="AV118" i="2"/>
  <c r="AU118" i="2"/>
  <c r="AV117" i="2"/>
  <c r="AU117" i="2"/>
  <c r="AV116" i="2"/>
  <c r="AU116" i="2"/>
  <c r="AV115" i="2"/>
  <c r="AU115" i="2"/>
  <c r="AV114" i="2"/>
  <c r="AU114" i="2"/>
  <c r="AV113" i="2"/>
  <c r="AU113" i="2"/>
  <c r="AV112" i="2"/>
  <c r="AU112" i="2"/>
  <c r="AV111" i="2"/>
  <c r="AU111" i="2"/>
  <c r="AV110" i="2"/>
  <c r="AU110" i="2"/>
  <c r="AV109" i="2"/>
  <c r="AU109" i="2"/>
  <c r="AV108" i="2"/>
  <c r="AU108" i="2"/>
  <c r="AV107" i="2"/>
  <c r="AU107" i="2"/>
  <c r="AV106" i="2"/>
  <c r="AU106" i="2"/>
  <c r="AV105" i="2"/>
  <c r="AU105" i="2"/>
  <c r="AN564" i="2"/>
  <c r="AM564" i="2"/>
  <c r="AI564" i="2"/>
  <c r="AJ564" i="2" s="1"/>
  <c r="AH564" i="2"/>
  <c r="AN563" i="2"/>
  <c r="AM563" i="2"/>
  <c r="AI563" i="2"/>
  <c r="AJ563" i="2" s="1"/>
  <c r="AH563" i="2"/>
  <c r="AN562" i="2"/>
  <c r="AM562" i="2"/>
  <c r="AI562" i="2"/>
  <c r="AH562" i="2"/>
  <c r="AN561" i="2"/>
  <c r="AM561" i="2"/>
  <c r="AI561" i="2"/>
  <c r="AJ561" i="2" s="1"/>
  <c r="AH561" i="2"/>
  <c r="AN560" i="2"/>
  <c r="AM560" i="2"/>
  <c r="AI560" i="2"/>
  <c r="AJ560" i="2" s="1"/>
  <c r="AH560" i="2"/>
  <c r="AN559" i="2"/>
  <c r="AM559" i="2"/>
  <c r="AI559" i="2"/>
  <c r="AJ559" i="2" s="1"/>
  <c r="AH559" i="2"/>
  <c r="AN558" i="2"/>
  <c r="AM558" i="2"/>
  <c r="AI558" i="2"/>
  <c r="AJ558" i="2" s="1"/>
  <c r="AH558" i="2"/>
  <c r="AN557" i="2"/>
  <c r="AM557" i="2"/>
  <c r="AI557" i="2"/>
  <c r="AJ557" i="2" s="1"/>
  <c r="AH557" i="2"/>
  <c r="AN556" i="2"/>
  <c r="AM556" i="2"/>
  <c r="AI556" i="2"/>
  <c r="AH556" i="2"/>
  <c r="AN555" i="2"/>
  <c r="AM555" i="2"/>
  <c r="AI555" i="2"/>
  <c r="AH555" i="2"/>
  <c r="AN554" i="2"/>
  <c r="AM554" i="2"/>
  <c r="AI554" i="2"/>
  <c r="AH554" i="2"/>
  <c r="AN553" i="2"/>
  <c r="AM553" i="2"/>
  <c r="AI553" i="2"/>
  <c r="AJ553" i="2" s="1"/>
  <c r="AH553" i="2"/>
  <c r="AN552" i="2"/>
  <c r="AM552" i="2"/>
  <c r="AI552" i="2"/>
  <c r="AJ552" i="2" s="1"/>
  <c r="AH552" i="2"/>
  <c r="AN551" i="2"/>
  <c r="AM551" i="2"/>
  <c r="AI551" i="2"/>
  <c r="AH551" i="2"/>
  <c r="AN550" i="2"/>
  <c r="AM550" i="2"/>
  <c r="AI550" i="2"/>
  <c r="AH550" i="2"/>
  <c r="AN549" i="2"/>
  <c r="AM549" i="2"/>
  <c r="AI549" i="2"/>
  <c r="AH549" i="2"/>
  <c r="AN548" i="2"/>
  <c r="AM548" i="2"/>
  <c r="AI548" i="2"/>
  <c r="AH548" i="2"/>
  <c r="AN547" i="2"/>
  <c r="AM547" i="2"/>
  <c r="AI547" i="2"/>
  <c r="AH547" i="2"/>
  <c r="AN546" i="2"/>
  <c r="AM546" i="2"/>
  <c r="AI546" i="2"/>
  <c r="AH546" i="2"/>
  <c r="AN545" i="2"/>
  <c r="AM545" i="2"/>
  <c r="AI545" i="2"/>
  <c r="AH545" i="2"/>
  <c r="AN544" i="2"/>
  <c r="AM544" i="2"/>
  <c r="AI544" i="2"/>
  <c r="AJ544" i="2" s="1"/>
  <c r="AH544" i="2"/>
  <c r="AN543" i="2"/>
  <c r="AM543" i="2"/>
  <c r="AI543" i="2"/>
  <c r="AJ543" i="2" s="1"/>
  <c r="AH543" i="2"/>
  <c r="AN542" i="2"/>
  <c r="AM542" i="2"/>
  <c r="AI542" i="2"/>
  <c r="AJ542" i="2" s="1"/>
  <c r="AH542" i="2"/>
  <c r="AN541" i="2"/>
  <c r="AM541" i="2"/>
  <c r="AI541" i="2"/>
  <c r="AH541" i="2"/>
  <c r="AN540" i="2"/>
  <c r="AM540" i="2"/>
  <c r="AI540" i="2"/>
  <c r="AJ540" i="2" s="1"/>
  <c r="AH540" i="2"/>
  <c r="AN539" i="2"/>
  <c r="AM539" i="2"/>
  <c r="AI539" i="2"/>
  <c r="AH539" i="2"/>
  <c r="AN538" i="2"/>
  <c r="AM538" i="2"/>
  <c r="AI538" i="2"/>
  <c r="AJ538" i="2" s="1"/>
  <c r="AH538" i="2"/>
  <c r="AN537" i="2"/>
  <c r="AM537" i="2"/>
  <c r="AI537" i="2"/>
  <c r="AJ537" i="2" s="1"/>
  <c r="AH537" i="2"/>
  <c r="AN536" i="2"/>
  <c r="AM536" i="2"/>
  <c r="AI536" i="2"/>
  <c r="AJ536" i="2" s="1"/>
  <c r="AH536" i="2"/>
  <c r="AN535" i="2"/>
  <c r="AM535" i="2"/>
  <c r="AI535" i="2"/>
  <c r="AJ535" i="2" s="1"/>
  <c r="AH535" i="2"/>
  <c r="AN534" i="2"/>
  <c r="AM534" i="2"/>
  <c r="AI534" i="2"/>
  <c r="AJ534" i="2" s="1"/>
  <c r="AH534" i="2"/>
  <c r="AN533" i="2"/>
  <c r="AM533" i="2"/>
  <c r="AI533" i="2"/>
  <c r="AJ533" i="2" s="1"/>
  <c r="AH533" i="2"/>
  <c r="AN532" i="2"/>
  <c r="AM532" i="2"/>
  <c r="AI532" i="2"/>
  <c r="AH532" i="2"/>
  <c r="AN531" i="2"/>
  <c r="AM531" i="2"/>
  <c r="AI531" i="2"/>
  <c r="AH531" i="2"/>
  <c r="AN530" i="2"/>
  <c r="AM530" i="2"/>
  <c r="AI530" i="2"/>
  <c r="AH530" i="2"/>
  <c r="AN529" i="2"/>
  <c r="AM529" i="2"/>
  <c r="AI529" i="2"/>
  <c r="AH529" i="2"/>
  <c r="AN528" i="2"/>
  <c r="AM528" i="2"/>
  <c r="AI528" i="2"/>
  <c r="AH528" i="2"/>
  <c r="AN527" i="2"/>
  <c r="AM527" i="2"/>
  <c r="AI527" i="2"/>
  <c r="AH527" i="2"/>
  <c r="AN526" i="2"/>
  <c r="AM526" i="2"/>
  <c r="AI526" i="2"/>
  <c r="AH526" i="2"/>
  <c r="AN525" i="2"/>
  <c r="AM525" i="2"/>
  <c r="AI525" i="2"/>
  <c r="AH525" i="2"/>
  <c r="AN524" i="2"/>
  <c r="AM524" i="2"/>
  <c r="AI524" i="2"/>
  <c r="AH524" i="2"/>
  <c r="AN523" i="2"/>
  <c r="AM523" i="2"/>
  <c r="AI523" i="2"/>
  <c r="AH523" i="2"/>
  <c r="AN522" i="2"/>
  <c r="AM522" i="2"/>
  <c r="AI522" i="2"/>
  <c r="AH522" i="2"/>
  <c r="AN521" i="2"/>
  <c r="AM521" i="2"/>
  <c r="AI521" i="2"/>
  <c r="AH521" i="2"/>
  <c r="AN520" i="2"/>
  <c r="AM520" i="2"/>
  <c r="AI520" i="2"/>
  <c r="AH520" i="2"/>
  <c r="AN519" i="2"/>
  <c r="AM519" i="2"/>
  <c r="AI519" i="2"/>
  <c r="AH519" i="2"/>
  <c r="AN518" i="2"/>
  <c r="AM518" i="2"/>
  <c r="AI518" i="2"/>
  <c r="AH518" i="2"/>
  <c r="AN517" i="2"/>
  <c r="AM517" i="2"/>
  <c r="AI517" i="2"/>
  <c r="AH517" i="2"/>
  <c r="AN516" i="2"/>
  <c r="AM516" i="2"/>
  <c r="AI516" i="2"/>
  <c r="AH516" i="2"/>
  <c r="AN515" i="2"/>
  <c r="AM515" i="2"/>
  <c r="AI515" i="2"/>
  <c r="AJ515" i="2" s="1"/>
  <c r="AH515" i="2"/>
  <c r="AN514" i="2"/>
  <c r="AM514" i="2"/>
  <c r="AI514" i="2"/>
  <c r="AJ514" i="2" s="1"/>
  <c r="AH514" i="2"/>
  <c r="AN513" i="2"/>
  <c r="AM513" i="2"/>
  <c r="AI513" i="2"/>
  <c r="AJ513" i="2" s="1"/>
  <c r="AH513" i="2"/>
  <c r="AN512" i="2"/>
  <c r="AM512" i="2"/>
  <c r="AI512" i="2"/>
  <c r="AJ512" i="2" s="1"/>
  <c r="AH512" i="2"/>
  <c r="AN511" i="2"/>
  <c r="AM511" i="2"/>
  <c r="AI511" i="2"/>
  <c r="AH511" i="2"/>
  <c r="AN510" i="2"/>
  <c r="AM510" i="2"/>
  <c r="AI510" i="2"/>
  <c r="AH510" i="2"/>
  <c r="AN509" i="2"/>
  <c r="AM509" i="2"/>
  <c r="AI509" i="2"/>
  <c r="AH509" i="2"/>
  <c r="AN508" i="2"/>
  <c r="AM508" i="2"/>
  <c r="AI508" i="2"/>
  <c r="AH508" i="2"/>
  <c r="AN507" i="2"/>
  <c r="AM507" i="2"/>
  <c r="AI507" i="2"/>
  <c r="AH507" i="2"/>
  <c r="AN506" i="2"/>
  <c r="AM506" i="2"/>
  <c r="AI506" i="2"/>
  <c r="AH506" i="2"/>
  <c r="AN505" i="2"/>
  <c r="AM505" i="2"/>
  <c r="AI505" i="2"/>
  <c r="AH505" i="2"/>
  <c r="AN504" i="2"/>
  <c r="AM504" i="2"/>
  <c r="AI504" i="2"/>
  <c r="AH504" i="2"/>
  <c r="AN503" i="2"/>
  <c r="AM503" i="2"/>
  <c r="AI503" i="2"/>
  <c r="AH503" i="2"/>
  <c r="AN502" i="2"/>
  <c r="AM502" i="2"/>
  <c r="AI502" i="2"/>
  <c r="AH502" i="2"/>
  <c r="AN501" i="2"/>
  <c r="AM501" i="2"/>
  <c r="AI501" i="2"/>
  <c r="AH501" i="2"/>
  <c r="AN500" i="2"/>
  <c r="AM500" i="2"/>
  <c r="AI500" i="2"/>
  <c r="AH500" i="2"/>
  <c r="AN499" i="2"/>
  <c r="AM499" i="2"/>
  <c r="AI499" i="2"/>
  <c r="AH499" i="2"/>
  <c r="AN498" i="2"/>
  <c r="AM498" i="2"/>
  <c r="AI498" i="2"/>
  <c r="AJ498" i="2" s="1"/>
  <c r="AH498" i="2"/>
  <c r="AN497" i="2"/>
  <c r="AM497" i="2"/>
  <c r="AI497" i="2"/>
  <c r="AH497" i="2"/>
  <c r="AN496" i="2"/>
  <c r="AM496" i="2"/>
  <c r="AI496" i="2"/>
  <c r="AH496" i="2"/>
  <c r="AN495" i="2"/>
  <c r="AM495" i="2"/>
  <c r="AI495" i="2"/>
  <c r="AH495" i="2"/>
  <c r="AN494" i="2"/>
  <c r="AM494" i="2"/>
  <c r="AI494" i="2"/>
  <c r="AH494" i="2"/>
  <c r="AN493" i="2"/>
  <c r="AM493" i="2"/>
  <c r="AI493" i="2"/>
  <c r="AJ493" i="2" s="1"/>
  <c r="AH493" i="2"/>
  <c r="AN492" i="2"/>
  <c r="AM492" i="2"/>
  <c r="AI492" i="2"/>
  <c r="AH492" i="2"/>
  <c r="AN491" i="2"/>
  <c r="AM491" i="2"/>
  <c r="AI491" i="2"/>
  <c r="AH491" i="2"/>
  <c r="AN490" i="2"/>
  <c r="AM490" i="2"/>
  <c r="AI490" i="2"/>
  <c r="AH490" i="2"/>
  <c r="AN489" i="2"/>
  <c r="AM489" i="2"/>
  <c r="AI489" i="2"/>
  <c r="AJ489" i="2" s="1"/>
  <c r="AH489" i="2"/>
  <c r="AN488" i="2"/>
  <c r="AM488" i="2"/>
  <c r="AI488" i="2"/>
  <c r="AH488" i="2"/>
  <c r="AN487" i="2"/>
  <c r="AM487" i="2"/>
  <c r="AI487" i="2"/>
  <c r="AH487" i="2"/>
  <c r="AN486" i="2"/>
  <c r="AM486" i="2"/>
  <c r="AI486" i="2"/>
  <c r="AH486" i="2"/>
  <c r="AN485" i="2"/>
  <c r="AM485" i="2"/>
  <c r="AI485" i="2"/>
  <c r="AH485" i="2"/>
  <c r="AN484" i="2"/>
  <c r="AM484" i="2"/>
  <c r="AI484" i="2"/>
  <c r="AH484" i="2"/>
  <c r="AN483" i="2"/>
  <c r="AM483" i="2"/>
  <c r="AI483" i="2"/>
  <c r="AH483" i="2"/>
  <c r="AN482" i="2"/>
  <c r="AM482" i="2"/>
  <c r="AI482" i="2"/>
  <c r="AH482" i="2"/>
  <c r="AN481" i="2"/>
  <c r="AM481" i="2"/>
  <c r="AI481" i="2"/>
  <c r="AH481" i="2"/>
  <c r="AN480" i="2"/>
  <c r="AM480" i="2"/>
  <c r="AI480" i="2"/>
  <c r="AH480" i="2"/>
  <c r="AN479" i="2"/>
  <c r="AM479" i="2"/>
  <c r="AI479" i="2"/>
  <c r="AH479" i="2"/>
  <c r="AN478" i="2"/>
  <c r="AM478" i="2"/>
  <c r="AI478" i="2"/>
  <c r="AH478" i="2"/>
  <c r="AN477" i="2"/>
  <c r="AM477" i="2"/>
  <c r="AI477" i="2"/>
  <c r="AH477" i="2"/>
  <c r="AN476" i="2"/>
  <c r="AM476" i="2"/>
  <c r="AI476" i="2"/>
  <c r="AH476" i="2"/>
  <c r="AN475" i="2"/>
  <c r="AM475" i="2"/>
  <c r="AI475" i="2"/>
  <c r="AH475" i="2"/>
  <c r="AN474" i="2"/>
  <c r="AM474" i="2"/>
  <c r="AI474" i="2"/>
  <c r="AJ474" i="2" s="1"/>
  <c r="AH474" i="2"/>
  <c r="AN473" i="2"/>
  <c r="AM473" i="2"/>
  <c r="AI473" i="2"/>
  <c r="AH473" i="2"/>
  <c r="AN472" i="2"/>
  <c r="AM472" i="2"/>
  <c r="AI472" i="2"/>
  <c r="AH472" i="2"/>
  <c r="AN471" i="2"/>
  <c r="AM471" i="2"/>
  <c r="AI471" i="2"/>
  <c r="AH471" i="2"/>
  <c r="AN470" i="2"/>
  <c r="AM470" i="2"/>
  <c r="AI470" i="2"/>
  <c r="AH470" i="2"/>
  <c r="AN469" i="2"/>
  <c r="AM469" i="2"/>
  <c r="AI469" i="2"/>
  <c r="AH469" i="2"/>
  <c r="AN468" i="2"/>
  <c r="AM468" i="2"/>
  <c r="AI468" i="2"/>
  <c r="AH468" i="2"/>
  <c r="AN467" i="2"/>
  <c r="AM467" i="2"/>
  <c r="AI467" i="2"/>
  <c r="AH467" i="2"/>
  <c r="AN466" i="2"/>
  <c r="AM466" i="2"/>
  <c r="AI466" i="2"/>
  <c r="AH466" i="2"/>
  <c r="AN465" i="2"/>
  <c r="AM465" i="2"/>
  <c r="AI465" i="2"/>
  <c r="AH465" i="2"/>
  <c r="AN464" i="2"/>
  <c r="AM464" i="2"/>
  <c r="AI464" i="2"/>
  <c r="AH464" i="2"/>
  <c r="AN463" i="2"/>
  <c r="AM463" i="2"/>
  <c r="AI463" i="2"/>
  <c r="AH463" i="2"/>
  <c r="AN462" i="2"/>
  <c r="AM462" i="2"/>
  <c r="AI462" i="2"/>
  <c r="AH462" i="2"/>
  <c r="AN461" i="2"/>
  <c r="AM461" i="2"/>
  <c r="AI461" i="2"/>
  <c r="AH461" i="2"/>
  <c r="AN460" i="2"/>
  <c r="AM460" i="2"/>
  <c r="AI460" i="2"/>
  <c r="AJ460" i="2" s="1"/>
  <c r="AH460" i="2"/>
  <c r="AN459" i="2"/>
  <c r="AM459" i="2"/>
  <c r="AI459" i="2"/>
  <c r="AJ459" i="2" s="1"/>
  <c r="AH459" i="2"/>
  <c r="AN458" i="2"/>
  <c r="AM458" i="2"/>
  <c r="AI458" i="2"/>
  <c r="AH458" i="2"/>
  <c r="AN457" i="2"/>
  <c r="AM457" i="2"/>
  <c r="AI457" i="2"/>
  <c r="AH457" i="2"/>
  <c r="AN456" i="2"/>
  <c r="AM456" i="2"/>
  <c r="AI456" i="2"/>
  <c r="AH456" i="2"/>
  <c r="AN455" i="2"/>
  <c r="AM455" i="2"/>
  <c r="AI455" i="2"/>
  <c r="AH455" i="2"/>
  <c r="AN454" i="2"/>
  <c r="AM454" i="2"/>
  <c r="AI454" i="2"/>
  <c r="AH454" i="2"/>
  <c r="AN453" i="2"/>
  <c r="AM453" i="2"/>
  <c r="AI453" i="2"/>
  <c r="AH453" i="2"/>
  <c r="AN452" i="2"/>
  <c r="AM452" i="2"/>
  <c r="AI452" i="2"/>
  <c r="AJ452" i="2" s="1"/>
  <c r="AH452" i="2"/>
  <c r="AN451" i="2"/>
  <c r="AM451" i="2"/>
  <c r="AI451" i="2"/>
  <c r="AH451" i="2"/>
  <c r="AN450" i="2"/>
  <c r="AM450" i="2"/>
  <c r="AI450" i="2"/>
  <c r="AH450" i="2"/>
  <c r="AN449" i="2"/>
  <c r="AM449" i="2"/>
  <c r="AI449" i="2"/>
  <c r="AH449" i="2"/>
  <c r="AN448" i="2"/>
  <c r="AM448" i="2"/>
  <c r="AI448" i="2"/>
  <c r="AJ448" i="2" s="1"/>
  <c r="AH448" i="2"/>
  <c r="AN447" i="2"/>
  <c r="AM447" i="2"/>
  <c r="AI447" i="2"/>
  <c r="AH447" i="2"/>
  <c r="AN446" i="2"/>
  <c r="AM446" i="2"/>
  <c r="AI446" i="2"/>
  <c r="AH446" i="2"/>
  <c r="AN445" i="2"/>
  <c r="AM445" i="2"/>
  <c r="AI445" i="2"/>
  <c r="AH445" i="2"/>
  <c r="AN444" i="2"/>
  <c r="AM444" i="2"/>
  <c r="AI444" i="2"/>
  <c r="AH444" i="2"/>
  <c r="AN443" i="2"/>
  <c r="AM443" i="2"/>
  <c r="AI443" i="2"/>
  <c r="AH443" i="2"/>
  <c r="AN442" i="2"/>
  <c r="AM442" i="2"/>
  <c r="AI442" i="2"/>
  <c r="AH442" i="2"/>
  <c r="AN441" i="2"/>
  <c r="AM441" i="2"/>
  <c r="AI441" i="2"/>
  <c r="AH441" i="2"/>
  <c r="AN440" i="2"/>
  <c r="AM440" i="2"/>
  <c r="AI440" i="2"/>
  <c r="AH440" i="2"/>
  <c r="AN439" i="2"/>
  <c r="AM439" i="2"/>
  <c r="AI439" i="2"/>
  <c r="AH439" i="2"/>
  <c r="AN438" i="2"/>
  <c r="AM438" i="2"/>
  <c r="AI438" i="2"/>
  <c r="AH438" i="2"/>
  <c r="AN437" i="2"/>
  <c r="AM437" i="2"/>
  <c r="AI437" i="2"/>
  <c r="AH437" i="2"/>
  <c r="AN436" i="2"/>
  <c r="AM436" i="2"/>
  <c r="AI436" i="2"/>
  <c r="AH436" i="2"/>
  <c r="AN435" i="2"/>
  <c r="AM435" i="2"/>
  <c r="AI435" i="2"/>
  <c r="AH435" i="2"/>
  <c r="AN434" i="2"/>
  <c r="AM434" i="2"/>
  <c r="AI434" i="2"/>
  <c r="AH434" i="2"/>
  <c r="AN433" i="2"/>
  <c r="AM433" i="2"/>
  <c r="AI433" i="2"/>
  <c r="AH433" i="2"/>
  <c r="AN432" i="2"/>
  <c r="AM432" i="2"/>
  <c r="AI432" i="2"/>
  <c r="AJ432" i="2" s="1"/>
  <c r="AH432" i="2"/>
  <c r="AN431" i="2"/>
  <c r="AM431" i="2"/>
  <c r="AI431" i="2"/>
  <c r="AH431" i="2"/>
  <c r="AN430" i="2"/>
  <c r="AM430" i="2"/>
  <c r="AI430" i="2"/>
  <c r="AH430" i="2"/>
  <c r="AN429" i="2"/>
  <c r="AM429" i="2"/>
  <c r="AI429" i="2"/>
  <c r="AH429" i="2"/>
  <c r="AN428" i="2"/>
  <c r="AM428" i="2"/>
  <c r="AI428" i="2"/>
  <c r="AH428" i="2"/>
  <c r="AN427" i="2"/>
  <c r="AM427" i="2"/>
  <c r="AI427" i="2"/>
  <c r="AH427" i="2"/>
  <c r="AN426" i="2"/>
  <c r="AM426" i="2"/>
  <c r="AI426" i="2"/>
  <c r="AH426" i="2"/>
  <c r="AN425" i="2"/>
  <c r="AM425" i="2"/>
  <c r="AI425" i="2"/>
  <c r="AH425" i="2"/>
  <c r="AN424" i="2"/>
  <c r="AM424" i="2"/>
  <c r="AI424" i="2"/>
  <c r="AH424" i="2"/>
  <c r="AN423" i="2"/>
  <c r="AM423" i="2"/>
  <c r="AI423" i="2"/>
  <c r="AH423" i="2"/>
  <c r="AN422" i="2"/>
  <c r="AM422" i="2"/>
  <c r="AI422" i="2"/>
  <c r="AH422" i="2"/>
  <c r="AN421" i="2"/>
  <c r="AM421" i="2"/>
  <c r="AI421" i="2"/>
  <c r="AH421" i="2"/>
  <c r="AN420" i="2"/>
  <c r="AM420" i="2"/>
  <c r="AI420" i="2"/>
  <c r="AH420" i="2"/>
  <c r="AN419" i="2"/>
  <c r="AM419" i="2"/>
  <c r="AI419" i="2"/>
  <c r="AH419" i="2"/>
  <c r="AN418" i="2"/>
  <c r="AM418" i="2"/>
  <c r="AI418" i="2"/>
  <c r="AH418" i="2"/>
  <c r="AN417" i="2"/>
  <c r="AM417" i="2"/>
  <c r="AI417" i="2"/>
  <c r="AH417" i="2"/>
  <c r="AN416" i="2"/>
  <c r="AM416" i="2"/>
  <c r="AI416" i="2"/>
  <c r="AH416" i="2"/>
  <c r="AN415" i="2"/>
  <c r="AM415" i="2"/>
  <c r="AI415" i="2"/>
  <c r="AH415" i="2"/>
  <c r="AN414" i="2"/>
  <c r="AM414" i="2"/>
  <c r="AI414" i="2"/>
  <c r="AH414" i="2"/>
  <c r="AN413" i="2"/>
  <c r="AM413" i="2"/>
  <c r="AI413" i="2"/>
  <c r="AH413" i="2"/>
  <c r="AN412" i="2"/>
  <c r="AM412" i="2"/>
  <c r="AI412" i="2"/>
  <c r="AH412" i="2"/>
  <c r="AN411" i="2"/>
  <c r="AM411" i="2"/>
  <c r="AI411" i="2"/>
  <c r="AH411" i="2"/>
  <c r="AN410" i="2"/>
  <c r="AM410" i="2"/>
  <c r="AI410" i="2"/>
  <c r="AH410" i="2"/>
  <c r="AN409" i="2"/>
  <c r="AM409" i="2"/>
  <c r="AI409" i="2"/>
  <c r="AH409" i="2"/>
  <c r="AN408" i="2"/>
  <c r="AM408" i="2"/>
  <c r="AI408" i="2"/>
  <c r="AH408" i="2"/>
  <c r="AN407" i="2"/>
  <c r="AM407" i="2"/>
  <c r="AI407" i="2"/>
  <c r="AH407" i="2"/>
  <c r="AN406" i="2"/>
  <c r="AM406" i="2"/>
  <c r="AI406" i="2"/>
  <c r="AH406" i="2"/>
  <c r="AN405" i="2"/>
  <c r="AM405" i="2"/>
  <c r="AI405" i="2"/>
  <c r="AH405" i="2"/>
  <c r="AN404" i="2"/>
  <c r="AM404" i="2"/>
  <c r="AI404" i="2"/>
  <c r="AH404" i="2"/>
  <c r="AN403" i="2"/>
  <c r="AM403" i="2"/>
  <c r="AI403" i="2"/>
  <c r="AH403" i="2"/>
  <c r="AN402" i="2"/>
  <c r="AM402" i="2"/>
  <c r="AI402" i="2"/>
  <c r="AH402" i="2"/>
  <c r="AN401" i="2"/>
  <c r="AM401" i="2"/>
  <c r="AI401" i="2"/>
  <c r="AH401" i="2"/>
  <c r="AN400" i="2"/>
  <c r="AM400" i="2"/>
  <c r="AI400" i="2"/>
  <c r="AH400" i="2"/>
  <c r="AN399" i="2"/>
  <c r="AM399" i="2"/>
  <c r="AI399" i="2"/>
  <c r="AH399" i="2"/>
  <c r="AN398" i="2"/>
  <c r="AM398" i="2"/>
  <c r="AI398" i="2"/>
  <c r="AH398" i="2"/>
  <c r="AN397" i="2"/>
  <c r="AM397" i="2"/>
  <c r="AI397" i="2"/>
  <c r="AJ397" i="2" s="1"/>
  <c r="AH397" i="2"/>
  <c r="AN396" i="2"/>
  <c r="AM396" i="2"/>
  <c r="AI396" i="2"/>
  <c r="AH396" i="2"/>
  <c r="AN395" i="2"/>
  <c r="AM395" i="2"/>
  <c r="AI395" i="2"/>
  <c r="AH395" i="2"/>
  <c r="AN394" i="2"/>
  <c r="AM394" i="2"/>
  <c r="AI394" i="2"/>
  <c r="AH394" i="2"/>
  <c r="AN393" i="2"/>
  <c r="AM393" i="2"/>
  <c r="AI393" i="2"/>
  <c r="AH393" i="2"/>
  <c r="AN392" i="2"/>
  <c r="AM392" i="2"/>
  <c r="AI392" i="2"/>
  <c r="AH392" i="2"/>
  <c r="AN391" i="2"/>
  <c r="AM391" i="2"/>
  <c r="AI391" i="2"/>
  <c r="AH391" i="2"/>
  <c r="AN390" i="2"/>
  <c r="AM390" i="2"/>
  <c r="AI390" i="2"/>
  <c r="AH390" i="2"/>
  <c r="AN389" i="2"/>
  <c r="AM389" i="2"/>
  <c r="AI389" i="2"/>
  <c r="AH389" i="2"/>
  <c r="AN388" i="2"/>
  <c r="AM388" i="2"/>
  <c r="AI388" i="2"/>
  <c r="AH388" i="2"/>
  <c r="AN387" i="2"/>
  <c r="AM387" i="2"/>
  <c r="AI387" i="2"/>
  <c r="AH387" i="2"/>
  <c r="AN386" i="2"/>
  <c r="AM386" i="2"/>
  <c r="AI386" i="2"/>
  <c r="AH386" i="2"/>
  <c r="AN385" i="2"/>
  <c r="AM385" i="2"/>
  <c r="AI385" i="2"/>
  <c r="AH385" i="2"/>
  <c r="AN384" i="2"/>
  <c r="AM384" i="2"/>
  <c r="AI384" i="2"/>
  <c r="AH384" i="2"/>
  <c r="AN383" i="2"/>
  <c r="AM383" i="2"/>
  <c r="AI383" i="2"/>
  <c r="AH383" i="2"/>
  <c r="AN382" i="2"/>
  <c r="AM382" i="2"/>
  <c r="AI382" i="2"/>
  <c r="AH382" i="2"/>
  <c r="AN381" i="2"/>
  <c r="AM381" i="2"/>
  <c r="AI381" i="2"/>
  <c r="AH381" i="2"/>
  <c r="AN380" i="2"/>
  <c r="AM380" i="2"/>
  <c r="AI380" i="2"/>
  <c r="AH380" i="2"/>
  <c r="AN379" i="2"/>
  <c r="AM379" i="2"/>
  <c r="AI379" i="2"/>
  <c r="AH379" i="2"/>
  <c r="AN378" i="2"/>
  <c r="AM378" i="2"/>
  <c r="AI378" i="2"/>
  <c r="AH378" i="2"/>
  <c r="AN377" i="2"/>
  <c r="AM377" i="2"/>
  <c r="AI377" i="2"/>
  <c r="AH377" i="2"/>
  <c r="AN376" i="2"/>
  <c r="AM376" i="2"/>
  <c r="AI376" i="2"/>
  <c r="AH376" i="2"/>
  <c r="AN375" i="2"/>
  <c r="AM375" i="2"/>
  <c r="AI375" i="2"/>
  <c r="AH375" i="2"/>
  <c r="AN374" i="2"/>
  <c r="AM374" i="2"/>
  <c r="AI374" i="2"/>
  <c r="AH374" i="2"/>
  <c r="AN373" i="2"/>
  <c r="AM373" i="2"/>
  <c r="AI373" i="2"/>
  <c r="AH373" i="2"/>
  <c r="AN372" i="2"/>
  <c r="AM372" i="2"/>
  <c r="AI372" i="2"/>
  <c r="AH372" i="2"/>
  <c r="AN371" i="2"/>
  <c r="AM371" i="2"/>
  <c r="AI371" i="2"/>
  <c r="AH371" i="2"/>
  <c r="AN370" i="2"/>
  <c r="AM370" i="2"/>
  <c r="AI370" i="2"/>
  <c r="AH370" i="2"/>
  <c r="AN369" i="2"/>
  <c r="AM369" i="2"/>
  <c r="AI369" i="2"/>
  <c r="AH369" i="2"/>
  <c r="AN368" i="2"/>
  <c r="AM368" i="2"/>
  <c r="AI368" i="2"/>
  <c r="AH368" i="2"/>
  <c r="AN367" i="2"/>
  <c r="AM367" i="2"/>
  <c r="AI367" i="2"/>
  <c r="AH367" i="2"/>
  <c r="AN366" i="2"/>
  <c r="AM366" i="2"/>
  <c r="AI366" i="2"/>
  <c r="AH366" i="2"/>
  <c r="AN365" i="2"/>
  <c r="AM365" i="2"/>
  <c r="AI365" i="2"/>
  <c r="AH365" i="2"/>
  <c r="AN364" i="2"/>
  <c r="AM364" i="2"/>
  <c r="AI364" i="2"/>
  <c r="AH364" i="2"/>
  <c r="AN363" i="2"/>
  <c r="AM363" i="2"/>
  <c r="AI363" i="2"/>
  <c r="AH363" i="2"/>
  <c r="AN362" i="2"/>
  <c r="AM362" i="2"/>
  <c r="AI362" i="2"/>
  <c r="AH362" i="2"/>
  <c r="AN361" i="2"/>
  <c r="AM361" i="2"/>
  <c r="AI361" i="2"/>
  <c r="AH361" i="2"/>
  <c r="AN360" i="2"/>
  <c r="AM360" i="2"/>
  <c r="AI360" i="2"/>
  <c r="AH360" i="2"/>
  <c r="AN359" i="2"/>
  <c r="AM359" i="2"/>
  <c r="AI359" i="2"/>
  <c r="AH359" i="2"/>
  <c r="AN358" i="2"/>
  <c r="AM358" i="2"/>
  <c r="AI358" i="2"/>
  <c r="AH358" i="2"/>
  <c r="AN357" i="2"/>
  <c r="AM357" i="2"/>
  <c r="AI357" i="2"/>
  <c r="AH357" i="2"/>
  <c r="AN356" i="2"/>
  <c r="AM356" i="2"/>
  <c r="AI356" i="2"/>
  <c r="AH356" i="2"/>
  <c r="AN355" i="2"/>
  <c r="AM355" i="2"/>
  <c r="AI355" i="2"/>
  <c r="AH355" i="2"/>
  <c r="AN354" i="2"/>
  <c r="AM354" i="2"/>
  <c r="AI354" i="2"/>
  <c r="AH354" i="2"/>
  <c r="AN353" i="2"/>
  <c r="AM353" i="2"/>
  <c r="AI353" i="2"/>
  <c r="AH353" i="2"/>
  <c r="AN352" i="2"/>
  <c r="AM352" i="2"/>
  <c r="AI352" i="2"/>
  <c r="AH352" i="2"/>
  <c r="AN351" i="2"/>
  <c r="AM351" i="2"/>
  <c r="AI351" i="2"/>
  <c r="AH351" i="2"/>
  <c r="AN350" i="2"/>
  <c r="AM350" i="2"/>
  <c r="AI350" i="2"/>
  <c r="AH350" i="2"/>
  <c r="AN349" i="2"/>
  <c r="AM349" i="2"/>
  <c r="AI349" i="2"/>
  <c r="AH349" i="2"/>
  <c r="AN348" i="2"/>
  <c r="AM348" i="2"/>
  <c r="AI348" i="2"/>
  <c r="AH348" i="2"/>
  <c r="AN347" i="2"/>
  <c r="AM347" i="2"/>
  <c r="AI347" i="2"/>
  <c r="AH347" i="2"/>
  <c r="AN346" i="2"/>
  <c r="AM346" i="2"/>
  <c r="AI346" i="2"/>
  <c r="AJ346" i="2" s="1"/>
  <c r="AH346" i="2"/>
  <c r="AN345" i="2"/>
  <c r="AM345" i="2"/>
  <c r="AI345" i="2"/>
  <c r="AH345" i="2"/>
  <c r="AN344" i="2"/>
  <c r="AM344" i="2"/>
  <c r="AI344" i="2"/>
  <c r="AH344" i="2"/>
  <c r="AN343" i="2"/>
  <c r="AM343" i="2"/>
  <c r="AI343" i="2"/>
  <c r="AH343" i="2"/>
  <c r="AN342" i="2"/>
  <c r="AM342" i="2"/>
  <c r="AI342" i="2"/>
  <c r="AH342" i="2"/>
  <c r="AN340" i="2"/>
  <c r="AM340" i="2"/>
  <c r="AI340" i="2"/>
  <c r="AH340" i="2"/>
  <c r="AN339" i="2"/>
  <c r="AM339" i="2"/>
  <c r="AI339" i="2"/>
  <c r="AH339" i="2"/>
  <c r="AN338" i="2"/>
  <c r="AM338" i="2"/>
  <c r="AI338" i="2"/>
  <c r="AH338" i="2"/>
  <c r="AN337" i="2"/>
  <c r="AM337" i="2"/>
  <c r="AI337" i="2"/>
  <c r="AH337" i="2"/>
  <c r="AN335" i="2"/>
  <c r="AM335" i="2"/>
  <c r="AI335" i="2"/>
  <c r="AH335" i="2"/>
  <c r="AN334" i="2"/>
  <c r="AM334" i="2"/>
  <c r="AI334" i="2"/>
  <c r="AH334" i="2"/>
  <c r="AN333" i="2"/>
  <c r="AM333" i="2"/>
  <c r="AI333" i="2"/>
  <c r="AH333" i="2"/>
  <c r="AN332" i="2"/>
  <c r="AM332" i="2"/>
  <c r="AI332" i="2"/>
  <c r="AH332" i="2"/>
  <c r="AN331" i="2"/>
  <c r="AM331" i="2"/>
  <c r="AI331" i="2"/>
  <c r="AH331" i="2"/>
  <c r="AN330" i="2"/>
  <c r="AM330" i="2"/>
  <c r="AI330" i="2"/>
  <c r="AH330" i="2"/>
  <c r="AN329" i="2"/>
  <c r="AM329" i="2"/>
  <c r="AI329" i="2"/>
  <c r="AH329" i="2"/>
  <c r="AN328" i="2"/>
  <c r="AM328" i="2"/>
  <c r="AI328" i="2"/>
  <c r="AH328" i="2"/>
  <c r="AN327" i="2"/>
  <c r="AM327" i="2"/>
  <c r="AI327" i="2"/>
  <c r="AH327" i="2"/>
  <c r="AN326" i="2"/>
  <c r="AM326" i="2"/>
  <c r="AI326" i="2"/>
  <c r="AH326" i="2"/>
  <c r="AN325" i="2"/>
  <c r="AM325" i="2"/>
  <c r="AI325" i="2"/>
  <c r="AH325" i="2"/>
  <c r="AN324" i="2"/>
  <c r="AM324" i="2"/>
  <c r="AI324" i="2"/>
  <c r="AH324" i="2"/>
  <c r="AN323" i="2"/>
  <c r="AM323" i="2"/>
  <c r="AI323" i="2"/>
  <c r="AH323" i="2"/>
  <c r="AN322" i="2"/>
  <c r="AM322" i="2"/>
  <c r="AI322" i="2"/>
  <c r="AH322" i="2"/>
  <c r="AN321" i="2"/>
  <c r="AM321" i="2"/>
  <c r="AI321" i="2"/>
  <c r="AH321" i="2"/>
  <c r="AN320" i="2"/>
  <c r="AM320" i="2"/>
  <c r="AI320" i="2"/>
  <c r="AH320" i="2"/>
  <c r="AN319" i="2"/>
  <c r="AM319" i="2"/>
  <c r="AI319" i="2"/>
  <c r="AH319" i="2"/>
  <c r="AN318" i="2"/>
  <c r="AM318" i="2"/>
  <c r="AI318" i="2"/>
  <c r="AH318" i="2"/>
  <c r="AN317" i="2"/>
  <c r="AM317" i="2"/>
  <c r="AI317" i="2"/>
  <c r="AH317" i="2"/>
  <c r="AN316" i="2"/>
  <c r="AM316" i="2"/>
  <c r="AI316" i="2"/>
  <c r="AH316" i="2"/>
  <c r="AN315" i="2"/>
  <c r="AM315" i="2"/>
  <c r="AI315" i="2"/>
  <c r="AH315" i="2"/>
  <c r="AN314" i="2"/>
  <c r="AM314" i="2"/>
  <c r="AI314" i="2"/>
  <c r="AH314" i="2"/>
  <c r="AN313" i="2"/>
  <c r="AM313" i="2"/>
  <c r="AI313" i="2"/>
  <c r="AH313" i="2"/>
  <c r="AN312" i="2"/>
  <c r="AM312" i="2"/>
  <c r="AI312" i="2"/>
  <c r="AH312" i="2"/>
  <c r="AN311" i="2"/>
  <c r="AM311" i="2"/>
  <c r="AI311" i="2"/>
  <c r="AH311" i="2"/>
  <c r="AN310" i="2"/>
  <c r="AM310" i="2"/>
  <c r="AI310" i="2"/>
  <c r="AH310" i="2"/>
  <c r="AN309" i="2"/>
  <c r="AM309" i="2"/>
  <c r="AI309" i="2"/>
  <c r="AH309" i="2"/>
  <c r="AN308" i="2"/>
  <c r="AM308" i="2"/>
  <c r="AI308" i="2"/>
  <c r="AH308" i="2"/>
  <c r="AN307" i="2"/>
  <c r="AM307" i="2"/>
  <c r="AI307" i="2"/>
  <c r="AH307" i="2"/>
  <c r="AN306" i="2"/>
  <c r="AM306" i="2"/>
  <c r="AI306" i="2"/>
  <c r="AH306" i="2"/>
  <c r="AN305" i="2"/>
  <c r="AM305" i="2"/>
  <c r="AI305" i="2"/>
  <c r="AH305" i="2"/>
  <c r="AN304" i="2"/>
  <c r="AM304" i="2"/>
  <c r="AI304" i="2"/>
  <c r="AH304" i="2"/>
  <c r="AN303" i="2"/>
  <c r="AM303" i="2"/>
  <c r="AI303" i="2"/>
  <c r="AH303" i="2"/>
  <c r="AN302" i="2"/>
  <c r="AM302" i="2"/>
  <c r="AI302" i="2"/>
  <c r="AH302" i="2"/>
  <c r="AN301" i="2"/>
  <c r="AM301" i="2"/>
  <c r="AI301" i="2"/>
  <c r="AH301" i="2"/>
  <c r="AN300" i="2"/>
  <c r="AM300" i="2"/>
  <c r="AI300" i="2"/>
  <c r="AH300" i="2"/>
  <c r="AN299" i="2"/>
  <c r="AM299" i="2"/>
  <c r="AI299" i="2"/>
  <c r="AH299" i="2"/>
  <c r="AN298" i="2"/>
  <c r="AM298" i="2"/>
  <c r="AI298" i="2"/>
  <c r="AH298" i="2"/>
  <c r="AN297" i="2"/>
  <c r="AM297" i="2"/>
  <c r="AI297" i="2"/>
  <c r="AH297" i="2"/>
  <c r="AN296" i="2"/>
  <c r="AM296" i="2"/>
  <c r="AI296" i="2"/>
  <c r="AH296" i="2"/>
  <c r="AN295" i="2"/>
  <c r="AM295" i="2"/>
  <c r="AI295" i="2"/>
  <c r="AH295" i="2"/>
  <c r="AN294" i="2"/>
  <c r="AM294" i="2"/>
  <c r="AI294" i="2"/>
  <c r="AH294" i="2"/>
  <c r="AN293" i="2"/>
  <c r="AM293" i="2"/>
  <c r="AI293" i="2"/>
  <c r="AH293" i="2"/>
  <c r="AN292" i="2"/>
  <c r="AM292" i="2"/>
  <c r="AI292" i="2"/>
  <c r="AH292" i="2"/>
  <c r="AN291" i="2"/>
  <c r="AM291" i="2"/>
  <c r="AI291" i="2"/>
  <c r="AH291" i="2"/>
  <c r="AN290" i="2"/>
  <c r="AM290" i="2"/>
  <c r="AI290" i="2"/>
  <c r="AH290" i="2"/>
  <c r="AN289" i="2"/>
  <c r="AM289" i="2"/>
  <c r="AI289" i="2"/>
  <c r="AH289" i="2"/>
  <c r="AN288" i="2"/>
  <c r="AM288" i="2"/>
  <c r="AI288" i="2"/>
  <c r="AH288" i="2"/>
  <c r="AN287" i="2"/>
  <c r="AM287" i="2"/>
  <c r="AI287" i="2"/>
  <c r="AH287" i="2"/>
  <c r="AN286" i="2"/>
  <c r="AM286" i="2"/>
  <c r="AI286" i="2"/>
  <c r="AH286" i="2"/>
  <c r="AN285" i="2"/>
  <c r="AM285" i="2"/>
  <c r="AI285" i="2"/>
  <c r="AH285" i="2"/>
  <c r="AN284" i="2"/>
  <c r="AM284" i="2"/>
  <c r="AI284" i="2"/>
  <c r="AH284" i="2"/>
  <c r="AN283" i="2"/>
  <c r="AM283" i="2"/>
  <c r="AI283" i="2"/>
  <c r="AH283" i="2"/>
  <c r="AN282" i="2"/>
  <c r="AM282" i="2"/>
  <c r="AI282" i="2"/>
  <c r="AH282" i="2"/>
  <c r="AN281" i="2"/>
  <c r="AM281" i="2"/>
  <c r="AI281" i="2"/>
  <c r="AH281" i="2"/>
  <c r="AN280" i="2"/>
  <c r="AM280" i="2"/>
  <c r="AI280" i="2"/>
  <c r="AH280" i="2"/>
  <c r="AN279" i="2"/>
  <c r="AM279" i="2"/>
  <c r="AI279" i="2"/>
  <c r="AH279" i="2"/>
  <c r="AN278" i="2"/>
  <c r="AM278" i="2"/>
  <c r="AI278" i="2"/>
  <c r="AH278" i="2"/>
  <c r="AN277" i="2"/>
  <c r="AM277" i="2"/>
  <c r="AI277" i="2"/>
  <c r="AH277" i="2"/>
  <c r="AN276" i="2"/>
  <c r="AM276" i="2"/>
  <c r="AI276" i="2"/>
  <c r="AH276" i="2"/>
  <c r="AN275" i="2"/>
  <c r="AM275" i="2"/>
  <c r="AI275" i="2"/>
  <c r="AH275" i="2"/>
  <c r="AN274" i="2"/>
  <c r="AM274" i="2"/>
  <c r="AI274" i="2"/>
  <c r="AH274" i="2"/>
  <c r="AN273" i="2"/>
  <c r="AM273" i="2"/>
  <c r="AI273" i="2"/>
  <c r="AH273" i="2"/>
  <c r="AN272" i="2"/>
  <c r="AM272" i="2"/>
  <c r="AI272" i="2"/>
  <c r="AH272" i="2"/>
  <c r="AN271" i="2"/>
  <c r="AM271" i="2"/>
  <c r="AI271" i="2"/>
  <c r="AH271" i="2"/>
  <c r="AN270" i="2"/>
  <c r="AM270" i="2"/>
  <c r="AI270" i="2"/>
  <c r="AH270" i="2"/>
  <c r="AN269" i="2"/>
  <c r="AM269" i="2"/>
  <c r="AI269" i="2"/>
  <c r="AH269" i="2"/>
  <c r="AN268" i="2"/>
  <c r="AM268" i="2"/>
  <c r="AI268" i="2"/>
  <c r="AH268" i="2"/>
  <c r="AN267" i="2"/>
  <c r="AM267" i="2"/>
  <c r="AI267" i="2"/>
  <c r="AH267" i="2"/>
  <c r="AN266" i="2"/>
  <c r="AM266" i="2"/>
  <c r="AI266" i="2"/>
  <c r="AH266" i="2"/>
  <c r="AN265" i="2"/>
  <c r="AM265" i="2"/>
  <c r="AI265" i="2"/>
  <c r="AH265" i="2"/>
  <c r="AN264" i="2"/>
  <c r="AM264" i="2"/>
  <c r="AI264" i="2"/>
  <c r="AH264" i="2"/>
  <c r="AN263" i="2"/>
  <c r="AM263" i="2"/>
  <c r="AI263" i="2"/>
  <c r="AH263" i="2"/>
  <c r="AN262" i="2"/>
  <c r="AM262" i="2"/>
  <c r="AI262" i="2"/>
  <c r="AH262" i="2"/>
  <c r="AN261" i="2"/>
  <c r="AM261" i="2"/>
  <c r="AI261" i="2"/>
  <c r="AH261" i="2"/>
  <c r="AN260" i="2"/>
  <c r="AM260" i="2"/>
  <c r="AI260" i="2"/>
  <c r="AH260" i="2"/>
  <c r="AN259" i="2"/>
  <c r="AM259" i="2"/>
  <c r="AI259" i="2"/>
  <c r="AH259" i="2"/>
  <c r="AN258" i="2"/>
  <c r="AM258" i="2"/>
  <c r="AI258" i="2"/>
  <c r="AH258" i="2"/>
  <c r="AN257" i="2"/>
  <c r="AM257" i="2"/>
  <c r="AI257" i="2"/>
  <c r="AH257" i="2"/>
  <c r="AN256" i="2"/>
  <c r="AM256" i="2"/>
  <c r="AI256" i="2"/>
  <c r="AJ256" i="2" s="1"/>
  <c r="AH256" i="2"/>
  <c r="AN255" i="2"/>
  <c r="AM255" i="2"/>
  <c r="AI255" i="2"/>
  <c r="AH255" i="2"/>
  <c r="AN254" i="2"/>
  <c r="AM254" i="2"/>
  <c r="AI254" i="2"/>
  <c r="AH254" i="2"/>
  <c r="AN253" i="2"/>
  <c r="AM253" i="2"/>
  <c r="AI253" i="2"/>
  <c r="AH253" i="2"/>
  <c r="AN252" i="2"/>
  <c r="AM252" i="2"/>
  <c r="AI252" i="2"/>
  <c r="AH252" i="2"/>
  <c r="AN251" i="2"/>
  <c r="AM251" i="2"/>
  <c r="AI251" i="2"/>
  <c r="AH251" i="2"/>
  <c r="AN250" i="2"/>
  <c r="AM250" i="2"/>
  <c r="AI250" i="2"/>
  <c r="AH250" i="2"/>
  <c r="AN249" i="2"/>
  <c r="AM249" i="2"/>
  <c r="AI249" i="2"/>
  <c r="AH249" i="2"/>
  <c r="AN248" i="2"/>
  <c r="AM248" i="2"/>
  <c r="AI248" i="2"/>
  <c r="AH248" i="2"/>
  <c r="AN247" i="2"/>
  <c r="AM247" i="2"/>
  <c r="AI247" i="2"/>
  <c r="AH247" i="2"/>
  <c r="AN246" i="2"/>
  <c r="AM246" i="2"/>
  <c r="AI246" i="2"/>
  <c r="AH246" i="2"/>
  <c r="AN245" i="2"/>
  <c r="AM245" i="2"/>
  <c r="AI245" i="2"/>
  <c r="AH245" i="2"/>
  <c r="AN244" i="2"/>
  <c r="AM244" i="2"/>
  <c r="AI244" i="2"/>
  <c r="AH244" i="2"/>
  <c r="AN243" i="2"/>
  <c r="AM243" i="2"/>
  <c r="AI243" i="2"/>
  <c r="AH243" i="2"/>
  <c r="AN242" i="2"/>
  <c r="AM242" i="2"/>
  <c r="AI242" i="2"/>
  <c r="AH242" i="2"/>
  <c r="AN241" i="2"/>
  <c r="AM241" i="2"/>
  <c r="AI241" i="2"/>
  <c r="AH241" i="2"/>
  <c r="AN240" i="2"/>
  <c r="AM240" i="2"/>
  <c r="AI240" i="2"/>
  <c r="AH240" i="2"/>
  <c r="AN239" i="2"/>
  <c r="AM239" i="2"/>
  <c r="AI239" i="2"/>
  <c r="AH239" i="2"/>
  <c r="AN238" i="2"/>
  <c r="AM238" i="2"/>
  <c r="AI238" i="2"/>
  <c r="AH238" i="2"/>
  <c r="AN237" i="2"/>
  <c r="AM237" i="2"/>
  <c r="AI237" i="2"/>
  <c r="AH237" i="2"/>
  <c r="AN236" i="2"/>
  <c r="AM236" i="2"/>
  <c r="AI236" i="2"/>
  <c r="AH236" i="2"/>
  <c r="AN235" i="2"/>
  <c r="AM235" i="2"/>
  <c r="AI235" i="2"/>
  <c r="AH235" i="2"/>
  <c r="AN234" i="2"/>
  <c r="AM234" i="2"/>
  <c r="AI234" i="2"/>
  <c r="AH234" i="2"/>
  <c r="AN233" i="2"/>
  <c r="AM233" i="2"/>
  <c r="AI233" i="2"/>
  <c r="AH233" i="2"/>
  <c r="AN232" i="2"/>
  <c r="AM232" i="2"/>
  <c r="AI232" i="2"/>
  <c r="AH232" i="2"/>
  <c r="AN231" i="2"/>
  <c r="AM231" i="2"/>
  <c r="AI231" i="2"/>
  <c r="AH231" i="2"/>
  <c r="AN230" i="2"/>
  <c r="AM230" i="2"/>
  <c r="AI230" i="2"/>
  <c r="AH230" i="2"/>
  <c r="AN229" i="2"/>
  <c r="AM229" i="2"/>
  <c r="AI229" i="2"/>
  <c r="AH229" i="2"/>
  <c r="AN228" i="2"/>
  <c r="AM228" i="2"/>
  <c r="AI228" i="2"/>
  <c r="AH228" i="2"/>
  <c r="AN227" i="2"/>
  <c r="AM227" i="2"/>
  <c r="AI227" i="2"/>
  <c r="AH227" i="2"/>
  <c r="AN226" i="2"/>
  <c r="AM226" i="2"/>
  <c r="AI226" i="2"/>
  <c r="AH226" i="2"/>
  <c r="AN225" i="2"/>
  <c r="AM225" i="2"/>
  <c r="AI225" i="2"/>
  <c r="AH225" i="2"/>
  <c r="AN224" i="2"/>
  <c r="AM224" i="2"/>
  <c r="AI224" i="2"/>
  <c r="AH224" i="2"/>
  <c r="AN223" i="2"/>
  <c r="AM223" i="2"/>
  <c r="AI223" i="2"/>
  <c r="AH223" i="2"/>
  <c r="AN222" i="2"/>
  <c r="AM222" i="2"/>
  <c r="AI222" i="2"/>
  <c r="AH222" i="2"/>
  <c r="AN221" i="2"/>
  <c r="AM221" i="2"/>
  <c r="AI221" i="2"/>
  <c r="AH221" i="2"/>
  <c r="AN220" i="2"/>
  <c r="AM220" i="2"/>
  <c r="AI220" i="2"/>
  <c r="AH220" i="2"/>
  <c r="AN219" i="2"/>
  <c r="AM219" i="2"/>
  <c r="AI219" i="2"/>
  <c r="AH219" i="2"/>
  <c r="AN218" i="2"/>
  <c r="AM218" i="2"/>
  <c r="AI218" i="2"/>
  <c r="AH218" i="2"/>
  <c r="AN217" i="2"/>
  <c r="AM217" i="2"/>
  <c r="AI217" i="2"/>
  <c r="AH217" i="2"/>
  <c r="AN216" i="2"/>
  <c r="AM216" i="2"/>
  <c r="AI216" i="2"/>
  <c r="AH216" i="2"/>
  <c r="AN215" i="2"/>
  <c r="AM215" i="2"/>
  <c r="AI215" i="2"/>
  <c r="AH215" i="2"/>
  <c r="AN214" i="2"/>
  <c r="AM214" i="2"/>
  <c r="AI214" i="2"/>
  <c r="AH214" i="2"/>
  <c r="AN213" i="2"/>
  <c r="AM213" i="2"/>
  <c r="AI213" i="2"/>
  <c r="AH213" i="2"/>
  <c r="AN212" i="2"/>
  <c r="AM212" i="2"/>
  <c r="AI212" i="2"/>
  <c r="AH212" i="2"/>
  <c r="AN211" i="2"/>
  <c r="AM211" i="2"/>
  <c r="AI211" i="2"/>
  <c r="AH211" i="2"/>
  <c r="AN210" i="2"/>
  <c r="AM210" i="2"/>
  <c r="AI210" i="2"/>
  <c r="AH210" i="2"/>
  <c r="AN209" i="2"/>
  <c r="AM209" i="2"/>
  <c r="AI209" i="2"/>
  <c r="AH209" i="2"/>
  <c r="AN208" i="2"/>
  <c r="AM208" i="2"/>
  <c r="AI208" i="2"/>
  <c r="AH208" i="2"/>
  <c r="AN207" i="2"/>
  <c r="AM207" i="2"/>
  <c r="AI207" i="2"/>
  <c r="AH207" i="2"/>
  <c r="AN206" i="2"/>
  <c r="AM206" i="2"/>
  <c r="AI206" i="2"/>
  <c r="AH206" i="2"/>
  <c r="AN205" i="2"/>
  <c r="AM205" i="2"/>
  <c r="AI205" i="2"/>
  <c r="AH205" i="2"/>
  <c r="AN204" i="2"/>
  <c r="AM204" i="2"/>
  <c r="AI204" i="2"/>
  <c r="AH204" i="2"/>
  <c r="AN203" i="2"/>
  <c r="AM203" i="2"/>
  <c r="AI203" i="2"/>
  <c r="AH203" i="2"/>
  <c r="AN202" i="2"/>
  <c r="AM202" i="2"/>
  <c r="AI202" i="2"/>
  <c r="AH202" i="2"/>
  <c r="AN201" i="2"/>
  <c r="AM201" i="2"/>
  <c r="AI201" i="2"/>
  <c r="AH201" i="2"/>
  <c r="AN200" i="2"/>
  <c r="AM200" i="2"/>
  <c r="AI200" i="2"/>
  <c r="AH200" i="2"/>
  <c r="AN199" i="2"/>
  <c r="AM199" i="2"/>
  <c r="AI199" i="2"/>
  <c r="AH199" i="2"/>
  <c r="AN198" i="2"/>
  <c r="AM198" i="2"/>
  <c r="AI198" i="2"/>
  <c r="AH198" i="2"/>
  <c r="AN197" i="2"/>
  <c r="AM197" i="2"/>
  <c r="AI197" i="2"/>
  <c r="AH197" i="2"/>
  <c r="AN196" i="2"/>
  <c r="AM196" i="2"/>
  <c r="AI196" i="2"/>
  <c r="AH196" i="2"/>
  <c r="AN195" i="2"/>
  <c r="AM195" i="2"/>
  <c r="AI195" i="2"/>
  <c r="AH195" i="2"/>
  <c r="AN194" i="2"/>
  <c r="AM194" i="2"/>
  <c r="AI194" i="2"/>
  <c r="AH194" i="2"/>
  <c r="AN193" i="2"/>
  <c r="AM193" i="2"/>
  <c r="AI193" i="2"/>
  <c r="AH193" i="2"/>
  <c r="AN192" i="2"/>
  <c r="AM192" i="2"/>
  <c r="AI192" i="2"/>
  <c r="AH192" i="2"/>
  <c r="AN191" i="2"/>
  <c r="AM191" i="2"/>
  <c r="AI191" i="2"/>
  <c r="AH191" i="2"/>
  <c r="AN190" i="2"/>
  <c r="AM190" i="2"/>
  <c r="AI190" i="2"/>
  <c r="AH190" i="2"/>
  <c r="AN189" i="2"/>
  <c r="AM189" i="2"/>
  <c r="AI189" i="2"/>
  <c r="AH189" i="2"/>
  <c r="AN188" i="2"/>
  <c r="AM188" i="2"/>
  <c r="AI188" i="2"/>
  <c r="AH188" i="2"/>
  <c r="AN187" i="2"/>
  <c r="AM187" i="2"/>
  <c r="AI187" i="2"/>
  <c r="AH187" i="2"/>
  <c r="AN186" i="2"/>
  <c r="AM186" i="2"/>
  <c r="AI186" i="2"/>
  <c r="AH186" i="2"/>
  <c r="AN185" i="2"/>
  <c r="AM185" i="2"/>
  <c r="AI185" i="2"/>
  <c r="AH185" i="2"/>
  <c r="AN184" i="2"/>
  <c r="AM184" i="2"/>
  <c r="AI184" i="2"/>
  <c r="AH184" i="2"/>
  <c r="AN183" i="2"/>
  <c r="AM183" i="2"/>
  <c r="AI183" i="2"/>
  <c r="AH183" i="2"/>
  <c r="AN182" i="2"/>
  <c r="AM182" i="2"/>
  <c r="AI182" i="2"/>
  <c r="AH182" i="2"/>
  <c r="AN181" i="2"/>
  <c r="AM181" i="2"/>
  <c r="AI181" i="2"/>
  <c r="AH181" i="2"/>
  <c r="AN180" i="2"/>
  <c r="AM180" i="2"/>
  <c r="AI180" i="2"/>
  <c r="AH180" i="2"/>
  <c r="AN179" i="2"/>
  <c r="AM179" i="2"/>
  <c r="AI179" i="2"/>
  <c r="AH179" i="2"/>
  <c r="AN178" i="2"/>
  <c r="AM178" i="2"/>
  <c r="AI178" i="2"/>
  <c r="AH178" i="2"/>
  <c r="AN177" i="2"/>
  <c r="AM177" i="2"/>
  <c r="AI177" i="2"/>
  <c r="AH177" i="2"/>
  <c r="AN176" i="2"/>
  <c r="AM176" i="2"/>
  <c r="AI176" i="2"/>
  <c r="AH176" i="2"/>
  <c r="AN175" i="2"/>
  <c r="AM175" i="2"/>
  <c r="AI175" i="2"/>
  <c r="AH175" i="2"/>
  <c r="AN174" i="2"/>
  <c r="AM174" i="2"/>
  <c r="AI174" i="2"/>
  <c r="AH174" i="2"/>
  <c r="AN173" i="2"/>
  <c r="AM173" i="2"/>
  <c r="AI173" i="2"/>
  <c r="AH173" i="2"/>
  <c r="AN172" i="2"/>
  <c r="AM172" i="2"/>
  <c r="AI172" i="2"/>
  <c r="AH172" i="2"/>
  <c r="AN171" i="2"/>
  <c r="AM171" i="2"/>
  <c r="AI171" i="2"/>
  <c r="AH171" i="2"/>
  <c r="AN170" i="2"/>
  <c r="AM170" i="2"/>
  <c r="AI170" i="2"/>
  <c r="AH170" i="2"/>
  <c r="AN169" i="2"/>
  <c r="AM169" i="2"/>
  <c r="AI169" i="2"/>
  <c r="AH169" i="2"/>
  <c r="AN168" i="2"/>
  <c r="AM168" i="2"/>
  <c r="AI168" i="2"/>
  <c r="AH168" i="2"/>
  <c r="AN167" i="2"/>
  <c r="AM167" i="2"/>
  <c r="AI167" i="2"/>
  <c r="AH167" i="2"/>
  <c r="AN166" i="2"/>
  <c r="AM166" i="2"/>
  <c r="AI166" i="2"/>
  <c r="AH166" i="2"/>
  <c r="AN165" i="2"/>
  <c r="AM165" i="2"/>
  <c r="AI165" i="2"/>
  <c r="AH165" i="2"/>
  <c r="AN164" i="2"/>
  <c r="AM164" i="2"/>
  <c r="AI164" i="2"/>
  <c r="AH164" i="2"/>
  <c r="AN163" i="2"/>
  <c r="AM163" i="2"/>
  <c r="AI163" i="2"/>
  <c r="AH163" i="2"/>
  <c r="AN162" i="2"/>
  <c r="AM162" i="2"/>
  <c r="AI162" i="2"/>
  <c r="AH162" i="2"/>
  <c r="AN161" i="2"/>
  <c r="AM161" i="2"/>
  <c r="AI161" i="2"/>
  <c r="AH161" i="2"/>
  <c r="AN160" i="2"/>
  <c r="AM160" i="2"/>
  <c r="AI160" i="2"/>
  <c r="AH160" i="2"/>
  <c r="AN159" i="2"/>
  <c r="AM159" i="2"/>
  <c r="AI159" i="2"/>
  <c r="AH159" i="2"/>
  <c r="AN158" i="2"/>
  <c r="AM158" i="2"/>
  <c r="AI158" i="2"/>
  <c r="AH158" i="2"/>
  <c r="AN157" i="2"/>
  <c r="AM157" i="2"/>
  <c r="AI157" i="2"/>
  <c r="AH157" i="2"/>
  <c r="AN156" i="2"/>
  <c r="AM156" i="2"/>
  <c r="AI156" i="2"/>
  <c r="AH156" i="2"/>
  <c r="AN155" i="2"/>
  <c r="AM155" i="2"/>
  <c r="AI155" i="2"/>
  <c r="AH155" i="2"/>
  <c r="AN154" i="2"/>
  <c r="AM154" i="2"/>
  <c r="AI154" i="2"/>
  <c r="AH154" i="2"/>
  <c r="AN153" i="2"/>
  <c r="AM153" i="2"/>
  <c r="AI153" i="2"/>
  <c r="AH153" i="2"/>
  <c r="AN152" i="2"/>
  <c r="AM152" i="2"/>
  <c r="AI152" i="2"/>
  <c r="AH152" i="2"/>
  <c r="AN151" i="2"/>
  <c r="AM151" i="2"/>
  <c r="AI151" i="2"/>
  <c r="AH151" i="2"/>
  <c r="AN150" i="2"/>
  <c r="AM150" i="2"/>
  <c r="AI150" i="2"/>
  <c r="AH150" i="2"/>
  <c r="AN149" i="2"/>
  <c r="AM149" i="2"/>
  <c r="AI149" i="2"/>
  <c r="AH149" i="2"/>
  <c r="AN148" i="2"/>
  <c r="AM148" i="2"/>
  <c r="AI148" i="2"/>
  <c r="AH148" i="2"/>
  <c r="AN147" i="2"/>
  <c r="AM147" i="2"/>
  <c r="AI147" i="2"/>
  <c r="AH147" i="2"/>
  <c r="AN145" i="2"/>
  <c r="AM145" i="2"/>
  <c r="AI145" i="2"/>
  <c r="AH145" i="2"/>
  <c r="AN144" i="2"/>
  <c r="AM144" i="2"/>
  <c r="AI144" i="2"/>
  <c r="AH144" i="2"/>
  <c r="AN143" i="2"/>
  <c r="AM143" i="2"/>
  <c r="AI143" i="2"/>
  <c r="AH143" i="2"/>
  <c r="AN142" i="2"/>
  <c r="AM142" i="2"/>
  <c r="AI142" i="2"/>
  <c r="AH142" i="2"/>
  <c r="AN141" i="2"/>
  <c r="AM141" i="2"/>
  <c r="AI141" i="2"/>
  <c r="AH141" i="2"/>
  <c r="AN140" i="2"/>
  <c r="AM140" i="2"/>
  <c r="AI140" i="2"/>
  <c r="AH140" i="2"/>
  <c r="AN139" i="2"/>
  <c r="AM139" i="2"/>
  <c r="AI139" i="2"/>
  <c r="AH139" i="2"/>
  <c r="AN138" i="2"/>
  <c r="AM138" i="2"/>
  <c r="AI138" i="2"/>
  <c r="AH138" i="2"/>
  <c r="AN137" i="2"/>
  <c r="AM137" i="2"/>
  <c r="AI137" i="2"/>
  <c r="AH137" i="2"/>
  <c r="AN136" i="2"/>
  <c r="AM136" i="2"/>
  <c r="AI136" i="2"/>
  <c r="AH136" i="2"/>
  <c r="AN135" i="2"/>
  <c r="AM135" i="2"/>
  <c r="AI135" i="2"/>
  <c r="AH135" i="2"/>
  <c r="AN134" i="2"/>
  <c r="AM134" i="2"/>
  <c r="AI134" i="2"/>
  <c r="AH134" i="2"/>
  <c r="AN133" i="2"/>
  <c r="AM133" i="2"/>
  <c r="AI133" i="2"/>
  <c r="AH133" i="2"/>
  <c r="AN132" i="2"/>
  <c r="AM132" i="2"/>
  <c r="AI132" i="2"/>
  <c r="AH132" i="2"/>
  <c r="AN131" i="2"/>
  <c r="AM131" i="2"/>
  <c r="AI131" i="2"/>
  <c r="AH131" i="2"/>
  <c r="AN130" i="2"/>
  <c r="AM130" i="2"/>
  <c r="AI130" i="2"/>
  <c r="AH130" i="2"/>
  <c r="AN129" i="2"/>
  <c r="AM129" i="2"/>
  <c r="AI129" i="2"/>
  <c r="AH129" i="2"/>
  <c r="AN127" i="2"/>
  <c r="AM127" i="2"/>
  <c r="AI127" i="2"/>
  <c r="AH127" i="2"/>
  <c r="AN126" i="2"/>
  <c r="AM126" i="2"/>
  <c r="AI126" i="2"/>
  <c r="AH126" i="2"/>
  <c r="AN125" i="2"/>
  <c r="AM125" i="2"/>
  <c r="AI125" i="2"/>
  <c r="AH125" i="2"/>
  <c r="AN124" i="2"/>
  <c r="AM124" i="2"/>
  <c r="AI124" i="2"/>
  <c r="AH124" i="2"/>
  <c r="AN123" i="2"/>
  <c r="AM123" i="2"/>
  <c r="AI123" i="2"/>
  <c r="AH123" i="2"/>
  <c r="AN122" i="2"/>
  <c r="AM122" i="2"/>
  <c r="AI122" i="2"/>
  <c r="AH122" i="2"/>
  <c r="AN121" i="2"/>
  <c r="AM121" i="2"/>
  <c r="AI121" i="2"/>
  <c r="AH121" i="2"/>
  <c r="AN120" i="2"/>
  <c r="AM120" i="2"/>
  <c r="AI120" i="2"/>
  <c r="AH120" i="2"/>
  <c r="AN119" i="2"/>
  <c r="AM119" i="2"/>
  <c r="AI119" i="2"/>
  <c r="AH119" i="2"/>
  <c r="AN118" i="2"/>
  <c r="AM118" i="2"/>
  <c r="AI118" i="2"/>
  <c r="AH118" i="2"/>
  <c r="AN117" i="2"/>
  <c r="AM117" i="2"/>
  <c r="AI117" i="2"/>
  <c r="AH117" i="2"/>
  <c r="AN116" i="2"/>
  <c r="AM116" i="2"/>
  <c r="AI116" i="2"/>
  <c r="AH116" i="2"/>
  <c r="AN115" i="2"/>
  <c r="AM115" i="2"/>
  <c r="AI115" i="2"/>
  <c r="AH115" i="2"/>
  <c r="AN114" i="2"/>
  <c r="AM114" i="2"/>
  <c r="AI114" i="2"/>
  <c r="AH114" i="2"/>
  <c r="AN113" i="2"/>
  <c r="AM113" i="2"/>
  <c r="AI113" i="2"/>
  <c r="AH113" i="2"/>
  <c r="AN112" i="2"/>
  <c r="AM112" i="2"/>
  <c r="AI112" i="2"/>
  <c r="AH112" i="2"/>
  <c r="AN111" i="2"/>
  <c r="AM111" i="2"/>
  <c r="AI111" i="2"/>
  <c r="AH111" i="2"/>
  <c r="AN110" i="2"/>
  <c r="AM110" i="2"/>
  <c r="AI110" i="2"/>
  <c r="AH110" i="2"/>
  <c r="AN109" i="2"/>
  <c r="AM109" i="2"/>
  <c r="AI109" i="2"/>
  <c r="AH109" i="2"/>
  <c r="AN108" i="2"/>
  <c r="AM108" i="2"/>
  <c r="AI108" i="2"/>
  <c r="AH108" i="2"/>
  <c r="AN107" i="2"/>
  <c r="AM107" i="2"/>
  <c r="AI107" i="2"/>
  <c r="AH107" i="2"/>
  <c r="AN106" i="2"/>
  <c r="AM106" i="2"/>
  <c r="AI106" i="2"/>
  <c r="AH106" i="2"/>
  <c r="AN105" i="2"/>
  <c r="AM105" i="2"/>
  <c r="AI105" i="2"/>
  <c r="AH105" i="2"/>
  <c r="AN104" i="2"/>
  <c r="AM104" i="2"/>
  <c r="AI104" i="2"/>
  <c r="AH104" i="2"/>
  <c r="AN103" i="2"/>
  <c r="AM103" i="2"/>
  <c r="AI103" i="2"/>
  <c r="AH103" i="2"/>
  <c r="AN102" i="2"/>
  <c r="AM102" i="2"/>
  <c r="AI102" i="2"/>
  <c r="AH102" i="2"/>
  <c r="AN100" i="2"/>
  <c r="AM100" i="2"/>
  <c r="AI100" i="2"/>
  <c r="AH100" i="2"/>
  <c r="AN99" i="2"/>
  <c r="AM99" i="2"/>
  <c r="AI99" i="2"/>
  <c r="AH99" i="2"/>
  <c r="AN98" i="2"/>
  <c r="AM98" i="2"/>
  <c r="AI98" i="2"/>
  <c r="AH98" i="2"/>
  <c r="AN97" i="2"/>
  <c r="AM97" i="2"/>
  <c r="AI97" i="2"/>
  <c r="AH97" i="2"/>
  <c r="AN96" i="2"/>
  <c r="AM96" i="2"/>
  <c r="AI96" i="2"/>
  <c r="AH96" i="2"/>
  <c r="AN95" i="2"/>
  <c r="AM95" i="2"/>
  <c r="AI95" i="2"/>
  <c r="AH95" i="2"/>
  <c r="AN94" i="2"/>
  <c r="AM94" i="2"/>
  <c r="AI94" i="2"/>
  <c r="AH94" i="2"/>
  <c r="AN93" i="2"/>
  <c r="AM93" i="2"/>
  <c r="AI93" i="2"/>
  <c r="AH93" i="2"/>
  <c r="AN91" i="2"/>
  <c r="AM91" i="2"/>
  <c r="AI91" i="2"/>
  <c r="AH91" i="2"/>
  <c r="AN90" i="2"/>
  <c r="AM90" i="2"/>
  <c r="AI90" i="2"/>
  <c r="AH90" i="2"/>
  <c r="AN89" i="2"/>
  <c r="AM89" i="2"/>
  <c r="AI89" i="2"/>
  <c r="AH89" i="2"/>
  <c r="AN88" i="2"/>
  <c r="AM88" i="2"/>
  <c r="AI88" i="2"/>
  <c r="AH88" i="2"/>
  <c r="AN87" i="2"/>
  <c r="AM87" i="2"/>
  <c r="AI87" i="2"/>
  <c r="AH87" i="2"/>
  <c r="AN86" i="2"/>
  <c r="AM86" i="2"/>
  <c r="AI86" i="2"/>
  <c r="AH86" i="2"/>
  <c r="AN85" i="2"/>
  <c r="AM85" i="2"/>
  <c r="AI85" i="2"/>
  <c r="AH85" i="2"/>
  <c r="AN84" i="2"/>
  <c r="AM84" i="2"/>
  <c r="AI84" i="2"/>
  <c r="AH84" i="2"/>
  <c r="AN83" i="2"/>
  <c r="AM83" i="2"/>
  <c r="AI83" i="2"/>
  <c r="AH83" i="2"/>
  <c r="AN82" i="2"/>
  <c r="AM82" i="2"/>
  <c r="AI82" i="2"/>
  <c r="AH82" i="2"/>
  <c r="AN81" i="2"/>
  <c r="AM81" i="2"/>
  <c r="AI81" i="2"/>
  <c r="AH81" i="2"/>
  <c r="AN80" i="2"/>
  <c r="AM80" i="2"/>
  <c r="AI80" i="2"/>
  <c r="AH80" i="2"/>
  <c r="AN79" i="2"/>
  <c r="AM79" i="2"/>
  <c r="AI79" i="2"/>
  <c r="AH79" i="2"/>
  <c r="AN78" i="2"/>
  <c r="AM78" i="2"/>
  <c r="AI78" i="2"/>
  <c r="AH78" i="2"/>
  <c r="AN77" i="2"/>
  <c r="AM77" i="2"/>
  <c r="AI77" i="2"/>
  <c r="AH77" i="2"/>
  <c r="AN76" i="2"/>
  <c r="AM76" i="2"/>
  <c r="AI76" i="2"/>
  <c r="AH76" i="2"/>
  <c r="AN75" i="2"/>
  <c r="AM75" i="2"/>
  <c r="AI75" i="2"/>
  <c r="AH75" i="2"/>
  <c r="AN74" i="2"/>
  <c r="AM74" i="2"/>
  <c r="AI74" i="2"/>
  <c r="AH74" i="2"/>
  <c r="AN73" i="2"/>
  <c r="AM73" i="2"/>
  <c r="AI73" i="2"/>
  <c r="AH73" i="2"/>
  <c r="AN71" i="2"/>
  <c r="AM71" i="2"/>
  <c r="AI71" i="2"/>
  <c r="AH71" i="2"/>
  <c r="AN70" i="2"/>
  <c r="AM70" i="2"/>
  <c r="AI70" i="2"/>
  <c r="AH70" i="2"/>
  <c r="AN69" i="2"/>
  <c r="AM69" i="2"/>
  <c r="AI69" i="2"/>
  <c r="AH69" i="2"/>
  <c r="AN68" i="2"/>
  <c r="AM68" i="2"/>
  <c r="AI68" i="2"/>
  <c r="AH68" i="2"/>
  <c r="AN67" i="2"/>
  <c r="AM67" i="2"/>
  <c r="AI67" i="2"/>
  <c r="AH67" i="2"/>
  <c r="AN66" i="2"/>
  <c r="AM66" i="2"/>
  <c r="AI66" i="2"/>
  <c r="AH66" i="2"/>
  <c r="AN65" i="2"/>
  <c r="AM65" i="2"/>
  <c r="AI65" i="2"/>
  <c r="AH65" i="2"/>
  <c r="AN64" i="2"/>
  <c r="AM64" i="2"/>
  <c r="AI64" i="2"/>
  <c r="AH64" i="2"/>
  <c r="AN63" i="2"/>
  <c r="AM63" i="2"/>
  <c r="AI63" i="2"/>
  <c r="AH63" i="2"/>
  <c r="AN62" i="2"/>
  <c r="AM62" i="2"/>
  <c r="AI62" i="2"/>
  <c r="AH62" i="2"/>
  <c r="AN61" i="2"/>
  <c r="AM61" i="2"/>
  <c r="AI61" i="2"/>
  <c r="AH61" i="2"/>
  <c r="AN60" i="2"/>
  <c r="AM60" i="2"/>
  <c r="AI60" i="2"/>
  <c r="AH60" i="2"/>
  <c r="AN59" i="2"/>
  <c r="AM59" i="2"/>
  <c r="AI59" i="2"/>
  <c r="AH59" i="2"/>
  <c r="AN58" i="2"/>
  <c r="AM58" i="2"/>
  <c r="AI58" i="2"/>
  <c r="AH58" i="2"/>
  <c r="AN57" i="2"/>
  <c r="AM57" i="2"/>
  <c r="AI57" i="2"/>
  <c r="AH57" i="2"/>
  <c r="AN56" i="2"/>
  <c r="AM56" i="2"/>
  <c r="AI56" i="2"/>
  <c r="AH56" i="2"/>
  <c r="AN55" i="2"/>
  <c r="AM55" i="2"/>
  <c r="AI55" i="2"/>
  <c r="AH55" i="2"/>
  <c r="AN54" i="2"/>
  <c r="AM54" i="2"/>
  <c r="AI54" i="2"/>
  <c r="AH54" i="2"/>
  <c r="AN53" i="2"/>
  <c r="AM53" i="2"/>
  <c r="AI53" i="2"/>
  <c r="AH53" i="2"/>
  <c r="AN52" i="2"/>
  <c r="AM52" i="2"/>
  <c r="AI52" i="2"/>
  <c r="AH52" i="2"/>
  <c r="AN51" i="2"/>
  <c r="AM51" i="2"/>
  <c r="AI51" i="2"/>
  <c r="AH51" i="2"/>
  <c r="AN50" i="2"/>
  <c r="AM50" i="2"/>
  <c r="AI50" i="2"/>
  <c r="AH50" i="2"/>
  <c r="AN49" i="2"/>
  <c r="AM49" i="2"/>
  <c r="AI49" i="2"/>
  <c r="AH49" i="2"/>
  <c r="AN48" i="2"/>
  <c r="AM48" i="2"/>
  <c r="AI48" i="2"/>
  <c r="AH48" i="2"/>
  <c r="AN47" i="2"/>
  <c r="AM47" i="2"/>
  <c r="AI47" i="2"/>
  <c r="AH47" i="2"/>
  <c r="AN46" i="2"/>
  <c r="AM46" i="2"/>
  <c r="AI46" i="2"/>
  <c r="AH46" i="2"/>
  <c r="AN45" i="2"/>
  <c r="AM45" i="2"/>
  <c r="AI45" i="2"/>
  <c r="AH45" i="2"/>
  <c r="AN44" i="2"/>
  <c r="AM44" i="2"/>
  <c r="AI44" i="2"/>
  <c r="AH44" i="2"/>
  <c r="AN43" i="2"/>
  <c r="AM43" i="2"/>
  <c r="AI43" i="2"/>
  <c r="AH43" i="2"/>
  <c r="AN42" i="2"/>
  <c r="AM42" i="2"/>
  <c r="AI42" i="2"/>
  <c r="AH42" i="2"/>
  <c r="AN41" i="2"/>
  <c r="AM41" i="2"/>
  <c r="AI41" i="2"/>
  <c r="AH41" i="2"/>
  <c r="AN40" i="2"/>
  <c r="AM40" i="2"/>
  <c r="AI40" i="2"/>
  <c r="AH40" i="2"/>
  <c r="AN39" i="2"/>
  <c r="AM39" i="2"/>
  <c r="AI39" i="2"/>
  <c r="AH39" i="2"/>
  <c r="AN38" i="2"/>
  <c r="AM38" i="2"/>
  <c r="AI38" i="2"/>
  <c r="AH38" i="2"/>
  <c r="AN37" i="2"/>
  <c r="AM37" i="2"/>
  <c r="AI37" i="2"/>
  <c r="AH37" i="2"/>
  <c r="AN36" i="2"/>
  <c r="AM36" i="2"/>
  <c r="AI36" i="2"/>
  <c r="AH36" i="2"/>
  <c r="AN35" i="2"/>
  <c r="AM35" i="2"/>
  <c r="AI35" i="2"/>
  <c r="AH35" i="2"/>
  <c r="AN34" i="2"/>
  <c r="AM34" i="2"/>
  <c r="AI34" i="2"/>
  <c r="AH34" i="2"/>
  <c r="AN33" i="2"/>
  <c r="AM33" i="2"/>
  <c r="AI33" i="2"/>
  <c r="AH33" i="2"/>
  <c r="AN32" i="2"/>
  <c r="AM32" i="2"/>
  <c r="AI32" i="2"/>
  <c r="AH32" i="2"/>
  <c r="AN31" i="2"/>
  <c r="AM31" i="2"/>
  <c r="AI31" i="2"/>
  <c r="AH31" i="2"/>
  <c r="AN30" i="2"/>
  <c r="AM30" i="2"/>
  <c r="AI30" i="2"/>
  <c r="AH30" i="2"/>
  <c r="AN29" i="2"/>
  <c r="AM29" i="2"/>
  <c r="AI29" i="2"/>
  <c r="AH29" i="2"/>
  <c r="AN28" i="2"/>
  <c r="AM28" i="2"/>
  <c r="AI28" i="2"/>
  <c r="AH28" i="2"/>
  <c r="AN27" i="2"/>
  <c r="AM27" i="2"/>
  <c r="AI27" i="2"/>
  <c r="AH27" i="2"/>
  <c r="AN26" i="2"/>
  <c r="AM26" i="2"/>
  <c r="AI26" i="2"/>
  <c r="AH26" i="2"/>
  <c r="AN25" i="2"/>
  <c r="AM25" i="2"/>
  <c r="AI25" i="2"/>
  <c r="AH25" i="2"/>
  <c r="AN24" i="2"/>
  <c r="AM24" i="2"/>
  <c r="AI24" i="2"/>
  <c r="AH24" i="2"/>
  <c r="AN23" i="2"/>
  <c r="AM23" i="2"/>
  <c r="AI23" i="2"/>
  <c r="AH23" i="2"/>
  <c r="AN22" i="2"/>
  <c r="AM22" i="2"/>
  <c r="AI22" i="2"/>
  <c r="AH22" i="2"/>
  <c r="AN21" i="2"/>
  <c r="AM21" i="2"/>
  <c r="AI21" i="2"/>
  <c r="AH21" i="2"/>
  <c r="AN20" i="2"/>
  <c r="AM20" i="2"/>
  <c r="AI20" i="2"/>
  <c r="AH20" i="2"/>
  <c r="AN19" i="2"/>
  <c r="AM19" i="2"/>
  <c r="AI19" i="2"/>
  <c r="AH19" i="2"/>
  <c r="AN18" i="2"/>
  <c r="AM18" i="2"/>
  <c r="AI18" i="2"/>
  <c r="AH18" i="2"/>
  <c r="AN17" i="2"/>
  <c r="AM17" i="2"/>
  <c r="AI17" i="2"/>
  <c r="AH17" i="2"/>
  <c r="AN15" i="2"/>
  <c r="AM15" i="2"/>
  <c r="AI15" i="2"/>
  <c r="AH15" i="2"/>
  <c r="AN14" i="2"/>
  <c r="AM14" i="2"/>
  <c r="AI14" i="2"/>
  <c r="AH14" i="2"/>
  <c r="AN12" i="2"/>
  <c r="AM12" i="2"/>
  <c r="AI12" i="2"/>
  <c r="AH12" i="2"/>
  <c r="AV104" i="2"/>
  <c r="AU104" i="2"/>
  <c r="AV103" i="2"/>
  <c r="AU103" i="2"/>
  <c r="AV102" i="2"/>
  <c r="AU102" i="2"/>
  <c r="AV100" i="2"/>
  <c r="AU100" i="2"/>
  <c r="AV99" i="2"/>
  <c r="AU99" i="2"/>
  <c r="AV98" i="2"/>
  <c r="AU98" i="2"/>
  <c r="AV97" i="2"/>
  <c r="AU97" i="2"/>
  <c r="AV96" i="2"/>
  <c r="AU96" i="2"/>
  <c r="AV95" i="2"/>
  <c r="AU95" i="2"/>
  <c r="AV94" i="2"/>
  <c r="AU94" i="2"/>
  <c r="AV93" i="2"/>
  <c r="AU93" i="2"/>
  <c r="AV91" i="2"/>
  <c r="AU91" i="2"/>
  <c r="AV90" i="2"/>
  <c r="AU90" i="2"/>
  <c r="AV89" i="2"/>
  <c r="AU89" i="2"/>
  <c r="AV88" i="2"/>
  <c r="AU88" i="2"/>
  <c r="AV87" i="2"/>
  <c r="AU87" i="2"/>
  <c r="AV86" i="2"/>
  <c r="AU86" i="2"/>
  <c r="AV85" i="2"/>
  <c r="AU85" i="2"/>
  <c r="AV84" i="2"/>
  <c r="AU84" i="2"/>
  <c r="AV83" i="2"/>
  <c r="AU83" i="2"/>
  <c r="AV82" i="2"/>
  <c r="AU82" i="2"/>
  <c r="AV81" i="2"/>
  <c r="AU81" i="2"/>
  <c r="AV80" i="2"/>
  <c r="AU80" i="2"/>
  <c r="AV79" i="2"/>
  <c r="AU79" i="2"/>
  <c r="AV78" i="2"/>
  <c r="AU78" i="2"/>
  <c r="AV77" i="2"/>
  <c r="AU77" i="2"/>
  <c r="AV76" i="2"/>
  <c r="AU76" i="2"/>
  <c r="AV75" i="2"/>
  <c r="AU75" i="2"/>
  <c r="AV74" i="2"/>
  <c r="AU74" i="2"/>
  <c r="AV73" i="2"/>
  <c r="AU73" i="2"/>
  <c r="AV71" i="2"/>
  <c r="AU71" i="2"/>
  <c r="AV70" i="2"/>
  <c r="AU70" i="2"/>
  <c r="AV69" i="2"/>
  <c r="AU69" i="2"/>
  <c r="AV68" i="2"/>
  <c r="AU68" i="2"/>
  <c r="AV67" i="2"/>
  <c r="AU67" i="2"/>
  <c r="AV66" i="2"/>
  <c r="AU66" i="2"/>
  <c r="AV65" i="2"/>
  <c r="AU65" i="2"/>
  <c r="AV64" i="2"/>
  <c r="AU64" i="2"/>
  <c r="AV63" i="2"/>
  <c r="AU63" i="2"/>
  <c r="AV62" i="2"/>
  <c r="AU62" i="2"/>
  <c r="AV61" i="2"/>
  <c r="AU61" i="2"/>
  <c r="AV60" i="2"/>
  <c r="AU60" i="2"/>
  <c r="AV59" i="2"/>
  <c r="AU59" i="2"/>
  <c r="AV58" i="2"/>
  <c r="AU58" i="2"/>
  <c r="AV57" i="2"/>
  <c r="AU57" i="2"/>
  <c r="AV56" i="2"/>
  <c r="AU56" i="2"/>
  <c r="AV55" i="2"/>
  <c r="AU55" i="2"/>
  <c r="AV54" i="2"/>
  <c r="AU54" i="2"/>
  <c r="AV53" i="2"/>
  <c r="AU53" i="2"/>
  <c r="AV52" i="2"/>
  <c r="AU52" i="2"/>
  <c r="AV51" i="2"/>
  <c r="AU51" i="2"/>
  <c r="AV50" i="2"/>
  <c r="AU50" i="2"/>
  <c r="AV49" i="2"/>
  <c r="AU49" i="2"/>
  <c r="AV48" i="2"/>
  <c r="AU48" i="2"/>
  <c r="AV47" i="2"/>
  <c r="AU47" i="2"/>
  <c r="AV46" i="2"/>
  <c r="AU46" i="2"/>
  <c r="AV45" i="2"/>
  <c r="AU45" i="2"/>
  <c r="AV44" i="2"/>
  <c r="AU44" i="2"/>
  <c r="AV43" i="2"/>
  <c r="AU43" i="2"/>
  <c r="AV42" i="2"/>
  <c r="AU42" i="2"/>
  <c r="AV41" i="2"/>
  <c r="AU41" i="2"/>
  <c r="AV40" i="2"/>
  <c r="AU40" i="2"/>
  <c r="AV39" i="2"/>
  <c r="AU39" i="2"/>
  <c r="AV38" i="2"/>
  <c r="AU38" i="2"/>
  <c r="AV37" i="2"/>
  <c r="AU37" i="2"/>
  <c r="AV36" i="2"/>
  <c r="AU36" i="2"/>
  <c r="AV35" i="2"/>
  <c r="AU35" i="2"/>
  <c r="AV34" i="2"/>
  <c r="AU34" i="2"/>
  <c r="AV33" i="2"/>
  <c r="AU33" i="2"/>
  <c r="AV32" i="2"/>
  <c r="AU32" i="2"/>
  <c r="AV31" i="2"/>
  <c r="AU31" i="2"/>
  <c r="AV30" i="2"/>
  <c r="AU30" i="2"/>
  <c r="AV29" i="2"/>
  <c r="AU29" i="2"/>
  <c r="AV28" i="2"/>
  <c r="AU28" i="2"/>
  <c r="AV27" i="2"/>
  <c r="AU27" i="2"/>
  <c r="AV26" i="2"/>
  <c r="AU26" i="2"/>
  <c r="AV25" i="2"/>
  <c r="AU25" i="2"/>
  <c r="AV24" i="2"/>
  <c r="AU24" i="2"/>
  <c r="AV23" i="2"/>
  <c r="AU23" i="2"/>
  <c r="AV22" i="2"/>
  <c r="AU22" i="2"/>
  <c r="AV21" i="2"/>
  <c r="AU21" i="2"/>
  <c r="AV20" i="2"/>
  <c r="AU20" i="2"/>
  <c r="AV19" i="2"/>
  <c r="AU19" i="2"/>
  <c r="AV18" i="2"/>
  <c r="AU18" i="2"/>
  <c r="AV17" i="2"/>
  <c r="AU17" i="2"/>
  <c r="AV15" i="2"/>
  <c r="AU15" i="2"/>
  <c r="AV14" i="2"/>
  <c r="AU14" i="2"/>
  <c r="AV12" i="2"/>
  <c r="AU12" i="2"/>
  <c r="AJ539" i="2" l="1"/>
  <c r="AJ556" i="2"/>
  <c r="AJ554" i="2"/>
  <c r="AJ541" i="2"/>
  <c r="AJ551" i="2"/>
  <c r="AJ550" i="2"/>
  <c r="AJ549" i="2"/>
  <c r="AJ546" i="2"/>
  <c r="AJ547" i="2"/>
  <c r="AJ548" i="2"/>
  <c r="AJ545" i="2"/>
  <c r="AJ555" i="2"/>
  <c r="AJ562" i="2"/>
  <c r="AJ522" i="2"/>
  <c r="AJ521" i="2"/>
  <c r="AJ531" i="2"/>
  <c r="AJ532" i="2"/>
  <c r="AJ526" i="2"/>
  <c r="AJ525" i="2"/>
  <c r="AJ524" i="2"/>
  <c r="AJ523" i="2"/>
  <c r="AJ530" i="2"/>
  <c r="AJ529" i="2"/>
  <c r="AJ528" i="2"/>
  <c r="AJ527" i="2"/>
  <c r="AJ461" i="2"/>
  <c r="AJ516" i="2"/>
  <c r="AJ511" i="2"/>
  <c r="AJ510" i="2"/>
  <c r="AJ509" i="2"/>
  <c r="AJ508" i="2"/>
  <c r="AJ507" i="2"/>
  <c r="AJ506" i="2"/>
  <c r="AJ505" i="2"/>
  <c r="AJ504" i="2"/>
  <c r="AJ503" i="2"/>
  <c r="AJ502" i="2"/>
  <c r="AJ519" i="2"/>
  <c r="AJ518" i="2"/>
  <c r="AJ517" i="2"/>
  <c r="AJ497" i="2"/>
  <c r="AJ473" i="2"/>
  <c r="AJ472" i="2"/>
  <c r="AJ456" i="2"/>
  <c r="AJ457" i="2"/>
  <c r="AJ455" i="2"/>
  <c r="AJ454" i="2"/>
  <c r="AJ482" i="2"/>
  <c r="AJ481" i="2"/>
  <c r="AJ480" i="2"/>
  <c r="AJ479" i="2"/>
  <c r="AJ477" i="2"/>
  <c r="AJ478" i="2"/>
  <c r="AJ476" i="2"/>
  <c r="AJ475" i="2"/>
  <c r="AJ488" i="2"/>
  <c r="AJ487" i="2"/>
  <c r="AJ486" i="2"/>
  <c r="AJ485" i="2"/>
  <c r="AJ484" i="2"/>
  <c r="AJ483" i="2"/>
  <c r="AJ495" i="2"/>
  <c r="AJ494" i="2"/>
  <c r="AJ500" i="2"/>
  <c r="AJ499" i="2"/>
  <c r="AJ501" i="2"/>
  <c r="AJ496" i="2"/>
  <c r="AJ520" i="2"/>
  <c r="AJ492" i="2"/>
  <c r="AJ491" i="2"/>
  <c r="AJ490" i="2"/>
  <c r="AJ471" i="2"/>
  <c r="AJ470" i="2"/>
  <c r="AJ469" i="2"/>
  <c r="AJ468" i="2"/>
  <c r="AJ467" i="2"/>
  <c r="AJ409" i="2"/>
  <c r="AJ408" i="2"/>
  <c r="AJ407" i="2"/>
  <c r="AJ405" i="2"/>
  <c r="AJ406" i="2"/>
  <c r="AJ380" i="2"/>
  <c r="AJ381" i="2"/>
  <c r="AJ382" i="2"/>
  <c r="AJ385" i="2"/>
  <c r="AJ451" i="2"/>
  <c r="AJ450" i="2"/>
  <c r="AJ437" i="2"/>
  <c r="AJ436" i="2"/>
  <c r="AJ435" i="2"/>
  <c r="AJ434" i="2"/>
  <c r="AJ433" i="2"/>
  <c r="AJ413" i="2"/>
  <c r="AJ412" i="2"/>
  <c r="AJ411" i="2"/>
  <c r="AJ410" i="2"/>
  <c r="AJ399" i="2"/>
  <c r="AJ398" i="2"/>
  <c r="AJ392" i="2"/>
  <c r="AJ447" i="2"/>
  <c r="AJ446" i="2"/>
  <c r="AJ445" i="2"/>
  <c r="AJ444" i="2"/>
  <c r="AJ458" i="2"/>
  <c r="AJ466" i="2"/>
  <c r="AJ465" i="2"/>
  <c r="AJ462" i="2"/>
  <c r="AJ463" i="2"/>
  <c r="AJ464" i="2"/>
  <c r="AJ440" i="2"/>
  <c r="AJ428" i="2"/>
  <c r="AJ427" i="2"/>
  <c r="AJ426" i="2"/>
  <c r="AJ425" i="2"/>
  <c r="AJ443" i="2"/>
  <c r="AJ404" i="2"/>
  <c r="AJ403" i="2"/>
  <c r="AJ421" i="2"/>
  <c r="AJ419" i="2"/>
  <c r="AJ418" i="2"/>
  <c r="AJ417" i="2"/>
  <c r="AJ390" i="2"/>
  <c r="AJ389" i="2"/>
  <c r="AJ430" i="2"/>
  <c r="AJ420" i="2"/>
  <c r="AJ431" i="2"/>
  <c r="AJ442" i="2"/>
  <c r="AJ439" i="2"/>
  <c r="AJ438" i="2"/>
  <c r="AJ449" i="2"/>
  <c r="AJ441" i="2"/>
  <c r="AJ453" i="2"/>
  <c r="AJ388" i="2"/>
  <c r="AJ387" i="2"/>
  <c r="AJ378" i="2"/>
  <c r="AJ377" i="2"/>
  <c r="AJ374" i="2"/>
  <c r="AJ375" i="2"/>
  <c r="AJ376" i="2"/>
  <c r="AJ429" i="2"/>
  <c r="AJ383" i="2"/>
  <c r="AJ386" i="2"/>
  <c r="AJ384" i="2"/>
  <c r="AJ416" i="2"/>
  <c r="AJ415" i="2"/>
  <c r="AJ414" i="2"/>
  <c r="AJ400" i="2"/>
  <c r="AJ396" i="2"/>
  <c r="AJ394" i="2"/>
  <c r="AJ395" i="2"/>
  <c r="AJ393" i="2"/>
  <c r="AJ371" i="2"/>
  <c r="AJ423" i="2"/>
  <c r="AJ422" i="2"/>
  <c r="AJ402" i="2"/>
  <c r="AJ401" i="2"/>
  <c r="AJ424" i="2"/>
  <c r="AJ308" i="2"/>
  <c r="AJ354" i="2"/>
  <c r="AJ349" i="2"/>
  <c r="AJ348" i="2"/>
  <c r="AJ347" i="2"/>
  <c r="AJ353" i="2"/>
  <c r="AJ352" i="2"/>
  <c r="AJ351" i="2"/>
  <c r="AJ363" i="2"/>
  <c r="AJ361" i="2"/>
  <c r="AJ362" i="2"/>
  <c r="AJ360" i="2"/>
  <c r="AJ359" i="2"/>
  <c r="AJ358" i="2"/>
  <c r="AJ357" i="2"/>
  <c r="AJ356" i="2"/>
  <c r="AJ355" i="2"/>
  <c r="AJ370" i="2"/>
  <c r="AJ369" i="2"/>
  <c r="AJ368" i="2"/>
  <c r="AJ367" i="2"/>
  <c r="AJ366" i="2"/>
  <c r="AJ365" i="2"/>
  <c r="AJ364" i="2"/>
  <c r="AJ379" i="2"/>
  <c r="AJ391" i="2"/>
  <c r="AJ372" i="2"/>
  <c r="AJ373" i="2"/>
  <c r="AJ350" i="2"/>
  <c r="AJ345" i="2"/>
  <c r="AJ344" i="2"/>
  <c r="AJ343" i="2"/>
  <c r="AJ250" i="2"/>
  <c r="AJ249" i="2"/>
  <c r="AJ248" i="2"/>
  <c r="AJ247" i="2"/>
  <c r="AJ329" i="2"/>
  <c r="AJ317" i="2"/>
  <c r="AJ315" i="2"/>
  <c r="AJ318" i="2"/>
  <c r="AJ316" i="2"/>
  <c r="AJ314" i="2"/>
  <c r="AJ313" i="2"/>
  <c r="AJ304" i="2"/>
  <c r="AJ303" i="2"/>
  <c r="AJ302" i="2"/>
  <c r="AJ331" i="2"/>
  <c r="AJ330" i="2"/>
  <c r="AJ335" i="2"/>
  <c r="AJ334" i="2"/>
  <c r="AJ333" i="2"/>
  <c r="AJ332" i="2"/>
  <c r="AJ301" i="2"/>
  <c r="AJ328" i="2"/>
  <c r="AJ327" i="2"/>
  <c r="AJ326" i="2"/>
  <c r="AJ325" i="2"/>
  <c r="AJ337" i="2"/>
  <c r="AJ342" i="2"/>
  <c r="AJ340" i="2"/>
  <c r="AJ339" i="2"/>
  <c r="AJ338" i="2"/>
  <c r="AJ323" i="2"/>
  <c r="AJ321" i="2"/>
  <c r="AJ324" i="2"/>
  <c r="AJ322" i="2"/>
  <c r="AJ320" i="2"/>
  <c r="AJ319" i="2"/>
  <c r="AJ283" i="2"/>
  <c r="AJ282" i="2"/>
  <c r="AJ281" i="2"/>
  <c r="AJ287" i="2"/>
  <c r="AJ286" i="2"/>
  <c r="AJ284" i="2"/>
  <c r="AJ300" i="2"/>
  <c r="AJ299" i="2"/>
  <c r="AJ296" i="2"/>
  <c r="AJ298" i="2"/>
  <c r="AJ297" i="2"/>
  <c r="AJ293" i="2"/>
  <c r="AJ294" i="2"/>
  <c r="AJ292" i="2"/>
  <c r="AJ291" i="2"/>
  <c r="AJ290" i="2"/>
  <c r="AJ289" i="2"/>
  <c r="AJ295" i="2"/>
  <c r="AJ307" i="2"/>
  <c r="AJ306" i="2"/>
  <c r="AJ305" i="2"/>
  <c r="AJ312" i="2"/>
  <c r="AJ311" i="2"/>
  <c r="AJ310" i="2"/>
  <c r="AJ309" i="2"/>
  <c r="AJ277" i="2"/>
  <c r="AJ276" i="2"/>
  <c r="AJ280" i="2"/>
  <c r="AJ279" i="2"/>
  <c r="AJ278" i="2"/>
  <c r="AJ288" i="2"/>
  <c r="AJ240" i="2"/>
  <c r="AJ245" i="2"/>
  <c r="AJ241" i="2"/>
  <c r="AJ244" i="2"/>
  <c r="AJ239" i="2"/>
  <c r="AJ242" i="2"/>
  <c r="AJ243" i="2"/>
  <c r="AJ238" i="2"/>
  <c r="AJ275" i="2"/>
  <c r="AJ251" i="2"/>
  <c r="AJ266" i="2"/>
  <c r="AJ269" i="2"/>
  <c r="AJ268" i="2"/>
  <c r="AJ267" i="2"/>
  <c r="AJ270" i="2"/>
  <c r="AJ265" i="2"/>
  <c r="AJ264" i="2"/>
  <c r="AJ237" i="2"/>
  <c r="AJ236" i="2"/>
  <c r="AJ235" i="2"/>
  <c r="AJ234" i="2"/>
  <c r="AJ272" i="2"/>
  <c r="AJ273" i="2"/>
  <c r="AJ285" i="2"/>
  <c r="AJ274" i="2"/>
  <c r="AJ271" i="2"/>
  <c r="AJ263" i="2"/>
  <c r="AJ262" i="2"/>
  <c r="AJ261" i="2"/>
  <c r="AJ260" i="2"/>
  <c r="AJ259" i="2"/>
  <c r="AJ258" i="2"/>
  <c r="AJ257" i="2"/>
  <c r="AJ253" i="2"/>
  <c r="AJ252" i="2"/>
  <c r="AJ254" i="2"/>
  <c r="AJ255" i="2"/>
  <c r="AJ246" i="2"/>
  <c r="AJ185" i="2"/>
  <c r="AJ184" i="2"/>
  <c r="AJ205" i="2"/>
  <c r="AJ233" i="2"/>
  <c r="AJ232" i="2"/>
  <c r="AJ231" i="2"/>
  <c r="AJ230" i="2"/>
  <c r="AJ229" i="2"/>
  <c r="AJ228" i="2"/>
  <c r="AJ227" i="2"/>
  <c r="AJ203" i="2"/>
  <c r="AJ204" i="2"/>
  <c r="AJ202" i="2"/>
  <c r="AJ201" i="2"/>
  <c r="AJ199" i="2"/>
  <c r="AJ200" i="2"/>
  <c r="AJ198" i="2"/>
  <c r="AJ197" i="2"/>
  <c r="AJ221" i="2"/>
  <c r="AJ220" i="2"/>
  <c r="AJ223" i="2"/>
  <c r="AJ222" i="2"/>
  <c r="AJ226" i="2"/>
  <c r="AJ225" i="2"/>
  <c r="AJ224" i="2"/>
  <c r="AJ195" i="2"/>
  <c r="AJ196" i="2"/>
  <c r="AJ194" i="2"/>
  <c r="AJ193" i="2"/>
  <c r="AJ219" i="2"/>
  <c r="AJ217" i="2"/>
  <c r="AJ216" i="2"/>
  <c r="AJ215" i="2"/>
  <c r="AJ214" i="2"/>
  <c r="AJ213" i="2"/>
  <c r="AJ212" i="2"/>
  <c r="AJ211" i="2"/>
  <c r="AJ218" i="2"/>
  <c r="AJ210" i="2"/>
  <c r="AJ208" i="2"/>
  <c r="AJ209" i="2"/>
  <c r="AJ207" i="2"/>
  <c r="AJ206" i="2"/>
  <c r="AJ182" i="2"/>
  <c r="AJ190" i="2"/>
  <c r="AJ189" i="2"/>
  <c r="AJ188" i="2"/>
  <c r="AJ187" i="2"/>
  <c r="AJ186" i="2"/>
  <c r="AJ177" i="2"/>
  <c r="AJ176" i="2"/>
  <c r="AJ175" i="2"/>
  <c r="AJ174" i="2"/>
  <c r="AJ173" i="2"/>
  <c r="AJ172" i="2"/>
  <c r="AJ171" i="2"/>
  <c r="AJ170" i="2"/>
  <c r="AJ169" i="2"/>
  <c r="AJ168" i="2"/>
  <c r="AJ167" i="2"/>
  <c r="AJ164" i="2"/>
  <c r="AJ166" i="2"/>
  <c r="AJ165" i="2"/>
  <c r="AJ163" i="2"/>
  <c r="AJ192" i="2"/>
  <c r="AJ191" i="2"/>
  <c r="AJ183" i="2"/>
  <c r="AJ156" i="2"/>
  <c r="AJ155" i="2"/>
  <c r="AJ109" i="2"/>
  <c r="AJ106" i="2"/>
  <c r="AJ122" i="2"/>
  <c r="AJ162" i="2"/>
  <c r="AJ161" i="2"/>
  <c r="AJ160" i="2"/>
  <c r="AJ159" i="2"/>
  <c r="AJ158" i="2"/>
  <c r="AJ157" i="2"/>
  <c r="AJ108" i="2"/>
  <c r="AJ107" i="2"/>
  <c r="AJ148" i="2"/>
  <c r="AJ154" i="2"/>
  <c r="AJ153" i="2"/>
  <c r="AJ152" i="2"/>
  <c r="AJ151" i="2"/>
  <c r="AJ150" i="2"/>
  <c r="AJ145" i="2"/>
  <c r="AJ149" i="2"/>
  <c r="AJ180" i="2"/>
  <c r="AJ179" i="2"/>
  <c r="AJ178" i="2"/>
  <c r="AJ127" i="2"/>
  <c r="AJ147" i="2"/>
  <c r="AJ181" i="2"/>
  <c r="AJ143" i="2"/>
  <c r="AJ142" i="2"/>
  <c r="AJ141" i="2"/>
  <c r="AJ144" i="2"/>
  <c r="AJ140" i="2"/>
  <c r="AJ136" i="2"/>
  <c r="AJ135" i="2"/>
  <c r="AJ134" i="2"/>
  <c r="AJ131" i="2"/>
  <c r="AJ132" i="2"/>
  <c r="AJ133" i="2"/>
  <c r="AJ129" i="2"/>
  <c r="AJ130" i="2"/>
  <c r="AJ138" i="2"/>
  <c r="AJ139" i="2"/>
  <c r="AJ137" i="2"/>
  <c r="AJ126" i="2"/>
  <c r="AJ125" i="2"/>
  <c r="AJ124" i="2"/>
  <c r="AJ123" i="2"/>
  <c r="AJ105" i="2"/>
  <c r="AJ121" i="2"/>
  <c r="AJ104" i="2"/>
  <c r="AJ103" i="2"/>
  <c r="AJ102" i="2"/>
  <c r="AJ94" i="2"/>
  <c r="AJ93" i="2"/>
  <c r="AJ91" i="2"/>
  <c r="AJ90" i="2"/>
  <c r="AJ100" i="2"/>
  <c r="AJ120" i="2"/>
  <c r="AJ118" i="2"/>
  <c r="AJ119" i="2"/>
  <c r="AJ117" i="2"/>
  <c r="AJ116" i="2"/>
  <c r="AJ114" i="2"/>
  <c r="AJ115" i="2"/>
  <c r="AJ113" i="2"/>
  <c r="AJ112" i="2"/>
  <c r="AJ111" i="2"/>
  <c r="AJ110" i="2"/>
  <c r="AJ87" i="2"/>
  <c r="AJ84" i="2"/>
  <c r="AJ83" i="2"/>
  <c r="AJ82" i="2"/>
  <c r="AJ86" i="2"/>
  <c r="AJ85" i="2"/>
  <c r="AJ89" i="2"/>
  <c r="AJ88" i="2"/>
  <c r="AJ99" i="2"/>
  <c r="AJ95" i="2"/>
  <c r="AJ98" i="2"/>
  <c r="AJ97" i="2"/>
  <c r="AJ96" i="2"/>
  <c r="AJ77" i="2"/>
  <c r="AJ81" i="2"/>
  <c r="AJ78" i="2"/>
  <c r="AJ80" i="2"/>
  <c r="AJ79" i="2"/>
  <c r="AJ76" i="2"/>
  <c r="AJ64" i="2"/>
  <c r="AJ67" i="2"/>
  <c r="AJ66" i="2"/>
  <c r="AJ65" i="2"/>
  <c r="AJ71" i="2"/>
  <c r="AJ70" i="2"/>
  <c r="AJ69" i="2"/>
  <c r="AJ68" i="2"/>
  <c r="AJ75" i="2"/>
  <c r="AJ74" i="2"/>
  <c r="AJ73" i="2"/>
  <c r="AJ47" i="2"/>
  <c r="AJ61" i="2"/>
  <c r="AJ63" i="2"/>
  <c r="AJ62" i="2"/>
  <c r="AJ60" i="2"/>
  <c r="AJ59" i="2"/>
  <c r="AJ58" i="2"/>
  <c r="AJ57" i="2"/>
  <c r="AJ52" i="2"/>
  <c r="AJ55" i="2"/>
  <c r="AJ53" i="2"/>
  <c r="AJ50" i="2"/>
  <c r="AJ56" i="2"/>
  <c r="AJ51" i="2"/>
  <c r="AJ54" i="2"/>
  <c r="AJ49" i="2"/>
  <c r="AJ46" i="2"/>
  <c r="AJ45" i="2"/>
  <c r="AJ48" i="2"/>
  <c r="AJ37" i="2"/>
  <c r="AJ42" i="2"/>
  <c r="AJ41" i="2"/>
  <c r="AJ44" i="2"/>
  <c r="AJ43" i="2"/>
  <c r="AJ40" i="2"/>
  <c r="AJ39" i="2"/>
  <c r="AJ38" i="2"/>
  <c r="AJ36" i="2"/>
  <c r="AJ33" i="2"/>
  <c r="AJ35" i="2"/>
  <c r="AJ34" i="2"/>
  <c r="AJ32" i="2"/>
  <c r="AJ31" i="2"/>
  <c r="AJ30" i="2"/>
  <c r="AJ29" i="2"/>
  <c r="AJ28" i="2"/>
  <c r="AJ27" i="2"/>
  <c r="AJ26" i="2"/>
  <c r="AJ25" i="2"/>
  <c r="AJ22" i="2"/>
  <c r="AJ24" i="2"/>
  <c r="AJ23" i="2"/>
  <c r="AJ21" i="2"/>
  <c r="AJ20" i="2"/>
  <c r="AJ19" i="2"/>
  <c r="AJ18" i="2"/>
  <c r="AJ17" i="2"/>
  <c r="AJ15" i="2"/>
  <c r="AJ14" i="2"/>
  <c r="AJ12" i="2"/>
  <c r="I648" i="2"/>
  <c r="F648" i="2"/>
  <c r="Z564" i="2"/>
  <c r="U564" i="2"/>
  <c r="T564" i="2"/>
  <c r="S564" i="2"/>
  <c r="R564" i="2"/>
  <c r="O564" i="2"/>
  <c r="N564" i="2"/>
  <c r="M564" i="2"/>
  <c r="Z563" i="2"/>
  <c r="U563" i="2"/>
  <c r="T563" i="2"/>
  <c r="S563" i="2"/>
  <c r="R563" i="2"/>
  <c r="O563" i="2"/>
  <c r="N563" i="2"/>
  <c r="M563" i="2"/>
  <c r="Z562" i="2"/>
  <c r="U562" i="2"/>
  <c r="T562" i="2"/>
  <c r="S562" i="2"/>
  <c r="R562" i="2"/>
  <c r="O562" i="2"/>
  <c r="N562" i="2"/>
  <c r="M562" i="2"/>
  <c r="Z561" i="2"/>
  <c r="U561" i="2"/>
  <c r="T561" i="2"/>
  <c r="S561" i="2"/>
  <c r="R561" i="2"/>
  <c r="O561" i="2"/>
  <c r="N561" i="2"/>
  <c r="M561" i="2"/>
  <c r="Z560" i="2"/>
  <c r="U560" i="2"/>
  <c r="T560" i="2"/>
  <c r="S560" i="2"/>
  <c r="R560" i="2"/>
  <c r="O560" i="2"/>
  <c r="N560" i="2"/>
  <c r="M560" i="2"/>
  <c r="Z559" i="2"/>
  <c r="U559" i="2"/>
  <c r="T559" i="2"/>
  <c r="S559" i="2"/>
  <c r="R559" i="2"/>
  <c r="O559" i="2"/>
  <c r="N559" i="2"/>
  <c r="M559" i="2"/>
  <c r="Z558" i="2"/>
  <c r="U558" i="2"/>
  <c r="T558" i="2"/>
  <c r="S558" i="2"/>
  <c r="R558" i="2"/>
  <c r="O558" i="2"/>
  <c r="N558" i="2"/>
  <c r="M558" i="2"/>
  <c r="Z557" i="2"/>
  <c r="U557" i="2"/>
  <c r="T557" i="2"/>
  <c r="S557" i="2"/>
  <c r="R557" i="2"/>
  <c r="O557" i="2"/>
  <c r="N557" i="2"/>
  <c r="M557" i="2"/>
  <c r="Z556" i="2"/>
  <c r="U556" i="2"/>
  <c r="T556" i="2"/>
  <c r="S556" i="2"/>
  <c r="R556" i="2"/>
  <c r="O556" i="2"/>
  <c r="N556" i="2"/>
  <c r="M556" i="2"/>
  <c r="Z555" i="2"/>
  <c r="U555" i="2"/>
  <c r="T555" i="2"/>
  <c r="S555" i="2"/>
  <c r="R555" i="2"/>
  <c r="O555" i="2"/>
  <c r="N555" i="2"/>
  <c r="M555" i="2"/>
  <c r="Z554" i="2"/>
  <c r="U554" i="2"/>
  <c r="T554" i="2"/>
  <c r="S554" i="2"/>
  <c r="R554" i="2"/>
  <c r="O554" i="2"/>
  <c r="N554" i="2"/>
  <c r="M554" i="2"/>
  <c r="Z553" i="2"/>
  <c r="U553" i="2"/>
  <c r="T553" i="2"/>
  <c r="S553" i="2"/>
  <c r="R553" i="2"/>
  <c r="O553" i="2"/>
  <c r="N553" i="2"/>
  <c r="M553" i="2"/>
  <c r="Z552" i="2"/>
  <c r="U552" i="2"/>
  <c r="T552" i="2"/>
  <c r="S552" i="2"/>
  <c r="R552" i="2"/>
  <c r="O552" i="2"/>
  <c r="N552" i="2"/>
  <c r="M552" i="2"/>
  <c r="Z551" i="2"/>
  <c r="U551" i="2"/>
  <c r="T551" i="2"/>
  <c r="S551" i="2"/>
  <c r="R551" i="2"/>
  <c r="Z550" i="2"/>
  <c r="U550" i="2"/>
  <c r="T550" i="2"/>
  <c r="S550" i="2"/>
  <c r="R550" i="2"/>
  <c r="Z549" i="2"/>
  <c r="U549" i="2"/>
  <c r="T549" i="2"/>
  <c r="S549" i="2"/>
  <c r="R549" i="2"/>
  <c r="Z548" i="2"/>
  <c r="U548" i="2"/>
  <c r="T548" i="2"/>
  <c r="S548" i="2"/>
  <c r="R548" i="2"/>
  <c r="Z547" i="2"/>
  <c r="U547" i="2"/>
  <c r="T547" i="2"/>
  <c r="S547" i="2"/>
  <c r="R547" i="2"/>
  <c r="Z546" i="2"/>
  <c r="U546" i="2"/>
  <c r="T546" i="2"/>
  <c r="S546" i="2"/>
  <c r="R546" i="2"/>
  <c r="Z545" i="2"/>
  <c r="U545" i="2"/>
  <c r="T545" i="2"/>
  <c r="S545" i="2"/>
  <c r="R545" i="2"/>
  <c r="O545" i="2"/>
  <c r="N545" i="2"/>
  <c r="M545" i="2"/>
  <c r="Z544" i="2"/>
  <c r="U544" i="2"/>
  <c r="T544" i="2"/>
  <c r="S544" i="2"/>
  <c r="R544" i="2"/>
  <c r="O544" i="2"/>
  <c r="N544" i="2"/>
  <c r="M544" i="2"/>
  <c r="Z543" i="2"/>
  <c r="U543" i="2"/>
  <c r="T543" i="2"/>
  <c r="S543" i="2"/>
  <c r="R543" i="2"/>
  <c r="O543" i="2"/>
  <c r="N543" i="2"/>
  <c r="M543" i="2"/>
  <c r="Z542" i="2"/>
  <c r="U542" i="2"/>
  <c r="T542" i="2"/>
  <c r="S542" i="2"/>
  <c r="R542" i="2"/>
  <c r="O542" i="2"/>
  <c r="N542" i="2"/>
  <c r="M542" i="2"/>
  <c r="Z541" i="2"/>
  <c r="U541" i="2"/>
  <c r="T541" i="2"/>
  <c r="S541" i="2"/>
  <c r="R541" i="2"/>
  <c r="O541" i="2"/>
  <c r="N541" i="2"/>
  <c r="M541" i="2"/>
  <c r="Z540" i="2"/>
  <c r="U540" i="2"/>
  <c r="T540" i="2"/>
  <c r="S540" i="2"/>
  <c r="R540" i="2"/>
  <c r="O540" i="2"/>
  <c r="N540" i="2"/>
  <c r="M540" i="2"/>
  <c r="Z539" i="2"/>
  <c r="U539" i="2"/>
  <c r="T539" i="2"/>
  <c r="S539" i="2"/>
  <c r="R539" i="2"/>
  <c r="O539" i="2"/>
  <c r="N539" i="2"/>
  <c r="M539" i="2"/>
  <c r="Z538" i="2"/>
  <c r="U538" i="2"/>
  <c r="T538" i="2"/>
  <c r="S538" i="2"/>
  <c r="R538" i="2"/>
  <c r="O538" i="2"/>
  <c r="N538" i="2"/>
  <c r="M538" i="2"/>
  <c r="Z537" i="2"/>
  <c r="U537" i="2"/>
  <c r="T537" i="2"/>
  <c r="S537" i="2"/>
  <c r="R537" i="2"/>
  <c r="O537" i="2"/>
  <c r="N537" i="2"/>
  <c r="M537" i="2"/>
  <c r="Z536" i="2"/>
  <c r="U536" i="2"/>
  <c r="T536" i="2"/>
  <c r="S536" i="2"/>
  <c r="R536" i="2"/>
  <c r="O536" i="2"/>
  <c r="N536" i="2"/>
  <c r="M536" i="2"/>
  <c r="Z535" i="2"/>
  <c r="U535" i="2"/>
  <c r="T535" i="2"/>
  <c r="S535" i="2"/>
  <c r="R535" i="2"/>
  <c r="O535" i="2"/>
  <c r="N535" i="2"/>
  <c r="M535" i="2"/>
  <c r="Z534" i="2"/>
  <c r="U534" i="2"/>
  <c r="T534" i="2"/>
  <c r="S534" i="2"/>
  <c r="R534" i="2"/>
  <c r="O534" i="2"/>
  <c r="N534" i="2"/>
  <c r="M534" i="2"/>
  <c r="Z533" i="2"/>
  <c r="U533" i="2"/>
  <c r="T533" i="2"/>
  <c r="S533" i="2"/>
  <c r="R533" i="2"/>
  <c r="O533" i="2"/>
  <c r="N533" i="2"/>
  <c r="M533" i="2"/>
  <c r="Z532" i="2"/>
  <c r="U532" i="2"/>
  <c r="T532" i="2"/>
  <c r="S532" i="2"/>
  <c r="R532" i="2"/>
  <c r="O532" i="2"/>
  <c r="N532" i="2"/>
  <c r="M532" i="2"/>
  <c r="Z531" i="2"/>
  <c r="U531" i="2"/>
  <c r="T531" i="2"/>
  <c r="S531" i="2"/>
  <c r="R531" i="2"/>
  <c r="O531" i="2"/>
  <c r="N531" i="2"/>
  <c r="M531" i="2"/>
  <c r="Z530" i="2"/>
  <c r="U530" i="2"/>
  <c r="T530" i="2"/>
  <c r="S530" i="2"/>
  <c r="R530" i="2"/>
  <c r="O530" i="2"/>
  <c r="N530" i="2"/>
  <c r="M530" i="2"/>
  <c r="Z529" i="2"/>
  <c r="U529" i="2"/>
  <c r="T529" i="2"/>
  <c r="S529" i="2"/>
  <c r="R529" i="2"/>
  <c r="O529" i="2"/>
  <c r="N529" i="2"/>
  <c r="M529" i="2"/>
  <c r="Z528" i="2"/>
  <c r="U528" i="2"/>
  <c r="T528" i="2"/>
  <c r="S528" i="2"/>
  <c r="R528" i="2"/>
  <c r="O528" i="2"/>
  <c r="N528" i="2"/>
  <c r="M528" i="2"/>
  <c r="Z527" i="2"/>
  <c r="U527" i="2"/>
  <c r="T527" i="2"/>
  <c r="S527" i="2"/>
  <c r="R527" i="2"/>
  <c r="O527" i="2"/>
  <c r="N527" i="2"/>
  <c r="M527" i="2"/>
  <c r="Z526" i="2"/>
  <c r="U526" i="2"/>
  <c r="T526" i="2"/>
  <c r="S526" i="2"/>
  <c r="R526" i="2"/>
  <c r="O526" i="2"/>
  <c r="N526" i="2"/>
  <c r="M526" i="2"/>
  <c r="Z525" i="2"/>
  <c r="U525" i="2"/>
  <c r="T525" i="2"/>
  <c r="S525" i="2"/>
  <c r="R525" i="2"/>
  <c r="O525" i="2"/>
  <c r="N525" i="2"/>
  <c r="M525" i="2"/>
  <c r="Z524" i="2"/>
  <c r="U524" i="2"/>
  <c r="T524" i="2"/>
  <c r="S524" i="2"/>
  <c r="R524" i="2"/>
  <c r="O524" i="2"/>
  <c r="N524" i="2"/>
  <c r="M524" i="2"/>
  <c r="Z523" i="2"/>
  <c r="U523" i="2"/>
  <c r="T523" i="2"/>
  <c r="S523" i="2"/>
  <c r="R523" i="2"/>
  <c r="O523" i="2"/>
  <c r="N523" i="2"/>
  <c r="M523" i="2"/>
  <c r="Z522" i="2"/>
  <c r="U522" i="2"/>
  <c r="T522" i="2"/>
  <c r="S522" i="2"/>
  <c r="R522" i="2"/>
  <c r="O522" i="2"/>
  <c r="N522" i="2"/>
  <c r="M522" i="2"/>
  <c r="Z521" i="2"/>
  <c r="U521" i="2"/>
  <c r="T521" i="2"/>
  <c r="S521" i="2"/>
  <c r="R521" i="2"/>
  <c r="O521" i="2"/>
  <c r="N521" i="2"/>
  <c r="M521" i="2"/>
  <c r="Z520" i="2"/>
  <c r="U520" i="2"/>
  <c r="T520" i="2"/>
  <c r="S520" i="2"/>
  <c r="R520" i="2"/>
  <c r="O520" i="2"/>
  <c r="N520" i="2"/>
  <c r="M520" i="2"/>
  <c r="Z519" i="2"/>
  <c r="U519" i="2"/>
  <c r="T519" i="2"/>
  <c r="S519" i="2"/>
  <c r="R519" i="2"/>
  <c r="O519" i="2"/>
  <c r="N519" i="2"/>
  <c r="M519" i="2"/>
  <c r="Z518" i="2"/>
  <c r="U518" i="2"/>
  <c r="T518" i="2"/>
  <c r="S518" i="2"/>
  <c r="R518" i="2"/>
  <c r="O518" i="2"/>
  <c r="N518" i="2"/>
  <c r="M518" i="2"/>
  <c r="Z517" i="2"/>
  <c r="U517" i="2"/>
  <c r="T517" i="2"/>
  <c r="S517" i="2"/>
  <c r="R517" i="2"/>
  <c r="O517" i="2"/>
  <c r="N517" i="2"/>
  <c r="M517" i="2"/>
  <c r="Z516" i="2"/>
  <c r="U516" i="2"/>
  <c r="T516" i="2"/>
  <c r="S516" i="2"/>
  <c r="R516" i="2"/>
  <c r="O516" i="2"/>
  <c r="N516" i="2"/>
  <c r="M516" i="2"/>
  <c r="Z515" i="2"/>
  <c r="U515" i="2"/>
  <c r="T515" i="2"/>
  <c r="S515" i="2"/>
  <c r="R515" i="2"/>
  <c r="O515" i="2"/>
  <c r="N515" i="2"/>
  <c r="M515" i="2"/>
  <c r="Z514" i="2"/>
  <c r="U514" i="2"/>
  <c r="T514" i="2"/>
  <c r="S514" i="2"/>
  <c r="R514" i="2"/>
  <c r="O514" i="2"/>
  <c r="N514" i="2"/>
  <c r="M514" i="2"/>
  <c r="Z513" i="2"/>
  <c r="U513" i="2"/>
  <c r="T513" i="2"/>
  <c r="S513" i="2"/>
  <c r="R513" i="2"/>
  <c r="O513" i="2"/>
  <c r="N513" i="2"/>
  <c r="M513" i="2"/>
  <c r="Z512" i="2"/>
  <c r="U512" i="2"/>
  <c r="T512" i="2"/>
  <c r="S512" i="2"/>
  <c r="R512" i="2"/>
  <c r="O512" i="2"/>
  <c r="N512" i="2"/>
  <c r="M512" i="2"/>
  <c r="Z511" i="2"/>
  <c r="U511" i="2"/>
  <c r="T511" i="2"/>
  <c r="S511" i="2"/>
  <c r="R511" i="2"/>
  <c r="O511" i="2"/>
  <c r="N511" i="2"/>
  <c r="M511" i="2"/>
  <c r="Z510" i="2"/>
  <c r="U510" i="2"/>
  <c r="T510" i="2"/>
  <c r="S510" i="2"/>
  <c r="R510" i="2"/>
  <c r="O510" i="2"/>
  <c r="N510" i="2"/>
  <c r="M510" i="2"/>
  <c r="Z509" i="2"/>
  <c r="U509" i="2"/>
  <c r="T509" i="2"/>
  <c r="S509" i="2"/>
  <c r="R509" i="2"/>
  <c r="O509" i="2"/>
  <c r="N509" i="2"/>
  <c r="M509" i="2"/>
  <c r="Z508" i="2"/>
  <c r="U508" i="2"/>
  <c r="T508" i="2"/>
  <c r="S508" i="2"/>
  <c r="R508" i="2"/>
  <c r="O508" i="2"/>
  <c r="N508" i="2"/>
  <c r="M508" i="2"/>
  <c r="Z507" i="2"/>
  <c r="U507" i="2"/>
  <c r="T507" i="2"/>
  <c r="S507" i="2"/>
  <c r="R507" i="2"/>
  <c r="O507" i="2"/>
  <c r="N507" i="2"/>
  <c r="M507" i="2"/>
  <c r="Z506" i="2"/>
  <c r="U506" i="2"/>
  <c r="T506" i="2"/>
  <c r="S506" i="2"/>
  <c r="R506" i="2"/>
  <c r="O506" i="2"/>
  <c r="N506" i="2"/>
  <c r="M506" i="2"/>
  <c r="Z505" i="2"/>
  <c r="U505" i="2"/>
  <c r="T505" i="2"/>
  <c r="S505" i="2"/>
  <c r="R505" i="2"/>
  <c r="O505" i="2"/>
  <c r="N505" i="2"/>
  <c r="M505" i="2"/>
  <c r="Z504" i="2"/>
  <c r="U504" i="2"/>
  <c r="T504" i="2"/>
  <c r="S504" i="2"/>
  <c r="R504" i="2"/>
  <c r="O504" i="2"/>
  <c r="N504" i="2"/>
  <c r="M504" i="2"/>
  <c r="Z503" i="2"/>
  <c r="U503" i="2"/>
  <c r="T503" i="2"/>
  <c r="S503" i="2"/>
  <c r="R503" i="2"/>
  <c r="O503" i="2"/>
  <c r="N503" i="2"/>
  <c r="M503" i="2"/>
  <c r="Z502" i="2"/>
  <c r="U502" i="2"/>
  <c r="T502" i="2"/>
  <c r="S502" i="2"/>
  <c r="R502" i="2"/>
  <c r="O502" i="2"/>
  <c r="N502" i="2"/>
  <c r="M502" i="2"/>
  <c r="Z501" i="2"/>
  <c r="U501" i="2"/>
  <c r="T501" i="2"/>
  <c r="S501" i="2"/>
  <c r="R501" i="2"/>
  <c r="O501" i="2"/>
  <c r="N501" i="2"/>
  <c r="M501" i="2"/>
  <c r="Z500" i="2"/>
  <c r="U500" i="2"/>
  <c r="T500" i="2"/>
  <c r="S500" i="2"/>
  <c r="R500" i="2"/>
  <c r="O500" i="2"/>
  <c r="N500" i="2"/>
  <c r="M500" i="2"/>
  <c r="Z499" i="2"/>
  <c r="U499" i="2"/>
  <c r="T499" i="2"/>
  <c r="S499" i="2"/>
  <c r="R499" i="2"/>
  <c r="O499" i="2"/>
  <c r="N499" i="2"/>
  <c r="M499" i="2"/>
  <c r="Z498" i="2"/>
  <c r="U498" i="2"/>
  <c r="T498" i="2"/>
  <c r="S498" i="2"/>
  <c r="R498" i="2"/>
  <c r="O498" i="2"/>
  <c r="N498" i="2"/>
  <c r="M498" i="2"/>
  <c r="Z497" i="2"/>
  <c r="U497" i="2"/>
  <c r="T497" i="2"/>
  <c r="S497" i="2"/>
  <c r="R497" i="2"/>
  <c r="O497" i="2"/>
  <c r="N497" i="2"/>
  <c r="M497" i="2"/>
  <c r="Z496" i="2"/>
  <c r="U496" i="2"/>
  <c r="T496" i="2"/>
  <c r="S496" i="2"/>
  <c r="R496" i="2"/>
  <c r="O496" i="2"/>
  <c r="N496" i="2"/>
  <c r="M496" i="2"/>
  <c r="Z495" i="2"/>
  <c r="U495" i="2"/>
  <c r="T495" i="2"/>
  <c r="S495" i="2"/>
  <c r="R495" i="2"/>
  <c r="O495" i="2"/>
  <c r="N495" i="2"/>
  <c r="M495" i="2"/>
  <c r="Z494" i="2"/>
  <c r="U494" i="2"/>
  <c r="T494" i="2"/>
  <c r="S494" i="2"/>
  <c r="R494" i="2"/>
  <c r="O494" i="2"/>
  <c r="N494" i="2"/>
  <c r="M494" i="2"/>
  <c r="Z493" i="2"/>
  <c r="U493" i="2"/>
  <c r="T493" i="2"/>
  <c r="S493" i="2"/>
  <c r="R493" i="2"/>
  <c r="O493" i="2"/>
  <c r="N493" i="2"/>
  <c r="M493" i="2"/>
  <c r="Z492" i="2"/>
  <c r="U492" i="2"/>
  <c r="T492" i="2"/>
  <c r="S492" i="2"/>
  <c r="R492" i="2"/>
  <c r="O492" i="2"/>
  <c r="N492" i="2"/>
  <c r="M492" i="2"/>
  <c r="Z491" i="2"/>
  <c r="U491" i="2"/>
  <c r="T491" i="2"/>
  <c r="S491" i="2"/>
  <c r="R491" i="2"/>
  <c r="O491" i="2"/>
  <c r="N491" i="2"/>
  <c r="M491" i="2"/>
  <c r="Z490" i="2"/>
  <c r="U490" i="2"/>
  <c r="T490" i="2"/>
  <c r="S490" i="2"/>
  <c r="R490" i="2"/>
  <c r="O490" i="2"/>
  <c r="N490" i="2"/>
  <c r="M490" i="2"/>
  <c r="Z489" i="2"/>
  <c r="U489" i="2"/>
  <c r="T489" i="2"/>
  <c r="S489" i="2"/>
  <c r="R489" i="2"/>
  <c r="O489" i="2"/>
  <c r="N489" i="2"/>
  <c r="M489" i="2"/>
  <c r="Z488" i="2"/>
  <c r="U488" i="2"/>
  <c r="T488" i="2"/>
  <c r="S488" i="2"/>
  <c r="R488" i="2"/>
  <c r="O488" i="2"/>
  <c r="N488" i="2"/>
  <c r="M488" i="2"/>
  <c r="Z487" i="2"/>
  <c r="U487" i="2"/>
  <c r="T487" i="2"/>
  <c r="S487" i="2"/>
  <c r="R487" i="2"/>
  <c r="O487" i="2"/>
  <c r="N487" i="2"/>
  <c r="M487" i="2"/>
  <c r="Z486" i="2"/>
  <c r="U486" i="2"/>
  <c r="T486" i="2"/>
  <c r="S486" i="2"/>
  <c r="R486" i="2"/>
  <c r="O486" i="2"/>
  <c r="N486" i="2"/>
  <c r="M486" i="2"/>
  <c r="Z485" i="2"/>
  <c r="U485" i="2"/>
  <c r="T485" i="2"/>
  <c r="S485" i="2"/>
  <c r="R485" i="2"/>
  <c r="O485" i="2"/>
  <c r="N485" i="2"/>
  <c r="M485" i="2"/>
  <c r="Z484" i="2"/>
  <c r="U484" i="2"/>
  <c r="T484" i="2"/>
  <c r="S484" i="2"/>
  <c r="R484" i="2"/>
  <c r="O484" i="2"/>
  <c r="N484" i="2"/>
  <c r="M484" i="2"/>
  <c r="Z483" i="2"/>
  <c r="U483" i="2"/>
  <c r="T483" i="2"/>
  <c r="S483" i="2"/>
  <c r="R483" i="2"/>
  <c r="O483" i="2"/>
  <c r="N483" i="2"/>
  <c r="M483" i="2"/>
  <c r="Z482" i="2"/>
  <c r="U482" i="2"/>
  <c r="T482" i="2"/>
  <c r="S482" i="2"/>
  <c r="R482" i="2"/>
  <c r="O482" i="2"/>
  <c r="N482" i="2"/>
  <c r="M482" i="2"/>
  <c r="Z481" i="2"/>
  <c r="U481" i="2"/>
  <c r="T481" i="2"/>
  <c r="S481" i="2"/>
  <c r="R481" i="2"/>
  <c r="O481" i="2"/>
  <c r="N481" i="2"/>
  <c r="M481" i="2"/>
  <c r="Z480" i="2"/>
  <c r="U480" i="2"/>
  <c r="T480" i="2"/>
  <c r="S480" i="2"/>
  <c r="R480" i="2"/>
  <c r="O480" i="2"/>
  <c r="N480" i="2"/>
  <c r="M480" i="2"/>
  <c r="Z479" i="2"/>
  <c r="U479" i="2"/>
  <c r="T479" i="2"/>
  <c r="S479" i="2"/>
  <c r="R479" i="2"/>
  <c r="O479" i="2"/>
  <c r="N479" i="2"/>
  <c r="M479" i="2"/>
  <c r="Z478" i="2"/>
  <c r="U478" i="2"/>
  <c r="T478" i="2"/>
  <c r="S478" i="2"/>
  <c r="R478" i="2"/>
  <c r="O478" i="2"/>
  <c r="N478" i="2"/>
  <c r="M478" i="2"/>
  <c r="Z477" i="2"/>
  <c r="U477" i="2"/>
  <c r="T477" i="2"/>
  <c r="S477" i="2"/>
  <c r="R477" i="2"/>
  <c r="O477" i="2"/>
  <c r="N477" i="2"/>
  <c r="M477" i="2"/>
  <c r="Z476" i="2"/>
  <c r="U476" i="2"/>
  <c r="T476" i="2"/>
  <c r="S476" i="2"/>
  <c r="R476" i="2"/>
  <c r="O476" i="2"/>
  <c r="N476" i="2"/>
  <c r="M476" i="2"/>
  <c r="Z475" i="2"/>
  <c r="U475" i="2"/>
  <c r="T475" i="2"/>
  <c r="S475" i="2"/>
  <c r="R475" i="2"/>
  <c r="O475" i="2"/>
  <c r="N475" i="2"/>
  <c r="M475" i="2"/>
  <c r="Z474" i="2"/>
  <c r="U474" i="2"/>
  <c r="T474" i="2"/>
  <c r="S474" i="2"/>
  <c r="R474" i="2"/>
  <c r="O474" i="2"/>
  <c r="N474" i="2"/>
  <c r="M474" i="2"/>
  <c r="Z473" i="2"/>
  <c r="U473" i="2"/>
  <c r="T473" i="2"/>
  <c r="S473" i="2"/>
  <c r="R473" i="2"/>
  <c r="O473" i="2"/>
  <c r="N473" i="2"/>
  <c r="M473" i="2"/>
  <c r="Z472" i="2"/>
  <c r="U472" i="2"/>
  <c r="T472" i="2"/>
  <c r="S472" i="2"/>
  <c r="R472" i="2"/>
  <c r="O472" i="2"/>
  <c r="N472" i="2"/>
  <c r="M472" i="2"/>
  <c r="Z471" i="2"/>
  <c r="U471" i="2"/>
  <c r="T471" i="2"/>
  <c r="S471" i="2"/>
  <c r="R471" i="2"/>
  <c r="O471" i="2"/>
  <c r="N471" i="2"/>
  <c r="M471" i="2"/>
  <c r="Z470" i="2"/>
  <c r="U470" i="2"/>
  <c r="T470" i="2"/>
  <c r="S470" i="2"/>
  <c r="R470" i="2"/>
  <c r="O470" i="2"/>
  <c r="N470" i="2"/>
  <c r="M470" i="2"/>
  <c r="Z469" i="2"/>
  <c r="U469" i="2"/>
  <c r="T469" i="2"/>
  <c r="S469" i="2"/>
  <c r="R469" i="2"/>
  <c r="O469" i="2"/>
  <c r="N469" i="2"/>
  <c r="M469" i="2"/>
  <c r="Z468" i="2"/>
  <c r="U468" i="2"/>
  <c r="T468" i="2"/>
  <c r="S468" i="2"/>
  <c r="R468" i="2"/>
  <c r="O468" i="2"/>
  <c r="N468" i="2"/>
  <c r="M468" i="2"/>
  <c r="Z467" i="2"/>
  <c r="U467" i="2"/>
  <c r="T467" i="2"/>
  <c r="S467" i="2"/>
  <c r="R467" i="2"/>
  <c r="O467" i="2"/>
  <c r="N467" i="2"/>
  <c r="M467" i="2"/>
  <c r="Z466" i="2"/>
  <c r="U466" i="2"/>
  <c r="T466" i="2"/>
  <c r="S466" i="2"/>
  <c r="R466" i="2"/>
  <c r="O466" i="2"/>
  <c r="N466" i="2"/>
  <c r="M466" i="2"/>
  <c r="Z465" i="2"/>
  <c r="U465" i="2"/>
  <c r="T465" i="2"/>
  <c r="S465" i="2"/>
  <c r="R465" i="2"/>
  <c r="O465" i="2"/>
  <c r="N465" i="2"/>
  <c r="M465" i="2"/>
  <c r="Z464" i="2"/>
  <c r="U464" i="2"/>
  <c r="T464" i="2"/>
  <c r="S464" i="2"/>
  <c r="R464" i="2"/>
  <c r="O464" i="2"/>
  <c r="N464" i="2"/>
  <c r="M464" i="2"/>
  <c r="Z463" i="2"/>
  <c r="U463" i="2"/>
  <c r="T463" i="2"/>
  <c r="S463" i="2"/>
  <c r="R463" i="2"/>
  <c r="O463" i="2"/>
  <c r="N463" i="2"/>
  <c r="M463" i="2"/>
  <c r="Z462" i="2"/>
  <c r="U462" i="2"/>
  <c r="T462" i="2"/>
  <c r="S462" i="2"/>
  <c r="R462" i="2"/>
  <c r="O462" i="2"/>
  <c r="N462" i="2"/>
  <c r="M462" i="2"/>
  <c r="Z461" i="2"/>
  <c r="U461" i="2"/>
  <c r="T461" i="2"/>
  <c r="S461" i="2"/>
  <c r="R461" i="2"/>
  <c r="O461" i="2"/>
  <c r="N461" i="2"/>
  <c r="M461" i="2"/>
  <c r="Z460" i="2"/>
  <c r="U460" i="2"/>
  <c r="T460" i="2"/>
  <c r="S460" i="2"/>
  <c r="R460" i="2"/>
  <c r="O460" i="2"/>
  <c r="N460" i="2"/>
  <c r="M460" i="2"/>
  <c r="Z459" i="2"/>
  <c r="U459" i="2"/>
  <c r="T459" i="2"/>
  <c r="S459" i="2"/>
  <c r="R459" i="2"/>
  <c r="O459" i="2"/>
  <c r="N459" i="2"/>
  <c r="M459" i="2"/>
  <c r="Z458" i="2"/>
  <c r="U458" i="2"/>
  <c r="T458" i="2"/>
  <c r="S458" i="2"/>
  <c r="R458" i="2"/>
  <c r="O458" i="2"/>
  <c r="N458" i="2"/>
  <c r="M458" i="2"/>
  <c r="Z457" i="2"/>
  <c r="U457" i="2"/>
  <c r="T457" i="2"/>
  <c r="S457" i="2"/>
  <c r="R457" i="2"/>
  <c r="O457" i="2"/>
  <c r="N457" i="2"/>
  <c r="M457" i="2"/>
  <c r="Z456" i="2"/>
  <c r="U456" i="2"/>
  <c r="T456" i="2"/>
  <c r="S456" i="2"/>
  <c r="R456" i="2"/>
  <c r="O456" i="2"/>
  <c r="N456" i="2"/>
  <c r="M456" i="2"/>
  <c r="Z455" i="2"/>
  <c r="U455" i="2"/>
  <c r="T455" i="2"/>
  <c r="S455" i="2"/>
  <c r="R455" i="2"/>
  <c r="O455" i="2"/>
  <c r="N455" i="2"/>
  <c r="M455" i="2"/>
  <c r="Z454" i="2"/>
  <c r="U454" i="2"/>
  <c r="T454" i="2"/>
  <c r="S454" i="2"/>
  <c r="R454" i="2"/>
  <c r="O454" i="2"/>
  <c r="N454" i="2"/>
  <c r="M454" i="2"/>
  <c r="Z453" i="2"/>
  <c r="U453" i="2"/>
  <c r="T453" i="2"/>
  <c r="S453" i="2"/>
  <c r="R453" i="2"/>
  <c r="O453" i="2"/>
  <c r="N453" i="2"/>
  <c r="M453" i="2"/>
  <c r="Z452" i="2"/>
  <c r="U452" i="2"/>
  <c r="T452" i="2"/>
  <c r="S452" i="2"/>
  <c r="R452" i="2"/>
  <c r="O452" i="2"/>
  <c r="N452" i="2"/>
  <c r="M452" i="2"/>
  <c r="Z451" i="2"/>
  <c r="U451" i="2"/>
  <c r="T451" i="2"/>
  <c r="S451" i="2"/>
  <c r="R451" i="2"/>
  <c r="O451" i="2"/>
  <c r="N451" i="2"/>
  <c r="M451" i="2"/>
  <c r="Z450" i="2"/>
  <c r="U450" i="2"/>
  <c r="T450" i="2"/>
  <c r="S450" i="2"/>
  <c r="R450" i="2"/>
  <c r="O450" i="2"/>
  <c r="N450" i="2"/>
  <c r="M450" i="2"/>
  <c r="Z449" i="2"/>
  <c r="U449" i="2"/>
  <c r="T449" i="2"/>
  <c r="S449" i="2"/>
  <c r="R449" i="2"/>
  <c r="O449" i="2"/>
  <c r="N449" i="2"/>
  <c r="M449" i="2"/>
  <c r="Z448" i="2"/>
  <c r="U448" i="2"/>
  <c r="T448" i="2"/>
  <c r="S448" i="2"/>
  <c r="R448" i="2"/>
  <c r="O448" i="2"/>
  <c r="N448" i="2"/>
  <c r="M448" i="2"/>
  <c r="Z447" i="2"/>
  <c r="U447" i="2"/>
  <c r="T447" i="2"/>
  <c r="S447" i="2"/>
  <c r="R447" i="2"/>
  <c r="O447" i="2"/>
  <c r="N447" i="2"/>
  <c r="M447" i="2"/>
  <c r="Z446" i="2"/>
  <c r="U446" i="2"/>
  <c r="T446" i="2"/>
  <c r="S446" i="2"/>
  <c r="R446" i="2"/>
  <c r="O446" i="2"/>
  <c r="N446" i="2"/>
  <c r="M446" i="2"/>
  <c r="Z445" i="2"/>
  <c r="U445" i="2"/>
  <c r="T445" i="2"/>
  <c r="S445" i="2"/>
  <c r="R445" i="2"/>
  <c r="O445" i="2"/>
  <c r="N445" i="2"/>
  <c r="M445" i="2"/>
  <c r="Z444" i="2"/>
  <c r="U444" i="2"/>
  <c r="T444" i="2"/>
  <c r="S444" i="2"/>
  <c r="R444" i="2"/>
  <c r="O444" i="2"/>
  <c r="N444" i="2"/>
  <c r="M444" i="2"/>
  <c r="Z443" i="2"/>
  <c r="U443" i="2"/>
  <c r="T443" i="2"/>
  <c r="S443" i="2"/>
  <c r="R443" i="2"/>
  <c r="O443" i="2"/>
  <c r="N443" i="2"/>
  <c r="M443" i="2"/>
  <c r="Z442" i="2"/>
  <c r="U442" i="2"/>
  <c r="T442" i="2"/>
  <c r="S442" i="2"/>
  <c r="R442" i="2"/>
  <c r="O442" i="2"/>
  <c r="N442" i="2"/>
  <c r="M442" i="2"/>
  <c r="Z441" i="2"/>
  <c r="U441" i="2"/>
  <c r="T441" i="2"/>
  <c r="S441" i="2"/>
  <c r="R441" i="2"/>
  <c r="O441" i="2"/>
  <c r="N441" i="2"/>
  <c r="M441" i="2"/>
  <c r="Z440" i="2"/>
  <c r="U440" i="2"/>
  <c r="T440" i="2"/>
  <c r="S440" i="2"/>
  <c r="R440" i="2"/>
  <c r="O440" i="2"/>
  <c r="N440" i="2"/>
  <c r="M440" i="2"/>
  <c r="Z439" i="2"/>
  <c r="U439" i="2"/>
  <c r="T439" i="2"/>
  <c r="S439" i="2"/>
  <c r="R439" i="2"/>
  <c r="O439" i="2"/>
  <c r="N439" i="2"/>
  <c r="M439" i="2"/>
  <c r="Z438" i="2"/>
  <c r="U438" i="2"/>
  <c r="T438" i="2"/>
  <c r="S438" i="2"/>
  <c r="R438" i="2"/>
  <c r="O438" i="2"/>
  <c r="N438" i="2"/>
  <c r="M438" i="2"/>
  <c r="Z437" i="2"/>
  <c r="U437" i="2"/>
  <c r="T437" i="2"/>
  <c r="S437" i="2"/>
  <c r="R437" i="2"/>
  <c r="O437" i="2"/>
  <c r="N437" i="2"/>
  <c r="M437" i="2"/>
  <c r="Z436" i="2"/>
  <c r="U436" i="2"/>
  <c r="T436" i="2"/>
  <c r="S436" i="2"/>
  <c r="R436" i="2"/>
  <c r="O436" i="2"/>
  <c r="N436" i="2"/>
  <c r="M436" i="2"/>
  <c r="Z435" i="2"/>
  <c r="U435" i="2"/>
  <c r="T435" i="2"/>
  <c r="S435" i="2"/>
  <c r="R435" i="2"/>
  <c r="O435" i="2"/>
  <c r="N435" i="2"/>
  <c r="M435" i="2"/>
  <c r="Z434" i="2"/>
  <c r="U434" i="2"/>
  <c r="T434" i="2"/>
  <c r="S434" i="2"/>
  <c r="R434" i="2"/>
  <c r="O434" i="2"/>
  <c r="N434" i="2"/>
  <c r="M434" i="2"/>
  <c r="Z433" i="2"/>
  <c r="U433" i="2"/>
  <c r="T433" i="2"/>
  <c r="S433" i="2"/>
  <c r="R433" i="2"/>
  <c r="O433" i="2"/>
  <c r="N433" i="2"/>
  <c r="M433" i="2"/>
  <c r="Z432" i="2"/>
  <c r="U432" i="2"/>
  <c r="T432" i="2"/>
  <c r="S432" i="2"/>
  <c r="R432" i="2"/>
  <c r="O432" i="2"/>
  <c r="N432" i="2"/>
  <c r="M432" i="2"/>
  <c r="Z431" i="2"/>
  <c r="U431" i="2"/>
  <c r="T431" i="2"/>
  <c r="S431" i="2"/>
  <c r="R431" i="2"/>
  <c r="O431" i="2"/>
  <c r="N431" i="2"/>
  <c r="M431" i="2"/>
  <c r="Z430" i="2"/>
  <c r="U430" i="2"/>
  <c r="T430" i="2"/>
  <c r="S430" i="2"/>
  <c r="R430" i="2"/>
  <c r="O430" i="2"/>
  <c r="N430" i="2"/>
  <c r="M430" i="2"/>
  <c r="Z429" i="2"/>
  <c r="U429" i="2"/>
  <c r="T429" i="2"/>
  <c r="S429" i="2"/>
  <c r="R429" i="2"/>
  <c r="O429" i="2"/>
  <c r="N429" i="2"/>
  <c r="M429" i="2"/>
  <c r="Z428" i="2"/>
  <c r="U428" i="2"/>
  <c r="T428" i="2"/>
  <c r="S428" i="2"/>
  <c r="R428" i="2"/>
  <c r="O428" i="2"/>
  <c r="N428" i="2"/>
  <c r="M428" i="2"/>
  <c r="Z427" i="2"/>
  <c r="U427" i="2"/>
  <c r="T427" i="2"/>
  <c r="S427" i="2"/>
  <c r="R427" i="2"/>
  <c r="O427" i="2"/>
  <c r="N427" i="2"/>
  <c r="M427" i="2"/>
  <c r="Z426" i="2"/>
  <c r="U426" i="2"/>
  <c r="T426" i="2"/>
  <c r="S426" i="2"/>
  <c r="R426" i="2"/>
  <c r="O426" i="2"/>
  <c r="N426" i="2"/>
  <c r="M426" i="2"/>
  <c r="Z425" i="2"/>
  <c r="U425" i="2"/>
  <c r="T425" i="2"/>
  <c r="S425" i="2"/>
  <c r="R425" i="2"/>
  <c r="O425" i="2"/>
  <c r="N425" i="2"/>
  <c r="M425" i="2"/>
  <c r="Z424" i="2"/>
  <c r="U424" i="2"/>
  <c r="T424" i="2"/>
  <c r="S424" i="2"/>
  <c r="R424" i="2"/>
  <c r="O424" i="2"/>
  <c r="N424" i="2"/>
  <c r="M424" i="2"/>
  <c r="Z423" i="2"/>
  <c r="U423" i="2"/>
  <c r="T423" i="2"/>
  <c r="S423" i="2"/>
  <c r="R423" i="2"/>
  <c r="O423" i="2"/>
  <c r="N423" i="2"/>
  <c r="M423" i="2"/>
  <c r="Z422" i="2"/>
  <c r="U422" i="2"/>
  <c r="T422" i="2"/>
  <c r="S422" i="2"/>
  <c r="R422" i="2"/>
  <c r="O422" i="2"/>
  <c r="N422" i="2"/>
  <c r="M422" i="2"/>
  <c r="Z421" i="2"/>
  <c r="U421" i="2"/>
  <c r="T421" i="2"/>
  <c r="S421" i="2"/>
  <c r="R421" i="2"/>
  <c r="O421" i="2"/>
  <c r="N421" i="2"/>
  <c r="M421" i="2"/>
  <c r="Z420" i="2"/>
  <c r="U420" i="2"/>
  <c r="T420" i="2"/>
  <c r="S420" i="2"/>
  <c r="R420" i="2"/>
  <c r="O420" i="2"/>
  <c r="N420" i="2"/>
  <c r="M420" i="2"/>
  <c r="Z419" i="2"/>
  <c r="U419" i="2"/>
  <c r="T419" i="2"/>
  <c r="S419" i="2"/>
  <c r="R419" i="2"/>
  <c r="O419" i="2"/>
  <c r="N419" i="2"/>
  <c r="M419" i="2"/>
  <c r="Z418" i="2"/>
  <c r="U418" i="2"/>
  <c r="T418" i="2"/>
  <c r="S418" i="2"/>
  <c r="R418" i="2"/>
  <c r="O418" i="2"/>
  <c r="N418" i="2"/>
  <c r="M418" i="2"/>
  <c r="Z417" i="2"/>
  <c r="U417" i="2"/>
  <c r="T417" i="2"/>
  <c r="S417" i="2"/>
  <c r="R417" i="2"/>
  <c r="O417" i="2"/>
  <c r="N417" i="2"/>
  <c r="M417" i="2"/>
  <c r="Z416" i="2"/>
  <c r="U416" i="2"/>
  <c r="T416" i="2"/>
  <c r="S416" i="2"/>
  <c r="R416" i="2"/>
  <c r="O416" i="2"/>
  <c r="N416" i="2"/>
  <c r="M416" i="2"/>
  <c r="Z415" i="2"/>
  <c r="U415" i="2"/>
  <c r="T415" i="2"/>
  <c r="S415" i="2"/>
  <c r="R415" i="2"/>
  <c r="O415" i="2"/>
  <c r="N415" i="2"/>
  <c r="M415" i="2"/>
  <c r="Z414" i="2"/>
  <c r="U414" i="2"/>
  <c r="T414" i="2"/>
  <c r="S414" i="2"/>
  <c r="R414" i="2"/>
  <c r="O414" i="2"/>
  <c r="N414" i="2"/>
  <c r="M414" i="2"/>
  <c r="Z413" i="2"/>
  <c r="U413" i="2"/>
  <c r="T413" i="2"/>
  <c r="S413" i="2"/>
  <c r="R413" i="2"/>
  <c r="O413" i="2"/>
  <c r="N413" i="2"/>
  <c r="M413" i="2"/>
  <c r="Z412" i="2"/>
  <c r="U412" i="2"/>
  <c r="T412" i="2"/>
  <c r="S412" i="2"/>
  <c r="R412" i="2"/>
  <c r="O412" i="2"/>
  <c r="N412" i="2"/>
  <c r="M412" i="2"/>
  <c r="Z411" i="2"/>
  <c r="U411" i="2"/>
  <c r="T411" i="2"/>
  <c r="S411" i="2"/>
  <c r="R411" i="2"/>
  <c r="O411" i="2"/>
  <c r="N411" i="2"/>
  <c r="M411" i="2"/>
  <c r="Z410" i="2"/>
  <c r="U410" i="2"/>
  <c r="T410" i="2"/>
  <c r="S410" i="2"/>
  <c r="R410" i="2"/>
  <c r="O410" i="2"/>
  <c r="N410" i="2"/>
  <c r="M410" i="2"/>
  <c r="Z409" i="2"/>
  <c r="U409" i="2"/>
  <c r="T409" i="2"/>
  <c r="S409" i="2"/>
  <c r="R409" i="2"/>
  <c r="O409" i="2"/>
  <c r="N409" i="2"/>
  <c r="M409" i="2"/>
  <c r="Z408" i="2"/>
  <c r="U408" i="2"/>
  <c r="T408" i="2"/>
  <c r="S408" i="2"/>
  <c r="R408" i="2"/>
  <c r="O408" i="2"/>
  <c r="N408" i="2"/>
  <c r="M408" i="2"/>
  <c r="Z407" i="2"/>
  <c r="U407" i="2"/>
  <c r="T407" i="2"/>
  <c r="S407" i="2"/>
  <c r="R407" i="2"/>
  <c r="O407" i="2"/>
  <c r="N407" i="2"/>
  <c r="M407" i="2"/>
  <c r="Z406" i="2"/>
  <c r="U406" i="2"/>
  <c r="T406" i="2"/>
  <c r="S406" i="2"/>
  <c r="R406" i="2"/>
  <c r="O406" i="2"/>
  <c r="N406" i="2"/>
  <c r="M406" i="2"/>
  <c r="Z405" i="2"/>
  <c r="U405" i="2"/>
  <c r="T405" i="2"/>
  <c r="S405" i="2"/>
  <c r="R405" i="2"/>
  <c r="O405" i="2"/>
  <c r="N405" i="2"/>
  <c r="M405" i="2"/>
  <c r="Z404" i="2"/>
  <c r="U404" i="2"/>
  <c r="T404" i="2"/>
  <c r="S404" i="2"/>
  <c r="R404" i="2"/>
  <c r="O404" i="2"/>
  <c r="N404" i="2"/>
  <c r="M404" i="2"/>
  <c r="Z403" i="2"/>
  <c r="U403" i="2"/>
  <c r="T403" i="2"/>
  <c r="S403" i="2"/>
  <c r="R403" i="2"/>
  <c r="O403" i="2"/>
  <c r="N403" i="2"/>
  <c r="M403" i="2"/>
  <c r="Z402" i="2"/>
  <c r="U402" i="2"/>
  <c r="T402" i="2"/>
  <c r="S402" i="2"/>
  <c r="R402" i="2"/>
  <c r="O402" i="2"/>
  <c r="N402" i="2"/>
  <c r="M402" i="2"/>
  <c r="Z401" i="2"/>
  <c r="U401" i="2"/>
  <c r="T401" i="2"/>
  <c r="S401" i="2"/>
  <c r="R401" i="2"/>
  <c r="O401" i="2"/>
  <c r="N401" i="2"/>
  <c r="M401" i="2"/>
  <c r="Z400" i="2"/>
  <c r="U400" i="2"/>
  <c r="T400" i="2"/>
  <c r="S400" i="2"/>
  <c r="R400" i="2"/>
  <c r="O400" i="2"/>
  <c r="N400" i="2"/>
  <c r="M400" i="2"/>
  <c r="Z399" i="2"/>
  <c r="U399" i="2"/>
  <c r="T399" i="2"/>
  <c r="S399" i="2"/>
  <c r="R399" i="2"/>
  <c r="O399" i="2"/>
  <c r="N399" i="2"/>
  <c r="M399" i="2"/>
  <c r="Z398" i="2"/>
  <c r="U398" i="2"/>
  <c r="T398" i="2"/>
  <c r="S398" i="2"/>
  <c r="R398" i="2"/>
  <c r="O398" i="2"/>
  <c r="N398" i="2"/>
  <c r="M398" i="2"/>
  <c r="Z397" i="2"/>
  <c r="U397" i="2"/>
  <c r="T397" i="2"/>
  <c r="S397" i="2"/>
  <c r="R397" i="2"/>
  <c r="O397" i="2"/>
  <c r="N397" i="2"/>
  <c r="M397" i="2"/>
  <c r="Z396" i="2"/>
  <c r="U396" i="2"/>
  <c r="T396" i="2"/>
  <c r="S396" i="2"/>
  <c r="R396" i="2"/>
  <c r="O396" i="2"/>
  <c r="N396" i="2"/>
  <c r="M396" i="2"/>
  <c r="Z395" i="2"/>
  <c r="U395" i="2"/>
  <c r="T395" i="2"/>
  <c r="S395" i="2"/>
  <c r="R395" i="2"/>
  <c r="O395" i="2"/>
  <c r="N395" i="2"/>
  <c r="M395" i="2"/>
  <c r="Z394" i="2"/>
  <c r="U394" i="2"/>
  <c r="T394" i="2"/>
  <c r="S394" i="2"/>
  <c r="R394" i="2"/>
  <c r="O394" i="2"/>
  <c r="N394" i="2"/>
  <c r="M394" i="2"/>
  <c r="Z393" i="2"/>
  <c r="U393" i="2"/>
  <c r="T393" i="2"/>
  <c r="S393" i="2"/>
  <c r="R393" i="2"/>
  <c r="O393" i="2"/>
  <c r="N393" i="2"/>
  <c r="M393" i="2"/>
  <c r="Z392" i="2"/>
  <c r="U392" i="2"/>
  <c r="T392" i="2"/>
  <c r="S392" i="2"/>
  <c r="R392" i="2"/>
  <c r="O392" i="2"/>
  <c r="N392" i="2"/>
  <c r="M392" i="2"/>
  <c r="Z391" i="2"/>
  <c r="U391" i="2"/>
  <c r="T391" i="2"/>
  <c r="S391" i="2"/>
  <c r="R391" i="2"/>
  <c r="O391" i="2"/>
  <c r="N391" i="2"/>
  <c r="M391" i="2"/>
  <c r="Z390" i="2"/>
  <c r="U390" i="2"/>
  <c r="T390" i="2"/>
  <c r="S390" i="2"/>
  <c r="R390" i="2"/>
  <c r="O390" i="2"/>
  <c r="N390" i="2"/>
  <c r="M390" i="2"/>
  <c r="Z389" i="2"/>
  <c r="U389" i="2"/>
  <c r="T389" i="2"/>
  <c r="S389" i="2"/>
  <c r="R389" i="2"/>
  <c r="O389" i="2"/>
  <c r="N389" i="2"/>
  <c r="M389" i="2"/>
  <c r="Z388" i="2"/>
  <c r="U388" i="2"/>
  <c r="T388" i="2"/>
  <c r="S388" i="2"/>
  <c r="R388" i="2"/>
  <c r="O388" i="2"/>
  <c r="N388" i="2"/>
  <c r="M388" i="2"/>
  <c r="Z387" i="2"/>
  <c r="U387" i="2"/>
  <c r="T387" i="2"/>
  <c r="S387" i="2"/>
  <c r="R387" i="2"/>
  <c r="O387" i="2"/>
  <c r="N387" i="2"/>
  <c r="M387" i="2"/>
  <c r="Z386" i="2"/>
  <c r="U386" i="2"/>
  <c r="T386" i="2"/>
  <c r="S386" i="2"/>
  <c r="R386" i="2"/>
  <c r="O386" i="2"/>
  <c r="N386" i="2"/>
  <c r="M386" i="2"/>
  <c r="Z385" i="2"/>
  <c r="U385" i="2"/>
  <c r="T385" i="2"/>
  <c r="S385" i="2"/>
  <c r="R385" i="2"/>
  <c r="O385" i="2"/>
  <c r="N385" i="2"/>
  <c r="M385" i="2"/>
  <c r="Z384" i="2"/>
  <c r="U384" i="2"/>
  <c r="T384" i="2"/>
  <c r="S384" i="2"/>
  <c r="R384" i="2"/>
  <c r="O384" i="2"/>
  <c r="N384" i="2"/>
  <c r="M384" i="2"/>
  <c r="Z383" i="2"/>
  <c r="U383" i="2"/>
  <c r="T383" i="2"/>
  <c r="S383" i="2"/>
  <c r="R383" i="2"/>
  <c r="O383" i="2"/>
  <c r="N383" i="2"/>
  <c r="M383" i="2"/>
  <c r="Z382" i="2"/>
  <c r="U382" i="2"/>
  <c r="T382" i="2"/>
  <c r="S382" i="2"/>
  <c r="R382" i="2"/>
  <c r="O382" i="2"/>
  <c r="N382" i="2"/>
  <c r="M382" i="2"/>
  <c r="Z381" i="2"/>
  <c r="U381" i="2"/>
  <c r="T381" i="2"/>
  <c r="S381" i="2"/>
  <c r="R381" i="2"/>
  <c r="O381" i="2"/>
  <c r="N381" i="2"/>
  <c r="M381" i="2"/>
  <c r="Z380" i="2"/>
  <c r="U380" i="2"/>
  <c r="T380" i="2"/>
  <c r="S380" i="2"/>
  <c r="R380" i="2"/>
  <c r="O380" i="2"/>
  <c r="N380" i="2"/>
  <c r="M380" i="2"/>
  <c r="Z379" i="2"/>
  <c r="U379" i="2"/>
  <c r="T379" i="2"/>
  <c r="S379" i="2"/>
  <c r="R379" i="2"/>
  <c r="O379" i="2"/>
  <c r="N379" i="2"/>
  <c r="M379" i="2"/>
  <c r="Z378" i="2"/>
  <c r="U378" i="2"/>
  <c r="T378" i="2"/>
  <c r="S378" i="2"/>
  <c r="R378" i="2"/>
  <c r="O378" i="2"/>
  <c r="N378" i="2"/>
  <c r="M378" i="2"/>
  <c r="Z377" i="2"/>
  <c r="U377" i="2"/>
  <c r="T377" i="2"/>
  <c r="S377" i="2"/>
  <c r="R377" i="2"/>
  <c r="O377" i="2"/>
  <c r="N377" i="2"/>
  <c r="M377" i="2"/>
  <c r="Z376" i="2"/>
  <c r="U376" i="2"/>
  <c r="T376" i="2"/>
  <c r="S376" i="2"/>
  <c r="R376" i="2"/>
  <c r="O376" i="2"/>
  <c r="N376" i="2"/>
  <c r="M376" i="2"/>
  <c r="Z375" i="2"/>
  <c r="U375" i="2"/>
  <c r="T375" i="2"/>
  <c r="S375" i="2"/>
  <c r="R375" i="2"/>
  <c r="O375" i="2"/>
  <c r="N375" i="2"/>
  <c r="M375" i="2"/>
  <c r="Z374" i="2"/>
  <c r="U374" i="2"/>
  <c r="T374" i="2"/>
  <c r="S374" i="2"/>
  <c r="R374" i="2"/>
  <c r="O374" i="2"/>
  <c r="N374" i="2"/>
  <c r="M374" i="2"/>
  <c r="Z373" i="2"/>
  <c r="U373" i="2"/>
  <c r="T373" i="2"/>
  <c r="S373" i="2"/>
  <c r="R373" i="2"/>
  <c r="O373" i="2"/>
  <c r="N373" i="2"/>
  <c r="M373" i="2"/>
  <c r="Z372" i="2"/>
  <c r="U372" i="2"/>
  <c r="T372" i="2"/>
  <c r="S372" i="2"/>
  <c r="R372" i="2"/>
  <c r="O372" i="2"/>
  <c r="N372" i="2"/>
  <c r="M372" i="2"/>
  <c r="Z371" i="2"/>
  <c r="U371" i="2"/>
  <c r="T371" i="2"/>
  <c r="S371" i="2"/>
  <c r="R371" i="2"/>
  <c r="O371" i="2"/>
  <c r="N371" i="2"/>
  <c r="M371" i="2"/>
  <c r="Z370" i="2"/>
  <c r="U370" i="2"/>
  <c r="T370" i="2"/>
  <c r="S370" i="2"/>
  <c r="R370" i="2"/>
  <c r="O370" i="2"/>
  <c r="N370" i="2"/>
  <c r="M370" i="2"/>
  <c r="Z369" i="2"/>
  <c r="U369" i="2"/>
  <c r="T369" i="2"/>
  <c r="S369" i="2"/>
  <c r="R369" i="2"/>
  <c r="O369" i="2"/>
  <c r="N369" i="2"/>
  <c r="M369" i="2"/>
  <c r="Z368" i="2"/>
  <c r="U368" i="2"/>
  <c r="T368" i="2"/>
  <c r="S368" i="2"/>
  <c r="R368" i="2"/>
  <c r="O368" i="2"/>
  <c r="N368" i="2"/>
  <c r="M368" i="2"/>
  <c r="Z367" i="2"/>
  <c r="U367" i="2"/>
  <c r="T367" i="2"/>
  <c r="S367" i="2"/>
  <c r="R367" i="2"/>
  <c r="O367" i="2"/>
  <c r="N367" i="2"/>
  <c r="M367" i="2"/>
  <c r="Z366" i="2"/>
  <c r="U366" i="2"/>
  <c r="T366" i="2"/>
  <c r="S366" i="2"/>
  <c r="R366" i="2"/>
  <c r="O366" i="2"/>
  <c r="N366" i="2"/>
  <c r="M366" i="2"/>
  <c r="Z365" i="2"/>
  <c r="U365" i="2"/>
  <c r="T365" i="2"/>
  <c r="S365" i="2"/>
  <c r="R365" i="2"/>
  <c r="O365" i="2"/>
  <c r="N365" i="2"/>
  <c r="M365" i="2"/>
  <c r="Z364" i="2"/>
  <c r="U364" i="2"/>
  <c r="T364" i="2"/>
  <c r="S364" i="2"/>
  <c r="R364" i="2"/>
  <c r="O364" i="2"/>
  <c r="N364" i="2"/>
  <c r="M364" i="2"/>
  <c r="Z363" i="2"/>
  <c r="U363" i="2"/>
  <c r="T363" i="2"/>
  <c r="S363" i="2"/>
  <c r="R363" i="2"/>
  <c r="O363" i="2"/>
  <c r="N363" i="2"/>
  <c r="M363" i="2"/>
  <c r="Z362" i="2"/>
  <c r="U362" i="2"/>
  <c r="T362" i="2"/>
  <c r="S362" i="2"/>
  <c r="R362" i="2"/>
  <c r="O362" i="2"/>
  <c r="N362" i="2"/>
  <c r="M362" i="2"/>
  <c r="Z361" i="2"/>
  <c r="U361" i="2"/>
  <c r="T361" i="2"/>
  <c r="S361" i="2"/>
  <c r="R361" i="2"/>
  <c r="O361" i="2"/>
  <c r="N361" i="2"/>
  <c r="M361" i="2"/>
  <c r="Z360" i="2"/>
  <c r="U360" i="2"/>
  <c r="T360" i="2"/>
  <c r="S360" i="2"/>
  <c r="R360" i="2"/>
  <c r="O360" i="2"/>
  <c r="N360" i="2"/>
  <c r="M360" i="2"/>
  <c r="Z359" i="2"/>
  <c r="U359" i="2"/>
  <c r="T359" i="2"/>
  <c r="S359" i="2"/>
  <c r="R359" i="2"/>
  <c r="O359" i="2"/>
  <c r="N359" i="2"/>
  <c r="M359" i="2"/>
  <c r="Z358" i="2"/>
  <c r="U358" i="2"/>
  <c r="T358" i="2"/>
  <c r="S358" i="2"/>
  <c r="R358" i="2"/>
  <c r="O358" i="2"/>
  <c r="N358" i="2"/>
  <c r="M358" i="2"/>
  <c r="Z357" i="2"/>
  <c r="U357" i="2"/>
  <c r="T357" i="2"/>
  <c r="S357" i="2"/>
  <c r="R357" i="2"/>
  <c r="O357" i="2"/>
  <c r="N357" i="2"/>
  <c r="M357" i="2"/>
  <c r="Z356" i="2"/>
  <c r="U356" i="2"/>
  <c r="T356" i="2"/>
  <c r="S356" i="2"/>
  <c r="R356" i="2"/>
  <c r="O356" i="2"/>
  <c r="N356" i="2"/>
  <c r="M356" i="2"/>
  <c r="Z355" i="2"/>
  <c r="U355" i="2"/>
  <c r="T355" i="2"/>
  <c r="S355" i="2"/>
  <c r="R355" i="2"/>
  <c r="O355" i="2"/>
  <c r="N355" i="2"/>
  <c r="M355" i="2"/>
  <c r="Z354" i="2"/>
  <c r="U354" i="2"/>
  <c r="T354" i="2"/>
  <c r="S354" i="2"/>
  <c r="R354" i="2"/>
  <c r="O354" i="2"/>
  <c r="N354" i="2"/>
  <c r="M354" i="2"/>
  <c r="Z353" i="2"/>
  <c r="U353" i="2"/>
  <c r="T353" i="2"/>
  <c r="S353" i="2"/>
  <c r="R353" i="2"/>
  <c r="O353" i="2"/>
  <c r="N353" i="2"/>
  <c r="M353" i="2"/>
  <c r="Z352" i="2"/>
  <c r="U352" i="2"/>
  <c r="T352" i="2"/>
  <c r="S352" i="2"/>
  <c r="R352" i="2"/>
  <c r="O352" i="2"/>
  <c r="N352" i="2"/>
  <c r="M352" i="2"/>
  <c r="Z351" i="2"/>
  <c r="U351" i="2"/>
  <c r="T351" i="2"/>
  <c r="S351" i="2"/>
  <c r="R351" i="2"/>
  <c r="O351" i="2"/>
  <c r="N351" i="2"/>
  <c r="M351" i="2"/>
  <c r="Z350" i="2"/>
  <c r="U350" i="2"/>
  <c r="T350" i="2"/>
  <c r="S350" i="2"/>
  <c r="R350" i="2"/>
  <c r="O350" i="2"/>
  <c r="N350" i="2"/>
  <c r="M350" i="2"/>
  <c r="Z349" i="2"/>
  <c r="U349" i="2"/>
  <c r="T349" i="2"/>
  <c r="S349" i="2"/>
  <c r="R349" i="2"/>
  <c r="O349" i="2"/>
  <c r="N349" i="2"/>
  <c r="M349" i="2"/>
  <c r="Z348" i="2"/>
  <c r="U348" i="2"/>
  <c r="T348" i="2"/>
  <c r="S348" i="2"/>
  <c r="R348" i="2"/>
  <c r="O348" i="2"/>
  <c r="N348" i="2"/>
  <c r="M348" i="2"/>
  <c r="Z347" i="2"/>
  <c r="U347" i="2"/>
  <c r="T347" i="2"/>
  <c r="S347" i="2"/>
  <c r="R347" i="2"/>
  <c r="O347" i="2"/>
  <c r="N347" i="2"/>
  <c r="M347" i="2"/>
  <c r="Z346" i="2"/>
  <c r="U346" i="2"/>
  <c r="T346" i="2"/>
  <c r="S346" i="2"/>
  <c r="R346" i="2"/>
  <c r="O346" i="2"/>
  <c r="N346" i="2"/>
  <c r="M346" i="2"/>
  <c r="Z345" i="2"/>
  <c r="U345" i="2"/>
  <c r="T345" i="2"/>
  <c r="S345" i="2"/>
  <c r="R345" i="2"/>
  <c r="O345" i="2"/>
  <c r="N345" i="2"/>
  <c r="M345" i="2"/>
  <c r="Z344" i="2"/>
  <c r="U344" i="2"/>
  <c r="T344" i="2"/>
  <c r="S344" i="2"/>
  <c r="R344" i="2"/>
  <c r="O344" i="2"/>
  <c r="N344" i="2"/>
  <c r="M344" i="2"/>
  <c r="Z343" i="2"/>
  <c r="U343" i="2"/>
  <c r="T343" i="2"/>
  <c r="S343" i="2"/>
  <c r="R343" i="2"/>
  <c r="O343" i="2"/>
  <c r="N343" i="2"/>
  <c r="M343" i="2"/>
  <c r="Z342" i="2"/>
  <c r="U342" i="2"/>
  <c r="T342" i="2"/>
  <c r="S342" i="2"/>
  <c r="R342" i="2"/>
  <c r="O342" i="2"/>
  <c r="N342" i="2"/>
  <c r="M342" i="2"/>
  <c r="U340" i="2"/>
  <c r="T340" i="2"/>
  <c r="S340" i="2"/>
  <c r="R340" i="2"/>
  <c r="O340" i="2"/>
  <c r="N340" i="2"/>
  <c r="M340" i="2"/>
  <c r="Z339" i="2"/>
  <c r="U339" i="2"/>
  <c r="T339" i="2"/>
  <c r="S339" i="2"/>
  <c r="R339" i="2"/>
  <c r="O339" i="2"/>
  <c r="N339" i="2"/>
  <c r="M339" i="2"/>
  <c r="Z338" i="2"/>
  <c r="U338" i="2"/>
  <c r="T338" i="2"/>
  <c r="S338" i="2"/>
  <c r="R338" i="2"/>
  <c r="O338" i="2"/>
  <c r="N338" i="2"/>
  <c r="M338" i="2"/>
  <c r="Z337" i="2"/>
  <c r="U337" i="2"/>
  <c r="T337" i="2"/>
  <c r="S337" i="2"/>
  <c r="R337" i="2"/>
  <c r="O337" i="2"/>
  <c r="N337" i="2"/>
  <c r="M337" i="2"/>
  <c r="Z335" i="2"/>
  <c r="U335" i="2"/>
  <c r="T335" i="2"/>
  <c r="S335" i="2"/>
  <c r="R335" i="2"/>
  <c r="O335" i="2"/>
  <c r="N335" i="2"/>
  <c r="M335" i="2"/>
  <c r="Z334" i="2"/>
  <c r="U334" i="2"/>
  <c r="T334" i="2"/>
  <c r="S334" i="2"/>
  <c r="R334" i="2"/>
  <c r="O334" i="2"/>
  <c r="N334" i="2"/>
  <c r="M334" i="2"/>
  <c r="Z333" i="2"/>
  <c r="U333" i="2"/>
  <c r="T333" i="2"/>
  <c r="S333" i="2"/>
  <c r="R333" i="2"/>
  <c r="O333" i="2"/>
  <c r="N333" i="2"/>
  <c r="M333" i="2"/>
  <c r="Z332" i="2"/>
  <c r="U332" i="2"/>
  <c r="T332" i="2"/>
  <c r="S332" i="2"/>
  <c r="R332" i="2"/>
  <c r="O332" i="2"/>
  <c r="N332" i="2"/>
  <c r="M332" i="2"/>
  <c r="Z331" i="2"/>
  <c r="U331" i="2"/>
  <c r="T331" i="2"/>
  <c r="S331" i="2"/>
  <c r="R331" i="2"/>
  <c r="O331" i="2"/>
  <c r="N331" i="2"/>
  <c r="M331" i="2"/>
  <c r="Z330" i="2"/>
  <c r="U330" i="2"/>
  <c r="T330" i="2"/>
  <c r="S330" i="2"/>
  <c r="R330" i="2"/>
  <c r="O330" i="2"/>
  <c r="N330" i="2"/>
  <c r="M330" i="2"/>
  <c r="Z329" i="2"/>
  <c r="U329" i="2"/>
  <c r="T329" i="2"/>
  <c r="S329" i="2"/>
  <c r="R329" i="2"/>
  <c r="O329" i="2"/>
  <c r="N329" i="2"/>
  <c r="M329" i="2"/>
  <c r="Z328" i="2"/>
  <c r="U328" i="2"/>
  <c r="T328" i="2"/>
  <c r="S328" i="2"/>
  <c r="R328" i="2"/>
  <c r="O328" i="2"/>
  <c r="N328" i="2"/>
  <c r="M328" i="2"/>
  <c r="Z327" i="2"/>
  <c r="U327" i="2"/>
  <c r="T327" i="2"/>
  <c r="S327" i="2"/>
  <c r="R327" i="2"/>
  <c r="O327" i="2"/>
  <c r="N327" i="2"/>
  <c r="M327" i="2"/>
  <c r="Z326" i="2"/>
  <c r="U326" i="2"/>
  <c r="T326" i="2"/>
  <c r="S326" i="2"/>
  <c r="R326" i="2"/>
  <c r="O326" i="2"/>
  <c r="N326" i="2"/>
  <c r="M326" i="2"/>
  <c r="Z325" i="2"/>
  <c r="U325" i="2"/>
  <c r="T325" i="2"/>
  <c r="S325" i="2"/>
  <c r="R325" i="2"/>
  <c r="O325" i="2"/>
  <c r="N325" i="2"/>
  <c r="M325" i="2"/>
  <c r="Z324" i="2"/>
  <c r="U324" i="2"/>
  <c r="T324" i="2"/>
  <c r="S324" i="2"/>
  <c r="R324" i="2"/>
  <c r="O324" i="2"/>
  <c r="N324" i="2"/>
  <c r="M324" i="2"/>
  <c r="Z323" i="2"/>
  <c r="U323" i="2"/>
  <c r="T323" i="2"/>
  <c r="S323" i="2"/>
  <c r="R323" i="2"/>
  <c r="O323" i="2"/>
  <c r="N323" i="2"/>
  <c r="M323" i="2"/>
  <c r="Z322" i="2"/>
  <c r="U322" i="2"/>
  <c r="T322" i="2"/>
  <c r="S322" i="2"/>
  <c r="R322" i="2"/>
  <c r="O322" i="2"/>
  <c r="N322" i="2"/>
  <c r="M322" i="2"/>
  <c r="Z321" i="2"/>
  <c r="U321" i="2"/>
  <c r="T321" i="2"/>
  <c r="S321" i="2"/>
  <c r="R321" i="2"/>
  <c r="O321" i="2"/>
  <c r="N321" i="2"/>
  <c r="M321" i="2"/>
  <c r="Z320" i="2"/>
  <c r="U320" i="2"/>
  <c r="T320" i="2"/>
  <c r="S320" i="2"/>
  <c r="R320" i="2"/>
  <c r="O320" i="2"/>
  <c r="N320" i="2"/>
  <c r="M320" i="2"/>
  <c r="Z319" i="2"/>
  <c r="U319" i="2"/>
  <c r="T319" i="2"/>
  <c r="S319" i="2"/>
  <c r="R319" i="2"/>
  <c r="O319" i="2"/>
  <c r="N319" i="2"/>
  <c r="M319" i="2"/>
  <c r="Z318" i="2"/>
  <c r="U318" i="2"/>
  <c r="T318" i="2"/>
  <c r="S318" i="2"/>
  <c r="R318" i="2"/>
  <c r="O318" i="2"/>
  <c r="N318" i="2"/>
  <c r="M318" i="2"/>
  <c r="Z317" i="2"/>
  <c r="U317" i="2"/>
  <c r="T317" i="2"/>
  <c r="S317" i="2"/>
  <c r="R317" i="2"/>
  <c r="O317" i="2"/>
  <c r="N317" i="2"/>
  <c r="M317" i="2"/>
  <c r="Z316" i="2"/>
  <c r="U316" i="2"/>
  <c r="T316" i="2"/>
  <c r="S316" i="2"/>
  <c r="R316" i="2"/>
  <c r="O316" i="2"/>
  <c r="N316" i="2"/>
  <c r="M316" i="2"/>
  <c r="Z315" i="2"/>
  <c r="U315" i="2"/>
  <c r="T315" i="2"/>
  <c r="S315" i="2"/>
  <c r="R315" i="2"/>
  <c r="O315" i="2"/>
  <c r="N315" i="2"/>
  <c r="M315" i="2"/>
  <c r="Z314" i="2"/>
  <c r="U314" i="2"/>
  <c r="T314" i="2"/>
  <c r="S314" i="2"/>
  <c r="R314" i="2"/>
  <c r="O314" i="2"/>
  <c r="N314" i="2"/>
  <c r="M314" i="2"/>
  <c r="Z313" i="2"/>
  <c r="U313" i="2"/>
  <c r="T313" i="2"/>
  <c r="S313" i="2"/>
  <c r="R313" i="2"/>
  <c r="O313" i="2"/>
  <c r="N313" i="2"/>
  <c r="M313" i="2"/>
  <c r="Z312" i="2"/>
  <c r="U312" i="2"/>
  <c r="T312" i="2"/>
  <c r="S312" i="2"/>
  <c r="R312" i="2"/>
  <c r="O312" i="2"/>
  <c r="N312" i="2"/>
  <c r="M312" i="2"/>
  <c r="Z311" i="2"/>
  <c r="U311" i="2"/>
  <c r="T311" i="2"/>
  <c r="S311" i="2"/>
  <c r="R311" i="2"/>
  <c r="O311" i="2"/>
  <c r="N311" i="2"/>
  <c r="M311" i="2"/>
  <c r="Z310" i="2"/>
  <c r="U310" i="2"/>
  <c r="T310" i="2"/>
  <c r="S310" i="2"/>
  <c r="R310" i="2"/>
  <c r="O310" i="2"/>
  <c r="N310" i="2"/>
  <c r="M310" i="2"/>
  <c r="Z309" i="2"/>
  <c r="U309" i="2"/>
  <c r="T309" i="2"/>
  <c r="S309" i="2"/>
  <c r="R309" i="2"/>
  <c r="O309" i="2"/>
  <c r="N309" i="2"/>
  <c r="M309" i="2"/>
  <c r="Z308" i="2"/>
  <c r="U308" i="2"/>
  <c r="T308" i="2"/>
  <c r="S308" i="2"/>
  <c r="R308" i="2"/>
  <c r="O308" i="2"/>
  <c r="N308" i="2"/>
  <c r="M308" i="2"/>
  <c r="Z307" i="2"/>
  <c r="U307" i="2"/>
  <c r="T307" i="2"/>
  <c r="S307" i="2"/>
  <c r="R307" i="2"/>
  <c r="O307" i="2"/>
  <c r="N307" i="2"/>
  <c r="M307" i="2"/>
  <c r="Z306" i="2"/>
  <c r="U306" i="2"/>
  <c r="T306" i="2"/>
  <c r="S306" i="2"/>
  <c r="R306" i="2"/>
  <c r="O306" i="2"/>
  <c r="N306" i="2"/>
  <c r="M306" i="2"/>
  <c r="Z305" i="2"/>
  <c r="U305" i="2"/>
  <c r="T305" i="2"/>
  <c r="S305" i="2"/>
  <c r="R305" i="2"/>
  <c r="O305" i="2"/>
  <c r="N305" i="2"/>
  <c r="M305" i="2"/>
  <c r="Z304" i="2"/>
  <c r="U304" i="2"/>
  <c r="T304" i="2"/>
  <c r="S304" i="2"/>
  <c r="R304" i="2"/>
  <c r="O304" i="2"/>
  <c r="N304" i="2"/>
  <c r="M304" i="2"/>
  <c r="Z303" i="2"/>
  <c r="U303" i="2"/>
  <c r="T303" i="2"/>
  <c r="S303" i="2"/>
  <c r="R303" i="2"/>
  <c r="O303" i="2"/>
  <c r="N303" i="2"/>
  <c r="M303" i="2"/>
  <c r="Z302" i="2"/>
  <c r="U302" i="2"/>
  <c r="T302" i="2"/>
  <c r="S302" i="2"/>
  <c r="R302" i="2"/>
  <c r="O302" i="2"/>
  <c r="N302" i="2"/>
  <c r="M302" i="2"/>
  <c r="Z301" i="2"/>
  <c r="U301" i="2"/>
  <c r="T301" i="2"/>
  <c r="S301" i="2"/>
  <c r="R301" i="2"/>
  <c r="O301" i="2"/>
  <c r="N301" i="2"/>
  <c r="M301" i="2"/>
  <c r="Z300" i="2"/>
  <c r="U300" i="2"/>
  <c r="T300" i="2"/>
  <c r="S300" i="2"/>
  <c r="R300" i="2"/>
  <c r="O300" i="2"/>
  <c r="N300" i="2"/>
  <c r="M300" i="2"/>
  <c r="Z299" i="2"/>
  <c r="U299" i="2"/>
  <c r="T299" i="2"/>
  <c r="S299" i="2"/>
  <c r="R299" i="2"/>
  <c r="O299" i="2"/>
  <c r="N299" i="2"/>
  <c r="M299" i="2"/>
  <c r="Z298" i="2"/>
  <c r="U298" i="2"/>
  <c r="T298" i="2"/>
  <c r="S298" i="2"/>
  <c r="R298" i="2"/>
  <c r="O298" i="2"/>
  <c r="N298" i="2"/>
  <c r="M298" i="2"/>
  <c r="Z297" i="2"/>
  <c r="U297" i="2"/>
  <c r="T297" i="2"/>
  <c r="S297" i="2"/>
  <c r="R297" i="2"/>
  <c r="O297" i="2"/>
  <c r="N297" i="2"/>
  <c r="M297" i="2"/>
  <c r="Z296" i="2"/>
  <c r="U296" i="2"/>
  <c r="T296" i="2"/>
  <c r="S296" i="2"/>
  <c r="R296" i="2"/>
  <c r="O296" i="2"/>
  <c r="N296" i="2"/>
  <c r="M296" i="2"/>
  <c r="Z295" i="2"/>
  <c r="U295" i="2"/>
  <c r="T295" i="2"/>
  <c r="S295" i="2"/>
  <c r="R295" i="2"/>
  <c r="O295" i="2"/>
  <c r="N295" i="2"/>
  <c r="M295" i="2"/>
  <c r="Z294" i="2"/>
  <c r="U294" i="2"/>
  <c r="T294" i="2"/>
  <c r="S294" i="2"/>
  <c r="R294" i="2"/>
  <c r="O294" i="2"/>
  <c r="N294" i="2"/>
  <c r="M294" i="2"/>
  <c r="Z293" i="2"/>
  <c r="U293" i="2"/>
  <c r="T293" i="2"/>
  <c r="S293" i="2"/>
  <c r="R293" i="2"/>
  <c r="O293" i="2"/>
  <c r="N293" i="2"/>
  <c r="M293" i="2"/>
  <c r="Z292" i="2"/>
  <c r="U292" i="2"/>
  <c r="T292" i="2"/>
  <c r="S292" i="2"/>
  <c r="R292" i="2"/>
  <c r="O292" i="2"/>
  <c r="N292" i="2"/>
  <c r="M292" i="2"/>
  <c r="Z291" i="2"/>
  <c r="U291" i="2"/>
  <c r="T291" i="2"/>
  <c r="S291" i="2"/>
  <c r="R291" i="2"/>
  <c r="O291" i="2"/>
  <c r="N291" i="2"/>
  <c r="M291" i="2"/>
  <c r="Z290" i="2"/>
  <c r="U290" i="2"/>
  <c r="T290" i="2"/>
  <c r="S290" i="2"/>
  <c r="R290" i="2"/>
  <c r="O290" i="2"/>
  <c r="N290" i="2"/>
  <c r="M290" i="2"/>
  <c r="Z289" i="2"/>
  <c r="U289" i="2"/>
  <c r="T289" i="2"/>
  <c r="S289" i="2"/>
  <c r="R289" i="2"/>
  <c r="O289" i="2"/>
  <c r="N289" i="2"/>
  <c r="M289" i="2"/>
  <c r="Z288" i="2"/>
  <c r="U288" i="2"/>
  <c r="T288" i="2"/>
  <c r="S288" i="2"/>
  <c r="R288" i="2"/>
  <c r="O288" i="2"/>
  <c r="N288" i="2"/>
  <c r="M288" i="2"/>
  <c r="Z287" i="2"/>
  <c r="U287" i="2"/>
  <c r="T287" i="2"/>
  <c r="S287" i="2"/>
  <c r="R287" i="2"/>
  <c r="O287" i="2"/>
  <c r="N287" i="2"/>
  <c r="M287" i="2"/>
  <c r="Z286" i="2"/>
  <c r="U286" i="2"/>
  <c r="T286" i="2"/>
  <c r="S286" i="2"/>
  <c r="R286" i="2"/>
  <c r="O286" i="2"/>
  <c r="N286" i="2"/>
  <c r="M286" i="2"/>
  <c r="Z285" i="2"/>
  <c r="U285" i="2"/>
  <c r="T285" i="2"/>
  <c r="S285" i="2"/>
  <c r="R285" i="2"/>
  <c r="O285" i="2"/>
  <c r="N285" i="2"/>
  <c r="M285" i="2"/>
  <c r="Z284" i="2"/>
  <c r="U284" i="2"/>
  <c r="T284" i="2"/>
  <c r="S284" i="2"/>
  <c r="R284" i="2"/>
  <c r="O284" i="2"/>
  <c r="N284" i="2"/>
  <c r="M284" i="2"/>
  <c r="Z283" i="2"/>
  <c r="U283" i="2"/>
  <c r="T283" i="2"/>
  <c r="S283" i="2"/>
  <c r="R283" i="2"/>
  <c r="O283" i="2"/>
  <c r="N283" i="2"/>
  <c r="M283" i="2"/>
  <c r="Z282" i="2"/>
  <c r="U282" i="2"/>
  <c r="T282" i="2"/>
  <c r="S282" i="2"/>
  <c r="R282" i="2"/>
  <c r="O282" i="2"/>
  <c r="N282" i="2"/>
  <c r="M282" i="2"/>
  <c r="Z281" i="2"/>
  <c r="U281" i="2"/>
  <c r="T281" i="2"/>
  <c r="S281" i="2"/>
  <c r="R281" i="2"/>
  <c r="O281" i="2"/>
  <c r="N281" i="2"/>
  <c r="M281" i="2"/>
  <c r="Z280" i="2"/>
  <c r="U280" i="2"/>
  <c r="T280" i="2"/>
  <c r="S280" i="2"/>
  <c r="R280" i="2"/>
  <c r="O280" i="2"/>
  <c r="N280" i="2"/>
  <c r="M280" i="2"/>
  <c r="Z279" i="2"/>
  <c r="U279" i="2"/>
  <c r="T279" i="2"/>
  <c r="S279" i="2"/>
  <c r="R279" i="2"/>
  <c r="O279" i="2"/>
  <c r="N279" i="2"/>
  <c r="M279" i="2"/>
  <c r="Z278" i="2"/>
  <c r="U278" i="2"/>
  <c r="T278" i="2"/>
  <c r="S278" i="2"/>
  <c r="R278" i="2"/>
  <c r="O278" i="2"/>
  <c r="N278" i="2"/>
  <c r="M278" i="2"/>
  <c r="Z277" i="2"/>
  <c r="U277" i="2"/>
  <c r="T277" i="2"/>
  <c r="S277" i="2"/>
  <c r="R277" i="2"/>
  <c r="O277" i="2"/>
  <c r="N277" i="2"/>
  <c r="M277" i="2"/>
  <c r="Z276" i="2"/>
  <c r="U276" i="2"/>
  <c r="T276" i="2"/>
  <c r="S276" i="2"/>
  <c r="R276" i="2"/>
  <c r="O276" i="2"/>
  <c r="N276" i="2"/>
  <c r="M276" i="2"/>
  <c r="Z275" i="2"/>
  <c r="U275" i="2"/>
  <c r="T275" i="2"/>
  <c r="S275" i="2"/>
  <c r="R275" i="2"/>
  <c r="O275" i="2"/>
  <c r="N275" i="2"/>
  <c r="M275" i="2"/>
  <c r="Z274" i="2"/>
  <c r="U274" i="2"/>
  <c r="T274" i="2"/>
  <c r="S274" i="2"/>
  <c r="R274" i="2"/>
  <c r="O274" i="2"/>
  <c r="N274" i="2"/>
  <c r="M274" i="2"/>
  <c r="Z273" i="2"/>
  <c r="U273" i="2"/>
  <c r="T273" i="2"/>
  <c r="S273" i="2"/>
  <c r="R273" i="2"/>
  <c r="O273" i="2"/>
  <c r="N273" i="2"/>
  <c r="M273" i="2"/>
  <c r="Z272" i="2"/>
  <c r="U272" i="2"/>
  <c r="T272" i="2"/>
  <c r="S272" i="2"/>
  <c r="R272" i="2"/>
  <c r="O272" i="2"/>
  <c r="N272" i="2"/>
  <c r="M272" i="2"/>
  <c r="Z271" i="2"/>
  <c r="U271" i="2"/>
  <c r="T271" i="2"/>
  <c r="S271" i="2"/>
  <c r="R271" i="2"/>
  <c r="O271" i="2"/>
  <c r="N271" i="2"/>
  <c r="M271" i="2"/>
  <c r="Z270" i="2"/>
  <c r="U270" i="2"/>
  <c r="T270" i="2"/>
  <c r="S270" i="2"/>
  <c r="R270" i="2"/>
  <c r="O270" i="2"/>
  <c r="N270" i="2"/>
  <c r="M270" i="2"/>
  <c r="Z269" i="2"/>
  <c r="U269" i="2"/>
  <c r="T269" i="2"/>
  <c r="S269" i="2"/>
  <c r="R269" i="2"/>
  <c r="O269" i="2"/>
  <c r="N269" i="2"/>
  <c r="M269" i="2"/>
  <c r="Z268" i="2"/>
  <c r="U268" i="2"/>
  <c r="T268" i="2"/>
  <c r="S268" i="2"/>
  <c r="R268" i="2"/>
  <c r="O268" i="2"/>
  <c r="N268" i="2"/>
  <c r="M268" i="2"/>
  <c r="Z267" i="2"/>
  <c r="U267" i="2"/>
  <c r="T267" i="2"/>
  <c r="S267" i="2"/>
  <c r="R267" i="2"/>
  <c r="O267" i="2"/>
  <c r="N267" i="2"/>
  <c r="M267" i="2"/>
  <c r="Z266" i="2"/>
  <c r="U266" i="2"/>
  <c r="T266" i="2"/>
  <c r="S266" i="2"/>
  <c r="R266" i="2"/>
  <c r="O266" i="2"/>
  <c r="N266" i="2"/>
  <c r="M266" i="2"/>
  <c r="Z265" i="2"/>
  <c r="U265" i="2"/>
  <c r="T265" i="2"/>
  <c r="S265" i="2"/>
  <c r="R265" i="2"/>
  <c r="O265" i="2"/>
  <c r="N265" i="2"/>
  <c r="M265" i="2"/>
  <c r="Z264" i="2"/>
  <c r="U264" i="2"/>
  <c r="T264" i="2"/>
  <c r="S264" i="2"/>
  <c r="R264" i="2"/>
  <c r="O264" i="2"/>
  <c r="N264" i="2"/>
  <c r="M264" i="2"/>
  <c r="Z263" i="2"/>
  <c r="U263" i="2"/>
  <c r="T263" i="2"/>
  <c r="S263" i="2"/>
  <c r="R263" i="2"/>
  <c r="O263" i="2"/>
  <c r="N263" i="2"/>
  <c r="M263" i="2"/>
  <c r="U262" i="2"/>
  <c r="T262" i="2"/>
  <c r="S262" i="2"/>
  <c r="R262" i="2"/>
  <c r="Z261" i="2"/>
  <c r="U261" i="2"/>
  <c r="T261" i="2"/>
  <c r="S261" i="2"/>
  <c r="R261" i="2"/>
  <c r="Z260" i="2"/>
  <c r="U260" i="2"/>
  <c r="T260" i="2"/>
  <c r="S260" i="2"/>
  <c r="R260" i="2"/>
  <c r="Z259" i="2"/>
  <c r="U259" i="2"/>
  <c r="T259" i="2"/>
  <c r="S259" i="2"/>
  <c r="R259" i="2"/>
  <c r="Z258" i="2"/>
  <c r="U258" i="2"/>
  <c r="T258" i="2"/>
  <c r="S258" i="2"/>
  <c r="R258" i="2"/>
  <c r="Z257" i="2"/>
  <c r="U257" i="2"/>
  <c r="T257" i="2"/>
  <c r="S257" i="2"/>
  <c r="R257" i="2"/>
  <c r="O257" i="2"/>
  <c r="N257" i="2"/>
  <c r="M257" i="2"/>
  <c r="Z256" i="2"/>
  <c r="U256" i="2"/>
  <c r="T256" i="2"/>
  <c r="S256" i="2"/>
  <c r="R256" i="2"/>
  <c r="O256" i="2"/>
  <c r="N256" i="2"/>
  <c r="M256" i="2"/>
  <c r="Z255" i="2"/>
  <c r="U255" i="2"/>
  <c r="T255" i="2"/>
  <c r="S255" i="2"/>
  <c r="R255" i="2"/>
  <c r="O255" i="2"/>
  <c r="N255" i="2"/>
  <c r="M255" i="2"/>
  <c r="Z254" i="2"/>
  <c r="U254" i="2"/>
  <c r="T254" i="2"/>
  <c r="S254" i="2"/>
  <c r="R254" i="2"/>
  <c r="O254" i="2"/>
  <c r="N254" i="2"/>
  <c r="M254" i="2"/>
  <c r="Z253" i="2"/>
  <c r="U253" i="2"/>
  <c r="T253" i="2"/>
  <c r="S253" i="2"/>
  <c r="R253" i="2"/>
  <c r="O253" i="2"/>
  <c r="N253" i="2"/>
  <c r="M253" i="2"/>
  <c r="Z252" i="2"/>
  <c r="U252" i="2"/>
  <c r="T252" i="2"/>
  <c r="S252" i="2"/>
  <c r="R252" i="2"/>
  <c r="O252" i="2"/>
  <c r="N252" i="2"/>
  <c r="M252" i="2"/>
  <c r="Z251" i="2"/>
  <c r="U251" i="2"/>
  <c r="T251" i="2"/>
  <c r="S251" i="2"/>
  <c r="R251" i="2"/>
  <c r="O251" i="2"/>
  <c r="N251" i="2"/>
  <c r="M251" i="2"/>
  <c r="Z250" i="2"/>
  <c r="U250" i="2"/>
  <c r="T250" i="2"/>
  <c r="S250" i="2"/>
  <c r="R250" i="2"/>
  <c r="O250" i="2"/>
  <c r="N250" i="2"/>
  <c r="M250" i="2"/>
  <c r="Z249" i="2"/>
  <c r="U249" i="2"/>
  <c r="T249" i="2"/>
  <c r="S249" i="2"/>
  <c r="R249" i="2"/>
  <c r="O249" i="2"/>
  <c r="N249" i="2"/>
  <c r="M249" i="2"/>
  <c r="Z248" i="2"/>
  <c r="U248" i="2"/>
  <c r="T248" i="2"/>
  <c r="S248" i="2"/>
  <c r="R248" i="2"/>
  <c r="O248" i="2"/>
  <c r="N248" i="2"/>
  <c r="M248" i="2"/>
  <c r="Z247" i="2"/>
  <c r="U247" i="2"/>
  <c r="T247" i="2"/>
  <c r="S247" i="2"/>
  <c r="R247" i="2"/>
  <c r="O247" i="2"/>
  <c r="N247" i="2"/>
  <c r="M247" i="2"/>
  <c r="Z246" i="2"/>
  <c r="U246" i="2"/>
  <c r="T246" i="2"/>
  <c r="S246" i="2"/>
  <c r="R246" i="2"/>
  <c r="O246" i="2"/>
  <c r="N246" i="2"/>
  <c r="M246" i="2"/>
  <c r="Z245" i="2"/>
  <c r="U245" i="2"/>
  <c r="T245" i="2"/>
  <c r="S245" i="2"/>
  <c r="R245" i="2"/>
  <c r="O245" i="2"/>
  <c r="N245" i="2"/>
  <c r="M245" i="2"/>
  <c r="Z244" i="2"/>
  <c r="U244" i="2"/>
  <c r="T244" i="2"/>
  <c r="S244" i="2"/>
  <c r="R244" i="2"/>
  <c r="O244" i="2"/>
  <c r="N244" i="2"/>
  <c r="M244" i="2"/>
  <c r="Z243" i="2"/>
  <c r="U243" i="2"/>
  <c r="T243" i="2"/>
  <c r="S243" i="2"/>
  <c r="R243" i="2"/>
  <c r="O243" i="2"/>
  <c r="N243" i="2"/>
  <c r="M243" i="2"/>
  <c r="Z242" i="2"/>
  <c r="U242" i="2"/>
  <c r="T242" i="2"/>
  <c r="S242" i="2"/>
  <c r="R242" i="2"/>
  <c r="O242" i="2"/>
  <c r="N242" i="2"/>
  <c r="M242" i="2"/>
  <c r="Z241" i="2"/>
  <c r="U241" i="2"/>
  <c r="T241" i="2"/>
  <c r="S241" i="2"/>
  <c r="R241" i="2"/>
  <c r="O241" i="2"/>
  <c r="N241" i="2"/>
  <c r="M241" i="2"/>
  <c r="Z240" i="2"/>
  <c r="U240" i="2"/>
  <c r="T240" i="2"/>
  <c r="S240" i="2"/>
  <c r="R240" i="2"/>
  <c r="O240" i="2"/>
  <c r="N240" i="2"/>
  <c r="M240" i="2"/>
  <c r="Z239" i="2"/>
  <c r="U239" i="2"/>
  <c r="T239" i="2"/>
  <c r="S239" i="2"/>
  <c r="R239" i="2"/>
  <c r="O239" i="2"/>
  <c r="N239" i="2"/>
  <c r="M239" i="2"/>
  <c r="Z238" i="2"/>
  <c r="U238" i="2"/>
  <c r="T238" i="2"/>
  <c r="S238" i="2"/>
  <c r="R238" i="2"/>
  <c r="O238" i="2"/>
  <c r="N238" i="2"/>
  <c r="M238" i="2"/>
  <c r="Z237" i="2"/>
  <c r="U237" i="2"/>
  <c r="T237" i="2"/>
  <c r="S237" i="2"/>
  <c r="R237" i="2"/>
  <c r="O237" i="2"/>
  <c r="N237" i="2"/>
  <c r="M237" i="2"/>
  <c r="Z236" i="2"/>
  <c r="U236" i="2"/>
  <c r="T236" i="2"/>
  <c r="S236" i="2"/>
  <c r="R236" i="2"/>
  <c r="O236" i="2"/>
  <c r="N236" i="2"/>
  <c r="M236" i="2"/>
  <c r="Z235" i="2"/>
  <c r="U235" i="2"/>
  <c r="T235" i="2"/>
  <c r="S235" i="2"/>
  <c r="R235" i="2"/>
  <c r="O235" i="2"/>
  <c r="N235" i="2"/>
  <c r="M235" i="2"/>
  <c r="Z234" i="2"/>
  <c r="U234" i="2"/>
  <c r="T234" i="2"/>
  <c r="S234" i="2"/>
  <c r="R234" i="2"/>
  <c r="O234" i="2"/>
  <c r="N234" i="2"/>
  <c r="M234" i="2"/>
  <c r="Z233" i="2"/>
  <c r="U233" i="2"/>
  <c r="T233" i="2"/>
  <c r="S233" i="2"/>
  <c r="R233" i="2"/>
  <c r="O233" i="2"/>
  <c r="N233" i="2"/>
  <c r="M233" i="2"/>
  <c r="Z232" i="2"/>
  <c r="U232" i="2"/>
  <c r="T232" i="2"/>
  <c r="S232" i="2"/>
  <c r="R232" i="2"/>
  <c r="O232" i="2"/>
  <c r="N232" i="2"/>
  <c r="M232" i="2"/>
  <c r="Z231" i="2"/>
  <c r="U231" i="2"/>
  <c r="T231" i="2"/>
  <c r="S231" i="2"/>
  <c r="R231" i="2"/>
  <c r="O231" i="2"/>
  <c r="N231" i="2"/>
  <c r="M231" i="2"/>
  <c r="Z230" i="2"/>
  <c r="U230" i="2"/>
  <c r="T230" i="2"/>
  <c r="S230" i="2"/>
  <c r="R230" i="2"/>
  <c r="O230" i="2"/>
  <c r="N230" i="2"/>
  <c r="M230" i="2"/>
  <c r="Z229" i="2"/>
  <c r="U229" i="2"/>
  <c r="T229" i="2"/>
  <c r="S229" i="2"/>
  <c r="R229" i="2"/>
  <c r="O229" i="2"/>
  <c r="N229" i="2"/>
  <c r="M229" i="2"/>
  <c r="Z228" i="2"/>
  <c r="U228" i="2"/>
  <c r="T228" i="2"/>
  <c r="S228" i="2"/>
  <c r="R228" i="2"/>
  <c r="O228" i="2"/>
  <c r="N228" i="2"/>
  <c r="M228" i="2"/>
  <c r="Z227" i="2"/>
  <c r="U227" i="2"/>
  <c r="T227" i="2"/>
  <c r="S227" i="2"/>
  <c r="R227" i="2"/>
  <c r="O227" i="2"/>
  <c r="N227" i="2"/>
  <c r="M227" i="2"/>
  <c r="Z226" i="2"/>
  <c r="U226" i="2"/>
  <c r="T226" i="2"/>
  <c r="S226" i="2"/>
  <c r="R226" i="2"/>
  <c r="O226" i="2"/>
  <c r="N226" i="2"/>
  <c r="M226" i="2"/>
  <c r="Z225" i="2"/>
  <c r="U225" i="2"/>
  <c r="T225" i="2"/>
  <c r="S225" i="2"/>
  <c r="R225" i="2"/>
  <c r="O225" i="2"/>
  <c r="N225" i="2"/>
  <c r="M225" i="2"/>
  <c r="Z224" i="2"/>
  <c r="U224" i="2"/>
  <c r="T224" i="2"/>
  <c r="S224" i="2"/>
  <c r="R224" i="2"/>
  <c r="O224" i="2"/>
  <c r="N224" i="2"/>
  <c r="M224" i="2"/>
  <c r="Z223" i="2"/>
  <c r="U223" i="2"/>
  <c r="T223" i="2"/>
  <c r="S223" i="2"/>
  <c r="R223" i="2"/>
  <c r="O223" i="2"/>
  <c r="N223" i="2"/>
  <c r="M223" i="2"/>
  <c r="Z222" i="2"/>
  <c r="U222" i="2"/>
  <c r="T222" i="2"/>
  <c r="S222" i="2"/>
  <c r="R222" i="2"/>
  <c r="O222" i="2"/>
  <c r="N222" i="2"/>
  <c r="M222" i="2"/>
  <c r="Z221" i="2"/>
  <c r="U221" i="2"/>
  <c r="T221" i="2"/>
  <c r="S221" i="2"/>
  <c r="R221" i="2"/>
  <c r="O221" i="2"/>
  <c r="N221" i="2"/>
  <c r="M221" i="2"/>
  <c r="Z220" i="2"/>
  <c r="U220" i="2"/>
  <c r="T220" i="2"/>
  <c r="S220" i="2"/>
  <c r="R220" i="2"/>
  <c r="O220" i="2"/>
  <c r="N220" i="2"/>
  <c r="M220" i="2"/>
  <c r="Z219" i="2"/>
  <c r="U219" i="2"/>
  <c r="T219" i="2"/>
  <c r="S219" i="2"/>
  <c r="R219" i="2"/>
  <c r="O219" i="2"/>
  <c r="N219" i="2"/>
  <c r="M219" i="2"/>
  <c r="Z218" i="2"/>
  <c r="U218" i="2"/>
  <c r="T218" i="2"/>
  <c r="S218" i="2"/>
  <c r="R218" i="2"/>
  <c r="O218" i="2"/>
  <c r="N218" i="2"/>
  <c r="M218" i="2"/>
  <c r="Z217" i="2"/>
  <c r="U217" i="2"/>
  <c r="T217" i="2"/>
  <c r="S217" i="2"/>
  <c r="R217" i="2"/>
  <c r="O217" i="2"/>
  <c r="N217" i="2"/>
  <c r="M217" i="2"/>
  <c r="Z216" i="2"/>
  <c r="U216" i="2"/>
  <c r="T216" i="2"/>
  <c r="S216" i="2"/>
  <c r="R216" i="2"/>
  <c r="O216" i="2"/>
  <c r="N216" i="2"/>
  <c r="M216" i="2"/>
  <c r="Z215" i="2"/>
  <c r="U215" i="2"/>
  <c r="T215" i="2"/>
  <c r="S215" i="2"/>
  <c r="R215" i="2"/>
  <c r="O215" i="2"/>
  <c r="N215" i="2"/>
  <c r="M215" i="2"/>
  <c r="Z214" i="2"/>
  <c r="U214" i="2"/>
  <c r="T214" i="2"/>
  <c r="S214" i="2"/>
  <c r="R214" i="2"/>
  <c r="O214" i="2"/>
  <c r="N214" i="2"/>
  <c r="M214" i="2"/>
  <c r="Z213" i="2"/>
  <c r="U213" i="2"/>
  <c r="T213" i="2"/>
  <c r="S213" i="2"/>
  <c r="R213" i="2"/>
  <c r="O213" i="2"/>
  <c r="N213" i="2"/>
  <c r="M213" i="2"/>
  <c r="Z212" i="2"/>
  <c r="U212" i="2"/>
  <c r="T212" i="2"/>
  <c r="S212" i="2"/>
  <c r="R212" i="2"/>
  <c r="O212" i="2"/>
  <c r="N212" i="2"/>
  <c r="M212" i="2"/>
  <c r="Z211" i="2"/>
  <c r="U211" i="2"/>
  <c r="T211" i="2"/>
  <c r="S211" i="2"/>
  <c r="R211" i="2"/>
  <c r="O211" i="2"/>
  <c r="N211" i="2"/>
  <c r="M211" i="2"/>
  <c r="Z210" i="2"/>
  <c r="U210" i="2"/>
  <c r="T210" i="2"/>
  <c r="S210" i="2"/>
  <c r="R210" i="2"/>
  <c r="O210" i="2"/>
  <c r="N210" i="2"/>
  <c r="M210" i="2"/>
  <c r="Z209" i="2"/>
  <c r="U209" i="2"/>
  <c r="T209" i="2"/>
  <c r="S209" i="2"/>
  <c r="R209" i="2"/>
  <c r="O209" i="2"/>
  <c r="N209" i="2"/>
  <c r="M209" i="2"/>
  <c r="Z208" i="2"/>
  <c r="U208" i="2"/>
  <c r="T208" i="2"/>
  <c r="S208" i="2"/>
  <c r="R208" i="2"/>
  <c r="O208" i="2"/>
  <c r="N208" i="2"/>
  <c r="M208" i="2"/>
  <c r="Z207" i="2"/>
  <c r="U207" i="2"/>
  <c r="T207" i="2"/>
  <c r="S207" i="2"/>
  <c r="R207" i="2"/>
  <c r="O207" i="2"/>
  <c r="N207" i="2"/>
  <c r="M207" i="2"/>
  <c r="Z206" i="2"/>
  <c r="U206" i="2"/>
  <c r="T206" i="2"/>
  <c r="S206" i="2"/>
  <c r="R206" i="2"/>
  <c r="O206" i="2"/>
  <c r="N206" i="2"/>
  <c r="M206" i="2"/>
  <c r="Z205" i="2"/>
  <c r="U205" i="2"/>
  <c r="T205" i="2"/>
  <c r="S205" i="2"/>
  <c r="R205" i="2"/>
  <c r="O205" i="2"/>
  <c r="N205" i="2"/>
  <c r="M205" i="2"/>
  <c r="Z204" i="2"/>
  <c r="U204" i="2"/>
  <c r="T204" i="2"/>
  <c r="S204" i="2"/>
  <c r="R204" i="2"/>
  <c r="O204" i="2"/>
  <c r="N204" i="2"/>
  <c r="M204" i="2"/>
  <c r="Z203" i="2"/>
  <c r="U203" i="2"/>
  <c r="T203" i="2"/>
  <c r="S203" i="2"/>
  <c r="R203" i="2"/>
  <c r="O203" i="2"/>
  <c r="N203" i="2"/>
  <c r="M203" i="2"/>
  <c r="Z202" i="2"/>
  <c r="U202" i="2"/>
  <c r="T202" i="2"/>
  <c r="S202" i="2"/>
  <c r="R202" i="2"/>
  <c r="O202" i="2"/>
  <c r="N202" i="2"/>
  <c r="M202" i="2"/>
  <c r="Z201" i="2"/>
  <c r="U201" i="2"/>
  <c r="T201" i="2"/>
  <c r="S201" i="2"/>
  <c r="R201" i="2"/>
  <c r="O201" i="2"/>
  <c r="N201" i="2"/>
  <c r="M201" i="2"/>
  <c r="Z200" i="2"/>
  <c r="U200" i="2"/>
  <c r="T200" i="2"/>
  <c r="S200" i="2"/>
  <c r="R200" i="2"/>
  <c r="O200" i="2"/>
  <c r="N200" i="2"/>
  <c r="M200" i="2"/>
  <c r="Z199" i="2"/>
  <c r="U199" i="2"/>
  <c r="T199" i="2"/>
  <c r="S199" i="2"/>
  <c r="R199" i="2"/>
  <c r="O199" i="2"/>
  <c r="N199" i="2"/>
  <c r="M199" i="2"/>
  <c r="Z198" i="2"/>
  <c r="U198" i="2"/>
  <c r="T198" i="2"/>
  <c r="S198" i="2"/>
  <c r="R198" i="2"/>
  <c r="O198" i="2"/>
  <c r="N198" i="2"/>
  <c r="M198" i="2"/>
  <c r="Z197" i="2"/>
  <c r="U197" i="2"/>
  <c r="T197" i="2"/>
  <c r="S197" i="2"/>
  <c r="R197" i="2"/>
  <c r="O197" i="2"/>
  <c r="N197" i="2"/>
  <c r="M197" i="2"/>
  <c r="Z196" i="2"/>
  <c r="U196" i="2"/>
  <c r="T196" i="2"/>
  <c r="S196" i="2"/>
  <c r="R196" i="2"/>
  <c r="O196" i="2"/>
  <c r="N196" i="2"/>
  <c r="M196" i="2"/>
  <c r="Z195" i="2"/>
  <c r="U195" i="2"/>
  <c r="T195" i="2"/>
  <c r="S195" i="2"/>
  <c r="R195" i="2"/>
  <c r="O195" i="2"/>
  <c r="N195" i="2"/>
  <c r="M195" i="2"/>
  <c r="Z194" i="2"/>
  <c r="U194" i="2"/>
  <c r="T194" i="2"/>
  <c r="S194" i="2"/>
  <c r="R194" i="2"/>
  <c r="O194" i="2"/>
  <c r="N194" i="2"/>
  <c r="M194" i="2"/>
  <c r="Z193" i="2"/>
  <c r="U193" i="2"/>
  <c r="T193" i="2"/>
  <c r="S193" i="2"/>
  <c r="R193" i="2"/>
  <c r="O193" i="2"/>
  <c r="N193" i="2"/>
  <c r="M193" i="2"/>
  <c r="Z192" i="2"/>
  <c r="U192" i="2"/>
  <c r="T192" i="2"/>
  <c r="S192" i="2"/>
  <c r="R192" i="2"/>
  <c r="O192" i="2"/>
  <c r="N192" i="2"/>
  <c r="M192" i="2"/>
  <c r="Z191" i="2"/>
  <c r="U191" i="2"/>
  <c r="T191" i="2"/>
  <c r="S191" i="2"/>
  <c r="R191" i="2"/>
  <c r="O191" i="2"/>
  <c r="N191" i="2"/>
  <c r="M191" i="2"/>
  <c r="Z190" i="2"/>
  <c r="U190" i="2"/>
  <c r="T190" i="2"/>
  <c r="S190" i="2"/>
  <c r="R190" i="2"/>
  <c r="O190" i="2"/>
  <c r="N190" i="2"/>
  <c r="M190" i="2"/>
  <c r="Z189" i="2"/>
  <c r="U189" i="2"/>
  <c r="T189" i="2"/>
  <c r="S189" i="2"/>
  <c r="R189" i="2"/>
  <c r="O189" i="2"/>
  <c r="N189" i="2"/>
  <c r="M189" i="2"/>
  <c r="Z188" i="2"/>
  <c r="U188" i="2"/>
  <c r="T188" i="2"/>
  <c r="S188" i="2"/>
  <c r="R188" i="2"/>
  <c r="O188" i="2"/>
  <c r="N188" i="2"/>
  <c r="M188" i="2"/>
  <c r="Z187" i="2"/>
  <c r="U187" i="2"/>
  <c r="T187" i="2"/>
  <c r="S187" i="2"/>
  <c r="R187" i="2"/>
  <c r="O187" i="2"/>
  <c r="N187" i="2"/>
  <c r="M187" i="2"/>
  <c r="Z186" i="2"/>
  <c r="U186" i="2"/>
  <c r="T186" i="2"/>
  <c r="S186" i="2"/>
  <c r="R186" i="2"/>
  <c r="O186" i="2"/>
  <c r="N186" i="2"/>
  <c r="M186" i="2"/>
  <c r="Z185" i="2"/>
  <c r="U185" i="2"/>
  <c r="T185" i="2"/>
  <c r="S185" i="2"/>
  <c r="R185" i="2"/>
  <c r="O185" i="2"/>
  <c r="N185" i="2"/>
  <c r="M185" i="2"/>
  <c r="Z184" i="2"/>
  <c r="U184" i="2"/>
  <c r="T184" i="2"/>
  <c r="S184" i="2"/>
  <c r="R184" i="2"/>
  <c r="O184" i="2"/>
  <c r="N184" i="2"/>
  <c r="M184" i="2"/>
  <c r="Z183" i="2"/>
  <c r="U183" i="2"/>
  <c r="T183" i="2"/>
  <c r="S183" i="2"/>
  <c r="R183" i="2"/>
  <c r="O183" i="2"/>
  <c r="N183" i="2"/>
  <c r="M183" i="2"/>
  <c r="Z182" i="2"/>
  <c r="U182" i="2"/>
  <c r="T182" i="2"/>
  <c r="S182" i="2"/>
  <c r="R182" i="2"/>
  <c r="O182" i="2"/>
  <c r="N182" i="2"/>
  <c r="M182" i="2"/>
  <c r="Z181" i="2"/>
  <c r="U181" i="2"/>
  <c r="T181" i="2"/>
  <c r="S181" i="2"/>
  <c r="R181" i="2"/>
  <c r="O181" i="2"/>
  <c r="N181" i="2"/>
  <c r="M181" i="2"/>
  <c r="Z180" i="2"/>
  <c r="U180" i="2"/>
  <c r="T180" i="2"/>
  <c r="S180" i="2"/>
  <c r="R180" i="2"/>
  <c r="O180" i="2"/>
  <c r="N180" i="2"/>
  <c r="M180" i="2"/>
  <c r="Z179" i="2"/>
  <c r="U179" i="2"/>
  <c r="T179" i="2"/>
  <c r="S179" i="2"/>
  <c r="R179" i="2"/>
  <c r="O179" i="2"/>
  <c r="N179" i="2"/>
  <c r="M179" i="2"/>
  <c r="Z178" i="2"/>
  <c r="U178" i="2"/>
  <c r="T178" i="2"/>
  <c r="S178" i="2"/>
  <c r="R178" i="2"/>
  <c r="O178" i="2"/>
  <c r="N178" i="2"/>
  <c r="M178" i="2"/>
  <c r="Z177" i="2"/>
  <c r="U177" i="2"/>
  <c r="T177" i="2"/>
  <c r="S177" i="2"/>
  <c r="R177" i="2"/>
  <c r="O177" i="2"/>
  <c r="N177" i="2"/>
  <c r="M177" i="2"/>
  <c r="Z176" i="2"/>
  <c r="U176" i="2"/>
  <c r="T176" i="2"/>
  <c r="S176" i="2"/>
  <c r="R176" i="2"/>
  <c r="O176" i="2"/>
  <c r="N176" i="2"/>
  <c r="M176" i="2"/>
  <c r="Z175" i="2"/>
  <c r="U175" i="2"/>
  <c r="T175" i="2"/>
  <c r="S175" i="2"/>
  <c r="R175" i="2"/>
  <c r="O175" i="2"/>
  <c r="N175" i="2"/>
  <c r="M175" i="2"/>
  <c r="Z174" i="2"/>
  <c r="U174" i="2"/>
  <c r="T174" i="2"/>
  <c r="S174" i="2"/>
  <c r="R174" i="2"/>
  <c r="O174" i="2"/>
  <c r="N174" i="2"/>
  <c r="M174" i="2"/>
  <c r="Z173" i="2"/>
  <c r="U173" i="2"/>
  <c r="T173" i="2"/>
  <c r="S173" i="2"/>
  <c r="R173" i="2"/>
  <c r="O173" i="2"/>
  <c r="N173" i="2"/>
  <c r="M173" i="2"/>
  <c r="Z172" i="2"/>
  <c r="U172" i="2"/>
  <c r="T172" i="2"/>
  <c r="S172" i="2"/>
  <c r="R172" i="2"/>
  <c r="O172" i="2"/>
  <c r="N172" i="2"/>
  <c r="M172" i="2"/>
  <c r="Z171" i="2"/>
  <c r="U171" i="2"/>
  <c r="T171" i="2"/>
  <c r="S171" i="2"/>
  <c r="R171" i="2"/>
  <c r="O171" i="2"/>
  <c r="N171" i="2"/>
  <c r="M171" i="2"/>
  <c r="Z170" i="2"/>
  <c r="U170" i="2"/>
  <c r="T170" i="2"/>
  <c r="S170" i="2"/>
  <c r="R170" i="2"/>
  <c r="O170" i="2"/>
  <c r="N170" i="2"/>
  <c r="M170" i="2"/>
  <c r="Z169" i="2"/>
  <c r="U169" i="2"/>
  <c r="T169" i="2"/>
  <c r="S169" i="2"/>
  <c r="R169" i="2"/>
  <c r="O169" i="2"/>
  <c r="N169" i="2"/>
  <c r="M169" i="2"/>
  <c r="Z168" i="2"/>
  <c r="U168" i="2"/>
  <c r="T168" i="2"/>
  <c r="S168" i="2"/>
  <c r="R168" i="2"/>
  <c r="O168" i="2"/>
  <c r="N168" i="2"/>
  <c r="M168" i="2"/>
  <c r="Z167" i="2"/>
  <c r="U167" i="2"/>
  <c r="T167" i="2"/>
  <c r="S167" i="2"/>
  <c r="R167" i="2"/>
  <c r="O167" i="2"/>
  <c r="N167" i="2"/>
  <c r="M167" i="2"/>
  <c r="Z166" i="2"/>
  <c r="U166" i="2"/>
  <c r="T166" i="2"/>
  <c r="S166" i="2"/>
  <c r="R166" i="2"/>
  <c r="O166" i="2"/>
  <c r="N166" i="2"/>
  <c r="M166" i="2"/>
  <c r="Z165" i="2"/>
  <c r="U165" i="2"/>
  <c r="T165" i="2"/>
  <c r="S165" i="2"/>
  <c r="R165" i="2"/>
  <c r="O165" i="2"/>
  <c r="N165" i="2"/>
  <c r="M165" i="2"/>
  <c r="Z164" i="2"/>
  <c r="U164" i="2"/>
  <c r="T164" i="2"/>
  <c r="S164" i="2"/>
  <c r="R164" i="2"/>
  <c r="O164" i="2"/>
  <c r="N164" i="2"/>
  <c r="M164" i="2"/>
  <c r="Z163" i="2"/>
  <c r="U163" i="2"/>
  <c r="T163" i="2"/>
  <c r="S163" i="2"/>
  <c r="R163" i="2"/>
  <c r="O163" i="2"/>
  <c r="N163" i="2"/>
  <c r="M163" i="2"/>
  <c r="Z162" i="2"/>
  <c r="U162" i="2"/>
  <c r="T162" i="2"/>
  <c r="S162" i="2"/>
  <c r="R162" i="2"/>
  <c r="O162" i="2"/>
  <c r="N162" i="2"/>
  <c r="M162" i="2"/>
  <c r="Z161" i="2"/>
  <c r="U161" i="2"/>
  <c r="T161" i="2"/>
  <c r="S161" i="2"/>
  <c r="R161" i="2"/>
  <c r="O161" i="2"/>
  <c r="N161" i="2"/>
  <c r="M161" i="2"/>
  <c r="Z160" i="2"/>
  <c r="U160" i="2"/>
  <c r="T160" i="2"/>
  <c r="S160" i="2"/>
  <c r="R160" i="2"/>
  <c r="O160" i="2"/>
  <c r="N160" i="2"/>
  <c r="M160" i="2"/>
  <c r="Z159" i="2"/>
  <c r="U159" i="2"/>
  <c r="T159" i="2"/>
  <c r="S159" i="2"/>
  <c r="R159" i="2"/>
  <c r="O159" i="2"/>
  <c r="N159" i="2"/>
  <c r="M159" i="2"/>
  <c r="Z158" i="2"/>
  <c r="U158" i="2"/>
  <c r="T158" i="2"/>
  <c r="S158" i="2"/>
  <c r="R158" i="2"/>
  <c r="O158" i="2"/>
  <c r="N158" i="2"/>
  <c r="M158" i="2"/>
  <c r="Z157" i="2"/>
  <c r="U157" i="2"/>
  <c r="T157" i="2"/>
  <c r="S157" i="2"/>
  <c r="R157" i="2"/>
  <c r="O157" i="2"/>
  <c r="N157" i="2"/>
  <c r="M157" i="2"/>
  <c r="Z156" i="2"/>
  <c r="U156" i="2"/>
  <c r="T156" i="2"/>
  <c r="S156" i="2"/>
  <c r="R156" i="2"/>
  <c r="O156" i="2"/>
  <c r="N156" i="2"/>
  <c r="M156" i="2"/>
  <c r="Z155" i="2"/>
  <c r="U155" i="2"/>
  <c r="T155" i="2"/>
  <c r="S155" i="2"/>
  <c r="R155" i="2"/>
  <c r="O155" i="2"/>
  <c r="N155" i="2"/>
  <c r="M155" i="2"/>
  <c r="Z154" i="2"/>
  <c r="U154" i="2"/>
  <c r="T154" i="2"/>
  <c r="S154" i="2"/>
  <c r="R154" i="2"/>
  <c r="O154" i="2"/>
  <c r="N154" i="2"/>
  <c r="M154" i="2"/>
  <c r="Z153" i="2"/>
  <c r="U153" i="2"/>
  <c r="T153" i="2"/>
  <c r="S153" i="2"/>
  <c r="R153" i="2"/>
  <c r="O153" i="2"/>
  <c r="N153" i="2"/>
  <c r="M153" i="2"/>
  <c r="Z152" i="2"/>
  <c r="U152" i="2"/>
  <c r="T152" i="2"/>
  <c r="S152" i="2"/>
  <c r="R152" i="2"/>
  <c r="O152" i="2"/>
  <c r="N152" i="2"/>
  <c r="M152" i="2"/>
  <c r="Z151" i="2"/>
  <c r="U151" i="2"/>
  <c r="T151" i="2"/>
  <c r="S151" i="2"/>
  <c r="R151" i="2"/>
  <c r="O151" i="2"/>
  <c r="N151" i="2"/>
  <c r="M151" i="2"/>
  <c r="Z150" i="2"/>
  <c r="U150" i="2"/>
  <c r="T150" i="2"/>
  <c r="S150" i="2"/>
  <c r="R150" i="2"/>
  <c r="O150" i="2"/>
  <c r="N150" i="2"/>
  <c r="M150" i="2"/>
  <c r="Z149" i="2"/>
  <c r="U149" i="2"/>
  <c r="T149" i="2"/>
  <c r="S149" i="2"/>
  <c r="R149" i="2"/>
  <c r="O149" i="2"/>
  <c r="N149" i="2"/>
  <c r="M149" i="2"/>
  <c r="Z148" i="2"/>
  <c r="U148" i="2"/>
  <c r="T148" i="2"/>
  <c r="S148" i="2"/>
  <c r="R148" i="2"/>
  <c r="O148" i="2"/>
  <c r="N148" i="2"/>
  <c r="M148" i="2"/>
  <c r="Z147" i="2"/>
  <c r="U147" i="2"/>
  <c r="T147" i="2"/>
  <c r="S147" i="2"/>
  <c r="R147" i="2"/>
  <c r="O147" i="2"/>
  <c r="N147" i="2"/>
  <c r="M147" i="2"/>
  <c r="Z145" i="2"/>
  <c r="U145" i="2"/>
  <c r="T145" i="2"/>
  <c r="S145" i="2"/>
  <c r="R145" i="2"/>
  <c r="O145" i="2"/>
  <c r="N145" i="2"/>
  <c r="M145" i="2"/>
  <c r="Z144" i="2"/>
  <c r="U144" i="2"/>
  <c r="T144" i="2"/>
  <c r="S144" i="2"/>
  <c r="R144" i="2"/>
  <c r="O144" i="2"/>
  <c r="N144" i="2"/>
  <c r="M144" i="2"/>
  <c r="Z143" i="2"/>
  <c r="U143" i="2"/>
  <c r="T143" i="2"/>
  <c r="S143" i="2"/>
  <c r="R143" i="2"/>
  <c r="O143" i="2"/>
  <c r="N143" i="2"/>
  <c r="M143" i="2"/>
  <c r="Z142" i="2"/>
  <c r="U142" i="2"/>
  <c r="T142" i="2"/>
  <c r="S142" i="2"/>
  <c r="R142" i="2"/>
  <c r="O142" i="2"/>
  <c r="N142" i="2"/>
  <c r="M142" i="2"/>
  <c r="Z141" i="2"/>
  <c r="U141" i="2"/>
  <c r="T141" i="2"/>
  <c r="S141" i="2"/>
  <c r="R141" i="2"/>
  <c r="O141" i="2"/>
  <c r="N141" i="2"/>
  <c r="M141" i="2"/>
  <c r="Z140" i="2"/>
  <c r="U140" i="2"/>
  <c r="T140" i="2"/>
  <c r="S140" i="2"/>
  <c r="R140" i="2"/>
  <c r="O140" i="2"/>
  <c r="N140" i="2"/>
  <c r="M140" i="2"/>
  <c r="Z139" i="2"/>
  <c r="U139" i="2"/>
  <c r="T139" i="2"/>
  <c r="S139" i="2"/>
  <c r="R139" i="2"/>
  <c r="O139" i="2"/>
  <c r="N139" i="2"/>
  <c r="M139" i="2"/>
  <c r="Z138" i="2"/>
  <c r="U138" i="2"/>
  <c r="T138" i="2"/>
  <c r="S138" i="2"/>
  <c r="R138" i="2"/>
  <c r="O138" i="2"/>
  <c r="N138" i="2"/>
  <c r="M138" i="2"/>
  <c r="Z137" i="2"/>
  <c r="U137" i="2"/>
  <c r="T137" i="2"/>
  <c r="S137" i="2"/>
  <c r="R137" i="2"/>
  <c r="O137" i="2"/>
  <c r="N137" i="2"/>
  <c r="M137" i="2"/>
  <c r="Z136" i="2"/>
  <c r="U136" i="2"/>
  <c r="T136" i="2"/>
  <c r="S136" i="2"/>
  <c r="R136" i="2"/>
  <c r="O136" i="2"/>
  <c r="N136" i="2"/>
  <c r="M136" i="2"/>
  <c r="Z135" i="2"/>
  <c r="U135" i="2"/>
  <c r="T135" i="2"/>
  <c r="S135" i="2"/>
  <c r="R135" i="2"/>
  <c r="O135" i="2"/>
  <c r="N135" i="2"/>
  <c r="M135" i="2"/>
  <c r="Z134" i="2"/>
  <c r="U134" i="2"/>
  <c r="T134" i="2"/>
  <c r="S134" i="2"/>
  <c r="R134" i="2"/>
  <c r="O134" i="2"/>
  <c r="N134" i="2"/>
  <c r="M134" i="2"/>
  <c r="Z133" i="2"/>
  <c r="U133" i="2"/>
  <c r="T133" i="2"/>
  <c r="S133" i="2"/>
  <c r="R133" i="2"/>
  <c r="O133" i="2"/>
  <c r="N133" i="2"/>
  <c r="M133" i="2"/>
  <c r="Z132" i="2"/>
  <c r="U132" i="2"/>
  <c r="T132" i="2"/>
  <c r="S132" i="2"/>
  <c r="R132" i="2"/>
  <c r="O132" i="2"/>
  <c r="N132" i="2"/>
  <c r="M132" i="2"/>
  <c r="Z131" i="2"/>
  <c r="U131" i="2"/>
  <c r="T131" i="2"/>
  <c r="S131" i="2"/>
  <c r="R131" i="2"/>
  <c r="O131" i="2"/>
  <c r="N131" i="2"/>
  <c r="M131" i="2"/>
  <c r="Z130" i="2"/>
  <c r="U130" i="2"/>
  <c r="T130" i="2"/>
  <c r="S130" i="2"/>
  <c r="R130" i="2"/>
  <c r="O130" i="2"/>
  <c r="N130" i="2"/>
  <c r="M130" i="2"/>
  <c r="Z129" i="2"/>
  <c r="U129" i="2"/>
  <c r="T129" i="2"/>
  <c r="S129" i="2"/>
  <c r="R129" i="2"/>
  <c r="O129" i="2"/>
  <c r="N129" i="2"/>
  <c r="M129" i="2"/>
  <c r="U127" i="2"/>
  <c r="T127" i="2"/>
  <c r="S127" i="2"/>
  <c r="R127" i="2"/>
  <c r="O127" i="2"/>
  <c r="N127" i="2"/>
  <c r="M127" i="2"/>
  <c r="Z126" i="2"/>
  <c r="U126" i="2"/>
  <c r="T126" i="2"/>
  <c r="S126" i="2"/>
  <c r="R126" i="2"/>
  <c r="O126" i="2"/>
  <c r="N126" i="2"/>
  <c r="M126" i="2"/>
  <c r="Z125" i="2"/>
  <c r="U125" i="2"/>
  <c r="T125" i="2"/>
  <c r="S125" i="2"/>
  <c r="R125" i="2"/>
  <c r="O125" i="2"/>
  <c r="N125" i="2"/>
  <c r="M125" i="2"/>
  <c r="Z124" i="2"/>
  <c r="U124" i="2"/>
  <c r="T124" i="2"/>
  <c r="S124" i="2"/>
  <c r="R124" i="2"/>
  <c r="O124" i="2"/>
  <c r="N124" i="2"/>
  <c r="M124" i="2"/>
  <c r="Z123" i="2"/>
  <c r="U123" i="2"/>
  <c r="T123" i="2"/>
  <c r="S123" i="2"/>
  <c r="R123" i="2"/>
  <c r="O123" i="2"/>
  <c r="N123" i="2"/>
  <c r="M123" i="2"/>
  <c r="Z122" i="2"/>
  <c r="U122" i="2"/>
  <c r="T122" i="2"/>
  <c r="S122" i="2"/>
  <c r="R122" i="2"/>
  <c r="O122" i="2"/>
  <c r="N122" i="2"/>
  <c r="M122" i="2"/>
  <c r="Z121" i="2"/>
  <c r="U121" i="2"/>
  <c r="T121" i="2"/>
  <c r="S121" i="2"/>
  <c r="R121" i="2"/>
  <c r="O121" i="2"/>
  <c r="N121" i="2"/>
  <c r="M121" i="2"/>
  <c r="Z120" i="2"/>
  <c r="U120" i="2"/>
  <c r="T120" i="2"/>
  <c r="S120" i="2"/>
  <c r="R120" i="2"/>
  <c r="O120" i="2"/>
  <c r="N120" i="2"/>
  <c r="M120" i="2"/>
  <c r="Z119" i="2"/>
  <c r="U119" i="2"/>
  <c r="T119" i="2"/>
  <c r="S119" i="2"/>
  <c r="R119" i="2"/>
  <c r="O119" i="2"/>
  <c r="N119" i="2"/>
  <c r="M119" i="2"/>
  <c r="Z118" i="2"/>
  <c r="U118" i="2"/>
  <c r="T118" i="2"/>
  <c r="S118" i="2"/>
  <c r="R118" i="2"/>
  <c r="O118" i="2"/>
  <c r="N118" i="2"/>
  <c r="M118" i="2"/>
  <c r="Z117" i="2"/>
  <c r="U117" i="2"/>
  <c r="T117" i="2"/>
  <c r="S117" i="2"/>
  <c r="R117" i="2"/>
  <c r="O117" i="2"/>
  <c r="N117" i="2"/>
  <c r="M117" i="2"/>
  <c r="Z116" i="2"/>
  <c r="U116" i="2"/>
  <c r="T116" i="2"/>
  <c r="S116" i="2"/>
  <c r="R116" i="2"/>
  <c r="O116" i="2"/>
  <c r="N116" i="2"/>
  <c r="M116" i="2"/>
  <c r="Z115" i="2"/>
  <c r="U115" i="2"/>
  <c r="T115" i="2"/>
  <c r="S115" i="2"/>
  <c r="R115" i="2"/>
  <c r="Z114" i="2"/>
  <c r="U114" i="2"/>
  <c r="T114" i="2"/>
  <c r="S114" i="2"/>
  <c r="R114" i="2"/>
  <c r="Z113" i="2"/>
  <c r="U113" i="2"/>
  <c r="T113" i="2"/>
  <c r="S113" i="2"/>
  <c r="R113" i="2"/>
  <c r="Z112" i="2"/>
  <c r="U112" i="2"/>
  <c r="T112" i="2"/>
  <c r="S112" i="2"/>
  <c r="R112" i="2"/>
  <c r="Z111" i="2"/>
  <c r="U111" i="2"/>
  <c r="T111" i="2"/>
  <c r="S111" i="2"/>
  <c r="R111" i="2"/>
  <c r="O111" i="2"/>
  <c r="N111" i="2"/>
  <c r="M111" i="2"/>
  <c r="Z110" i="2"/>
  <c r="U110" i="2"/>
  <c r="T110" i="2"/>
  <c r="S110" i="2"/>
  <c r="R110" i="2"/>
  <c r="O110" i="2"/>
  <c r="N110" i="2"/>
  <c r="M110" i="2"/>
  <c r="Z109" i="2"/>
  <c r="U109" i="2"/>
  <c r="T109" i="2"/>
  <c r="S109" i="2"/>
  <c r="R109" i="2"/>
  <c r="O109" i="2"/>
  <c r="N109" i="2"/>
  <c r="M109" i="2"/>
  <c r="Z108" i="2"/>
  <c r="U108" i="2"/>
  <c r="T108" i="2"/>
  <c r="S108" i="2"/>
  <c r="R108" i="2"/>
  <c r="O108" i="2"/>
  <c r="N108" i="2"/>
  <c r="M108" i="2"/>
  <c r="Z107" i="2"/>
  <c r="U107" i="2"/>
  <c r="T107" i="2"/>
  <c r="S107" i="2"/>
  <c r="R107" i="2"/>
  <c r="O107" i="2"/>
  <c r="N107" i="2"/>
  <c r="M107" i="2"/>
  <c r="Z106" i="2"/>
  <c r="U106" i="2"/>
  <c r="T106" i="2"/>
  <c r="S106" i="2"/>
  <c r="R106" i="2"/>
  <c r="O106" i="2"/>
  <c r="N106" i="2"/>
  <c r="M106" i="2"/>
  <c r="Z105" i="2"/>
  <c r="U105" i="2"/>
  <c r="T105" i="2"/>
  <c r="S105" i="2"/>
  <c r="R105" i="2"/>
  <c r="O105" i="2"/>
  <c r="N105" i="2"/>
  <c r="M105" i="2"/>
  <c r="Z104" i="2"/>
  <c r="U104" i="2"/>
  <c r="T104" i="2"/>
  <c r="S104" i="2"/>
  <c r="R104" i="2"/>
  <c r="O104" i="2"/>
  <c r="N104" i="2"/>
  <c r="M104" i="2"/>
  <c r="Z103" i="2"/>
  <c r="U103" i="2"/>
  <c r="T103" i="2"/>
  <c r="S103" i="2"/>
  <c r="R103" i="2"/>
  <c r="O103" i="2"/>
  <c r="N103" i="2"/>
  <c r="M103" i="2"/>
  <c r="Z102" i="2"/>
  <c r="U102" i="2"/>
  <c r="T102" i="2"/>
  <c r="S102" i="2"/>
  <c r="R102" i="2"/>
  <c r="O102" i="2"/>
  <c r="N102" i="2"/>
  <c r="M102" i="2"/>
  <c r="Z100" i="2"/>
  <c r="U100" i="2"/>
  <c r="T100" i="2"/>
  <c r="S100" i="2"/>
  <c r="R100" i="2"/>
  <c r="O100" i="2"/>
  <c r="N100" i="2"/>
  <c r="M100" i="2"/>
  <c r="Z99" i="2"/>
  <c r="U99" i="2"/>
  <c r="T99" i="2"/>
  <c r="S99" i="2"/>
  <c r="R99" i="2"/>
  <c r="O99" i="2"/>
  <c r="N99" i="2"/>
  <c r="M99" i="2"/>
  <c r="Z98" i="2"/>
  <c r="U98" i="2"/>
  <c r="T98" i="2"/>
  <c r="S98" i="2"/>
  <c r="R98" i="2"/>
  <c r="O98" i="2"/>
  <c r="N98" i="2"/>
  <c r="M98" i="2"/>
  <c r="Z97" i="2"/>
  <c r="U97" i="2"/>
  <c r="T97" i="2"/>
  <c r="S97" i="2"/>
  <c r="R97" i="2"/>
  <c r="O97" i="2"/>
  <c r="N97" i="2"/>
  <c r="M97" i="2"/>
  <c r="Z96" i="2"/>
  <c r="U96" i="2"/>
  <c r="T96" i="2"/>
  <c r="S96" i="2"/>
  <c r="R96" i="2"/>
  <c r="O96" i="2"/>
  <c r="N96" i="2"/>
  <c r="M96" i="2"/>
  <c r="Z95" i="2"/>
  <c r="U95" i="2"/>
  <c r="T95" i="2"/>
  <c r="S95" i="2"/>
  <c r="R95" i="2"/>
  <c r="O95" i="2"/>
  <c r="N95" i="2"/>
  <c r="M95" i="2"/>
  <c r="Z94" i="2"/>
  <c r="U94" i="2"/>
  <c r="T94" i="2"/>
  <c r="S94" i="2"/>
  <c r="R94" i="2"/>
  <c r="O94" i="2"/>
  <c r="N94" i="2"/>
  <c r="M94" i="2"/>
  <c r="Z93" i="2"/>
  <c r="U93" i="2"/>
  <c r="T93" i="2"/>
  <c r="S93" i="2"/>
  <c r="R93" i="2"/>
  <c r="O93" i="2"/>
  <c r="N93" i="2"/>
  <c r="M93" i="2"/>
  <c r="U91" i="2"/>
  <c r="T91" i="2"/>
  <c r="S91" i="2"/>
  <c r="R91" i="2"/>
  <c r="O91" i="2"/>
  <c r="N91" i="2"/>
  <c r="M91" i="2"/>
  <c r="Z90" i="2"/>
  <c r="U90" i="2"/>
  <c r="T90" i="2"/>
  <c r="S90" i="2"/>
  <c r="R90" i="2"/>
  <c r="O90" i="2"/>
  <c r="N90" i="2"/>
  <c r="M90" i="2"/>
  <c r="Z89" i="2"/>
  <c r="U89" i="2"/>
  <c r="T89" i="2"/>
  <c r="S89" i="2"/>
  <c r="R89" i="2"/>
  <c r="O89" i="2"/>
  <c r="N89" i="2"/>
  <c r="M89" i="2"/>
  <c r="Z88" i="2"/>
  <c r="U88" i="2"/>
  <c r="T88" i="2"/>
  <c r="S88" i="2"/>
  <c r="R88" i="2"/>
  <c r="O88" i="2"/>
  <c r="N88" i="2"/>
  <c r="M88" i="2"/>
  <c r="Z87" i="2"/>
  <c r="U87" i="2"/>
  <c r="T87" i="2"/>
  <c r="S87" i="2"/>
  <c r="R87" i="2"/>
  <c r="O87" i="2"/>
  <c r="N87" i="2"/>
  <c r="M87" i="2"/>
  <c r="Z86" i="2"/>
  <c r="U86" i="2"/>
  <c r="T86" i="2"/>
  <c r="S86" i="2"/>
  <c r="R86" i="2"/>
  <c r="O86" i="2"/>
  <c r="N86" i="2"/>
  <c r="M86" i="2"/>
  <c r="Z85" i="2"/>
  <c r="U85" i="2"/>
  <c r="T85" i="2"/>
  <c r="S85" i="2"/>
  <c r="R85" i="2"/>
  <c r="O85" i="2"/>
  <c r="N85" i="2"/>
  <c r="M85" i="2"/>
  <c r="Z84" i="2"/>
  <c r="U84" i="2"/>
  <c r="T84" i="2"/>
  <c r="S84" i="2"/>
  <c r="R84" i="2"/>
  <c r="O84" i="2"/>
  <c r="N84" i="2"/>
  <c r="M84" i="2"/>
  <c r="Z83" i="2"/>
  <c r="U83" i="2"/>
  <c r="T83" i="2"/>
  <c r="S83" i="2"/>
  <c r="R83" i="2"/>
  <c r="O83" i="2"/>
  <c r="N83" i="2"/>
  <c r="M83" i="2"/>
  <c r="Z82" i="2"/>
  <c r="U82" i="2"/>
  <c r="T82" i="2"/>
  <c r="S82" i="2"/>
  <c r="R82" i="2"/>
  <c r="O82" i="2"/>
  <c r="N82" i="2"/>
  <c r="M82" i="2"/>
  <c r="Z81" i="2"/>
  <c r="U81" i="2"/>
  <c r="T81" i="2"/>
  <c r="S81" i="2"/>
  <c r="R81" i="2"/>
  <c r="O81" i="2"/>
  <c r="N81" i="2"/>
  <c r="M81" i="2"/>
  <c r="Z80" i="2"/>
  <c r="U80" i="2"/>
  <c r="T80" i="2"/>
  <c r="S80" i="2"/>
  <c r="R80" i="2"/>
  <c r="O80" i="2"/>
  <c r="N80" i="2"/>
  <c r="M80" i="2"/>
  <c r="Z79" i="2"/>
  <c r="U79" i="2"/>
  <c r="T79" i="2"/>
  <c r="S79" i="2"/>
  <c r="R79" i="2"/>
  <c r="O79" i="2"/>
  <c r="N79" i="2"/>
  <c r="M79" i="2"/>
  <c r="Z78" i="2"/>
  <c r="U78" i="2"/>
  <c r="T78" i="2"/>
  <c r="S78" i="2"/>
  <c r="R78" i="2"/>
  <c r="O78" i="2"/>
  <c r="N78" i="2"/>
  <c r="M78" i="2"/>
  <c r="Z77" i="2"/>
  <c r="U77" i="2"/>
  <c r="T77" i="2"/>
  <c r="S77" i="2"/>
  <c r="R77" i="2"/>
  <c r="O77" i="2"/>
  <c r="N77" i="2"/>
  <c r="M77" i="2"/>
  <c r="Z76" i="2"/>
  <c r="U76" i="2"/>
  <c r="T76" i="2"/>
  <c r="S76" i="2"/>
  <c r="R76" i="2"/>
  <c r="O76" i="2"/>
  <c r="N76" i="2"/>
  <c r="M76" i="2"/>
  <c r="Z75" i="2"/>
  <c r="U75" i="2"/>
  <c r="T75" i="2"/>
  <c r="S75" i="2"/>
  <c r="R75" i="2"/>
  <c r="O75" i="2"/>
  <c r="N75" i="2"/>
  <c r="M75" i="2"/>
  <c r="Z74" i="2"/>
  <c r="U74" i="2"/>
  <c r="T74" i="2"/>
  <c r="S74" i="2"/>
  <c r="R74" i="2"/>
  <c r="O74" i="2"/>
  <c r="N74" i="2"/>
  <c r="M74" i="2"/>
  <c r="Z73" i="2"/>
  <c r="U73" i="2"/>
  <c r="T73" i="2"/>
  <c r="S73" i="2"/>
  <c r="R73" i="2"/>
  <c r="O73" i="2"/>
  <c r="N73" i="2"/>
  <c r="M73" i="2"/>
  <c r="Z71" i="2"/>
  <c r="U71" i="2"/>
  <c r="T71" i="2"/>
  <c r="S71" i="2"/>
  <c r="R71" i="2"/>
  <c r="O71" i="2"/>
  <c r="N71" i="2"/>
  <c r="M71" i="2"/>
  <c r="Z70" i="2"/>
  <c r="U70" i="2"/>
  <c r="T70" i="2"/>
  <c r="S70" i="2"/>
  <c r="R70" i="2"/>
  <c r="O70" i="2"/>
  <c r="N70" i="2"/>
  <c r="M70" i="2"/>
  <c r="Z69" i="2"/>
  <c r="U69" i="2"/>
  <c r="T69" i="2"/>
  <c r="S69" i="2"/>
  <c r="R69" i="2"/>
  <c r="O69" i="2"/>
  <c r="N69" i="2"/>
  <c r="M69" i="2"/>
  <c r="Z68" i="2"/>
  <c r="U68" i="2"/>
  <c r="T68" i="2"/>
  <c r="S68" i="2"/>
  <c r="R68" i="2"/>
  <c r="O68" i="2"/>
  <c r="N68" i="2"/>
  <c r="M68" i="2"/>
  <c r="Z67" i="2"/>
  <c r="U67" i="2"/>
  <c r="T67" i="2"/>
  <c r="S67" i="2"/>
  <c r="R67" i="2"/>
  <c r="O67" i="2"/>
  <c r="N67" i="2"/>
  <c r="M67" i="2"/>
  <c r="Z66" i="2"/>
  <c r="U66" i="2"/>
  <c r="T66" i="2"/>
  <c r="S66" i="2"/>
  <c r="R66" i="2"/>
  <c r="O66" i="2"/>
  <c r="N66" i="2"/>
  <c r="M66" i="2"/>
  <c r="Z65" i="2"/>
  <c r="U65" i="2"/>
  <c r="T65" i="2"/>
  <c r="S65" i="2"/>
  <c r="R65" i="2"/>
  <c r="O65" i="2"/>
  <c r="N65" i="2"/>
  <c r="M65" i="2"/>
  <c r="Z64" i="2"/>
  <c r="U64" i="2"/>
  <c r="T64" i="2"/>
  <c r="S64" i="2"/>
  <c r="R64" i="2"/>
  <c r="O64" i="2"/>
  <c r="N64" i="2"/>
  <c r="M64" i="2"/>
  <c r="Z63" i="2"/>
  <c r="U63" i="2"/>
  <c r="T63" i="2"/>
  <c r="S63" i="2"/>
  <c r="R63" i="2"/>
  <c r="O63" i="2"/>
  <c r="N63" i="2"/>
  <c r="M63" i="2"/>
  <c r="Z62" i="2"/>
  <c r="U62" i="2"/>
  <c r="T62" i="2"/>
  <c r="S62" i="2"/>
  <c r="R62" i="2"/>
  <c r="O62" i="2"/>
  <c r="N62" i="2"/>
  <c r="M62" i="2"/>
  <c r="Z61" i="2"/>
  <c r="U61" i="2"/>
  <c r="T61" i="2"/>
  <c r="S61" i="2"/>
  <c r="R61" i="2"/>
  <c r="O61" i="2"/>
  <c r="N61" i="2"/>
  <c r="M61" i="2"/>
  <c r="Z60" i="2"/>
  <c r="U60" i="2"/>
  <c r="T60" i="2"/>
  <c r="S60" i="2"/>
  <c r="R60" i="2"/>
  <c r="O60" i="2"/>
  <c r="N60" i="2"/>
  <c r="M60" i="2"/>
  <c r="U59" i="2"/>
  <c r="T59" i="2"/>
  <c r="S59" i="2"/>
  <c r="R59" i="2"/>
  <c r="O59" i="2"/>
  <c r="N59" i="2"/>
  <c r="M59" i="2"/>
  <c r="Z58" i="2"/>
  <c r="U58" i="2"/>
  <c r="T58" i="2"/>
  <c r="S58" i="2"/>
  <c r="R58" i="2"/>
  <c r="O58" i="2"/>
  <c r="N58" i="2"/>
  <c r="M58" i="2"/>
  <c r="Z57" i="2"/>
  <c r="U57" i="2"/>
  <c r="T57" i="2"/>
  <c r="S57" i="2"/>
  <c r="R57" i="2"/>
  <c r="O57" i="2"/>
  <c r="N57" i="2"/>
  <c r="M57" i="2"/>
  <c r="Z56" i="2"/>
  <c r="U56" i="2"/>
  <c r="T56" i="2"/>
  <c r="S56" i="2"/>
  <c r="R56" i="2"/>
  <c r="Z55" i="2"/>
  <c r="U55" i="2"/>
  <c r="T55" i="2"/>
  <c r="S55" i="2"/>
  <c r="R55" i="2"/>
  <c r="Z54" i="2"/>
  <c r="U54" i="2"/>
  <c r="T54" i="2"/>
  <c r="S54" i="2"/>
  <c r="R54" i="2"/>
  <c r="Z53" i="2"/>
  <c r="U53" i="2"/>
  <c r="T53" i="2"/>
  <c r="S53" i="2"/>
  <c r="R53" i="2"/>
  <c r="Z52" i="2"/>
  <c r="U52" i="2"/>
  <c r="T52" i="2"/>
  <c r="S52" i="2"/>
  <c r="R52" i="2"/>
  <c r="Z51" i="2"/>
  <c r="U51" i="2"/>
  <c r="T51" i="2"/>
  <c r="S51" i="2"/>
  <c r="R51" i="2"/>
  <c r="Z50" i="2"/>
  <c r="U50" i="2"/>
  <c r="T50" i="2"/>
  <c r="S50" i="2"/>
  <c r="R50" i="2"/>
  <c r="Z49" i="2"/>
  <c r="U49" i="2"/>
  <c r="T49" i="2"/>
  <c r="S49" i="2"/>
  <c r="R49" i="2"/>
  <c r="Z48" i="2"/>
  <c r="U48" i="2"/>
  <c r="T48" i="2"/>
  <c r="S48" i="2"/>
  <c r="R48" i="2"/>
  <c r="O48" i="2"/>
  <c r="N48" i="2"/>
  <c r="M48" i="2"/>
  <c r="Z47" i="2"/>
  <c r="U47" i="2"/>
  <c r="T47" i="2"/>
  <c r="S47" i="2"/>
  <c r="R47" i="2"/>
  <c r="O47" i="2"/>
  <c r="N47" i="2"/>
  <c r="M47" i="2"/>
  <c r="Z46" i="2"/>
  <c r="U46" i="2"/>
  <c r="T46" i="2"/>
  <c r="S46" i="2"/>
  <c r="R46" i="2"/>
  <c r="O46" i="2"/>
  <c r="N46" i="2"/>
  <c r="M46" i="2"/>
  <c r="Z45" i="2"/>
  <c r="U45" i="2"/>
  <c r="T45" i="2"/>
  <c r="S45" i="2"/>
  <c r="R45" i="2"/>
  <c r="O45" i="2"/>
  <c r="N45" i="2"/>
  <c r="M45" i="2"/>
  <c r="Z44" i="2"/>
  <c r="U44" i="2"/>
  <c r="T44" i="2"/>
  <c r="S44" i="2"/>
  <c r="R44" i="2"/>
  <c r="O44" i="2"/>
  <c r="N44" i="2"/>
  <c r="M44" i="2"/>
  <c r="Z43" i="2"/>
  <c r="U43" i="2"/>
  <c r="T43" i="2"/>
  <c r="S43" i="2"/>
  <c r="R43" i="2"/>
  <c r="O43" i="2"/>
  <c r="N43" i="2"/>
  <c r="M43" i="2"/>
  <c r="Z42" i="2"/>
  <c r="U42" i="2"/>
  <c r="T42" i="2"/>
  <c r="S42" i="2"/>
  <c r="R42" i="2"/>
  <c r="O42" i="2"/>
  <c r="N42" i="2"/>
  <c r="M42" i="2"/>
  <c r="Z41" i="2"/>
  <c r="U41" i="2"/>
  <c r="T41" i="2"/>
  <c r="S41" i="2"/>
  <c r="R41" i="2"/>
  <c r="O41" i="2"/>
  <c r="N41" i="2"/>
  <c r="M41" i="2"/>
  <c r="Z40" i="2"/>
  <c r="U40" i="2"/>
  <c r="T40" i="2"/>
  <c r="S40" i="2"/>
  <c r="R40" i="2"/>
  <c r="O40" i="2"/>
  <c r="N40" i="2"/>
  <c r="M40" i="2"/>
  <c r="Z39" i="2"/>
  <c r="U39" i="2"/>
  <c r="T39" i="2"/>
  <c r="S39" i="2"/>
  <c r="R39" i="2"/>
  <c r="O39" i="2"/>
  <c r="N39" i="2"/>
  <c r="M39" i="2"/>
  <c r="Z38" i="2"/>
  <c r="U38" i="2"/>
  <c r="T38" i="2"/>
  <c r="S38" i="2"/>
  <c r="R38" i="2"/>
  <c r="O38" i="2"/>
  <c r="N38" i="2"/>
  <c r="M38" i="2"/>
  <c r="Z37" i="2"/>
  <c r="U37" i="2"/>
  <c r="T37" i="2"/>
  <c r="S37" i="2"/>
  <c r="R37" i="2"/>
  <c r="O37" i="2"/>
  <c r="N37" i="2"/>
  <c r="M37" i="2"/>
  <c r="Z36" i="2"/>
  <c r="U36" i="2"/>
  <c r="T36" i="2"/>
  <c r="S36" i="2"/>
  <c r="R36" i="2"/>
  <c r="O36" i="2"/>
  <c r="N36" i="2"/>
  <c r="M36" i="2"/>
  <c r="Z35" i="2"/>
  <c r="U35" i="2"/>
  <c r="T35" i="2"/>
  <c r="S35" i="2"/>
  <c r="R35" i="2"/>
  <c r="O35" i="2"/>
  <c r="N35" i="2"/>
  <c r="M35" i="2"/>
  <c r="Z34" i="2"/>
  <c r="U34" i="2"/>
  <c r="T34" i="2"/>
  <c r="S34" i="2"/>
  <c r="R34" i="2"/>
  <c r="O34" i="2"/>
  <c r="N34" i="2"/>
  <c r="M34" i="2"/>
  <c r="Z33" i="2"/>
  <c r="U33" i="2"/>
  <c r="T33" i="2"/>
  <c r="S33" i="2"/>
  <c r="R33" i="2"/>
  <c r="O33" i="2"/>
  <c r="N33" i="2"/>
  <c r="M33" i="2"/>
  <c r="Z32" i="2"/>
  <c r="U32" i="2"/>
  <c r="T32" i="2"/>
  <c r="S32" i="2"/>
  <c r="R32" i="2"/>
  <c r="O32" i="2"/>
  <c r="N32" i="2"/>
  <c r="M32" i="2"/>
  <c r="Z31" i="2"/>
  <c r="U31" i="2"/>
  <c r="T31" i="2"/>
  <c r="S31" i="2"/>
  <c r="R31" i="2"/>
  <c r="O31" i="2"/>
  <c r="N31" i="2"/>
  <c r="M31" i="2"/>
  <c r="Z30" i="2"/>
  <c r="U30" i="2"/>
  <c r="T30" i="2"/>
  <c r="S30" i="2"/>
  <c r="R30" i="2"/>
  <c r="O30" i="2"/>
  <c r="N30" i="2"/>
  <c r="M30" i="2"/>
  <c r="Z29" i="2"/>
  <c r="U29" i="2"/>
  <c r="T29" i="2"/>
  <c r="S29" i="2"/>
  <c r="R29" i="2"/>
  <c r="O29" i="2"/>
  <c r="N29" i="2"/>
  <c r="M29" i="2"/>
  <c r="Z28" i="2"/>
  <c r="U28" i="2"/>
  <c r="T28" i="2"/>
  <c r="S28" i="2"/>
  <c r="R28" i="2"/>
  <c r="O28" i="2"/>
  <c r="N28" i="2"/>
  <c r="M28" i="2"/>
  <c r="Z27" i="2"/>
  <c r="U27" i="2"/>
  <c r="T27" i="2"/>
  <c r="S27" i="2"/>
  <c r="R27" i="2"/>
  <c r="O27" i="2"/>
  <c r="N27" i="2"/>
  <c r="M27" i="2"/>
  <c r="Z26" i="2"/>
  <c r="U26" i="2"/>
  <c r="T26" i="2"/>
  <c r="S26" i="2"/>
  <c r="R26" i="2"/>
  <c r="O26" i="2"/>
  <c r="N26" i="2"/>
  <c r="M26" i="2"/>
  <c r="Z25" i="2"/>
  <c r="U25" i="2"/>
  <c r="T25" i="2"/>
  <c r="S25" i="2"/>
  <c r="R25" i="2"/>
  <c r="O25" i="2"/>
  <c r="N25" i="2"/>
  <c r="M25" i="2"/>
  <c r="Z24" i="2"/>
  <c r="U24" i="2"/>
  <c r="T24" i="2"/>
  <c r="S24" i="2"/>
  <c r="R24" i="2"/>
  <c r="O24" i="2"/>
  <c r="N24" i="2"/>
  <c r="M24" i="2"/>
  <c r="Z23" i="2"/>
  <c r="U23" i="2"/>
  <c r="T23" i="2"/>
  <c r="S23" i="2"/>
  <c r="R23" i="2"/>
  <c r="O23" i="2"/>
  <c r="N23" i="2"/>
  <c r="M23" i="2"/>
  <c r="Z22" i="2"/>
  <c r="U22" i="2"/>
  <c r="T22" i="2"/>
  <c r="S22" i="2"/>
  <c r="R22" i="2"/>
  <c r="O22" i="2"/>
  <c r="N22" i="2"/>
  <c r="M22" i="2"/>
  <c r="Z21" i="2"/>
  <c r="U21" i="2"/>
  <c r="T21" i="2"/>
  <c r="S21" i="2"/>
  <c r="R21" i="2"/>
  <c r="O21" i="2"/>
  <c r="N21" i="2"/>
  <c r="M21" i="2"/>
  <c r="Z20" i="2"/>
  <c r="U20" i="2"/>
  <c r="T20" i="2"/>
  <c r="S20" i="2"/>
  <c r="R20" i="2"/>
  <c r="O20" i="2"/>
  <c r="N20" i="2"/>
  <c r="M20" i="2"/>
  <c r="Z19" i="2"/>
  <c r="U19" i="2"/>
  <c r="T19" i="2"/>
  <c r="S19" i="2"/>
  <c r="R19" i="2"/>
  <c r="O19" i="2"/>
  <c r="N19" i="2"/>
  <c r="M19" i="2"/>
  <c r="Z18" i="2"/>
  <c r="U18" i="2"/>
  <c r="T18" i="2"/>
  <c r="S18" i="2"/>
  <c r="R18" i="2"/>
  <c r="O18" i="2"/>
  <c r="N18" i="2"/>
  <c r="M18" i="2"/>
  <c r="Z17" i="2"/>
  <c r="U17" i="2"/>
  <c r="T17" i="2"/>
  <c r="S17" i="2"/>
  <c r="R17" i="2"/>
  <c r="O17" i="2"/>
  <c r="N17" i="2"/>
  <c r="M17" i="2"/>
  <c r="Z15" i="2"/>
  <c r="U15" i="2"/>
  <c r="T15" i="2"/>
  <c r="S15" i="2"/>
  <c r="R15" i="2"/>
  <c r="O15" i="2"/>
  <c r="N15" i="2"/>
  <c r="M15" i="2"/>
  <c r="Z14" i="2"/>
  <c r="U14" i="2"/>
  <c r="T14" i="2"/>
  <c r="S14" i="2"/>
  <c r="R14" i="2"/>
  <c r="O14" i="2"/>
  <c r="N14" i="2"/>
  <c r="M14" i="2"/>
  <c r="Z12" i="2"/>
  <c r="U12" i="2"/>
  <c r="T12" i="2"/>
  <c r="S12" i="2"/>
  <c r="R12" i="2"/>
  <c r="O12" i="2"/>
  <c r="N12" i="2"/>
  <c r="M12" i="2"/>
  <c r="G710" i="2"/>
  <c r="I728" i="2"/>
  <c r="I723" i="2"/>
  <c r="F723" i="2"/>
  <c r="AV577" i="2"/>
  <c r="AU577" i="2"/>
  <c r="AN577" i="2"/>
  <c r="AM577" i="2"/>
  <c r="AI577" i="2"/>
  <c r="AJ577" i="2" s="1"/>
  <c r="AH577" i="2"/>
  <c r="Z577" i="2"/>
  <c r="U577" i="2"/>
  <c r="T577" i="2"/>
  <c r="S577" i="2"/>
  <c r="R577" i="2"/>
  <c r="O577" i="2"/>
  <c r="N577" i="2"/>
  <c r="M577" i="2"/>
  <c r="AV576" i="2"/>
  <c r="AU576" i="2"/>
  <c r="AN576" i="2"/>
  <c r="AM576" i="2"/>
  <c r="AI576" i="2"/>
  <c r="AJ576" i="2" s="1"/>
  <c r="AH576" i="2"/>
  <c r="Z576" i="2"/>
  <c r="U576" i="2"/>
  <c r="T576" i="2"/>
  <c r="S576" i="2"/>
  <c r="R576" i="2"/>
  <c r="O576" i="2"/>
  <c r="N576" i="2"/>
  <c r="M576" i="2"/>
  <c r="AV575" i="2"/>
  <c r="AU575" i="2"/>
  <c r="AN575" i="2"/>
  <c r="AM575" i="2"/>
  <c r="AI575" i="2"/>
  <c r="AJ575" i="2" s="1"/>
  <c r="AH575" i="2"/>
  <c r="Z575" i="2"/>
  <c r="U575" i="2"/>
  <c r="T575" i="2"/>
  <c r="S575" i="2"/>
  <c r="R575" i="2"/>
  <c r="O575" i="2"/>
  <c r="N575" i="2"/>
  <c r="M575" i="2"/>
  <c r="AV574" i="2"/>
  <c r="AU574" i="2"/>
  <c r="AN574" i="2"/>
  <c r="AM574" i="2"/>
  <c r="AI574" i="2"/>
  <c r="AJ574" i="2" s="1"/>
  <c r="AH574" i="2"/>
  <c r="Z574" i="2"/>
  <c r="U574" i="2"/>
  <c r="T574" i="2"/>
  <c r="S574" i="2"/>
  <c r="R574" i="2"/>
  <c r="O574" i="2"/>
  <c r="N574" i="2"/>
  <c r="M574" i="2"/>
  <c r="Q59" i="2" l="1"/>
  <c r="V164" i="2"/>
  <c r="H726" i="2"/>
  <c r="G726" i="2"/>
  <c r="H631" i="2"/>
  <c r="G631" i="2"/>
  <c r="H735" i="2"/>
  <c r="G604" i="2"/>
  <c r="H604" i="2"/>
  <c r="G648" i="2"/>
  <c r="H648" i="2"/>
  <c r="V67" i="2"/>
  <c r="V263" i="2"/>
  <c r="V269" i="2"/>
  <c r="V274" i="2"/>
  <c r="Q328" i="2"/>
  <c r="V142" i="2"/>
  <c r="V433" i="2"/>
  <c r="Q438" i="2"/>
  <c r="Q441" i="2"/>
  <c r="V255" i="2"/>
  <c r="Q18" i="2"/>
  <c r="V220" i="2"/>
  <c r="V396" i="2"/>
  <c r="V423" i="2"/>
  <c r="V222" i="2"/>
  <c r="V242" i="2"/>
  <c r="V249" i="2"/>
  <c r="V295" i="2"/>
  <c r="V301" i="2"/>
  <c r="V304" i="2"/>
  <c r="V313" i="2"/>
  <c r="Q327" i="2"/>
  <c r="V100" i="2"/>
  <c r="V297" i="2"/>
  <c r="V309" i="2"/>
  <c r="Q338" i="2"/>
  <c r="Q443" i="2"/>
  <c r="V444" i="2"/>
  <c r="Q521" i="2"/>
  <c r="Q524" i="2"/>
  <c r="Q536" i="2"/>
  <c r="Q539" i="2"/>
  <c r="Q249" i="2"/>
  <c r="V372" i="2"/>
  <c r="V165" i="2"/>
  <c r="V168" i="2"/>
  <c r="V171" i="2"/>
  <c r="V181" i="2"/>
  <c r="V212" i="2"/>
  <c r="V93" i="2"/>
  <c r="Q205" i="2"/>
  <c r="Q102" i="2"/>
  <c r="V214" i="2"/>
  <c r="V254" i="2"/>
  <c r="V232" i="2"/>
  <c r="V366" i="2"/>
  <c r="V405" i="2"/>
  <c r="V411" i="2"/>
  <c r="V19" i="2"/>
  <c r="V116" i="2"/>
  <c r="V133" i="2"/>
  <c r="Q192" i="2"/>
  <c r="Q276" i="2"/>
  <c r="Q330" i="2"/>
  <c r="V331" i="2"/>
  <c r="Q353" i="2"/>
  <c r="Q398" i="2"/>
  <c r="V513" i="2"/>
  <c r="V537" i="2"/>
  <c r="V540" i="2"/>
  <c r="V561" i="2"/>
  <c r="V318" i="2"/>
  <c r="V327" i="2"/>
  <c r="V65" i="2"/>
  <c r="V68" i="2"/>
  <c r="V78" i="2"/>
  <c r="V82" i="2"/>
  <c r="V86" i="2"/>
  <c r="V91" i="2"/>
  <c r="V98" i="2"/>
  <c r="V99" i="2"/>
  <c r="Q100" i="2"/>
  <c r="V118" i="2"/>
  <c r="V261" i="2"/>
  <c r="V378" i="2"/>
  <c r="Q434" i="2"/>
  <c r="V435" i="2"/>
  <c r="V501" i="2"/>
  <c r="Q221" i="2"/>
  <c r="V323" i="2"/>
  <c r="V329" i="2"/>
  <c r="V340" i="2"/>
  <c r="V368" i="2"/>
  <c r="V371" i="2"/>
  <c r="V416" i="2"/>
  <c r="V105" i="2"/>
  <c r="V111" i="2"/>
  <c r="V114" i="2"/>
  <c r="V120" i="2"/>
  <c r="Q289" i="2"/>
  <c r="V333" i="2"/>
  <c r="V449" i="2"/>
  <c r="V459" i="2"/>
  <c r="V462" i="2"/>
  <c r="V471" i="2"/>
  <c r="V489" i="2"/>
  <c r="V302" i="2"/>
  <c r="Q436" i="2"/>
  <c r="Q541" i="2"/>
  <c r="V542" i="2"/>
  <c r="Q544" i="2"/>
  <c r="V54" i="2"/>
  <c r="Q147" i="2"/>
  <c r="V148" i="2"/>
  <c r="V246" i="2"/>
  <c r="Q35" i="2"/>
  <c r="Q39" i="2"/>
  <c r="Q42" i="2"/>
  <c r="Q47" i="2"/>
  <c r="V137" i="2"/>
  <c r="V206" i="2"/>
  <c r="V278" i="2"/>
  <c r="Q288" i="2"/>
  <c r="V325" i="2"/>
  <c r="V400" i="2"/>
  <c r="V418" i="2"/>
  <c r="V421" i="2"/>
  <c r="Q57" i="2"/>
  <c r="Q181" i="2"/>
  <c r="Q184" i="2"/>
  <c r="V230" i="2"/>
  <c r="V319" i="2"/>
  <c r="Q399" i="2"/>
  <c r="V83" i="2"/>
  <c r="Q120" i="2"/>
  <c r="V18" i="2"/>
  <c r="V55" i="2"/>
  <c r="V74" i="2"/>
  <c r="V76" i="2"/>
  <c r="V124" i="2"/>
  <c r="V71" i="2"/>
  <c r="V207" i="2"/>
  <c r="V23" i="2"/>
  <c r="V29" i="2"/>
  <c r="V31" i="2"/>
  <c r="V95" i="2"/>
  <c r="V48" i="2"/>
  <c r="V58" i="2"/>
  <c r="V186" i="2"/>
  <c r="V215" i="2"/>
  <c r="V218" i="2"/>
  <c r="V228" i="2"/>
  <c r="V170" i="2"/>
  <c r="Q194" i="2"/>
  <c r="Q22" i="2"/>
  <c r="Q25" i="2"/>
  <c r="Q27" i="2"/>
  <c r="Q30" i="2"/>
  <c r="Q32" i="2"/>
  <c r="V53" i="2"/>
  <c r="V179" i="2"/>
  <c r="Q110" i="2"/>
  <c r="V57" i="2"/>
  <c r="V96" i="2"/>
  <c r="Q156" i="2"/>
  <c r="V162" i="2"/>
  <c r="V166" i="2"/>
  <c r="V169" i="2"/>
  <c r="V121" i="2"/>
  <c r="V135" i="2"/>
  <c r="V140" i="2"/>
  <c r="V153" i="2"/>
  <c r="Q183" i="2"/>
  <c r="Q421" i="2"/>
  <c r="V478" i="2"/>
  <c r="V237" i="2"/>
  <c r="Q277" i="2"/>
  <c r="V292" i="2"/>
  <c r="V397" i="2"/>
  <c r="Q433" i="2"/>
  <c r="V534" i="2"/>
  <c r="Q564" i="2"/>
  <c r="V289" i="2"/>
  <c r="Q294" i="2"/>
  <c r="V437" i="2"/>
  <c r="V456" i="2"/>
  <c r="V483" i="2"/>
  <c r="V546" i="2"/>
  <c r="V549" i="2"/>
  <c r="V239" i="2"/>
  <c r="V248" i="2"/>
  <c r="V275" i="2"/>
  <c r="Q312" i="2"/>
  <c r="V316" i="2"/>
  <c r="Q333" i="2"/>
  <c r="V424" i="2"/>
  <c r="V430" i="2"/>
  <c r="Q452" i="2"/>
  <c r="Q496" i="2"/>
  <c r="V558" i="2"/>
  <c r="Q34" i="2"/>
  <c r="Q36" i="2"/>
  <c r="Q37" i="2"/>
  <c r="Q38" i="2"/>
  <c r="Q41" i="2"/>
  <c r="Q44" i="2"/>
  <c r="Q46" i="2"/>
  <c r="V88" i="2"/>
  <c r="Q90" i="2"/>
  <c r="V104" i="2"/>
  <c r="V106" i="2"/>
  <c r="V110" i="2"/>
  <c r="V115" i="2"/>
  <c r="V152" i="2"/>
  <c r="V157" i="2"/>
  <c r="V160" i="2"/>
  <c r="V175" i="2"/>
  <c r="V178" i="2"/>
  <c r="V188" i="2"/>
  <c r="V262" i="2"/>
  <c r="Q274" i="2"/>
  <c r="V285" i="2"/>
  <c r="V402" i="2"/>
  <c r="V495" i="2"/>
  <c r="Q563" i="2"/>
  <c r="V235" i="2"/>
  <c r="V14" i="2"/>
  <c r="V15" i="2"/>
  <c r="Q103" i="2"/>
  <c r="V117" i="2"/>
  <c r="V123" i="2"/>
  <c r="V127" i="2"/>
  <c r="V131" i="2"/>
  <c r="V134" i="2"/>
  <c r="V172" i="2"/>
  <c r="V211" i="2"/>
  <c r="V250" i="2"/>
  <c r="V266" i="2"/>
  <c r="Q290" i="2"/>
  <c r="Q308" i="2"/>
  <c r="V417" i="2"/>
  <c r="V458" i="2"/>
  <c r="V502" i="2"/>
  <c r="V508" i="2"/>
  <c r="V557" i="2"/>
  <c r="V256" i="2"/>
  <c r="V271" i="2"/>
  <c r="V288" i="2"/>
  <c r="Q335" i="2"/>
  <c r="Q339" i="2"/>
  <c r="V359" i="2"/>
  <c r="V395" i="2"/>
  <c r="V399" i="2"/>
  <c r="V414" i="2"/>
  <c r="V426" i="2"/>
  <c r="V485" i="2"/>
  <c r="Q498" i="2"/>
  <c r="V514" i="2"/>
  <c r="V520" i="2"/>
  <c r="V80" i="2"/>
  <c r="V108" i="2"/>
  <c r="V141" i="2"/>
  <c r="V151" i="2"/>
  <c r="V154" i="2"/>
  <c r="V174" i="2"/>
  <c r="V177" i="2"/>
  <c r="Q195" i="2"/>
  <c r="V210" i="2"/>
  <c r="V258" i="2"/>
  <c r="V276" i="2"/>
  <c r="V282" i="2"/>
  <c r="V337" i="2"/>
  <c r="V353" i="2"/>
  <c r="V383" i="2"/>
  <c r="V389" i="2"/>
  <c r="V404" i="2"/>
  <c r="Q419" i="2"/>
  <c r="V517" i="2"/>
  <c r="Q522" i="2"/>
  <c r="Q556" i="2"/>
  <c r="V52" i="2"/>
  <c r="V97" i="2"/>
  <c r="V126" i="2"/>
  <c r="V161" i="2"/>
  <c r="V180" i="2"/>
  <c r="V183" i="2"/>
  <c r="V193" i="2"/>
  <c r="V226" i="2"/>
  <c r="V252" i="2"/>
  <c r="V257" i="2"/>
  <c r="V287" i="2"/>
  <c r="Q292" i="2"/>
  <c r="V293" i="2"/>
  <c r="V299" i="2"/>
  <c r="V321" i="2"/>
  <c r="V335" i="2"/>
  <c r="V361" i="2"/>
  <c r="V367" i="2"/>
  <c r="V496" i="2"/>
  <c r="V532" i="2"/>
  <c r="Q534" i="2"/>
  <c r="V544" i="2"/>
  <c r="Q351" i="2"/>
  <c r="V379" i="2"/>
  <c r="V385" i="2"/>
  <c r="V391" i="2"/>
  <c r="V466" i="2"/>
  <c r="V481" i="2"/>
  <c r="V490" i="2"/>
  <c r="V507" i="2"/>
  <c r="V556" i="2"/>
  <c r="V69" i="2"/>
  <c r="V75" i="2"/>
  <c r="V139" i="2"/>
  <c r="V145" i="2"/>
  <c r="V167" i="2"/>
  <c r="V216" i="2"/>
  <c r="Q251" i="2"/>
  <c r="V268" i="2"/>
  <c r="V284" i="2"/>
  <c r="Q301" i="2"/>
  <c r="V428" i="2"/>
  <c r="Q489" i="2"/>
  <c r="V510" i="2"/>
  <c r="V525" i="2"/>
  <c r="Q558" i="2"/>
  <c r="Q24" i="2"/>
  <c r="Q26" i="2"/>
  <c r="Q28" i="2"/>
  <c r="Q33" i="2"/>
  <c r="Q17" i="2"/>
  <c r="V21" i="2"/>
  <c r="V24" i="2"/>
  <c r="V26" i="2"/>
  <c r="V28" i="2"/>
  <c r="V33" i="2"/>
  <c r="Q20" i="2"/>
  <c r="Q23" i="2"/>
  <c r="V22" i="2"/>
  <c r="V25" i="2"/>
  <c r="V27" i="2"/>
  <c r="Q14" i="2"/>
  <c r="V17" i="2"/>
  <c r="V20" i="2"/>
  <c r="V12" i="2"/>
  <c r="V60" i="2"/>
  <c r="V66" i="2"/>
  <c r="V87" i="2"/>
  <c r="V94" i="2"/>
  <c r="V107" i="2"/>
  <c r="Q119" i="2"/>
  <c r="V125" i="2"/>
  <c r="V182" i="2"/>
  <c r="Q185" i="2"/>
  <c r="V187" i="2"/>
  <c r="Q193" i="2"/>
  <c r="Q196" i="2"/>
  <c r="V209" i="2"/>
  <c r="V227" i="2"/>
  <c r="V240" i="2"/>
  <c r="V243" i="2"/>
  <c r="V259" i="2"/>
  <c r="V264" i="2"/>
  <c r="V277" i="2"/>
  <c r="Q295" i="2"/>
  <c r="V310" i="2"/>
  <c r="Q325" i="2"/>
  <c r="V345" i="2"/>
  <c r="V348" i="2"/>
  <c r="V370" i="2"/>
  <c r="V109" i="2"/>
  <c r="V190" i="2"/>
  <c r="V194" i="2"/>
  <c r="V236" i="2"/>
  <c r="V253" i="2"/>
  <c r="Q29" i="2"/>
  <c r="Q31" i="2"/>
  <c r="Q40" i="2"/>
  <c r="Q43" i="2"/>
  <c r="Q45" i="2"/>
  <c r="V50" i="2"/>
  <c r="V62" i="2"/>
  <c r="V64" i="2"/>
  <c r="V173" i="2"/>
  <c r="V205" i="2"/>
  <c r="V208" i="2"/>
  <c r="V223" i="2"/>
  <c r="V233" i="2"/>
  <c r="V273" i="2"/>
  <c r="V280" i="2"/>
  <c r="V303" i="2"/>
  <c r="Q311" i="2"/>
  <c r="V30" i="2"/>
  <c r="V32" i="2"/>
  <c r="V34" i="2"/>
  <c r="V36" i="2"/>
  <c r="V37" i="2"/>
  <c r="V38" i="2"/>
  <c r="V41" i="2"/>
  <c r="V44" i="2"/>
  <c r="V46" i="2"/>
  <c r="V77" i="2"/>
  <c r="V89" i="2"/>
  <c r="Q91" i="2"/>
  <c r="Q105" i="2"/>
  <c r="Q108" i="2"/>
  <c r="V283" i="2"/>
  <c r="Q291" i="2"/>
  <c r="V342" i="2"/>
  <c r="V219" i="2"/>
  <c r="V245" i="2"/>
  <c r="V312" i="2"/>
  <c r="V330" i="2"/>
  <c r="V79" i="2"/>
  <c r="V84" i="2"/>
  <c r="Q118" i="2"/>
  <c r="V130" i="2"/>
  <c r="V176" i="2"/>
  <c r="V185" i="2"/>
  <c r="V189" i="2"/>
  <c r="V196" i="2"/>
  <c r="V229" i="2"/>
  <c r="V279" i="2"/>
  <c r="V305" i="2"/>
  <c r="V311" i="2"/>
  <c r="V315" i="2"/>
  <c r="V49" i="2"/>
  <c r="V56" i="2"/>
  <c r="V63" i="2"/>
  <c r="V85" i="2"/>
  <c r="V103" i="2"/>
  <c r="V143" i="2"/>
  <c r="V40" i="2"/>
  <c r="V43" i="2"/>
  <c r="V45" i="2"/>
  <c r="V59" i="2"/>
  <c r="V81" i="2"/>
  <c r="V192" i="2"/>
  <c r="V224" i="2"/>
  <c r="V238" i="2"/>
  <c r="Q253" i="2"/>
  <c r="Q271" i="2"/>
  <c r="V291" i="2"/>
  <c r="V298" i="2"/>
  <c r="Q300" i="2"/>
  <c r="V308" i="2"/>
  <c r="V317" i="2"/>
  <c r="V129" i="2"/>
  <c r="V156" i="2"/>
  <c r="V241" i="2"/>
  <c r="Q250" i="2"/>
  <c r="Q256" i="2"/>
  <c r="V272" i="2"/>
  <c r="Q293" i="2"/>
  <c r="V307" i="2"/>
  <c r="Q334" i="2"/>
  <c r="V343" i="2"/>
  <c r="V355" i="2"/>
  <c r="Q64" i="2"/>
  <c r="V70" i="2"/>
  <c r="V147" i="2"/>
  <c r="V158" i="2"/>
  <c r="V184" i="2"/>
  <c r="V195" i="2"/>
  <c r="V197" i="2"/>
  <c r="V200" i="2"/>
  <c r="V203" i="2"/>
  <c r="V221" i="2"/>
  <c r="V314" i="2"/>
  <c r="V332" i="2"/>
  <c r="V339" i="2"/>
  <c r="V51" i="2"/>
  <c r="V61" i="2"/>
  <c r="V73" i="2"/>
  <c r="V102" i="2"/>
  <c r="Q104" i="2"/>
  <c r="V132" i="2"/>
  <c r="V136" i="2"/>
  <c r="V35" i="2"/>
  <c r="V39" i="2"/>
  <c r="V42" i="2"/>
  <c r="V47" i="2"/>
  <c r="V90" i="2"/>
  <c r="Q93" i="2"/>
  <c r="Q106" i="2"/>
  <c r="Q109" i="2"/>
  <c r="V122" i="2"/>
  <c r="V144" i="2"/>
  <c r="V155" i="2"/>
  <c r="V213" i="2"/>
  <c r="V217" i="2"/>
  <c r="Q273" i="2"/>
  <c r="V290" i="2"/>
  <c r="Q376" i="2"/>
  <c r="V380" i="2"/>
  <c r="V386" i="2"/>
  <c r="V390" i="2"/>
  <c r="V407" i="2"/>
  <c r="V420" i="2"/>
  <c r="V447" i="2"/>
  <c r="Q473" i="2"/>
  <c r="V477" i="2"/>
  <c r="V554" i="2"/>
  <c r="V267" i="2"/>
  <c r="Q272" i="2"/>
  <c r="V294" i="2"/>
  <c r="V328" i="2"/>
  <c r="V338" i="2"/>
  <c r="V377" i="2"/>
  <c r="V406" i="2"/>
  <c r="V410" i="2"/>
  <c r="V434" i="2"/>
  <c r="V443" i="2"/>
  <c r="Q453" i="2"/>
  <c r="V454" i="2"/>
  <c r="V467" i="2"/>
  <c r="V530" i="2"/>
  <c r="V533" i="2"/>
  <c r="V536" i="2"/>
  <c r="V543" i="2"/>
  <c r="V550" i="2"/>
  <c r="V419" i="2"/>
  <c r="Q516" i="2"/>
  <c r="V526" i="2"/>
  <c r="V225" i="2"/>
  <c r="V260" i="2"/>
  <c r="V270" i="2"/>
  <c r="Q275" i="2"/>
  <c r="V286" i="2"/>
  <c r="V320" i="2"/>
  <c r="V324" i="2"/>
  <c r="Q326" i="2"/>
  <c r="Q331" i="2"/>
  <c r="Q340" i="2"/>
  <c r="Q347" i="2"/>
  <c r="V358" i="2"/>
  <c r="V373" i="2"/>
  <c r="V392" i="2"/>
  <c r="V413" i="2"/>
  <c r="Q435" i="2"/>
  <c r="Q439" i="2"/>
  <c r="Q442" i="2"/>
  <c r="V446" i="2"/>
  <c r="V470" i="2"/>
  <c r="V480" i="2"/>
  <c r="Q493" i="2"/>
  <c r="Q525" i="2"/>
  <c r="Q535" i="2"/>
  <c r="Q538" i="2"/>
  <c r="Q562" i="2"/>
  <c r="V563" i="2"/>
  <c r="Q375" i="2"/>
  <c r="V412" i="2"/>
  <c r="V422" i="2"/>
  <c r="V429" i="2"/>
  <c r="V439" i="2"/>
  <c r="V453" i="2"/>
  <c r="Q472" i="2"/>
  <c r="V473" i="2"/>
  <c r="V493" i="2"/>
  <c r="V506" i="2"/>
  <c r="V509" i="2"/>
  <c r="V529" i="2"/>
  <c r="V445" i="2"/>
  <c r="V479" i="2"/>
  <c r="V486" i="2"/>
  <c r="V344" i="2"/>
  <c r="V432" i="2"/>
  <c r="V522" i="2"/>
  <c r="V538" i="2"/>
  <c r="V552" i="2"/>
  <c r="V562" i="2"/>
  <c r="V113" i="2"/>
  <c r="V150" i="2"/>
  <c r="V159" i="2"/>
  <c r="V191" i="2"/>
  <c r="V199" i="2"/>
  <c r="V202" i="2"/>
  <c r="V231" i="2"/>
  <c r="V234" i="2"/>
  <c r="V265" i="2"/>
  <c r="V296" i="2"/>
  <c r="V300" i="2"/>
  <c r="Q346" i="2"/>
  <c r="V350" i="2"/>
  <c r="V354" i="2"/>
  <c r="V360" i="2"/>
  <c r="Q420" i="2"/>
  <c r="Q424" i="2"/>
  <c r="V448" i="2"/>
  <c r="V451" i="2"/>
  <c r="Q461" i="2"/>
  <c r="V465" i="2"/>
  <c r="V482" i="2"/>
  <c r="V515" i="2"/>
  <c r="V528" i="2"/>
  <c r="Q537" i="2"/>
  <c r="V545" i="2"/>
  <c r="Q554" i="2"/>
  <c r="Q309" i="2"/>
  <c r="V322" i="2"/>
  <c r="V326" i="2"/>
  <c r="V347" i="2"/>
  <c r="Q352" i="2"/>
  <c r="V356" i="2"/>
  <c r="V381" i="2"/>
  <c r="V387" i="2"/>
  <c r="V398" i="2"/>
  <c r="V431" i="2"/>
  <c r="Q437" i="2"/>
  <c r="V455" i="2"/>
  <c r="Q517" i="2"/>
  <c r="V362" i="2"/>
  <c r="V401" i="2"/>
  <c r="V408" i="2"/>
  <c r="Q417" i="2"/>
  <c r="V425" i="2"/>
  <c r="V441" i="2"/>
  <c r="V498" i="2"/>
  <c r="V518" i="2"/>
  <c r="V521" i="2"/>
  <c r="V541" i="2"/>
  <c r="Q557" i="2"/>
  <c r="V112" i="2"/>
  <c r="Q117" i="2"/>
  <c r="V119" i="2"/>
  <c r="Q127" i="2"/>
  <c r="V138" i="2"/>
  <c r="V149" i="2"/>
  <c r="V163" i="2"/>
  <c r="V198" i="2"/>
  <c r="V201" i="2"/>
  <c r="V204" i="2"/>
  <c r="V244" i="2"/>
  <c r="V247" i="2"/>
  <c r="V251" i="2"/>
  <c r="V281" i="2"/>
  <c r="V306" i="2"/>
  <c r="V334" i="2"/>
  <c r="Q337" i="2"/>
  <c r="Q348" i="2"/>
  <c r="V349" i="2"/>
  <c r="V365" i="2"/>
  <c r="V374" i="2"/>
  <c r="V384" i="2"/>
  <c r="V393" i="2"/>
  <c r="V403" i="2"/>
  <c r="V427" i="2"/>
  <c r="Q449" i="2"/>
  <c r="V450" i="2"/>
  <c r="V461" i="2"/>
  <c r="V464" i="2"/>
  <c r="V468" i="2"/>
  <c r="V474" i="2"/>
  <c r="V491" i="2"/>
  <c r="V497" i="2"/>
  <c r="Q523" i="2"/>
  <c r="Q540" i="2"/>
  <c r="Q58" i="2"/>
  <c r="Q62" i="2"/>
  <c r="Q60" i="2"/>
  <c r="Q63" i="2"/>
  <c r="Q94" i="2"/>
  <c r="Q107" i="2"/>
  <c r="Q155" i="2"/>
  <c r="Q145" i="2"/>
  <c r="Q252" i="2"/>
  <c r="V346" i="2"/>
  <c r="Q233" i="2"/>
  <c r="Q310" i="2"/>
  <c r="V382" i="2"/>
  <c r="Q332" i="2"/>
  <c r="V364" i="2"/>
  <c r="V376" i="2"/>
  <c r="Q418" i="2"/>
  <c r="V388" i="2"/>
  <c r="Q391" i="2"/>
  <c r="V375" i="2"/>
  <c r="V357" i="2"/>
  <c r="V352" i="2"/>
  <c r="V351" i="2"/>
  <c r="V369" i="2"/>
  <c r="Q372" i="2"/>
  <c r="Q397" i="2"/>
  <c r="V409" i="2"/>
  <c r="V363" i="2"/>
  <c r="Q343" i="2"/>
  <c r="Q355" i="2"/>
  <c r="Q379" i="2"/>
  <c r="Q431" i="2"/>
  <c r="V452" i="2"/>
  <c r="V500" i="2"/>
  <c r="V469" i="2"/>
  <c r="V476" i="2"/>
  <c r="V487" i="2"/>
  <c r="V494" i="2"/>
  <c r="V436" i="2"/>
  <c r="V442" i="2"/>
  <c r="Q374" i="2"/>
  <c r="V475" i="2"/>
  <c r="Q350" i="2"/>
  <c r="Q349" i="2"/>
  <c r="Q373" i="2"/>
  <c r="V415" i="2"/>
  <c r="V457" i="2"/>
  <c r="Q474" i="2"/>
  <c r="Q345" i="2"/>
  <c r="Q381" i="2"/>
  <c r="Q400" i="2"/>
  <c r="V463" i="2"/>
  <c r="V504" i="2"/>
  <c r="Q344" i="2"/>
  <c r="Q380" i="2"/>
  <c r="V394" i="2"/>
  <c r="V440" i="2"/>
  <c r="V499" i="2"/>
  <c r="V503" i="2"/>
  <c r="Q542" i="2"/>
  <c r="V547" i="2"/>
  <c r="V551" i="2"/>
  <c r="V438" i="2"/>
  <c r="V460" i="2"/>
  <c r="V472" i="2"/>
  <c r="V484" i="2"/>
  <c r="V524" i="2"/>
  <c r="V488" i="2"/>
  <c r="V492" i="2"/>
  <c r="Q519" i="2"/>
  <c r="V531" i="2"/>
  <c r="V535" i="2"/>
  <c r="V539" i="2"/>
  <c r="V505" i="2"/>
  <c r="V512" i="2"/>
  <c r="V516" i="2"/>
  <c r="Q526" i="2"/>
  <c r="V553" i="2"/>
  <c r="V560" i="2"/>
  <c r="V564" i="2"/>
  <c r="Q518" i="2"/>
  <c r="V519" i="2"/>
  <c r="V523" i="2"/>
  <c r="V527" i="2"/>
  <c r="Q555" i="2"/>
  <c r="V548" i="2"/>
  <c r="V511" i="2"/>
  <c r="Q543" i="2"/>
  <c r="V559" i="2"/>
  <c r="V555" i="2"/>
  <c r="Q577" i="2"/>
  <c r="Q576" i="2"/>
  <c r="V574" i="2"/>
  <c r="Q575" i="2"/>
  <c r="V576" i="2"/>
  <c r="V577" i="2"/>
  <c r="Q574" i="2"/>
  <c r="V575" i="2"/>
  <c r="I694" i="2"/>
  <c r="F694" i="2"/>
  <c r="Y59" i="2" l="1"/>
  <c r="AB59" i="2" s="1"/>
  <c r="Y292" i="2"/>
  <c r="AB292" i="2" s="1"/>
  <c r="Y151" i="2"/>
  <c r="AB151" i="2" s="1"/>
  <c r="Y95" i="2"/>
  <c r="AB95" i="2" s="1"/>
  <c r="Y436" i="2"/>
  <c r="AB436" i="2" s="1"/>
  <c r="Y446" i="2"/>
  <c r="AB446" i="2" s="1"/>
  <c r="Y190" i="2"/>
  <c r="AB190" i="2" s="1"/>
  <c r="Y302" i="2"/>
  <c r="AB302" i="2" s="1"/>
  <c r="Y67" i="2"/>
  <c r="AB67" i="2" s="1"/>
  <c r="Y278" i="2"/>
  <c r="AB278" i="2" s="1"/>
  <c r="Y333" i="2"/>
  <c r="AB333" i="2" s="1"/>
  <c r="Y366" i="2"/>
  <c r="AB366" i="2" s="1"/>
  <c r="Y309" i="2"/>
  <c r="AB309" i="2" s="1"/>
  <c r="Y438" i="2"/>
  <c r="AB438" i="2" s="1"/>
  <c r="Y96" i="2"/>
  <c r="AB96" i="2" s="1"/>
  <c r="Y113" i="2"/>
  <c r="AB113" i="2" s="1"/>
  <c r="Y338" i="2"/>
  <c r="AB338" i="2" s="1"/>
  <c r="Y212" i="2"/>
  <c r="AB212" i="2" s="1"/>
  <c r="Y441" i="2"/>
  <c r="AB441" i="2" s="1"/>
  <c r="Y42" i="2"/>
  <c r="AB42" i="2" s="1"/>
  <c r="Y35" i="2"/>
  <c r="AB35" i="2" s="1"/>
  <c r="Y443" i="2"/>
  <c r="AB443" i="2" s="1"/>
  <c r="Y297" i="2"/>
  <c r="AB297" i="2" s="1"/>
  <c r="Y93" i="2"/>
  <c r="AB93" i="2" s="1"/>
  <c r="Y191" i="2"/>
  <c r="AB191" i="2" s="1"/>
  <c r="Y430" i="2"/>
  <c r="AB430" i="2" s="1"/>
  <c r="Y108" i="2"/>
  <c r="AB108" i="2" s="1"/>
  <c r="Y44" i="2"/>
  <c r="AB44" i="2" s="1"/>
  <c r="Y364" i="2"/>
  <c r="AB364" i="2" s="1"/>
  <c r="Y487" i="2"/>
  <c r="AB487" i="2" s="1"/>
  <c r="Y552" i="2"/>
  <c r="AB552" i="2" s="1"/>
  <c r="Y89" i="2"/>
  <c r="AB89" i="2" s="1"/>
  <c r="Y105" i="2"/>
  <c r="AB105" i="2" s="1"/>
  <c r="Y435" i="2"/>
  <c r="AB435" i="2" s="1"/>
  <c r="Y444" i="2"/>
  <c r="AB444" i="2" s="1"/>
  <c r="Y184" i="2"/>
  <c r="AB184" i="2" s="1"/>
  <c r="Y157" i="2"/>
  <c r="AB157" i="2" s="1"/>
  <c r="Y186" i="2"/>
  <c r="AB186" i="2" s="1"/>
  <c r="Y85" i="2"/>
  <c r="AB85" i="2" s="1"/>
  <c r="Y269" i="2"/>
  <c r="AB269" i="2" s="1"/>
  <c r="Y541" i="2"/>
  <c r="AB541" i="2" s="1"/>
  <c r="Y533" i="2"/>
  <c r="AB533" i="2" s="1"/>
  <c r="Y205" i="2"/>
  <c r="AB205" i="2" s="1"/>
  <c r="Y454" i="2"/>
  <c r="AB454" i="2" s="1"/>
  <c r="Y98" i="2"/>
  <c r="AB98" i="2" s="1"/>
  <c r="Y232" i="2"/>
  <c r="AB232" i="2" s="1"/>
  <c r="Y181" i="2"/>
  <c r="AB181" i="2" s="1"/>
  <c r="Y171" i="2"/>
  <c r="AB171" i="2" s="1"/>
  <c r="Y355" i="2"/>
  <c r="AB355" i="2" s="1"/>
  <c r="Y433" i="2"/>
  <c r="AB433" i="2" s="1"/>
  <c r="Y276" i="2"/>
  <c r="AB276" i="2" s="1"/>
  <c r="Y423" i="2"/>
  <c r="AB423" i="2" s="1"/>
  <c r="Y434" i="2"/>
  <c r="AB434" i="2" s="1"/>
  <c r="Y401" i="2"/>
  <c r="AB401" i="2" s="1"/>
  <c r="Y48" i="2"/>
  <c r="AB48" i="2" s="1"/>
  <c r="Y37" i="2"/>
  <c r="AB37" i="2" s="1"/>
  <c r="Y19" i="2"/>
  <c r="AB19" i="2" s="1"/>
  <c r="Y38" i="2"/>
  <c r="AB38" i="2" s="1"/>
  <c r="Y397" i="2"/>
  <c r="AB397" i="2" s="1"/>
  <c r="Y388" i="2"/>
  <c r="AB388" i="2" s="1"/>
  <c r="Y318" i="2"/>
  <c r="AB318" i="2" s="1"/>
  <c r="Y328" i="2"/>
  <c r="AB328" i="2" s="1"/>
  <c r="Y116" i="2"/>
  <c r="AB116" i="2" s="1"/>
  <c r="Y313" i="2"/>
  <c r="AB313" i="2" s="1"/>
  <c r="Y68" i="2"/>
  <c r="AB68" i="2" s="1"/>
  <c r="Y466" i="2"/>
  <c r="AB466" i="2" s="1"/>
  <c r="Y539" i="2"/>
  <c r="AB539" i="2" s="1"/>
  <c r="Y459" i="2"/>
  <c r="AB459" i="2" s="1"/>
  <c r="Y398" i="2"/>
  <c r="AB398" i="2" s="1"/>
  <c r="Y222" i="2"/>
  <c r="AB222" i="2" s="1"/>
  <c r="Y488" i="2"/>
  <c r="AB488" i="2" s="1"/>
  <c r="Y256" i="2"/>
  <c r="AB256" i="2" s="1"/>
  <c r="Y526" i="2"/>
  <c r="AB526" i="2" s="1"/>
  <c r="Y172" i="2"/>
  <c r="AB172" i="2" s="1"/>
  <c r="Y354" i="2"/>
  <c r="AB354" i="2" s="1"/>
  <c r="Y268" i="2"/>
  <c r="AB268" i="2" s="1"/>
  <c r="Y386" i="2"/>
  <c r="AB386" i="2" s="1"/>
  <c r="Y385" i="2"/>
  <c r="AB385" i="2" s="1"/>
  <c r="Y84" i="2"/>
  <c r="AB84" i="2" s="1"/>
  <c r="Y201" i="2"/>
  <c r="AB201" i="2" s="1"/>
  <c r="Y264" i="2"/>
  <c r="AB264" i="2" s="1"/>
  <c r="Y483" i="2"/>
  <c r="AB483" i="2" s="1"/>
  <c r="Y301" i="2"/>
  <c r="AB301" i="2" s="1"/>
  <c r="Y274" i="2"/>
  <c r="AB274" i="2" s="1"/>
  <c r="Y383" i="2"/>
  <c r="AB383" i="2" s="1"/>
  <c r="Y312" i="2"/>
  <c r="AB312" i="2" s="1"/>
  <c r="Y372" i="2"/>
  <c r="AB372" i="2" s="1"/>
  <c r="Y378" i="2"/>
  <c r="AB378" i="2" s="1"/>
  <c r="Y277" i="2"/>
  <c r="AB277" i="2" s="1"/>
  <c r="Y512" i="2"/>
  <c r="AB512" i="2" s="1"/>
  <c r="Y287" i="2"/>
  <c r="AB287" i="2" s="1"/>
  <c r="Y294" i="2"/>
  <c r="AB294" i="2" s="1"/>
  <c r="Y489" i="2"/>
  <c r="AB489" i="2" s="1"/>
  <c r="Y376" i="2"/>
  <c r="AB376" i="2" s="1"/>
  <c r="Y178" i="2"/>
  <c r="AB178" i="2" s="1"/>
  <c r="Y560" i="2"/>
  <c r="AB560" i="2" s="1"/>
  <c r="Y168" i="2"/>
  <c r="AB168" i="2" s="1"/>
  <c r="Y564" i="2"/>
  <c r="AB564" i="2" s="1"/>
  <c r="Y78" i="2"/>
  <c r="AB78" i="2" s="1"/>
  <c r="Y396" i="2"/>
  <c r="AB396" i="2" s="1"/>
  <c r="Y476" i="2"/>
  <c r="AB476" i="2" s="1"/>
  <c r="Y391" i="2"/>
  <c r="AB391" i="2" s="1"/>
  <c r="Y102" i="2"/>
  <c r="AB102" i="2" s="1"/>
  <c r="Y148" i="2"/>
  <c r="AB148" i="2" s="1"/>
  <c r="Y413" i="2"/>
  <c r="AB413" i="2" s="1"/>
  <c r="Y183" i="2"/>
  <c r="AB183" i="2" s="1"/>
  <c r="Y395" i="2"/>
  <c r="AB395" i="2" s="1"/>
  <c r="Y55" i="2"/>
  <c r="AB55" i="2" s="1"/>
  <c r="Y32" i="2"/>
  <c r="AB32" i="2" s="1"/>
  <c r="Y60" i="2"/>
  <c r="AB60" i="2" s="1"/>
  <c r="Y284" i="2"/>
  <c r="AB284" i="2" s="1"/>
  <c r="Y505" i="2"/>
  <c r="AB505" i="2" s="1"/>
  <c r="Y107" i="2"/>
  <c r="AB107" i="2" s="1"/>
  <c r="Y71" i="2"/>
  <c r="AB71" i="2" s="1"/>
  <c r="Y422" i="2"/>
  <c r="AB422" i="2" s="1"/>
  <c r="Y361" i="2"/>
  <c r="AB361" i="2" s="1"/>
  <c r="Y359" i="2"/>
  <c r="AB359" i="2" s="1"/>
  <c r="Y348" i="2"/>
  <c r="AB348" i="2" s="1"/>
  <c r="Y365" i="2"/>
  <c r="AB365" i="2" s="1"/>
  <c r="Y286" i="2"/>
  <c r="AB286" i="2" s="1"/>
  <c r="Y145" i="2"/>
  <c r="AB145" i="2" s="1"/>
  <c r="Y337" i="2"/>
  <c r="AB337" i="2" s="1"/>
  <c r="Y225" i="2"/>
  <c r="AB225" i="2" s="1"/>
  <c r="Y271" i="2"/>
  <c r="AB271" i="2" s="1"/>
  <c r="Y349" i="2"/>
  <c r="AB349" i="2" s="1"/>
  <c r="Y329" i="2"/>
  <c r="AB329" i="2" s="1"/>
  <c r="Y503" i="2"/>
  <c r="AB503" i="2" s="1"/>
  <c r="Y133" i="2"/>
  <c r="AB133" i="2" s="1"/>
  <c r="Y262" i="2"/>
  <c r="AB262" i="2" s="1"/>
  <c r="Y118" i="2"/>
  <c r="AB118" i="2" s="1"/>
  <c r="Y319" i="2"/>
  <c r="AB319" i="2" s="1"/>
  <c r="Y462" i="2"/>
  <c r="AB462" i="2" s="1"/>
  <c r="Y400" i="2"/>
  <c r="AB400" i="2" s="1"/>
  <c r="Y259" i="2"/>
  <c r="AB259" i="2" s="1"/>
  <c r="Y227" i="2"/>
  <c r="AB227" i="2" s="1"/>
  <c r="Y141" i="2"/>
  <c r="AB141" i="2" s="1"/>
  <c r="Y332" i="2"/>
  <c r="AB332" i="2" s="1"/>
  <c r="Y54" i="2"/>
  <c r="AB54" i="2" s="1"/>
  <c r="Y513" i="2"/>
  <c r="AB513" i="2" s="1"/>
  <c r="Y551" i="2"/>
  <c r="AB551" i="2" s="1"/>
  <c r="Y76" i="2"/>
  <c r="AB76" i="2" s="1"/>
  <c r="Y482" i="2"/>
  <c r="AB482" i="2" s="1"/>
  <c r="Y173" i="2"/>
  <c r="AB173" i="2" s="1"/>
  <c r="Y29" i="2"/>
  <c r="AB29" i="2" s="1"/>
  <c r="Y14" i="2"/>
  <c r="AB14" i="2" s="1"/>
  <c r="Y18" i="2"/>
  <c r="AB18" i="2" s="1"/>
  <c r="Y437" i="2"/>
  <c r="AB437" i="2" s="1"/>
  <c r="Y532" i="2"/>
  <c r="AB532" i="2" s="1"/>
  <c r="Y495" i="2"/>
  <c r="AB495" i="2" s="1"/>
  <c r="Y154" i="2"/>
  <c r="AB154" i="2" s="1"/>
  <c r="Y51" i="2"/>
  <c r="AB51" i="2" s="1"/>
  <c r="Y30" i="2"/>
  <c r="AB30" i="2" s="1"/>
  <c r="Y22" i="2"/>
  <c r="AB22" i="2" s="1"/>
  <c r="Y188" i="2"/>
  <c r="AB188" i="2" s="1"/>
  <c r="Y440" i="2"/>
  <c r="AB440" i="2" s="1"/>
  <c r="Y62" i="2"/>
  <c r="AB62" i="2" s="1"/>
  <c r="Y481" i="2"/>
  <c r="AB481" i="2" s="1"/>
  <c r="Y316" i="2"/>
  <c r="AB316" i="2" s="1"/>
  <c r="Y99" i="2"/>
  <c r="AB99" i="2" s="1"/>
  <c r="Y74" i="2"/>
  <c r="AB74" i="2" s="1"/>
  <c r="Y45" i="2"/>
  <c r="AB45" i="2" s="1"/>
  <c r="Y371" i="2"/>
  <c r="AB371" i="2" s="1"/>
  <c r="Y334" i="2"/>
  <c r="AB334" i="2" s="1"/>
  <c r="Y403" i="2"/>
  <c r="AB403" i="2" s="1"/>
  <c r="Y79" i="2"/>
  <c r="AB79" i="2" s="1"/>
  <c r="Y520" i="2"/>
  <c r="AB520" i="2" s="1"/>
  <c r="Y327" i="2"/>
  <c r="AB327" i="2" s="1"/>
  <c r="Y127" i="2"/>
  <c r="AB127" i="2" s="1"/>
  <c r="Y536" i="2"/>
  <c r="AB536" i="2" s="1"/>
  <c r="Y258" i="2"/>
  <c r="AB258" i="2" s="1"/>
  <c r="Y170" i="2"/>
  <c r="AB170" i="2" s="1"/>
  <c r="Y56" i="2"/>
  <c r="AB56" i="2" s="1"/>
  <c r="Y449" i="2"/>
  <c r="AB449" i="2" s="1"/>
  <c r="Y65" i="2"/>
  <c r="AB65" i="2" s="1"/>
  <c r="Y53" i="2"/>
  <c r="AB53" i="2" s="1"/>
  <c r="Y542" i="2"/>
  <c r="AB542" i="2" s="1"/>
  <c r="Y360" i="2"/>
  <c r="AB360" i="2" s="1"/>
  <c r="Y266" i="2"/>
  <c r="AB266" i="2" s="1"/>
  <c r="Y75" i="2"/>
  <c r="AB75" i="2" s="1"/>
  <c r="Y77" i="2"/>
  <c r="AB77" i="2" s="1"/>
  <c r="Y167" i="2"/>
  <c r="AB167" i="2" s="1"/>
  <c r="Y470" i="2"/>
  <c r="AB470" i="2" s="1"/>
  <c r="Y414" i="2"/>
  <c r="AB414" i="2" s="1"/>
  <c r="Y409" i="2"/>
  <c r="AB409" i="2" s="1"/>
  <c r="Y61" i="2"/>
  <c r="AB61" i="2" s="1"/>
  <c r="Y221" i="2"/>
  <c r="AB221" i="2" s="1"/>
  <c r="Y550" i="2"/>
  <c r="AB550" i="2" s="1"/>
  <c r="Y267" i="2"/>
  <c r="AB267" i="2" s="1"/>
  <c r="Y304" i="2"/>
  <c r="AB304" i="2" s="1"/>
  <c r="Y288" i="2"/>
  <c r="AB288" i="2" s="1"/>
  <c r="Y463" i="2"/>
  <c r="AB463" i="2" s="1"/>
  <c r="Y290" i="2"/>
  <c r="AB290" i="2" s="1"/>
  <c r="Y220" i="2"/>
  <c r="AB220" i="2" s="1"/>
  <c r="Y455" i="2"/>
  <c r="AB455" i="2" s="1"/>
  <c r="Y373" i="2"/>
  <c r="AB373" i="2" s="1"/>
  <c r="Y517" i="2"/>
  <c r="AB517" i="2" s="1"/>
  <c r="Y52" i="2"/>
  <c r="AB52" i="2" s="1"/>
  <c r="Y199" i="2"/>
  <c r="AB199" i="2" s="1"/>
  <c r="Y230" i="2"/>
  <c r="AB230" i="2" s="1"/>
  <c r="Y529" i="2"/>
  <c r="AB529" i="2" s="1"/>
  <c r="Y139" i="2"/>
  <c r="AB139" i="2" s="1"/>
  <c r="Y514" i="2"/>
  <c r="AB514" i="2" s="1"/>
  <c r="Y486" i="2"/>
  <c r="AB486" i="2" s="1"/>
  <c r="Y25" i="2"/>
  <c r="AB25" i="2" s="1"/>
  <c r="Y479" i="2"/>
  <c r="AB479" i="2" s="1"/>
  <c r="Y331" i="2"/>
  <c r="AB331" i="2" s="1"/>
  <c r="Y549" i="2"/>
  <c r="AB549" i="2" s="1"/>
  <c r="Y86" i="2"/>
  <c r="AB86" i="2" s="1"/>
  <c r="Y439" i="2"/>
  <c r="AB439" i="2" s="1"/>
  <c r="Y217" i="2"/>
  <c r="AB217" i="2" s="1"/>
  <c r="Y125" i="2"/>
  <c r="AB125" i="2" s="1"/>
  <c r="Y112" i="2"/>
  <c r="AB112" i="2" s="1"/>
  <c r="Y203" i="2"/>
  <c r="AB203" i="2" s="1"/>
  <c r="Y28" i="2"/>
  <c r="AB28" i="2" s="1"/>
  <c r="Y21" i="2"/>
  <c r="AB21" i="2" s="1"/>
  <c r="Y50" i="2"/>
  <c r="AB50" i="2" s="1"/>
  <c r="Y524" i="2"/>
  <c r="AB524" i="2" s="1"/>
  <c r="Y457" i="2"/>
  <c r="AB457" i="2" s="1"/>
  <c r="Y298" i="2"/>
  <c r="AB298" i="2" s="1"/>
  <c r="Y36" i="2"/>
  <c r="AB36" i="2" s="1"/>
  <c r="Y280" i="2"/>
  <c r="AB280" i="2" s="1"/>
  <c r="Y257" i="2"/>
  <c r="AB257" i="2" s="1"/>
  <c r="Y307" i="2"/>
  <c r="AB307" i="2" s="1"/>
  <c r="Y143" i="2"/>
  <c r="AB143" i="2" s="1"/>
  <c r="Y275" i="2"/>
  <c r="AB275" i="2" s="1"/>
  <c r="Y169" i="2"/>
  <c r="AB169" i="2" s="1"/>
  <c r="Y339" i="2"/>
  <c r="AB339" i="2" s="1"/>
  <c r="Y389" i="2"/>
  <c r="AB389" i="2" s="1"/>
  <c r="Y387" i="2"/>
  <c r="AB387" i="2" s="1"/>
  <c r="Y546" i="2"/>
  <c r="AB546" i="2" s="1"/>
  <c r="Y15" i="2"/>
  <c r="AB15" i="2" s="1"/>
  <c r="Y390" i="2"/>
  <c r="AB390" i="2" s="1"/>
  <c r="Y558" i="2"/>
  <c r="AB558" i="2" s="1"/>
  <c r="Y289" i="2"/>
  <c r="AB289" i="2" s="1"/>
  <c r="Y70" i="2"/>
  <c r="AB70" i="2" s="1"/>
  <c r="Y254" i="2"/>
  <c r="AB254" i="2" s="1"/>
  <c r="Y176" i="2"/>
  <c r="AB176" i="2" s="1"/>
  <c r="Y350" i="2"/>
  <c r="AB350" i="2" s="1"/>
  <c r="Y367" i="2"/>
  <c r="AB367" i="2" s="1"/>
  <c r="Y458" i="2"/>
  <c r="AB458" i="2" s="1"/>
  <c r="Y406" i="2"/>
  <c r="AB406" i="2" s="1"/>
  <c r="Y81" i="2"/>
  <c r="AB81" i="2" s="1"/>
  <c r="Y494" i="2"/>
  <c r="AB494" i="2" s="1"/>
  <c r="Y122" i="2"/>
  <c r="AB122" i="2" s="1"/>
  <c r="Y498" i="2"/>
  <c r="AB498" i="2" s="1"/>
  <c r="Y226" i="2"/>
  <c r="AB226" i="2" s="1"/>
  <c r="Y428" i="2"/>
  <c r="AB428" i="2" s="1"/>
  <c r="Y335" i="2"/>
  <c r="AB335" i="2" s="1"/>
  <c r="Y210" i="2"/>
  <c r="AB210" i="2" s="1"/>
  <c r="Y303" i="2"/>
  <c r="AB303" i="2" s="1"/>
  <c r="Y90" i="2"/>
  <c r="AB90" i="2" s="1"/>
  <c r="Y496" i="2"/>
  <c r="AB496" i="2" s="1"/>
  <c r="Y478" i="2"/>
  <c r="AB478" i="2" s="1"/>
  <c r="Y214" i="2"/>
  <c r="AB214" i="2" s="1"/>
  <c r="Y140" i="2"/>
  <c r="AB140" i="2" s="1"/>
  <c r="Y330" i="2"/>
  <c r="AB330" i="2" s="1"/>
  <c r="Y88" i="2"/>
  <c r="AB88" i="2" s="1"/>
  <c r="Y508" i="2"/>
  <c r="AB508" i="2" s="1"/>
  <c r="Y353" i="2"/>
  <c r="AB353" i="2" s="1"/>
  <c r="Y306" i="2"/>
  <c r="AB306" i="2" s="1"/>
  <c r="Y104" i="2"/>
  <c r="AB104" i="2" s="1"/>
  <c r="Y91" i="2"/>
  <c r="AB91" i="2" s="1"/>
  <c r="Y57" i="2"/>
  <c r="AB57" i="2" s="1"/>
  <c r="Y117" i="2"/>
  <c r="AB117" i="2" s="1"/>
  <c r="Y464" i="2"/>
  <c r="AB464" i="2" s="1"/>
  <c r="Y296" i="2"/>
  <c r="AB296" i="2" s="1"/>
  <c r="Y404" i="2"/>
  <c r="AB404" i="2" s="1"/>
  <c r="Y263" i="2"/>
  <c r="AB263" i="2" s="1"/>
  <c r="Y450" i="2"/>
  <c r="AB450" i="2" s="1"/>
  <c r="Y46" i="2"/>
  <c r="AB46" i="2" s="1"/>
  <c r="Y295" i="2"/>
  <c r="AB295" i="2" s="1"/>
  <c r="Y255" i="2"/>
  <c r="AB255" i="2" s="1"/>
  <c r="Y525" i="2"/>
  <c r="AB525" i="2" s="1"/>
  <c r="Y147" i="2"/>
  <c r="AB147" i="2" s="1"/>
  <c r="Y189" i="2"/>
  <c r="AB189" i="2" s="1"/>
  <c r="Y27" i="2"/>
  <c r="AB27" i="2" s="1"/>
  <c r="Y417" i="2"/>
  <c r="AB417" i="2" s="1"/>
  <c r="Y213" i="2"/>
  <c r="AB213" i="2" s="1"/>
  <c r="Y174" i="2"/>
  <c r="AB174" i="2" s="1"/>
  <c r="Y402" i="2"/>
  <c r="AB402" i="2" s="1"/>
  <c r="Y527" i="2"/>
  <c r="AB527" i="2" s="1"/>
  <c r="Y370" i="2"/>
  <c r="AB370" i="2" s="1"/>
  <c r="Y285" i="2"/>
  <c r="AB285" i="2" s="1"/>
  <c r="Y530" i="2"/>
  <c r="AB530" i="2" s="1"/>
  <c r="Y23" i="2"/>
  <c r="AB23" i="2" s="1"/>
  <c r="Y66" i="2"/>
  <c r="AB66" i="2" s="1"/>
  <c r="Y43" i="2"/>
  <c r="AB43" i="2" s="1"/>
  <c r="Y206" i="2"/>
  <c r="AB206" i="2" s="1"/>
  <c r="Y521" i="2"/>
  <c r="AB521" i="2" s="1"/>
  <c r="Y310" i="2"/>
  <c r="AB310" i="2" s="1"/>
  <c r="Y164" i="2"/>
  <c r="AB164" i="2" s="1"/>
  <c r="Y556" i="2"/>
  <c r="AB556" i="2" s="1"/>
  <c r="Y242" i="2"/>
  <c r="AB242" i="2" s="1"/>
  <c r="Y252" i="2"/>
  <c r="AB252" i="2" s="1"/>
  <c r="Y155" i="2"/>
  <c r="AB155" i="2" s="1"/>
  <c r="Y49" i="2"/>
  <c r="AB49" i="2" s="1"/>
  <c r="Y159" i="2"/>
  <c r="AB159" i="2" s="1"/>
  <c r="Y73" i="2"/>
  <c r="AB73" i="2" s="1"/>
  <c r="Y265" i="2"/>
  <c r="AB265" i="2" s="1"/>
  <c r="Y218" i="2"/>
  <c r="AB218" i="2" s="1"/>
  <c r="Y195" i="2"/>
  <c r="AB195" i="2" s="1"/>
  <c r="Y82" i="2"/>
  <c r="AB82" i="2" s="1"/>
  <c r="Y377" i="2"/>
  <c r="AB377" i="2" s="1"/>
  <c r="Y445" i="2"/>
  <c r="AB445" i="2" s="1"/>
  <c r="Y103" i="2"/>
  <c r="AB103" i="2" s="1"/>
  <c r="Y248" i="2"/>
  <c r="AB248" i="2" s="1"/>
  <c r="Y114" i="2"/>
  <c r="AB114" i="2" s="1"/>
  <c r="Y160" i="2"/>
  <c r="AB160" i="2" s="1"/>
  <c r="Y535" i="2"/>
  <c r="AB535" i="2" s="1"/>
  <c r="Y384" i="2"/>
  <c r="AB384" i="2" s="1"/>
  <c r="Y121" i="2"/>
  <c r="AB121" i="2" s="1"/>
  <c r="Y492" i="2"/>
  <c r="AB492" i="2" s="1"/>
  <c r="Y134" i="2"/>
  <c r="AB134" i="2" s="1"/>
  <c r="Y314" i="2"/>
  <c r="AB314" i="2" s="1"/>
  <c r="Y507" i="2"/>
  <c r="AB507" i="2" s="1"/>
  <c r="Y475" i="2"/>
  <c r="AB475" i="2" s="1"/>
  <c r="Y251" i="2"/>
  <c r="AB251" i="2" s="1"/>
  <c r="Y308" i="2"/>
  <c r="AB308" i="2" s="1"/>
  <c r="Y282" i="2"/>
  <c r="AB282" i="2" s="1"/>
  <c r="Y31" i="2"/>
  <c r="AB31" i="2" s="1"/>
  <c r="Y484" i="2"/>
  <c r="AB484" i="2" s="1"/>
  <c r="Y472" i="2"/>
  <c r="AB472" i="2" s="1"/>
  <c r="Y209" i="2"/>
  <c r="AB209" i="2" s="1"/>
  <c r="Y177" i="2"/>
  <c r="AB177" i="2" s="1"/>
  <c r="Y34" i="2"/>
  <c r="AB34" i="2" s="1"/>
  <c r="Y515" i="2"/>
  <c r="AB515" i="2" s="1"/>
  <c r="Y207" i="2"/>
  <c r="AB207" i="2" s="1"/>
  <c r="Y411" i="2"/>
  <c r="AB411" i="2" s="1"/>
  <c r="Y249" i="2"/>
  <c r="AB249" i="2" s="1"/>
  <c r="Y392" i="2"/>
  <c r="AB392" i="2" s="1"/>
  <c r="Y553" i="2"/>
  <c r="AB553" i="2" s="1"/>
  <c r="Y200" i="2"/>
  <c r="AB200" i="2" s="1"/>
  <c r="Y537" i="2"/>
  <c r="AB537" i="2" s="1"/>
  <c r="Y563" i="2"/>
  <c r="AB563" i="2" s="1"/>
  <c r="Y100" i="2"/>
  <c r="AB100" i="2" s="1"/>
  <c r="Y363" i="2"/>
  <c r="AB363" i="2" s="1"/>
  <c r="Y165" i="2"/>
  <c r="AB165" i="2" s="1"/>
  <c r="Y193" i="2"/>
  <c r="AB193" i="2" s="1"/>
  <c r="Y469" i="2"/>
  <c r="AB469" i="2" s="1"/>
  <c r="Y163" i="2"/>
  <c r="AB163" i="2" s="1"/>
  <c r="Y94" i="2"/>
  <c r="AB94" i="2" s="1"/>
  <c r="Y408" i="2"/>
  <c r="AB408" i="2" s="1"/>
  <c r="Y261" i="2"/>
  <c r="AB261" i="2" s="1"/>
  <c r="Y362" i="2"/>
  <c r="AB362" i="2" s="1"/>
  <c r="Y142" i="2"/>
  <c r="AB142" i="2" s="1"/>
  <c r="Y557" i="2"/>
  <c r="AB557" i="2" s="1"/>
  <c r="Y356" i="2"/>
  <c r="AB356" i="2" s="1"/>
  <c r="Y345" i="2"/>
  <c r="AB345" i="2" s="1"/>
  <c r="Y344" i="2"/>
  <c r="AB344" i="2" s="1"/>
  <c r="Y426" i="2"/>
  <c r="AB426" i="2" s="1"/>
  <c r="Y346" i="2"/>
  <c r="AB346" i="2" s="1"/>
  <c r="Y80" i="2"/>
  <c r="AB80" i="2" s="1"/>
  <c r="Y58" i="2"/>
  <c r="AB58" i="2" s="1"/>
  <c r="Y291" i="2"/>
  <c r="AB291" i="2" s="1"/>
  <c r="Y240" i="2"/>
  <c r="AB240" i="2" s="1"/>
  <c r="Y111" i="2"/>
  <c r="AB111" i="2" s="1"/>
  <c r="Y448" i="2"/>
  <c r="AB448" i="2" s="1"/>
  <c r="Y431" i="2"/>
  <c r="AB431" i="2" s="1"/>
  <c r="Y516" i="2"/>
  <c r="AB516" i="2" s="1"/>
  <c r="Y412" i="2"/>
  <c r="AB412" i="2" s="1"/>
  <c r="Y215" i="2"/>
  <c r="AB215" i="2" s="1"/>
  <c r="Y323" i="2"/>
  <c r="AB323" i="2" s="1"/>
  <c r="Y237" i="2"/>
  <c r="AB237" i="2" s="1"/>
  <c r="Y358" i="2"/>
  <c r="AB358" i="2" s="1"/>
  <c r="Y180" i="2"/>
  <c r="AB180" i="2" s="1"/>
  <c r="Y120" i="2"/>
  <c r="AB120" i="2" s="1"/>
  <c r="Y453" i="2"/>
  <c r="AB453" i="2" s="1"/>
  <c r="Y420" i="2"/>
  <c r="AB420" i="2" s="1"/>
  <c r="Y182" i="2"/>
  <c r="AB182" i="2" s="1"/>
  <c r="Y219" i="2"/>
  <c r="AB219" i="2" s="1"/>
  <c r="Y179" i="2"/>
  <c r="AB179" i="2" s="1"/>
  <c r="Y138" i="2"/>
  <c r="AB138" i="2" s="1"/>
  <c r="Y241" i="2"/>
  <c r="AB241" i="2" s="1"/>
  <c r="Y33" i="2"/>
  <c r="AB33" i="2" s="1"/>
  <c r="Y357" i="2"/>
  <c r="AB357" i="2" s="1"/>
  <c r="Y342" i="2"/>
  <c r="AB342" i="2" s="1"/>
  <c r="Y109" i="2"/>
  <c r="AB109" i="2" s="1"/>
  <c r="Y64" i="2"/>
  <c r="AB64" i="2" s="1"/>
  <c r="Y272" i="2"/>
  <c r="AB272" i="2" s="1"/>
  <c r="Y425" i="2"/>
  <c r="AB425" i="2" s="1"/>
  <c r="Y130" i="2"/>
  <c r="AB130" i="2" s="1"/>
  <c r="Y405" i="2"/>
  <c r="AB405" i="2" s="1"/>
  <c r="Y243" i="2"/>
  <c r="AB243" i="2" s="1"/>
  <c r="Y260" i="2"/>
  <c r="AB260" i="2" s="1"/>
  <c r="Y153" i="2"/>
  <c r="AB153" i="2" s="1"/>
  <c r="Y534" i="2"/>
  <c r="AB534" i="2" s="1"/>
  <c r="Y216" i="2"/>
  <c r="AB216" i="2" s="1"/>
  <c r="Y502" i="2"/>
  <c r="AB502" i="2" s="1"/>
  <c r="Y491" i="2"/>
  <c r="AB491" i="2" s="1"/>
  <c r="Y270" i="2"/>
  <c r="AB270" i="2" s="1"/>
  <c r="Y447" i="2"/>
  <c r="AB447" i="2" s="1"/>
  <c r="Y300" i="2"/>
  <c r="AB300" i="2" s="1"/>
  <c r="Y196" i="2"/>
  <c r="AB196" i="2" s="1"/>
  <c r="Y522" i="2"/>
  <c r="AB522" i="2" s="1"/>
  <c r="Y424" i="2"/>
  <c r="AB424" i="2" s="1"/>
  <c r="Y156" i="2"/>
  <c r="AB156" i="2" s="1"/>
  <c r="Y126" i="2"/>
  <c r="AB126" i="2" s="1"/>
  <c r="Y87" i="2"/>
  <c r="AB87" i="2" s="1"/>
  <c r="Y544" i="2"/>
  <c r="AB544" i="2" s="1"/>
  <c r="Y204" i="2"/>
  <c r="AB204" i="2" s="1"/>
  <c r="Y442" i="2"/>
  <c r="AB442" i="2" s="1"/>
  <c r="Y554" i="2"/>
  <c r="AB554" i="2" s="1"/>
  <c r="Y119" i="2"/>
  <c r="AB119" i="2" s="1"/>
  <c r="Y480" i="2"/>
  <c r="AB480" i="2" s="1"/>
  <c r="Y238" i="2"/>
  <c r="AB238" i="2" s="1"/>
  <c r="Y41" i="2"/>
  <c r="AB41" i="2" s="1"/>
  <c r="Y166" i="2"/>
  <c r="AB166" i="2" s="1"/>
  <c r="Y320" i="2"/>
  <c r="AB320" i="2" s="1"/>
  <c r="Y231" i="2"/>
  <c r="AB231" i="2" s="1"/>
  <c r="Y382" i="2"/>
  <c r="AB382" i="2" s="1"/>
  <c r="Y468" i="2"/>
  <c r="AB468" i="2" s="1"/>
  <c r="Y144" i="2"/>
  <c r="AB144" i="2" s="1"/>
  <c r="Y432" i="2"/>
  <c r="AB432" i="2" s="1"/>
  <c r="Y407" i="2"/>
  <c r="AB407" i="2" s="1"/>
  <c r="Y39" i="2"/>
  <c r="AB39" i="2" s="1"/>
  <c r="Y152" i="2"/>
  <c r="AB152" i="2" s="1"/>
  <c r="Y175" i="2"/>
  <c r="AB175" i="2" s="1"/>
  <c r="Y421" i="2"/>
  <c r="AB421" i="2" s="1"/>
  <c r="Y161" i="2"/>
  <c r="AB161" i="2" s="1"/>
  <c r="Y452" i="2"/>
  <c r="AB452" i="2" s="1"/>
  <c r="Y399" i="2"/>
  <c r="AB399" i="2" s="1"/>
  <c r="Y47" i="2"/>
  <c r="AB47" i="2" s="1"/>
  <c r="Y504" i="2"/>
  <c r="AB504" i="2" s="1"/>
  <c r="Y224" i="2"/>
  <c r="AB224" i="2" s="1"/>
  <c r="Y234" i="2"/>
  <c r="AB234" i="2" s="1"/>
  <c r="Y368" i="2"/>
  <c r="AB368" i="2" s="1"/>
  <c r="Y379" i="2"/>
  <c r="AB379" i="2" s="1"/>
  <c r="Y340" i="2"/>
  <c r="AB340" i="2" s="1"/>
  <c r="Y106" i="2"/>
  <c r="AB106" i="2" s="1"/>
  <c r="Y123" i="2"/>
  <c r="AB123" i="2" s="1"/>
  <c r="Y137" i="2"/>
  <c r="AB137" i="2" s="1"/>
  <c r="Y499" i="2"/>
  <c r="AB499" i="2" s="1"/>
  <c r="Y343" i="2"/>
  <c r="AB343" i="2" s="1"/>
  <c r="Y351" i="2"/>
  <c r="AB351" i="2" s="1"/>
  <c r="Y418" i="2"/>
  <c r="AB418" i="2" s="1"/>
  <c r="Y317" i="2"/>
  <c r="AB317" i="2" s="1"/>
  <c r="Y538" i="2"/>
  <c r="AB538" i="2" s="1"/>
  <c r="Y293" i="2"/>
  <c r="AB293" i="2" s="1"/>
  <c r="Y523" i="2"/>
  <c r="AB523" i="2" s="1"/>
  <c r="Y202" i="2"/>
  <c r="AB202" i="2" s="1"/>
  <c r="Y223" i="2"/>
  <c r="AB223" i="2" s="1"/>
  <c r="Y315" i="2"/>
  <c r="AB315" i="2" s="1"/>
  <c r="Y194" i="2"/>
  <c r="AB194" i="2" s="1"/>
  <c r="Y135" i="2"/>
  <c r="AB135" i="2" s="1"/>
  <c r="Y235" i="2"/>
  <c r="AB235" i="2" s="1"/>
  <c r="Y245" i="2"/>
  <c r="AB245" i="2" s="1"/>
  <c r="Y253" i="2"/>
  <c r="AB253" i="2" s="1"/>
  <c r="Y321" i="2"/>
  <c r="AB321" i="2" s="1"/>
  <c r="Y559" i="2"/>
  <c r="AB559" i="2" s="1"/>
  <c r="Y518" i="2"/>
  <c r="AB518" i="2" s="1"/>
  <c r="Y352" i="2"/>
  <c r="AB352" i="2" s="1"/>
  <c r="Y69" i="2"/>
  <c r="AB69" i="2" s="1"/>
  <c r="Y540" i="2"/>
  <c r="AB540" i="2" s="1"/>
  <c r="Y236" i="2"/>
  <c r="AB236" i="2" s="1"/>
  <c r="Y501" i="2"/>
  <c r="AB501" i="2" s="1"/>
  <c r="Y493" i="2"/>
  <c r="AB493" i="2" s="1"/>
  <c r="Y239" i="2"/>
  <c r="AB239" i="2" s="1"/>
  <c r="Y208" i="2"/>
  <c r="AB208" i="2" s="1"/>
  <c r="Y246" i="2"/>
  <c r="AB246" i="2" s="1"/>
  <c r="Y416" i="2"/>
  <c r="AB416" i="2" s="1"/>
  <c r="Y198" i="2"/>
  <c r="AB198" i="2" s="1"/>
  <c r="Y471" i="2"/>
  <c r="AB471" i="2" s="1"/>
  <c r="Y131" i="2"/>
  <c r="AB131" i="2" s="1"/>
  <c r="Y233" i="2"/>
  <c r="AB233" i="2" s="1"/>
  <c r="Y543" i="2"/>
  <c r="AB543" i="2" s="1"/>
  <c r="Y375" i="2"/>
  <c r="AB375" i="2" s="1"/>
  <c r="Y12" i="2"/>
  <c r="AB12" i="2" s="1"/>
  <c r="Y561" i="2"/>
  <c r="AB561" i="2" s="1"/>
  <c r="Y124" i="2"/>
  <c r="AB124" i="2" s="1"/>
  <c r="Y250" i="2"/>
  <c r="AB250" i="2" s="1"/>
  <c r="Y279" i="2"/>
  <c r="AB279" i="2" s="1"/>
  <c r="Y83" i="2"/>
  <c r="AB83" i="2" s="1"/>
  <c r="Y325" i="2"/>
  <c r="AB325" i="2" s="1"/>
  <c r="Y490" i="2"/>
  <c r="AB490" i="2" s="1"/>
  <c r="Y511" i="2"/>
  <c r="AB511" i="2" s="1"/>
  <c r="Y547" i="2"/>
  <c r="AB547" i="2" s="1"/>
  <c r="Y281" i="2"/>
  <c r="AB281" i="2" s="1"/>
  <c r="Y115" i="2"/>
  <c r="AB115" i="2" s="1"/>
  <c r="Y485" i="2"/>
  <c r="AB485" i="2" s="1"/>
  <c r="Y419" i="2"/>
  <c r="AB419" i="2" s="1"/>
  <c r="Y192" i="2"/>
  <c r="AB192" i="2" s="1"/>
  <c r="Y369" i="2"/>
  <c r="AB369" i="2" s="1"/>
  <c r="Y477" i="2"/>
  <c r="AB477" i="2" s="1"/>
  <c r="Y456" i="2"/>
  <c r="AB456" i="2" s="1"/>
  <c r="Y510" i="2"/>
  <c r="AB510" i="2" s="1"/>
  <c r="Y162" i="2"/>
  <c r="AB162" i="2" s="1"/>
  <c r="Y211" i="2"/>
  <c r="AB211" i="2" s="1"/>
  <c r="Y97" i="2"/>
  <c r="AB97" i="2" s="1"/>
  <c r="Y562" i="2"/>
  <c r="AB562" i="2" s="1"/>
  <c r="Y110" i="2"/>
  <c r="AB110" i="2" s="1"/>
  <c r="Y415" i="2"/>
  <c r="AB415" i="2" s="1"/>
  <c r="Y273" i="2"/>
  <c r="AB273" i="2" s="1"/>
  <c r="Y299" i="2"/>
  <c r="AB299" i="2" s="1"/>
  <c r="Y528" i="2"/>
  <c r="AB528" i="2" s="1"/>
  <c r="Y228" i="2"/>
  <c r="AB228" i="2" s="1"/>
  <c r="Y129" i="2"/>
  <c r="AB129" i="2" s="1"/>
  <c r="Y136" i="2"/>
  <c r="AB136" i="2" s="1"/>
  <c r="Y247" i="2"/>
  <c r="AB247" i="2" s="1"/>
  <c r="Y555" i="2"/>
  <c r="AB555" i="2" s="1"/>
  <c r="Y548" i="2"/>
  <c r="AB548" i="2" s="1"/>
  <c r="Y374" i="2"/>
  <c r="AB374" i="2" s="1"/>
  <c r="Y410" i="2"/>
  <c r="AB410" i="2" s="1"/>
  <c r="Y63" i="2"/>
  <c r="AB63" i="2" s="1"/>
  <c r="Y461" i="2"/>
  <c r="AB461" i="2" s="1"/>
  <c r="Y187" i="2"/>
  <c r="AB187" i="2" s="1"/>
  <c r="Y347" i="2"/>
  <c r="AB347" i="2" s="1"/>
  <c r="Y197" i="2"/>
  <c r="AB197" i="2" s="1"/>
  <c r="Y40" i="2"/>
  <c r="AB40" i="2" s="1"/>
  <c r="Y229" i="2"/>
  <c r="AB229" i="2" s="1"/>
  <c r="Y465" i="2"/>
  <c r="AB465" i="2" s="1"/>
  <c r="Y158" i="2"/>
  <c r="AB158" i="2" s="1"/>
  <c r="Y132" i="2"/>
  <c r="AB132" i="2" s="1"/>
  <c r="Y311" i="2"/>
  <c r="AB311" i="2" s="1"/>
  <c r="Y17" i="2"/>
  <c r="AB17" i="2" s="1"/>
  <c r="Y26" i="2"/>
  <c r="AB26" i="2" s="1"/>
  <c r="Y326" i="2"/>
  <c r="AB326" i="2" s="1"/>
  <c r="Y149" i="2"/>
  <c r="AB149" i="2" s="1"/>
  <c r="Y500" i="2"/>
  <c r="AB500" i="2" s="1"/>
  <c r="Y451" i="2"/>
  <c r="AB451" i="2" s="1"/>
  <c r="Y324" i="2"/>
  <c r="AB324" i="2" s="1"/>
  <c r="Y20" i="2"/>
  <c r="AB20" i="2" s="1"/>
  <c r="Y506" i="2"/>
  <c r="AB506" i="2" s="1"/>
  <c r="Y380" i="2"/>
  <c r="AB380" i="2" s="1"/>
  <c r="Y381" i="2"/>
  <c r="AB381" i="2" s="1"/>
  <c r="Y474" i="2"/>
  <c r="AB474" i="2" s="1"/>
  <c r="Y467" i="2"/>
  <c r="AB467" i="2" s="1"/>
  <c r="Y427" i="2"/>
  <c r="AB427" i="2" s="1"/>
  <c r="Y322" i="2"/>
  <c r="AB322" i="2" s="1"/>
  <c r="Y305" i="2"/>
  <c r="AB305" i="2" s="1"/>
  <c r="Y545" i="2"/>
  <c r="AB545" i="2" s="1"/>
  <c r="Y429" i="2"/>
  <c r="AB429" i="2" s="1"/>
  <c r="Y24" i="2"/>
  <c r="AB24" i="2" s="1"/>
  <c r="Y283" i="2"/>
  <c r="AB283" i="2" s="1"/>
  <c r="Y393" i="2"/>
  <c r="AB393" i="2" s="1"/>
  <c r="Y509" i="2"/>
  <c r="AB509" i="2" s="1"/>
  <c r="Y473" i="2"/>
  <c r="AB473" i="2" s="1"/>
  <c r="Y244" i="2"/>
  <c r="AB244" i="2" s="1"/>
  <c r="Y185" i="2"/>
  <c r="AB185" i="2" s="1"/>
  <c r="Y497" i="2"/>
  <c r="AB497" i="2" s="1"/>
  <c r="Y150" i="2"/>
  <c r="AB150" i="2" s="1"/>
  <c r="Y394" i="2"/>
  <c r="AB394" i="2" s="1"/>
  <c r="Y460" i="2"/>
  <c r="AB460" i="2" s="1"/>
  <c r="Y519" i="2"/>
  <c r="AB519" i="2" s="1"/>
  <c r="Y531" i="2"/>
  <c r="AB531" i="2" s="1"/>
  <c r="Y577" i="2"/>
  <c r="AB577" i="2" s="1"/>
  <c r="Y574" i="2"/>
  <c r="AB574" i="2" s="1"/>
  <c r="Y576" i="2"/>
  <c r="AB576" i="2" s="1"/>
  <c r="Y575" i="2"/>
  <c r="AB575" i="2" s="1"/>
  <c r="H708" i="2" l="1"/>
  <c r="G723" i="2" l="1"/>
  <c r="G708" i="2"/>
  <c r="H728" i="2"/>
  <c r="AV578" i="2" l="1"/>
  <c r="AU578" i="2"/>
  <c r="AV7" i="2"/>
  <c r="AU7" i="2"/>
  <c r="F579" i="2" l="1"/>
  <c r="AM578" i="2" l="1"/>
  <c r="AM7" i="2"/>
  <c r="AN7" i="2"/>
  <c r="AI7" i="2"/>
  <c r="AH7" i="2"/>
  <c r="AJ7" i="2" l="1"/>
  <c r="G55" i="19"/>
  <c r="Z7" i="2"/>
  <c r="U7" i="2"/>
  <c r="T7" i="2"/>
  <c r="S7" i="2"/>
  <c r="R7" i="2"/>
  <c r="O7" i="2"/>
  <c r="N7" i="2"/>
  <c r="M7" i="2"/>
  <c r="H694" i="2" l="1"/>
  <c r="G694" i="2"/>
  <c r="V7" i="2"/>
  <c r="Y7" i="2" l="1"/>
  <c r="AB7" i="2" l="1"/>
  <c r="C53" i="18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I695" i="2" l="1"/>
  <c r="F695" i="2"/>
  <c r="F735" i="2" l="1"/>
  <c r="F667" i="2"/>
  <c r="F596" i="2"/>
  <c r="B63" i="19"/>
  <c r="AN578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G695" i="2"/>
  <c r="H695" i="2"/>
  <c r="C72" i="18"/>
  <c r="K58" i="19"/>
  <c r="G667" i="2"/>
  <c r="H667" i="2"/>
  <c r="G735" i="2"/>
  <c r="I640" i="2" l="1"/>
  <c r="H640" i="2"/>
  <c r="F640" i="2"/>
  <c r="AI578" i="2" l="1"/>
  <c r="AJ578" i="2" s="1"/>
  <c r="AH578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H723" i="2"/>
  <c r="G640" i="2"/>
  <c r="I674" i="2" l="1"/>
  <c r="F674" i="2"/>
  <c r="I653" i="2" l="1"/>
  <c r="H653" i="2"/>
  <c r="F653" i="2"/>
  <c r="F652" i="2"/>
  <c r="I592" i="2" l="1"/>
  <c r="H592" i="2"/>
  <c r="G592" i="2"/>
  <c r="F592" i="2"/>
  <c r="G596" i="2"/>
  <c r="I596" i="2"/>
  <c r="F597" i="2"/>
  <c r="F598" i="2"/>
  <c r="F599" i="2"/>
  <c r="G594" i="2"/>
  <c r="F594" i="2"/>
  <c r="I671" i="2"/>
  <c r="F671" i="2"/>
  <c r="G670" i="2"/>
  <c r="F670" i="2"/>
  <c r="I700" i="2"/>
  <c r="F700" i="2"/>
  <c r="I602" i="2"/>
  <c r="F602" i="2"/>
  <c r="F601" i="2"/>
  <c r="G674" i="2" l="1"/>
  <c r="H674" i="2"/>
  <c r="G653" i="2"/>
  <c r="H596" i="2"/>
  <c r="I702" i="2"/>
  <c r="B578" i="2" l="1"/>
  <c r="Z578" i="2"/>
  <c r="U578" i="2"/>
  <c r="T578" i="2"/>
  <c r="S578" i="2"/>
  <c r="R578" i="2"/>
  <c r="O578" i="2"/>
  <c r="N578" i="2"/>
  <c r="M578" i="2"/>
  <c r="G602" i="2" l="1"/>
  <c r="H602" i="2"/>
  <c r="G671" i="2"/>
  <c r="H671" i="2"/>
  <c r="H700" i="2"/>
  <c r="G700" i="2"/>
  <c r="G601" i="2"/>
  <c r="V578" i="2"/>
  <c r="Q578" i="2"/>
  <c r="Y578" i="2" l="1"/>
  <c r="AB578" i="2" s="1"/>
  <c r="G613" i="2" l="1"/>
  <c r="C63" i="19"/>
  <c r="D63" i="19" s="1"/>
  <c r="F585" i="2"/>
  <c r="G585" i="2"/>
  <c r="H585" i="2"/>
  <c r="D586" i="2"/>
  <c r="D587" i="2" s="1"/>
  <c r="D588" i="2" s="1"/>
  <c r="D589" i="2" s="1"/>
  <c r="D590" i="2" s="1"/>
  <c r="D591" i="2" s="1"/>
  <c r="D592" i="2" s="1"/>
  <c r="D593" i="2" s="1"/>
  <c r="D594" i="2" s="1"/>
  <c r="F586" i="2"/>
  <c r="G586" i="2"/>
  <c r="H586" i="2"/>
  <c r="F587" i="2"/>
  <c r="G587" i="2"/>
  <c r="H587" i="2"/>
  <c r="AC587" i="2"/>
  <c r="F588" i="2"/>
  <c r="G588" i="2"/>
  <c r="H588" i="2"/>
  <c r="F589" i="2"/>
  <c r="F590" i="2"/>
  <c r="G590" i="2"/>
  <c r="H590" i="2"/>
  <c r="I590" i="2"/>
  <c r="F591" i="2"/>
  <c r="G591" i="2"/>
  <c r="H591" i="2"/>
  <c r="F593" i="2"/>
  <c r="G593" i="2"/>
  <c r="H593" i="2"/>
  <c r="H594" i="2"/>
  <c r="I594" i="2"/>
  <c r="F595" i="2"/>
  <c r="G595" i="2"/>
  <c r="H595" i="2"/>
  <c r="G597" i="2"/>
  <c r="H597" i="2"/>
  <c r="G598" i="2"/>
  <c r="H598" i="2"/>
  <c r="F600" i="2"/>
  <c r="G600" i="2"/>
  <c r="H600" i="2"/>
  <c r="I601" i="2"/>
  <c r="F603" i="2"/>
  <c r="G603" i="2"/>
  <c r="H603" i="2"/>
  <c r="F605" i="2"/>
  <c r="G605" i="2"/>
  <c r="H605" i="2"/>
  <c r="F606" i="2"/>
  <c r="G606" i="2"/>
  <c r="H606" i="2"/>
  <c r="F607" i="2"/>
  <c r="F608" i="2"/>
  <c r="G608" i="2"/>
  <c r="H608" i="2"/>
  <c r="I608" i="2"/>
  <c r="F609" i="2"/>
  <c r="G609" i="2"/>
  <c r="H609" i="2"/>
  <c r="F610" i="2"/>
  <c r="G610" i="2"/>
  <c r="H610" i="2"/>
  <c r="F611" i="2"/>
  <c r="G611" i="2"/>
  <c r="H611" i="2"/>
  <c r="F612" i="2"/>
  <c r="I612" i="2"/>
  <c r="F613" i="2"/>
  <c r="F614" i="2"/>
  <c r="G614" i="2"/>
  <c r="H614" i="2"/>
  <c r="I614" i="2"/>
  <c r="F615" i="2"/>
  <c r="I615" i="2"/>
  <c r="F616" i="2"/>
  <c r="F617" i="2"/>
  <c r="G617" i="2"/>
  <c r="H617" i="2"/>
  <c r="F618" i="2"/>
  <c r="G618" i="2"/>
  <c r="H618" i="2"/>
  <c r="F619" i="2"/>
  <c r="I619" i="2"/>
  <c r="F620" i="2"/>
  <c r="G620" i="2"/>
  <c r="H620" i="2"/>
  <c r="F621" i="2"/>
  <c r="G621" i="2"/>
  <c r="H621" i="2"/>
  <c r="F622" i="2"/>
  <c r="G622" i="2"/>
  <c r="H622" i="2"/>
  <c r="I622" i="2"/>
  <c r="F623" i="2"/>
  <c r="G623" i="2"/>
  <c r="H623" i="2"/>
  <c r="I623" i="2"/>
  <c r="F624" i="2"/>
  <c r="I624" i="2"/>
  <c r="F625" i="2"/>
  <c r="G625" i="2"/>
  <c r="H625" i="2"/>
  <c r="I625" i="2"/>
  <c r="F626" i="2"/>
  <c r="I626" i="2"/>
  <c r="F627" i="2"/>
  <c r="G627" i="2"/>
  <c r="H627" i="2"/>
  <c r="F628" i="2"/>
  <c r="G628" i="2"/>
  <c r="H628" i="2"/>
  <c r="I628" i="2"/>
  <c r="F629" i="2"/>
  <c r="I629" i="2"/>
  <c r="F630" i="2"/>
  <c r="I630" i="2"/>
  <c r="F632" i="2"/>
  <c r="I632" i="2"/>
  <c r="F633" i="2"/>
  <c r="I633" i="2"/>
  <c r="F634" i="2"/>
  <c r="G634" i="2"/>
  <c r="H634" i="2"/>
  <c r="I634" i="2"/>
  <c r="F635" i="2"/>
  <c r="G635" i="2"/>
  <c r="H635" i="2"/>
  <c r="I635" i="2"/>
  <c r="F636" i="2"/>
  <c r="G636" i="2"/>
  <c r="H636" i="2"/>
  <c r="F637" i="2"/>
  <c r="I637" i="2"/>
  <c r="F638" i="2"/>
  <c r="G638" i="2"/>
  <c r="H638" i="2"/>
  <c r="I638" i="2"/>
  <c r="F639" i="2"/>
  <c r="G639" i="2"/>
  <c r="H639" i="2"/>
  <c r="F641" i="2"/>
  <c r="G641" i="2"/>
  <c r="H641" i="2"/>
  <c r="F642" i="2"/>
  <c r="G642" i="2"/>
  <c r="H642" i="2"/>
  <c r="I642" i="2"/>
  <c r="F643" i="2"/>
  <c r="G643" i="2"/>
  <c r="H643" i="2"/>
  <c r="F644" i="2"/>
  <c r="I644" i="2"/>
  <c r="F645" i="2"/>
  <c r="I645" i="2"/>
  <c r="F646" i="2"/>
  <c r="G646" i="2"/>
  <c r="H646" i="2"/>
  <c r="I646" i="2"/>
  <c r="F647" i="2"/>
  <c r="I647" i="2"/>
  <c r="F649" i="2"/>
  <c r="I649" i="2"/>
  <c r="F650" i="2"/>
  <c r="G650" i="2"/>
  <c r="H650" i="2"/>
  <c r="F651" i="2"/>
  <c r="G651" i="2"/>
  <c r="H651" i="2"/>
  <c r="G652" i="2"/>
  <c r="H652" i="2"/>
  <c r="F654" i="2"/>
  <c r="G654" i="2"/>
  <c r="H654" i="2"/>
  <c r="I654" i="2"/>
  <c r="F655" i="2"/>
  <c r="I655" i="2"/>
  <c r="F656" i="2"/>
  <c r="G656" i="2"/>
  <c r="H656" i="2"/>
  <c r="F657" i="2"/>
  <c r="I657" i="2"/>
  <c r="F658" i="2"/>
  <c r="G658" i="2"/>
  <c r="H658" i="2"/>
  <c r="F659" i="2"/>
  <c r="G659" i="2"/>
  <c r="H659" i="2"/>
  <c r="F660" i="2"/>
  <c r="G660" i="2"/>
  <c r="H660" i="2"/>
  <c r="I660" i="2"/>
  <c r="F661" i="2"/>
  <c r="G661" i="2"/>
  <c r="H661" i="2"/>
  <c r="I661" i="2"/>
  <c r="F662" i="2"/>
  <c r="I662" i="2"/>
  <c r="F663" i="2"/>
  <c r="G663" i="2"/>
  <c r="H663" i="2"/>
  <c r="F664" i="2"/>
  <c r="G664" i="2"/>
  <c r="H664" i="2"/>
  <c r="F665" i="2"/>
  <c r="I665" i="2"/>
  <c r="F666" i="2"/>
  <c r="G666" i="2"/>
  <c r="H666" i="2"/>
  <c r="F668" i="2"/>
  <c r="F669" i="2"/>
  <c r="G669" i="2"/>
  <c r="H669" i="2"/>
  <c r="H670" i="2"/>
  <c r="F672" i="2"/>
  <c r="I672" i="2"/>
  <c r="F673" i="2"/>
  <c r="G673" i="2"/>
  <c r="H673" i="2"/>
  <c r="I673" i="2"/>
  <c r="F675" i="2"/>
  <c r="I675" i="2"/>
  <c r="F676" i="2"/>
  <c r="I676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D595" i="2" l="1"/>
  <c r="D596" i="2" s="1"/>
  <c r="D597" i="2" s="1"/>
  <c r="D598" i="2" s="1"/>
  <c r="D599" i="2" s="1"/>
  <c r="D600" i="2" s="1"/>
  <c r="D601" i="2" s="1"/>
  <c r="D602" i="2" s="1"/>
  <c r="D603" i="2" s="1"/>
  <c r="D605" i="2" s="1"/>
  <c r="D606" i="2" s="1"/>
  <c r="D607" i="2" s="1"/>
  <c r="D608" i="2" s="1"/>
  <c r="D609" i="2" s="1"/>
  <c r="D610" i="2" s="1"/>
  <c r="D611" i="2" s="1"/>
  <c r="D612" i="2" s="1"/>
  <c r="D613" i="2" s="1"/>
  <c r="D614" i="2" s="1"/>
  <c r="D615" i="2" s="1"/>
  <c r="D616" i="2" s="1"/>
  <c r="D617" i="2" s="1"/>
  <c r="D618" i="2" s="1"/>
  <c r="D619" i="2" s="1"/>
  <c r="D620" i="2" s="1"/>
  <c r="D621" i="2" s="1"/>
  <c r="D622" i="2" s="1"/>
  <c r="D623" i="2" s="1"/>
  <c r="D624" i="2" s="1"/>
  <c r="D625" i="2" s="1"/>
  <c r="D626" i="2" s="1"/>
  <c r="D627" i="2" s="1"/>
  <c r="D628" i="2" s="1"/>
  <c r="D629" i="2" s="1"/>
  <c r="D630" i="2" s="1"/>
  <c r="D632" i="2" s="1"/>
  <c r="D633" i="2" s="1"/>
  <c r="D634" i="2" s="1"/>
  <c r="D635" i="2" s="1"/>
  <c r="D636" i="2" s="1"/>
  <c r="D637" i="2" s="1"/>
  <c r="D638" i="2" s="1"/>
  <c r="D639" i="2" s="1"/>
  <c r="D641" i="2" s="1"/>
  <c r="D642" i="2" s="1"/>
  <c r="D643" i="2" s="1"/>
  <c r="D644" i="2" s="1"/>
  <c r="D645" i="2" s="1"/>
  <c r="D646" i="2" s="1"/>
  <c r="D647" i="2" s="1"/>
  <c r="D649" i="2" s="1"/>
  <c r="D650" i="2" s="1"/>
  <c r="D651" i="2" s="1"/>
  <c r="D652" i="2" s="1"/>
  <c r="D653" i="2" s="1"/>
  <c r="D654" i="2" s="1"/>
  <c r="D655" i="2" s="1"/>
  <c r="D656" i="2" s="1"/>
  <c r="D657" i="2" s="1"/>
  <c r="D658" i="2" s="1"/>
  <c r="D659" i="2" s="1"/>
  <c r="D660" i="2" s="1"/>
  <c r="D661" i="2" s="1"/>
  <c r="D662" i="2" s="1"/>
  <c r="D663" i="2" s="1"/>
  <c r="D664" i="2" s="1"/>
  <c r="D665" i="2" s="1"/>
  <c r="D666" i="2" s="1"/>
  <c r="D668" i="2" s="1"/>
  <c r="D669" i="2" s="1"/>
  <c r="D670" i="2" s="1"/>
  <c r="D671" i="2" s="1"/>
  <c r="D672" i="2" s="1"/>
  <c r="D673" i="2" s="1"/>
  <c r="D674" i="2" s="1"/>
  <c r="D675" i="2" s="1"/>
  <c r="D676" i="2" s="1"/>
  <c r="D677" i="2" s="1"/>
  <c r="D678" i="2" s="1"/>
  <c r="D679" i="2" s="1"/>
  <c r="D680" i="2" s="1"/>
  <c r="D681" i="2" s="1"/>
  <c r="D682" i="2" s="1"/>
  <c r="D683" i="2" s="1"/>
  <c r="D684" i="2" s="1"/>
  <c r="D685" i="2" s="1"/>
  <c r="D686" i="2" s="1"/>
  <c r="D687" i="2" s="1"/>
  <c r="D688" i="2" s="1"/>
  <c r="D689" i="2" s="1"/>
  <c r="D690" i="2" s="1"/>
  <c r="D691" i="2" s="1"/>
  <c r="D692" i="2" s="1"/>
  <c r="D693" i="2" s="1"/>
  <c r="D696" i="2" s="1"/>
  <c r="D697" i="2" s="1"/>
  <c r="D698" i="2" s="1"/>
  <c r="D699" i="2" s="1"/>
  <c r="D700" i="2" s="1"/>
  <c r="D701" i="2" s="1"/>
  <c r="D702" i="2" s="1"/>
  <c r="D703" i="2" s="1"/>
  <c r="D704" i="2" s="1"/>
  <c r="D705" i="2" s="1"/>
  <c r="D706" i="2" s="1"/>
  <c r="D707" i="2" s="1"/>
  <c r="D709" i="2" s="1"/>
  <c r="D711" i="2" s="1"/>
  <c r="D712" i="2" s="1"/>
  <c r="D713" i="2" s="1"/>
  <c r="D714" i="2" s="1"/>
  <c r="D715" i="2" s="1"/>
  <c r="D716" i="2" s="1"/>
  <c r="D717" i="2" s="1"/>
  <c r="D718" i="2" s="1"/>
  <c r="D719" i="2" s="1"/>
  <c r="D720" i="2" s="1"/>
  <c r="D721" i="2" s="1"/>
  <c r="D722" i="2" s="1"/>
  <c r="D723" i="2" s="1"/>
  <c r="D724" i="2" s="1"/>
  <c r="D725" i="2" s="1"/>
  <c r="D726" i="2" s="1"/>
  <c r="D727" i="2" s="1"/>
  <c r="D728" i="2" s="1"/>
  <c r="D729" i="2" s="1"/>
  <c r="D730" i="2" s="1"/>
  <c r="D731" i="2" s="1"/>
  <c r="D732" i="2" s="1"/>
  <c r="D733" i="2" s="1"/>
  <c r="D734" i="2" s="1"/>
  <c r="D735" i="2" s="1"/>
  <c r="D736" i="2" s="1"/>
  <c r="D737" i="2" s="1"/>
  <c r="D738" i="2" s="1"/>
  <c r="D739" i="2" s="1"/>
  <c r="D740" i="2" s="1"/>
  <c r="D741" i="2" s="1"/>
  <c r="D742" i="2" s="1"/>
  <c r="D743" i="2" s="1"/>
  <c r="H702" i="2"/>
  <c r="H613" i="2"/>
  <c r="H599" i="2"/>
  <c r="G599" i="2"/>
  <c r="AC588" i="2"/>
  <c r="I727" i="2"/>
  <c r="F727" i="2"/>
  <c r="I740" i="2"/>
  <c r="I677" i="2"/>
  <c r="F677" i="2"/>
  <c r="G637" i="2" l="1"/>
  <c r="H637" i="2"/>
  <c r="G615" i="2"/>
  <c r="H615" i="2"/>
  <c r="H727" i="2"/>
  <c r="H665" i="2"/>
  <c r="G665" i="2"/>
  <c r="G727" i="2"/>
  <c r="I687" i="2" l="1"/>
  <c r="F687" i="2"/>
  <c r="G686" i="2"/>
  <c r="F686" i="2"/>
  <c r="G677" i="2" l="1"/>
  <c r="G693" i="2"/>
  <c r="G705" i="2"/>
  <c r="G717" i="2"/>
  <c r="G740" i="2"/>
  <c r="G645" i="2"/>
  <c r="I706" i="2"/>
  <c r="F706" i="2"/>
  <c r="F705" i="2"/>
  <c r="G763" i="2"/>
  <c r="G706" i="2"/>
  <c r="G743" i="2"/>
  <c r="H662" i="2"/>
  <c r="V761" i="2"/>
  <c r="H690" i="2"/>
  <c r="G691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G5" i="2"/>
  <c r="G715" i="2"/>
  <c r="G738" i="2"/>
  <c r="C7" i="17"/>
  <c r="B9" i="17"/>
  <c r="B24" i="17"/>
  <c r="C29" i="17"/>
  <c r="H607" i="2"/>
  <c r="C26" i="17"/>
  <c r="G701" i="2"/>
  <c r="F678" i="2"/>
  <c r="G678" i="2"/>
  <c r="H678" i="2"/>
  <c r="I678" i="2"/>
  <c r="F679" i="2"/>
  <c r="F680" i="2"/>
  <c r="I680" i="2"/>
  <c r="F681" i="2"/>
  <c r="I681" i="2"/>
  <c r="F682" i="2"/>
  <c r="I682" i="2"/>
  <c r="F683" i="2"/>
  <c r="F684" i="2"/>
  <c r="G684" i="2"/>
  <c r="H684" i="2"/>
  <c r="F685" i="2"/>
  <c r="G685" i="2"/>
  <c r="H685" i="2"/>
  <c r="H686" i="2"/>
  <c r="I686" i="2"/>
  <c r="F688" i="2"/>
  <c r="G688" i="2"/>
  <c r="H688" i="2"/>
  <c r="F689" i="2"/>
  <c r="I689" i="2"/>
  <c r="F690" i="2"/>
  <c r="I690" i="2"/>
  <c r="F691" i="2"/>
  <c r="I691" i="2"/>
  <c r="F692" i="2"/>
  <c r="G692" i="2"/>
  <c r="H692" i="2"/>
  <c r="F693" i="2"/>
  <c r="I693" i="2"/>
  <c r="F696" i="2"/>
  <c r="G696" i="2"/>
  <c r="H696" i="2"/>
  <c r="F697" i="2"/>
  <c r="G697" i="2"/>
  <c r="H697" i="2"/>
  <c r="F698" i="2"/>
  <c r="I698" i="2"/>
  <c r="F699" i="2"/>
  <c r="G699" i="2"/>
  <c r="H699" i="2"/>
  <c r="I699" i="2"/>
  <c r="F701" i="2"/>
  <c r="F702" i="2"/>
  <c r="F703" i="2"/>
  <c r="I703" i="2"/>
  <c r="F704" i="2"/>
  <c r="G704" i="2"/>
  <c r="H704" i="2"/>
  <c r="I705" i="2"/>
  <c r="F707" i="2"/>
  <c r="G707" i="2"/>
  <c r="H707" i="2"/>
  <c r="F709" i="2"/>
  <c r="G709" i="2"/>
  <c r="H709" i="2"/>
  <c r="F711" i="2"/>
  <c r="I711" i="2"/>
  <c r="F712" i="2"/>
  <c r="G712" i="2"/>
  <c r="H712" i="2"/>
  <c r="F713" i="2"/>
  <c r="G713" i="2"/>
  <c r="H713" i="2"/>
  <c r="F714" i="2"/>
  <c r="G714" i="2"/>
  <c r="H714" i="2"/>
  <c r="F715" i="2"/>
  <c r="F716" i="2"/>
  <c r="I716" i="2"/>
  <c r="F717" i="2"/>
  <c r="I717" i="2"/>
  <c r="F718" i="2"/>
  <c r="F719" i="2"/>
  <c r="I719" i="2"/>
  <c r="F720" i="2"/>
  <c r="G720" i="2"/>
  <c r="H720" i="2"/>
  <c r="F721" i="2"/>
  <c r="G721" i="2"/>
  <c r="H721" i="2"/>
  <c r="F722" i="2"/>
  <c r="I722" i="2"/>
  <c r="F724" i="2"/>
  <c r="G724" i="2"/>
  <c r="H724" i="2"/>
  <c r="F725" i="2"/>
  <c r="I725" i="2"/>
  <c r="F729" i="2"/>
  <c r="H729" i="2"/>
  <c r="F730" i="2"/>
  <c r="G730" i="2"/>
  <c r="H730" i="2"/>
  <c r="F731" i="2"/>
  <c r="I731" i="2"/>
  <c r="F732" i="2"/>
  <c r="I732" i="2"/>
  <c r="F733" i="2"/>
  <c r="G733" i="2"/>
  <c r="H733" i="2"/>
  <c r="F734" i="2"/>
  <c r="G734" i="2"/>
  <c r="H734" i="2"/>
  <c r="I734" i="2"/>
  <c r="F736" i="2"/>
  <c r="G736" i="2"/>
  <c r="H736" i="2"/>
  <c r="I736" i="2"/>
  <c r="F737" i="2"/>
  <c r="G737" i="2"/>
  <c r="H737" i="2"/>
  <c r="I737" i="2"/>
  <c r="F738" i="2"/>
  <c r="I738" i="2"/>
  <c r="F739" i="2"/>
  <c r="G739" i="2"/>
  <c r="H739" i="2"/>
  <c r="F740" i="2"/>
  <c r="H740" i="2"/>
  <c r="F741" i="2"/>
  <c r="G741" i="2"/>
  <c r="H741" i="2"/>
  <c r="I741" i="2"/>
  <c r="F742" i="2"/>
  <c r="I742" i="2"/>
  <c r="F743" i="2"/>
  <c r="I743" i="2"/>
  <c r="F748" i="2"/>
  <c r="F750" i="2"/>
  <c r="F756" i="2"/>
  <c r="H756" i="2" s="1"/>
  <c r="I756" i="2"/>
  <c r="K756" i="2" s="1"/>
  <c r="J756" i="2"/>
  <c r="L756" i="2"/>
  <c r="W756" i="2" s="1"/>
  <c r="V756" i="2"/>
  <c r="X756" i="2"/>
  <c r="Z756" i="2" s="1"/>
  <c r="Y756" i="2"/>
  <c r="F757" i="2"/>
  <c r="H757" i="2" s="1"/>
  <c r="I757" i="2"/>
  <c r="K757" i="2" s="1"/>
  <c r="J757" i="2"/>
  <c r="L757" i="2"/>
  <c r="W757" i="2" s="1"/>
  <c r="V757" i="2"/>
  <c r="X757" i="2"/>
  <c r="Z757" i="2" s="1"/>
  <c r="Y757" i="2"/>
  <c r="F758" i="2"/>
  <c r="H758" i="2" s="1"/>
  <c r="I758" i="2"/>
  <c r="K758" i="2" s="1"/>
  <c r="J758" i="2"/>
  <c r="L758" i="2"/>
  <c r="W758" i="2" s="1"/>
  <c r="V758" i="2"/>
  <c r="X758" i="2"/>
  <c r="Z758" i="2" s="1"/>
  <c r="Y758" i="2"/>
  <c r="F759" i="2"/>
  <c r="H759" i="2" s="1"/>
  <c r="G759" i="2"/>
  <c r="I759" i="2"/>
  <c r="K759" i="2" s="1"/>
  <c r="J759" i="2"/>
  <c r="L759" i="2"/>
  <c r="W759" i="2" s="1"/>
  <c r="V759" i="2"/>
  <c r="X759" i="2"/>
  <c r="Z759" i="2" s="1"/>
  <c r="Y759" i="2"/>
  <c r="F760" i="2"/>
  <c r="H760" i="2" s="1"/>
  <c r="I760" i="2"/>
  <c r="K760" i="2" s="1"/>
  <c r="J760" i="2"/>
  <c r="L760" i="2"/>
  <c r="W760" i="2" s="1"/>
  <c r="V760" i="2"/>
  <c r="X760" i="2"/>
  <c r="Z760" i="2" s="1"/>
  <c r="Y760" i="2"/>
  <c r="F761" i="2"/>
  <c r="H761" i="2" s="1"/>
  <c r="I761" i="2"/>
  <c r="K761" i="2" s="1"/>
  <c r="L761" i="2"/>
  <c r="W761" i="2" s="1"/>
  <c r="X761" i="2"/>
  <c r="Z761" i="2" s="1"/>
  <c r="Y761" i="2"/>
  <c r="F762" i="2"/>
  <c r="H762" i="2" s="1"/>
  <c r="I762" i="2"/>
  <c r="K762" i="2" s="1"/>
  <c r="L762" i="2"/>
  <c r="W762" i="2" s="1"/>
  <c r="X762" i="2"/>
  <c r="Z762" i="2" s="1"/>
  <c r="Y762" i="2"/>
  <c r="F763" i="2"/>
  <c r="H763" i="2" s="1"/>
  <c r="I763" i="2"/>
  <c r="K763" i="2" s="1"/>
  <c r="J763" i="2"/>
  <c r="L763" i="2"/>
  <c r="W763" i="2" s="1"/>
  <c r="V763" i="2"/>
  <c r="X763" i="2"/>
  <c r="Z763" i="2" s="1"/>
  <c r="Y763" i="2"/>
  <c r="F764" i="2"/>
  <c r="H764" i="2" s="1"/>
  <c r="G764" i="2"/>
  <c r="I764" i="2"/>
  <c r="K764" i="2" s="1"/>
  <c r="J764" i="2"/>
  <c r="L764" i="2"/>
  <c r="W764" i="2" s="1"/>
  <c r="V764" i="2"/>
  <c r="X764" i="2"/>
  <c r="Z764" i="2" s="1"/>
  <c r="Y764" i="2"/>
  <c r="F765" i="2"/>
  <c r="H765" i="2" s="1"/>
  <c r="G765" i="2"/>
  <c r="I765" i="2"/>
  <c r="K765" i="2" s="1"/>
  <c r="J765" i="2"/>
  <c r="L765" i="2"/>
  <c r="W765" i="2" s="1"/>
  <c r="V765" i="2"/>
  <c r="X765" i="2"/>
  <c r="Z765" i="2" s="1"/>
  <c r="Y765" i="2"/>
  <c r="F766" i="2"/>
  <c r="H766" i="2" s="1"/>
  <c r="G766" i="2"/>
  <c r="I766" i="2"/>
  <c r="K766" i="2" s="1"/>
  <c r="J766" i="2"/>
  <c r="L766" i="2"/>
  <c r="W766" i="2" s="1"/>
  <c r="V766" i="2"/>
  <c r="X766" i="2"/>
  <c r="Z766" i="2" s="1"/>
  <c r="Y766" i="2"/>
  <c r="F767" i="2"/>
  <c r="H767" i="2" s="1"/>
  <c r="G767" i="2"/>
  <c r="I767" i="2"/>
  <c r="K767" i="2" s="1"/>
  <c r="J767" i="2"/>
  <c r="L767" i="2"/>
  <c r="W767" i="2" s="1"/>
  <c r="X767" i="2"/>
  <c r="Z767" i="2" s="1"/>
  <c r="Y767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G711" i="2"/>
  <c r="H711" i="2"/>
  <c r="H738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H701" i="2"/>
  <c r="G756" i="2"/>
  <c r="G729" i="2"/>
  <c r="H682" i="2"/>
  <c r="G682" i="2"/>
  <c r="H715" i="2"/>
  <c r="G683" i="2"/>
  <c r="H683" i="2"/>
  <c r="G690" i="2"/>
  <c r="H680" i="2"/>
  <c r="H693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H655" i="2"/>
  <c r="H624" i="2"/>
  <c r="C39" i="4"/>
  <c r="C40" i="4" s="1"/>
  <c r="H619" i="2"/>
  <c r="H657" i="2"/>
  <c r="G589" i="2"/>
  <c r="H589" i="2"/>
  <c r="G647" i="2"/>
  <c r="H647" i="2"/>
  <c r="G668" i="2"/>
  <c r="H668" i="2"/>
  <c r="G616" i="2"/>
  <c r="H616" i="2"/>
  <c r="G655" i="2"/>
  <c r="G624" i="2"/>
  <c r="H717" i="2"/>
  <c r="G687" i="2"/>
  <c r="H687" i="2"/>
  <c r="H645" i="2"/>
  <c r="G672" i="2"/>
  <c r="H672" i="2"/>
  <c r="H649" i="2"/>
  <c r="G662" i="2"/>
  <c r="G657" i="2"/>
  <c r="G607" i="2"/>
  <c r="G644" i="2"/>
  <c r="H644" i="2"/>
  <c r="G630" i="2"/>
  <c r="H630" i="2"/>
  <c r="G649" i="2"/>
  <c r="G676" i="2"/>
  <c r="H676" i="2"/>
  <c r="G632" i="2"/>
  <c r="H632" i="2"/>
  <c r="H633" i="2"/>
  <c r="G633" i="2"/>
  <c r="H601" i="2"/>
  <c r="G612" i="2"/>
  <c r="H612" i="2"/>
  <c r="H675" i="2"/>
  <c r="G675" i="2"/>
  <c r="G626" i="2"/>
  <c r="H626" i="2"/>
  <c r="G629" i="2"/>
  <c r="H629" i="2"/>
  <c r="G619" i="2"/>
  <c r="H677" i="2"/>
  <c r="AF5" i="2"/>
  <c r="AO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H716" i="2"/>
  <c r="C34" i="11"/>
  <c r="C36" i="11" s="1"/>
  <c r="G762" i="2"/>
  <c r="C26" i="11"/>
  <c r="C27" i="11"/>
  <c r="C28" i="11" s="1"/>
  <c r="R56" i="3"/>
  <c r="Q62" i="3" s="1"/>
  <c r="Q63" i="3" s="1"/>
  <c r="Q64" i="3" s="1"/>
  <c r="G718" i="2"/>
  <c r="H743" i="2"/>
  <c r="F751" i="2"/>
  <c r="H681" i="2"/>
  <c r="H719" i="2"/>
  <c r="H742" i="2"/>
  <c r="H705" i="2"/>
  <c r="H732" i="2"/>
  <c r="H718" i="2"/>
  <c r="H679" i="2"/>
  <c r="H691" i="2"/>
  <c r="H698" i="2"/>
  <c r="C42" i="4"/>
  <c r="H725" i="2"/>
  <c r="H731" i="2"/>
  <c r="U52" i="12"/>
  <c r="D49" i="4"/>
  <c r="G698" i="2"/>
  <c r="H706" i="2"/>
  <c r="G725" i="2"/>
  <c r="G731" i="2"/>
  <c r="H703" i="2"/>
  <c r="H689" i="2"/>
  <c r="J761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H722" i="2"/>
  <c r="Q69" i="3"/>
  <c r="Q71" i="3" s="1"/>
  <c r="G681" i="2"/>
  <c r="G719" i="2"/>
  <c r="G742" i="2"/>
  <c r="R7" i="3"/>
  <c r="D7" i="11" s="1"/>
  <c r="D34" i="11" s="1"/>
  <c r="D36" i="11" s="1"/>
  <c r="Q61" i="3"/>
  <c r="G679" i="2"/>
  <c r="G702" i="2"/>
  <c r="V762" i="2"/>
  <c r="G757" i="2"/>
  <c r="G761" i="2"/>
  <c r="G716" i="2"/>
  <c r="P69" i="3"/>
  <c r="P71" i="3" s="1"/>
  <c r="C13" i="18"/>
  <c r="B12" i="18"/>
  <c r="V767" i="2"/>
  <c r="C11" i="18"/>
  <c r="G703" i="2"/>
  <c r="B11" i="18"/>
  <c r="G689" i="2"/>
  <c r="G758" i="2"/>
  <c r="C37" i="17"/>
  <c r="G680" i="2"/>
  <c r="G732" i="2"/>
  <c r="G722" i="2"/>
  <c r="C86" i="18"/>
  <c r="J762" i="2"/>
  <c r="C8" i="18"/>
  <c r="B6" i="18"/>
  <c r="C7" i="18"/>
  <c r="B9" i="18"/>
  <c r="B14" i="18"/>
  <c r="C10" i="18"/>
  <c r="B7" i="18"/>
  <c r="B13" i="18"/>
  <c r="C15" i="18"/>
  <c r="C16" i="18"/>
  <c r="I745" i="2"/>
  <c r="F745" i="2"/>
  <c r="F749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Y768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Z768" i="2"/>
  <c r="M9" i="12"/>
  <c r="H768" i="2"/>
  <c r="W768" i="2"/>
  <c r="I768" i="2"/>
  <c r="L768" i="2"/>
  <c r="X768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K768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F768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F746" i="2" l="1"/>
  <c r="F5" i="2"/>
  <c r="C54" i="18"/>
  <c r="G58" i="19"/>
  <c r="C29" i="11"/>
  <c r="R70" i="3"/>
  <c r="C36" i="18"/>
  <c r="C58" i="19"/>
  <c r="A3" i="19" s="1"/>
  <c r="B36" i="18"/>
  <c r="R69" i="3"/>
  <c r="D81" i="15"/>
  <c r="F771" i="2"/>
  <c r="F772" i="2" s="1"/>
  <c r="J768" i="2"/>
  <c r="H745" i="2"/>
  <c r="V768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F755" i="2"/>
  <c r="F77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G760" i="2"/>
  <c r="G768" i="2" s="1"/>
  <c r="Z579" i="2"/>
  <c r="G728" i="2"/>
  <c r="G745" i="2" s="1"/>
  <c r="G755" i="2" l="1"/>
  <c r="B88" i="18"/>
  <c r="B82" i="18" s="1"/>
  <c r="Z5" i="2"/>
</calcChain>
</file>

<file path=xl/sharedStrings.xml><?xml version="1.0" encoding="utf-8"?>
<sst xmlns="http://schemas.openxmlformats.org/spreadsheetml/2006/main" count="3838" uniqueCount="793">
  <si>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</si>
  <si>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</si>
  <si>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</si>
  <si>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</si>
  <si>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</si>
  <si>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</si>
  <si>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</si>
  <si>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</si>
  <si>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</si>
  <si>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</si>
  <si>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</si>
  <si>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</si>
  <si>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</si>
  <si>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</si>
  <si>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</si>
  <si>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</si>
  <si>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</si>
  <si>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</si>
  <si>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</si>
  <si>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</si>
  <si>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</si>
  <si>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</si>
  <si>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</si>
  <si>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</si>
  <si>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</si>
  <si>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</si>
  <si>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</si>
  <si>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</si>
  <si>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</si>
  <si>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</si>
  <si>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</si>
  <si>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</si>
  <si>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</si>
  <si>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</si>
  <si>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</si>
  <si>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</si>
  <si>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</si>
  <si>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</si>
  <si>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</si>
  <si>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</si>
  <si>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</si>
  <si>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</si>
  <si>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</si>
  <si>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</si>
  <si>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</si>
  <si>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</si>
  <si>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</si>
  <si>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</si>
  <si>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</si>
  <si>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</si>
  <si>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</si>
  <si>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</si>
  <si>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</si>
  <si>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</si>
  <si>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</si>
  <si>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</si>
  <si>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</si>
  <si>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</si>
  <si>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</si>
  <si>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</si>
  <si>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</si>
  <si>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</si>
  <si>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</si>
  <si>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</si>
  <si>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</si>
  <si>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</si>
  <si>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</si>
  <si>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</si>
  <si>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</si>
  <si>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</si>
  <si>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</si>
  <si>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</si>
  <si>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</si>
  <si>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</si>
  <si>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</si>
  <si>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</si>
  <si>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</si>
  <si>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</si>
  <si>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</si>
  <si>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</si>
  <si>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</si>
  <si>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</si>
  <si>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</si>
  <si>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</si>
  <si>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</si>
  <si>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</si>
  <si>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</si>
  <si>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</si>
  <si>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</si>
  <si>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</si>
  <si>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</si>
  <si>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</si>
  <si>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</si>
  <si>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</si>
  <si>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</si>
  <si>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</si>
  <si>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</si>
  <si>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</si>
  <si>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</si>
  <si>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</si>
  <si>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</si>
  <si>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</si>
  <si>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</si>
  <si>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</si>
  <si>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</si>
  <si>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</si>
  <si>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</si>
  <si>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</si>
  <si>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</si>
  <si>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</si>
  <si>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</si>
  <si>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</si>
  <si>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</si>
  <si>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</si>
  <si>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</si>
  <si>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</si>
  <si>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</si>
  <si>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</si>
  <si>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</si>
  <si>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</si>
  <si>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</si>
  <si>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</si>
  <si>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</si>
  <si>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</si>
  <si>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</si>
  <si>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</si>
  <si>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</si>
  <si>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</si>
  <si>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</si>
  <si>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</si>
  <si>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</si>
  <si>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</si>
  <si>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</si>
  <si>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</si>
  <si>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</si>
  <si>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</si>
  <si>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</si>
  <si>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</si>
  <si>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</si>
  <si>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</si>
  <si>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</si>
  <si>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</si>
  <si>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</si>
  <si>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</si>
  <si>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</si>
  <si>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</si>
  <si>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</si>
  <si>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</si>
  <si>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</si>
  <si>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</si>
  <si>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</si>
  <si>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</si>
  <si>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</si>
  <si>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</si>
  <si>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</si>
  <si>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</si>
  <si>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</si>
  <si>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</si>
  <si>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</si>
  <si>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</si>
  <si>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</si>
  <si>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</si>
  <si>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</si>
  <si>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</si>
  <si>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</si>
  <si>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</si>
  <si>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</si>
  <si>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</si>
  <si>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</si>
  <si>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</si>
  <si>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</si>
  <si>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</si>
  <si>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</si>
  <si>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</si>
  <si>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</si>
  <si>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</si>
  <si>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</si>
  <si>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</si>
  <si>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</si>
  <si>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</si>
  <si>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</si>
  <si>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</si>
  <si>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</si>
  <si>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</si>
  <si>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</si>
  <si>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</si>
  <si>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</si>
  <si>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</si>
  <si>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</si>
  <si>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</si>
  <si>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</si>
  <si>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</si>
  <si>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</si>
  <si>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</si>
  <si>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</si>
  <si>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</si>
  <si>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</si>
  <si>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</si>
  <si>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</si>
  <si>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</si>
  <si>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</si>
  <si>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</si>
  <si>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</si>
  <si>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</si>
  <si>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</si>
  <si>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</si>
  <si>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</si>
  <si>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</si>
  <si>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</si>
  <si>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</si>
  <si>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</si>
  <si>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</si>
  <si>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</si>
  <si>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</si>
  <si>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</si>
  <si>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</si>
  <si>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</si>
  <si>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</si>
  <si>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</si>
  <si>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</si>
  <si>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</si>
  <si>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</si>
  <si>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</si>
  <si>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</si>
  <si>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</si>
  <si>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</si>
  <si>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</si>
  <si>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</si>
  <si>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</si>
  <si>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</si>
  <si>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</si>
  <si>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</si>
  <si>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</si>
  <si>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</si>
  <si>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</si>
  <si>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</si>
  <si>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</si>
  <si>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</si>
  <si>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</si>
  <si>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</si>
  <si>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</si>
  <si>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</si>
  <si>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</si>
  <si>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</si>
  <si>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</si>
  <si>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</si>
  <si>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</si>
  <si>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</si>
  <si>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</si>
  <si>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</si>
  <si>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</si>
  <si>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</si>
  <si>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</si>
  <si>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</si>
  <si>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</si>
  <si>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</si>
  <si>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</si>
  <si>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</si>
  <si>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</si>
  <si>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</si>
  <si>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</si>
  <si>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</si>
  <si>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</si>
  <si>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</si>
  <si>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</si>
  <si>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</si>
  <si>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</si>
  <si>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</si>
  <si>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</si>
  <si>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</si>
  <si>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</si>
  <si>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</si>
  <si>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</si>
  <si>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</si>
  <si>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</si>
  <si>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</si>
  <si>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</si>
  <si>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</si>
  <si>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</si>
  <si>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</si>
  <si>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</si>
  <si>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</si>
  <si>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</si>
  <si>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</si>
  <si>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</si>
  <si>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</si>
  <si>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</si>
  <si>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</si>
  <si>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</si>
  <si>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</si>
  <si>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</si>
  <si>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</si>
  <si>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</si>
  <si>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</si>
  <si>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</si>
  <si>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</si>
  <si>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</si>
  <si>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</si>
  <si>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</si>
  <si>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</si>
  <si>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</si>
  <si>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</si>
  <si>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</si>
  <si>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</si>
  <si>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</si>
  <si>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</si>
  <si>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</si>
  <si>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</si>
  <si>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</si>
  <si>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</si>
  <si>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</si>
  <si>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</si>
  <si>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</si>
  <si>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</si>
  <si>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</si>
  <si>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</si>
  <si>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</si>
  <si>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</si>
  <si>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</si>
  <si>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</si>
  <si>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</si>
  <si>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</si>
  <si>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</si>
  <si>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</si>
  <si>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</si>
  <si>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</si>
  <si>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</si>
  <si>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</si>
  <si>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</si>
  <si>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</si>
  <si>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</si>
  <si>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</si>
  <si>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</si>
  <si>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</si>
  <si>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</si>
  <si>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</si>
  <si>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</si>
  <si>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</si>
  <si>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</si>
  <si>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</si>
  <si>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</si>
  <si>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</si>
  <si>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</si>
  <si>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</si>
  <si>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</si>
  <si>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</si>
  <si>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</si>
  <si>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</si>
  <si>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</si>
  <si>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</si>
  <si>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</si>
  <si>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</si>
  <si>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</si>
  <si>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</si>
  <si>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</si>
  <si>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</si>
  <si>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</si>
  <si>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</si>
  <si>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</si>
  <si>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</si>
  <si>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</si>
  <si>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</si>
  <si>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</si>
  <si>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</si>
  <si>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</si>
  <si>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</si>
  <si>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</si>
  <si>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</si>
  <si>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</si>
  <si>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</si>
  <si>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</si>
  <si>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BCV Tecnology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</si>
  <si>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</si>
  <si>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</si>
  <si>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</si>
  <si>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</si>
  <si>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</si>
  <si>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</si>
  <si>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</si>
  <si>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</si>
  <si>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</si>
  <si>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</si>
  <si>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</si>
  <si>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</si>
  <si>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</si>
  <si>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</si>
  <si>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</si>
  <si>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</si>
  <si>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</si>
  <si>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</si>
  <si>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</si>
  <si>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</si>
  <si>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</si>
  <si>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</si>
  <si>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</si>
  <si>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</si>
  <si>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</si>
  <si>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</si>
  <si>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</si>
  <si>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</si>
  <si>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Elpicast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</si>
  <si>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</si>
  <si>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</si>
  <si>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</si>
  <si>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</si>
  <si>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</si>
  <si>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</si>
  <si>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</si>
  <si>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</si>
  <si>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</si>
  <si>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</si>
  <si>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</si>
  <si>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</si>
  <si>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</si>
  <si>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</si>
  <si>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</si>
  <si>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</si>
  <si>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</si>
  <si>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</si>
  <si>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</si>
  <si>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</si>
  <si>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O0250759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</si>
  <si>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</si>
  <si>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</si>
  <si>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</si>
  <si>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</si>
  <si>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</si>
  <si>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</si>
  <si>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</si>
  <si>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</si>
  <si>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</si>
  <si>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</si>
  <si>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</si>
  <si>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</si>
  <si>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</si>
  <si>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</si>
  <si>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</si>
  <si>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</si>
  <si>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</si>
  <si>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</si>
  <si>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</si>
  <si>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</si>
  <si>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 xml:space="preserve"> </t>
  </si>
  <si>
    <t>O0252610</t>
  </si>
  <si>
    <t>O0253453</t>
  </si>
  <si>
    <t>Elpi Cast</t>
  </si>
  <si>
    <t>O0260054</t>
  </si>
  <si>
    <t>Sgm</t>
  </si>
  <si>
    <t>FIS260243</t>
  </si>
  <si>
    <t>O0260224</t>
  </si>
  <si>
    <t>FIS260247</t>
  </si>
  <si>
    <t>O0260302</t>
  </si>
  <si>
    <t>O0260296</t>
  </si>
  <si>
    <t>O0260281</t>
  </si>
  <si>
    <t>O0260255</t>
  </si>
  <si>
    <t>O0260257</t>
  </si>
  <si>
    <t>O0260260</t>
  </si>
  <si>
    <t>O0260262</t>
  </si>
  <si>
    <t>O0260259</t>
  </si>
  <si>
    <t>O0260313</t>
  </si>
  <si>
    <t>FIS260245</t>
  </si>
  <si>
    <t>COMMISSIONI COBRAL 2026 PER CALKOS</t>
  </si>
  <si>
    <t>O0260107/B00394</t>
  </si>
  <si>
    <t>O0260163/B00394</t>
  </si>
  <si>
    <t>O0260165/B00394</t>
  </si>
  <si>
    <t>Barre</t>
  </si>
  <si>
    <t>O0260356</t>
  </si>
  <si>
    <t>O0260142/B00466</t>
  </si>
  <si>
    <t>O0260099/B00465</t>
  </si>
  <si>
    <t>FIS260250</t>
  </si>
  <si>
    <t>O0260397</t>
  </si>
  <si>
    <t>O0260403</t>
  </si>
  <si>
    <t>O0260362</t>
  </si>
  <si>
    <t>O0260165/B00525</t>
  </si>
  <si>
    <t>O0260311/B00525</t>
  </si>
  <si>
    <t>O0260372/B00525</t>
  </si>
  <si>
    <t>O0260347</t>
  </si>
  <si>
    <t>O0260323/B00591</t>
  </si>
  <si>
    <t>O0260302/B00591</t>
  </si>
  <si>
    <t>O0260311/B00553</t>
  </si>
  <si>
    <t>O0260317/B00553</t>
  </si>
  <si>
    <t>mancano Kg 900</t>
  </si>
  <si>
    <t>O0260461</t>
  </si>
  <si>
    <t>O0260462</t>
  </si>
  <si>
    <t>O0260415</t>
  </si>
  <si>
    <t>O0260302/B00621</t>
  </si>
  <si>
    <t>O0260038/B00592</t>
  </si>
  <si>
    <t>O0260109/B00592</t>
  </si>
  <si>
    <t>O0260142/B00592</t>
  </si>
  <si>
    <t>O0260230/B00595</t>
  </si>
  <si>
    <t>O0260239/B00595</t>
  </si>
  <si>
    <t>O0260162/B00594</t>
  </si>
  <si>
    <t>O0260190/B00594</t>
  </si>
  <si>
    <t>O0260138/B00592</t>
  </si>
  <si>
    <t>O0260490</t>
  </si>
  <si>
    <t>O0260489</t>
  </si>
  <si>
    <t>O0260164/B00635</t>
  </si>
  <si>
    <t>O0260323/B00635</t>
  </si>
  <si>
    <t>O0260323/B00637</t>
  </si>
  <si>
    <t>O0260107/B00666</t>
  </si>
  <si>
    <t>O0260107/B00641</t>
  </si>
  <si>
    <t>O0260299/B00641</t>
  </si>
  <si>
    <t>O0260395/B00641</t>
  </si>
  <si>
    <t>O0260466</t>
  </si>
  <si>
    <t>O0260513</t>
  </si>
  <si>
    <t>O0260107/B00693</t>
  </si>
  <si>
    <t>O0260165/B00693</t>
  </si>
  <si>
    <t>O0260445/B00693</t>
  </si>
  <si>
    <t>O0260533</t>
  </si>
  <si>
    <t>O0260539</t>
  </si>
  <si>
    <t>O0260578</t>
  </si>
  <si>
    <t>O0260549</t>
  </si>
  <si>
    <t>O0260553</t>
  </si>
  <si>
    <t>O0260107/B00749</t>
  </si>
  <si>
    <t>O0260107/B00766</t>
  </si>
  <si>
    <t>O0260311/B00766</t>
  </si>
  <si>
    <t>O0260624</t>
  </si>
  <si>
    <t>O0260362/B00826</t>
  </si>
  <si>
    <t>O0260638</t>
  </si>
  <si>
    <t>O0260190/B00751</t>
  </si>
  <si>
    <t>O0260229/B00751</t>
  </si>
  <si>
    <t>O0260296/B00751</t>
  </si>
  <si>
    <t>O0260377/B00751</t>
  </si>
  <si>
    <t>O0260447/B00751</t>
  </si>
  <si>
    <t>O0260639</t>
  </si>
  <si>
    <t>O0260403/B00753</t>
  </si>
  <si>
    <t>O0260015/B00819</t>
  </si>
  <si>
    <t>O0260216/B00842</t>
  </si>
  <si>
    <t>O0260195/B00846</t>
  </si>
  <si>
    <t>O0260322/B00846</t>
  </si>
  <si>
    <t>O0260340/B00847</t>
  </si>
  <si>
    <t>O0260375/B00847</t>
  </si>
  <si>
    <t>O0253149/B00832</t>
  </si>
  <si>
    <t>O0253338/B00832</t>
  </si>
  <si>
    <t>O0253453/B00832</t>
  </si>
  <si>
    <t>O0260657</t>
  </si>
  <si>
    <t>O0260660</t>
  </si>
  <si>
    <t>O0260693</t>
  </si>
  <si>
    <t>O0260691</t>
  </si>
  <si>
    <t>O0260208/856/26V</t>
  </si>
  <si>
    <t>O0260169/856/26V</t>
  </si>
  <si>
    <t>O0260136/B00822</t>
  </si>
  <si>
    <t>O0253147/866/26V</t>
  </si>
  <si>
    <t>O0260340/873/26V</t>
  </si>
  <si>
    <t>O0260515/873/26V</t>
  </si>
  <si>
    <t>O0260039/B00818</t>
  </si>
  <si>
    <t>O0260553/B00884</t>
  </si>
  <si>
    <t>O0260565/B00885</t>
  </si>
  <si>
    <t>O0260590/B00890</t>
  </si>
  <si>
    <t>O0260591/B00890</t>
  </si>
  <si>
    <t>O0260587/B00892</t>
  </si>
  <si>
    <t>MANCANO KG 120</t>
  </si>
  <si>
    <t>O0260588/B00892</t>
  </si>
  <si>
    <t>O0260656/B00892</t>
  </si>
  <si>
    <t>O0260222/887/26V</t>
  </si>
  <si>
    <t>MANCANO KG 311</t>
  </si>
  <si>
    <t>O0260223/887/26V</t>
  </si>
  <si>
    <t>854/26OC</t>
  </si>
  <si>
    <t>853/26OC</t>
  </si>
  <si>
    <t>O0260482/922/26V</t>
  </si>
  <si>
    <t>O0260413/923/26V</t>
  </si>
  <si>
    <t>O0253354/929/26V</t>
  </si>
  <si>
    <t>O0260356/915/26V</t>
  </si>
  <si>
    <t>O0260553/924/26V</t>
  </si>
  <si>
    <t>O0260575/931/26V</t>
  </si>
  <si>
    <t>O0260113/910/26V</t>
  </si>
  <si>
    <t>878/26OC</t>
  </si>
  <si>
    <t>863/26OC</t>
  </si>
  <si>
    <t>858/26OC</t>
  </si>
  <si>
    <t>FIS260254</t>
  </si>
  <si>
    <t>O0260134/936/26V</t>
  </si>
  <si>
    <t>O0260216/937/26V</t>
  </si>
  <si>
    <t>O0260488/937/26V</t>
  </si>
  <si>
    <t>O0260574/937/26V</t>
  </si>
  <si>
    <t>O0260130/937/26V</t>
  </si>
  <si>
    <t>O0260220/925/26V</t>
  </si>
  <si>
    <t>O0260221/926/26V</t>
  </si>
  <si>
    <t>O0260371/927/26V</t>
  </si>
  <si>
    <t>O0260500/935/26V</t>
  </si>
  <si>
    <t>O0260580/935/26V</t>
  </si>
  <si>
    <t>O0260666/935/26V</t>
  </si>
  <si>
    <t>O0253071/938/26V</t>
  </si>
  <si>
    <t>O0260254/938/26V</t>
  </si>
  <si>
    <t>887/26OC</t>
  </si>
  <si>
    <t>903/26OC</t>
  </si>
  <si>
    <t>894/OC</t>
  </si>
  <si>
    <t>890/26OC</t>
  </si>
  <si>
    <t>O0260549/969/26C</t>
  </si>
  <si>
    <t>O0260568/959/26C</t>
  </si>
  <si>
    <t>O0260465/952/26V</t>
  </si>
  <si>
    <t>O0260465/952/26C</t>
  </si>
  <si>
    <t>260668/26OC</t>
  </si>
  <si>
    <t>260668/26OC/952/26V</t>
  </si>
  <si>
    <t>O0260638/961/26V</t>
  </si>
  <si>
    <t>888/26OC/951/26V</t>
  </si>
  <si>
    <t>O0260588/974/26V</t>
  </si>
  <si>
    <t>O0260591/974/26V</t>
  </si>
  <si>
    <t>O0260593/986/26V</t>
  </si>
  <si>
    <t>mancano Kg 250</t>
  </si>
  <si>
    <t>O0260340/970/26V</t>
  </si>
  <si>
    <t>O0260515/970/26V</t>
  </si>
  <si>
    <t>O0260575/970/26V</t>
  </si>
  <si>
    <t>260668/26OC/981/26V</t>
  </si>
  <si>
    <t>O0260553/980/26V</t>
  </si>
  <si>
    <t>O0260504/997/26V</t>
  </si>
  <si>
    <t>O0260663/997/26V</t>
  </si>
  <si>
    <t>O0260591/999/26V</t>
  </si>
  <si>
    <t>O0260549/1005/26V</t>
  </si>
  <si>
    <t>O0260575/1005/26V</t>
  </si>
  <si>
    <t>857/26OC/1005/26V</t>
  </si>
  <si>
    <t>O0260470/998/26V</t>
  </si>
  <si>
    <t>O0260471/998/26V</t>
  </si>
  <si>
    <t>899/26OC</t>
  </si>
  <si>
    <t>901/26OC</t>
  </si>
  <si>
    <t>898/26OC</t>
  </si>
  <si>
    <t>893/26OC</t>
  </si>
  <si>
    <t>892/26OC</t>
  </si>
  <si>
    <t>891/26OC</t>
  </si>
  <si>
    <t>902/26OC</t>
  </si>
  <si>
    <t>904/26OC</t>
  </si>
  <si>
    <t>O0260661/996/26V</t>
  </si>
  <si>
    <t>O0260041/1017/26V</t>
  </si>
  <si>
    <t>O0260356/1017/26V</t>
  </si>
  <si>
    <t>mancano Kg 200</t>
  </si>
  <si>
    <t>O0260377/1015/26V</t>
  </si>
  <si>
    <t>O0260460/1015/26V</t>
  </si>
  <si>
    <t>O0260598/1015/26V</t>
  </si>
  <si>
    <t>O0260602/1015/26V</t>
  </si>
  <si>
    <t>O0260657/1015/26V</t>
  </si>
  <si>
    <t>O0260123/1003/26V</t>
  </si>
  <si>
    <t>859/26OC/1003/26V</t>
  </si>
  <si>
    <t>966/26OC</t>
  </si>
  <si>
    <t>917/26OC</t>
  </si>
  <si>
    <t>921/26OC</t>
  </si>
  <si>
    <t>260668/26OC/1026/26V</t>
  </si>
  <si>
    <t>O0260340/1006/26V</t>
  </si>
  <si>
    <t>O0260585/1025/26V</t>
  </si>
  <si>
    <t>962/26OC</t>
  </si>
  <si>
    <t>957/26OC</t>
  </si>
  <si>
    <t>951/26OC</t>
  </si>
  <si>
    <t>948/26OC</t>
  </si>
  <si>
    <t>937/26OC</t>
  </si>
  <si>
    <t>938/26OC</t>
  </si>
  <si>
    <t>931/26OC</t>
  </si>
  <si>
    <t>908/26OC</t>
  </si>
  <si>
    <t>923/26OC</t>
  </si>
  <si>
    <t>967/26OC</t>
  </si>
  <si>
    <t>953/26OC</t>
  </si>
  <si>
    <t>983/26OC</t>
  </si>
  <si>
    <t>986/26OC</t>
  </si>
  <si>
    <t>989/26OC</t>
  </si>
  <si>
    <t>980/26OC</t>
  </si>
  <si>
    <t>988/26OC</t>
  </si>
  <si>
    <t>942/26OC</t>
  </si>
  <si>
    <t>971/26OC</t>
  </si>
  <si>
    <t>976/26OC</t>
  </si>
  <si>
    <t>978/26OC</t>
  </si>
  <si>
    <t>O0260588/1055/26V</t>
  </si>
  <si>
    <t>O0260591/1055/26V</t>
  </si>
  <si>
    <t>906/26OC/1046/26V</t>
  </si>
  <si>
    <t>O0260666/1037/26V</t>
  </si>
  <si>
    <t>851/26OC/1037/26V</t>
  </si>
  <si>
    <t>O0253407/1032/26V</t>
  </si>
  <si>
    <t>O0253453/1032/26V</t>
  </si>
  <si>
    <t>O0260415/1032/26V</t>
  </si>
  <si>
    <t>mancano Kg 600</t>
  </si>
  <si>
    <t>848/26OC/1065/26V</t>
  </si>
  <si>
    <t>860/26OC/1065/26V</t>
  </si>
  <si>
    <t>873/26OC/1065/26V</t>
  </si>
  <si>
    <t>905/26OC/1061/26V</t>
  </si>
  <si>
    <t>O0260553/1060/26V</t>
  </si>
  <si>
    <t>O0260541/1058/26V</t>
  </si>
  <si>
    <t>852/26OC/1058/26V</t>
  </si>
  <si>
    <t>O0260515/1071/26V</t>
  </si>
  <si>
    <t>O0260356/1050/26V</t>
  </si>
  <si>
    <t>O0260470/881/26V</t>
  </si>
  <si>
    <t>O0260397/881/26V</t>
  </si>
  <si>
    <t>O0260663/1094/26V</t>
  </si>
  <si>
    <t>O0260465/1089/26V</t>
  </si>
  <si>
    <t>O0260466/1089/26V</t>
  </si>
  <si>
    <t>O0260575/1088/26V</t>
  </si>
  <si>
    <t>857/26OC/1088/26C</t>
  </si>
  <si>
    <t>O0260500/1104/26V</t>
  </si>
  <si>
    <t>O0260666/1104/26V</t>
  </si>
  <si>
    <t>896/26OC/1103/26V</t>
  </si>
  <si>
    <t>O0260585/1091/26V</t>
  </si>
  <si>
    <t>840/26OC/1091/26V</t>
  </si>
  <si>
    <t>884/26OC/1091/26V</t>
  </si>
  <si>
    <t>909/26OC/1091/26V</t>
  </si>
  <si>
    <t>O0260470/1100/26V</t>
  </si>
  <si>
    <t>O0260471/1100/26V</t>
  </si>
  <si>
    <t>O0260472/1100/26V</t>
  </si>
  <si>
    <t>mancano Kg 700</t>
  </si>
  <si>
    <t>O0260362/1100/26V</t>
  </si>
  <si>
    <t>O0260548/1074/26V</t>
  </si>
  <si>
    <t>O0260665/1074/26V</t>
  </si>
  <si>
    <t>O0260548/1016/26V</t>
  </si>
  <si>
    <t>1050/26OC</t>
  </si>
  <si>
    <t>1070/26OC</t>
  </si>
  <si>
    <t>O0260465/1117/26V</t>
  </si>
  <si>
    <t>260668/26OC/1117/26C</t>
  </si>
  <si>
    <t>O0260553/1095/26V</t>
  </si>
  <si>
    <t>1083/26OC</t>
  </si>
  <si>
    <t>1080/26OC</t>
  </si>
  <si>
    <t>1079/26OC</t>
  </si>
  <si>
    <t>1078/26OC</t>
  </si>
  <si>
    <t>1072/26OC</t>
  </si>
  <si>
    <t>1023/26OC</t>
  </si>
  <si>
    <t>1014/26OC</t>
  </si>
  <si>
    <t>1027/26OC</t>
  </si>
  <si>
    <t>1052/26OC</t>
  </si>
  <si>
    <t>1060/26OC</t>
  </si>
  <si>
    <t>924/26OC</t>
  </si>
  <si>
    <t>1046/26OC</t>
  </si>
  <si>
    <t>895/26OC/1126/26V</t>
  </si>
  <si>
    <t>mancano Kg 300</t>
  </si>
  <si>
    <t>942/26OC/1123/26V</t>
  </si>
  <si>
    <t>O0260509/1140/26V</t>
  </si>
  <si>
    <t>O0260553/1140/26V</t>
  </si>
  <si>
    <t>984/26OC/1140/26V</t>
  </si>
  <si>
    <t>O0260471/1142/26V</t>
  </si>
  <si>
    <t>857/26OC/1129/26V</t>
  </si>
  <si>
    <t>911/26OC/1139/26V</t>
  </si>
  <si>
    <t>873/26OC/1131/26V</t>
  </si>
  <si>
    <t>1102/26OC</t>
  </si>
  <si>
    <t>1095/26OC</t>
  </si>
  <si>
    <t>1096/26OC</t>
  </si>
  <si>
    <t>1100/26OC</t>
  </si>
  <si>
    <t>O0253410/1024/26V</t>
  </si>
  <si>
    <t>1032/26OC</t>
  </si>
  <si>
    <t>MANCANO KG 1882</t>
  </si>
  <si>
    <t>O0260488/1141</t>
  </si>
  <si>
    <t>MANCANO KG 168</t>
  </si>
  <si>
    <t>O0253453/1164</t>
  </si>
  <si>
    <t>O0260415/1164</t>
  </si>
  <si>
    <t>O0260539/1159</t>
  </si>
  <si>
    <t>894/OC/1178/26V</t>
  </si>
  <si>
    <t>O0260362/1179/26V</t>
  </si>
  <si>
    <t>1187/26V</t>
  </si>
  <si>
    <t>O0260254/1183/26V</t>
  </si>
  <si>
    <t>897/26OC/1183/26V</t>
  </si>
  <si>
    <t>950/26OC/1183/26V</t>
  </si>
  <si>
    <t>O0260254/1176/26V</t>
  </si>
  <si>
    <t>O0253050/1176/26V</t>
  </si>
  <si>
    <t>O0253149/1176/26V</t>
  </si>
  <si>
    <t>O0253407/1176/26V</t>
  </si>
  <si>
    <t>O0260415/1176/26V</t>
  </si>
  <si>
    <t>mancano Kg 400</t>
  </si>
  <si>
    <t>O0260415/1176/26v</t>
  </si>
  <si>
    <t>1145/26OC</t>
  </si>
  <si>
    <t>1146/26OC</t>
  </si>
  <si>
    <t>1135/26OC</t>
  </si>
  <si>
    <t>1122/26OC</t>
  </si>
  <si>
    <t>O0260447/1163/26V</t>
  </si>
  <si>
    <t>O0260577/1163/26V</t>
  </si>
  <si>
    <t>O0260596/1163/26V</t>
  </si>
  <si>
    <t>O0260602/1163/26V</t>
  </si>
  <si>
    <t>O0260657/1163/26V</t>
  </si>
  <si>
    <t>O0260660/1163/26V</t>
  </si>
  <si>
    <t>O0260494/1202/26V</t>
  </si>
  <si>
    <t>O0260577/1202/26V</t>
  </si>
  <si>
    <t>O0260596/1202/26V</t>
  </si>
  <si>
    <t>O0260598/1202/26V</t>
  </si>
  <si>
    <t>O0260602/1202/26V</t>
  </si>
  <si>
    <t>O0260657/1202/26V</t>
  </si>
  <si>
    <t>864/26OC</t>
  </si>
  <si>
    <t>864/26OC/1202/26V</t>
  </si>
  <si>
    <t>907/26OC/1015/26V</t>
  </si>
  <si>
    <t>907/26OC/1202/26V</t>
  </si>
  <si>
    <t>1014/26OC/1202/26V</t>
  </si>
  <si>
    <t>1027/26OC/1202/26V</t>
  </si>
  <si>
    <t>O0260465/1166/26V</t>
  </si>
  <si>
    <t>O0260376/1214/26V</t>
  </si>
  <si>
    <t>849/26OC/1214/26V</t>
  </si>
  <si>
    <t>1161/26OC</t>
  </si>
  <si>
    <t>1163/26OC</t>
  </si>
  <si>
    <t>1187/26OC</t>
  </si>
  <si>
    <t>1185/26OC</t>
  </si>
  <si>
    <t>1183/26OC</t>
  </si>
  <si>
    <t>1184/26OC</t>
  </si>
  <si>
    <t>1179/26OC</t>
  </si>
  <si>
    <t>1178/26OC</t>
  </si>
  <si>
    <t>1172/26OC</t>
  </si>
  <si>
    <t>O0260681/1209/26V</t>
  </si>
  <si>
    <t>860/26OC/1209/26V</t>
  </si>
  <si>
    <t>O0260692/26OC</t>
  </si>
  <si>
    <t>O0253454/B00540</t>
  </si>
  <si>
    <t>878/26OC/1232</t>
  </si>
  <si>
    <t>976/26OC/1232</t>
  </si>
  <si>
    <t>896/26OC/1232</t>
  </si>
  <si>
    <t>1135/26OC/1236</t>
  </si>
  <si>
    <t>O0260679/1241</t>
  </si>
  <si>
    <t>947/26OC/1205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</si>
</sst>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indexed="8"/>
      <name val="Calibri"/>
      <family val="2"/>
    </font>
    <font>
      <b/>
      <sz val="20"/>
      <name val="Calibri"/>
      <family val="2"/>
    </font>
    <font>
      <sz val="20"/>
      <color indexed="8"/>
      <name val="Calibri"/>
      <family val="2"/>
    </font>
    <font>
      <sz val="20"/>
      <color theme="1"/>
      <name val="Calibri"/>
      <family val="2"/>
    </font>
    <font>
      <sz val="20"/>
      <name val="Calibri"/>
      <family val="2"/>
    </font>
    <font>
      <sz val="20"/>
      <color rgb="FFFF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 style="dashDotDot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99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7" fillId="0" borderId="0" xfId="0" applyFont="1"/>
    <xf numFmtId="0" fontId="27" fillId="0" borderId="7" xfId="0" applyFont="1" applyBorder="1"/>
    <xf numFmtId="0" fontId="27" fillId="0" borderId="8" xfId="0" applyFont="1" applyBorder="1"/>
    <xf numFmtId="0" fontId="27" fillId="0" borderId="13" xfId="0" applyFont="1" applyBorder="1"/>
    <xf numFmtId="0" fontId="27" fillId="0" borderId="52" xfId="0" quotePrefix="1" applyFont="1" applyBorder="1"/>
    <xf numFmtId="4" fontId="27" fillId="0" borderId="53" xfId="0" applyNumberFormat="1" applyFont="1" applyBorder="1"/>
    <xf numFmtId="165" fontId="27" fillId="0" borderId="58" xfId="1" applyFont="1" applyBorder="1"/>
    <xf numFmtId="0" fontId="27" fillId="0" borderId="29" xfId="0" quotePrefix="1" applyFont="1" applyBorder="1"/>
    <xf numFmtId="4" fontId="27" fillId="0" borderId="1" xfId="0" applyNumberFormat="1" applyFont="1" applyBorder="1"/>
    <xf numFmtId="165" fontId="27" fillId="0" borderId="21" xfId="1" applyFont="1" applyBorder="1"/>
    <xf numFmtId="0" fontId="27" fillId="0" borderId="29" xfId="0" applyFont="1" applyBorder="1"/>
    <xf numFmtId="0" fontId="27" fillId="0" borderId="5" xfId="0" quotePrefix="1" applyFont="1" applyBorder="1"/>
    <xf numFmtId="4" fontId="27" fillId="0" borderId="73" xfId="0" applyNumberFormat="1" applyFont="1" applyBorder="1"/>
    <xf numFmtId="165" fontId="27" fillId="0" borderId="33" xfId="1" applyFont="1" applyBorder="1"/>
    <xf numFmtId="4" fontId="26" fillId="0" borderId="85" xfId="0" applyNumberFormat="1" applyFont="1" applyBorder="1"/>
    <xf numFmtId="165" fontId="26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1" fillId="0" borderId="0" xfId="0" applyFont="1"/>
    <xf numFmtId="0" fontId="31" fillId="0" borderId="7" xfId="0" applyFont="1" applyBorder="1" applyAlignment="1">
      <alignment horizontal="center"/>
    </xf>
    <xf numFmtId="0" fontId="31" fillId="0" borderId="80" xfId="0" applyFont="1" applyBorder="1" applyAlignment="1">
      <alignment horizontal="center"/>
    </xf>
    <xf numFmtId="0" fontId="31" fillId="0" borderId="81" xfId="0" applyFont="1" applyBorder="1" applyAlignment="1">
      <alignment horizontal="center"/>
    </xf>
    <xf numFmtId="4" fontId="31" fillId="0" borderId="48" xfId="0" applyNumberFormat="1" applyFont="1" applyBorder="1"/>
    <xf numFmtId="165" fontId="31" fillId="0" borderId="47" xfId="0" applyNumberFormat="1" applyFont="1" applyBorder="1"/>
    <xf numFmtId="0" fontId="27" fillId="0" borderId="52" xfId="0" quotePrefix="1" applyFont="1" applyBorder="1" applyAlignment="1">
      <alignment horizontal="center"/>
    </xf>
    <xf numFmtId="165" fontId="27" fillId="0" borderId="53" xfId="1" applyFont="1" applyBorder="1"/>
    <xf numFmtId="4" fontId="27" fillId="0" borderId="58" xfId="0" applyNumberFormat="1" applyFont="1" applyBorder="1"/>
    <xf numFmtId="0" fontId="27" fillId="0" borderId="29" xfId="0" quotePrefix="1" applyFont="1" applyBorder="1" applyAlignment="1">
      <alignment horizontal="center"/>
    </xf>
    <xf numFmtId="165" fontId="27" fillId="0" borderId="1" xfId="1" applyFont="1" applyBorder="1"/>
    <xf numFmtId="4" fontId="27" fillId="0" borderId="21" xfId="0" applyNumberFormat="1" applyFont="1" applyBorder="1"/>
    <xf numFmtId="0" fontId="27" fillId="0" borderId="5" xfId="0" quotePrefix="1" applyFont="1" applyBorder="1" applyAlignment="1">
      <alignment horizontal="center"/>
    </xf>
    <xf numFmtId="165" fontId="27" fillId="0" borderId="73" xfId="1" applyFont="1" applyBorder="1"/>
    <xf numFmtId="4" fontId="27" fillId="0" borderId="33" xfId="0" applyNumberFormat="1" applyFont="1" applyBorder="1"/>
    <xf numFmtId="0" fontId="31" fillId="0" borderId="94" xfId="0" applyFont="1" applyBorder="1" applyAlignment="1">
      <alignment horizontal="center"/>
    </xf>
    <xf numFmtId="165" fontId="31" fillId="0" borderId="28" xfId="0" applyNumberFormat="1" applyFont="1" applyBorder="1"/>
    <xf numFmtId="4" fontId="31" fillId="0" borderId="31" xfId="0" applyNumberFormat="1" applyFont="1" applyBorder="1"/>
    <xf numFmtId="4" fontId="25" fillId="0" borderId="45" xfId="0" applyNumberFormat="1" applyFont="1" applyBorder="1"/>
    <xf numFmtId="0" fontId="27" fillId="0" borderId="36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6" fillId="0" borderId="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4" fontId="27" fillId="0" borderId="60" xfId="0" applyNumberFormat="1" applyFont="1" applyBorder="1"/>
    <xf numFmtId="4" fontId="27" fillId="0" borderId="18" xfId="0" applyNumberFormat="1" applyFont="1" applyBorder="1"/>
    <xf numFmtId="4" fontId="27" fillId="0" borderId="96" xfId="0" applyNumberFormat="1" applyFont="1" applyBorder="1"/>
    <xf numFmtId="4" fontId="27" fillId="0" borderId="17" xfId="0" applyNumberFormat="1" applyFont="1" applyBorder="1"/>
    <xf numFmtId="4" fontId="27" fillId="0" borderId="51" xfId="0" applyNumberFormat="1" applyFont="1" applyBorder="1"/>
    <xf numFmtId="0" fontId="26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33" fillId="0" borderId="0" xfId="0" applyFont="1" applyAlignment="1" applyProtection="1">
      <alignment horizontal="center" vertical="center" wrapText="1"/>
      <protection locked="0"/>
    </xf>
    <xf numFmtId="165" fontId="25" fillId="0" borderId="0" xfId="1" applyFont="1" applyAlignment="1" applyProtection="1">
      <alignment horizontal="center" vertical="center"/>
      <protection locked="0"/>
    </xf>
    <xf numFmtId="4" fontId="25" fillId="0" borderId="0" xfId="0" applyNumberFormat="1" applyFont="1" applyAlignment="1" applyProtection="1">
      <alignment horizontal="center" vertical="center"/>
      <protection locked="0"/>
    </xf>
    <xf numFmtId="14" fontId="25" fillId="0" borderId="0" xfId="0" applyNumberFormat="1" applyFont="1" applyAlignment="1" applyProtection="1">
      <alignment horizontal="center" vertic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alignment horizontal="right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8" fillId="7" borderId="0" xfId="0" applyFont="1" applyFill="1" applyProtection="1">
      <protection locked="0"/>
    </xf>
    <xf numFmtId="0" fontId="8" fillId="0" borderId="0" xfId="0" applyFont="1" applyProtection="1">
      <protection locked="0"/>
    </xf>
    <xf numFmtId="0" fontId="8" fillId="0" borderId="2" xfId="0" applyFont="1" applyBorder="1" applyProtection="1">
      <protection locked="0"/>
    </xf>
    <xf numFmtId="0" fontId="9" fillId="0" borderId="3" xfId="0" applyFont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3" xfId="0" applyFont="1" applyBorder="1" applyProtection="1">
      <protection locked="0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14" fontId="25" fillId="0" borderId="0" xfId="0" applyNumberFormat="1" applyFont="1" applyAlignment="1" applyProtection="1">
      <alignment horizontal="center"/>
      <protection locked="0"/>
    </xf>
    <xf numFmtId="0" fontId="9" fillId="0" borderId="50" xfId="0" applyFont="1" applyBorder="1" applyAlignment="1" applyProtection="1">
      <alignment horizontal="center" vertical="center" wrapText="1"/>
      <protection locked="0"/>
    </xf>
    <xf numFmtId="0" fontId="9" fillId="0" borderId="13" xfId="0" applyFont="1" applyBorder="1" applyAlignment="1" applyProtection="1">
      <alignment horizontal="center" vertical="center" wrapText="1"/>
      <protection locked="0"/>
    </xf>
    <xf numFmtId="0" fontId="35" fillId="0" borderId="70" xfId="0" applyFont="1" applyBorder="1" applyProtection="1">
      <protection locked="0"/>
    </xf>
    <xf numFmtId="0" fontId="35" fillId="7" borderId="73" xfId="0" applyFont="1" applyFill="1" applyBorder="1" applyProtection="1">
      <protection locked="0"/>
    </xf>
    <xf numFmtId="4" fontId="35" fillId="7" borderId="73" xfId="0" applyNumberFormat="1" applyFont="1" applyFill="1" applyBorder="1" applyProtection="1">
      <protection locked="0"/>
    </xf>
    <xf numFmtId="0" fontId="35" fillId="0" borderId="77" xfId="0" applyFont="1" applyBorder="1" applyProtection="1">
      <protection locked="0"/>
    </xf>
    <xf numFmtId="43" fontId="35" fillId="0" borderId="79" xfId="0" applyNumberFormat="1" applyFont="1" applyBorder="1" applyProtection="1">
      <protection locked="0"/>
    </xf>
    <xf numFmtId="14" fontId="35" fillId="0" borderId="78" xfId="0" applyNumberFormat="1" applyFont="1" applyBorder="1" applyProtection="1">
      <protection locked="0"/>
    </xf>
    <xf numFmtId="0" fontId="35" fillId="0" borderId="73" xfId="0" applyFont="1" applyBorder="1" applyProtection="1">
      <protection locked="0"/>
    </xf>
    <xf numFmtId="165" fontId="35" fillId="0" borderId="73" xfId="1" applyFont="1" applyBorder="1" applyProtection="1">
      <protection locked="0"/>
    </xf>
    <xf numFmtId="165" fontId="35" fillId="0" borderId="79" xfId="1" applyFont="1" applyBorder="1" applyProtection="1">
      <protection locked="0"/>
    </xf>
    <xf numFmtId="165" fontId="35" fillId="0" borderId="32" xfId="1" applyFont="1" applyBorder="1" applyProtection="1">
      <protection locked="0"/>
    </xf>
    <xf numFmtId="165" fontId="35" fillId="0" borderId="49" xfId="1" applyFont="1" applyBorder="1" applyProtection="1">
      <protection locked="0"/>
    </xf>
    <xf numFmtId="165" fontId="35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0" fontId="35" fillId="0" borderId="70" xfId="0" applyFont="1" applyFill="1" applyBorder="1" applyProtection="1">
      <protection locked="0"/>
    </xf>
    <xf numFmtId="0" fontId="35" fillId="11" borderId="73" xfId="0" applyFont="1" applyFill="1" applyBorder="1" applyProtection="1">
      <protection locked="0"/>
    </xf>
    <xf numFmtId="4" fontId="35" fillId="11" borderId="73" xfId="0" applyNumberFormat="1" applyFont="1" applyFill="1" applyBorder="1" applyProtection="1">
      <protection locked="0"/>
    </xf>
    <xf numFmtId="0" fontId="35" fillId="0" borderId="77" xfId="0" applyFont="1" applyFill="1" applyBorder="1" applyProtection="1">
      <protection locked="0"/>
    </xf>
    <xf numFmtId="43" fontId="36" fillId="0" borderId="79" xfId="0" applyNumberFormat="1" applyFont="1" applyFill="1" applyBorder="1" applyProtection="1">
      <protection locked="0"/>
    </xf>
    <xf numFmtId="14" fontId="35" fillId="0" borderId="78" xfId="0" applyNumberFormat="1" applyFont="1" applyFill="1" applyBorder="1" applyProtection="1">
      <protection locked="0"/>
    </xf>
    <xf numFmtId="0" fontId="35" fillId="0" borderId="73" xfId="0" applyFont="1" applyFill="1" applyBorder="1" applyProtection="1">
      <protection locked="0"/>
    </xf>
    <xf numFmtId="165" fontId="35" fillId="0" borderId="73" xfId="1" applyFont="1" applyFill="1" applyBorder="1" applyProtection="1">
      <protection locked="0"/>
    </xf>
    <xf numFmtId="165" fontId="35" fillId="11" borderId="73" xfId="1" applyFont="1" applyFill="1" applyBorder="1" applyProtection="1">
      <protection locked="0"/>
    </xf>
    <xf numFmtId="165" fontId="36" fillId="0" borderId="73" xfId="1" applyFont="1" applyFill="1" applyBorder="1" applyProtection="1">
      <protection locked="0"/>
    </xf>
    <xf numFmtId="14" fontId="0" fillId="0" borderId="0" xfId="0" applyNumberFormat="1" applyFill="1" applyProtection="1">
      <protection locked="0"/>
    </xf>
    <xf numFmtId="1" fontId="0" fillId="0" borderId="0" xfId="0" applyNumberFormat="1" applyFill="1" applyProtection="1">
      <protection locked="0"/>
    </xf>
    <xf numFmtId="165" fontId="37" fillId="0" borderId="73" xfId="1" applyFont="1" applyFill="1" applyBorder="1" applyProtection="1">
      <protection locked="0"/>
    </xf>
    <xf numFmtId="43" fontId="37" fillId="0" borderId="79" xfId="0" applyNumberFormat="1" applyFont="1" applyFill="1" applyBorder="1" applyProtection="1">
      <protection locked="0"/>
    </xf>
    <xf numFmtId="43" fontId="38" fillId="0" borderId="79" xfId="0" applyNumberFormat="1" applyFont="1" applyFill="1" applyBorder="1" applyProtection="1">
      <protection locked="0"/>
    </xf>
    <xf numFmtId="4" fontId="35" fillId="0" borderId="73" xfId="0" applyNumberFormat="1" applyFont="1" applyBorder="1" applyProtection="1">
      <protection locked="0"/>
    </xf>
    <xf numFmtId="43" fontId="38" fillId="0" borderId="79" xfId="0" applyNumberFormat="1" applyFont="1" applyBorder="1" applyProtection="1">
      <protection locked="0"/>
    </xf>
    <xf numFmtId="165" fontId="38" fillId="0" borderId="73" xfId="1" applyFont="1" applyBorder="1" applyProtection="1">
      <protection locked="0"/>
    </xf>
    <xf numFmtId="0" fontId="37" fillId="11" borderId="73" xfId="0" applyFont="1" applyFill="1" applyBorder="1" applyProtection="1">
      <protection locked="0"/>
    </xf>
    <xf numFmtId="4" fontId="37" fillId="11" borderId="73" xfId="0" applyNumberFormat="1" applyFont="1" applyFill="1" applyBorder="1" applyProtection="1">
      <protection locked="0"/>
    </xf>
    <xf numFmtId="165" fontId="37" fillId="0" borderId="73" xfId="1" applyFont="1" applyBorder="1" applyProtection="1">
      <protection locked="0"/>
    </xf>
    <xf numFmtId="0" fontId="35" fillId="10" borderId="73" xfId="0" applyFont="1" applyFill="1" applyBorder="1" applyProtection="1">
      <protection locked="0"/>
    </xf>
    <xf numFmtId="4" fontId="35" fillId="10" borderId="73" xfId="0" applyNumberFormat="1" applyFont="1" applyFill="1" applyBorder="1" applyProtection="1">
      <protection locked="0"/>
    </xf>
    <xf numFmtId="165" fontId="35" fillId="10" borderId="73" xfId="1" applyFont="1" applyFill="1" applyBorder="1" applyProtection="1">
      <protection locked="0"/>
    </xf>
    <xf numFmtId="0" fontId="35" fillId="12" borderId="73" xfId="0" applyFont="1" applyFill="1" applyBorder="1" applyProtection="1">
      <protection locked="0"/>
    </xf>
    <xf numFmtId="4" fontId="35" fillId="12" borderId="73" xfId="0" applyNumberFormat="1" applyFont="1" applyFill="1" applyBorder="1" applyProtection="1">
      <protection locked="0"/>
    </xf>
    <xf numFmtId="165" fontId="35" fillId="12" borderId="73" xfId="1" applyFont="1" applyFill="1" applyBorder="1" applyProtection="1">
      <protection locked="0"/>
    </xf>
    <xf numFmtId="43" fontId="37" fillId="0" borderId="79" xfId="0" applyNumberFormat="1" applyFont="1" applyBorder="1" applyProtection="1">
      <protection locked="0"/>
    </xf>
    <xf numFmtId="0" fontId="37" fillId="8" borderId="73" xfId="0" applyFont="1" applyFill="1" applyBorder="1" applyProtection="1">
      <protection locked="0"/>
    </xf>
    <xf numFmtId="4" fontId="37" fillId="8" borderId="73" xfId="0" applyNumberFormat="1" applyFont="1" applyFill="1" applyBorder="1" applyProtection="1">
      <protection locked="0"/>
    </xf>
    <xf numFmtId="165" fontId="35" fillId="8" borderId="73" xfId="1" applyFont="1" applyFill="1" applyBorder="1" applyProtection="1">
      <protection locked="0"/>
    </xf>
    <xf numFmtId="0" fontId="35" fillId="8" borderId="73" xfId="0" applyFont="1" applyFill="1" applyBorder="1" applyProtection="1">
      <protection locked="0"/>
    </xf>
    <xf numFmtId="4" fontId="35" fillId="8" borderId="73" xfId="0" applyNumberFormat="1" applyFont="1" applyFill="1" applyBorder="1" applyProtection="1">
      <protection locked="0"/>
    </xf>
    <xf numFmtId="0" fontId="35" fillId="13" borderId="73" xfId="0" applyFont="1" applyFill="1" applyBorder="1" applyProtection="1">
      <protection locked="0"/>
    </xf>
    <xf numFmtId="4" fontId="35" fillId="13" borderId="73" xfId="0" applyNumberFormat="1" applyFont="1" applyFill="1" applyBorder="1" applyProtection="1">
      <protection locked="0"/>
    </xf>
    <xf numFmtId="0" fontId="35" fillId="11" borderId="70" xfId="0" applyFont="1" applyFill="1" applyBorder="1" applyProtection="1">
      <protection locked="0"/>
    </xf>
    <xf numFmtId="4" fontId="35" fillId="0" borderId="73" xfId="0" applyNumberFormat="1" applyFont="1" applyFill="1" applyBorder="1" applyProtection="1">
      <protection locked="0"/>
    </xf>
    <xf numFmtId="165" fontId="38" fillId="0" borderId="73" xfId="1" applyFont="1" applyFill="1" applyBorder="1" applyProtection="1">
      <protection locked="0"/>
    </xf>
    <xf numFmtId="0" fontId="35" fillId="15" borderId="73" xfId="0" applyFont="1" applyFill="1" applyBorder="1" applyProtection="1">
      <protection locked="0"/>
    </xf>
    <xf numFmtId="4" fontId="35" fillId="15" borderId="73" xfId="0" applyNumberFormat="1" applyFont="1" applyFill="1" applyBorder="1" applyProtection="1">
      <protection locked="0"/>
    </xf>
    <xf numFmtId="165" fontId="35" fillId="15" borderId="73" xfId="1" applyFont="1" applyFill="1" applyBorder="1" applyProtection="1">
      <protection locked="0"/>
    </xf>
    <xf numFmtId="165" fontId="35" fillId="13" borderId="73" xfId="1" applyFont="1" applyFill="1" applyBorder="1" applyProtection="1">
      <protection locked="0"/>
    </xf>
    <xf numFmtId="0" fontId="35" fillId="14" borderId="73" xfId="0" applyFont="1" applyFill="1" applyBorder="1" applyProtection="1">
      <protection locked="0"/>
    </xf>
    <xf numFmtId="4" fontId="35" fillId="14" borderId="73" xfId="0" applyNumberFormat="1" applyFont="1" applyFill="1" applyBorder="1" applyProtection="1">
      <protection locked="0"/>
    </xf>
    <xf numFmtId="165" fontId="35" fillId="14" borderId="73" xfId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0" fillId="0" borderId="89" xfId="0" applyBorder="1" applyAlignment="1" applyProtection="1">
      <alignment horizontal="right"/>
      <protection locked="0"/>
    </xf>
    <xf numFmtId="0" fontId="35" fillId="0" borderId="29" xfId="0" applyFont="1" applyBorder="1" applyProtection="1">
      <protection locked="0"/>
    </xf>
    <xf numFmtId="0" fontId="35" fillId="0" borderId="1" xfId="0" applyFont="1" applyBorder="1" applyProtection="1">
      <protection locked="0"/>
    </xf>
    <xf numFmtId="4" fontId="35" fillId="0" borderId="1" xfId="0" applyNumberFormat="1" applyFont="1" applyBorder="1" applyProtection="1">
      <protection locked="0"/>
    </xf>
    <xf numFmtId="0" fontId="35" fillId="0" borderId="44" xfId="0" applyFont="1" applyBorder="1" applyProtection="1">
      <protection locked="0"/>
    </xf>
    <xf numFmtId="43" fontId="35" fillId="0" borderId="61" xfId="0" applyNumberFormat="1" applyFont="1" applyBorder="1" applyProtection="1">
      <protection locked="0"/>
    </xf>
    <xf numFmtId="14" fontId="35" fillId="0" borderId="62" xfId="0" applyNumberFormat="1" applyFont="1" applyBorder="1" applyProtection="1">
      <protection locked="0"/>
    </xf>
    <xf numFmtId="165" fontId="35" fillId="0" borderId="1" xfId="1" applyFont="1" applyBorder="1" applyProtection="1">
      <protection locked="0"/>
    </xf>
    <xf numFmtId="165" fontId="35" fillId="0" borderId="61" xfId="1" applyFont="1" applyBorder="1" applyProtection="1">
      <protection locked="0"/>
    </xf>
    <xf numFmtId="165" fontId="35" fillId="0" borderId="19" xfId="1" applyFont="1" applyBorder="1" applyProtection="1">
      <protection locked="0"/>
    </xf>
    <xf numFmtId="165" fontId="35" fillId="0" borderId="20" xfId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35" fillId="0" borderId="0" xfId="0" applyFont="1" applyProtection="1">
      <protection locked="0"/>
    </xf>
    <xf numFmtId="4" fontId="33" fillId="0" borderId="46" xfId="0" applyNumberFormat="1" applyFont="1" applyBorder="1" applyProtection="1">
      <protection locked="0"/>
    </xf>
    <xf numFmtId="43" fontId="35" fillId="0" borderId="0" xfId="0" applyNumberFormat="1" applyFont="1" applyProtection="1">
      <protection locked="0"/>
    </xf>
    <xf numFmtId="14" fontId="35" fillId="0" borderId="0" xfId="0" applyNumberFormat="1" applyFont="1" applyProtection="1">
      <protection locked="0"/>
    </xf>
    <xf numFmtId="165" fontId="35" fillId="0" borderId="0" xfId="1" applyFont="1" applyBorder="1" applyProtection="1">
      <protection locked="0"/>
    </xf>
    <xf numFmtId="165" fontId="33" fillId="0" borderId="46" xfId="1" applyFont="1" applyBorder="1" applyProtection="1">
      <protection locked="0"/>
    </xf>
    <xf numFmtId="0" fontId="21" fillId="0" borderId="0" xfId="0" applyFont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4" fontId="21" fillId="0" borderId="73" xfId="0" applyNumberFormat="1" applyFont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0" fontId="21" fillId="0" borderId="29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8" fillId="8" borderId="36" xfId="0" applyFont="1" applyFill="1" applyBorder="1" applyProtection="1">
      <protection locked="0"/>
    </xf>
    <xf numFmtId="0" fontId="28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3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29" fillId="0" borderId="91" xfId="0" applyNumberFormat="1" applyFont="1" applyBorder="1" applyProtection="1">
      <protection locked="0"/>
    </xf>
    <xf numFmtId="165" fontId="24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29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29" fillId="0" borderId="33" xfId="0" applyFont="1" applyBorder="1" applyProtection="1">
      <protection locked="0"/>
    </xf>
    <xf numFmtId="4" fontId="29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0" fillId="0" borderId="83" xfId="0" applyNumberFormat="1" applyFont="1" applyBorder="1" applyProtection="1">
      <protection locked="0"/>
    </xf>
    <xf numFmtId="4" fontId="26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6" fillId="0" borderId="14" xfId="0" applyFont="1" applyBorder="1" applyProtection="1">
      <protection locked="0"/>
    </xf>
    <xf numFmtId="4" fontId="27" fillId="0" borderId="16" xfId="0" applyNumberFormat="1" applyFont="1" applyBorder="1" applyAlignment="1" applyProtection="1">
      <alignment horizontal="left"/>
      <protection locked="0"/>
    </xf>
    <xf numFmtId="0" fontId="26" fillId="0" borderId="70" xfId="0" applyFont="1" applyBorder="1" applyProtection="1">
      <protection locked="0"/>
    </xf>
    <xf numFmtId="4" fontId="27" fillId="0" borderId="33" xfId="0" applyNumberFormat="1" applyFont="1" applyBorder="1" applyAlignment="1" applyProtection="1">
      <alignment horizontal="left"/>
      <protection locked="0"/>
    </xf>
    <xf numFmtId="0" fontId="26" fillId="0" borderId="5" xfId="0" applyFont="1" applyBorder="1" applyProtection="1">
      <protection locked="0"/>
    </xf>
    <xf numFmtId="4" fontId="27" fillId="0" borderId="17" xfId="0" applyNumberFormat="1" applyFont="1" applyBorder="1" applyAlignment="1" applyProtection="1">
      <alignment horizontal="left"/>
      <protection locked="0"/>
    </xf>
    <xf numFmtId="0" fontId="26" fillId="0" borderId="7" xfId="0" applyFont="1" applyBorder="1" applyAlignment="1" applyProtection="1">
      <alignment horizontal="center" vertical="center" wrapText="1"/>
      <protection locked="0"/>
    </xf>
    <xf numFmtId="0" fontId="26" fillId="0" borderId="80" xfId="0" applyFont="1" applyBorder="1" applyAlignment="1" applyProtection="1">
      <alignment horizontal="center" vertical="center" wrapText="1"/>
      <protection locked="0"/>
    </xf>
    <xf numFmtId="0" fontId="26" fillId="0" borderId="81" xfId="0" applyFont="1" applyBorder="1" applyAlignment="1" applyProtection="1">
      <alignment horizontal="center" vertical="center" wrapText="1"/>
      <protection locked="0"/>
    </xf>
    <xf numFmtId="0" fontId="26" fillId="0" borderId="84" xfId="0" applyFont="1" applyBorder="1" applyAlignment="1" applyProtection="1">
      <alignment horizontal="center" vertical="center" wrapText="1"/>
      <protection locked="0"/>
    </xf>
    <xf numFmtId="0" fontId="27" fillId="0" borderId="52" xfId="0" applyFont="1" applyBorder="1" applyAlignment="1" applyProtection="1">
      <alignment horizontal="center" vertical="center" wrapText="1"/>
      <protection locked="0"/>
    </xf>
    <xf numFmtId="4" fontId="27" fillId="0" borderId="53" xfId="0" applyNumberFormat="1" applyFont="1" applyBorder="1" applyAlignment="1" applyProtection="1">
      <alignment horizontal="center" vertical="center" wrapText="1"/>
      <protection locked="0"/>
    </xf>
    <xf numFmtId="165" fontId="27" fillId="0" borderId="53" xfId="1" applyFont="1" applyBorder="1" applyAlignment="1" applyProtection="1">
      <alignment horizontal="center" vertical="center" wrapText="1"/>
      <protection locked="0"/>
    </xf>
    <xf numFmtId="165" fontId="27" fillId="0" borderId="58" xfId="1" applyFont="1" applyBorder="1" applyAlignment="1" applyProtection="1">
      <alignment horizontal="center" vertical="center" wrapText="1"/>
      <protection locked="0"/>
    </xf>
    <xf numFmtId="4" fontId="27" fillId="0" borderId="59" xfId="0" applyNumberFormat="1" applyFont="1" applyBorder="1" applyAlignment="1" applyProtection="1">
      <alignment horizontal="center" vertical="center" wrapText="1"/>
      <protection locked="0"/>
    </xf>
    <xf numFmtId="4" fontId="26" fillId="0" borderId="36" xfId="0" applyNumberFormat="1" applyFont="1" applyBorder="1" applyAlignment="1" applyProtection="1">
      <alignment horizontal="center" vertical="center"/>
      <protection locked="0"/>
    </xf>
    <xf numFmtId="4" fontId="27" fillId="0" borderId="34" xfId="0" applyNumberFormat="1" applyFont="1" applyBorder="1" applyAlignment="1" applyProtection="1">
      <alignment horizontal="center" vertical="center"/>
      <protection locked="0"/>
    </xf>
    <xf numFmtId="165" fontId="27" fillId="0" borderId="34" xfId="1" applyFont="1" applyBorder="1" applyAlignment="1" applyProtection="1">
      <alignment horizontal="center" vertical="center"/>
      <protection locked="0"/>
    </xf>
    <xf numFmtId="165" fontId="27" fillId="0" borderId="51" xfId="1" applyFont="1" applyBorder="1" applyAlignment="1" applyProtection="1">
      <alignment horizontal="center" vertical="center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7" fillId="0" borderId="37" xfId="0" applyNumberFormat="1" applyFont="1" applyBorder="1" applyAlignment="1" applyProtection="1">
      <alignment horizontal="center" vertical="center"/>
      <protection locked="0"/>
    </xf>
    <xf numFmtId="165" fontId="27" fillId="0" borderId="34" xfId="1" applyFont="1" applyFill="1" applyBorder="1" applyAlignment="1" applyProtection="1">
      <alignment horizontal="center" vertical="center"/>
      <protection locked="0"/>
    </xf>
    <xf numFmtId="165" fontId="27" fillId="0" borderId="51" xfId="1" applyFont="1" applyFill="1" applyBorder="1" applyAlignment="1" applyProtection="1">
      <alignment horizontal="center" vertical="center"/>
      <protection locked="0"/>
    </xf>
    <xf numFmtId="4" fontId="26" fillId="0" borderId="29" xfId="0" applyNumberFormat="1" applyFont="1" applyBorder="1" applyAlignment="1" applyProtection="1">
      <alignment horizontal="center" vertical="center"/>
      <protection locked="0"/>
    </xf>
    <xf numFmtId="4" fontId="27" fillId="0" borderId="1" xfId="0" applyNumberFormat="1" applyFont="1" applyBorder="1" applyAlignment="1" applyProtection="1">
      <alignment horizontal="center" vertical="center"/>
      <protection locked="0"/>
    </xf>
    <xf numFmtId="165" fontId="27" fillId="0" borderId="1" xfId="1" applyFont="1" applyBorder="1" applyAlignment="1" applyProtection="1">
      <alignment horizontal="center" vertical="center"/>
      <protection locked="0"/>
    </xf>
    <xf numFmtId="165" fontId="27" fillId="0" borderId="21" xfId="1" applyFont="1" applyBorder="1" applyAlignment="1" applyProtection="1">
      <alignment horizontal="center" vertical="center"/>
      <protection locked="0"/>
    </xf>
    <xf numFmtId="165" fontId="27" fillId="0" borderId="1" xfId="1" applyFont="1" applyFill="1" applyBorder="1" applyAlignment="1" applyProtection="1">
      <alignment horizontal="center" vertical="center"/>
      <protection locked="0"/>
    </xf>
    <xf numFmtId="165" fontId="27" fillId="0" borderId="21" xfId="1" applyFont="1" applyFill="1" applyBorder="1" applyAlignment="1" applyProtection="1">
      <alignment horizontal="center" vertical="center"/>
      <protection locked="0"/>
    </xf>
    <xf numFmtId="4" fontId="27" fillId="0" borderId="20" xfId="0" applyNumberFormat="1" applyFont="1" applyBorder="1" applyAlignment="1" applyProtection="1">
      <alignment horizontal="center" vertical="center"/>
      <protection locked="0"/>
    </xf>
    <xf numFmtId="4" fontId="26" fillId="0" borderId="70" xfId="0" applyNumberFormat="1" applyFont="1" applyBorder="1" applyAlignment="1" applyProtection="1">
      <alignment horizontal="center" vertical="center"/>
      <protection locked="0"/>
    </xf>
    <xf numFmtId="4" fontId="27" fillId="0" borderId="73" xfId="0" applyNumberFormat="1" applyFont="1" applyBorder="1" applyAlignment="1" applyProtection="1">
      <alignment horizontal="center" vertical="center"/>
      <protection locked="0"/>
    </xf>
    <xf numFmtId="165" fontId="27" fillId="0" borderId="73" xfId="1" applyFont="1" applyBorder="1" applyAlignment="1" applyProtection="1">
      <alignment horizontal="center" vertical="center"/>
      <protection locked="0"/>
    </xf>
    <xf numFmtId="165" fontId="27" fillId="0" borderId="33" xfId="1" applyFont="1" applyBorder="1" applyAlignment="1" applyProtection="1">
      <alignment horizontal="center" vertical="center"/>
      <protection locked="0"/>
    </xf>
    <xf numFmtId="4" fontId="27" fillId="0" borderId="49" xfId="0" applyNumberFormat="1" applyFont="1" applyBorder="1" applyAlignment="1" applyProtection="1">
      <alignment horizontal="center" vertical="center"/>
      <protection locked="0"/>
    </xf>
    <xf numFmtId="4" fontId="27" fillId="0" borderId="64" xfId="0" applyNumberFormat="1" applyFont="1" applyBorder="1" applyAlignment="1" applyProtection="1">
      <alignment horizontal="center" vertical="center"/>
      <protection locked="0"/>
    </xf>
    <xf numFmtId="165" fontId="27" fillId="0" borderId="64" xfId="1" applyFont="1" applyBorder="1" applyAlignment="1" applyProtection="1">
      <alignment horizontal="center" vertical="center"/>
      <protection locked="0"/>
    </xf>
    <xf numFmtId="165" fontId="27" fillId="0" borderId="30" xfId="1" applyFont="1" applyBorder="1" applyAlignment="1" applyProtection="1">
      <alignment horizontal="center" vertical="center"/>
      <protection locked="0"/>
    </xf>
    <xf numFmtId="4" fontId="27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5" fillId="0" borderId="47" xfId="0" applyNumberFormat="1" applyFont="1" applyBorder="1" applyProtection="1">
      <protection locked="0"/>
    </xf>
    <xf numFmtId="165" fontId="25" fillId="0" borderId="76" xfId="0" applyNumberFormat="1" applyFont="1" applyBorder="1" applyProtection="1">
      <protection locked="0"/>
    </xf>
    <xf numFmtId="165" fontId="25" fillId="0" borderId="48" xfId="0" applyNumberFormat="1" applyFont="1" applyBorder="1" applyProtection="1">
      <protection locked="0"/>
    </xf>
    <xf numFmtId="165" fontId="25" fillId="0" borderId="83" xfId="0" applyNumberFormat="1" applyFont="1" applyBorder="1" applyProtection="1">
      <protection locked="0"/>
    </xf>
    <xf numFmtId="166" fontId="24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33" fillId="0" borderId="98" xfId="0" applyFont="1" applyBorder="1" applyAlignment="1" applyProtection="1">
      <alignment horizontal="center" vertical="center" wrapText="1"/>
      <protection locked="0"/>
    </xf>
    <xf numFmtId="0" fontId="33" fillId="0" borderId="99" xfId="0" applyFont="1" applyBorder="1" applyAlignment="1" applyProtection="1">
      <alignment horizontal="center" vertical="center" wrapText="1"/>
      <protection locked="0"/>
    </xf>
    <xf numFmtId="0" fontId="33" fillId="0" borderId="100" xfId="0" applyFont="1" applyBorder="1" applyAlignment="1" applyProtection="1">
      <alignment horizontal="center" vertical="center" wrapText="1"/>
      <protection locked="0"/>
    </xf>
    <xf numFmtId="0" fontId="33" fillId="0" borderId="26" xfId="0" applyFont="1" applyBorder="1" applyAlignment="1" applyProtection="1">
      <alignment horizontal="center" vertical="center" wrapText="1"/>
      <protection locked="0"/>
    </xf>
    <xf numFmtId="0" fontId="33" fillId="7" borderId="101" xfId="0" applyFont="1" applyFill="1" applyBorder="1" applyAlignment="1" applyProtection="1">
      <alignment horizontal="center" vertical="center" wrapText="1"/>
      <protection locked="0"/>
    </xf>
    <xf numFmtId="0" fontId="34" fillId="7" borderId="101" xfId="0" applyFont="1" applyFill="1" applyBorder="1" applyAlignment="1" applyProtection="1">
      <alignment horizontal="center" vertical="center" wrapText="1"/>
      <protection locked="0"/>
    </xf>
    <xf numFmtId="0" fontId="33" fillId="0" borderId="101" xfId="0" applyFont="1" applyBorder="1" applyAlignment="1" applyProtection="1">
      <alignment horizontal="center" vertical="center" wrapText="1"/>
      <protection locked="0"/>
    </xf>
    <xf numFmtId="0" fontId="6" fillId="0" borderId="101" xfId="0" applyFont="1" applyBorder="1" applyAlignment="1" applyProtection="1">
      <alignment horizontal="center" vertical="center" wrapText="1"/>
      <protection locked="0"/>
    </xf>
    <xf numFmtId="0" fontId="33" fillId="0" borderId="102" xfId="0" applyFont="1" applyBorder="1" applyAlignment="1" applyProtection="1">
      <alignment horizontal="center" vertical="center" wrapText="1"/>
      <protection locked="0"/>
    </xf>
    <xf numFmtId="0" fontId="33" fillId="0" borderId="103" xfId="0" applyFont="1" applyBorder="1" applyAlignment="1" applyProtection="1">
      <alignment horizontal="center" vertical="center" wrapText="1"/>
      <protection locked="0"/>
    </xf>
    <xf numFmtId="0" fontId="33" fillId="7" borderId="104" xfId="0" applyFont="1" applyFill="1" applyBorder="1" applyAlignment="1" applyProtection="1">
      <alignment horizontal="center" vertical="center" wrapText="1"/>
      <protection locked="0"/>
    </xf>
    <xf numFmtId="0" fontId="33" fillId="0" borderId="104" xfId="0" applyFont="1" applyBorder="1" applyAlignment="1" applyProtection="1">
      <alignment horizontal="center" vertical="center" wrapText="1"/>
      <protection locked="0"/>
    </xf>
    <xf numFmtId="0" fontId="20" fillId="0" borderId="105" xfId="0" applyFont="1" applyBorder="1" applyAlignment="1" applyProtection="1">
      <alignment horizontal="center" vertical="center" wrapText="1"/>
      <protection locked="0"/>
    </xf>
    <xf numFmtId="0" fontId="35" fillId="0" borderId="70" xfId="0" applyFont="1" applyBorder="1" applyProtection="1"/>
    <xf numFmtId="0" fontId="35" fillId="7" borderId="73" xfId="0" applyFont="1" applyFill="1" applyBorder="1" applyProtection="1"/>
    <xf numFmtId="4" fontId="35" fillId="7" borderId="73" xfId="0" applyNumberFormat="1" applyFont="1" applyFill="1" applyBorder="1" applyProtection="1"/>
    <xf numFmtId="0" fontId="35" fillId="0" borderId="77" xfId="0" applyFont="1" applyBorder="1" applyProtection="1"/>
    <xf numFmtId="43" fontId="35" fillId="0" borderId="79" xfId="0" applyNumberFormat="1" applyFont="1" applyBorder="1" applyProtection="1"/>
    <xf numFmtId="14" fontId="35" fillId="0" borderId="78" xfId="0" applyNumberFormat="1" applyFont="1" applyBorder="1" applyProtection="1"/>
    <xf numFmtId="0" fontId="35" fillId="0" borderId="73" xfId="0" applyFont="1" applyBorder="1" applyProtection="1"/>
    <xf numFmtId="165" fontId="35" fillId="0" borderId="73" xfId="1" applyFont="1" applyBorder="1" applyProtection="1"/>
    <xf numFmtId="165" fontId="35" fillId="0" borderId="79" xfId="1" applyFont="1" applyBorder="1" applyProtection="1"/>
    <xf numFmtId="165" fontId="35" fillId="0" borderId="32" xfId="1" applyFont="1" applyBorder="1" applyProtection="1"/>
    <xf numFmtId="165" fontId="35" fillId="0" borderId="49" xfId="1" applyFont="1" applyBorder="1" applyProtection="1"/>
    <xf numFmtId="165" fontId="35" fillId="7" borderId="73" xfId="1" applyFont="1" applyFill="1" applyBorder="1" applyProtection="1"/>
    <xf numFmtId="14" fontId="0" fillId="0" borderId="82" xfId="0" applyNumberFormat="1" applyBorder="1" applyProtection="1"/>
    <xf numFmtId="14" fontId="0" fillId="0" borderId="0" xfId="0" applyNumberFormat="1" applyProtection="1"/>
    <xf numFmtId="1" fontId="0" fillId="0" borderId="0" xfId="0" applyNumberFormat="1" applyProtection="1"/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31" fillId="8" borderId="97" xfId="0" applyFont="1" applyFill="1" applyBorder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4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6" fillId="0" borderId="0" xfId="0" applyFont="1" applyAlignment="1">
      <alignment horizontal="center"/>
    </xf>
  </cellXfs>
  <cellStyles count="2">
    <cellStyle name="Normale" xfId="0" builtinId="0"/>
    <cellStyle name="Valuta" xfId="1" builtinId="4"/>
  </cellStyles>
  <dxfs count="22">
    <dxf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0</xdr:row>
          <xdr:rowOff>21771</xdr:rowOff>
        </xdr:from>
        <xdr:to>
          <xdr:col>3</xdr:col>
          <xdr:colOff>1819275</xdr:colOff>
          <xdr:row>1</xdr:row>
          <xdr:rowOff>217714</xdr:rowOff>
        </xdr:to>
        <xdr:sp macro="" textlink="">
          <xdr:nvSpPr>
            <xdr:cNvPr id="1030" name="CmdNuovaRig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2208440</xdr:colOff>
          <xdr:row>0</xdr:row>
          <xdr:rowOff>69397</xdr:rowOff>
        </xdr:from>
        <xdr:to>
          <xdr:col>4</xdr:col>
          <xdr:colOff>1160690</xdr:colOff>
          <xdr:row>1</xdr:row>
          <xdr:rowOff>265340</xdr:rowOff>
        </xdr:to>
        <xdr:sp macro="" textlink="">
          <xdr:nvSpPr>
            <xdr:cNvPr id="1032" name="cmdDuplicaRigaSelezionata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88" t="s">
        <v>0</v>
      </c>
      <c r="B1" s="488"/>
      <c r="C1" s="488"/>
      <c r="D1" s="488"/>
      <c r="E1" s="488"/>
      <c r="F1" s="488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89" t="s">
        <v>1</v>
      </c>
      <c r="B3" s="489"/>
      <c r="C3" s="489"/>
      <c r="D3" s="489"/>
      <c r="E3" s="489"/>
      <c r="F3" s="489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81" t="s">
        <v>2</v>
      </c>
      <c r="B5" s="479">
        <v>7.0000000000000007E-2</v>
      </c>
      <c r="C5" s="479">
        <v>0.1</v>
      </c>
      <c r="D5" s="479">
        <v>0.18</v>
      </c>
      <c r="E5" s="482" t="s">
        <v>3</v>
      </c>
      <c r="F5" s="482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80"/>
      <c r="B6" s="480"/>
      <c r="C6" s="480"/>
      <c r="D6" s="480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87" t="s">
        <v>31</v>
      </c>
      <c r="B24" s="487"/>
      <c r="C24" s="487"/>
      <c r="D24" s="487"/>
      <c r="E24" s="487"/>
      <c r="F24" s="487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81" t="s">
        <v>2</v>
      </c>
      <c r="B26" s="479">
        <v>0.1</v>
      </c>
      <c r="C26" s="479">
        <v>0.18</v>
      </c>
      <c r="D26" s="482" t="s">
        <v>3</v>
      </c>
      <c r="E26" s="482"/>
      <c r="F26" s="482"/>
      <c r="S26" s="189" t="s">
        <v>326</v>
      </c>
    </row>
    <row r="27" spans="1:19" x14ac:dyDescent="0.25">
      <c r="A27" s="480"/>
      <c r="B27" s="480"/>
      <c r="C27" s="480"/>
      <c r="D27" s="4" t="s">
        <v>7</v>
      </c>
      <c r="E27" s="4" t="s">
        <v>33</v>
      </c>
      <c r="F27" s="4" t="s">
        <v>32</v>
      </c>
      <c r="H27" s="479">
        <v>7.0000000000000007E-2</v>
      </c>
      <c r="I27" s="479">
        <v>0.1</v>
      </c>
      <c r="J27" s="479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80"/>
      <c r="I28" s="480"/>
      <c r="J28" s="480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86" t="s">
        <v>34</v>
      </c>
      <c r="B35" s="486"/>
      <c r="C35" s="486"/>
      <c r="D35" s="486"/>
      <c r="E35" s="486"/>
      <c r="F35" s="486"/>
      <c r="S35" s="189" t="s">
        <v>318</v>
      </c>
    </row>
    <row r="36" spans="1:19" x14ac:dyDescent="0.25">
      <c r="S36" s="5" t="s">
        <v>310</v>
      </c>
    </row>
    <row r="37" spans="1:19" x14ac:dyDescent="0.25">
      <c r="A37" s="481" t="s">
        <v>2</v>
      </c>
      <c r="B37" s="479">
        <v>0.1</v>
      </c>
      <c r="C37" s="479">
        <v>0.18</v>
      </c>
      <c r="D37" s="482" t="s">
        <v>3</v>
      </c>
      <c r="E37" s="482"/>
      <c r="F37" s="482"/>
      <c r="S37" s="189" t="s">
        <v>319</v>
      </c>
    </row>
    <row r="38" spans="1:19" x14ac:dyDescent="0.25">
      <c r="A38" s="480"/>
      <c r="B38" s="480"/>
      <c r="C38" s="480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83" t="s">
        <v>35</v>
      </c>
      <c r="B46" s="484"/>
      <c r="C46" s="484"/>
      <c r="D46" s="484"/>
      <c r="E46" s="484"/>
      <c r="F46" s="485"/>
    </row>
    <row r="50" spans="1:6" x14ac:dyDescent="0.25">
      <c r="B50" s="159" t="s">
        <v>174</v>
      </c>
      <c r="C50" s="475" t="s">
        <v>175</v>
      </c>
      <c r="D50" s="475"/>
      <c r="E50" s="476" t="s">
        <v>176</v>
      </c>
      <c r="F50" s="477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78" t="s">
        <v>182</v>
      </c>
      <c r="B52" s="478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V778"/>
  <sheetViews>
    <sheetView tabSelected="1" topLeftCell="B1" zoomScale="70" zoomScaleNormal="70" zoomScaleSheetLayoutView="90" workbookViewId="0">
      <selection activeCell="R10" sqref="R10"/>
    </sheetView>
  </sheetViews>
  <sheetFormatPr defaultRowHeight="15" x14ac:dyDescent="0.25"/>
  <cols>
    <col min="1" max="1" width="0" style="223" hidden="1" customWidth="1"/>
    <col min="2" max="2" width="1.7109375" style="223" bestFit="1" customWidth="1"/>
    <col min="3" max="3" width="2.140625" style="224" bestFit="1" customWidth="1"/>
    <col min="4" max="4" width="41.5703125" style="223" bestFit="1" customWidth="1"/>
    <col min="5" max="5" width="29.28515625" style="223" bestFit="1" customWidth="1"/>
    <col min="6" max="6" width="73.42578125" style="223" bestFit="1" customWidth="1"/>
    <col min="7" max="7" width="17.5703125" style="223" bestFit="1" customWidth="1"/>
    <col min="8" max="8" width="14.85546875" style="223" bestFit="1" customWidth="1"/>
    <col min="9" max="9" width="21.28515625" style="223" bestFit="1" customWidth="1"/>
    <col min="10" max="10" width="26.140625" style="223" bestFit="1" customWidth="1"/>
    <col min="11" max="11" width="12.28515625" style="223" bestFit="1" customWidth="1"/>
    <col min="12" max="12" width="16" style="223" bestFit="1" customWidth="1"/>
    <col min="13" max="13" width="15.140625" style="223" bestFit="1" customWidth="1"/>
    <col min="14" max="14" width="13.42578125" style="223" bestFit="1" customWidth="1"/>
    <col min="15" max="15" width="13.85546875" style="223" bestFit="1" customWidth="1"/>
    <col min="16" max="16" width="20" style="223" bestFit="1" customWidth="1"/>
    <col min="17" max="17" width="13.85546875" style="223" bestFit="1" customWidth="1"/>
    <col min="18" max="21" width="11.85546875" style="223" bestFit="1" customWidth="1"/>
    <col min="22" max="22" width="21.85546875" style="223" bestFit="1" customWidth="1"/>
    <col min="23" max="23" width="17.28515625" style="223" bestFit="1" customWidth="1"/>
    <col min="24" max="24" width="21.5703125" style="223" bestFit="1" customWidth="1"/>
    <col min="25" max="25" width="13.85546875" style="223" bestFit="1" customWidth="1"/>
    <col min="26" max="26" width="23.140625" style="223" bestFit="1" customWidth="1"/>
    <col min="27" max="27" width="16.28515625" style="223" bestFit="1" customWidth="1"/>
    <col min="28" max="28" width="18.7109375" style="223" bestFit="1" customWidth="1"/>
    <col min="29" max="29" width="10.7109375" style="223" bestFit="1" customWidth="1"/>
    <col min="30" max="30" width="7.140625" style="223" bestFit="1" customWidth="1"/>
    <col min="31" max="31" width="8.140625" style="223" bestFit="1" customWidth="1"/>
    <col min="32" max="32" width="17.7109375" style="223" customWidth="1"/>
    <col min="33" max="33" width="18.28515625" style="223" bestFit="1" customWidth="1"/>
    <col min="34" max="34" width="10.7109375" style="232" bestFit="1" customWidth="1"/>
    <col min="35" max="35" width="7.140625" style="232" bestFit="1" customWidth="1"/>
    <col min="36" max="36" width="8.140625" style="223" bestFit="1" customWidth="1"/>
    <col min="37" max="38" width="9.140625" style="223" customWidth="1"/>
    <col min="39" max="39" width="8.140625" style="223" bestFit="1" customWidth="1"/>
    <col min="40" max="40" width="5" style="223" bestFit="1" customWidth="1"/>
    <col min="41" max="41" width="12" style="223" bestFit="1" customWidth="1"/>
    <col min="42" max="45" width="12.28515625" style="223" customWidth="1"/>
    <col min="46" max="46" width="9.140625" style="223"/>
    <col min="47" max="47" width="3" style="223" bestFit="1" customWidth="1"/>
    <col min="48" max="48" width="5" style="223" bestFit="1" customWidth="1"/>
    <col min="49" max="16384" width="9.140625" style="223"/>
  </cols>
  <sheetData>
    <row r="1" spans="1:48" x14ac:dyDescent="0.25">
      <c r="F1" s="231"/>
    </row>
    <row r="2" spans="1:48" ht="28.5" x14ac:dyDescent="0.45">
      <c r="F2" s="233" t="s">
        <v>461</v>
      </c>
      <c r="G2" s="234"/>
      <c r="H2" s="234"/>
      <c r="I2" s="234"/>
      <c r="J2" s="234"/>
      <c r="K2" s="234"/>
      <c r="L2" s="234"/>
    </row>
    <row r="3" spans="1:48" ht="15.75" thickBot="1" x14ac:dyDescent="0.3">
      <c r="D3" s="231"/>
    </row>
    <row r="4" spans="1:48" ht="15.75" thickBot="1" x14ac:dyDescent="0.3">
      <c r="D4" s="235"/>
      <c r="E4" s="236"/>
      <c r="F4" s="236"/>
      <c r="G4" s="237"/>
      <c r="H4" s="238" t="s">
        <v>53</v>
      </c>
      <c r="I4" s="239"/>
      <c r="J4" s="236"/>
      <c r="K4" s="236"/>
      <c r="L4" s="236"/>
      <c r="M4" s="237"/>
      <c r="N4" s="240"/>
      <c r="O4" s="240"/>
      <c r="P4" s="240"/>
      <c r="Q4" s="240"/>
      <c r="R4" s="240"/>
      <c r="S4" s="240"/>
      <c r="T4" s="240"/>
      <c r="U4" s="240"/>
      <c r="V4" s="238" t="s">
        <v>49</v>
      </c>
      <c r="W4" s="240"/>
      <c r="X4" s="240"/>
      <c r="Y4" s="239"/>
      <c r="Z4" s="236"/>
      <c r="AA4" s="236"/>
      <c r="AB4" s="236"/>
      <c r="AC4" s="236"/>
      <c r="AD4" s="236"/>
      <c r="AF4" s="241" t="s">
        <v>328</v>
      </c>
      <c r="AG4" s="242" t="s">
        <v>302</v>
      </c>
      <c r="AH4" s="243"/>
      <c r="AI4" s="243"/>
      <c r="AJ4" s="242"/>
    </row>
    <row r="5" spans="1:48" ht="79.5" thickBot="1" x14ac:dyDescent="0.3">
      <c r="D5" s="450" t="s">
        <v>373</v>
      </c>
      <c r="E5" s="451" t="s">
        <v>37</v>
      </c>
      <c r="F5" s="452" t="str">
        <f>IF(F579=F745,"Kg","ERRORE KG")</f>
        <v>Kg</v>
      </c>
      <c r="G5" s="447" t="s">
        <v>39</v>
      </c>
      <c r="H5" s="448" t="s">
        <v>51</v>
      </c>
      <c r="I5" s="449" t="s">
        <v>52</v>
      </c>
      <c r="J5" s="453" t="s">
        <v>40</v>
      </c>
      <c r="K5" s="453" t="s">
        <v>41</v>
      </c>
      <c r="L5" s="454" t="s">
        <v>42</v>
      </c>
      <c r="M5" s="225" t="s">
        <v>4</v>
      </c>
      <c r="N5" s="455" t="s">
        <v>5</v>
      </c>
      <c r="O5" s="455" t="s">
        <v>6</v>
      </c>
      <c r="P5" s="455" t="s">
        <v>190</v>
      </c>
      <c r="Q5" s="447" t="s">
        <v>43</v>
      </c>
      <c r="R5" s="455" t="s">
        <v>4</v>
      </c>
      <c r="S5" s="455" t="s">
        <v>5</v>
      </c>
      <c r="T5" s="455" t="s">
        <v>6</v>
      </c>
      <c r="U5" s="455" t="s">
        <v>173</v>
      </c>
      <c r="V5" s="448" t="s">
        <v>44</v>
      </c>
      <c r="W5" s="448" t="s">
        <v>88</v>
      </c>
      <c r="X5" s="456" t="s">
        <v>89</v>
      </c>
      <c r="Y5" s="449" t="s">
        <v>45</v>
      </c>
      <c r="Z5" s="451" t="str">
        <f>IF(ROUND(Z579,2)=ROUND(G745,2),"Commissioni","ERRORE COMMISSIONI")</f>
        <v>Commissioni</v>
      </c>
      <c r="AA5" s="457" t="s">
        <v>46</v>
      </c>
      <c r="AB5" s="458" t="s">
        <v>50</v>
      </c>
      <c r="AC5" s="459" t="s">
        <v>292</v>
      </c>
      <c r="AD5" s="244" t="s">
        <v>47</v>
      </c>
      <c r="AE5" s="245" t="s">
        <v>120</v>
      </c>
      <c r="AF5" s="226">
        <f>SUMIF(AF7:AF578,"OK",Z7:Z578)</f>
        <v>25391.37</v>
      </c>
      <c r="AG5" s="227">
        <f>SUMIF(AF7:AF578,"OK",F7:F578)</f>
        <v>397816</v>
      </c>
      <c r="AH5" s="228"/>
      <c r="AI5" s="228"/>
      <c r="AJ5" s="227"/>
      <c r="AO5" s="229">
        <f>+AF5</f>
        <v>25391.37</v>
      </c>
      <c r="AP5" s="229"/>
      <c r="AQ5" s="229"/>
      <c r="AR5" s="229"/>
      <c r="AS5" s="229"/>
    </row>
    <row r="6" spans="1:48" s="222" customFormat="1" ht="26.25" x14ac:dyDescent="0.4">
      <c r="C6" s="230"/>
      <c r="D6" s="460"/>
      <c r="E6" s="461"/>
      <c r="F6" s="462"/>
      <c r="G6" s="463"/>
      <c r="H6" s="464"/>
      <c r="I6" s="465"/>
      <c r="J6" s="466"/>
      <c r="K6" s="466"/>
      <c r="L6" s="467"/>
      <c r="M6" s="468">
        <f ca="1">IF(ISERROR(OFFSET(Tabella!$A$1,MATCH(J6,Tabella!$A:$A,0)-1,MATCH(L6,Tabella!$A$1:$AC$1,0)-1)=TRUE),0,+OFFSET(Tabella!$A$1,MATCH(J6,Tabella!$A:$A,0)-1,MATCH(L6,Tabella!$A$1:$AC$1,0)-1))</f>
        <v>0</v>
      </c>
      <c r="N6" s="469">
        <f ca="1">IF(ISERROR(OFFSET(Ottone!$A$1,MATCH(J6,Ottone!$A:$A,0)-1,MATCH(L6,Ottone!$A$1:$Z$1,0)-1)=TRUE),0,OFFSET(Ottone!$A$1,MATCH(J6,Ottone!$A:$A,0)-1,MATCH(L6,Ottone!$A$1:$Z$1,0)-1))*IF(G6="Ottone",1,0)</f>
        <v>0</v>
      </c>
      <c r="O6" s="469">
        <f ca="1">IF(ISERROR(OFFSET(Rame!$A$1,MATCH(J6,Rame!$A:$A,0)-1,MATCH(L6,Rame!$A$1:$AA$1,0)-1)=TRUE),0,OFFSET(Rame!$A$1,MATCH(J6,Rame!$A:$A,0)-1,MATCH(L6,Rame!$A$1:$AA$1,0)-1))*IF(G6="Rame",1,0)</f>
        <v>0</v>
      </c>
      <c r="P6" s="469"/>
      <c r="Q6" s="469"/>
      <c r="R6" s="469">
        <f ca="1">+IF(ISERROR(OFFSET(Tabella!$G$1,MATCH(J6,Tabella!$G:$G,0)-1,MATCH(K6,Tabella!$G$1:$FG$1,0)-1)=TRUE),0,OFFSET(Tabella!$G$1,MATCH(J6,Tabella!$G:$G,0)-1,MATCH(K6,Tabella!$G$1:$AB$1,0)-1))</f>
        <v>0</v>
      </c>
      <c r="S6" s="469">
        <f ca="1">IF(ISERROR(OFFSET(Ottone!$F$1,MATCH(J6,Ottone!$A:$A,0)-1,MATCH(K6,Ottone!$F$1:$FF$1,0)-1)=TRUE),0,OFFSET(Ottone!$F$1,MATCH(J6,Ottone!$A:$A,0)-1,MATCH(K6,Ottone!$F$1:$FF$1,0)-1))*IF(G6="Ottone",1,0)</f>
        <v>0</v>
      </c>
      <c r="T6" s="469">
        <f ca="1">IF(ISERROR(OFFSET(Rame!$F$1,MATCH(J6,Rame!$F:$F,0)-1,MATCH(K6,Rame!$F$1:$FF$1,0)-1)=TRUE),0,OFFSET(Rame!$F$1,MATCH(J6,Rame!$F:$F,0)-1,MATCH(K6,Rame!$F$1:$FF$1,0)-1))*IF(G6="Rame",1,0)</f>
        <v>0</v>
      </c>
      <c r="U6" s="469">
        <f ca="1">IF(ISERROR(OFFSET(Bronzo!$A$1,MATCH(J6,Bronzo!$A:$A,0)-1,MATCH(K6,Bronzo!$A$1:$AA$1,0)-1)=TRUE),0,OFFSET(Bronzo!$A$1,MATCH(J6,Bronzo!$A:$A,0)-1,MATCH(K6,Bronzo!$A$1:$AA$1,0)-1))</f>
        <v>0</v>
      </c>
      <c r="V6" s="469">
        <f ca="1">SUM(R6:U6)</f>
        <v>0</v>
      </c>
      <c r="W6" s="468"/>
      <c r="X6" s="469"/>
      <c r="Y6" s="470">
        <f ca="1">+Q6+V6+W6+X6</f>
        <v>0</v>
      </c>
      <c r="Z6" s="471">
        <f>+L6*F6</f>
        <v>0</v>
      </c>
      <c r="AA6" s="467"/>
      <c r="AB6" s="467">
        <f ca="1">+AA6-Y6-H6</f>
        <v>0</v>
      </c>
      <c r="AC6" s="472"/>
      <c r="AH6" s="473">
        <f ca="1">TODAY()</f>
        <v>46120</v>
      </c>
      <c r="AI6" s="473" t="b">
        <f>ISBLANK(AC6)</f>
        <v>1</v>
      </c>
      <c r="AJ6" s="474" t="str">
        <f t="shared" ref="AJ6:AJ15" si="0">IF(AI6=FALSE,_xlfn.DAYS(AC6,AH6),"")</f>
        <v/>
      </c>
      <c r="AM6" s="222">
        <f>WEEKNUM(AC6)</f>
        <v>0</v>
      </c>
      <c r="AN6" s="222">
        <f>YEAR(AC6)</f>
        <v>1900</v>
      </c>
      <c r="AU6" s="222">
        <f>IF(AC6="",0,MONTH(AC6))</f>
        <v>0</v>
      </c>
      <c r="AV6" s="222">
        <f>IF(AC6="",0,YEAR(AC6))</f>
        <v>0</v>
      </c>
    </row>
    <row r="7" spans="1:48" ht="26.25" x14ac:dyDescent="0.4">
      <c r="D7" s="246" t="s">
        <v>421</v>
      </c>
      <c r="E7" s="247" t="s">
        <v>297</v>
      </c>
      <c r="F7" s="248">
        <v>550</v>
      </c>
      <c r="G7" s="249" t="s">
        <v>4</v>
      </c>
      <c r="H7" s="250">
        <v>2.4700000000000002</v>
      </c>
      <c r="I7" s="251">
        <v>45727</v>
      </c>
      <c r="J7" s="252" t="s">
        <v>23</v>
      </c>
      <c r="K7" s="252"/>
      <c r="L7" s="253">
        <v>7.0000000000000007E-2</v>
      </c>
      <c r="M7" s="254">
        <f ca="1">IF(ISERROR(OFFSET(Tabella!$A$1,MATCH(J7,Tabella!$A:$A,0)-1,MATCH(L7,Tabella!$A$1:$AC$1,0)-1)=TRUE),0,+OFFSET(Tabella!$A$1,MATCH(J7,Tabella!$A:$A,0)-1,MATCH(L7,Tabella!$A$1:$AC$1,0)-1))</f>
        <v>1.25</v>
      </c>
      <c r="N7" s="255">
        <f ca="1">IF(ISERROR(OFFSET(Ottone!$A$1,MATCH(J7,Ottone!$A:$A,0)-1,MATCH(L7,Ottone!$A$1:$Z$1,0)-1)=TRUE),0,OFFSET(Ottone!$A$1,MATCH(J7,Ottone!$A:$A,0)-1,MATCH(L7,Ottone!$A$1:$Z$1,0)-1))*IF(G7="Ottone",1,0)</f>
        <v>0</v>
      </c>
      <c r="O7" s="255">
        <f ca="1">IF(ISERROR(OFFSET(Rame!$A$1,MATCH(J7,Rame!$A:$A,0)-1,MATCH(L7,Rame!$A$1:$AA$1,0)-1)=TRUE),0,OFFSET(Rame!$A$1,MATCH(J7,Rame!$A:$A,0)-1,MATCH(L7,Rame!$A$1:$AA$1,0)-1))*IF(G7="Rame",1,0)</f>
        <v>0</v>
      </c>
      <c r="P7" s="255">
        <v>0</v>
      </c>
      <c r="Q7" s="255">
        <v>1.5</v>
      </c>
      <c r="R7" s="255">
        <f ca="1">+IF(ISERROR(OFFSET(Tabella!$G$1,MATCH(J7,Tabella!$G:$G,0)-1,MATCH(K7,Tabella!$G$1:$FG$1,0)-1)=TRUE),0,OFFSET(Tabella!$G$1,MATCH(J7,Tabella!$G:$G,0)-1,MATCH(K7,Tabella!$G$1:$AB$1,0)-1))</f>
        <v>0</v>
      </c>
      <c r="S7" s="255">
        <f ca="1">IF(ISERROR(OFFSET(Ottone!$F$1,MATCH(J7,Ottone!$A:$A,0)-1,MATCH(K7,Ottone!$F$1:$FF$1,0)-1)=TRUE),0,OFFSET(Ottone!$F$1,MATCH(J7,Ottone!$A:$A,0)-1,MATCH(K7,Ottone!$F$1:$FF$1,0)-1))*IF(G7="Ottone",1,0)</f>
        <v>0</v>
      </c>
      <c r="T7" s="255">
        <f ca="1">IF(ISERROR(OFFSET(Rame!$F$1,MATCH(J7,Rame!$F:$F,0)-1,MATCH(K7,Rame!$F$1:$FF$1,0)-1)=TRUE),0,OFFSET(Rame!$F$1,MATCH(J7,Rame!$F:$F,0)-1,MATCH(K7,Rame!$F$1:$FF$1,0)-1))*IF(G7="Rame",1,0)</f>
        <v>0</v>
      </c>
      <c r="U7" s="255">
        <f ca="1">IF(ISERROR(OFFSET(Bronzo!$A$1,MATCH(J7,Bronzo!$A:$A,0)-1,MATCH(K7,Bronzo!$A$1:$AA$1,0)-1)=TRUE),0,OFFSET(Bronzo!$A$1,MATCH(J7,Bronzo!$A:$A,0)-1,MATCH(K7,Bronzo!$A$1:$AA$1,0)-1))</f>
        <v>0</v>
      </c>
      <c r="V7" s="255">
        <f t="shared" ref="V7" ca="1" si="1">SUM(R7:U7)</f>
        <v>0</v>
      </c>
      <c r="W7" s="254"/>
      <c r="X7" s="255">
        <v>0</v>
      </c>
      <c r="Y7" s="256">
        <f t="shared" ref="Y7" ca="1" si="2">+Q7+V7+W7+X7</f>
        <v>1.5</v>
      </c>
      <c r="Z7" s="257">
        <f t="shared" ref="Z7" si="3">+L7*F7</f>
        <v>38.500000000000007</v>
      </c>
      <c r="AA7" s="253">
        <v>4</v>
      </c>
      <c r="AB7" s="253">
        <f t="shared" ref="AB7" ca="1" si="4">+AA7-Y7-H7</f>
        <v>2.9999999999999805E-2</v>
      </c>
      <c r="AC7" s="258"/>
      <c r="AG7" s="223" t="s">
        <v>419</v>
      </c>
      <c r="AH7" s="232">
        <f t="shared" ref="AH7:AH8" ca="1" si="5">TODAY()</f>
        <v>46120</v>
      </c>
      <c r="AI7" s="232" t="b">
        <f t="shared" ref="AI7:AI43" si="6">ISBLANK(AC7)</f>
        <v>1</v>
      </c>
      <c r="AJ7" s="259" t="str">
        <f t="shared" si="0"/>
        <v/>
      </c>
      <c r="AM7" s="223">
        <f t="shared" ref="AM7:AM43" si="7">WEEKNUM(AC7)</f>
        <v>0</v>
      </c>
      <c r="AN7" s="223">
        <f t="shared" ref="AN7:AN43" si="8">YEAR(AC7)</f>
        <v>1900</v>
      </c>
      <c r="AU7" s="223">
        <f t="shared" ref="AU7:AU43" si="9">IF(AC7="",0,MONTH(AC7))</f>
        <v>0</v>
      </c>
      <c r="AV7" s="223">
        <f t="shared" ref="AV7:AV43" si="10">IF(AC7="",0,YEAR(AC7))</f>
        <v>0</v>
      </c>
    </row>
    <row r="8" spans="1:48" ht="26.25" x14ac:dyDescent="0.4">
      <c r="D8" s="246" t="s">
        <v>421</v>
      </c>
      <c r="E8" s="247" t="s">
        <v>297</v>
      </c>
      <c r="F8" s="248">
        <v>550</v>
      </c>
      <c r="G8" s="249" t="s">
        <v>4</v>
      </c>
      <c r="H8" s="250">
        <v>2.4700000000000002</v>
      </c>
      <c r="I8" s="251">
        <v>45727</v>
      </c>
      <c r="J8" s="252" t="s">
        <v>23</v>
      </c>
      <c r="K8" s="252"/>
      <c r="L8" s="253">
        <v>7.0000000000000007E-2</v>
      </c>
      <c r="M8" s="254">
        <f ca="1">IF(ISERROR(OFFSET(Tabella!$A$1,MATCH(J8,Tabella!$A:$A,0)-1,MATCH(L8,Tabella!$A$1:$AC$1,0)-1)=TRUE),0,+OFFSET(Tabella!$A$1,MATCH(J8,Tabella!$A:$A,0)-1,MATCH(L8,Tabella!$A$1:$AC$1,0)-1))</f>
        <v>1.25</v>
      </c>
      <c r="N8" s="255">
        <f ca="1">IF(ISERROR(OFFSET(Ottone!$A$1,MATCH(J8,Ottone!$A:$A,0)-1,MATCH(L8,Ottone!$A$1:$Z$1,0)-1)=TRUE),0,OFFSET(Ottone!$A$1,MATCH(J8,Ottone!$A:$A,0)-1,MATCH(L8,Ottone!$A$1:$Z$1,0)-1))*IF(G8="Ottone",1,0)</f>
        <v>0</v>
      </c>
      <c r="O8" s="255">
        <f ca="1">IF(ISERROR(OFFSET(Rame!$A$1,MATCH(J8,Rame!$A:$A,0)-1,MATCH(L8,Rame!$A$1:$AA$1,0)-1)=TRUE),0,OFFSET(Rame!$A$1,MATCH(J8,Rame!$A:$A,0)-1,MATCH(L8,Rame!$A$1:$AA$1,0)-1))*IF(G8="Rame",1,0)</f>
        <v>0</v>
      </c>
      <c r="P8" s="255">
        <v>0</v>
      </c>
      <c r="Q8" s="255">
        <v>1.5</v>
      </c>
      <c r="R8" s="255">
        <f ca="1">+IF(ISERROR(OFFSET(Tabella!$G$1,MATCH(J8,Tabella!$G:$G,0)-1,MATCH(K8,Tabella!$G$1:$FG$1,0)-1)=TRUE),0,OFFSET(Tabella!$G$1,MATCH(J8,Tabella!$G:$G,0)-1,MATCH(K8,Tabella!$G$1:$AB$1,0)-1))</f>
        <v>0</v>
      </c>
      <c r="S8" s="255">
        <f ca="1">IF(ISERROR(OFFSET(Ottone!$F$1,MATCH(J8,Ottone!$A:$A,0)-1,MATCH(K8,Ottone!$F$1:$FF$1,0)-1)=TRUE),0,OFFSET(Ottone!$F$1,MATCH(J8,Ottone!$A:$A,0)-1,MATCH(K8,Ottone!$F$1:$FF$1,0)-1))*IF(G8="Ottone",1,0)</f>
        <v>0</v>
      </c>
      <c r="T8" s="255">
        <f ca="1">IF(ISERROR(OFFSET(Rame!$F$1,MATCH(J8,Rame!$F:$F,0)-1,MATCH(K8,Rame!$F$1:$FF$1,0)-1)=TRUE),0,OFFSET(Rame!$F$1,MATCH(J8,Rame!$F:$F,0)-1,MATCH(K8,Rame!$F$1:$FF$1,0)-1))*IF(G8="Rame",1,0)</f>
        <v>0</v>
      </c>
      <c r="U8" s="255">
        <f ca="1">IF(ISERROR(OFFSET(Bronzo!$A$1,MATCH(J8,Bronzo!$A:$A,0)-1,MATCH(K8,Bronzo!$A$1:$AA$1,0)-1)=TRUE),0,OFFSET(Bronzo!$A$1,MATCH(J8,Bronzo!$A:$A,0)-1,MATCH(K8,Bronzo!$A$1:$AA$1,0)-1))</f>
        <v>0</v>
      </c>
      <c r="V8" s="255">
        <f t="shared" ref="V8" ca="1" si="11">SUM(R8:U8)</f>
        <v>0</v>
      </c>
      <c r="W8" s="254"/>
      <c r="X8" s="255">
        <v>0</v>
      </c>
      <c r="Y8" s="256">
        <f t="shared" ref="Y8" ca="1" si="12">+Q8+V8+W8+X8</f>
        <v>1.5</v>
      </c>
      <c r="Z8" s="257">
        <f t="shared" ref="Z8" si="13">+L8*F8</f>
        <v>38.500000000000007</v>
      </c>
      <c r="AA8" s="253">
        <v>4</v>
      </c>
      <c r="AB8" s="253">
        <f t="shared" ref="AB8" ca="1" si="14">+AA8-Y8-H8</f>
        <v>2.9999999999999805E-2</v>
      </c>
      <c r="AC8" s="258"/>
      <c r="AG8" s="223" t="s">
        <v>419</v>
      </c>
      <c r="AH8" s="232">
        <f t="shared" ca="1" si="5"/>
        <v>46120</v>
      </c>
      <c r="AI8" s="232" t="b">
        <f t="shared" ref="AI8" si="15">ISBLANK(AC8)</f>
        <v>1</v>
      </c>
      <c r="AJ8" s="259" t="str">
        <f t="shared" ref="AJ8" si="16">IF(AI8=FALSE,_xlfn.DAYS(AC8,AH8),"")</f>
        <v/>
      </c>
      <c r="AM8" s="223">
        <f t="shared" ref="AM8" si="17">WEEKNUM(AC8)</f>
        <v>0</v>
      </c>
      <c r="AN8" s="223">
        <f t="shared" ref="AN8" si="18">YEAR(AC8)</f>
        <v>1900</v>
      </c>
      <c r="AU8" s="223">
        <f t="shared" ref="AU8" si="19">IF(AC8="",0,MONTH(AC8))</f>
        <v>0</v>
      </c>
      <c r="AV8" s="223">
        <f t="shared" ref="AV8" si="20">IF(AC8="",0,YEAR(AC8))</f>
        <v>0</v>
      </c>
    </row>
    <row r="9" spans="1:48" ht="26.25" x14ac:dyDescent="0.4">
      <c r="D9" s="246" t="s">
        <v>421</v>
      </c>
      <c r="E9" s="247" t="s">
        <v>297</v>
      </c>
      <c r="F9" s="248">
        <v>550</v>
      </c>
      <c r="G9" s="249" t="s">
        <v>4</v>
      </c>
      <c r="H9" s="250">
        <v>2.4700000000000002</v>
      </c>
      <c r="I9" s="251">
        <v>45727</v>
      </c>
      <c r="J9" s="252" t="s">
        <v>23</v>
      </c>
      <c r="K9" s="252"/>
      <c r="L9" s="253">
        <v>7.0000000000000007E-2</v>
      </c>
      <c r="M9" s="254">
        <f ca="1">IF(ISERROR(OFFSET(Tabella!$A$1,MATCH(J9,Tabella!$A:$A,0)-1,MATCH(L9,Tabella!$A$1:$AC$1,0)-1)=TRUE),0,+OFFSET(Tabella!$A$1,MATCH(J9,Tabella!$A:$A,0)-1,MATCH(L9,Tabella!$A$1:$AC$1,0)-1))</f>
        <v>1.25</v>
      </c>
      <c r="N9" s="255">
        <f ca="1">IF(ISERROR(OFFSET(Ottone!$A$1,MATCH(J9,Ottone!$A:$A,0)-1,MATCH(L9,Ottone!$A$1:$Z$1,0)-1)=TRUE),0,OFFSET(Ottone!$A$1,MATCH(J9,Ottone!$A:$A,0)-1,MATCH(L9,Ottone!$A$1:$Z$1,0)-1))*IF(G9="Ottone",1,0)</f>
        <v>0</v>
      </c>
      <c r="O9" s="255">
        <f ca="1">IF(ISERROR(OFFSET(Rame!$A$1,MATCH(J9,Rame!$A:$A,0)-1,MATCH(L9,Rame!$A$1:$AA$1,0)-1)=TRUE),0,OFFSET(Rame!$A$1,MATCH(J9,Rame!$A:$A,0)-1,MATCH(L9,Rame!$A$1:$AA$1,0)-1))*IF(G9="Rame",1,0)</f>
        <v>0</v>
      </c>
      <c r="P9" s="255"/>
      <c r="Q9" s="255">
        <v>1.5</v>
      </c>
      <c r="R9" s="255">
        <f ca="1">+IF(ISERROR(OFFSET(Tabella!$G$1,MATCH(J9,Tabella!$G:$G,0)-1,MATCH(K9,Tabella!$G$1:$FG$1,0)-1)=TRUE),0,OFFSET(Tabella!$G$1,MATCH(J9,Tabella!$G:$G,0)-1,MATCH(K9,Tabella!$G$1:$AB$1,0)-1))</f>
        <v>0</v>
      </c>
      <c r="S9" s="255">
        <f ca="1">IF(ISERROR(OFFSET(Ottone!$F$1,MATCH(J9,Ottone!$A:$A,0)-1,MATCH(K9,Ottone!$F$1:$FF$1,0)-1)=TRUE),0,OFFSET(Ottone!$F$1,MATCH(J9,Ottone!$A:$A,0)-1,MATCH(K9,Ottone!$F$1:$FF$1,0)-1))*IF(G9="Ottone",1,0)</f>
        <v>0</v>
      </c>
      <c r="T9" s="255">
        <f ca="1">IF(ISERROR(OFFSET(Rame!$F$1,MATCH(J9,Rame!$F:$F,0)-1,MATCH(K9,Rame!$F$1:$FF$1,0)-1)=TRUE),0,OFFSET(Rame!$F$1,MATCH(J9,Rame!$F:$F,0)-1,MATCH(K9,Rame!$F$1:$FF$1,0)-1))*IF(G9="Rame",1,0)</f>
        <v>0</v>
      </c>
      <c r="U9" s="255">
        <f ca="1">IF(ISERROR(OFFSET(Bronzo!$A$1,MATCH(J9,Bronzo!$A:$A,0)-1,MATCH(K9,Bronzo!$A$1:$AA$1,0)-1)=TRUE),0,OFFSET(Bronzo!$A$1,MATCH(J9,Bronzo!$A:$A,0)-1,MATCH(K9,Bronzo!$A$1:$AA$1,0)-1))</f>
        <v>0</v>
      </c>
      <c r="V9" s="255">
        <f ca="1">SUM(R9:U9)</f>
        <v>0</v>
      </c>
      <c r="W9" s="254"/>
      <c r="X9" s="255">
        <v>0</v>
      </c>
      <c r="Y9" s="256">
        <f ca="1">+Q9+V9+W9+X9</f>
        <v>1.5</v>
      </c>
      <c r="Z9" s="257">
        <f>+L9*F9</f>
        <v>38.500000000000007</v>
      </c>
      <c r="AA9" s="253">
        <v>4</v>
      </c>
      <c r="AB9" s="253">
        <f ca="1">+AA9-Y9-H9</f>
        <v>2.9999999999999805E-2</v>
      </c>
      <c r="AC9" s="258"/>
      <c r="AH9" s="232">
        <f ca="1">TODAY()</f>
        <v>46120</v>
      </c>
      <c r="AI9" s="232" t="b">
        <f>ISBLANK(AC9)</f>
        <v>1</v>
      </c>
      <c r="AJ9" s="259" t="str">
        <f t="shared" si="0"/>
        <v/>
      </c>
      <c r="AM9" s="223">
        <f>WEEKNUM(AC9)</f>
        <v>0</v>
      </c>
      <c r="AN9" s="223">
        <f>YEAR(AC9)</f>
        <v>1900</v>
      </c>
      <c r="AU9" s="223">
        <f>IF(AC9="",0,MONTH(AC9))</f>
        <v>0</v>
      </c>
      <c r="AV9" s="223">
        <f>IF(AC9="",0,YEAR(AC9))</f>
        <v>0</v>
      </c>
    </row>
    <row r="10" spans="1:48" ht="26.25" x14ac:dyDescent="0.4">
      <c r="D10" s="246"/>
      <c r="E10" s="247"/>
      <c r="F10" s="248"/>
      <c r="G10" s="249"/>
      <c r="H10" s="250"/>
      <c r="I10" s="251"/>
      <c r="J10" s="252"/>
      <c r="K10" s="252"/>
      <c r="L10" s="253"/>
      <c r="M10" s="254">
        <f ca="1">IF(ISERROR(OFFSET(Tabella!$A$1,MATCH(J10,Tabella!$A:$A,0)-1,MATCH(L10,Tabella!$A$1:$AC$1,0)-1)=TRUE),0,+OFFSET(Tabella!$A$1,MATCH(J10,Tabella!$A:$A,0)-1,MATCH(L10,Tabella!$A$1:$AC$1,0)-1))</f>
        <v>0</v>
      </c>
      <c r="N10" s="255">
        <f ca="1">IF(ISERROR(OFFSET(Ottone!$A$1,MATCH(J10,Ottone!$A:$A,0)-1,MATCH(L10,Ottone!$A$1:$Z$1,0)-1)=TRUE),0,OFFSET(Ottone!$A$1,MATCH(J10,Ottone!$A:$A,0)-1,MATCH(L10,Ottone!$A$1:$Z$1,0)-1))*IF(G10="Ottone",1,0)</f>
        <v>0</v>
      </c>
      <c r="O10" s="255">
        <f ca="1">IF(ISERROR(OFFSET(Rame!$A$1,MATCH(J10,Rame!$A:$A,0)-1,MATCH(L10,Rame!$A$1:$AA$1,0)-1)=TRUE),0,OFFSET(Rame!$A$1,MATCH(J10,Rame!$A:$A,0)-1,MATCH(L10,Rame!$A$1:$AA$1,0)-1))*IF(G10="Rame",1,0)</f>
        <v>0</v>
      </c>
      <c r="P10" s="255"/>
      <c r="Q10" s="255"/>
      <c r="R10" s="255">
        <f ca="1">+IF(ISERROR(OFFSET(Tabella!$G$1,MATCH(J10,Tabella!$G:$G,0)-1,MATCH(K10,Tabella!$G$1:$FG$1,0)-1)=TRUE),0,OFFSET(Tabella!$G$1,MATCH(J10,Tabella!$G:$G,0)-1,MATCH(K10,Tabella!$G$1:$AB$1,0)-1))</f>
        <v>0</v>
      </c>
      <c r="S10" s="255">
        <f ca="1">IF(ISERROR(OFFSET(Ottone!$F$1,MATCH(J10,Ottone!$A:$A,0)-1,MATCH(K10,Ottone!$F$1:$FF$1,0)-1)=TRUE),0,OFFSET(Ottone!$F$1,MATCH(J10,Ottone!$A:$A,0)-1,MATCH(K10,Ottone!$F$1:$FF$1,0)-1))*IF(G10="Ottone",1,0)</f>
        <v>0</v>
      </c>
      <c r="T10" s="255">
        <f ca="1">IF(ISERROR(OFFSET(Rame!$F$1,MATCH(J10,Rame!$F:$F,0)-1,MATCH(K10,Rame!$F$1:$FF$1,0)-1)=TRUE),0,OFFSET(Rame!$F$1,MATCH(J10,Rame!$F:$F,0)-1,MATCH(K10,Rame!$F$1:$FF$1,0)-1))*IF(G10="Rame",1,0)</f>
        <v>0</v>
      </c>
      <c r="U10" s="255">
        <f ca="1">IF(ISERROR(OFFSET(Bronzo!$A$1,MATCH(J10,Bronzo!$A:$A,0)-1,MATCH(K10,Bronzo!$A$1:$AA$1,0)-1)=TRUE),0,OFFSET(Bronzo!$A$1,MATCH(J10,Bronzo!$A:$A,0)-1,MATCH(K10,Bronzo!$A$1:$AA$1,0)-1))</f>
        <v>0</v>
      </c>
      <c r="V10" s="255">
        <f ca="1">SUM(R10:U10)</f>
        <v>0</v>
      </c>
      <c r="W10" s="254"/>
      <c r="X10" s="255"/>
      <c r="Y10" s="256">
        <f ca="1">+Q10+V10+W10+X10</f>
        <v>0</v>
      </c>
      <c r="Z10" s="257">
        <f>+L10*F10</f>
        <v>0</v>
      </c>
      <c r="AA10" s="253"/>
      <c r="AB10" s="253">
        <f ca="1">+AA10-Y10-H10</f>
        <v>0</v>
      </c>
      <c r="AC10" s="258"/>
      <c r="AH10" s="232">
        <f ca="1">TODAY()</f>
        <v>46120</v>
      </c>
      <c r="AI10" s="232" t="b">
        <f>ISBLANK(AC10)</f>
        <v>1</v>
      </c>
      <c r="AJ10" s="259" t="str">
        <f t="shared" ref="AJ10" si="21">IF(AI10=FALSE,_xlfn.DAYS(AC10,AH10),"")</f>
        <v/>
      </c>
      <c r="AM10" s="223">
        <f>WEEKNUM(AC10)</f>
        <v>0</v>
      </c>
      <c r="AN10" s="223">
        <f>YEAR(AC10)</f>
        <v>1900</v>
      </c>
      <c r="AU10" s="223">
        <f>IF(AC10="",0,MONTH(AC10))</f>
        <v>0</v>
      </c>
      <c r="AV10" s="223">
        <f>IF(AC10="",0,YEAR(AC10))</f>
        <v>0</v>
      </c>
    </row>
    <row r="11" spans="1:48" ht="26.25" x14ac:dyDescent="0.4">
      <c r="D11" s="246"/>
      <c r="E11" s="247"/>
      <c r="F11" s="248"/>
      <c r="G11" s="249"/>
      <c r="H11" s="250"/>
      <c r="I11" s="251"/>
      <c r="J11" s="252"/>
      <c r="K11" s="252"/>
      <c r="L11" s="253"/>
      <c r="M11" s="254">
        <f ca="1">IF(ISERROR(OFFSET(Tabella!$A$1,MATCH(J11,Tabella!$A:$A,0)-1,MATCH(L11,Tabella!$A$1:$AC$1,0)-1)=TRUE),0,+OFFSET(Tabella!$A$1,MATCH(J11,Tabella!$A:$A,0)-1,MATCH(L11,Tabella!$A$1:$AC$1,0)-1))</f>
        <v>0</v>
      </c>
      <c r="N11" s="255">
        <f ca="1">IF(ISERROR(OFFSET(Ottone!$A$1,MATCH(J11,Ottone!$A:$A,0)-1,MATCH(L11,Ottone!$A$1:$Z$1,0)-1)=TRUE),0,OFFSET(Ottone!$A$1,MATCH(J11,Ottone!$A:$A,0)-1,MATCH(L11,Ottone!$A$1:$Z$1,0)-1))*IF(G11="Ottone",1,0)</f>
        <v>0</v>
      </c>
      <c r="O11" s="255">
        <f ca="1">IF(ISERROR(OFFSET(Rame!$A$1,MATCH(J11,Rame!$A:$A,0)-1,MATCH(L11,Rame!$A$1:$AA$1,0)-1)=TRUE),0,OFFSET(Rame!$A$1,MATCH(J11,Rame!$A:$A,0)-1,MATCH(L11,Rame!$A$1:$AA$1,0)-1))*IF(G11="Rame",1,0)</f>
        <v>0</v>
      </c>
      <c r="P11" s="255"/>
      <c r="Q11" s="255"/>
      <c r="R11" s="255">
        <f ca="1">+IF(ISERROR(OFFSET(Tabella!$G$1,MATCH(J11,Tabella!$G:$G,0)-1,MATCH(K11,Tabella!$G$1:$FG$1,0)-1)=TRUE),0,OFFSET(Tabella!$G$1,MATCH(J11,Tabella!$G:$G,0)-1,MATCH(K11,Tabella!$G$1:$AB$1,0)-1))</f>
        <v>0</v>
      </c>
      <c r="S11" s="255">
        <f ca="1">IF(ISERROR(OFFSET(Ottone!$F$1,MATCH(J11,Ottone!$A:$A,0)-1,MATCH(K11,Ottone!$F$1:$FF$1,0)-1)=TRUE),0,OFFSET(Ottone!$F$1,MATCH(J11,Ottone!$A:$A,0)-1,MATCH(K11,Ottone!$F$1:$FF$1,0)-1))*IF(G11="Ottone",1,0)</f>
        <v>0</v>
      </c>
      <c r="T11" s="255">
        <f ca="1">IF(ISERROR(OFFSET(Rame!$F$1,MATCH(J11,Rame!$F:$F,0)-1,MATCH(K11,Rame!$F$1:$FF$1,0)-1)=TRUE),0,OFFSET(Rame!$F$1,MATCH(J11,Rame!$F:$F,0)-1,MATCH(K11,Rame!$F$1:$FF$1,0)-1))*IF(G11="Rame",1,0)</f>
        <v>0</v>
      </c>
      <c r="U11" s="255">
        <f ca="1">IF(ISERROR(OFFSET(Bronzo!$A$1,MATCH(J11,Bronzo!$A:$A,0)-1,MATCH(K11,Bronzo!$A$1:$AA$1,0)-1)=TRUE),0,OFFSET(Bronzo!$A$1,MATCH(J11,Bronzo!$A:$A,0)-1,MATCH(K11,Bronzo!$A$1:$AA$1,0)-1))</f>
        <v>0</v>
      </c>
      <c r="V11" s="255">
        <f ca="1">SUM(R11:U11)</f>
        <v>0</v>
      </c>
      <c r="W11" s="254"/>
      <c r="X11" s="255"/>
      <c r="Y11" s="256">
        <f ca="1">+Q11+V11+W11+X11</f>
        <v>0</v>
      </c>
      <c r="Z11" s="257">
        <f>+L11*F11</f>
        <v>0</v>
      </c>
      <c r="AA11" s="253"/>
      <c r="AB11" s="253">
        <f ca="1">+AA11-Y11-H11</f>
        <v>0</v>
      </c>
      <c r="AC11" s="258"/>
      <c r="AH11" s="232">
        <f ca="1">TODAY()</f>
        <v>46120</v>
      </c>
      <c r="AI11" s="232" t="b">
        <f>ISBLANK(AC11)</f>
        <v>1</v>
      </c>
      <c r="AJ11" s="259" t="str">
        <f t="shared" si="0"/>
        <v/>
      </c>
      <c r="AM11" s="223">
        <f>WEEKNUM(AC11)</f>
        <v>0</v>
      </c>
      <c r="AN11" s="223">
        <f>YEAR(AC11)</f>
        <v>1900</v>
      </c>
      <c r="AU11" s="223">
        <f>IF(AC11="",0,MONTH(AC11))</f>
        <v>0</v>
      </c>
      <c r="AV11" s="223">
        <f>IF(AC11="",0,YEAR(AC11))</f>
        <v>0</v>
      </c>
    </row>
    <row r="12" spans="1:48" ht="26.25" x14ac:dyDescent="0.4">
      <c r="D12" s="246" t="s">
        <v>443</v>
      </c>
      <c r="E12" s="247" t="s">
        <v>212</v>
      </c>
      <c r="F12" s="248">
        <v>500</v>
      </c>
      <c r="G12" s="249" t="s">
        <v>4</v>
      </c>
      <c r="H12" s="250">
        <v>2.2599999999999998</v>
      </c>
      <c r="I12" s="251">
        <v>45931</v>
      </c>
      <c r="J12" s="252" t="s">
        <v>309</v>
      </c>
      <c r="K12" s="252"/>
      <c r="L12" s="253">
        <v>0.04</v>
      </c>
      <c r="M12" s="254">
        <f ca="1">IF(ISERROR(OFFSET(Tabella!$A$1,MATCH(J12,Tabella!$A:$A,0)-1,MATCH(L12,Tabella!$A$1:$AC$1,0)-1)=TRUE),0,+OFFSET(Tabella!$A$1,MATCH(J12,Tabella!$A:$A,0)-1,MATCH(L12,Tabella!$A$1:$AC$1,0)-1))</f>
        <v>0</v>
      </c>
      <c r="N12" s="255">
        <f ca="1">IF(ISERROR(OFFSET(Ottone!$A$1,MATCH(J12,Ottone!$A:$A,0)-1,MATCH(L12,Ottone!$A$1:$Z$1,0)-1)=TRUE),0,OFFSET(Ottone!$A$1,MATCH(J12,Ottone!$A:$A,0)-1,MATCH(L12,Ottone!$A$1:$Z$1,0)-1))*IF(G12="Ottone",1,0)</f>
        <v>0</v>
      </c>
      <c r="O12" s="255">
        <f ca="1">IF(ISERROR(OFFSET(Rame!$A$1,MATCH(J12,Rame!$A:$A,0)-1,MATCH(L12,Rame!$A$1:$AA$1,0)-1)=TRUE),0,OFFSET(Rame!$A$1,MATCH(J12,Rame!$A:$A,0)-1,MATCH(L12,Rame!$A$1:$AA$1,0)-1))*IF(G12="Rame",1,0)</f>
        <v>0</v>
      </c>
      <c r="P12" s="255">
        <v>0</v>
      </c>
      <c r="Q12" s="255">
        <v>1.5</v>
      </c>
      <c r="R12" s="255">
        <f ca="1">+IF(ISERROR(OFFSET(Tabella!$G$1,MATCH(J12,Tabella!$G:$G,0)-1,MATCH(K12,Tabella!$G$1:$FG$1,0)-1)=TRUE),0,OFFSET(Tabella!$G$1,MATCH(J12,Tabella!$G:$G,0)-1,MATCH(K12,Tabella!$G$1:$AB$1,0)-1))</f>
        <v>0</v>
      </c>
      <c r="S12" s="255">
        <f ca="1">IF(ISERROR(OFFSET(Ottone!$F$1,MATCH(J12,Ottone!$A:$A,0)-1,MATCH(K12,Ottone!$F$1:$FF$1,0)-1)=TRUE),0,OFFSET(Ottone!$F$1,MATCH(J12,Ottone!$A:$A,0)-1,MATCH(K12,Ottone!$F$1:$FF$1,0)-1))*IF(G12="Ottone",1,0)</f>
        <v>0</v>
      </c>
      <c r="T12" s="255">
        <f ca="1">IF(ISERROR(OFFSET(Rame!$F$1,MATCH(J12,Rame!$F:$F,0)-1,MATCH(K12,Rame!$F$1:$FF$1,0)-1)=TRUE),0,OFFSET(Rame!$F$1,MATCH(J12,Rame!$F:$F,0)-1,MATCH(K12,Rame!$F$1:$FF$1,0)-1))*IF(G12="Rame",1,0)</f>
        <v>0</v>
      </c>
      <c r="U12" s="255">
        <f ca="1">IF(ISERROR(OFFSET(Bronzo!$A$1,MATCH(J12,Bronzo!$A:$A,0)-1,MATCH(K12,Bronzo!$A$1:$AA$1,0)-1)=TRUE),0,OFFSET(Bronzo!$A$1,MATCH(J12,Bronzo!$A:$A,0)-1,MATCH(K12,Bronzo!$A$1:$AA$1,0)-1))</f>
        <v>0</v>
      </c>
      <c r="V12" s="255">
        <f t="shared" ref="V12" ca="1" si="22">SUM(R12:U12)</f>
        <v>0</v>
      </c>
      <c r="W12" s="254"/>
      <c r="X12" s="255">
        <v>0</v>
      </c>
      <c r="Y12" s="256">
        <f t="shared" ref="Y12" ca="1" si="23">+Q12+V12+W12+X12</f>
        <v>1.5</v>
      </c>
      <c r="Z12" s="257">
        <f t="shared" ref="Z12" si="24">+L12*F12</f>
        <v>20</v>
      </c>
      <c r="AA12" s="253">
        <v>3.73</v>
      </c>
      <c r="AB12" s="253">
        <f t="shared" ref="AB12" ca="1" si="25">+AA12-Y12-H12</f>
        <v>-2.9999999999999805E-2</v>
      </c>
      <c r="AC12" s="258"/>
      <c r="AF12" s="223" t="s">
        <v>442</v>
      </c>
      <c r="AG12" s="223" t="s">
        <v>419</v>
      </c>
      <c r="AH12" s="232">
        <f t="shared" ref="AH12" ca="1" si="26">TODAY()</f>
        <v>46120</v>
      </c>
      <c r="AI12" s="232" t="b">
        <f t="shared" si="6"/>
        <v>1</v>
      </c>
      <c r="AJ12" s="259" t="str">
        <f t="shared" si="0"/>
        <v/>
      </c>
      <c r="AM12" s="223">
        <f t="shared" si="7"/>
        <v>0</v>
      </c>
      <c r="AN12" s="223">
        <f t="shared" si="8"/>
        <v>1900</v>
      </c>
      <c r="AU12" s="223">
        <f t="shared" si="9"/>
        <v>0</v>
      </c>
      <c r="AV12" s="223">
        <f t="shared" si="10"/>
        <v>0</v>
      </c>
    </row>
    <row r="13" spans="1:48" ht="26.25" x14ac:dyDescent="0.4">
      <c r="D13" s="246" t="s">
        <v>443</v>
      </c>
      <c r="E13" s="247" t="s">
        <v>212</v>
      </c>
      <c r="F13" s="248">
        <v>500</v>
      </c>
      <c r="G13" s="249" t="s">
        <v>4</v>
      </c>
      <c r="H13" s="250">
        <v>2.2599999999999998</v>
      </c>
      <c r="I13" s="251">
        <v>45931</v>
      </c>
      <c r="J13" s="252" t="s">
        <v>309</v>
      </c>
      <c r="K13" s="252"/>
      <c r="L13" s="253">
        <v>0.04</v>
      </c>
      <c r="M13" s="254">
        <f ca="1">IF(ISERROR(OFFSET(Tabella!$A$1,MATCH(J13,Tabella!$A:$A,0)-1,MATCH(L13,Tabella!$A$1:$AC$1,0)-1)=TRUE),0,+OFFSET(Tabella!$A$1,MATCH(J13,Tabella!$A:$A,0)-1,MATCH(L13,Tabella!$A$1:$AC$1,0)-1))</f>
        <v>0</v>
      </c>
      <c r="N13" s="255">
        <f ca="1">IF(ISERROR(OFFSET(Ottone!$A$1,MATCH(J13,Ottone!$A:$A,0)-1,MATCH(L13,Ottone!$A$1:$Z$1,0)-1)=TRUE),0,OFFSET(Ottone!$A$1,MATCH(J13,Ottone!$A:$A,0)-1,MATCH(L13,Ottone!$A$1:$Z$1,0)-1))*IF(G13="Ottone",1,0)</f>
        <v>0</v>
      </c>
      <c r="O13" s="255">
        <f ca="1">IF(ISERROR(OFFSET(Rame!$A$1,MATCH(J13,Rame!$A:$A,0)-1,MATCH(L13,Rame!$A$1:$AA$1,0)-1)=TRUE),0,OFFSET(Rame!$A$1,MATCH(J13,Rame!$A:$A,0)-1,MATCH(L13,Rame!$A$1:$AA$1,0)-1))*IF(G13="Rame",1,0)</f>
        <v>0</v>
      </c>
      <c r="P13" s="255"/>
      <c r="Q13" s="255">
        <v>1.5</v>
      </c>
      <c r="R13" s="255">
        <f ca="1">+IF(ISERROR(OFFSET(Tabella!$G$1,MATCH(J13,Tabella!$G:$G,0)-1,MATCH(K13,Tabella!$G$1:$FG$1,0)-1)=TRUE),0,OFFSET(Tabella!$G$1,MATCH(J13,Tabella!$G:$G,0)-1,MATCH(K13,Tabella!$G$1:$AB$1,0)-1))</f>
        <v>0</v>
      </c>
      <c r="S13" s="255">
        <f ca="1">IF(ISERROR(OFFSET(Ottone!$F$1,MATCH(J13,Ottone!$A:$A,0)-1,MATCH(K13,Ottone!$F$1:$FF$1,0)-1)=TRUE),0,OFFSET(Ottone!$F$1,MATCH(J13,Ottone!$A:$A,0)-1,MATCH(K13,Ottone!$F$1:$FF$1,0)-1))*IF(G13="Ottone",1,0)</f>
        <v>0</v>
      </c>
      <c r="T13" s="255">
        <f ca="1">IF(ISERROR(OFFSET(Rame!$F$1,MATCH(J13,Rame!$F:$F,0)-1,MATCH(K13,Rame!$F$1:$FF$1,0)-1)=TRUE),0,OFFSET(Rame!$F$1,MATCH(J13,Rame!$F:$F,0)-1,MATCH(K13,Rame!$F$1:$FF$1,0)-1))*IF(G13="Rame",1,0)</f>
        <v>0</v>
      </c>
      <c r="U13" s="255">
        <f ca="1">IF(ISERROR(OFFSET(Bronzo!$A$1,MATCH(J13,Bronzo!$A:$A,0)-1,MATCH(K13,Bronzo!$A$1:$AA$1,0)-1)=TRUE),0,OFFSET(Bronzo!$A$1,MATCH(J13,Bronzo!$A:$A,0)-1,MATCH(K13,Bronzo!$A$1:$AA$1,0)-1))</f>
        <v>0</v>
      </c>
      <c r="V13" s="255">
        <f ca="1">SUM(R13:U13)</f>
        <v>0</v>
      </c>
      <c r="W13" s="254"/>
      <c r="X13" s="255"/>
      <c r="Y13" s="256">
        <f ca="1">+Q13+V13+W13+X13</f>
        <v>1.5</v>
      </c>
      <c r="Z13" s="257">
        <f>+L13*F13</f>
        <v>20</v>
      </c>
      <c r="AA13" s="253">
        <v>3.73</v>
      </c>
      <c r="AB13" s="253">
        <f ca="1">+AA13-Y13-H13</f>
        <v>-2.9999999999999805E-2</v>
      </c>
      <c r="AC13" s="258"/>
      <c r="AH13" s="232">
        <f ca="1">TODAY()</f>
        <v>46120</v>
      </c>
      <c r="AI13" s="232" t="b">
        <f>ISBLANK(AC13)</f>
        <v>1</v>
      </c>
      <c r="AJ13" s="259" t="str">
        <f t="shared" si="0"/>
        <v/>
      </c>
      <c r="AM13" s="223">
        <f>WEEKNUM(AC13)</f>
        <v>0</v>
      </c>
      <c r="AN13" s="223">
        <f>YEAR(AC13)</f>
        <v>1900</v>
      </c>
      <c r="AU13" s="223">
        <f>IF(AC13="",0,MONTH(AC13))</f>
        <v>0</v>
      </c>
      <c r="AV13" s="223">
        <f>IF(AC13="",0,YEAR(AC13))</f>
        <v>0</v>
      </c>
    </row>
    <row r="14" spans="1:48" s="260" customFormat="1" ht="26.25" x14ac:dyDescent="0.4">
      <c r="A14" s="223"/>
      <c r="C14" s="224"/>
      <c r="D14" s="261" t="s">
        <v>743</v>
      </c>
      <c r="E14" s="262" t="s">
        <v>330</v>
      </c>
      <c r="F14" s="263">
        <v>2056</v>
      </c>
      <c r="G14" s="264" t="s">
        <v>4</v>
      </c>
      <c r="H14" s="265">
        <v>2.69</v>
      </c>
      <c r="I14" s="266">
        <v>45978</v>
      </c>
      <c r="J14" s="267" t="s">
        <v>22</v>
      </c>
      <c r="K14" s="252"/>
      <c r="L14" s="268">
        <v>7.0000000000000007E-2</v>
      </c>
      <c r="M14" s="254">
        <f ca="1">IF(ISERROR(OFFSET(Tabella!$A$1,MATCH(J14,Tabella!$A:$A,0)-1,MATCH(L14,Tabella!$A$1:$AC$1,0)-1)=TRUE),0,+OFFSET(Tabella!$A$1,MATCH(J14,Tabella!$A:$A,0)-1,MATCH(L14,Tabella!$A$1:$AC$1,0)-1))</f>
        <v>1.25</v>
      </c>
      <c r="N14" s="255">
        <f ca="1">IF(ISERROR(OFFSET(Ottone!$A$1,MATCH(J14,Ottone!$A:$A,0)-1,MATCH(L14,Ottone!$A$1:$Z$1,0)-1)=TRUE),0,OFFSET(Ottone!$A$1,MATCH(J14,Ottone!$A:$A,0)-1,MATCH(L14,Ottone!$A$1:$Z$1,0)-1))*IF(G14="Ottone",1,0)</f>
        <v>0</v>
      </c>
      <c r="O14" s="255">
        <f ca="1">IF(ISERROR(OFFSET(Rame!$A$1,MATCH(J14,Rame!$A:$A,0)-1,MATCH(L14,Rame!$A$1:$AA$1,0)-1)=TRUE),0,OFFSET(Rame!$A$1,MATCH(J14,Rame!$A:$A,0)-1,MATCH(L14,Rame!$A$1:$AA$1,0)-1))*IF(G14="Rame",1,0)</f>
        <v>0</v>
      </c>
      <c r="P14" s="255">
        <v>0</v>
      </c>
      <c r="Q14" s="255">
        <f t="shared" ref="Q14:Q18" ca="1" si="27">SUM(M14:P14)</f>
        <v>1.25</v>
      </c>
      <c r="R14" s="255">
        <f ca="1">+IF(ISERROR(OFFSET(Tabella!$G$1,MATCH(J14,Tabella!$G:$G,0)-1,MATCH(K14,Tabella!$G$1:$FG$1,0)-1)=TRUE),0,OFFSET(Tabella!$G$1,MATCH(J14,Tabella!$G:$G,0)-1,MATCH(K14,Tabella!$G$1:$AB$1,0)-1))</f>
        <v>0</v>
      </c>
      <c r="S14" s="255">
        <f ca="1">IF(ISERROR(OFFSET(Ottone!$F$1,MATCH(J14,Ottone!$A:$A,0)-1,MATCH(K14,Ottone!$F$1:$FF$1,0)-1)=TRUE),0,OFFSET(Ottone!$F$1,MATCH(J14,Ottone!$A:$A,0)-1,MATCH(K14,Ottone!$F$1:$FF$1,0)-1))*IF(G14="Ottone",1,0)</f>
        <v>0</v>
      </c>
      <c r="T14" s="255">
        <f ca="1">IF(ISERROR(OFFSET(Rame!$F$1,MATCH(J14,Rame!$F:$F,0)-1,MATCH(K14,Rame!$F$1:$FF$1,0)-1)=TRUE),0,OFFSET(Rame!$F$1,MATCH(J14,Rame!$F:$F,0)-1,MATCH(K14,Rame!$F$1:$FF$1,0)-1))*IF(G14="Rame",1,0)</f>
        <v>0</v>
      </c>
      <c r="U14" s="255">
        <f ca="1">IF(ISERROR(OFFSET(Bronzo!$A$1,MATCH(J14,Bronzo!$A:$A,0)-1,MATCH(K14,Bronzo!$A$1:$AA$1,0)-1)=TRUE),0,OFFSET(Bronzo!$A$1,MATCH(J14,Bronzo!$A:$A,0)-1,MATCH(K14,Bronzo!$A$1:$AA$1,0)-1))</f>
        <v>0</v>
      </c>
      <c r="V14" s="255">
        <f t="shared" ref="V14:V19" ca="1" si="28">SUM(R14:U14)</f>
        <v>0</v>
      </c>
      <c r="W14" s="254"/>
      <c r="X14" s="255">
        <v>0</v>
      </c>
      <c r="Y14" s="256">
        <f t="shared" ref="Y14:Y19" ca="1" si="29">+Q14+V14+W14+X14</f>
        <v>1.25</v>
      </c>
      <c r="Z14" s="269">
        <f t="shared" ref="Z14:Z19" si="30">+L14*F14</f>
        <v>143.92000000000002</v>
      </c>
      <c r="AA14" s="270">
        <v>4.29</v>
      </c>
      <c r="AB14" s="253">
        <f t="shared" ref="AB14:AB19" ca="1" si="31">+AA14-Y14-H14</f>
        <v>0.35000000000000009</v>
      </c>
      <c r="AC14" s="258"/>
      <c r="AD14" s="223"/>
      <c r="AE14" s="223"/>
      <c r="AF14" s="260" t="s">
        <v>405</v>
      </c>
      <c r="AH14" s="271">
        <f t="shared" ref="AH14:AH15" ca="1" si="32">TODAY()</f>
        <v>46120</v>
      </c>
      <c r="AI14" s="271" t="b">
        <f t="shared" si="6"/>
        <v>1</v>
      </c>
      <c r="AJ14" s="272" t="str">
        <f t="shared" si="0"/>
        <v/>
      </c>
      <c r="AM14" s="260">
        <f t="shared" si="7"/>
        <v>0</v>
      </c>
      <c r="AN14" s="260">
        <f t="shared" si="8"/>
        <v>1900</v>
      </c>
      <c r="AU14" s="260">
        <f t="shared" si="9"/>
        <v>0</v>
      </c>
      <c r="AV14" s="260">
        <f t="shared" si="10"/>
        <v>0</v>
      </c>
    </row>
    <row r="15" spans="1:48" ht="26.25" x14ac:dyDescent="0.4">
      <c r="D15" s="246" t="s">
        <v>581</v>
      </c>
      <c r="E15" s="262" t="s">
        <v>397</v>
      </c>
      <c r="F15" s="263">
        <v>740</v>
      </c>
      <c r="G15" s="249" t="s">
        <v>4</v>
      </c>
      <c r="H15" s="250">
        <v>2.4</v>
      </c>
      <c r="I15" s="251">
        <v>45979</v>
      </c>
      <c r="J15" s="252" t="s">
        <v>308</v>
      </c>
      <c r="K15" s="252"/>
      <c r="L15" s="253">
        <v>7.0000000000000007E-2</v>
      </c>
      <c r="M15" s="254">
        <f ca="1">IF(ISERROR(OFFSET(Tabella!$A$1,MATCH(J15,Tabella!$A:$A,0)-1,MATCH(L15,Tabella!$A$1:$AC$1,0)-1)=TRUE),0,+OFFSET(Tabella!$A$1,MATCH(J15,Tabella!$A:$A,0)-1,MATCH(L15,Tabella!$A$1:$AC$1,0)-1))</f>
        <v>1.25</v>
      </c>
      <c r="N15" s="255">
        <f ca="1">IF(ISERROR(OFFSET(Ottone!$A$1,MATCH(J15,Ottone!$A:$A,0)-1,MATCH(L15,Ottone!$A$1:$Z$1,0)-1)=TRUE),0,OFFSET(Ottone!$A$1,MATCH(J15,Ottone!$A:$A,0)-1,MATCH(L15,Ottone!$A$1:$Z$1,0)-1))*IF(G15="Ottone",1,0)</f>
        <v>0</v>
      </c>
      <c r="O15" s="255">
        <f ca="1">IF(ISERROR(OFFSET(Rame!$A$1,MATCH(J15,Rame!$A:$A,0)-1,MATCH(L15,Rame!$A$1:$AA$1,0)-1)=TRUE),0,OFFSET(Rame!$A$1,MATCH(J15,Rame!$A:$A,0)-1,MATCH(L15,Rame!$A$1:$AA$1,0)-1))*IF(G15="Rame",1,0)</f>
        <v>0</v>
      </c>
      <c r="P15" s="255">
        <v>0</v>
      </c>
      <c r="Q15" s="255">
        <v>1.5</v>
      </c>
      <c r="R15" s="255">
        <f ca="1">+IF(ISERROR(OFFSET(Tabella!$G$1,MATCH(J15,Tabella!$G:$G,0)-1,MATCH(K15,Tabella!$G$1:$FG$1,0)-1)=TRUE),0,OFFSET(Tabella!$G$1,MATCH(J15,Tabella!$G:$G,0)-1,MATCH(K15,Tabella!$G$1:$AB$1,0)-1))</f>
        <v>0</v>
      </c>
      <c r="S15" s="255">
        <f ca="1">IF(ISERROR(OFFSET(Ottone!$F$1,MATCH(J15,Ottone!$A:$A,0)-1,MATCH(K15,Ottone!$F$1:$FF$1,0)-1)=TRUE),0,OFFSET(Ottone!$F$1,MATCH(J15,Ottone!$A:$A,0)-1,MATCH(K15,Ottone!$F$1:$FF$1,0)-1))*IF(G15="Ottone",1,0)</f>
        <v>0</v>
      </c>
      <c r="T15" s="255">
        <f ca="1">IF(ISERROR(OFFSET(Rame!$F$1,MATCH(J15,Rame!$F:$F,0)-1,MATCH(K15,Rame!$F$1:$FF$1,0)-1)=TRUE),0,OFFSET(Rame!$F$1,MATCH(J15,Rame!$F:$F,0)-1,MATCH(K15,Rame!$F$1:$FF$1,0)-1))*IF(G15="Rame",1,0)</f>
        <v>0</v>
      </c>
      <c r="U15" s="255">
        <f ca="1">IF(ISERROR(OFFSET(Bronzo!$A$1,MATCH(J15,Bronzo!$A:$A,0)-1,MATCH(K15,Bronzo!$A$1:$AA$1,0)-1)=TRUE),0,OFFSET(Bronzo!$A$1,MATCH(J15,Bronzo!$A:$A,0)-1,MATCH(K15,Bronzo!$A$1:$AA$1,0)-1))</f>
        <v>0</v>
      </c>
      <c r="V15" s="255">
        <f t="shared" ca="1" si="28"/>
        <v>0</v>
      </c>
      <c r="W15" s="254"/>
      <c r="X15" s="255">
        <v>0</v>
      </c>
      <c r="Y15" s="256">
        <f t="shared" ca="1" si="29"/>
        <v>1.5</v>
      </c>
      <c r="Z15" s="269">
        <f t="shared" si="30"/>
        <v>51.800000000000004</v>
      </c>
      <c r="AA15" s="253">
        <v>4.32</v>
      </c>
      <c r="AB15" s="253">
        <f t="shared" ca="1" si="31"/>
        <v>0.42000000000000037</v>
      </c>
      <c r="AC15" s="258"/>
      <c r="AF15" s="223" t="s">
        <v>405</v>
      </c>
      <c r="AH15" s="232">
        <f t="shared" ca="1" si="32"/>
        <v>46120</v>
      </c>
      <c r="AI15" s="232" t="b">
        <f t="shared" si="6"/>
        <v>1</v>
      </c>
      <c r="AJ15" s="259" t="str">
        <f t="shared" si="0"/>
        <v/>
      </c>
      <c r="AM15" s="223">
        <f t="shared" si="7"/>
        <v>0</v>
      </c>
      <c r="AN15" s="223">
        <f t="shared" si="8"/>
        <v>1900</v>
      </c>
      <c r="AU15" s="223">
        <f t="shared" si="9"/>
        <v>0</v>
      </c>
      <c r="AV15" s="223">
        <f t="shared" si="10"/>
        <v>0</v>
      </c>
    </row>
    <row r="16" spans="1:48" ht="26.25" x14ac:dyDescent="0.4">
      <c r="D16" s="246" t="s">
        <v>581</v>
      </c>
      <c r="E16" s="262" t="s">
        <v>397</v>
      </c>
      <c r="F16" s="263">
        <v>402</v>
      </c>
      <c r="G16" s="249" t="s">
        <v>4</v>
      </c>
      <c r="H16" s="250">
        <v>2.6</v>
      </c>
      <c r="I16" s="251">
        <v>46344</v>
      </c>
      <c r="J16" s="252" t="s">
        <v>25</v>
      </c>
      <c r="K16" s="252"/>
      <c r="L16" s="253">
        <v>7.0000000000000007E-2</v>
      </c>
      <c r="M16" s="254"/>
      <c r="N16" s="255"/>
      <c r="O16" s="255"/>
      <c r="P16" s="255"/>
      <c r="Q16" s="255">
        <v>1.5</v>
      </c>
      <c r="R16" s="255">
        <f ca="1">+IF(ISERROR(OFFSET(Tabella!$G$1,MATCH(J16,Tabella!$G:$G,0)-1,MATCH(K16,Tabella!$G$1:$FG$1,0)-1)=TRUE),0,OFFSET(Tabella!$G$1,MATCH(J16,Tabella!$G:$G,0)-1,MATCH(K16,Tabella!$G$1:$AB$1,0)-1))</f>
        <v>0</v>
      </c>
      <c r="S16" s="255">
        <f ca="1">IF(ISERROR(OFFSET(Ottone!$F$1,MATCH(J16,Ottone!$A:$A,0)-1,MATCH(K16,Ottone!$F$1:$FF$1,0)-1)=TRUE),0,OFFSET(Ottone!$F$1,MATCH(J16,Ottone!$A:$A,0)-1,MATCH(K16,Ottone!$F$1:$FF$1,0)-1))*IF(G16="Ottone",1,0)</f>
        <v>0</v>
      </c>
      <c r="T16" s="255">
        <f ca="1">IF(ISERROR(OFFSET(Rame!$F$1,MATCH(J16,Rame!$F:$F,0)-1,MATCH(K16,Rame!$F$1:$FF$1,0)-1)=TRUE),0,OFFSET(Rame!$F$1,MATCH(J16,Rame!$F:$F,0)-1,MATCH(K16,Rame!$F$1:$FF$1,0)-1))*IF(G16="Rame",1,0)</f>
        <v>0</v>
      </c>
      <c r="U16" s="255">
        <f ca="1">IF(ISERROR(OFFSET(Bronzo!$A$1,MATCH(J16,Bronzo!$A:$A,0)-1,MATCH(K16,Bronzo!$A$1:$AA$1,0)-1)=TRUE),0,OFFSET(Bronzo!$A$1,MATCH(J16,Bronzo!$A:$A,0)-1,MATCH(K16,Bronzo!$A$1:$AA$1,0)-1))</f>
        <v>0</v>
      </c>
      <c r="V16" s="255">
        <f t="shared" ref="V16" ca="1" si="33">SUM(R16:U16)</f>
        <v>0</v>
      </c>
      <c r="W16" s="254"/>
      <c r="X16" s="255">
        <v>0</v>
      </c>
      <c r="Y16" s="256">
        <f t="shared" ref="Y16" ca="1" si="34">+Q16+V16+W16+X16</f>
        <v>1.5</v>
      </c>
      <c r="Z16" s="269">
        <f t="shared" ref="Z16" si="35">+L16*F16</f>
        <v>28.140000000000004</v>
      </c>
      <c r="AA16" s="253">
        <v>4.32</v>
      </c>
      <c r="AB16" s="253"/>
      <c r="AC16" s="258"/>
      <c r="AF16" s="223" t="s">
        <v>405</v>
      </c>
      <c r="AI16" s="232" t="b">
        <f t="shared" si="6"/>
        <v>1</v>
      </c>
      <c r="AJ16" s="259"/>
      <c r="AM16" s="223">
        <f t="shared" si="7"/>
        <v>0</v>
      </c>
      <c r="AN16" s="223">
        <f t="shared" si="8"/>
        <v>1900</v>
      </c>
      <c r="AU16" s="223">
        <f t="shared" si="9"/>
        <v>0</v>
      </c>
      <c r="AV16" s="223">
        <f t="shared" si="10"/>
        <v>0</v>
      </c>
    </row>
    <row r="17" spans="1:48" s="260" customFormat="1" ht="26.25" x14ac:dyDescent="0.4">
      <c r="A17" s="223"/>
      <c r="C17" s="224"/>
      <c r="D17" s="261" t="s">
        <v>532</v>
      </c>
      <c r="E17" s="262" t="s">
        <v>330</v>
      </c>
      <c r="F17" s="263">
        <v>1226</v>
      </c>
      <c r="G17" s="264" t="s">
        <v>4</v>
      </c>
      <c r="H17" s="265">
        <v>2.69</v>
      </c>
      <c r="I17" s="266">
        <v>45979</v>
      </c>
      <c r="J17" s="267" t="s">
        <v>310</v>
      </c>
      <c r="K17" s="252"/>
      <c r="L17" s="268">
        <v>7.0000000000000007E-2</v>
      </c>
      <c r="M17" s="254">
        <f ca="1">IF(ISERROR(OFFSET(Tabella!$A$1,MATCH(J17,Tabella!$A:$A,0)-1,MATCH(L17,Tabella!$A$1:$AC$1,0)-1)=TRUE),0,+OFFSET(Tabella!$A$1,MATCH(J17,Tabella!$A:$A,0)-1,MATCH(L17,Tabella!$A$1:$AC$1,0)-1))</f>
        <v>1.25</v>
      </c>
      <c r="N17" s="255">
        <f ca="1">IF(ISERROR(OFFSET(Ottone!$A$1,MATCH(J17,Ottone!$A:$A,0)-1,MATCH(L17,Ottone!$A$1:$Z$1,0)-1)=TRUE),0,OFFSET(Ottone!$A$1,MATCH(J17,Ottone!$A:$A,0)-1,MATCH(L17,Ottone!$A$1:$Z$1,0)-1))*IF(G17="Ottone",1,0)</f>
        <v>0</v>
      </c>
      <c r="O17" s="255">
        <f ca="1">IF(ISERROR(OFFSET(Rame!$A$1,MATCH(J17,Rame!$A:$A,0)-1,MATCH(L17,Rame!$A$1:$AA$1,0)-1)=TRUE),0,OFFSET(Rame!$A$1,MATCH(J17,Rame!$A:$A,0)-1,MATCH(L17,Rame!$A$1:$AA$1,0)-1))*IF(G17="Rame",1,0)</f>
        <v>0</v>
      </c>
      <c r="P17" s="255">
        <v>0</v>
      </c>
      <c r="Q17" s="255">
        <f t="shared" ca="1" si="27"/>
        <v>1.25</v>
      </c>
      <c r="R17" s="255">
        <f ca="1">+IF(ISERROR(OFFSET(Tabella!$G$1,MATCH(J17,Tabella!$G:$G,0)-1,MATCH(K17,Tabella!$G$1:$FG$1,0)-1)=TRUE),0,OFFSET(Tabella!$G$1,MATCH(J17,Tabella!$G:$G,0)-1,MATCH(K17,Tabella!$G$1:$AB$1,0)-1))</f>
        <v>0</v>
      </c>
      <c r="S17" s="255">
        <f ca="1">IF(ISERROR(OFFSET(Ottone!$F$1,MATCH(J17,Ottone!$A:$A,0)-1,MATCH(K17,Ottone!$F$1:$FF$1,0)-1)=TRUE),0,OFFSET(Ottone!$F$1,MATCH(J17,Ottone!$A:$A,0)-1,MATCH(K17,Ottone!$F$1:$FF$1,0)-1))*IF(G17="Ottone",1,0)</f>
        <v>0</v>
      </c>
      <c r="T17" s="255">
        <f ca="1">IF(ISERROR(OFFSET(Rame!$F$1,MATCH(J17,Rame!$F:$F,0)-1,MATCH(K17,Rame!$F$1:$FF$1,0)-1)=TRUE),0,OFFSET(Rame!$F$1,MATCH(J17,Rame!$F:$F,0)-1,MATCH(K17,Rame!$F$1:$FF$1,0)-1))*IF(G17="Rame",1,0)</f>
        <v>0</v>
      </c>
      <c r="U17" s="255">
        <f ca="1">IF(ISERROR(OFFSET(Bronzo!$A$1,MATCH(J17,Bronzo!$A:$A,0)-1,MATCH(K17,Bronzo!$A$1:$AA$1,0)-1)=TRUE),0,OFFSET(Bronzo!$A$1,MATCH(J17,Bronzo!$A:$A,0)-1,MATCH(K17,Bronzo!$A$1:$AA$1,0)-1))</f>
        <v>0</v>
      </c>
      <c r="V17" s="255">
        <f t="shared" ca="1" si="28"/>
        <v>0</v>
      </c>
      <c r="W17" s="254"/>
      <c r="X17" s="255">
        <v>0</v>
      </c>
      <c r="Y17" s="256">
        <f t="shared" ca="1" si="29"/>
        <v>1.25</v>
      </c>
      <c r="Z17" s="269">
        <f t="shared" si="30"/>
        <v>85.820000000000007</v>
      </c>
      <c r="AA17" s="273">
        <v>4.29</v>
      </c>
      <c r="AB17" s="253">
        <f t="shared" ca="1" si="31"/>
        <v>0.35000000000000009</v>
      </c>
      <c r="AC17" s="258"/>
      <c r="AD17" s="223"/>
      <c r="AE17" s="223"/>
      <c r="AF17" s="260" t="s">
        <v>405</v>
      </c>
      <c r="AH17" s="271">
        <f t="shared" ref="AH17:AH19" ca="1" si="36">TODAY()</f>
        <v>46120</v>
      </c>
      <c r="AI17" s="271" t="b">
        <f t="shared" si="6"/>
        <v>1</v>
      </c>
      <c r="AJ17" s="272" t="str">
        <f t="shared" ref="AJ17:AJ48" si="37">IF(AI17=FALSE,_xlfn.DAYS(AC17,AH17),"")</f>
        <v/>
      </c>
      <c r="AM17" s="260">
        <f t="shared" si="7"/>
        <v>0</v>
      </c>
      <c r="AN17" s="260">
        <f t="shared" si="8"/>
        <v>1900</v>
      </c>
      <c r="AU17" s="260">
        <f t="shared" si="9"/>
        <v>0</v>
      </c>
      <c r="AV17" s="260">
        <f t="shared" si="10"/>
        <v>0</v>
      </c>
    </row>
    <row r="18" spans="1:48" s="260" customFormat="1" ht="26.25" x14ac:dyDescent="0.4">
      <c r="A18" s="223"/>
      <c r="C18" s="224"/>
      <c r="D18" s="261" t="s">
        <v>744</v>
      </c>
      <c r="E18" s="262" t="s">
        <v>330</v>
      </c>
      <c r="F18" s="263">
        <v>1477</v>
      </c>
      <c r="G18" s="264" t="s">
        <v>4</v>
      </c>
      <c r="H18" s="274">
        <v>2.61</v>
      </c>
      <c r="I18" s="266">
        <v>45979</v>
      </c>
      <c r="J18" s="267" t="s">
        <v>310</v>
      </c>
      <c r="K18" s="252"/>
      <c r="L18" s="268">
        <v>7.0000000000000007E-2</v>
      </c>
      <c r="M18" s="254">
        <f ca="1">IF(ISERROR(OFFSET(Tabella!$A$1,MATCH(J18,Tabella!$A:$A,0)-1,MATCH(L18,Tabella!$A$1:$AC$1,0)-1)=TRUE),0,+OFFSET(Tabella!$A$1,MATCH(J18,Tabella!$A:$A,0)-1,MATCH(L18,Tabella!$A$1:$AC$1,0)-1))</f>
        <v>1.25</v>
      </c>
      <c r="N18" s="255">
        <f ca="1">IF(ISERROR(OFFSET(Ottone!$A$1,MATCH(J18,Ottone!$A:$A,0)-1,MATCH(L18,Ottone!$A$1:$Z$1,0)-1)=TRUE),0,OFFSET(Ottone!$A$1,MATCH(J18,Ottone!$A:$A,0)-1,MATCH(L18,Ottone!$A$1:$Z$1,0)-1))*IF(G18="Ottone",1,0)</f>
        <v>0</v>
      </c>
      <c r="O18" s="255">
        <f ca="1">IF(ISERROR(OFFSET(Rame!$A$1,MATCH(J18,Rame!$A:$A,0)-1,MATCH(L18,Rame!$A$1:$AA$1,0)-1)=TRUE),0,OFFSET(Rame!$A$1,MATCH(J18,Rame!$A:$A,0)-1,MATCH(L18,Rame!$A$1:$AA$1,0)-1))*IF(G18="Rame",1,0)</f>
        <v>0</v>
      </c>
      <c r="P18" s="255">
        <v>0</v>
      </c>
      <c r="Q18" s="255">
        <f t="shared" ca="1" si="27"/>
        <v>1.25</v>
      </c>
      <c r="R18" s="255">
        <f ca="1">+IF(ISERROR(OFFSET(Tabella!$G$1,MATCH(J18,Tabella!$G:$G,0)-1,MATCH(K18,Tabella!$G$1:$FG$1,0)-1)=TRUE),0,OFFSET(Tabella!$G$1,MATCH(J18,Tabella!$G:$G,0)-1,MATCH(K18,Tabella!$G$1:$AB$1,0)-1))</f>
        <v>0</v>
      </c>
      <c r="S18" s="255">
        <f ca="1">IF(ISERROR(OFFSET(Ottone!$F$1,MATCH(J18,Ottone!$A:$A,0)-1,MATCH(K18,Ottone!$F$1:$FF$1,0)-1)=TRUE),0,OFFSET(Ottone!$F$1,MATCH(J18,Ottone!$A:$A,0)-1,MATCH(K18,Ottone!$F$1:$FF$1,0)-1))*IF(G18="Ottone",1,0)</f>
        <v>0</v>
      </c>
      <c r="T18" s="255">
        <f ca="1">IF(ISERROR(OFFSET(Rame!$F$1,MATCH(J18,Rame!$F:$F,0)-1,MATCH(K18,Rame!$F$1:$FF$1,0)-1)=TRUE),0,OFFSET(Rame!$F$1,MATCH(J18,Rame!$F:$F,0)-1,MATCH(K18,Rame!$F$1:$FF$1,0)-1))*IF(G18="Rame",1,0)</f>
        <v>0</v>
      </c>
      <c r="U18" s="255">
        <f ca="1">IF(ISERROR(OFFSET(Bronzo!$A$1,MATCH(J18,Bronzo!$A:$A,0)-1,MATCH(K18,Bronzo!$A$1:$AA$1,0)-1)=TRUE),0,OFFSET(Bronzo!$A$1,MATCH(J18,Bronzo!$A:$A,0)-1,MATCH(K18,Bronzo!$A$1:$AA$1,0)-1))</f>
        <v>0</v>
      </c>
      <c r="V18" s="255">
        <f t="shared" ca="1" si="28"/>
        <v>0</v>
      </c>
      <c r="W18" s="254"/>
      <c r="X18" s="255">
        <v>0</v>
      </c>
      <c r="Y18" s="256">
        <f t="shared" ca="1" si="29"/>
        <v>1.25</v>
      </c>
      <c r="Z18" s="269">
        <f t="shared" si="30"/>
        <v>103.39000000000001</v>
      </c>
      <c r="AA18" s="273">
        <v>4.21</v>
      </c>
      <c r="AB18" s="253">
        <f t="shared" ca="1" si="31"/>
        <v>0.35000000000000009</v>
      </c>
      <c r="AC18" s="258"/>
      <c r="AD18" s="223"/>
      <c r="AE18" s="223"/>
      <c r="AF18" s="260" t="s">
        <v>405</v>
      </c>
      <c r="AH18" s="271">
        <f t="shared" ca="1" si="36"/>
        <v>46120</v>
      </c>
      <c r="AI18" s="271" t="b">
        <f t="shared" si="6"/>
        <v>1</v>
      </c>
      <c r="AJ18" s="272" t="str">
        <f t="shared" si="37"/>
        <v/>
      </c>
      <c r="AM18" s="260">
        <f t="shared" si="7"/>
        <v>0</v>
      </c>
      <c r="AN18" s="260">
        <f t="shared" si="8"/>
        <v>1900</v>
      </c>
      <c r="AU18" s="260">
        <f t="shared" si="9"/>
        <v>0</v>
      </c>
      <c r="AV18" s="260">
        <f t="shared" si="10"/>
        <v>0</v>
      </c>
    </row>
    <row r="19" spans="1:48" ht="26.25" x14ac:dyDescent="0.4">
      <c r="D19" s="246" t="s">
        <v>542</v>
      </c>
      <c r="E19" s="262" t="s">
        <v>441</v>
      </c>
      <c r="F19" s="263">
        <v>510</v>
      </c>
      <c r="G19" s="249" t="s">
        <v>4</v>
      </c>
      <c r="H19" s="250">
        <v>2.44</v>
      </c>
      <c r="I19" s="251">
        <v>45985</v>
      </c>
      <c r="J19" s="252" t="s">
        <v>28</v>
      </c>
      <c r="K19" s="252"/>
      <c r="L19" s="253">
        <v>0.13</v>
      </c>
      <c r="M19" s="254">
        <f ca="1">IF(ISERROR(OFFSET(Tabella!$A$1,MATCH(J19,Tabella!$A:$A,0)-1,MATCH(L19,Tabella!$A$1:$AC$1,0)-1)=TRUE),0,+OFFSET(Tabella!$A$1,MATCH(J19,Tabella!$A:$A,0)-1,MATCH(L19,Tabella!$A$1:$AC$1,0)-1))</f>
        <v>0</v>
      </c>
      <c r="N19" s="255">
        <f ca="1">IF(ISERROR(OFFSET(Ottone!$A$1,MATCH(J19,Ottone!$A:$A,0)-1,MATCH(L19,Ottone!$A$1:$Z$1,0)-1)=TRUE),0,OFFSET(Ottone!$A$1,MATCH(J19,Ottone!$A:$A,0)-1,MATCH(L19,Ottone!$A$1:$Z$1,0)-1))*IF(G19="Ottone",1,0)</f>
        <v>0</v>
      </c>
      <c r="O19" s="255">
        <f ca="1">IF(ISERROR(OFFSET(Rame!$A$1,MATCH(J19,Rame!$A:$A,0)-1,MATCH(L19,Rame!$A$1:$AA$1,0)-1)=TRUE),0,OFFSET(Rame!$A$1,MATCH(J19,Rame!$A:$A,0)-1,MATCH(L19,Rame!$A$1:$AA$1,0)-1))*IF(G19="Rame",1,0)</f>
        <v>0</v>
      </c>
      <c r="P19" s="255">
        <v>0</v>
      </c>
      <c r="Q19" s="255">
        <v>1.79</v>
      </c>
      <c r="R19" s="255">
        <f ca="1">+IF(ISERROR(OFFSET(Tabella!$G$1,MATCH(J19,Tabella!$G:$G,0)-1,MATCH(K19,Tabella!$G$1:$FG$1,0)-1)=TRUE),0,OFFSET(Tabella!$G$1,MATCH(J19,Tabella!$G:$G,0)-1,MATCH(K19,Tabella!$G$1:$AB$1,0)-1))</f>
        <v>0</v>
      </c>
      <c r="S19" s="255">
        <f ca="1">IF(ISERROR(OFFSET(Ottone!$F$1,MATCH(J19,Ottone!$A:$A,0)-1,MATCH(K19,Ottone!$F$1:$FF$1,0)-1)=TRUE),0,OFFSET(Ottone!$F$1,MATCH(J19,Ottone!$A:$A,0)-1,MATCH(K19,Ottone!$F$1:$FF$1,0)-1))*IF(G19="Ottone",1,0)</f>
        <v>0</v>
      </c>
      <c r="T19" s="255">
        <f ca="1">IF(ISERROR(OFFSET(Rame!$F$1,MATCH(J19,Rame!$F:$F,0)-1,MATCH(K19,Rame!$F$1:$FF$1,0)-1)=TRUE),0,OFFSET(Rame!$F$1,MATCH(J19,Rame!$F:$F,0)-1,MATCH(K19,Rame!$F$1:$FF$1,0)-1))*IF(G19="Rame",1,0)</f>
        <v>0</v>
      </c>
      <c r="U19" s="255">
        <f ca="1">IF(ISERROR(OFFSET(Bronzo!$A$1,MATCH(J19,Bronzo!$A:$A,0)-1,MATCH(K19,Bronzo!$A$1:$AA$1,0)-1)=TRUE),0,OFFSET(Bronzo!$A$1,MATCH(J19,Bronzo!$A:$A,0)-1,MATCH(K19,Bronzo!$A$1:$AA$1,0)-1))</f>
        <v>0</v>
      </c>
      <c r="V19" s="255">
        <f t="shared" ca="1" si="28"/>
        <v>0</v>
      </c>
      <c r="W19" s="254"/>
      <c r="X19" s="255">
        <v>0</v>
      </c>
      <c r="Y19" s="256">
        <f t="shared" ca="1" si="29"/>
        <v>1.79</v>
      </c>
      <c r="Z19" s="269">
        <f t="shared" si="30"/>
        <v>66.3</v>
      </c>
      <c r="AA19" s="253">
        <v>4.45</v>
      </c>
      <c r="AB19" s="253">
        <f t="shared" ca="1" si="31"/>
        <v>0.2200000000000002</v>
      </c>
      <c r="AC19" s="258"/>
      <c r="AF19" s="223" t="s">
        <v>405</v>
      </c>
      <c r="AH19" s="232">
        <f t="shared" ca="1" si="36"/>
        <v>46120</v>
      </c>
      <c r="AI19" s="232" t="b">
        <f t="shared" si="6"/>
        <v>1</v>
      </c>
      <c r="AJ19" s="259" t="str">
        <f t="shared" si="37"/>
        <v/>
      </c>
      <c r="AM19" s="223">
        <f t="shared" si="7"/>
        <v>0</v>
      </c>
      <c r="AN19" s="223">
        <f t="shared" si="8"/>
        <v>1900</v>
      </c>
      <c r="AU19" s="223">
        <f t="shared" si="9"/>
        <v>0</v>
      </c>
      <c r="AV19" s="223">
        <f t="shared" si="10"/>
        <v>0</v>
      </c>
    </row>
    <row r="20" spans="1:48" s="260" customFormat="1" ht="26.25" x14ac:dyDescent="0.4">
      <c r="A20" s="223"/>
      <c r="C20" s="224"/>
      <c r="D20" s="261" t="s">
        <v>533</v>
      </c>
      <c r="E20" s="262" t="s">
        <v>330</v>
      </c>
      <c r="F20" s="263">
        <v>5052</v>
      </c>
      <c r="G20" s="264" t="s">
        <v>4</v>
      </c>
      <c r="H20" s="274">
        <v>2.61</v>
      </c>
      <c r="I20" s="266">
        <v>46367</v>
      </c>
      <c r="J20" s="267" t="s">
        <v>24</v>
      </c>
      <c r="K20" s="252"/>
      <c r="L20" s="268">
        <v>7.0000000000000007E-2</v>
      </c>
      <c r="M20" s="254">
        <f ca="1">IF(ISERROR(OFFSET(Tabella!$A$1,MATCH(J20,Tabella!$A:$A,0)-1,MATCH(L20,Tabella!$A$1:$AC$1,0)-1)=TRUE),0,+OFFSET(Tabella!$A$1,MATCH(J20,Tabella!$A:$A,0)-1,MATCH(L20,Tabella!$A$1:$AC$1,0)-1))</f>
        <v>1.25</v>
      </c>
      <c r="N20" s="255">
        <f ca="1">IF(ISERROR(OFFSET(Ottone!$A$1,MATCH(J20,Ottone!$A:$A,0)-1,MATCH(L20,Ottone!$A$1:$Z$1,0)-1)=TRUE),0,OFFSET(Ottone!$A$1,MATCH(J20,Ottone!$A:$A,0)-1,MATCH(L20,Ottone!$A$1:$Z$1,0)-1))*IF(G20="Ottone",1,0)</f>
        <v>0</v>
      </c>
      <c r="O20" s="255">
        <f ca="1">IF(ISERROR(OFFSET(Rame!$A$1,MATCH(J20,Rame!$A:$A,0)-1,MATCH(L20,Rame!$A$1:$AA$1,0)-1)=TRUE),0,OFFSET(Rame!$A$1,MATCH(J20,Rame!$A:$A,0)-1,MATCH(L20,Rame!$A$1:$AA$1,0)-1))*IF(G20="Rame",1,0)</f>
        <v>0</v>
      </c>
      <c r="P20" s="255">
        <v>0</v>
      </c>
      <c r="Q20" s="255">
        <f t="shared" ref="Q20:Q25" ca="1" si="38">SUM(M20:P20)</f>
        <v>1.25</v>
      </c>
      <c r="R20" s="255">
        <f ca="1">+IF(ISERROR(OFFSET(Tabella!$G$1,MATCH(J20,Tabella!$G:$G,0)-1,MATCH(K20,Tabella!$G$1:$FG$1,0)-1)=TRUE),0,OFFSET(Tabella!$G$1,MATCH(J20,Tabella!$G:$G,0)-1,MATCH(K20,Tabella!$G$1:$AB$1,0)-1))</f>
        <v>0</v>
      </c>
      <c r="S20" s="255">
        <f ca="1">IF(ISERROR(OFFSET(Ottone!$F$1,MATCH(J20,Ottone!$A:$A,0)-1,MATCH(K20,Ottone!$F$1:$FF$1,0)-1)=TRUE),0,OFFSET(Ottone!$F$1,MATCH(J20,Ottone!$A:$A,0)-1,MATCH(K20,Ottone!$F$1:$FF$1,0)-1))*IF(G20="Ottone",1,0)</f>
        <v>0</v>
      </c>
      <c r="T20" s="255">
        <f ca="1">IF(ISERROR(OFFSET(Rame!$F$1,MATCH(J20,Rame!$F:$F,0)-1,MATCH(K20,Rame!$F$1:$FF$1,0)-1)=TRUE),0,OFFSET(Rame!$F$1,MATCH(J20,Rame!$F:$F,0)-1,MATCH(K20,Rame!$F$1:$FF$1,0)-1))*IF(G20="Rame",1,0)</f>
        <v>0</v>
      </c>
      <c r="U20" s="255">
        <f ca="1">IF(ISERROR(OFFSET(Bronzo!$A$1,MATCH(J20,Bronzo!$A:$A,0)-1,MATCH(K20,Bronzo!$A$1:$AA$1,0)-1)=TRUE),0,OFFSET(Bronzo!$A$1,MATCH(J20,Bronzo!$A:$A,0)-1,MATCH(K20,Bronzo!$A$1:$AA$1,0)-1))</f>
        <v>0</v>
      </c>
      <c r="V20" s="255">
        <f t="shared" ref="V20:V25" ca="1" si="39">SUM(R20:U20)</f>
        <v>0</v>
      </c>
      <c r="W20" s="254"/>
      <c r="X20" s="255">
        <v>0</v>
      </c>
      <c r="Y20" s="256">
        <f t="shared" ref="Y20:Y25" ca="1" si="40">+Q20+V20+W20+X20</f>
        <v>1.25</v>
      </c>
      <c r="Z20" s="269">
        <f t="shared" ref="Z20:Z25" si="41">+L20*F20</f>
        <v>353.64000000000004</v>
      </c>
      <c r="AA20" s="273">
        <v>4.21</v>
      </c>
      <c r="AB20" s="253">
        <f t="shared" ref="AB20:AB25" ca="1" si="42">+AA20-Y20-H20</f>
        <v>0.35000000000000009</v>
      </c>
      <c r="AC20" s="258"/>
      <c r="AD20" s="223"/>
      <c r="AE20" s="223"/>
      <c r="AF20" s="260" t="s">
        <v>405</v>
      </c>
      <c r="AH20" s="271">
        <f t="shared" ref="AH20:AH22" ca="1" si="43">TODAY()</f>
        <v>46120</v>
      </c>
      <c r="AI20" s="271" t="b">
        <f t="shared" si="6"/>
        <v>1</v>
      </c>
      <c r="AJ20" s="272" t="str">
        <f t="shared" si="37"/>
        <v/>
      </c>
      <c r="AM20" s="260">
        <f t="shared" si="7"/>
        <v>0</v>
      </c>
      <c r="AN20" s="260">
        <f t="shared" si="8"/>
        <v>1900</v>
      </c>
      <c r="AU20" s="260">
        <f t="shared" si="9"/>
        <v>0</v>
      </c>
      <c r="AV20" s="260">
        <f t="shared" si="10"/>
        <v>0</v>
      </c>
    </row>
    <row r="21" spans="1:48" ht="26.25" x14ac:dyDescent="0.4">
      <c r="D21" s="246" t="s">
        <v>561</v>
      </c>
      <c r="E21" s="262" t="s">
        <v>441</v>
      </c>
      <c r="F21" s="263">
        <v>694</v>
      </c>
      <c r="G21" s="249" t="s">
        <v>4</v>
      </c>
      <c r="H21" s="250">
        <v>2.4500000000000002</v>
      </c>
      <c r="I21" s="251">
        <v>46006</v>
      </c>
      <c r="J21" s="252" t="s">
        <v>28</v>
      </c>
      <c r="K21" s="252"/>
      <c r="L21" s="253">
        <v>0.13</v>
      </c>
      <c r="M21" s="254">
        <f ca="1">IF(ISERROR(OFFSET(Tabella!$A$1,MATCH(J21,Tabella!$A:$A,0)-1,MATCH(L21,Tabella!$A$1:$AC$1,0)-1)=TRUE),0,+OFFSET(Tabella!$A$1,MATCH(J21,Tabella!$A:$A,0)-1,MATCH(L21,Tabella!$A$1:$AC$1,0)-1))</f>
        <v>0</v>
      </c>
      <c r="N21" s="255">
        <f ca="1">IF(ISERROR(OFFSET(Ottone!$A$1,MATCH(J21,Ottone!$A:$A,0)-1,MATCH(L21,Ottone!$A$1:$Z$1,0)-1)=TRUE),0,OFFSET(Ottone!$A$1,MATCH(J21,Ottone!$A:$A,0)-1,MATCH(L21,Ottone!$A$1:$Z$1,0)-1))*IF(G21="Ottone",1,0)</f>
        <v>0</v>
      </c>
      <c r="O21" s="255">
        <f ca="1">IF(ISERROR(OFFSET(Rame!$A$1,MATCH(J21,Rame!$A:$A,0)-1,MATCH(L21,Rame!$A$1:$AA$1,0)-1)=TRUE),0,OFFSET(Rame!$A$1,MATCH(J21,Rame!$A:$A,0)-1,MATCH(L21,Rame!$A$1:$AA$1,0)-1))*IF(G21="Rame",1,0)</f>
        <v>0</v>
      </c>
      <c r="P21" s="255">
        <v>0</v>
      </c>
      <c r="Q21" s="255">
        <v>1.79</v>
      </c>
      <c r="R21" s="255">
        <f ca="1">+IF(ISERROR(OFFSET(Tabella!$G$1,MATCH(J21,Tabella!$G:$G,0)-1,MATCH(K21,Tabella!$G$1:$FG$1,0)-1)=TRUE),0,OFFSET(Tabella!$G$1,MATCH(J21,Tabella!$G:$G,0)-1,MATCH(K21,Tabella!$G$1:$AB$1,0)-1))</f>
        <v>0</v>
      </c>
      <c r="S21" s="255">
        <f ca="1">IF(ISERROR(OFFSET(Ottone!$F$1,MATCH(J21,Ottone!$A:$A,0)-1,MATCH(K21,Ottone!$F$1:$FF$1,0)-1)=TRUE),0,OFFSET(Ottone!$F$1,MATCH(J21,Ottone!$A:$A,0)-1,MATCH(K21,Ottone!$F$1:$FF$1,0)-1))*IF(G21="Ottone",1,0)</f>
        <v>0</v>
      </c>
      <c r="T21" s="255">
        <f ca="1">IF(ISERROR(OFFSET(Rame!$F$1,MATCH(J21,Rame!$F:$F,0)-1,MATCH(K21,Rame!$F$1:$FF$1,0)-1)=TRUE),0,OFFSET(Rame!$F$1,MATCH(J21,Rame!$F:$F,0)-1,MATCH(K21,Rame!$F$1:$FF$1,0)-1))*IF(G21="Rame",1,0)</f>
        <v>0</v>
      </c>
      <c r="U21" s="255">
        <f ca="1">IF(ISERROR(OFFSET(Bronzo!$A$1,MATCH(J21,Bronzo!$A:$A,0)-1,MATCH(K21,Bronzo!$A$1:$AA$1,0)-1)=TRUE),0,OFFSET(Bronzo!$A$1,MATCH(J21,Bronzo!$A:$A,0)-1,MATCH(K21,Bronzo!$A$1:$AA$1,0)-1))</f>
        <v>0</v>
      </c>
      <c r="V21" s="255">
        <f t="shared" ca="1" si="39"/>
        <v>0</v>
      </c>
      <c r="W21" s="254"/>
      <c r="X21" s="255">
        <v>0</v>
      </c>
      <c r="Y21" s="256">
        <f t="shared" ca="1" si="40"/>
        <v>1.79</v>
      </c>
      <c r="Z21" s="269">
        <f t="shared" si="41"/>
        <v>90.22</v>
      </c>
      <c r="AA21" s="253">
        <v>4.45</v>
      </c>
      <c r="AB21" s="253">
        <f t="shared" ca="1" si="42"/>
        <v>0.20999999999999996</v>
      </c>
      <c r="AC21" s="258"/>
      <c r="AF21" s="223" t="s">
        <v>405</v>
      </c>
      <c r="AH21" s="232">
        <f t="shared" ca="1" si="43"/>
        <v>46120</v>
      </c>
      <c r="AI21" s="232" t="b">
        <f t="shared" si="6"/>
        <v>1</v>
      </c>
      <c r="AJ21" s="259" t="str">
        <f t="shared" si="37"/>
        <v/>
      </c>
      <c r="AM21" s="223">
        <f t="shared" si="7"/>
        <v>0</v>
      </c>
      <c r="AN21" s="223">
        <f t="shared" si="8"/>
        <v>1900</v>
      </c>
      <c r="AU21" s="223">
        <f t="shared" si="9"/>
        <v>0</v>
      </c>
      <c r="AV21" s="223">
        <f t="shared" si="10"/>
        <v>0</v>
      </c>
    </row>
    <row r="22" spans="1:48" ht="26.25" x14ac:dyDescent="0.4">
      <c r="D22" s="246" t="s">
        <v>728</v>
      </c>
      <c r="E22" s="262" t="s">
        <v>440</v>
      </c>
      <c r="F22" s="263">
        <v>2660</v>
      </c>
      <c r="G22" s="249" t="s">
        <v>6</v>
      </c>
      <c r="H22" s="250">
        <v>10.07</v>
      </c>
      <c r="I22" s="251">
        <v>46006</v>
      </c>
      <c r="J22" s="252" t="s">
        <v>20</v>
      </c>
      <c r="K22" s="252"/>
      <c r="L22" s="253">
        <v>0.15</v>
      </c>
      <c r="M22" s="254">
        <f ca="1">IF(ISERROR(OFFSET(Tabella!$A$1,MATCH(J22,Tabella!$A:$A,0)-1,MATCH(L22,Tabella!$A$1:$AC$1,0)-1)=TRUE),0,+OFFSET(Tabella!$A$1,MATCH(J22,Tabella!$A:$A,0)-1,MATCH(L22,Tabella!$A$1:$AC$1,0)-1))</f>
        <v>0</v>
      </c>
      <c r="N22" s="255">
        <f ca="1">IF(ISERROR(OFFSET(Ottone!$A$1,MATCH(J22,Ottone!$A:$A,0)-1,MATCH(L22,Ottone!$A$1:$Z$1,0)-1)=TRUE),0,OFFSET(Ottone!$A$1,MATCH(J22,Ottone!$A:$A,0)-1,MATCH(L22,Ottone!$A$1:$Z$1,0)-1))*IF(G22="Ottone",1,0)</f>
        <v>0</v>
      </c>
      <c r="O22" s="255">
        <f ca="1">IF(ISERROR(OFFSET(Rame!$A$1,MATCH(J22,Rame!$A:$A,0)-1,MATCH(L22,Rame!$A$1:$AA$1,0)-1)=TRUE),0,OFFSET(Rame!$A$1,MATCH(J22,Rame!$A:$A,0)-1,MATCH(L22,Rame!$A$1:$AA$1,0)-1))*IF(G22="Rame",1,0)</f>
        <v>1</v>
      </c>
      <c r="P22" s="255">
        <v>0</v>
      </c>
      <c r="Q22" s="255">
        <f t="shared" ca="1" si="38"/>
        <v>1</v>
      </c>
      <c r="R22" s="255">
        <f ca="1">+IF(ISERROR(OFFSET(Tabella!$G$1,MATCH(J22,Tabella!$G:$G,0)-1,MATCH(K22,Tabella!$G$1:$FG$1,0)-1)=TRUE),0,OFFSET(Tabella!$G$1,MATCH(J22,Tabella!$G:$G,0)-1,MATCH(K22,Tabella!$G$1:$AB$1,0)-1))</f>
        <v>0</v>
      </c>
      <c r="S22" s="255">
        <f ca="1">IF(ISERROR(OFFSET(Ottone!$F$1,MATCH(J22,Ottone!$A:$A,0)-1,MATCH(K22,Ottone!$F$1:$FF$1,0)-1)=TRUE),0,OFFSET(Ottone!$F$1,MATCH(J22,Ottone!$A:$A,0)-1,MATCH(K22,Ottone!$F$1:$FF$1,0)-1))*IF(G22="Ottone",1,0)</f>
        <v>0</v>
      </c>
      <c r="T22" s="255">
        <f ca="1">IF(ISERROR(OFFSET(Rame!$F$1,MATCH(J22,Rame!$F:$F,0)-1,MATCH(K22,Rame!$F$1:$FF$1,0)-1)=TRUE),0,OFFSET(Rame!$F$1,MATCH(J22,Rame!$F:$F,0)-1,MATCH(K22,Rame!$F$1:$FF$1,0)-1))*IF(G22="Rame",1,0)</f>
        <v>0</v>
      </c>
      <c r="U22" s="255">
        <f ca="1">IF(ISERROR(OFFSET(Bronzo!$A$1,MATCH(J22,Bronzo!$A:$A,0)-1,MATCH(K22,Bronzo!$A$1:$AA$1,0)-1)=TRUE),0,OFFSET(Bronzo!$A$1,MATCH(J22,Bronzo!$A:$A,0)-1,MATCH(K22,Bronzo!$A$1:$AA$1,0)-1))</f>
        <v>0</v>
      </c>
      <c r="V22" s="255">
        <f t="shared" ca="1" si="39"/>
        <v>0</v>
      </c>
      <c r="W22" s="254"/>
      <c r="X22" s="255">
        <v>0</v>
      </c>
      <c r="Y22" s="256">
        <f t="shared" ca="1" si="40"/>
        <v>1</v>
      </c>
      <c r="Z22" s="269">
        <f t="shared" si="41"/>
        <v>399</v>
      </c>
      <c r="AA22" s="253">
        <v>13.62</v>
      </c>
      <c r="AB22" s="253">
        <f t="shared" ca="1" si="42"/>
        <v>2.5499999999999989</v>
      </c>
      <c r="AC22" s="258"/>
      <c r="AF22" s="223" t="s">
        <v>405</v>
      </c>
      <c r="AH22" s="232">
        <f t="shared" ca="1" si="43"/>
        <v>46120</v>
      </c>
      <c r="AI22" s="232" t="b">
        <f t="shared" si="6"/>
        <v>1</v>
      </c>
      <c r="AJ22" s="259" t="str">
        <f t="shared" si="37"/>
        <v/>
      </c>
      <c r="AM22" s="223">
        <f t="shared" si="7"/>
        <v>0</v>
      </c>
      <c r="AN22" s="223">
        <f t="shared" si="8"/>
        <v>1900</v>
      </c>
      <c r="AU22" s="223">
        <f t="shared" si="9"/>
        <v>0</v>
      </c>
      <c r="AV22" s="223">
        <f t="shared" si="10"/>
        <v>0</v>
      </c>
    </row>
    <row r="23" spans="1:48" s="260" customFormat="1" ht="26.25" x14ac:dyDescent="0.4">
      <c r="A23" s="223"/>
      <c r="C23" s="224"/>
      <c r="D23" s="261" t="s">
        <v>662</v>
      </c>
      <c r="E23" s="262" t="s">
        <v>330</v>
      </c>
      <c r="F23" s="263">
        <v>1891</v>
      </c>
      <c r="G23" s="264" t="s">
        <v>4</v>
      </c>
      <c r="H23" s="265">
        <v>2.69</v>
      </c>
      <c r="I23" s="266">
        <v>46007</v>
      </c>
      <c r="J23" s="267" t="s">
        <v>28</v>
      </c>
      <c r="K23" s="252"/>
      <c r="L23" s="268">
        <v>7.0000000000000007E-2</v>
      </c>
      <c r="M23" s="254">
        <f ca="1">IF(ISERROR(OFFSET(Tabella!$A$1,MATCH(J23,Tabella!$A:$A,0)-1,MATCH(L23,Tabella!$A$1:$AC$1,0)-1)=TRUE),0,+OFFSET(Tabella!$A$1,MATCH(J23,Tabella!$A:$A,0)-1,MATCH(L23,Tabella!$A$1:$AC$1,0)-1))</f>
        <v>1.25</v>
      </c>
      <c r="N23" s="255">
        <f ca="1">IF(ISERROR(OFFSET(Ottone!$A$1,MATCH(J23,Ottone!$A:$A,0)-1,MATCH(L23,Ottone!$A$1:$Z$1,0)-1)=TRUE),0,OFFSET(Ottone!$A$1,MATCH(J23,Ottone!$A:$A,0)-1,MATCH(L23,Ottone!$A$1:$Z$1,0)-1))*IF(G23="Ottone",1,0)</f>
        <v>0</v>
      </c>
      <c r="O23" s="255">
        <f ca="1">IF(ISERROR(OFFSET(Rame!$A$1,MATCH(J23,Rame!$A:$A,0)-1,MATCH(L23,Rame!$A$1:$AA$1,0)-1)=TRUE),0,OFFSET(Rame!$A$1,MATCH(J23,Rame!$A:$A,0)-1,MATCH(L23,Rame!$A$1:$AA$1,0)-1))*IF(G23="Rame",1,0)</f>
        <v>0</v>
      </c>
      <c r="P23" s="255">
        <v>0</v>
      </c>
      <c r="Q23" s="255">
        <f t="shared" ca="1" si="38"/>
        <v>1.25</v>
      </c>
      <c r="R23" s="255">
        <f ca="1">+IF(ISERROR(OFFSET(Tabella!$G$1,MATCH(J23,Tabella!$G:$G,0)-1,MATCH(K23,Tabella!$G$1:$FG$1,0)-1)=TRUE),0,OFFSET(Tabella!$G$1,MATCH(J23,Tabella!$G:$G,0)-1,MATCH(K23,Tabella!$G$1:$AB$1,0)-1))</f>
        <v>0</v>
      </c>
      <c r="S23" s="255">
        <f ca="1">IF(ISERROR(OFFSET(Ottone!$F$1,MATCH(J23,Ottone!$A:$A,0)-1,MATCH(K23,Ottone!$F$1:$FF$1,0)-1)=TRUE),0,OFFSET(Ottone!$F$1,MATCH(J23,Ottone!$A:$A,0)-1,MATCH(K23,Ottone!$F$1:$FF$1,0)-1))*IF(G23="Ottone",1,0)</f>
        <v>0</v>
      </c>
      <c r="T23" s="255">
        <f ca="1">IF(ISERROR(OFFSET(Rame!$F$1,MATCH(J23,Rame!$F:$F,0)-1,MATCH(K23,Rame!$F$1:$FF$1,0)-1)=TRUE),0,OFFSET(Rame!$F$1,MATCH(J23,Rame!$F:$F,0)-1,MATCH(K23,Rame!$F$1:$FF$1,0)-1))*IF(G23="Rame",1,0)</f>
        <v>0</v>
      </c>
      <c r="U23" s="255">
        <f ca="1">IF(ISERROR(OFFSET(Bronzo!$A$1,MATCH(J23,Bronzo!$A:$A,0)-1,MATCH(K23,Bronzo!$A$1:$AA$1,0)-1)=TRUE),0,OFFSET(Bronzo!$A$1,MATCH(J23,Bronzo!$A:$A,0)-1,MATCH(K23,Bronzo!$A$1:$AA$1,0)-1))</f>
        <v>0</v>
      </c>
      <c r="V23" s="255">
        <f t="shared" ca="1" si="39"/>
        <v>0</v>
      </c>
      <c r="W23" s="254"/>
      <c r="X23" s="255">
        <v>0</v>
      </c>
      <c r="Y23" s="256">
        <f t="shared" ca="1" si="40"/>
        <v>1.25</v>
      </c>
      <c r="Z23" s="269">
        <f t="shared" si="41"/>
        <v>132.37</v>
      </c>
      <c r="AA23" s="270">
        <v>4.29</v>
      </c>
      <c r="AB23" s="253">
        <f t="shared" ca="1" si="42"/>
        <v>0.35000000000000009</v>
      </c>
      <c r="AC23" s="258"/>
      <c r="AD23" s="223"/>
      <c r="AE23" s="223"/>
      <c r="AF23" s="260" t="s">
        <v>405</v>
      </c>
      <c r="AH23" s="271">
        <f t="shared" ref="AH23:AH42" ca="1" si="44">TODAY()</f>
        <v>46120</v>
      </c>
      <c r="AI23" s="271" t="b">
        <f t="shared" si="6"/>
        <v>1</v>
      </c>
      <c r="AJ23" s="272" t="str">
        <f t="shared" si="37"/>
        <v/>
      </c>
      <c r="AM23" s="260">
        <f t="shared" si="7"/>
        <v>0</v>
      </c>
      <c r="AN23" s="260">
        <f t="shared" si="8"/>
        <v>1900</v>
      </c>
      <c r="AU23" s="260">
        <f t="shared" si="9"/>
        <v>0</v>
      </c>
      <c r="AV23" s="260">
        <f t="shared" si="10"/>
        <v>0</v>
      </c>
    </row>
    <row r="24" spans="1:48" s="260" customFormat="1" ht="26.25" x14ac:dyDescent="0.4">
      <c r="A24" s="223"/>
      <c r="C24" s="224"/>
      <c r="D24" s="261" t="s">
        <v>745</v>
      </c>
      <c r="E24" s="262" t="s">
        <v>330</v>
      </c>
      <c r="F24" s="263">
        <v>1572</v>
      </c>
      <c r="G24" s="264" t="s">
        <v>4</v>
      </c>
      <c r="H24" s="265">
        <v>2.69</v>
      </c>
      <c r="I24" s="266">
        <v>46007</v>
      </c>
      <c r="J24" s="267" t="s">
        <v>26</v>
      </c>
      <c r="K24" s="252"/>
      <c r="L24" s="268">
        <v>7.0000000000000007E-2</v>
      </c>
      <c r="M24" s="254">
        <f ca="1">IF(ISERROR(OFFSET(Tabella!$A$1,MATCH(J24,Tabella!$A:$A,0)-1,MATCH(L24,Tabella!$A$1:$AC$1,0)-1)=TRUE),0,+OFFSET(Tabella!$A$1,MATCH(J24,Tabella!$A:$A,0)-1,MATCH(L24,Tabella!$A$1:$AC$1,0)-1))</f>
        <v>1.25</v>
      </c>
      <c r="N24" s="255">
        <f ca="1">IF(ISERROR(OFFSET(Ottone!$A$1,MATCH(J24,Ottone!$A:$A,0)-1,MATCH(L24,Ottone!$A$1:$Z$1,0)-1)=TRUE),0,OFFSET(Ottone!$A$1,MATCH(J24,Ottone!$A:$A,0)-1,MATCH(L24,Ottone!$A$1:$Z$1,0)-1))*IF(G24="Ottone",1,0)</f>
        <v>0</v>
      </c>
      <c r="O24" s="255">
        <f ca="1">IF(ISERROR(OFFSET(Rame!$A$1,MATCH(J24,Rame!$A:$A,0)-1,MATCH(L24,Rame!$A$1:$AA$1,0)-1)=TRUE),0,OFFSET(Rame!$A$1,MATCH(J24,Rame!$A:$A,0)-1,MATCH(L24,Rame!$A$1:$AA$1,0)-1))*IF(G24="Rame",1,0)</f>
        <v>0</v>
      </c>
      <c r="P24" s="255">
        <v>0</v>
      </c>
      <c r="Q24" s="255">
        <f t="shared" ca="1" si="38"/>
        <v>1.25</v>
      </c>
      <c r="R24" s="255">
        <f ca="1">+IF(ISERROR(OFFSET(Tabella!$G$1,MATCH(J24,Tabella!$G:$G,0)-1,MATCH(K24,Tabella!$G$1:$FG$1,0)-1)=TRUE),0,OFFSET(Tabella!$G$1,MATCH(J24,Tabella!$G:$G,0)-1,MATCH(K24,Tabella!$G$1:$AB$1,0)-1))</f>
        <v>0</v>
      </c>
      <c r="S24" s="255">
        <f ca="1">IF(ISERROR(OFFSET(Ottone!$F$1,MATCH(J24,Ottone!$A:$A,0)-1,MATCH(K24,Ottone!$F$1:$FF$1,0)-1)=TRUE),0,OFFSET(Ottone!$F$1,MATCH(J24,Ottone!$A:$A,0)-1,MATCH(K24,Ottone!$F$1:$FF$1,0)-1))*IF(G24="Ottone",1,0)</f>
        <v>0</v>
      </c>
      <c r="T24" s="255">
        <f ca="1">IF(ISERROR(OFFSET(Rame!$F$1,MATCH(J24,Rame!$F:$F,0)-1,MATCH(K24,Rame!$F$1:$FF$1,0)-1)=TRUE),0,OFFSET(Rame!$F$1,MATCH(J24,Rame!$F:$F,0)-1,MATCH(K24,Rame!$F$1:$FF$1,0)-1))*IF(G24="Rame",1,0)</f>
        <v>0</v>
      </c>
      <c r="U24" s="255">
        <f ca="1">IF(ISERROR(OFFSET(Bronzo!$A$1,MATCH(J24,Bronzo!$A:$A,0)-1,MATCH(K24,Bronzo!$A$1:$AA$1,0)-1)=TRUE),0,OFFSET(Bronzo!$A$1,MATCH(J24,Bronzo!$A:$A,0)-1,MATCH(K24,Bronzo!$A$1:$AA$1,0)-1))</f>
        <v>0</v>
      </c>
      <c r="V24" s="255">
        <f t="shared" ca="1" si="39"/>
        <v>0</v>
      </c>
      <c r="W24" s="254"/>
      <c r="X24" s="255">
        <v>0</v>
      </c>
      <c r="Y24" s="256">
        <f t="shared" ca="1" si="40"/>
        <v>1.25</v>
      </c>
      <c r="Z24" s="269">
        <f t="shared" si="41"/>
        <v>110.04</v>
      </c>
      <c r="AA24" s="270">
        <v>4.29</v>
      </c>
      <c r="AB24" s="253">
        <f t="shared" ca="1" si="42"/>
        <v>0.35000000000000009</v>
      </c>
      <c r="AC24" s="258"/>
      <c r="AD24" s="223"/>
      <c r="AE24" s="223"/>
      <c r="AF24" s="260" t="s">
        <v>405</v>
      </c>
      <c r="AH24" s="271">
        <f t="shared" ca="1" si="44"/>
        <v>46120</v>
      </c>
      <c r="AI24" s="271" t="b">
        <f t="shared" si="6"/>
        <v>1</v>
      </c>
      <c r="AJ24" s="272" t="str">
        <f t="shared" si="37"/>
        <v/>
      </c>
      <c r="AM24" s="260">
        <f t="shared" si="7"/>
        <v>0</v>
      </c>
      <c r="AN24" s="260">
        <f t="shared" si="8"/>
        <v>1900</v>
      </c>
      <c r="AU24" s="260">
        <f t="shared" si="9"/>
        <v>0</v>
      </c>
      <c r="AV24" s="260">
        <f t="shared" si="10"/>
        <v>0</v>
      </c>
    </row>
    <row r="25" spans="1:48" s="260" customFormat="1" ht="26.25" x14ac:dyDescent="0.4">
      <c r="A25" s="223"/>
      <c r="C25" s="224"/>
      <c r="D25" s="261" t="s">
        <v>534</v>
      </c>
      <c r="E25" s="262" t="s">
        <v>330</v>
      </c>
      <c r="F25" s="263">
        <v>2038</v>
      </c>
      <c r="G25" s="264" t="s">
        <v>4</v>
      </c>
      <c r="H25" s="274">
        <v>2.61</v>
      </c>
      <c r="I25" s="266">
        <v>46009</v>
      </c>
      <c r="J25" s="267" t="s">
        <v>310</v>
      </c>
      <c r="K25" s="252"/>
      <c r="L25" s="268">
        <v>7.0000000000000007E-2</v>
      </c>
      <c r="M25" s="254">
        <f ca="1">IF(ISERROR(OFFSET(Tabella!$A$1,MATCH(J25,Tabella!$A:$A,0)-1,MATCH(L25,Tabella!$A$1:$AC$1,0)-1)=TRUE),0,+OFFSET(Tabella!$A$1,MATCH(J25,Tabella!$A:$A,0)-1,MATCH(L25,Tabella!$A$1:$AC$1,0)-1))</f>
        <v>1.25</v>
      </c>
      <c r="N25" s="255">
        <f ca="1">IF(ISERROR(OFFSET(Ottone!$A$1,MATCH(J25,Ottone!$A:$A,0)-1,MATCH(L25,Ottone!$A$1:$Z$1,0)-1)=TRUE),0,OFFSET(Ottone!$A$1,MATCH(J25,Ottone!$A:$A,0)-1,MATCH(L25,Ottone!$A$1:$Z$1,0)-1))*IF(G25="Ottone",1,0)</f>
        <v>0</v>
      </c>
      <c r="O25" s="255">
        <f ca="1">IF(ISERROR(OFFSET(Rame!$A$1,MATCH(J25,Rame!$A:$A,0)-1,MATCH(L25,Rame!$A$1:$AA$1,0)-1)=TRUE),0,OFFSET(Rame!$A$1,MATCH(J25,Rame!$A:$A,0)-1,MATCH(L25,Rame!$A$1:$AA$1,0)-1))*IF(G25="Rame",1,0)</f>
        <v>0</v>
      </c>
      <c r="P25" s="255">
        <v>0</v>
      </c>
      <c r="Q25" s="255">
        <f t="shared" ca="1" si="38"/>
        <v>1.25</v>
      </c>
      <c r="R25" s="255">
        <f ca="1">+IF(ISERROR(OFFSET(Tabella!$G$1,MATCH(J25,Tabella!$G:$G,0)-1,MATCH(K25,Tabella!$G$1:$FG$1,0)-1)=TRUE),0,OFFSET(Tabella!$G$1,MATCH(J25,Tabella!$G:$G,0)-1,MATCH(K25,Tabella!$G$1:$AB$1,0)-1))</f>
        <v>0</v>
      </c>
      <c r="S25" s="255">
        <f ca="1">IF(ISERROR(OFFSET(Ottone!$F$1,MATCH(J25,Ottone!$A:$A,0)-1,MATCH(K25,Ottone!$F$1:$FF$1,0)-1)=TRUE),0,OFFSET(Ottone!$F$1,MATCH(J25,Ottone!$A:$A,0)-1,MATCH(K25,Ottone!$F$1:$FF$1,0)-1))*IF(G25="Ottone",1,0)</f>
        <v>0</v>
      </c>
      <c r="T25" s="255">
        <f ca="1">IF(ISERROR(OFFSET(Rame!$F$1,MATCH(J25,Rame!$F:$F,0)-1,MATCH(K25,Rame!$F$1:$FF$1,0)-1)=TRUE),0,OFFSET(Rame!$F$1,MATCH(J25,Rame!$F:$F,0)-1,MATCH(K25,Rame!$F$1:$FF$1,0)-1))*IF(G25="Rame",1,0)</f>
        <v>0</v>
      </c>
      <c r="U25" s="255">
        <f ca="1">IF(ISERROR(OFFSET(Bronzo!$A$1,MATCH(J25,Bronzo!$A:$A,0)-1,MATCH(K25,Bronzo!$A$1:$AA$1,0)-1)=TRUE),0,OFFSET(Bronzo!$A$1,MATCH(J25,Bronzo!$A:$A,0)-1,MATCH(K25,Bronzo!$A$1:$AA$1,0)-1))</f>
        <v>0</v>
      </c>
      <c r="V25" s="255">
        <f t="shared" ca="1" si="39"/>
        <v>0</v>
      </c>
      <c r="W25" s="254"/>
      <c r="X25" s="255">
        <v>0</v>
      </c>
      <c r="Y25" s="256">
        <f t="shared" ca="1" si="40"/>
        <v>1.25</v>
      </c>
      <c r="Z25" s="269">
        <f t="shared" si="41"/>
        <v>142.66000000000003</v>
      </c>
      <c r="AA25" s="273">
        <v>4.21</v>
      </c>
      <c r="AB25" s="253">
        <f t="shared" ca="1" si="42"/>
        <v>0.35000000000000009</v>
      </c>
      <c r="AC25" s="258"/>
      <c r="AD25" s="223"/>
      <c r="AE25" s="223"/>
      <c r="AF25" s="260" t="s">
        <v>405</v>
      </c>
      <c r="AH25" s="271">
        <f t="shared" ca="1" si="44"/>
        <v>46120</v>
      </c>
      <c r="AI25" s="271" t="b">
        <f t="shared" si="6"/>
        <v>1</v>
      </c>
      <c r="AJ25" s="272" t="str">
        <f t="shared" si="37"/>
        <v/>
      </c>
      <c r="AM25" s="260">
        <f t="shared" si="7"/>
        <v>0</v>
      </c>
      <c r="AN25" s="260">
        <f t="shared" si="8"/>
        <v>1900</v>
      </c>
      <c r="AU25" s="260">
        <f t="shared" si="9"/>
        <v>0</v>
      </c>
      <c r="AV25" s="260">
        <f t="shared" si="10"/>
        <v>0</v>
      </c>
    </row>
    <row r="26" spans="1:48" s="260" customFormat="1" ht="26.25" x14ac:dyDescent="0.4">
      <c r="A26" s="223"/>
      <c r="C26" s="224"/>
      <c r="D26" s="261" t="s">
        <v>534</v>
      </c>
      <c r="E26" s="262" t="s">
        <v>330</v>
      </c>
      <c r="F26" s="263">
        <v>711</v>
      </c>
      <c r="G26" s="264" t="s">
        <v>4</v>
      </c>
      <c r="H26" s="274">
        <v>2.61</v>
      </c>
      <c r="I26" s="266">
        <v>46009</v>
      </c>
      <c r="J26" s="267" t="s">
        <v>17</v>
      </c>
      <c r="K26" s="252"/>
      <c r="L26" s="268">
        <v>7.0000000000000007E-2</v>
      </c>
      <c r="M26" s="254">
        <f ca="1">IF(ISERROR(OFFSET(Tabella!$A$1,MATCH(J26,Tabella!$A:$A,0)-1,MATCH(L26,Tabella!$A$1:$AC$1,0)-1)=TRUE),0,+OFFSET(Tabella!$A$1,MATCH(J26,Tabella!$A:$A,0)-1,MATCH(L26,Tabella!$A$1:$AC$1,0)-1))</f>
        <v>1.4</v>
      </c>
      <c r="N26" s="255">
        <f ca="1">IF(ISERROR(OFFSET(Ottone!$A$1,MATCH(J26,Ottone!$A:$A,0)-1,MATCH(L26,Ottone!$A$1:$Z$1,0)-1)=TRUE),0,OFFSET(Ottone!$A$1,MATCH(J26,Ottone!$A:$A,0)-1,MATCH(L26,Ottone!$A$1:$Z$1,0)-1))*IF(G26="Ottone",1,0)</f>
        <v>0</v>
      </c>
      <c r="O26" s="255">
        <f ca="1">IF(ISERROR(OFFSET(Rame!$A$1,MATCH(J26,Rame!$A:$A,0)-1,MATCH(L26,Rame!$A$1:$AA$1,0)-1)=TRUE),0,OFFSET(Rame!$A$1,MATCH(J26,Rame!$A:$A,0)-1,MATCH(L26,Rame!$A$1:$AA$1,0)-1))*IF(G26="Rame",1,0)</f>
        <v>0</v>
      </c>
      <c r="P26" s="255">
        <v>0</v>
      </c>
      <c r="Q26" s="255">
        <f t="shared" ref="Q26:Q44" ca="1" si="45">SUM(M26:P26)</f>
        <v>1.4</v>
      </c>
      <c r="R26" s="255">
        <f ca="1">+IF(ISERROR(OFFSET(Tabella!$G$1,MATCH(J26,Tabella!$G:$G,0)-1,MATCH(K26,Tabella!$G$1:$FG$1,0)-1)=TRUE),0,OFFSET(Tabella!$G$1,MATCH(J26,Tabella!$G:$G,0)-1,MATCH(K26,Tabella!$G$1:$AB$1,0)-1))</f>
        <v>0</v>
      </c>
      <c r="S26" s="255">
        <f ca="1">IF(ISERROR(OFFSET(Ottone!$F$1,MATCH(J26,Ottone!$A:$A,0)-1,MATCH(K26,Ottone!$F$1:$FF$1,0)-1)=TRUE),0,OFFSET(Ottone!$F$1,MATCH(J26,Ottone!$A:$A,0)-1,MATCH(K26,Ottone!$F$1:$FF$1,0)-1))*IF(G26="Ottone",1,0)</f>
        <v>0</v>
      </c>
      <c r="T26" s="255">
        <f ca="1">IF(ISERROR(OFFSET(Rame!$F$1,MATCH(J26,Rame!$F:$F,0)-1,MATCH(K26,Rame!$F$1:$FF$1,0)-1)=TRUE),0,OFFSET(Rame!$F$1,MATCH(J26,Rame!$F:$F,0)-1,MATCH(K26,Rame!$F$1:$FF$1,0)-1))*IF(G26="Rame",1,0)</f>
        <v>0</v>
      </c>
      <c r="U26" s="255">
        <f ca="1">IF(ISERROR(OFFSET(Bronzo!$A$1,MATCH(J26,Bronzo!$A:$A,0)-1,MATCH(K26,Bronzo!$A$1:$AA$1,0)-1)=TRUE),0,OFFSET(Bronzo!$A$1,MATCH(J26,Bronzo!$A:$A,0)-1,MATCH(K26,Bronzo!$A$1:$AA$1,0)-1))</f>
        <v>0</v>
      </c>
      <c r="V26" s="255">
        <f t="shared" ref="V26:V44" ca="1" si="46">SUM(R26:U26)</f>
        <v>0</v>
      </c>
      <c r="W26" s="254"/>
      <c r="X26" s="255">
        <v>0</v>
      </c>
      <c r="Y26" s="256">
        <f t="shared" ref="Y26:Y44" ca="1" si="47">+Q26+V26+W26+X26</f>
        <v>1.4</v>
      </c>
      <c r="Z26" s="269">
        <f t="shared" ref="Z26:Z44" si="48">+L26*F26</f>
        <v>49.77</v>
      </c>
      <c r="AA26" s="273">
        <v>4.21</v>
      </c>
      <c r="AB26" s="253">
        <f t="shared" ref="AB26:AB44" ca="1" si="49">+AA26-Y26-H26</f>
        <v>0.20000000000000018</v>
      </c>
      <c r="AC26" s="258"/>
      <c r="AD26" s="223"/>
      <c r="AE26" s="223"/>
      <c r="AF26" s="260" t="s">
        <v>405</v>
      </c>
      <c r="AH26" s="271">
        <f t="shared" ca="1" si="44"/>
        <v>46120</v>
      </c>
      <c r="AI26" s="271" t="b">
        <f t="shared" si="6"/>
        <v>1</v>
      </c>
      <c r="AJ26" s="272" t="str">
        <f t="shared" si="37"/>
        <v/>
      </c>
      <c r="AM26" s="260">
        <f t="shared" si="7"/>
        <v>0</v>
      </c>
      <c r="AN26" s="260">
        <f t="shared" si="8"/>
        <v>1900</v>
      </c>
      <c r="AU26" s="260">
        <f t="shared" si="9"/>
        <v>0</v>
      </c>
      <c r="AV26" s="260">
        <f t="shared" si="10"/>
        <v>0</v>
      </c>
    </row>
    <row r="27" spans="1:48" s="260" customFormat="1" ht="26.25" x14ac:dyDescent="0.4">
      <c r="A27" s="223"/>
      <c r="C27" s="224"/>
      <c r="D27" s="261" t="s">
        <v>733</v>
      </c>
      <c r="E27" s="262" t="s">
        <v>330</v>
      </c>
      <c r="F27" s="263">
        <v>563</v>
      </c>
      <c r="G27" s="264" t="s">
        <v>4</v>
      </c>
      <c r="H27" s="275">
        <v>2.61</v>
      </c>
      <c r="I27" s="266">
        <v>46009</v>
      </c>
      <c r="J27" s="267" t="s">
        <v>314</v>
      </c>
      <c r="K27" s="252"/>
      <c r="L27" s="268">
        <v>7.0000000000000007E-2</v>
      </c>
      <c r="M27" s="254">
        <f ca="1">IF(ISERROR(OFFSET(Tabella!$A$1,MATCH(J27,Tabella!$A:$A,0)-1,MATCH(L27,Tabella!$A$1:$AC$1,0)-1)=TRUE),0,+OFFSET(Tabella!$A$1,MATCH(J27,Tabella!$A:$A,0)-1,MATCH(L27,Tabella!$A$1:$AC$1,0)-1))</f>
        <v>1.25</v>
      </c>
      <c r="N27" s="255">
        <f ca="1">IF(ISERROR(OFFSET(Ottone!$A$1,MATCH(J27,Ottone!$A:$A,0)-1,MATCH(L27,Ottone!$A$1:$Z$1,0)-1)=TRUE),0,OFFSET(Ottone!$A$1,MATCH(J27,Ottone!$A:$A,0)-1,MATCH(L27,Ottone!$A$1:$Z$1,0)-1))*IF(G27="Ottone",1,0)</f>
        <v>0</v>
      </c>
      <c r="O27" s="255">
        <f ca="1">IF(ISERROR(OFFSET(Rame!$A$1,MATCH(J27,Rame!$A:$A,0)-1,MATCH(L27,Rame!$A$1:$AA$1,0)-1)=TRUE),0,OFFSET(Rame!$A$1,MATCH(J27,Rame!$A:$A,0)-1,MATCH(L27,Rame!$A$1:$AA$1,0)-1))*IF(G27="Rame",1,0)</f>
        <v>0</v>
      </c>
      <c r="P27" s="255">
        <v>0</v>
      </c>
      <c r="Q27" s="255">
        <f t="shared" ca="1" si="45"/>
        <v>1.25</v>
      </c>
      <c r="R27" s="255">
        <f ca="1">+IF(ISERROR(OFFSET(Tabella!$G$1,MATCH(J27,Tabella!$G:$G,0)-1,MATCH(K27,Tabella!$G$1:$FG$1,0)-1)=TRUE),0,OFFSET(Tabella!$G$1,MATCH(J27,Tabella!$G:$G,0)-1,MATCH(K27,Tabella!$G$1:$AB$1,0)-1))</f>
        <v>0</v>
      </c>
      <c r="S27" s="255">
        <f ca="1">IF(ISERROR(OFFSET(Ottone!$F$1,MATCH(J27,Ottone!$A:$A,0)-1,MATCH(K27,Ottone!$F$1:$FF$1,0)-1)=TRUE),0,OFFSET(Ottone!$F$1,MATCH(J27,Ottone!$A:$A,0)-1,MATCH(K27,Ottone!$F$1:$FF$1,0)-1))*IF(G27="Ottone",1,0)</f>
        <v>0</v>
      </c>
      <c r="T27" s="255">
        <f ca="1">IF(ISERROR(OFFSET(Rame!$F$1,MATCH(J27,Rame!$F:$F,0)-1,MATCH(K27,Rame!$F$1:$FF$1,0)-1)=TRUE),0,OFFSET(Rame!$F$1,MATCH(J27,Rame!$F:$F,0)-1,MATCH(K27,Rame!$F$1:$FF$1,0)-1))*IF(G27="Rame",1,0)</f>
        <v>0</v>
      </c>
      <c r="U27" s="255">
        <f ca="1">IF(ISERROR(OFFSET(Bronzo!$A$1,MATCH(J27,Bronzo!$A:$A,0)-1,MATCH(K27,Bronzo!$A$1:$AA$1,0)-1)=TRUE),0,OFFSET(Bronzo!$A$1,MATCH(J27,Bronzo!$A:$A,0)-1,MATCH(K27,Bronzo!$A$1:$AA$1,0)-1))</f>
        <v>0</v>
      </c>
      <c r="V27" s="255">
        <f t="shared" ca="1" si="46"/>
        <v>0</v>
      </c>
      <c r="W27" s="254"/>
      <c r="X27" s="255">
        <v>0</v>
      </c>
      <c r="Y27" s="256">
        <f t="shared" ca="1" si="47"/>
        <v>1.25</v>
      </c>
      <c r="Z27" s="269">
        <f t="shared" si="48"/>
        <v>39.410000000000004</v>
      </c>
      <c r="AA27" s="273">
        <v>4.21</v>
      </c>
      <c r="AB27" s="253">
        <f t="shared" ca="1" si="49"/>
        <v>0.35000000000000009</v>
      </c>
      <c r="AC27" s="258"/>
      <c r="AD27" s="223"/>
      <c r="AE27" s="223"/>
      <c r="AF27" s="260" t="s">
        <v>405</v>
      </c>
      <c r="AH27" s="271">
        <f t="shared" ca="1" si="44"/>
        <v>46120</v>
      </c>
      <c r="AI27" s="271" t="b">
        <f t="shared" si="6"/>
        <v>1</v>
      </c>
      <c r="AJ27" s="272" t="str">
        <f t="shared" si="37"/>
        <v/>
      </c>
      <c r="AM27" s="260">
        <f t="shared" si="7"/>
        <v>0</v>
      </c>
      <c r="AN27" s="260">
        <f t="shared" si="8"/>
        <v>1900</v>
      </c>
      <c r="AU27" s="260">
        <f t="shared" si="9"/>
        <v>0</v>
      </c>
      <c r="AV27" s="260">
        <f t="shared" si="10"/>
        <v>0</v>
      </c>
    </row>
    <row r="28" spans="1:48" ht="26.25" x14ac:dyDescent="0.4">
      <c r="D28" s="246" t="s">
        <v>444</v>
      </c>
      <c r="E28" s="252" t="s">
        <v>330</v>
      </c>
      <c r="F28" s="276">
        <v>1000</v>
      </c>
      <c r="G28" s="249" t="s">
        <v>4</v>
      </c>
      <c r="H28" s="277">
        <v>1.6</v>
      </c>
      <c r="I28" s="251">
        <v>46009</v>
      </c>
      <c r="J28" s="252" t="s">
        <v>314</v>
      </c>
      <c r="K28" s="252"/>
      <c r="L28" s="253">
        <v>7.0000000000000007E-2</v>
      </c>
      <c r="M28" s="254">
        <f ca="1">IF(ISERROR(OFFSET(Tabella!$A$1,MATCH(J28,Tabella!$A:$A,0)-1,MATCH(L28,Tabella!$A$1:$AC$1,0)-1)=TRUE),0,+OFFSET(Tabella!$A$1,MATCH(J28,Tabella!$A:$A,0)-1,MATCH(L28,Tabella!$A$1:$AC$1,0)-1))</f>
        <v>1.25</v>
      </c>
      <c r="N28" s="255">
        <f ca="1">IF(ISERROR(OFFSET(Ottone!$A$1,MATCH(J28,Ottone!$A:$A,0)-1,MATCH(L28,Ottone!$A$1:$Z$1,0)-1)=TRUE),0,OFFSET(Ottone!$A$1,MATCH(J28,Ottone!$A:$A,0)-1,MATCH(L28,Ottone!$A$1:$Z$1,0)-1))*IF(G28="Ottone",1,0)</f>
        <v>0</v>
      </c>
      <c r="O28" s="255">
        <f ca="1">IF(ISERROR(OFFSET(Rame!$A$1,MATCH(J28,Rame!$A:$A,0)-1,MATCH(L28,Rame!$A$1:$AA$1,0)-1)=TRUE),0,OFFSET(Rame!$A$1,MATCH(J28,Rame!$A:$A,0)-1,MATCH(L28,Rame!$A$1:$AA$1,0)-1))*IF(G28="Rame",1,0)</f>
        <v>0</v>
      </c>
      <c r="P28" s="255">
        <v>0</v>
      </c>
      <c r="Q28" s="255">
        <f t="shared" ca="1" si="45"/>
        <v>1.25</v>
      </c>
      <c r="R28" s="255">
        <f ca="1">+IF(ISERROR(OFFSET(Tabella!$G$1,MATCH(J28,Tabella!$G:$G,0)-1,MATCH(K28,Tabella!$G$1:$FG$1,0)-1)=TRUE),0,OFFSET(Tabella!$G$1,MATCH(J28,Tabella!$G:$G,0)-1,MATCH(K28,Tabella!$G$1:$AB$1,0)-1))</f>
        <v>0</v>
      </c>
      <c r="S28" s="255">
        <f ca="1">IF(ISERROR(OFFSET(Ottone!$F$1,MATCH(J28,Ottone!$A:$A,0)-1,MATCH(K28,Ottone!$F$1:$FF$1,0)-1)=TRUE),0,OFFSET(Ottone!$F$1,MATCH(J28,Ottone!$A:$A,0)-1,MATCH(K28,Ottone!$F$1:$FF$1,0)-1))*IF(G28="Ottone",1,0)</f>
        <v>0</v>
      </c>
      <c r="T28" s="255">
        <f ca="1">IF(ISERROR(OFFSET(Rame!$F$1,MATCH(J28,Rame!$F:$F,0)-1,MATCH(K28,Rame!$F$1:$FF$1,0)-1)=TRUE),0,OFFSET(Rame!$F$1,MATCH(J28,Rame!$F:$F,0)-1,MATCH(K28,Rame!$F$1:$FF$1,0)-1))*IF(G28="Rame",1,0)</f>
        <v>0</v>
      </c>
      <c r="U28" s="255">
        <f ca="1">IF(ISERROR(OFFSET(Bronzo!$A$1,MATCH(J28,Bronzo!$A:$A,0)-1,MATCH(K28,Bronzo!$A$1:$AA$1,0)-1)=TRUE),0,OFFSET(Bronzo!$A$1,MATCH(J28,Bronzo!$A:$A,0)-1,MATCH(K28,Bronzo!$A$1:$AA$1,0)-1))</f>
        <v>0</v>
      </c>
      <c r="V28" s="255">
        <f t="shared" ca="1" si="46"/>
        <v>0</v>
      </c>
      <c r="W28" s="254"/>
      <c r="X28" s="255">
        <v>0</v>
      </c>
      <c r="Y28" s="256">
        <f t="shared" ca="1" si="47"/>
        <v>1.25</v>
      </c>
      <c r="Z28" s="269">
        <f t="shared" si="48"/>
        <v>70</v>
      </c>
      <c r="AA28" s="278">
        <v>1.6</v>
      </c>
      <c r="AB28" s="253">
        <f t="shared" ca="1" si="49"/>
        <v>-1.25</v>
      </c>
      <c r="AC28" s="258">
        <v>46135</v>
      </c>
      <c r="AH28" s="232">
        <f t="shared" ca="1" si="44"/>
        <v>46120</v>
      </c>
      <c r="AI28" s="232" t="b">
        <f t="shared" si="6"/>
        <v>0</v>
      </c>
      <c r="AJ28" s="259">
        <f t="shared" ca="1" si="37"/>
        <v>15</v>
      </c>
      <c r="AM28" s="223">
        <f t="shared" si="7"/>
        <v>17</v>
      </c>
      <c r="AN28" s="223">
        <f t="shared" si="8"/>
        <v>2026</v>
      </c>
      <c r="AU28" s="223">
        <f t="shared" si="9"/>
        <v>4</v>
      </c>
      <c r="AV28" s="223">
        <f t="shared" si="10"/>
        <v>2026</v>
      </c>
    </row>
    <row r="29" spans="1:48" ht="26.25" x14ac:dyDescent="0.4">
      <c r="D29" s="246" t="s">
        <v>444</v>
      </c>
      <c r="E29" s="252" t="s">
        <v>330</v>
      </c>
      <c r="F29" s="276">
        <v>600</v>
      </c>
      <c r="G29" s="249" t="s">
        <v>4</v>
      </c>
      <c r="H29" s="277">
        <v>1.6</v>
      </c>
      <c r="I29" s="251">
        <v>46009</v>
      </c>
      <c r="J29" s="252" t="s">
        <v>17</v>
      </c>
      <c r="K29" s="252"/>
      <c r="L29" s="253">
        <v>7.0000000000000007E-2</v>
      </c>
      <c r="M29" s="254">
        <f ca="1">IF(ISERROR(OFFSET(Tabella!$A$1,MATCH(J29,Tabella!$A:$A,0)-1,MATCH(L29,Tabella!$A$1:$AC$1,0)-1)=TRUE),0,+OFFSET(Tabella!$A$1,MATCH(J29,Tabella!$A:$A,0)-1,MATCH(L29,Tabella!$A$1:$AC$1,0)-1))</f>
        <v>1.4</v>
      </c>
      <c r="N29" s="255">
        <f ca="1">IF(ISERROR(OFFSET(Ottone!$A$1,MATCH(J29,Ottone!$A:$A,0)-1,MATCH(L29,Ottone!$A$1:$Z$1,0)-1)=TRUE),0,OFFSET(Ottone!$A$1,MATCH(J29,Ottone!$A:$A,0)-1,MATCH(L29,Ottone!$A$1:$Z$1,0)-1))*IF(G29="Ottone",1,0)</f>
        <v>0</v>
      </c>
      <c r="O29" s="255">
        <f ca="1">IF(ISERROR(OFFSET(Rame!$A$1,MATCH(J29,Rame!$A:$A,0)-1,MATCH(L29,Rame!$A$1:$AA$1,0)-1)=TRUE),0,OFFSET(Rame!$A$1,MATCH(J29,Rame!$A:$A,0)-1,MATCH(L29,Rame!$A$1:$AA$1,0)-1))*IF(G29="Rame",1,0)</f>
        <v>0</v>
      </c>
      <c r="P29" s="255">
        <v>0</v>
      </c>
      <c r="Q29" s="255">
        <f t="shared" ca="1" si="45"/>
        <v>1.4</v>
      </c>
      <c r="R29" s="255">
        <f ca="1">+IF(ISERROR(OFFSET(Tabella!$G$1,MATCH(J29,Tabella!$G:$G,0)-1,MATCH(K29,Tabella!$G$1:$FG$1,0)-1)=TRUE),0,OFFSET(Tabella!$G$1,MATCH(J29,Tabella!$G:$G,0)-1,MATCH(K29,Tabella!$G$1:$AB$1,0)-1))</f>
        <v>0</v>
      </c>
      <c r="S29" s="255">
        <f ca="1">IF(ISERROR(OFFSET(Ottone!$F$1,MATCH(J29,Ottone!$A:$A,0)-1,MATCH(K29,Ottone!$F$1:$FF$1,0)-1)=TRUE),0,OFFSET(Ottone!$F$1,MATCH(J29,Ottone!$A:$A,0)-1,MATCH(K29,Ottone!$F$1:$FF$1,0)-1))*IF(G29="Ottone",1,0)</f>
        <v>0</v>
      </c>
      <c r="T29" s="255">
        <f ca="1">IF(ISERROR(OFFSET(Rame!$F$1,MATCH(J29,Rame!$F:$F,0)-1,MATCH(K29,Rame!$F$1:$FF$1,0)-1)=TRUE),0,OFFSET(Rame!$F$1,MATCH(J29,Rame!$F:$F,0)-1,MATCH(K29,Rame!$F$1:$FF$1,0)-1))*IF(G29="Rame",1,0)</f>
        <v>0</v>
      </c>
      <c r="U29" s="255">
        <f ca="1">IF(ISERROR(OFFSET(Bronzo!$A$1,MATCH(J29,Bronzo!$A:$A,0)-1,MATCH(K29,Bronzo!$A$1:$AA$1,0)-1)=TRUE),0,OFFSET(Bronzo!$A$1,MATCH(J29,Bronzo!$A:$A,0)-1,MATCH(K29,Bronzo!$A$1:$AA$1,0)-1))</f>
        <v>0</v>
      </c>
      <c r="V29" s="255">
        <f t="shared" ca="1" si="46"/>
        <v>0</v>
      </c>
      <c r="W29" s="254"/>
      <c r="X29" s="255">
        <v>0</v>
      </c>
      <c r="Y29" s="256">
        <f t="shared" ca="1" si="47"/>
        <v>1.4</v>
      </c>
      <c r="Z29" s="269">
        <f t="shared" si="48"/>
        <v>42.000000000000007</v>
      </c>
      <c r="AA29" s="278">
        <v>1.6</v>
      </c>
      <c r="AB29" s="253">
        <f t="shared" ca="1" si="49"/>
        <v>-1.4</v>
      </c>
      <c r="AC29" s="258">
        <v>46093</v>
      </c>
      <c r="AH29" s="232">
        <f t="shared" ca="1" si="44"/>
        <v>46120</v>
      </c>
      <c r="AI29" s="232" t="b">
        <f t="shared" si="6"/>
        <v>0</v>
      </c>
      <c r="AJ29" s="259">
        <f t="shared" ca="1" si="37"/>
        <v>-27</v>
      </c>
      <c r="AM29" s="223">
        <f t="shared" si="7"/>
        <v>11</v>
      </c>
      <c r="AN29" s="223">
        <f t="shared" si="8"/>
        <v>2026</v>
      </c>
      <c r="AU29" s="223">
        <f t="shared" si="9"/>
        <v>3</v>
      </c>
      <c r="AV29" s="223">
        <f t="shared" si="10"/>
        <v>2026</v>
      </c>
    </row>
    <row r="30" spans="1:48" ht="26.25" x14ac:dyDescent="0.4">
      <c r="D30" s="246" t="s">
        <v>444</v>
      </c>
      <c r="E30" s="252" t="s">
        <v>330</v>
      </c>
      <c r="F30" s="276">
        <v>1200</v>
      </c>
      <c r="G30" s="249" t="s">
        <v>4</v>
      </c>
      <c r="H30" s="277">
        <v>1.6</v>
      </c>
      <c r="I30" s="251">
        <v>46009</v>
      </c>
      <c r="J30" s="252" t="s">
        <v>17</v>
      </c>
      <c r="K30" s="252"/>
      <c r="L30" s="253">
        <v>7.0000000000000007E-2</v>
      </c>
      <c r="M30" s="254">
        <f ca="1">IF(ISERROR(OFFSET(Tabella!$A$1,MATCH(J30,Tabella!$A:$A,0)-1,MATCH(L30,Tabella!$A$1:$AC$1,0)-1)=TRUE),0,+OFFSET(Tabella!$A$1,MATCH(J30,Tabella!$A:$A,0)-1,MATCH(L30,Tabella!$A$1:$AC$1,0)-1))</f>
        <v>1.4</v>
      </c>
      <c r="N30" s="255">
        <f ca="1">IF(ISERROR(OFFSET(Ottone!$A$1,MATCH(J30,Ottone!$A:$A,0)-1,MATCH(L30,Ottone!$A$1:$Z$1,0)-1)=TRUE),0,OFFSET(Ottone!$A$1,MATCH(J30,Ottone!$A:$A,0)-1,MATCH(L30,Ottone!$A$1:$Z$1,0)-1))*IF(G30="Ottone",1,0)</f>
        <v>0</v>
      </c>
      <c r="O30" s="255">
        <f ca="1">IF(ISERROR(OFFSET(Rame!$A$1,MATCH(J30,Rame!$A:$A,0)-1,MATCH(L30,Rame!$A$1:$AA$1,0)-1)=TRUE),0,OFFSET(Rame!$A$1,MATCH(J30,Rame!$A:$A,0)-1,MATCH(L30,Rame!$A$1:$AA$1,0)-1))*IF(G30="Rame",1,0)</f>
        <v>0</v>
      </c>
      <c r="P30" s="255">
        <v>0</v>
      </c>
      <c r="Q30" s="255">
        <f t="shared" ca="1" si="45"/>
        <v>1.4</v>
      </c>
      <c r="R30" s="255">
        <f ca="1">+IF(ISERROR(OFFSET(Tabella!$G$1,MATCH(J30,Tabella!$G:$G,0)-1,MATCH(K30,Tabella!$G$1:$FG$1,0)-1)=TRUE),0,OFFSET(Tabella!$G$1,MATCH(J30,Tabella!$G:$G,0)-1,MATCH(K30,Tabella!$G$1:$AB$1,0)-1))</f>
        <v>0</v>
      </c>
      <c r="S30" s="255">
        <f ca="1">IF(ISERROR(OFFSET(Ottone!$F$1,MATCH(J30,Ottone!$A:$A,0)-1,MATCH(K30,Ottone!$F$1:$FF$1,0)-1)=TRUE),0,OFFSET(Ottone!$F$1,MATCH(J30,Ottone!$A:$A,0)-1,MATCH(K30,Ottone!$F$1:$FF$1,0)-1))*IF(G30="Ottone",1,0)</f>
        <v>0</v>
      </c>
      <c r="T30" s="255">
        <f ca="1">IF(ISERROR(OFFSET(Rame!$F$1,MATCH(J30,Rame!$F:$F,0)-1,MATCH(K30,Rame!$F$1:$FF$1,0)-1)=TRUE),0,OFFSET(Rame!$F$1,MATCH(J30,Rame!$F:$F,0)-1,MATCH(K30,Rame!$F$1:$FF$1,0)-1))*IF(G30="Rame",1,0)</f>
        <v>0</v>
      </c>
      <c r="U30" s="255">
        <f ca="1">IF(ISERROR(OFFSET(Bronzo!$A$1,MATCH(J30,Bronzo!$A:$A,0)-1,MATCH(K30,Bronzo!$A$1:$AA$1,0)-1)=TRUE),0,OFFSET(Bronzo!$A$1,MATCH(J30,Bronzo!$A:$A,0)-1,MATCH(K30,Bronzo!$A$1:$AA$1,0)-1))</f>
        <v>0</v>
      </c>
      <c r="V30" s="255">
        <f t="shared" ca="1" si="46"/>
        <v>0</v>
      </c>
      <c r="W30" s="254"/>
      <c r="X30" s="255">
        <v>0</v>
      </c>
      <c r="Y30" s="256">
        <f t="shared" ca="1" si="47"/>
        <v>1.4</v>
      </c>
      <c r="Z30" s="257">
        <f t="shared" si="48"/>
        <v>84.000000000000014</v>
      </c>
      <c r="AA30" s="278">
        <v>1.6</v>
      </c>
      <c r="AB30" s="253">
        <f t="shared" ca="1" si="49"/>
        <v>-1.4</v>
      </c>
      <c r="AC30" s="258">
        <v>46128</v>
      </c>
      <c r="AH30" s="232">
        <f t="shared" ca="1" si="44"/>
        <v>46120</v>
      </c>
      <c r="AI30" s="232" t="b">
        <f t="shared" si="6"/>
        <v>0</v>
      </c>
      <c r="AJ30" s="259">
        <f t="shared" ca="1" si="37"/>
        <v>8</v>
      </c>
      <c r="AM30" s="223">
        <f t="shared" si="7"/>
        <v>16</v>
      </c>
      <c r="AN30" s="223">
        <f t="shared" si="8"/>
        <v>2026</v>
      </c>
      <c r="AU30" s="223">
        <f t="shared" si="9"/>
        <v>4</v>
      </c>
      <c r="AV30" s="223">
        <f t="shared" si="10"/>
        <v>2026</v>
      </c>
    </row>
    <row r="31" spans="1:48" ht="26.25" x14ac:dyDescent="0.4">
      <c r="D31" s="246" t="s">
        <v>444</v>
      </c>
      <c r="E31" s="252" t="s">
        <v>330</v>
      </c>
      <c r="F31" s="276">
        <v>600</v>
      </c>
      <c r="G31" s="249" t="s">
        <v>4</v>
      </c>
      <c r="H31" s="277">
        <v>1.6</v>
      </c>
      <c r="I31" s="251">
        <v>46009</v>
      </c>
      <c r="J31" s="252" t="s">
        <v>17</v>
      </c>
      <c r="K31" s="252"/>
      <c r="L31" s="253">
        <v>7.0000000000000007E-2</v>
      </c>
      <c r="M31" s="254">
        <f ca="1">IF(ISERROR(OFFSET(Tabella!$A$1,MATCH(J31,Tabella!$A:$A,0)-1,MATCH(L31,Tabella!$A$1:$AC$1,0)-1)=TRUE),0,+OFFSET(Tabella!$A$1,MATCH(J31,Tabella!$A:$A,0)-1,MATCH(L31,Tabella!$A$1:$AC$1,0)-1))</f>
        <v>1.4</v>
      </c>
      <c r="N31" s="255">
        <f ca="1">IF(ISERROR(OFFSET(Ottone!$A$1,MATCH(J31,Ottone!$A:$A,0)-1,MATCH(L31,Ottone!$A$1:$Z$1,0)-1)=TRUE),0,OFFSET(Ottone!$A$1,MATCH(J31,Ottone!$A:$A,0)-1,MATCH(L31,Ottone!$A$1:$Z$1,0)-1))*IF(G31="Ottone",1,0)</f>
        <v>0</v>
      </c>
      <c r="O31" s="255">
        <f ca="1">IF(ISERROR(OFFSET(Rame!$A$1,MATCH(J31,Rame!$A:$A,0)-1,MATCH(L31,Rame!$A$1:$AA$1,0)-1)=TRUE),0,OFFSET(Rame!$A$1,MATCH(J31,Rame!$A:$A,0)-1,MATCH(L31,Rame!$A$1:$AA$1,0)-1))*IF(G31="Rame",1,0)</f>
        <v>0</v>
      </c>
      <c r="P31" s="255">
        <v>0</v>
      </c>
      <c r="Q31" s="255">
        <f t="shared" ca="1" si="45"/>
        <v>1.4</v>
      </c>
      <c r="R31" s="255">
        <f ca="1">+IF(ISERROR(OFFSET(Tabella!$G$1,MATCH(J31,Tabella!$G:$G,0)-1,MATCH(K31,Tabella!$G$1:$FG$1,0)-1)=TRUE),0,OFFSET(Tabella!$G$1,MATCH(J31,Tabella!$G:$G,0)-1,MATCH(K31,Tabella!$G$1:$AB$1,0)-1))</f>
        <v>0</v>
      </c>
      <c r="S31" s="255">
        <f ca="1">IF(ISERROR(OFFSET(Ottone!$F$1,MATCH(J31,Ottone!$A:$A,0)-1,MATCH(K31,Ottone!$F$1:$FF$1,0)-1)=TRUE),0,OFFSET(Ottone!$F$1,MATCH(J31,Ottone!$A:$A,0)-1,MATCH(K31,Ottone!$F$1:$FF$1,0)-1))*IF(G31="Ottone",1,0)</f>
        <v>0</v>
      </c>
      <c r="T31" s="255">
        <f ca="1">IF(ISERROR(OFFSET(Rame!$F$1,MATCH(J31,Rame!$F:$F,0)-1,MATCH(K31,Rame!$F$1:$FF$1,0)-1)=TRUE),0,OFFSET(Rame!$F$1,MATCH(J31,Rame!$F:$F,0)-1,MATCH(K31,Rame!$F$1:$FF$1,0)-1))*IF(G31="Rame",1,0)</f>
        <v>0</v>
      </c>
      <c r="U31" s="255">
        <f ca="1">IF(ISERROR(OFFSET(Bronzo!$A$1,MATCH(J31,Bronzo!$A:$A,0)-1,MATCH(K31,Bronzo!$A$1:$AA$1,0)-1)=TRUE),0,OFFSET(Bronzo!$A$1,MATCH(J31,Bronzo!$A:$A,0)-1,MATCH(K31,Bronzo!$A$1:$AA$1,0)-1))</f>
        <v>0</v>
      </c>
      <c r="V31" s="255">
        <f t="shared" ca="1" si="46"/>
        <v>0</v>
      </c>
      <c r="W31" s="254"/>
      <c r="X31" s="255">
        <v>0</v>
      </c>
      <c r="Y31" s="256">
        <f t="shared" ca="1" si="47"/>
        <v>1.4</v>
      </c>
      <c r="Z31" s="257">
        <f t="shared" si="48"/>
        <v>42.000000000000007</v>
      </c>
      <c r="AA31" s="278">
        <v>1.6</v>
      </c>
      <c r="AB31" s="253">
        <f t="shared" ca="1" si="49"/>
        <v>-1.4</v>
      </c>
      <c r="AC31" s="258">
        <v>46127</v>
      </c>
      <c r="AH31" s="232">
        <f t="shared" ca="1" si="44"/>
        <v>46120</v>
      </c>
      <c r="AI31" s="232" t="b">
        <f t="shared" si="6"/>
        <v>0</v>
      </c>
      <c r="AJ31" s="259">
        <f t="shared" ca="1" si="37"/>
        <v>7</v>
      </c>
      <c r="AM31" s="223">
        <f t="shared" si="7"/>
        <v>16</v>
      </c>
      <c r="AN31" s="223">
        <f t="shared" si="8"/>
        <v>2026</v>
      </c>
      <c r="AU31" s="223">
        <f t="shared" si="9"/>
        <v>4</v>
      </c>
      <c r="AV31" s="223">
        <f t="shared" si="10"/>
        <v>2026</v>
      </c>
    </row>
    <row r="32" spans="1:48" s="260" customFormat="1" ht="26.25" x14ac:dyDescent="0.4">
      <c r="A32" s="223"/>
      <c r="C32" s="224"/>
      <c r="D32" s="261" t="s">
        <v>733</v>
      </c>
      <c r="E32" s="279" t="s">
        <v>330</v>
      </c>
      <c r="F32" s="280">
        <v>1182</v>
      </c>
      <c r="G32" s="264" t="s">
        <v>4</v>
      </c>
      <c r="H32" s="274">
        <v>2.61</v>
      </c>
      <c r="I32" s="266">
        <v>46009</v>
      </c>
      <c r="J32" s="267" t="s">
        <v>24</v>
      </c>
      <c r="K32" s="252"/>
      <c r="L32" s="268">
        <v>7.0000000000000007E-2</v>
      </c>
      <c r="M32" s="254">
        <f ca="1">IF(ISERROR(OFFSET(Tabella!$A$1,MATCH(J32,Tabella!$A:$A,0)-1,MATCH(L32,Tabella!$A$1:$AC$1,0)-1)=TRUE),0,+OFFSET(Tabella!$A$1,MATCH(J32,Tabella!$A:$A,0)-1,MATCH(L32,Tabella!$A$1:$AC$1,0)-1))</f>
        <v>1.25</v>
      </c>
      <c r="N32" s="255">
        <f ca="1">IF(ISERROR(OFFSET(Ottone!$A$1,MATCH(J32,Ottone!$A:$A,0)-1,MATCH(L32,Ottone!$A$1:$Z$1,0)-1)=TRUE),0,OFFSET(Ottone!$A$1,MATCH(J32,Ottone!$A:$A,0)-1,MATCH(L32,Ottone!$A$1:$Z$1,0)-1))*IF(G32="Ottone",1,0)</f>
        <v>0</v>
      </c>
      <c r="O32" s="255">
        <f ca="1">IF(ISERROR(OFFSET(Rame!$A$1,MATCH(J32,Rame!$A:$A,0)-1,MATCH(L32,Rame!$A$1:$AA$1,0)-1)=TRUE),0,OFFSET(Rame!$A$1,MATCH(J32,Rame!$A:$A,0)-1,MATCH(L32,Rame!$A$1:$AA$1,0)-1))*IF(G32="Rame",1,0)</f>
        <v>0</v>
      </c>
      <c r="P32" s="255">
        <v>0</v>
      </c>
      <c r="Q32" s="255">
        <f t="shared" ca="1" si="45"/>
        <v>1.25</v>
      </c>
      <c r="R32" s="255">
        <f ca="1">+IF(ISERROR(OFFSET(Tabella!$G$1,MATCH(J32,Tabella!$G:$G,0)-1,MATCH(K32,Tabella!$G$1:$FG$1,0)-1)=TRUE),0,OFFSET(Tabella!$G$1,MATCH(J32,Tabella!$G:$G,0)-1,MATCH(K32,Tabella!$G$1:$AB$1,0)-1))</f>
        <v>0</v>
      </c>
      <c r="S32" s="255">
        <f ca="1">IF(ISERROR(OFFSET(Ottone!$F$1,MATCH(J32,Ottone!$A:$A,0)-1,MATCH(K32,Ottone!$F$1:$FF$1,0)-1)=TRUE),0,OFFSET(Ottone!$F$1,MATCH(J32,Ottone!$A:$A,0)-1,MATCH(K32,Ottone!$F$1:$FF$1,0)-1))*IF(G32="Ottone",1,0)</f>
        <v>0</v>
      </c>
      <c r="T32" s="255">
        <f ca="1">IF(ISERROR(OFFSET(Rame!$F$1,MATCH(J32,Rame!$F:$F,0)-1,MATCH(K32,Rame!$F$1:$FF$1,0)-1)=TRUE),0,OFFSET(Rame!$F$1,MATCH(J32,Rame!$F:$F,0)-1,MATCH(K32,Rame!$F$1:$FF$1,0)-1))*IF(G32="Rame",1,0)</f>
        <v>0</v>
      </c>
      <c r="U32" s="255">
        <f ca="1">IF(ISERROR(OFFSET(Bronzo!$A$1,MATCH(J32,Bronzo!$A:$A,0)-1,MATCH(K32,Bronzo!$A$1:$AA$1,0)-1)=TRUE),0,OFFSET(Bronzo!$A$1,MATCH(J32,Bronzo!$A:$A,0)-1,MATCH(K32,Bronzo!$A$1:$AA$1,0)-1))</f>
        <v>0</v>
      </c>
      <c r="V32" s="255">
        <f t="shared" ca="1" si="46"/>
        <v>0</v>
      </c>
      <c r="W32" s="254"/>
      <c r="X32" s="255">
        <v>0</v>
      </c>
      <c r="Y32" s="256">
        <f t="shared" ca="1" si="47"/>
        <v>1.25</v>
      </c>
      <c r="Z32" s="269">
        <f t="shared" si="48"/>
        <v>82.740000000000009</v>
      </c>
      <c r="AA32" s="273">
        <v>1.6</v>
      </c>
      <c r="AB32" s="253">
        <f t="shared" ca="1" si="49"/>
        <v>-2.2599999999999998</v>
      </c>
      <c r="AC32" s="258"/>
      <c r="AD32" s="223"/>
      <c r="AE32" s="223"/>
      <c r="AF32" s="260" t="s">
        <v>405</v>
      </c>
      <c r="AH32" s="271">
        <f t="shared" ca="1" si="44"/>
        <v>46120</v>
      </c>
      <c r="AI32" s="271" t="b">
        <f t="shared" si="6"/>
        <v>1</v>
      </c>
      <c r="AJ32" s="272" t="str">
        <f t="shared" si="37"/>
        <v/>
      </c>
      <c r="AM32" s="260">
        <f t="shared" si="7"/>
        <v>0</v>
      </c>
      <c r="AN32" s="260">
        <f t="shared" si="8"/>
        <v>1900</v>
      </c>
      <c r="AU32" s="260">
        <f t="shared" si="9"/>
        <v>0</v>
      </c>
      <c r="AV32" s="260">
        <f t="shared" si="10"/>
        <v>0</v>
      </c>
    </row>
    <row r="33" spans="1:48" s="260" customFormat="1" ht="26.25" x14ac:dyDescent="0.4">
      <c r="A33" s="223"/>
      <c r="C33" s="224"/>
      <c r="D33" s="261" t="s">
        <v>733</v>
      </c>
      <c r="E33" s="279" t="s">
        <v>330</v>
      </c>
      <c r="F33" s="280">
        <v>1234</v>
      </c>
      <c r="G33" s="264" t="s">
        <v>4</v>
      </c>
      <c r="H33" s="274">
        <v>2.61</v>
      </c>
      <c r="I33" s="266">
        <v>46009</v>
      </c>
      <c r="J33" s="267" t="s">
        <v>24</v>
      </c>
      <c r="K33" s="252"/>
      <c r="L33" s="268">
        <v>7.0000000000000007E-2</v>
      </c>
      <c r="M33" s="254">
        <f ca="1">IF(ISERROR(OFFSET(Tabella!$A$1,MATCH(J33,Tabella!$A:$A,0)-1,MATCH(L33,Tabella!$A$1:$AC$1,0)-1)=TRUE),0,+OFFSET(Tabella!$A$1,MATCH(J33,Tabella!$A:$A,0)-1,MATCH(L33,Tabella!$A$1:$AC$1,0)-1))</f>
        <v>1.25</v>
      </c>
      <c r="N33" s="255">
        <f ca="1">IF(ISERROR(OFFSET(Ottone!$A$1,MATCH(J33,Ottone!$A:$A,0)-1,MATCH(L33,Ottone!$A$1:$Z$1,0)-1)=TRUE),0,OFFSET(Ottone!$A$1,MATCH(J33,Ottone!$A:$A,0)-1,MATCH(L33,Ottone!$A$1:$Z$1,0)-1))*IF(G33="Ottone",1,0)</f>
        <v>0</v>
      </c>
      <c r="O33" s="255">
        <f ca="1">IF(ISERROR(OFFSET(Rame!$A$1,MATCH(J33,Rame!$A:$A,0)-1,MATCH(L33,Rame!$A$1:$AA$1,0)-1)=TRUE),0,OFFSET(Rame!$A$1,MATCH(J33,Rame!$A:$A,0)-1,MATCH(L33,Rame!$A$1:$AA$1,0)-1))*IF(G33="Rame",1,0)</f>
        <v>0</v>
      </c>
      <c r="P33" s="255">
        <v>0</v>
      </c>
      <c r="Q33" s="255">
        <f t="shared" ca="1" si="45"/>
        <v>1.25</v>
      </c>
      <c r="R33" s="255">
        <f ca="1">+IF(ISERROR(OFFSET(Tabella!$G$1,MATCH(J33,Tabella!$G:$G,0)-1,MATCH(K33,Tabella!$G$1:$FG$1,0)-1)=TRUE),0,OFFSET(Tabella!$G$1,MATCH(J33,Tabella!$G:$G,0)-1,MATCH(K33,Tabella!$G$1:$AB$1,0)-1))</f>
        <v>0</v>
      </c>
      <c r="S33" s="255">
        <f ca="1">IF(ISERROR(OFFSET(Ottone!$F$1,MATCH(J33,Ottone!$A:$A,0)-1,MATCH(K33,Ottone!$F$1:$FF$1,0)-1)=TRUE),0,OFFSET(Ottone!$F$1,MATCH(J33,Ottone!$A:$A,0)-1,MATCH(K33,Ottone!$F$1:$FF$1,0)-1))*IF(G33="Ottone",1,0)</f>
        <v>0</v>
      </c>
      <c r="T33" s="255">
        <f ca="1">IF(ISERROR(OFFSET(Rame!$F$1,MATCH(J33,Rame!$F:$F,0)-1,MATCH(K33,Rame!$F$1:$FF$1,0)-1)=TRUE),0,OFFSET(Rame!$F$1,MATCH(J33,Rame!$F:$F,0)-1,MATCH(K33,Rame!$F$1:$FF$1,0)-1))*IF(G33="Rame",1,0)</f>
        <v>0</v>
      </c>
      <c r="U33" s="255">
        <f ca="1">IF(ISERROR(OFFSET(Bronzo!$A$1,MATCH(J33,Bronzo!$A:$A,0)-1,MATCH(K33,Bronzo!$A$1:$AA$1,0)-1)=TRUE),0,OFFSET(Bronzo!$A$1,MATCH(J33,Bronzo!$A:$A,0)-1,MATCH(K33,Bronzo!$A$1:$AA$1,0)-1))</f>
        <v>0</v>
      </c>
      <c r="V33" s="255">
        <f t="shared" ca="1" si="46"/>
        <v>0</v>
      </c>
      <c r="W33" s="254"/>
      <c r="X33" s="255">
        <v>0</v>
      </c>
      <c r="Y33" s="256">
        <f t="shared" ca="1" si="47"/>
        <v>1.25</v>
      </c>
      <c r="Z33" s="269">
        <f t="shared" si="48"/>
        <v>86.38000000000001</v>
      </c>
      <c r="AA33" s="273">
        <v>1.6</v>
      </c>
      <c r="AB33" s="253">
        <f t="shared" ca="1" si="49"/>
        <v>-2.2599999999999998</v>
      </c>
      <c r="AC33" s="258"/>
      <c r="AD33" s="223"/>
      <c r="AE33" s="223"/>
      <c r="AF33" s="260" t="s">
        <v>405</v>
      </c>
      <c r="AH33" s="271">
        <f t="shared" ca="1" si="44"/>
        <v>46120</v>
      </c>
      <c r="AI33" s="271" t="b">
        <f t="shared" si="6"/>
        <v>1</v>
      </c>
      <c r="AJ33" s="272" t="str">
        <f t="shared" si="37"/>
        <v/>
      </c>
      <c r="AM33" s="260">
        <f t="shared" si="7"/>
        <v>0</v>
      </c>
      <c r="AN33" s="260">
        <f t="shared" si="8"/>
        <v>1900</v>
      </c>
      <c r="AU33" s="260">
        <f t="shared" si="9"/>
        <v>0</v>
      </c>
      <c r="AV33" s="260">
        <f t="shared" si="10"/>
        <v>0</v>
      </c>
    </row>
    <row r="34" spans="1:48" ht="26.25" x14ac:dyDescent="0.4">
      <c r="D34" s="246" t="s">
        <v>444</v>
      </c>
      <c r="E34" s="252" t="s">
        <v>330</v>
      </c>
      <c r="F34" s="276">
        <v>600</v>
      </c>
      <c r="G34" s="249" t="s">
        <v>4</v>
      </c>
      <c r="H34" s="277">
        <v>1.6</v>
      </c>
      <c r="I34" s="251">
        <v>46009</v>
      </c>
      <c r="J34" s="252" t="s">
        <v>19</v>
      </c>
      <c r="K34" s="252"/>
      <c r="L34" s="253">
        <v>7.0000000000000007E-2</v>
      </c>
      <c r="M34" s="254">
        <f ca="1">IF(ISERROR(OFFSET(Tabella!$A$1,MATCH(J34,Tabella!$A:$A,0)-1,MATCH(L34,Tabella!$A$1:$AC$1,0)-1)=TRUE),0,+OFFSET(Tabella!$A$1,MATCH(J34,Tabella!$A:$A,0)-1,MATCH(L34,Tabella!$A$1:$AC$1,0)-1))</f>
        <v>1.35</v>
      </c>
      <c r="N34" s="255">
        <f ca="1">IF(ISERROR(OFFSET(Ottone!$A$1,MATCH(J34,Ottone!$A:$A,0)-1,MATCH(L34,Ottone!$A$1:$Z$1,0)-1)=TRUE),0,OFFSET(Ottone!$A$1,MATCH(J34,Ottone!$A:$A,0)-1,MATCH(L34,Ottone!$A$1:$Z$1,0)-1))*IF(G34="Ottone",1,0)</f>
        <v>0</v>
      </c>
      <c r="O34" s="255">
        <f ca="1">IF(ISERROR(OFFSET(Rame!$A$1,MATCH(J34,Rame!$A:$A,0)-1,MATCH(L34,Rame!$A$1:$AA$1,0)-1)=TRUE),0,OFFSET(Rame!$A$1,MATCH(J34,Rame!$A:$A,0)-1,MATCH(L34,Rame!$A$1:$AA$1,0)-1))*IF(G34="Rame",1,0)</f>
        <v>0</v>
      </c>
      <c r="P34" s="255">
        <v>0</v>
      </c>
      <c r="Q34" s="255">
        <f t="shared" ca="1" si="45"/>
        <v>1.35</v>
      </c>
      <c r="R34" s="255">
        <f ca="1">+IF(ISERROR(OFFSET(Tabella!$G$1,MATCH(J34,Tabella!$G:$G,0)-1,MATCH(K34,Tabella!$G$1:$FG$1,0)-1)=TRUE),0,OFFSET(Tabella!$G$1,MATCH(J34,Tabella!$G:$G,0)-1,MATCH(K34,Tabella!$G$1:$AB$1,0)-1))</f>
        <v>0</v>
      </c>
      <c r="S34" s="255">
        <f ca="1">IF(ISERROR(OFFSET(Ottone!$F$1,MATCH(J34,Ottone!$A:$A,0)-1,MATCH(K34,Ottone!$F$1:$FF$1,0)-1)=TRUE),0,OFFSET(Ottone!$F$1,MATCH(J34,Ottone!$A:$A,0)-1,MATCH(K34,Ottone!$F$1:$FF$1,0)-1))*IF(G34="Ottone",1,0)</f>
        <v>0</v>
      </c>
      <c r="T34" s="255">
        <f ca="1">IF(ISERROR(OFFSET(Rame!$F$1,MATCH(J34,Rame!$F:$F,0)-1,MATCH(K34,Rame!$F$1:$FF$1,0)-1)=TRUE),0,OFFSET(Rame!$F$1,MATCH(J34,Rame!$F:$F,0)-1,MATCH(K34,Rame!$F$1:$FF$1,0)-1))*IF(G34="Rame",1,0)</f>
        <v>0</v>
      </c>
      <c r="U34" s="255">
        <f ca="1">IF(ISERROR(OFFSET(Bronzo!$A$1,MATCH(J34,Bronzo!$A:$A,0)-1,MATCH(K34,Bronzo!$A$1:$AA$1,0)-1)=TRUE),0,OFFSET(Bronzo!$A$1,MATCH(J34,Bronzo!$A:$A,0)-1,MATCH(K34,Bronzo!$A$1:$AA$1,0)-1))</f>
        <v>0</v>
      </c>
      <c r="V34" s="255">
        <f t="shared" ca="1" si="46"/>
        <v>0</v>
      </c>
      <c r="W34" s="254"/>
      <c r="X34" s="255">
        <v>0</v>
      </c>
      <c r="Y34" s="256">
        <f t="shared" ca="1" si="47"/>
        <v>1.35</v>
      </c>
      <c r="Z34" s="257">
        <f t="shared" si="48"/>
        <v>42.000000000000007</v>
      </c>
      <c r="AA34" s="278">
        <v>1.6</v>
      </c>
      <c r="AB34" s="253">
        <f t="shared" ca="1" si="49"/>
        <v>-1.35</v>
      </c>
      <c r="AC34" s="258">
        <v>46086</v>
      </c>
      <c r="AH34" s="232">
        <f t="shared" ca="1" si="44"/>
        <v>46120</v>
      </c>
      <c r="AI34" s="232" t="b">
        <f t="shared" si="6"/>
        <v>0</v>
      </c>
      <c r="AJ34" s="259">
        <f t="shared" ca="1" si="37"/>
        <v>-34</v>
      </c>
      <c r="AM34" s="223">
        <f t="shared" si="7"/>
        <v>10</v>
      </c>
      <c r="AN34" s="223">
        <f t="shared" si="8"/>
        <v>2026</v>
      </c>
      <c r="AU34" s="223">
        <f t="shared" si="9"/>
        <v>3</v>
      </c>
      <c r="AV34" s="223">
        <f t="shared" si="10"/>
        <v>2026</v>
      </c>
    </row>
    <row r="35" spans="1:48" ht="26.25" x14ac:dyDescent="0.4">
      <c r="D35" s="246" t="s">
        <v>444</v>
      </c>
      <c r="E35" s="252" t="s">
        <v>330</v>
      </c>
      <c r="F35" s="276">
        <v>600</v>
      </c>
      <c r="G35" s="249" t="s">
        <v>4</v>
      </c>
      <c r="H35" s="277">
        <v>1.6</v>
      </c>
      <c r="I35" s="251">
        <v>46009</v>
      </c>
      <c r="J35" s="252" t="s">
        <v>19</v>
      </c>
      <c r="K35" s="252"/>
      <c r="L35" s="253">
        <v>7.0000000000000007E-2</v>
      </c>
      <c r="M35" s="254">
        <f ca="1">IF(ISERROR(OFFSET(Tabella!$A$1,MATCH(J35,Tabella!$A:$A,0)-1,MATCH(L35,Tabella!$A$1:$AC$1,0)-1)=TRUE),0,+OFFSET(Tabella!$A$1,MATCH(J35,Tabella!$A:$A,0)-1,MATCH(L35,Tabella!$A$1:$AC$1,0)-1))</f>
        <v>1.35</v>
      </c>
      <c r="N35" s="255">
        <f ca="1">IF(ISERROR(OFFSET(Ottone!$A$1,MATCH(J35,Ottone!$A:$A,0)-1,MATCH(L35,Ottone!$A$1:$Z$1,0)-1)=TRUE),0,OFFSET(Ottone!$A$1,MATCH(J35,Ottone!$A:$A,0)-1,MATCH(L35,Ottone!$A$1:$Z$1,0)-1))*IF(G35="Ottone",1,0)</f>
        <v>0</v>
      </c>
      <c r="O35" s="255">
        <f ca="1">IF(ISERROR(OFFSET(Rame!$A$1,MATCH(J35,Rame!$A:$A,0)-1,MATCH(L35,Rame!$A$1:$AA$1,0)-1)=TRUE),0,OFFSET(Rame!$A$1,MATCH(J35,Rame!$A:$A,0)-1,MATCH(L35,Rame!$A$1:$AA$1,0)-1))*IF(G35="Rame",1,0)</f>
        <v>0</v>
      </c>
      <c r="P35" s="255">
        <v>0</v>
      </c>
      <c r="Q35" s="255">
        <f t="shared" ca="1" si="45"/>
        <v>1.35</v>
      </c>
      <c r="R35" s="255">
        <f ca="1">+IF(ISERROR(OFFSET(Tabella!$G$1,MATCH(J35,Tabella!$G:$G,0)-1,MATCH(K35,Tabella!$G$1:$FG$1,0)-1)=TRUE),0,OFFSET(Tabella!$G$1,MATCH(J35,Tabella!$G:$G,0)-1,MATCH(K35,Tabella!$G$1:$AB$1,0)-1))</f>
        <v>0</v>
      </c>
      <c r="S35" s="255">
        <f ca="1">IF(ISERROR(OFFSET(Ottone!$F$1,MATCH(J35,Ottone!$A:$A,0)-1,MATCH(K35,Ottone!$F$1:$FF$1,0)-1)=TRUE),0,OFFSET(Ottone!$F$1,MATCH(J35,Ottone!$A:$A,0)-1,MATCH(K35,Ottone!$F$1:$FF$1,0)-1))*IF(G35="Ottone",1,0)</f>
        <v>0</v>
      </c>
      <c r="T35" s="255">
        <f ca="1">IF(ISERROR(OFFSET(Rame!$F$1,MATCH(J35,Rame!$F:$F,0)-1,MATCH(K35,Rame!$F$1:$FF$1,0)-1)=TRUE),0,OFFSET(Rame!$F$1,MATCH(J35,Rame!$F:$F,0)-1,MATCH(K35,Rame!$F$1:$FF$1,0)-1))*IF(G35="Rame",1,0)</f>
        <v>0</v>
      </c>
      <c r="U35" s="255">
        <f ca="1">IF(ISERROR(OFFSET(Bronzo!$A$1,MATCH(J35,Bronzo!$A:$A,0)-1,MATCH(K35,Bronzo!$A$1:$AA$1,0)-1)=TRUE),0,OFFSET(Bronzo!$A$1,MATCH(J35,Bronzo!$A:$A,0)-1,MATCH(K35,Bronzo!$A$1:$AA$1,0)-1))</f>
        <v>0</v>
      </c>
      <c r="V35" s="255">
        <f t="shared" ca="1" si="46"/>
        <v>0</v>
      </c>
      <c r="W35" s="254"/>
      <c r="X35" s="255">
        <v>0</v>
      </c>
      <c r="Y35" s="256">
        <f t="shared" ca="1" si="47"/>
        <v>1.35</v>
      </c>
      <c r="Z35" s="257">
        <f t="shared" si="48"/>
        <v>42.000000000000007</v>
      </c>
      <c r="AA35" s="278">
        <v>1.6</v>
      </c>
      <c r="AB35" s="253">
        <f t="shared" ca="1" si="49"/>
        <v>-1.35</v>
      </c>
      <c r="AC35" s="258">
        <v>46141</v>
      </c>
      <c r="AH35" s="232">
        <f t="shared" ca="1" si="44"/>
        <v>46120</v>
      </c>
      <c r="AI35" s="232" t="b">
        <f t="shared" si="6"/>
        <v>0</v>
      </c>
      <c r="AJ35" s="259">
        <f t="shared" ca="1" si="37"/>
        <v>21</v>
      </c>
      <c r="AM35" s="223">
        <f t="shared" si="7"/>
        <v>18</v>
      </c>
      <c r="AN35" s="223">
        <f t="shared" si="8"/>
        <v>2026</v>
      </c>
      <c r="AU35" s="223">
        <f t="shared" si="9"/>
        <v>4</v>
      </c>
      <c r="AV35" s="223">
        <f t="shared" si="10"/>
        <v>2026</v>
      </c>
    </row>
    <row r="36" spans="1:48" s="260" customFormat="1" ht="26.25" x14ac:dyDescent="0.4">
      <c r="A36" s="223"/>
      <c r="C36" s="224"/>
      <c r="D36" s="261" t="s">
        <v>663</v>
      </c>
      <c r="E36" s="279" t="s">
        <v>330</v>
      </c>
      <c r="F36" s="280">
        <v>611</v>
      </c>
      <c r="G36" s="264" t="s">
        <v>4</v>
      </c>
      <c r="H36" s="274">
        <v>2.61</v>
      </c>
      <c r="I36" s="266">
        <v>46009</v>
      </c>
      <c r="J36" s="267" t="s">
        <v>25</v>
      </c>
      <c r="K36" s="252"/>
      <c r="L36" s="268">
        <v>7.0000000000000007E-2</v>
      </c>
      <c r="M36" s="254">
        <f ca="1">IF(ISERROR(OFFSET(Tabella!$A$1,MATCH(J36,Tabella!$A:$A,0)-1,MATCH(L36,Tabella!$A$1:$AC$1,0)-1)=TRUE),0,+OFFSET(Tabella!$A$1,MATCH(J36,Tabella!$A:$A,0)-1,MATCH(L36,Tabella!$A$1:$AC$1,0)-1))</f>
        <v>1.25</v>
      </c>
      <c r="N36" s="255">
        <f ca="1">IF(ISERROR(OFFSET(Ottone!$A$1,MATCH(J36,Ottone!$A:$A,0)-1,MATCH(L36,Ottone!$A$1:$Z$1,0)-1)=TRUE),0,OFFSET(Ottone!$A$1,MATCH(J36,Ottone!$A:$A,0)-1,MATCH(L36,Ottone!$A$1:$Z$1,0)-1))*IF(G36="Ottone",1,0)</f>
        <v>0</v>
      </c>
      <c r="O36" s="255">
        <f ca="1">IF(ISERROR(OFFSET(Rame!$A$1,MATCH(J36,Rame!$A:$A,0)-1,MATCH(L36,Rame!$A$1:$AA$1,0)-1)=TRUE),0,OFFSET(Rame!$A$1,MATCH(J36,Rame!$A:$A,0)-1,MATCH(L36,Rame!$A$1:$AA$1,0)-1))*IF(G36="Rame",1,0)</f>
        <v>0</v>
      </c>
      <c r="P36" s="255">
        <v>0</v>
      </c>
      <c r="Q36" s="255">
        <f t="shared" ca="1" si="45"/>
        <v>1.25</v>
      </c>
      <c r="R36" s="255">
        <f ca="1">+IF(ISERROR(OFFSET(Tabella!$G$1,MATCH(J36,Tabella!$G:$G,0)-1,MATCH(K36,Tabella!$G$1:$FG$1,0)-1)=TRUE),0,OFFSET(Tabella!$G$1,MATCH(J36,Tabella!$G:$G,0)-1,MATCH(K36,Tabella!$G$1:$AB$1,0)-1))</f>
        <v>0</v>
      </c>
      <c r="S36" s="255">
        <f ca="1">IF(ISERROR(OFFSET(Ottone!$F$1,MATCH(J36,Ottone!$A:$A,0)-1,MATCH(K36,Ottone!$F$1:$FF$1,0)-1)=TRUE),0,OFFSET(Ottone!$F$1,MATCH(J36,Ottone!$A:$A,0)-1,MATCH(K36,Ottone!$F$1:$FF$1,0)-1))*IF(G36="Ottone",1,0)</f>
        <v>0</v>
      </c>
      <c r="T36" s="255">
        <f ca="1">IF(ISERROR(OFFSET(Rame!$F$1,MATCH(J36,Rame!$F:$F,0)-1,MATCH(K36,Rame!$F$1:$FF$1,0)-1)=TRUE),0,OFFSET(Rame!$F$1,MATCH(J36,Rame!$F:$F,0)-1,MATCH(K36,Rame!$F$1:$FF$1,0)-1))*IF(G36="Rame",1,0)</f>
        <v>0</v>
      </c>
      <c r="U36" s="255">
        <f ca="1">IF(ISERROR(OFFSET(Bronzo!$A$1,MATCH(J36,Bronzo!$A:$A,0)-1,MATCH(K36,Bronzo!$A$1:$AA$1,0)-1)=TRUE),0,OFFSET(Bronzo!$A$1,MATCH(J36,Bronzo!$A:$A,0)-1,MATCH(K36,Bronzo!$A$1:$AA$1,0)-1))</f>
        <v>0</v>
      </c>
      <c r="V36" s="255">
        <f t="shared" ca="1" si="46"/>
        <v>0</v>
      </c>
      <c r="W36" s="254"/>
      <c r="X36" s="255">
        <v>0</v>
      </c>
      <c r="Y36" s="256">
        <f t="shared" ca="1" si="47"/>
        <v>1.25</v>
      </c>
      <c r="Z36" s="269">
        <f t="shared" si="48"/>
        <v>42.77</v>
      </c>
      <c r="AA36" s="273">
        <v>4.21</v>
      </c>
      <c r="AB36" s="253">
        <f t="shared" ca="1" si="49"/>
        <v>0.35000000000000009</v>
      </c>
      <c r="AC36" s="258"/>
      <c r="AD36" s="223"/>
      <c r="AE36" s="223"/>
      <c r="AF36" s="260" t="s">
        <v>405</v>
      </c>
      <c r="AH36" s="271">
        <f t="shared" ca="1" si="44"/>
        <v>46120</v>
      </c>
      <c r="AI36" s="271" t="b">
        <f t="shared" si="6"/>
        <v>1</v>
      </c>
      <c r="AJ36" s="272" t="str">
        <f t="shared" si="37"/>
        <v/>
      </c>
      <c r="AM36" s="260">
        <f t="shared" si="7"/>
        <v>0</v>
      </c>
      <c r="AN36" s="260">
        <f t="shared" si="8"/>
        <v>1900</v>
      </c>
      <c r="AU36" s="260">
        <f t="shared" si="9"/>
        <v>0</v>
      </c>
      <c r="AV36" s="260">
        <f t="shared" si="10"/>
        <v>0</v>
      </c>
    </row>
    <row r="37" spans="1:48" ht="26.25" x14ac:dyDescent="0.4">
      <c r="D37" s="246" t="s">
        <v>526</v>
      </c>
      <c r="E37" s="262" t="s">
        <v>259</v>
      </c>
      <c r="F37" s="263">
        <v>534</v>
      </c>
      <c r="G37" s="249" t="s">
        <v>6</v>
      </c>
      <c r="H37" s="250">
        <v>11.18</v>
      </c>
      <c r="I37" s="251">
        <v>46028</v>
      </c>
      <c r="J37" s="252" t="s">
        <v>12</v>
      </c>
      <c r="K37" s="252"/>
      <c r="L37" s="253">
        <v>0.15</v>
      </c>
      <c r="M37" s="254">
        <f ca="1">IF(ISERROR(OFFSET(Tabella!$A$1,MATCH(J37,Tabella!$A:$A,0)-1,MATCH(L37,Tabella!$A$1:$AC$1,0)-1)=TRUE),0,+OFFSET(Tabella!$A$1,MATCH(J37,Tabella!$A:$A,0)-1,MATCH(L37,Tabella!$A$1:$AC$1,0)-1))</f>
        <v>0</v>
      </c>
      <c r="N37" s="255">
        <f ca="1">IF(ISERROR(OFFSET(Ottone!$A$1,MATCH(J37,Ottone!$A:$A,0)-1,MATCH(L37,Ottone!$A$1:$Z$1,0)-1)=TRUE),0,OFFSET(Ottone!$A$1,MATCH(J37,Ottone!$A:$A,0)-1,MATCH(L37,Ottone!$A$1:$Z$1,0)-1))*IF(G37="Ottone",1,0)</f>
        <v>0</v>
      </c>
      <c r="O37" s="255">
        <f ca="1">IF(ISERROR(OFFSET(Rame!$A$1,MATCH(J37,Rame!$A:$A,0)-1,MATCH(L37,Rame!$A$1:$AA$1,0)-1)=TRUE),0,OFFSET(Rame!$A$1,MATCH(J37,Rame!$A:$A,0)-1,MATCH(L37,Rame!$A$1:$AA$1,0)-1))*IF(G37="Rame",1,0)</f>
        <v>1.25</v>
      </c>
      <c r="P37" s="255">
        <v>0</v>
      </c>
      <c r="Q37" s="255">
        <f t="shared" ca="1" si="45"/>
        <v>1.25</v>
      </c>
      <c r="R37" s="255">
        <f ca="1">+IF(ISERROR(OFFSET(Tabella!$G$1,MATCH(J37,Tabella!$G:$G,0)-1,MATCH(K37,Tabella!$G$1:$FG$1,0)-1)=TRUE),0,OFFSET(Tabella!$G$1,MATCH(J37,Tabella!$G:$G,0)-1,MATCH(K37,Tabella!$G$1:$AB$1,0)-1))</f>
        <v>0</v>
      </c>
      <c r="S37" s="255">
        <f ca="1">IF(ISERROR(OFFSET(Ottone!$F$1,MATCH(J37,Ottone!$A:$A,0)-1,MATCH(K37,Ottone!$F$1:$FF$1,0)-1)=TRUE),0,OFFSET(Ottone!$F$1,MATCH(J37,Ottone!$A:$A,0)-1,MATCH(K37,Ottone!$F$1:$FF$1,0)-1))*IF(G37="Ottone",1,0)</f>
        <v>0</v>
      </c>
      <c r="T37" s="255">
        <f ca="1">IF(ISERROR(OFFSET(Rame!$F$1,MATCH(J37,Rame!$F:$F,0)-1,MATCH(K37,Rame!$F$1:$FF$1,0)-1)=TRUE),0,OFFSET(Rame!$F$1,MATCH(J37,Rame!$F:$F,0)-1,MATCH(K37,Rame!$F$1:$FF$1,0)-1))*IF(G37="Rame",1,0)</f>
        <v>0</v>
      </c>
      <c r="U37" s="255">
        <f ca="1">IF(ISERROR(OFFSET(Bronzo!$A$1,MATCH(J37,Bronzo!$A:$A,0)-1,MATCH(K37,Bronzo!$A$1:$AA$1,0)-1)=TRUE),0,OFFSET(Bronzo!$A$1,MATCH(J37,Bronzo!$A:$A,0)-1,MATCH(K37,Bronzo!$A$1:$AA$1,0)-1))</f>
        <v>0</v>
      </c>
      <c r="V37" s="255">
        <f t="shared" ca="1" si="46"/>
        <v>0</v>
      </c>
      <c r="W37" s="254"/>
      <c r="X37" s="255">
        <v>0</v>
      </c>
      <c r="Y37" s="256">
        <f t="shared" ca="1" si="47"/>
        <v>1.25</v>
      </c>
      <c r="Z37" s="269">
        <f t="shared" si="48"/>
        <v>80.099999999999994</v>
      </c>
      <c r="AA37" s="253">
        <v>14.9</v>
      </c>
      <c r="AB37" s="253">
        <f t="shared" ca="1" si="49"/>
        <v>2.4700000000000006</v>
      </c>
      <c r="AC37" s="258"/>
      <c r="AF37" s="223" t="s">
        <v>405</v>
      </c>
      <c r="AH37" s="232">
        <f t="shared" ca="1" si="44"/>
        <v>46120</v>
      </c>
      <c r="AI37" s="232" t="b">
        <f t="shared" si="6"/>
        <v>1</v>
      </c>
      <c r="AJ37" s="259" t="str">
        <f t="shared" si="37"/>
        <v/>
      </c>
      <c r="AM37" s="223">
        <f t="shared" si="7"/>
        <v>0</v>
      </c>
      <c r="AN37" s="223">
        <f t="shared" si="8"/>
        <v>1900</v>
      </c>
      <c r="AU37" s="223">
        <f t="shared" si="9"/>
        <v>0</v>
      </c>
      <c r="AV37" s="223">
        <f t="shared" si="10"/>
        <v>0</v>
      </c>
    </row>
    <row r="38" spans="1:48" ht="26.25" x14ac:dyDescent="0.4">
      <c r="D38" s="246" t="s">
        <v>486</v>
      </c>
      <c r="E38" s="262" t="s">
        <v>263</v>
      </c>
      <c r="F38" s="263">
        <v>1518</v>
      </c>
      <c r="G38" s="249" t="s">
        <v>4</v>
      </c>
      <c r="H38" s="250">
        <v>2.4900000000000002</v>
      </c>
      <c r="I38" s="251">
        <v>46034</v>
      </c>
      <c r="J38" s="252" t="s">
        <v>19</v>
      </c>
      <c r="K38" s="252"/>
      <c r="L38" s="253">
        <v>7.0000000000000007E-2</v>
      </c>
      <c r="M38" s="254">
        <f ca="1">IF(ISERROR(OFFSET(Tabella!$A$1,MATCH(J38,Tabella!$A:$A,0)-1,MATCH(L38,Tabella!$A$1:$AC$1,0)-1)=TRUE),0,+OFFSET(Tabella!$A$1,MATCH(J38,Tabella!$A:$A,0)-1,MATCH(L38,Tabella!$A$1:$AC$1,0)-1))</f>
        <v>1.35</v>
      </c>
      <c r="N38" s="255">
        <f ca="1">IF(ISERROR(OFFSET(Ottone!$A$1,MATCH(J38,Ottone!$A:$A,0)-1,MATCH(L38,Ottone!$A$1:$Z$1,0)-1)=TRUE),0,OFFSET(Ottone!$A$1,MATCH(J38,Ottone!$A:$A,0)-1,MATCH(L38,Ottone!$A$1:$Z$1,0)-1))*IF(G38="Ottone",1,0)</f>
        <v>0</v>
      </c>
      <c r="O38" s="255">
        <f ca="1">IF(ISERROR(OFFSET(Rame!$A$1,MATCH(J38,Rame!$A:$A,0)-1,MATCH(L38,Rame!$A$1:$AA$1,0)-1)=TRUE),0,OFFSET(Rame!$A$1,MATCH(J38,Rame!$A:$A,0)-1,MATCH(L38,Rame!$A$1:$AA$1,0)-1))*IF(G38="Rame",1,0)</f>
        <v>0</v>
      </c>
      <c r="P38" s="255">
        <v>0</v>
      </c>
      <c r="Q38" s="255">
        <f t="shared" ca="1" si="45"/>
        <v>1.35</v>
      </c>
      <c r="R38" s="255">
        <f ca="1">+IF(ISERROR(OFFSET(Tabella!$G$1,MATCH(J38,Tabella!$G:$G,0)-1,MATCH(K38,Tabella!$G$1:$FG$1,0)-1)=TRUE),0,OFFSET(Tabella!$G$1,MATCH(J38,Tabella!$G:$G,0)-1,MATCH(K38,Tabella!$G$1:$AB$1,0)-1))</f>
        <v>0</v>
      </c>
      <c r="S38" s="255">
        <f ca="1">IF(ISERROR(OFFSET(Ottone!$F$1,MATCH(J38,Ottone!$A:$A,0)-1,MATCH(K38,Ottone!$F$1:$FF$1,0)-1)=TRUE),0,OFFSET(Ottone!$F$1,MATCH(J38,Ottone!$A:$A,0)-1,MATCH(K38,Ottone!$F$1:$FF$1,0)-1))*IF(G38="Ottone",1,0)</f>
        <v>0</v>
      </c>
      <c r="T38" s="255">
        <f ca="1">IF(ISERROR(OFFSET(Rame!$F$1,MATCH(J38,Rame!$F:$F,0)-1,MATCH(K38,Rame!$F$1:$FF$1,0)-1)=TRUE),0,OFFSET(Rame!$F$1,MATCH(J38,Rame!$F:$F,0)-1,MATCH(K38,Rame!$F$1:$FF$1,0)-1))*IF(G38="Rame",1,0)</f>
        <v>0</v>
      </c>
      <c r="U38" s="255">
        <f ca="1">IF(ISERROR(OFFSET(Bronzo!$A$1,MATCH(J38,Bronzo!$A:$A,0)-1,MATCH(K38,Bronzo!$A$1:$AA$1,0)-1)=TRUE),0,OFFSET(Bronzo!$A$1,MATCH(J38,Bronzo!$A:$A,0)-1,MATCH(K38,Bronzo!$A$1:$AA$1,0)-1))</f>
        <v>0</v>
      </c>
      <c r="V38" s="255">
        <f t="shared" ca="1" si="46"/>
        <v>0</v>
      </c>
      <c r="W38" s="254"/>
      <c r="X38" s="255">
        <v>0</v>
      </c>
      <c r="Y38" s="256">
        <f t="shared" ca="1" si="47"/>
        <v>1.35</v>
      </c>
      <c r="Z38" s="269">
        <f t="shared" si="48"/>
        <v>106.26</v>
      </c>
      <c r="AA38" s="253">
        <v>4.0599999999999996</v>
      </c>
      <c r="AB38" s="253">
        <f t="shared" ca="1" si="49"/>
        <v>0.21999999999999931</v>
      </c>
      <c r="AC38" s="258"/>
      <c r="AF38" s="223" t="s">
        <v>405</v>
      </c>
      <c r="AH38" s="232">
        <f t="shared" ca="1" si="44"/>
        <v>46120</v>
      </c>
      <c r="AI38" s="232" t="b">
        <f t="shared" si="6"/>
        <v>1</v>
      </c>
      <c r="AJ38" s="259" t="str">
        <f t="shared" si="37"/>
        <v/>
      </c>
      <c r="AM38" s="223">
        <f t="shared" si="7"/>
        <v>0</v>
      </c>
      <c r="AN38" s="223">
        <f t="shared" si="8"/>
        <v>1900</v>
      </c>
      <c r="AU38" s="223">
        <f t="shared" si="9"/>
        <v>0</v>
      </c>
      <c r="AV38" s="223">
        <f t="shared" si="10"/>
        <v>0</v>
      </c>
    </row>
    <row r="39" spans="1:48" ht="26.25" x14ac:dyDescent="0.4">
      <c r="D39" s="246" t="s">
        <v>486</v>
      </c>
      <c r="E39" s="262" t="s">
        <v>263</v>
      </c>
      <c r="F39" s="263">
        <v>1075</v>
      </c>
      <c r="G39" s="249" t="s">
        <v>4</v>
      </c>
      <c r="H39" s="250">
        <v>2.4900000000000002</v>
      </c>
      <c r="I39" s="251">
        <v>46034</v>
      </c>
      <c r="J39" s="252" t="s">
        <v>21</v>
      </c>
      <c r="K39" s="252"/>
      <c r="L39" s="253">
        <v>7.0000000000000007E-2</v>
      </c>
      <c r="M39" s="254">
        <f ca="1">IF(ISERROR(OFFSET(Tabella!$A$1,MATCH(J39,Tabella!$A:$A,0)-1,MATCH(L39,Tabella!$A$1:$AC$1,0)-1)=TRUE),0,+OFFSET(Tabella!$A$1,MATCH(J39,Tabella!$A:$A,0)-1,MATCH(L39,Tabella!$A$1:$AC$1,0)-1))</f>
        <v>1.25</v>
      </c>
      <c r="N39" s="255">
        <f ca="1">IF(ISERROR(OFFSET(Ottone!$A$1,MATCH(J39,Ottone!$A:$A,0)-1,MATCH(L39,Ottone!$A$1:$Z$1,0)-1)=TRUE),0,OFFSET(Ottone!$A$1,MATCH(J39,Ottone!$A:$A,0)-1,MATCH(L39,Ottone!$A$1:$Z$1,0)-1))*IF(G39="Ottone",1,0)</f>
        <v>0</v>
      </c>
      <c r="O39" s="255">
        <f ca="1">IF(ISERROR(OFFSET(Rame!$A$1,MATCH(J39,Rame!$A:$A,0)-1,MATCH(L39,Rame!$A$1:$AA$1,0)-1)=TRUE),0,OFFSET(Rame!$A$1,MATCH(J39,Rame!$A:$A,0)-1,MATCH(L39,Rame!$A$1:$AA$1,0)-1))*IF(G39="Rame",1,0)</f>
        <v>0</v>
      </c>
      <c r="P39" s="255">
        <v>0</v>
      </c>
      <c r="Q39" s="255">
        <f t="shared" ca="1" si="45"/>
        <v>1.25</v>
      </c>
      <c r="R39" s="255">
        <f ca="1">+IF(ISERROR(OFFSET(Tabella!$G$1,MATCH(J39,Tabella!$G:$G,0)-1,MATCH(K39,Tabella!$G$1:$FG$1,0)-1)=TRUE),0,OFFSET(Tabella!$G$1,MATCH(J39,Tabella!$G:$G,0)-1,MATCH(K39,Tabella!$G$1:$AB$1,0)-1))</f>
        <v>0</v>
      </c>
      <c r="S39" s="255">
        <f ca="1">IF(ISERROR(OFFSET(Ottone!$F$1,MATCH(J39,Ottone!$A:$A,0)-1,MATCH(K39,Ottone!$F$1:$FF$1,0)-1)=TRUE),0,OFFSET(Ottone!$F$1,MATCH(J39,Ottone!$A:$A,0)-1,MATCH(K39,Ottone!$F$1:$FF$1,0)-1))*IF(G39="Ottone",1,0)</f>
        <v>0</v>
      </c>
      <c r="T39" s="255">
        <f ca="1">IF(ISERROR(OFFSET(Rame!$F$1,MATCH(J39,Rame!$F:$F,0)-1,MATCH(K39,Rame!$F$1:$FF$1,0)-1)=TRUE),0,OFFSET(Rame!$F$1,MATCH(J39,Rame!$F:$F,0)-1,MATCH(K39,Rame!$F$1:$FF$1,0)-1))*IF(G39="Rame",1,0)</f>
        <v>0</v>
      </c>
      <c r="U39" s="255">
        <f ca="1">IF(ISERROR(OFFSET(Bronzo!$A$1,MATCH(J39,Bronzo!$A:$A,0)-1,MATCH(K39,Bronzo!$A$1:$AA$1,0)-1)=TRUE),0,OFFSET(Bronzo!$A$1,MATCH(J39,Bronzo!$A:$A,0)-1,MATCH(K39,Bronzo!$A$1:$AA$1,0)-1))</f>
        <v>0</v>
      </c>
      <c r="V39" s="255">
        <f t="shared" ca="1" si="46"/>
        <v>0</v>
      </c>
      <c r="W39" s="254"/>
      <c r="X39" s="255">
        <v>0</v>
      </c>
      <c r="Y39" s="256">
        <f t="shared" ca="1" si="47"/>
        <v>1.25</v>
      </c>
      <c r="Z39" s="269">
        <f t="shared" si="48"/>
        <v>75.250000000000014</v>
      </c>
      <c r="AA39" s="253">
        <v>4.0599999999999996</v>
      </c>
      <c r="AB39" s="253">
        <f t="shared" ca="1" si="49"/>
        <v>0.3199999999999994</v>
      </c>
      <c r="AC39" s="258"/>
      <c r="AF39" s="223" t="s">
        <v>405</v>
      </c>
      <c r="AH39" s="232">
        <f t="shared" ca="1" si="44"/>
        <v>46120</v>
      </c>
      <c r="AI39" s="232" t="b">
        <f t="shared" si="6"/>
        <v>1</v>
      </c>
      <c r="AJ39" s="259" t="str">
        <f t="shared" si="37"/>
        <v/>
      </c>
      <c r="AM39" s="223">
        <f t="shared" si="7"/>
        <v>0</v>
      </c>
      <c r="AN39" s="223">
        <f t="shared" si="8"/>
        <v>1900</v>
      </c>
      <c r="AU39" s="223">
        <f t="shared" si="9"/>
        <v>0</v>
      </c>
      <c r="AV39" s="223">
        <f t="shared" si="10"/>
        <v>0</v>
      </c>
    </row>
    <row r="40" spans="1:48" ht="26.25" x14ac:dyDescent="0.4">
      <c r="D40" s="246" t="s">
        <v>486</v>
      </c>
      <c r="E40" s="262" t="s">
        <v>263</v>
      </c>
      <c r="F40" s="263">
        <v>1599</v>
      </c>
      <c r="G40" s="249" t="s">
        <v>4</v>
      </c>
      <c r="H40" s="250">
        <v>2.4900000000000002</v>
      </c>
      <c r="I40" s="251">
        <v>46034</v>
      </c>
      <c r="J40" s="252" t="s">
        <v>243</v>
      </c>
      <c r="K40" s="252"/>
      <c r="L40" s="253">
        <v>7.0000000000000007E-2</v>
      </c>
      <c r="M40" s="254">
        <f ca="1">IF(ISERROR(OFFSET(Tabella!$A$1,MATCH(J40,Tabella!$A:$A,0)-1,MATCH(L40,Tabella!$A$1:$AC$1,0)-1)=TRUE),0,+OFFSET(Tabella!$A$1,MATCH(J40,Tabella!$A:$A,0)-1,MATCH(L40,Tabella!$A$1:$AC$1,0)-1))</f>
        <v>1.4</v>
      </c>
      <c r="N40" s="255">
        <f ca="1">IF(ISERROR(OFFSET(Ottone!$A$1,MATCH(J40,Ottone!$A:$A,0)-1,MATCH(L40,Ottone!$A$1:$Z$1,0)-1)=TRUE),0,OFFSET(Ottone!$A$1,MATCH(J40,Ottone!$A:$A,0)-1,MATCH(L40,Ottone!$A$1:$Z$1,0)-1))*IF(G40="Ottone",1,0)</f>
        <v>0</v>
      </c>
      <c r="O40" s="255">
        <f ca="1">IF(ISERROR(OFFSET(Rame!$A$1,MATCH(J40,Rame!$A:$A,0)-1,MATCH(L40,Rame!$A$1:$AA$1,0)-1)=TRUE),0,OFFSET(Rame!$A$1,MATCH(J40,Rame!$A:$A,0)-1,MATCH(L40,Rame!$A$1:$AA$1,0)-1))*IF(G40="Rame",1,0)</f>
        <v>0</v>
      </c>
      <c r="P40" s="255">
        <v>0</v>
      </c>
      <c r="Q40" s="255">
        <f t="shared" ca="1" si="45"/>
        <v>1.4</v>
      </c>
      <c r="R40" s="255">
        <f ca="1">+IF(ISERROR(OFFSET(Tabella!$G$1,MATCH(J40,Tabella!$G:$G,0)-1,MATCH(K40,Tabella!$G$1:$FG$1,0)-1)=TRUE),0,OFFSET(Tabella!$G$1,MATCH(J40,Tabella!$G:$G,0)-1,MATCH(K40,Tabella!$G$1:$AB$1,0)-1))</f>
        <v>0</v>
      </c>
      <c r="S40" s="255">
        <f ca="1">IF(ISERROR(OFFSET(Ottone!$F$1,MATCH(J40,Ottone!$A:$A,0)-1,MATCH(K40,Ottone!$F$1:$FF$1,0)-1)=TRUE),0,OFFSET(Ottone!$F$1,MATCH(J40,Ottone!$A:$A,0)-1,MATCH(K40,Ottone!$F$1:$FF$1,0)-1))*IF(G40="Ottone",1,0)</f>
        <v>0</v>
      </c>
      <c r="T40" s="255">
        <f ca="1">IF(ISERROR(OFFSET(Rame!$F$1,MATCH(J40,Rame!$F:$F,0)-1,MATCH(K40,Rame!$F$1:$FF$1,0)-1)=TRUE),0,OFFSET(Rame!$F$1,MATCH(J40,Rame!$F:$F,0)-1,MATCH(K40,Rame!$F$1:$FF$1,0)-1))*IF(G40="Rame",1,0)</f>
        <v>0</v>
      </c>
      <c r="U40" s="255">
        <f ca="1">IF(ISERROR(OFFSET(Bronzo!$A$1,MATCH(J40,Bronzo!$A:$A,0)-1,MATCH(K40,Bronzo!$A$1:$AA$1,0)-1)=TRUE),0,OFFSET(Bronzo!$A$1,MATCH(J40,Bronzo!$A:$A,0)-1,MATCH(K40,Bronzo!$A$1:$AA$1,0)-1))</f>
        <v>0</v>
      </c>
      <c r="V40" s="255">
        <f t="shared" ca="1" si="46"/>
        <v>0</v>
      </c>
      <c r="W40" s="254"/>
      <c r="X40" s="255">
        <v>0</v>
      </c>
      <c r="Y40" s="256">
        <f t="shared" ca="1" si="47"/>
        <v>1.4</v>
      </c>
      <c r="Z40" s="269">
        <f t="shared" si="48"/>
        <v>111.93</v>
      </c>
      <c r="AA40" s="253">
        <v>4.16</v>
      </c>
      <c r="AB40" s="253">
        <f t="shared" ca="1" si="49"/>
        <v>0.27</v>
      </c>
      <c r="AC40" s="258"/>
      <c r="AF40" s="223" t="s">
        <v>405</v>
      </c>
      <c r="AH40" s="232">
        <f t="shared" ca="1" si="44"/>
        <v>46120</v>
      </c>
      <c r="AI40" s="232" t="b">
        <f t="shared" si="6"/>
        <v>1</v>
      </c>
      <c r="AJ40" s="259" t="str">
        <f t="shared" si="37"/>
        <v/>
      </c>
      <c r="AM40" s="223">
        <f t="shared" si="7"/>
        <v>0</v>
      </c>
      <c r="AN40" s="223">
        <f t="shared" si="8"/>
        <v>1900</v>
      </c>
      <c r="AU40" s="223">
        <f t="shared" si="9"/>
        <v>0</v>
      </c>
      <c r="AV40" s="223">
        <f t="shared" si="10"/>
        <v>0</v>
      </c>
    </row>
    <row r="41" spans="1:48" ht="26.25" x14ac:dyDescent="0.4">
      <c r="D41" s="246" t="s">
        <v>545</v>
      </c>
      <c r="E41" s="262" t="s">
        <v>440</v>
      </c>
      <c r="F41" s="263">
        <v>414</v>
      </c>
      <c r="G41" s="249" t="s">
        <v>6</v>
      </c>
      <c r="H41" s="250">
        <v>11.3</v>
      </c>
      <c r="I41" s="251">
        <v>46034</v>
      </c>
      <c r="J41" s="252" t="s">
        <v>14</v>
      </c>
      <c r="K41" s="252"/>
      <c r="L41" s="253">
        <v>0.15</v>
      </c>
      <c r="M41" s="254">
        <f ca="1">IF(ISERROR(OFFSET(Tabella!$A$1,MATCH(J41,Tabella!$A:$A,0)-1,MATCH(L41,Tabella!$A$1:$AC$1,0)-1)=TRUE),0,+OFFSET(Tabella!$A$1,MATCH(J41,Tabella!$A:$A,0)-1,MATCH(L41,Tabella!$A$1:$AC$1,0)-1))</f>
        <v>0</v>
      </c>
      <c r="N41" s="255">
        <f ca="1">IF(ISERROR(OFFSET(Ottone!$A$1,MATCH(J41,Ottone!$A:$A,0)-1,MATCH(L41,Ottone!$A$1:$Z$1,0)-1)=TRUE),0,OFFSET(Ottone!$A$1,MATCH(J41,Ottone!$A:$A,0)-1,MATCH(L41,Ottone!$A$1:$Z$1,0)-1))*IF(G41="Ottone",1,0)</f>
        <v>0</v>
      </c>
      <c r="O41" s="255">
        <f ca="1">IF(ISERROR(OFFSET(Rame!$A$1,MATCH(J41,Rame!$A:$A,0)-1,MATCH(L41,Rame!$A$1:$AA$1,0)-1)=TRUE),0,OFFSET(Rame!$A$1,MATCH(J41,Rame!$A:$A,0)-1,MATCH(L41,Rame!$A$1:$AA$1,0)-1))*IF(G41="Rame",1,0)</f>
        <v>1</v>
      </c>
      <c r="P41" s="255">
        <v>0</v>
      </c>
      <c r="Q41" s="255">
        <f t="shared" ca="1" si="45"/>
        <v>1</v>
      </c>
      <c r="R41" s="255">
        <f ca="1">+IF(ISERROR(OFFSET(Tabella!$G$1,MATCH(J41,Tabella!$G:$G,0)-1,MATCH(K41,Tabella!$G$1:$FG$1,0)-1)=TRUE),0,OFFSET(Tabella!$G$1,MATCH(J41,Tabella!$G:$G,0)-1,MATCH(K41,Tabella!$G$1:$AB$1,0)-1))</f>
        <v>0</v>
      </c>
      <c r="S41" s="255">
        <f ca="1">IF(ISERROR(OFFSET(Ottone!$F$1,MATCH(J41,Ottone!$A:$A,0)-1,MATCH(K41,Ottone!$F$1:$FF$1,0)-1)=TRUE),0,OFFSET(Ottone!$F$1,MATCH(J41,Ottone!$A:$A,0)-1,MATCH(K41,Ottone!$F$1:$FF$1,0)-1))*IF(G41="Ottone",1,0)</f>
        <v>0</v>
      </c>
      <c r="T41" s="255">
        <f ca="1">IF(ISERROR(OFFSET(Rame!$F$1,MATCH(J41,Rame!$F:$F,0)-1,MATCH(K41,Rame!$F$1:$FF$1,0)-1)=TRUE),0,OFFSET(Rame!$F$1,MATCH(J41,Rame!$F:$F,0)-1,MATCH(K41,Rame!$F$1:$FF$1,0)-1))*IF(G41="Rame",1,0)</f>
        <v>0</v>
      </c>
      <c r="U41" s="255">
        <f ca="1">IF(ISERROR(OFFSET(Bronzo!$A$1,MATCH(J41,Bronzo!$A:$A,0)-1,MATCH(K41,Bronzo!$A$1:$AA$1,0)-1)=TRUE),0,OFFSET(Bronzo!$A$1,MATCH(J41,Bronzo!$A:$A,0)-1,MATCH(K41,Bronzo!$A$1:$AA$1,0)-1))</f>
        <v>0</v>
      </c>
      <c r="V41" s="255">
        <f t="shared" ca="1" si="46"/>
        <v>0</v>
      </c>
      <c r="W41" s="254"/>
      <c r="X41" s="255">
        <v>0</v>
      </c>
      <c r="Y41" s="256">
        <f t="shared" ca="1" si="47"/>
        <v>1</v>
      </c>
      <c r="Z41" s="269">
        <f t="shared" si="48"/>
        <v>62.099999999999994</v>
      </c>
      <c r="AA41" s="253">
        <v>14.9</v>
      </c>
      <c r="AB41" s="253">
        <f t="shared" ca="1" si="49"/>
        <v>2.5999999999999996</v>
      </c>
      <c r="AC41" s="258"/>
      <c r="AF41" s="223" t="s">
        <v>405</v>
      </c>
      <c r="AH41" s="232">
        <f t="shared" ca="1" si="44"/>
        <v>46120</v>
      </c>
      <c r="AI41" s="232" t="b">
        <f t="shared" si="6"/>
        <v>1</v>
      </c>
      <c r="AJ41" s="259" t="str">
        <f t="shared" si="37"/>
        <v/>
      </c>
      <c r="AM41" s="223">
        <f t="shared" si="7"/>
        <v>0</v>
      </c>
      <c r="AN41" s="223">
        <f t="shared" si="8"/>
        <v>1900</v>
      </c>
      <c r="AU41" s="223">
        <f t="shared" si="9"/>
        <v>0</v>
      </c>
      <c r="AV41" s="223">
        <f t="shared" si="10"/>
        <v>0</v>
      </c>
    </row>
    <row r="42" spans="1:48" ht="26.25" x14ac:dyDescent="0.4">
      <c r="D42" s="246" t="s">
        <v>545</v>
      </c>
      <c r="E42" s="262" t="s">
        <v>440</v>
      </c>
      <c r="F42" s="263">
        <v>528</v>
      </c>
      <c r="G42" s="249" t="s">
        <v>6</v>
      </c>
      <c r="H42" s="250">
        <v>11.3</v>
      </c>
      <c r="I42" s="251">
        <v>46034</v>
      </c>
      <c r="J42" s="252" t="s">
        <v>16</v>
      </c>
      <c r="K42" s="252"/>
      <c r="L42" s="253">
        <v>0.15</v>
      </c>
      <c r="M42" s="254">
        <f ca="1">IF(ISERROR(OFFSET(Tabella!$A$1,MATCH(J42,Tabella!$A:$A,0)-1,MATCH(L42,Tabella!$A$1:$AC$1,0)-1)=TRUE),0,+OFFSET(Tabella!$A$1,MATCH(J42,Tabella!$A:$A,0)-1,MATCH(L42,Tabella!$A$1:$AC$1,0)-1))</f>
        <v>0</v>
      </c>
      <c r="N42" s="255">
        <f ca="1">IF(ISERROR(OFFSET(Ottone!$A$1,MATCH(J42,Ottone!$A:$A,0)-1,MATCH(L42,Ottone!$A$1:$Z$1,0)-1)=TRUE),0,OFFSET(Ottone!$A$1,MATCH(J42,Ottone!$A:$A,0)-1,MATCH(L42,Ottone!$A$1:$Z$1,0)-1))*IF(G42="Ottone",1,0)</f>
        <v>0</v>
      </c>
      <c r="O42" s="255">
        <f ca="1">IF(ISERROR(OFFSET(Rame!$A$1,MATCH(J42,Rame!$A:$A,0)-1,MATCH(L42,Rame!$A$1:$AA$1,0)-1)=TRUE),0,OFFSET(Rame!$A$1,MATCH(J42,Rame!$A:$A,0)-1,MATCH(L42,Rame!$A$1:$AA$1,0)-1))*IF(G42="Rame",1,0)</f>
        <v>0.85</v>
      </c>
      <c r="P42" s="255">
        <v>0</v>
      </c>
      <c r="Q42" s="255">
        <f t="shared" ca="1" si="45"/>
        <v>0.85</v>
      </c>
      <c r="R42" s="255">
        <f ca="1">+IF(ISERROR(OFFSET(Tabella!$G$1,MATCH(J42,Tabella!$G:$G,0)-1,MATCH(K42,Tabella!$G$1:$FG$1,0)-1)=TRUE),0,OFFSET(Tabella!$G$1,MATCH(J42,Tabella!$G:$G,0)-1,MATCH(K42,Tabella!$G$1:$AB$1,0)-1))</f>
        <v>0</v>
      </c>
      <c r="S42" s="255">
        <f ca="1">IF(ISERROR(OFFSET(Ottone!$F$1,MATCH(J42,Ottone!$A:$A,0)-1,MATCH(K42,Ottone!$F$1:$FF$1,0)-1)=TRUE),0,OFFSET(Ottone!$F$1,MATCH(J42,Ottone!$A:$A,0)-1,MATCH(K42,Ottone!$F$1:$FF$1,0)-1))*IF(G42="Ottone",1,0)</f>
        <v>0</v>
      </c>
      <c r="T42" s="255">
        <f ca="1">IF(ISERROR(OFFSET(Rame!$F$1,MATCH(J42,Rame!$F:$F,0)-1,MATCH(K42,Rame!$F$1:$FF$1,0)-1)=TRUE),0,OFFSET(Rame!$F$1,MATCH(J42,Rame!$F:$F,0)-1,MATCH(K42,Rame!$F$1:$FF$1,0)-1))*IF(G42="Rame",1,0)</f>
        <v>0</v>
      </c>
      <c r="U42" s="255">
        <f ca="1">IF(ISERROR(OFFSET(Bronzo!$A$1,MATCH(J42,Bronzo!$A:$A,0)-1,MATCH(K42,Bronzo!$A$1:$AA$1,0)-1)=TRUE),0,OFFSET(Bronzo!$A$1,MATCH(J42,Bronzo!$A:$A,0)-1,MATCH(K42,Bronzo!$A$1:$AA$1,0)-1))</f>
        <v>0</v>
      </c>
      <c r="V42" s="255">
        <f t="shared" ca="1" si="46"/>
        <v>0</v>
      </c>
      <c r="W42" s="254"/>
      <c r="X42" s="255">
        <v>0</v>
      </c>
      <c r="Y42" s="256">
        <f t="shared" ca="1" si="47"/>
        <v>0.85</v>
      </c>
      <c r="Z42" s="269">
        <f t="shared" si="48"/>
        <v>79.2</v>
      </c>
      <c r="AA42" s="253">
        <v>14.9</v>
      </c>
      <c r="AB42" s="253">
        <f t="shared" ca="1" si="49"/>
        <v>2.75</v>
      </c>
      <c r="AC42" s="258"/>
      <c r="AF42" s="223" t="s">
        <v>405</v>
      </c>
      <c r="AH42" s="232">
        <f t="shared" ca="1" si="44"/>
        <v>46120</v>
      </c>
      <c r="AI42" s="232" t="b">
        <f t="shared" si="6"/>
        <v>1</v>
      </c>
      <c r="AJ42" s="259" t="str">
        <f t="shared" si="37"/>
        <v/>
      </c>
      <c r="AM42" s="223">
        <f t="shared" si="7"/>
        <v>0</v>
      </c>
      <c r="AN42" s="223">
        <f t="shared" si="8"/>
        <v>1900</v>
      </c>
      <c r="AU42" s="223">
        <f t="shared" si="9"/>
        <v>0</v>
      </c>
      <c r="AV42" s="223">
        <f t="shared" si="10"/>
        <v>0</v>
      </c>
    </row>
    <row r="43" spans="1:48" ht="26.25" x14ac:dyDescent="0.4">
      <c r="D43" s="246" t="s">
        <v>621</v>
      </c>
      <c r="E43" s="262" t="s">
        <v>102</v>
      </c>
      <c r="F43" s="263">
        <v>996</v>
      </c>
      <c r="G43" s="249" t="s">
        <v>4</v>
      </c>
      <c r="H43" s="250">
        <v>2.2400000000000002</v>
      </c>
      <c r="I43" s="251">
        <v>45911</v>
      </c>
      <c r="J43" s="252" t="s">
        <v>22</v>
      </c>
      <c r="K43" s="252"/>
      <c r="L43" s="253">
        <v>7.0000000000000007E-2</v>
      </c>
      <c r="M43" s="254">
        <f ca="1">IF(ISERROR(OFFSET(Tabella!$A$1,MATCH(J43,Tabella!$A:$A,0)-1,MATCH(L43,Tabella!$A$1:$AC$1,0)-1)=TRUE),0,+OFFSET(Tabella!$A$1,MATCH(J43,Tabella!$A:$A,0)-1,MATCH(L43,Tabella!$A$1:$AC$1,0)-1))</f>
        <v>1.25</v>
      </c>
      <c r="N43" s="255">
        <f ca="1">IF(ISERROR(OFFSET(Ottone!$A$1,MATCH(J43,Ottone!$A:$A,0)-1,MATCH(L43,Ottone!$A$1:$Z$1,0)-1)=TRUE),0,OFFSET(Ottone!$A$1,MATCH(J43,Ottone!$A:$A,0)-1,MATCH(L43,Ottone!$A$1:$Z$1,0)-1))*IF(G43="Ottone",1,0)</f>
        <v>0</v>
      </c>
      <c r="O43" s="255">
        <f ca="1">IF(ISERROR(OFFSET(Rame!$A$1,MATCH(J43,Rame!$A:$A,0)-1,MATCH(L43,Rame!$A$1:$AA$1,0)-1)=TRUE),0,OFFSET(Rame!$A$1,MATCH(J43,Rame!$A:$A,0)-1,MATCH(L43,Rame!$A$1:$AA$1,0)-1))*IF(G43="Rame",1,0)</f>
        <v>0</v>
      </c>
      <c r="P43" s="255">
        <v>0</v>
      </c>
      <c r="Q43" s="255">
        <f t="shared" ca="1" si="45"/>
        <v>1.25</v>
      </c>
      <c r="R43" s="255">
        <f ca="1">+IF(ISERROR(OFFSET(Tabella!$G$1,MATCH(J43,Tabella!$G:$G,0)-1,MATCH(K43,Tabella!$G$1:$FG$1,0)-1)=TRUE),0,OFFSET(Tabella!$G$1,MATCH(J43,Tabella!$G:$G,0)-1,MATCH(K43,Tabella!$G$1:$AB$1,0)-1))</f>
        <v>0</v>
      </c>
      <c r="S43" s="255">
        <f ca="1">IF(ISERROR(OFFSET(Ottone!$F$1,MATCH(J43,Ottone!$A:$A,0)-1,MATCH(K43,Ottone!$F$1:$FF$1,0)-1)=TRUE),0,OFFSET(Ottone!$F$1,MATCH(J43,Ottone!$A:$A,0)-1,MATCH(K43,Ottone!$F$1:$FF$1,0)-1))*IF(G43="Ottone",1,0)</f>
        <v>0</v>
      </c>
      <c r="T43" s="255">
        <f ca="1">IF(ISERROR(OFFSET(Rame!$F$1,MATCH(J43,Rame!$F:$F,0)-1,MATCH(K43,Rame!$F$1:$FF$1,0)-1)=TRUE),0,OFFSET(Rame!$F$1,MATCH(J43,Rame!$F:$F,0)-1,MATCH(K43,Rame!$F$1:$FF$1,0)-1))*IF(G43="Rame",1,0)</f>
        <v>0</v>
      </c>
      <c r="U43" s="255">
        <f ca="1">IF(ISERROR(OFFSET(Bronzo!$A$1,MATCH(J43,Bronzo!$A:$A,0)-1,MATCH(K43,Bronzo!$A$1:$AA$1,0)-1)=TRUE),0,OFFSET(Bronzo!$A$1,MATCH(J43,Bronzo!$A:$A,0)-1,MATCH(K43,Bronzo!$A$1:$AA$1,0)-1))</f>
        <v>0</v>
      </c>
      <c r="V43" s="255">
        <f t="shared" ca="1" si="46"/>
        <v>0</v>
      </c>
      <c r="W43" s="254"/>
      <c r="X43" s="255">
        <v>0</v>
      </c>
      <c r="Y43" s="256">
        <f t="shared" ca="1" si="47"/>
        <v>1.25</v>
      </c>
      <c r="Z43" s="269">
        <f t="shared" si="48"/>
        <v>69.720000000000013</v>
      </c>
      <c r="AA43" s="253">
        <v>3.75</v>
      </c>
      <c r="AB43" s="253">
        <f t="shared" ca="1" si="49"/>
        <v>0.25999999999999979</v>
      </c>
      <c r="AC43" s="258"/>
      <c r="AF43" s="223" t="s">
        <v>405</v>
      </c>
      <c r="AH43" s="232">
        <f t="shared" ref="AH43:AH60" ca="1" si="50">TODAY()</f>
        <v>46120</v>
      </c>
      <c r="AI43" s="232" t="b">
        <f t="shared" si="6"/>
        <v>1</v>
      </c>
      <c r="AJ43" s="259" t="str">
        <f t="shared" si="37"/>
        <v/>
      </c>
      <c r="AM43" s="223">
        <f t="shared" si="7"/>
        <v>0</v>
      </c>
      <c r="AN43" s="223">
        <f t="shared" si="8"/>
        <v>1900</v>
      </c>
      <c r="AU43" s="223">
        <f t="shared" si="9"/>
        <v>0</v>
      </c>
      <c r="AV43" s="223">
        <f t="shared" si="10"/>
        <v>0</v>
      </c>
    </row>
    <row r="44" spans="1:48" ht="26.25" x14ac:dyDescent="0.4">
      <c r="D44" s="246" t="s">
        <v>621</v>
      </c>
      <c r="E44" s="262" t="s">
        <v>102</v>
      </c>
      <c r="F44" s="263">
        <v>2462</v>
      </c>
      <c r="G44" s="249" t="s">
        <v>4</v>
      </c>
      <c r="H44" s="250">
        <v>2.2400000000000002</v>
      </c>
      <c r="I44" s="251">
        <v>45911</v>
      </c>
      <c r="J44" s="252" t="s">
        <v>22</v>
      </c>
      <c r="K44" s="252"/>
      <c r="L44" s="253">
        <v>7.0000000000000007E-2</v>
      </c>
      <c r="M44" s="254">
        <f ca="1">IF(ISERROR(OFFSET(Tabella!$A$1,MATCH(J44,Tabella!$A:$A,0)-1,MATCH(L44,Tabella!$A$1:$AC$1,0)-1)=TRUE),0,+OFFSET(Tabella!$A$1,MATCH(J44,Tabella!$A:$A,0)-1,MATCH(L44,Tabella!$A$1:$AC$1,0)-1))</f>
        <v>1.25</v>
      </c>
      <c r="N44" s="255">
        <f ca="1">IF(ISERROR(OFFSET(Ottone!$A$1,MATCH(J44,Ottone!$A:$A,0)-1,MATCH(L44,Ottone!$A$1:$Z$1,0)-1)=TRUE),0,OFFSET(Ottone!$A$1,MATCH(J44,Ottone!$A:$A,0)-1,MATCH(L44,Ottone!$A$1:$Z$1,0)-1))*IF(G44="Ottone",1,0)</f>
        <v>0</v>
      </c>
      <c r="O44" s="255">
        <f ca="1">IF(ISERROR(OFFSET(Rame!$A$1,MATCH(J44,Rame!$A:$A,0)-1,MATCH(L44,Rame!$A$1:$AA$1,0)-1)=TRUE),0,OFFSET(Rame!$A$1,MATCH(J44,Rame!$A:$A,0)-1,MATCH(L44,Rame!$A$1:$AA$1,0)-1))*IF(G44="Rame",1,0)</f>
        <v>0</v>
      </c>
      <c r="P44" s="255">
        <v>0</v>
      </c>
      <c r="Q44" s="255">
        <f t="shared" ca="1" si="45"/>
        <v>1.25</v>
      </c>
      <c r="R44" s="255">
        <f ca="1">+IF(ISERROR(OFFSET(Tabella!$G$1,MATCH(J44,Tabella!$G:$G,0)-1,MATCH(K44,Tabella!$G$1:$FG$1,0)-1)=TRUE),0,OFFSET(Tabella!$G$1,MATCH(J44,Tabella!$G:$G,0)-1,MATCH(K44,Tabella!$G$1:$AB$1,0)-1))</f>
        <v>0</v>
      </c>
      <c r="S44" s="255">
        <f ca="1">IF(ISERROR(OFFSET(Ottone!$F$1,MATCH(J44,Ottone!$A:$A,0)-1,MATCH(K44,Ottone!$F$1:$FF$1,0)-1)=TRUE),0,OFFSET(Ottone!$F$1,MATCH(J44,Ottone!$A:$A,0)-1,MATCH(K44,Ottone!$F$1:$FF$1,0)-1))*IF(G44="Ottone",1,0)</f>
        <v>0</v>
      </c>
      <c r="T44" s="255">
        <f ca="1">IF(ISERROR(OFFSET(Rame!$F$1,MATCH(J44,Rame!$F:$F,0)-1,MATCH(K44,Rame!$F$1:$FF$1,0)-1)=TRUE),0,OFFSET(Rame!$F$1,MATCH(J44,Rame!$F:$F,0)-1,MATCH(K44,Rame!$F$1:$FF$1,0)-1))*IF(G44="Rame",1,0)</f>
        <v>0</v>
      </c>
      <c r="U44" s="255">
        <f ca="1">IF(ISERROR(OFFSET(Bronzo!$A$1,MATCH(J44,Bronzo!$A:$A,0)-1,MATCH(K44,Bronzo!$A$1:$AA$1,0)-1)=TRUE),0,OFFSET(Bronzo!$A$1,MATCH(J44,Bronzo!$A:$A,0)-1,MATCH(K44,Bronzo!$A$1:$AA$1,0)-1))</f>
        <v>0</v>
      </c>
      <c r="V44" s="255">
        <f t="shared" ca="1" si="46"/>
        <v>0</v>
      </c>
      <c r="W44" s="254"/>
      <c r="X44" s="255">
        <v>0</v>
      </c>
      <c r="Y44" s="256">
        <f t="shared" ca="1" si="47"/>
        <v>1.25</v>
      </c>
      <c r="Z44" s="269">
        <f t="shared" si="48"/>
        <v>172.34</v>
      </c>
      <c r="AA44" s="253">
        <v>3.75</v>
      </c>
      <c r="AB44" s="253">
        <f t="shared" ca="1" si="49"/>
        <v>0.25999999999999979</v>
      </c>
      <c r="AC44" s="258"/>
      <c r="AF44" s="223" t="s">
        <v>405</v>
      </c>
      <c r="AH44" s="232">
        <f t="shared" ca="1" si="50"/>
        <v>46120</v>
      </c>
      <c r="AI44" s="232" t="b">
        <f t="shared" ref="AI44:AI71" si="51">ISBLANK(AC44)</f>
        <v>1</v>
      </c>
      <c r="AJ44" s="259" t="str">
        <f t="shared" si="37"/>
        <v/>
      </c>
      <c r="AM44" s="223">
        <f t="shared" ref="AM44:AM71" si="52">WEEKNUM(AC44)</f>
        <v>0</v>
      </c>
      <c r="AN44" s="223">
        <f t="shared" ref="AN44:AN71" si="53">YEAR(AC44)</f>
        <v>1900</v>
      </c>
      <c r="AU44" s="223">
        <f t="shared" ref="AU44:AU71" si="54">IF(AC44="",0,MONTH(AC44))</f>
        <v>0</v>
      </c>
      <c r="AV44" s="223">
        <f t="shared" ref="AV44:AV71" si="55">IF(AC44="",0,YEAR(AC44))</f>
        <v>0</v>
      </c>
    </row>
    <row r="45" spans="1:48" ht="26.25" x14ac:dyDescent="0.4">
      <c r="D45" s="246" t="s">
        <v>446</v>
      </c>
      <c r="E45" s="252" t="s">
        <v>102</v>
      </c>
      <c r="F45" s="276">
        <v>1000</v>
      </c>
      <c r="G45" s="249" t="s">
        <v>4</v>
      </c>
      <c r="H45" s="250">
        <v>2.73</v>
      </c>
      <c r="I45" s="251">
        <v>46034</v>
      </c>
      <c r="J45" s="252" t="s">
        <v>30</v>
      </c>
      <c r="K45" s="252"/>
      <c r="L45" s="253">
        <v>0.1</v>
      </c>
      <c r="M45" s="254">
        <f ca="1">IF(ISERROR(OFFSET(Tabella!$A$1,MATCH(J45,Tabella!$A:$A,0)-1,MATCH(L45,Tabella!$A$1:$AC$1,0)-1)=TRUE),0,+OFFSET(Tabella!$A$1,MATCH(J45,Tabella!$A:$A,0)-1,MATCH(L45,Tabella!$A$1:$AC$1,0)-1))</f>
        <v>1.5</v>
      </c>
      <c r="N45" s="255">
        <f ca="1">IF(ISERROR(OFFSET(Ottone!$A$1,MATCH(J45,Ottone!$A:$A,0)-1,MATCH(L45,Ottone!$A$1:$Z$1,0)-1)=TRUE),0,OFFSET(Ottone!$A$1,MATCH(J45,Ottone!$A:$A,0)-1,MATCH(L45,Ottone!$A$1:$Z$1,0)-1))*IF(G45="Ottone",1,0)</f>
        <v>0</v>
      </c>
      <c r="O45" s="255">
        <f ca="1">IF(ISERROR(OFFSET(Rame!$A$1,MATCH(J45,Rame!$A:$A,0)-1,MATCH(L45,Rame!$A$1:$AA$1,0)-1)=TRUE),0,OFFSET(Rame!$A$1,MATCH(J45,Rame!$A:$A,0)-1,MATCH(L45,Rame!$A$1:$AA$1,0)-1))*IF(G45="Rame",1,0)</f>
        <v>0</v>
      </c>
      <c r="P45" s="255">
        <v>0</v>
      </c>
      <c r="Q45" s="255">
        <f t="shared" ref="Q45:Q64" ca="1" si="56">SUM(M45:P45)</f>
        <v>1.5</v>
      </c>
      <c r="R45" s="255">
        <f ca="1">+IF(ISERROR(OFFSET(Tabella!$G$1,MATCH(J45,Tabella!$G:$G,0)-1,MATCH(K45,Tabella!$G$1:$FG$1,0)-1)=TRUE),0,OFFSET(Tabella!$G$1,MATCH(J45,Tabella!$G:$G,0)-1,MATCH(K45,Tabella!$G$1:$AB$1,0)-1))</f>
        <v>0</v>
      </c>
      <c r="S45" s="255">
        <f ca="1">IF(ISERROR(OFFSET(Ottone!$F$1,MATCH(J45,Ottone!$A:$A,0)-1,MATCH(K45,Ottone!$F$1:$FF$1,0)-1)=TRUE),0,OFFSET(Ottone!$F$1,MATCH(J45,Ottone!$A:$A,0)-1,MATCH(K45,Ottone!$F$1:$FF$1,0)-1))*IF(G45="Ottone",1,0)</f>
        <v>0</v>
      </c>
      <c r="T45" s="255">
        <f ca="1">IF(ISERROR(OFFSET(Rame!$F$1,MATCH(J45,Rame!$F:$F,0)-1,MATCH(K45,Rame!$F$1:$FF$1,0)-1)=TRUE),0,OFFSET(Rame!$F$1,MATCH(J45,Rame!$F:$F,0)-1,MATCH(K45,Rame!$F$1:$FF$1,0)-1))*IF(G45="Rame",1,0)</f>
        <v>0</v>
      </c>
      <c r="U45" s="255">
        <f ca="1">IF(ISERROR(OFFSET(Bronzo!$A$1,MATCH(J45,Bronzo!$A:$A,0)-1,MATCH(K45,Bronzo!$A$1:$AA$1,0)-1)=TRUE),0,OFFSET(Bronzo!$A$1,MATCH(J45,Bronzo!$A:$A,0)-1,MATCH(K45,Bronzo!$A$1:$AA$1,0)-1))</f>
        <v>0</v>
      </c>
      <c r="V45" s="255">
        <f t="shared" ref="V45:V64" ca="1" si="57">SUM(R45:U45)</f>
        <v>0</v>
      </c>
      <c r="W45" s="254"/>
      <c r="X45" s="255">
        <v>0</v>
      </c>
      <c r="Y45" s="256">
        <f t="shared" ref="Y45:Y64" ca="1" si="58">+Q45+V45+W45+X45</f>
        <v>1.5</v>
      </c>
      <c r="Z45" s="257">
        <f t="shared" ref="Z45:Z64" si="59">+L45*F45</f>
        <v>100</v>
      </c>
      <c r="AA45" s="253">
        <v>4.5</v>
      </c>
      <c r="AB45" s="253">
        <f t="shared" ref="AB45:AB64" ca="1" si="60">+AA45-Y45-H45</f>
        <v>0.27</v>
      </c>
      <c r="AC45" s="258">
        <v>46114</v>
      </c>
      <c r="AH45" s="232">
        <f t="shared" ca="1" si="50"/>
        <v>46120</v>
      </c>
      <c r="AI45" s="232" t="b">
        <f t="shared" si="51"/>
        <v>0</v>
      </c>
      <c r="AJ45" s="259">
        <f t="shared" ca="1" si="37"/>
        <v>-6</v>
      </c>
      <c r="AM45" s="223">
        <f t="shared" si="52"/>
        <v>14</v>
      </c>
      <c r="AN45" s="223">
        <f t="shared" si="53"/>
        <v>2026</v>
      </c>
      <c r="AU45" s="223">
        <f t="shared" si="54"/>
        <v>4</v>
      </c>
      <c r="AV45" s="223">
        <f t="shared" si="55"/>
        <v>2026</v>
      </c>
    </row>
    <row r="46" spans="1:48" ht="26.25" x14ac:dyDescent="0.4">
      <c r="D46" s="246" t="s">
        <v>446</v>
      </c>
      <c r="E46" s="252" t="s">
        <v>102</v>
      </c>
      <c r="F46" s="276">
        <v>1000</v>
      </c>
      <c r="G46" s="249" t="s">
        <v>4</v>
      </c>
      <c r="H46" s="250">
        <v>2.73</v>
      </c>
      <c r="I46" s="251">
        <v>46034</v>
      </c>
      <c r="J46" s="252" t="s">
        <v>30</v>
      </c>
      <c r="K46" s="252"/>
      <c r="L46" s="253">
        <v>0.1</v>
      </c>
      <c r="M46" s="254">
        <f ca="1">IF(ISERROR(OFFSET(Tabella!$A$1,MATCH(J46,Tabella!$A:$A,0)-1,MATCH(L46,Tabella!$A$1:$AC$1,0)-1)=TRUE),0,+OFFSET(Tabella!$A$1,MATCH(J46,Tabella!$A:$A,0)-1,MATCH(L46,Tabella!$A$1:$AC$1,0)-1))</f>
        <v>1.5</v>
      </c>
      <c r="N46" s="255">
        <f ca="1">IF(ISERROR(OFFSET(Ottone!$A$1,MATCH(J46,Ottone!$A:$A,0)-1,MATCH(L46,Ottone!$A$1:$Z$1,0)-1)=TRUE),0,OFFSET(Ottone!$A$1,MATCH(J46,Ottone!$A:$A,0)-1,MATCH(L46,Ottone!$A$1:$Z$1,0)-1))*IF(G46="Ottone",1,0)</f>
        <v>0</v>
      </c>
      <c r="O46" s="255">
        <f ca="1">IF(ISERROR(OFFSET(Rame!$A$1,MATCH(J46,Rame!$A:$A,0)-1,MATCH(L46,Rame!$A$1:$AA$1,0)-1)=TRUE),0,OFFSET(Rame!$A$1,MATCH(J46,Rame!$A:$A,0)-1,MATCH(L46,Rame!$A$1:$AA$1,0)-1))*IF(G46="Rame",1,0)</f>
        <v>0</v>
      </c>
      <c r="P46" s="255">
        <v>0</v>
      </c>
      <c r="Q46" s="255">
        <f t="shared" ca="1" si="56"/>
        <v>1.5</v>
      </c>
      <c r="R46" s="255">
        <f ca="1">+IF(ISERROR(OFFSET(Tabella!$G$1,MATCH(J46,Tabella!$G:$G,0)-1,MATCH(K46,Tabella!$G$1:$FG$1,0)-1)=TRUE),0,OFFSET(Tabella!$G$1,MATCH(J46,Tabella!$G:$G,0)-1,MATCH(K46,Tabella!$G$1:$AB$1,0)-1))</f>
        <v>0</v>
      </c>
      <c r="S46" s="255">
        <f ca="1">IF(ISERROR(OFFSET(Ottone!$F$1,MATCH(J46,Ottone!$A:$A,0)-1,MATCH(K46,Ottone!$F$1:$FF$1,0)-1)=TRUE),0,OFFSET(Ottone!$F$1,MATCH(J46,Ottone!$A:$A,0)-1,MATCH(K46,Ottone!$F$1:$FF$1,0)-1))*IF(G46="Ottone",1,0)</f>
        <v>0</v>
      </c>
      <c r="T46" s="255">
        <f ca="1">IF(ISERROR(OFFSET(Rame!$F$1,MATCH(J46,Rame!$F:$F,0)-1,MATCH(K46,Rame!$F$1:$FF$1,0)-1)=TRUE),0,OFFSET(Rame!$F$1,MATCH(J46,Rame!$F:$F,0)-1,MATCH(K46,Rame!$F$1:$FF$1,0)-1))*IF(G46="Rame",1,0)</f>
        <v>0</v>
      </c>
      <c r="U46" s="255">
        <f ca="1">IF(ISERROR(OFFSET(Bronzo!$A$1,MATCH(J46,Bronzo!$A:$A,0)-1,MATCH(K46,Bronzo!$A$1:$AA$1,0)-1)=TRUE),0,OFFSET(Bronzo!$A$1,MATCH(J46,Bronzo!$A:$A,0)-1,MATCH(K46,Bronzo!$A$1:$AA$1,0)-1))</f>
        <v>0</v>
      </c>
      <c r="V46" s="255">
        <f t="shared" ca="1" si="57"/>
        <v>0</v>
      </c>
      <c r="W46" s="254"/>
      <c r="X46" s="255">
        <v>0</v>
      </c>
      <c r="Y46" s="256">
        <f t="shared" ca="1" si="58"/>
        <v>1.5</v>
      </c>
      <c r="Z46" s="257">
        <f t="shared" si="59"/>
        <v>100</v>
      </c>
      <c r="AA46" s="253">
        <v>4.5</v>
      </c>
      <c r="AB46" s="253">
        <f t="shared" ca="1" si="60"/>
        <v>0.27</v>
      </c>
      <c r="AC46" s="258">
        <v>46114</v>
      </c>
      <c r="AH46" s="232">
        <f t="shared" ca="1" si="50"/>
        <v>46120</v>
      </c>
      <c r="AI46" s="232" t="b">
        <f t="shared" si="51"/>
        <v>0</v>
      </c>
      <c r="AJ46" s="259">
        <f t="shared" ca="1" si="37"/>
        <v>-6</v>
      </c>
      <c r="AM46" s="223">
        <f t="shared" si="52"/>
        <v>14</v>
      </c>
      <c r="AN46" s="223">
        <f t="shared" si="53"/>
        <v>2026</v>
      </c>
      <c r="AU46" s="223">
        <f t="shared" si="54"/>
        <v>4</v>
      </c>
      <c r="AV46" s="223">
        <f t="shared" si="55"/>
        <v>2026</v>
      </c>
    </row>
    <row r="47" spans="1:48" ht="26.25" x14ac:dyDescent="0.4">
      <c r="D47" s="246" t="s">
        <v>491</v>
      </c>
      <c r="E47" s="262" t="s">
        <v>263</v>
      </c>
      <c r="F47" s="263">
        <v>1395</v>
      </c>
      <c r="G47" s="249" t="s">
        <v>4</v>
      </c>
      <c r="H47" s="250">
        <v>2.4900000000000002</v>
      </c>
      <c r="I47" s="251">
        <v>46036</v>
      </c>
      <c r="J47" s="252" t="s">
        <v>243</v>
      </c>
      <c r="K47" s="252"/>
      <c r="L47" s="253">
        <v>7.0000000000000007E-2</v>
      </c>
      <c r="M47" s="254">
        <f ca="1">IF(ISERROR(OFFSET(Tabella!$A$1,MATCH(J47,Tabella!$A:$A,0)-1,MATCH(L47,Tabella!$A$1:$AC$1,0)-1)=TRUE),0,+OFFSET(Tabella!$A$1,MATCH(J47,Tabella!$A:$A,0)-1,MATCH(L47,Tabella!$A$1:$AC$1,0)-1))</f>
        <v>1.4</v>
      </c>
      <c r="N47" s="255">
        <f ca="1">IF(ISERROR(OFFSET(Ottone!$A$1,MATCH(J47,Ottone!$A:$A,0)-1,MATCH(L47,Ottone!$A$1:$Z$1,0)-1)=TRUE),0,OFFSET(Ottone!$A$1,MATCH(J47,Ottone!$A:$A,0)-1,MATCH(L47,Ottone!$A$1:$Z$1,0)-1))*IF(G47="Ottone",1,0)</f>
        <v>0</v>
      </c>
      <c r="O47" s="255">
        <f ca="1">IF(ISERROR(OFFSET(Rame!$A$1,MATCH(J47,Rame!$A:$A,0)-1,MATCH(L47,Rame!$A$1:$AA$1,0)-1)=TRUE),0,OFFSET(Rame!$A$1,MATCH(J47,Rame!$A:$A,0)-1,MATCH(L47,Rame!$A$1:$AA$1,0)-1))*IF(G47="Rame",1,0)</f>
        <v>0</v>
      </c>
      <c r="P47" s="255">
        <v>0</v>
      </c>
      <c r="Q47" s="255">
        <f t="shared" ca="1" si="56"/>
        <v>1.4</v>
      </c>
      <c r="R47" s="255">
        <f ca="1">+IF(ISERROR(OFFSET(Tabella!$G$1,MATCH(J47,Tabella!$G:$G,0)-1,MATCH(K47,Tabella!$G$1:$FG$1,0)-1)=TRUE),0,OFFSET(Tabella!$G$1,MATCH(J47,Tabella!$G:$G,0)-1,MATCH(K47,Tabella!$G$1:$AB$1,0)-1))</f>
        <v>0</v>
      </c>
      <c r="S47" s="255">
        <f ca="1">IF(ISERROR(OFFSET(Ottone!$F$1,MATCH(J47,Ottone!$A:$A,0)-1,MATCH(K47,Ottone!$F$1:$FF$1,0)-1)=TRUE),0,OFFSET(Ottone!$F$1,MATCH(J47,Ottone!$A:$A,0)-1,MATCH(K47,Ottone!$F$1:$FF$1,0)-1))*IF(G47="Ottone",1,0)</f>
        <v>0</v>
      </c>
      <c r="T47" s="255">
        <f ca="1">IF(ISERROR(OFFSET(Rame!$F$1,MATCH(J47,Rame!$F:$F,0)-1,MATCH(K47,Rame!$F$1:$FF$1,0)-1)=TRUE),0,OFFSET(Rame!$F$1,MATCH(J47,Rame!$F:$F,0)-1,MATCH(K47,Rame!$F$1:$FF$1,0)-1))*IF(G47="Rame",1,0)</f>
        <v>0</v>
      </c>
      <c r="U47" s="255">
        <f ca="1">IF(ISERROR(OFFSET(Bronzo!$A$1,MATCH(J47,Bronzo!$A:$A,0)-1,MATCH(K47,Bronzo!$A$1:$AA$1,0)-1)=TRUE),0,OFFSET(Bronzo!$A$1,MATCH(J47,Bronzo!$A:$A,0)-1,MATCH(K47,Bronzo!$A$1:$AA$1,0)-1))</f>
        <v>0</v>
      </c>
      <c r="V47" s="255">
        <f t="shared" ca="1" si="57"/>
        <v>0</v>
      </c>
      <c r="W47" s="254"/>
      <c r="X47" s="255">
        <v>0</v>
      </c>
      <c r="Y47" s="256">
        <f t="shared" ca="1" si="58"/>
        <v>1.4</v>
      </c>
      <c r="Z47" s="269">
        <f t="shared" si="59"/>
        <v>97.65</v>
      </c>
      <c r="AA47" s="253">
        <v>4.16</v>
      </c>
      <c r="AB47" s="253">
        <f t="shared" ca="1" si="60"/>
        <v>0.27</v>
      </c>
      <c r="AC47" s="258"/>
      <c r="AF47" s="223" t="s">
        <v>405</v>
      </c>
      <c r="AH47" s="232">
        <f t="shared" ca="1" si="50"/>
        <v>46120</v>
      </c>
      <c r="AI47" s="232" t="b">
        <f t="shared" si="51"/>
        <v>1</v>
      </c>
      <c r="AJ47" s="259" t="str">
        <f t="shared" si="37"/>
        <v/>
      </c>
      <c r="AM47" s="223">
        <f t="shared" si="52"/>
        <v>0</v>
      </c>
      <c r="AN47" s="223">
        <f t="shared" si="53"/>
        <v>1900</v>
      </c>
      <c r="AU47" s="223">
        <f t="shared" si="54"/>
        <v>0</v>
      </c>
      <c r="AV47" s="223">
        <f t="shared" si="55"/>
        <v>0</v>
      </c>
    </row>
    <row r="48" spans="1:48" ht="26.25" x14ac:dyDescent="0.4">
      <c r="D48" s="246" t="s">
        <v>468</v>
      </c>
      <c r="E48" s="262" t="s">
        <v>212</v>
      </c>
      <c r="F48" s="263">
        <v>832</v>
      </c>
      <c r="G48" s="249" t="s">
        <v>4</v>
      </c>
      <c r="H48" s="250">
        <v>2.48</v>
      </c>
      <c r="I48" s="251">
        <v>46036</v>
      </c>
      <c r="J48" s="252" t="s">
        <v>309</v>
      </c>
      <c r="K48" s="252"/>
      <c r="L48" s="253">
        <v>0.05</v>
      </c>
      <c r="M48" s="254">
        <f ca="1">IF(ISERROR(OFFSET(Tabella!$A$1,MATCH(J48,Tabella!$A:$A,0)-1,MATCH(L48,Tabella!$A$1:$AC$1,0)-1)=TRUE),0,+OFFSET(Tabella!$A$1,MATCH(J48,Tabella!$A:$A,0)-1,MATCH(L48,Tabella!$A$1:$AC$1,0)-1))</f>
        <v>0</v>
      </c>
      <c r="N48" s="255">
        <f ca="1">IF(ISERROR(OFFSET(Ottone!$A$1,MATCH(J48,Ottone!$A:$A,0)-1,MATCH(L48,Ottone!$A$1:$Z$1,0)-1)=TRUE),0,OFFSET(Ottone!$A$1,MATCH(J48,Ottone!$A:$A,0)-1,MATCH(L48,Ottone!$A$1:$Z$1,0)-1))*IF(G48="Ottone",1,0)</f>
        <v>0</v>
      </c>
      <c r="O48" s="255">
        <f ca="1">IF(ISERROR(OFFSET(Rame!$A$1,MATCH(J48,Rame!$A:$A,0)-1,MATCH(L48,Rame!$A$1:$AA$1,0)-1)=TRUE),0,OFFSET(Rame!$A$1,MATCH(J48,Rame!$A:$A,0)-1,MATCH(L48,Rame!$A$1:$AA$1,0)-1))*IF(G48="Rame",1,0)</f>
        <v>0</v>
      </c>
      <c r="P48" s="255">
        <v>0</v>
      </c>
      <c r="Q48" s="255">
        <v>1.47</v>
      </c>
      <c r="R48" s="255">
        <f ca="1">+IF(ISERROR(OFFSET(Tabella!$G$1,MATCH(J48,Tabella!$G:$G,0)-1,MATCH(K48,Tabella!$G$1:$FG$1,0)-1)=TRUE),0,OFFSET(Tabella!$G$1,MATCH(J48,Tabella!$G:$G,0)-1,MATCH(K48,Tabella!$G$1:$AB$1,0)-1))</f>
        <v>0</v>
      </c>
      <c r="S48" s="255">
        <f ca="1">IF(ISERROR(OFFSET(Ottone!$F$1,MATCH(J48,Ottone!$A:$A,0)-1,MATCH(K48,Ottone!$F$1:$FF$1,0)-1)=TRUE),0,OFFSET(Ottone!$F$1,MATCH(J48,Ottone!$A:$A,0)-1,MATCH(K48,Ottone!$F$1:$FF$1,0)-1))*IF(G48="Ottone",1,0)</f>
        <v>0</v>
      </c>
      <c r="T48" s="255">
        <f ca="1">IF(ISERROR(OFFSET(Rame!$F$1,MATCH(J48,Rame!$F:$F,0)-1,MATCH(K48,Rame!$F$1:$FF$1,0)-1)=TRUE),0,OFFSET(Rame!$F$1,MATCH(J48,Rame!$F:$F,0)-1,MATCH(K48,Rame!$F$1:$FF$1,0)-1))*IF(G48="Rame",1,0)</f>
        <v>0</v>
      </c>
      <c r="U48" s="255">
        <f ca="1">IF(ISERROR(OFFSET(Bronzo!$A$1,MATCH(J48,Bronzo!$A:$A,0)-1,MATCH(K48,Bronzo!$A$1:$AA$1,0)-1)=TRUE),0,OFFSET(Bronzo!$A$1,MATCH(J48,Bronzo!$A:$A,0)-1,MATCH(K48,Bronzo!$A$1:$AA$1,0)-1))</f>
        <v>0</v>
      </c>
      <c r="V48" s="255">
        <f t="shared" ca="1" si="57"/>
        <v>0</v>
      </c>
      <c r="W48" s="254"/>
      <c r="X48" s="255">
        <v>0</v>
      </c>
      <c r="Y48" s="256">
        <f t="shared" ca="1" si="58"/>
        <v>1.47</v>
      </c>
      <c r="Z48" s="269">
        <f t="shared" si="59"/>
        <v>41.6</v>
      </c>
      <c r="AA48" s="253">
        <v>3.95</v>
      </c>
      <c r="AB48" s="253">
        <f t="shared" ca="1" si="60"/>
        <v>0</v>
      </c>
      <c r="AC48" s="258"/>
      <c r="AF48" s="223" t="s">
        <v>405</v>
      </c>
      <c r="AH48" s="232">
        <f t="shared" ca="1" si="50"/>
        <v>46120</v>
      </c>
      <c r="AI48" s="232" t="b">
        <f t="shared" si="51"/>
        <v>1</v>
      </c>
      <c r="AJ48" s="259" t="str">
        <f t="shared" si="37"/>
        <v/>
      </c>
      <c r="AM48" s="223">
        <f t="shared" si="52"/>
        <v>0</v>
      </c>
      <c r="AN48" s="223">
        <f t="shared" si="53"/>
        <v>1900</v>
      </c>
      <c r="AU48" s="223">
        <f t="shared" si="54"/>
        <v>0</v>
      </c>
      <c r="AV48" s="223">
        <f t="shared" si="55"/>
        <v>0</v>
      </c>
    </row>
    <row r="49" spans="4:48" ht="26.25" x14ac:dyDescent="0.4">
      <c r="D49" s="246" t="s">
        <v>499</v>
      </c>
      <c r="E49" s="262" t="s">
        <v>212</v>
      </c>
      <c r="F49" s="263">
        <v>1067</v>
      </c>
      <c r="G49" s="249" t="s">
        <v>4</v>
      </c>
      <c r="H49" s="250">
        <v>2.48</v>
      </c>
      <c r="I49" s="251">
        <v>46036</v>
      </c>
      <c r="J49" s="252" t="s">
        <v>27</v>
      </c>
      <c r="K49" s="252"/>
      <c r="L49" s="253">
        <v>0.05</v>
      </c>
      <c r="M49" s="254">
        <f ca="1">IF(ISERROR(OFFSET(Tabella!$A$1,MATCH(J49,Tabella!$A:$A,0)-1,MATCH(L49,Tabella!$A$1:$AC$1,0)-1)=TRUE),0,+OFFSET(Tabella!$A$1,MATCH(J49,Tabella!$A:$A,0)-1,MATCH(L49,Tabella!$A$1:$AC$1,0)-1))</f>
        <v>0</v>
      </c>
      <c r="N49" s="255">
        <f ca="1">IF(ISERROR(OFFSET(Ottone!$A$1,MATCH(J49,Ottone!$A:$A,0)-1,MATCH(L49,Ottone!$A$1:$Z$1,0)-1)=TRUE),0,OFFSET(Ottone!$A$1,MATCH(J49,Ottone!$A:$A,0)-1,MATCH(L49,Ottone!$A$1:$Z$1,0)-1))*IF(G49="Ottone",1,0)</f>
        <v>0</v>
      </c>
      <c r="O49" s="255">
        <f ca="1">IF(ISERROR(OFFSET(Rame!$A$1,MATCH(J49,Rame!$A:$A,0)-1,MATCH(L49,Rame!$A$1:$AA$1,0)-1)=TRUE),0,OFFSET(Rame!$A$1,MATCH(J49,Rame!$A:$A,0)-1,MATCH(L49,Rame!$A$1:$AA$1,0)-1))*IF(G49="Rame",1,0)</f>
        <v>0</v>
      </c>
      <c r="P49" s="255">
        <v>0</v>
      </c>
      <c r="Q49" s="255">
        <v>1.47</v>
      </c>
      <c r="R49" s="255">
        <f ca="1">+IF(ISERROR(OFFSET(Tabella!$G$1,MATCH(J49,Tabella!$G:$G,0)-1,MATCH(K49,Tabella!$G$1:$FG$1,0)-1)=TRUE),0,OFFSET(Tabella!$G$1,MATCH(J49,Tabella!$G:$G,0)-1,MATCH(K49,Tabella!$G$1:$AB$1,0)-1))</f>
        <v>0</v>
      </c>
      <c r="S49" s="255">
        <f ca="1">IF(ISERROR(OFFSET(Ottone!$F$1,MATCH(J49,Ottone!$A:$A,0)-1,MATCH(K49,Ottone!$F$1:$FF$1,0)-1)=TRUE),0,OFFSET(Ottone!$F$1,MATCH(J49,Ottone!$A:$A,0)-1,MATCH(K49,Ottone!$F$1:$FF$1,0)-1))*IF(G49="Ottone",1,0)</f>
        <v>0</v>
      </c>
      <c r="T49" s="255">
        <f ca="1">IF(ISERROR(OFFSET(Rame!$F$1,MATCH(J49,Rame!$F:$F,0)-1,MATCH(K49,Rame!$F$1:$FF$1,0)-1)=TRUE),0,OFFSET(Rame!$F$1,MATCH(J49,Rame!$F:$F,0)-1,MATCH(K49,Rame!$F$1:$FF$1,0)-1))*IF(G49="Rame",1,0)</f>
        <v>0</v>
      </c>
      <c r="U49" s="255">
        <f ca="1">IF(ISERROR(OFFSET(Bronzo!$A$1,MATCH(J49,Bronzo!$A:$A,0)-1,MATCH(K49,Bronzo!$A$1:$AA$1,0)-1)=TRUE),0,OFFSET(Bronzo!$A$1,MATCH(J49,Bronzo!$A:$A,0)-1,MATCH(K49,Bronzo!$A$1:$AA$1,0)-1))</f>
        <v>0</v>
      </c>
      <c r="V49" s="255">
        <f t="shared" ca="1" si="57"/>
        <v>0</v>
      </c>
      <c r="W49" s="254"/>
      <c r="X49" s="255">
        <v>0</v>
      </c>
      <c r="Y49" s="256">
        <f t="shared" ca="1" si="58"/>
        <v>1.47</v>
      </c>
      <c r="Z49" s="269">
        <f t="shared" si="59"/>
        <v>53.35</v>
      </c>
      <c r="AA49" s="253">
        <v>3.95</v>
      </c>
      <c r="AB49" s="253">
        <f t="shared" ca="1" si="60"/>
        <v>0</v>
      </c>
      <c r="AC49" s="258"/>
      <c r="AF49" s="223" t="s">
        <v>405</v>
      </c>
      <c r="AH49" s="232">
        <f t="shared" ca="1" si="50"/>
        <v>46120</v>
      </c>
      <c r="AI49" s="232" t="b">
        <f t="shared" si="51"/>
        <v>1</v>
      </c>
      <c r="AJ49" s="259" t="str">
        <f t="shared" ref="AJ49:AJ71" si="61">IF(AI49=FALSE,_xlfn.DAYS(AC49,AH49),"")</f>
        <v/>
      </c>
      <c r="AM49" s="223">
        <f t="shared" si="52"/>
        <v>0</v>
      </c>
      <c r="AN49" s="223">
        <f t="shared" si="53"/>
        <v>1900</v>
      </c>
      <c r="AU49" s="223">
        <f t="shared" si="54"/>
        <v>0</v>
      </c>
      <c r="AV49" s="223">
        <f t="shared" si="55"/>
        <v>0</v>
      </c>
    </row>
    <row r="50" spans="4:48" ht="26.25" x14ac:dyDescent="0.4">
      <c r="D50" s="246" t="s">
        <v>500</v>
      </c>
      <c r="E50" s="262" t="s">
        <v>212</v>
      </c>
      <c r="F50" s="263">
        <v>1186</v>
      </c>
      <c r="G50" s="249" t="s">
        <v>4</v>
      </c>
      <c r="H50" s="250">
        <v>2.48</v>
      </c>
      <c r="I50" s="251">
        <v>46036</v>
      </c>
      <c r="J50" s="252" t="s">
        <v>29</v>
      </c>
      <c r="K50" s="252"/>
      <c r="L50" s="253">
        <v>0.05</v>
      </c>
      <c r="M50" s="254">
        <f ca="1">IF(ISERROR(OFFSET(Tabella!$A$1,MATCH(J50,Tabella!$A:$A,0)-1,MATCH(L50,Tabella!$A$1:$AC$1,0)-1)=TRUE),0,+OFFSET(Tabella!$A$1,MATCH(J50,Tabella!$A:$A,0)-1,MATCH(L50,Tabella!$A$1:$AC$1,0)-1))</f>
        <v>0</v>
      </c>
      <c r="N50" s="255">
        <f ca="1">IF(ISERROR(OFFSET(Ottone!$A$1,MATCH(J50,Ottone!$A:$A,0)-1,MATCH(L50,Ottone!$A$1:$Z$1,0)-1)=TRUE),0,OFFSET(Ottone!$A$1,MATCH(J50,Ottone!$A:$A,0)-1,MATCH(L50,Ottone!$A$1:$Z$1,0)-1))*IF(G50="Ottone",1,0)</f>
        <v>0</v>
      </c>
      <c r="O50" s="255">
        <f ca="1">IF(ISERROR(OFFSET(Rame!$A$1,MATCH(J50,Rame!$A:$A,0)-1,MATCH(L50,Rame!$A$1:$AA$1,0)-1)=TRUE),0,OFFSET(Rame!$A$1,MATCH(J50,Rame!$A:$A,0)-1,MATCH(L50,Rame!$A$1:$AA$1,0)-1))*IF(G50="Rame",1,0)</f>
        <v>0</v>
      </c>
      <c r="P50" s="255">
        <v>0</v>
      </c>
      <c r="Q50" s="255">
        <v>1.47</v>
      </c>
      <c r="R50" s="255">
        <f ca="1">+IF(ISERROR(OFFSET(Tabella!$G$1,MATCH(J50,Tabella!$G:$G,0)-1,MATCH(K50,Tabella!$G$1:$FG$1,0)-1)=TRUE),0,OFFSET(Tabella!$G$1,MATCH(J50,Tabella!$G:$G,0)-1,MATCH(K50,Tabella!$G$1:$AB$1,0)-1))</f>
        <v>0</v>
      </c>
      <c r="S50" s="255">
        <f ca="1">IF(ISERROR(OFFSET(Ottone!$F$1,MATCH(J50,Ottone!$A:$A,0)-1,MATCH(K50,Ottone!$F$1:$FF$1,0)-1)=TRUE),0,OFFSET(Ottone!$F$1,MATCH(J50,Ottone!$A:$A,0)-1,MATCH(K50,Ottone!$F$1:$FF$1,0)-1))*IF(G50="Ottone",1,0)</f>
        <v>0</v>
      </c>
      <c r="T50" s="255">
        <f ca="1">IF(ISERROR(OFFSET(Rame!$F$1,MATCH(J50,Rame!$F:$F,0)-1,MATCH(K50,Rame!$F$1:$FF$1,0)-1)=TRUE),0,OFFSET(Rame!$F$1,MATCH(J50,Rame!$F:$F,0)-1,MATCH(K50,Rame!$F$1:$FF$1,0)-1))*IF(G50="Rame",1,0)</f>
        <v>0</v>
      </c>
      <c r="U50" s="255">
        <f ca="1">IF(ISERROR(OFFSET(Bronzo!$A$1,MATCH(J50,Bronzo!$A:$A,0)-1,MATCH(K50,Bronzo!$A$1:$AA$1,0)-1)=TRUE),0,OFFSET(Bronzo!$A$1,MATCH(J50,Bronzo!$A:$A,0)-1,MATCH(K50,Bronzo!$A$1:$AA$1,0)-1))</f>
        <v>0</v>
      </c>
      <c r="V50" s="255">
        <f t="shared" ca="1" si="57"/>
        <v>0</v>
      </c>
      <c r="W50" s="254"/>
      <c r="X50" s="255">
        <v>0</v>
      </c>
      <c r="Y50" s="256">
        <f t="shared" ca="1" si="58"/>
        <v>1.47</v>
      </c>
      <c r="Z50" s="269">
        <f t="shared" si="59"/>
        <v>59.300000000000004</v>
      </c>
      <c r="AA50" s="253">
        <v>3.95</v>
      </c>
      <c r="AB50" s="253">
        <f t="shared" ca="1" si="60"/>
        <v>0</v>
      </c>
      <c r="AC50" s="258"/>
      <c r="AF50" s="223" t="s">
        <v>405</v>
      </c>
      <c r="AH50" s="232">
        <f t="shared" ca="1" si="50"/>
        <v>46120</v>
      </c>
      <c r="AI50" s="232" t="b">
        <f t="shared" si="51"/>
        <v>1</v>
      </c>
      <c r="AJ50" s="259" t="str">
        <f t="shared" si="61"/>
        <v/>
      </c>
      <c r="AM50" s="223">
        <f t="shared" si="52"/>
        <v>0</v>
      </c>
      <c r="AN50" s="223">
        <f t="shared" si="53"/>
        <v>1900</v>
      </c>
      <c r="AU50" s="223">
        <f t="shared" si="54"/>
        <v>0</v>
      </c>
      <c r="AV50" s="223">
        <f t="shared" si="55"/>
        <v>0</v>
      </c>
    </row>
    <row r="51" spans="4:48" ht="26.25" x14ac:dyDescent="0.4">
      <c r="D51" s="246" t="s">
        <v>513</v>
      </c>
      <c r="E51" s="262" t="s">
        <v>212</v>
      </c>
      <c r="F51" s="263">
        <v>1746</v>
      </c>
      <c r="G51" s="249" t="s">
        <v>4</v>
      </c>
      <c r="H51" s="250">
        <v>2.48</v>
      </c>
      <c r="I51" s="251">
        <v>46036</v>
      </c>
      <c r="J51" s="252" t="s">
        <v>309</v>
      </c>
      <c r="K51" s="252"/>
      <c r="L51" s="253">
        <v>0.05</v>
      </c>
      <c r="M51" s="254">
        <f ca="1">IF(ISERROR(OFFSET(Tabella!$A$1,MATCH(J51,Tabella!$A:$A,0)-1,MATCH(L51,Tabella!$A$1:$AC$1,0)-1)=TRUE),0,+OFFSET(Tabella!$A$1,MATCH(J51,Tabella!$A:$A,0)-1,MATCH(L51,Tabella!$A$1:$AC$1,0)-1))</f>
        <v>0</v>
      </c>
      <c r="N51" s="255">
        <f ca="1">IF(ISERROR(OFFSET(Ottone!$A$1,MATCH(J51,Ottone!$A:$A,0)-1,MATCH(L51,Ottone!$A$1:$Z$1,0)-1)=TRUE),0,OFFSET(Ottone!$A$1,MATCH(J51,Ottone!$A:$A,0)-1,MATCH(L51,Ottone!$A$1:$Z$1,0)-1))*IF(G51="Ottone",1,0)</f>
        <v>0</v>
      </c>
      <c r="O51" s="255">
        <f ca="1">IF(ISERROR(OFFSET(Rame!$A$1,MATCH(J51,Rame!$A:$A,0)-1,MATCH(L51,Rame!$A$1:$AA$1,0)-1)=TRUE),0,OFFSET(Rame!$A$1,MATCH(J51,Rame!$A:$A,0)-1,MATCH(L51,Rame!$A$1:$AA$1,0)-1))*IF(G51="Rame",1,0)</f>
        <v>0</v>
      </c>
      <c r="P51" s="255">
        <v>0</v>
      </c>
      <c r="Q51" s="255">
        <v>1.47</v>
      </c>
      <c r="R51" s="255">
        <f ca="1">+IF(ISERROR(OFFSET(Tabella!$G$1,MATCH(J51,Tabella!$G:$G,0)-1,MATCH(K51,Tabella!$G$1:$FG$1,0)-1)=TRUE),0,OFFSET(Tabella!$G$1,MATCH(J51,Tabella!$G:$G,0)-1,MATCH(K51,Tabella!$G$1:$AB$1,0)-1))</f>
        <v>0</v>
      </c>
      <c r="S51" s="255">
        <f ca="1">IF(ISERROR(OFFSET(Ottone!$F$1,MATCH(J51,Ottone!$A:$A,0)-1,MATCH(K51,Ottone!$F$1:$FF$1,0)-1)=TRUE),0,OFFSET(Ottone!$F$1,MATCH(J51,Ottone!$A:$A,0)-1,MATCH(K51,Ottone!$F$1:$FF$1,0)-1))*IF(G51="Ottone",1,0)</f>
        <v>0</v>
      </c>
      <c r="T51" s="255">
        <f ca="1">IF(ISERROR(OFFSET(Rame!$F$1,MATCH(J51,Rame!$F:$F,0)-1,MATCH(K51,Rame!$F$1:$FF$1,0)-1)=TRUE),0,OFFSET(Rame!$F$1,MATCH(J51,Rame!$F:$F,0)-1,MATCH(K51,Rame!$F$1:$FF$1,0)-1))*IF(G51="Rame",1,0)</f>
        <v>0</v>
      </c>
      <c r="U51" s="255">
        <f ca="1">IF(ISERROR(OFFSET(Bronzo!$A$1,MATCH(J51,Bronzo!$A:$A,0)-1,MATCH(K51,Bronzo!$A$1:$AA$1,0)-1)=TRUE),0,OFFSET(Bronzo!$A$1,MATCH(J51,Bronzo!$A:$A,0)-1,MATCH(K51,Bronzo!$A$1:$AA$1,0)-1))</f>
        <v>0</v>
      </c>
      <c r="V51" s="255">
        <f t="shared" ca="1" si="57"/>
        <v>0</v>
      </c>
      <c r="W51" s="254"/>
      <c r="X51" s="255">
        <v>0</v>
      </c>
      <c r="Y51" s="256">
        <f t="shared" ca="1" si="58"/>
        <v>1.47</v>
      </c>
      <c r="Z51" s="269">
        <f t="shared" si="59"/>
        <v>87.300000000000011</v>
      </c>
      <c r="AA51" s="253">
        <v>3.95</v>
      </c>
      <c r="AB51" s="253">
        <f t="shared" ca="1" si="60"/>
        <v>0</v>
      </c>
      <c r="AC51" s="258"/>
      <c r="AF51" s="223" t="s">
        <v>405</v>
      </c>
      <c r="AH51" s="232">
        <f t="shared" ca="1" si="50"/>
        <v>46120</v>
      </c>
      <c r="AI51" s="232" t="b">
        <f t="shared" si="51"/>
        <v>1</v>
      </c>
      <c r="AJ51" s="259" t="str">
        <f t="shared" si="61"/>
        <v/>
      </c>
      <c r="AM51" s="223">
        <f t="shared" si="52"/>
        <v>0</v>
      </c>
      <c r="AN51" s="223">
        <f t="shared" si="53"/>
        <v>1900</v>
      </c>
      <c r="AU51" s="223">
        <f t="shared" si="54"/>
        <v>0</v>
      </c>
      <c r="AV51" s="223">
        <f t="shared" si="55"/>
        <v>0</v>
      </c>
    </row>
    <row r="52" spans="4:48" ht="26.25" x14ac:dyDescent="0.4">
      <c r="D52" s="246" t="s">
        <v>505</v>
      </c>
      <c r="E52" s="262" t="s">
        <v>212</v>
      </c>
      <c r="F52" s="263">
        <v>714</v>
      </c>
      <c r="G52" s="249" t="s">
        <v>4</v>
      </c>
      <c r="H52" s="250">
        <v>2.48</v>
      </c>
      <c r="I52" s="251">
        <v>46036</v>
      </c>
      <c r="J52" s="252" t="s">
        <v>21</v>
      </c>
      <c r="K52" s="252"/>
      <c r="L52" s="253">
        <v>0.05</v>
      </c>
      <c r="M52" s="254">
        <f ca="1">IF(ISERROR(OFFSET(Tabella!$A$1,MATCH(J52,Tabella!$A:$A,0)-1,MATCH(L52,Tabella!$A$1:$AC$1,0)-1)=TRUE),0,+OFFSET(Tabella!$A$1,MATCH(J52,Tabella!$A:$A,0)-1,MATCH(L52,Tabella!$A$1:$AC$1,0)-1))</f>
        <v>0</v>
      </c>
      <c r="N52" s="255">
        <f ca="1">IF(ISERROR(OFFSET(Ottone!$A$1,MATCH(J52,Ottone!$A:$A,0)-1,MATCH(L52,Ottone!$A$1:$Z$1,0)-1)=TRUE),0,OFFSET(Ottone!$A$1,MATCH(J52,Ottone!$A:$A,0)-1,MATCH(L52,Ottone!$A$1:$Z$1,0)-1))*IF(G52="Ottone",1,0)</f>
        <v>0</v>
      </c>
      <c r="O52" s="255">
        <f ca="1">IF(ISERROR(OFFSET(Rame!$A$1,MATCH(J52,Rame!$A:$A,0)-1,MATCH(L52,Rame!$A$1:$AA$1,0)-1)=TRUE),0,OFFSET(Rame!$A$1,MATCH(J52,Rame!$A:$A,0)-1,MATCH(L52,Rame!$A$1:$AA$1,0)-1))*IF(G52="Rame",1,0)</f>
        <v>0</v>
      </c>
      <c r="P52" s="255">
        <v>0</v>
      </c>
      <c r="Q52" s="255">
        <v>1.47</v>
      </c>
      <c r="R52" s="255">
        <f ca="1">+IF(ISERROR(OFFSET(Tabella!$G$1,MATCH(J52,Tabella!$G:$G,0)-1,MATCH(K52,Tabella!$G$1:$FG$1,0)-1)=TRUE),0,OFFSET(Tabella!$G$1,MATCH(J52,Tabella!$G:$G,0)-1,MATCH(K52,Tabella!$G$1:$AB$1,0)-1))</f>
        <v>0</v>
      </c>
      <c r="S52" s="255">
        <f ca="1">IF(ISERROR(OFFSET(Ottone!$F$1,MATCH(J52,Ottone!$A:$A,0)-1,MATCH(K52,Ottone!$F$1:$FF$1,0)-1)=TRUE),0,OFFSET(Ottone!$F$1,MATCH(J52,Ottone!$A:$A,0)-1,MATCH(K52,Ottone!$F$1:$FF$1,0)-1))*IF(G52="Ottone",1,0)</f>
        <v>0</v>
      </c>
      <c r="T52" s="255">
        <f ca="1">IF(ISERROR(OFFSET(Rame!$F$1,MATCH(J52,Rame!$F:$F,0)-1,MATCH(K52,Rame!$F$1:$FF$1,0)-1)=TRUE),0,OFFSET(Rame!$F$1,MATCH(J52,Rame!$F:$F,0)-1,MATCH(K52,Rame!$F$1:$FF$1,0)-1))*IF(G52="Rame",1,0)</f>
        <v>0</v>
      </c>
      <c r="U52" s="255">
        <f ca="1">IF(ISERROR(OFFSET(Bronzo!$A$1,MATCH(J52,Bronzo!$A:$A,0)-1,MATCH(K52,Bronzo!$A$1:$AA$1,0)-1)=TRUE),0,OFFSET(Bronzo!$A$1,MATCH(J52,Bronzo!$A:$A,0)-1,MATCH(K52,Bronzo!$A$1:$AA$1,0)-1))</f>
        <v>0</v>
      </c>
      <c r="V52" s="255">
        <f t="shared" ca="1" si="57"/>
        <v>0</v>
      </c>
      <c r="W52" s="254"/>
      <c r="X52" s="255">
        <v>0</v>
      </c>
      <c r="Y52" s="256">
        <f t="shared" ca="1" si="58"/>
        <v>1.47</v>
      </c>
      <c r="Z52" s="269">
        <f t="shared" si="59"/>
        <v>35.700000000000003</v>
      </c>
      <c r="AA52" s="253">
        <v>3.95</v>
      </c>
      <c r="AB52" s="253">
        <f t="shared" ca="1" si="60"/>
        <v>0</v>
      </c>
      <c r="AC52" s="258"/>
      <c r="AF52" s="223" t="s">
        <v>405</v>
      </c>
      <c r="AH52" s="232">
        <f t="shared" ca="1" si="50"/>
        <v>46120</v>
      </c>
      <c r="AI52" s="232" t="b">
        <f t="shared" si="51"/>
        <v>1</v>
      </c>
      <c r="AJ52" s="259" t="str">
        <f t="shared" si="61"/>
        <v/>
      </c>
      <c r="AM52" s="223">
        <f t="shared" si="52"/>
        <v>0</v>
      </c>
      <c r="AN52" s="223">
        <f t="shared" si="53"/>
        <v>1900</v>
      </c>
      <c r="AU52" s="223">
        <f t="shared" si="54"/>
        <v>0</v>
      </c>
      <c r="AV52" s="223">
        <f t="shared" si="55"/>
        <v>0</v>
      </c>
    </row>
    <row r="53" spans="4:48" ht="26.25" x14ac:dyDescent="0.4">
      <c r="D53" s="246" t="s">
        <v>462</v>
      </c>
      <c r="E53" s="262" t="s">
        <v>212</v>
      </c>
      <c r="F53" s="263">
        <v>504</v>
      </c>
      <c r="G53" s="249" t="s">
        <v>4</v>
      </c>
      <c r="H53" s="250">
        <v>2.48</v>
      </c>
      <c r="I53" s="251">
        <v>46036</v>
      </c>
      <c r="J53" s="252" t="s">
        <v>24</v>
      </c>
      <c r="K53" s="252"/>
      <c r="L53" s="253">
        <v>0.05</v>
      </c>
      <c r="M53" s="254">
        <f ca="1">IF(ISERROR(OFFSET(Tabella!$A$1,MATCH(J53,Tabella!$A:$A,0)-1,MATCH(L53,Tabella!$A$1:$AC$1,0)-1)=TRUE),0,+OFFSET(Tabella!$A$1,MATCH(J53,Tabella!$A:$A,0)-1,MATCH(L53,Tabella!$A$1:$AC$1,0)-1))</f>
        <v>0</v>
      </c>
      <c r="N53" s="255">
        <f ca="1">IF(ISERROR(OFFSET(Ottone!$A$1,MATCH(J53,Ottone!$A:$A,0)-1,MATCH(L53,Ottone!$A$1:$Z$1,0)-1)=TRUE),0,OFFSET(Ottone!$A$1,MATCH(J53,Ottone!$A:$A,0)-1,MATCH(L53,Ottone!$A$1:$Z$1,0)-1))*IF(G53="Ottone",1,0)</f>
        <v>0</v>
      </c>
      <c r="O53" s="255">
        <f ca="1">IF(ISERROR(OFFSET(Rame!$A$1,MATCH(J53,Rame!$A:$A,0)-1,MATCH(L53,Rame!$A$1:$AA$1,0)-1)=TRUE),0,OFFSET(Rame!$A$1,MATCH(J53,Rame!$A:$A,0)-1,MATCH(L53,Rame!$A$1:$AA$1,0)-1))*IF(G53="Rame",1,0)</f>
        <v>0</v>
      </c>
      <c r="P53" s="255">
        <v>0</v>
      </c>
      <c r="Q53" s="255">
        <v>1.47</v>
      </c>
      <c r="R53" s="255">
        <f ca="1">+IF(ISERROR(OFFSET(Tabella!$G$1,MATCH(J53,Tabella!$G:$G,0)-1,MATCH(K53,Tabella!$G$1:$FG$1,0)-1)=TRUE),0,OFFSET(Tabella!$G$1,MATCH(J53,Tabella!$G:$G,0)-1,MATCH(K53,Tabella!$G$1:$AB$1,0)-1))</f>
        <v>0</v>
      </c>
      <c r="S53" s="255">
        <f ca="1">IF(ISERROR(OFFSET(Ottone!$F$1,MATCH(J53,Ottone!$A:$A,0)-1,MATCH(K53,Ottone!$F$1:$FF$1,0)-1)=TRUE),0,OFFSET(Ottone!$F$1,MATCH(J53,Ottone!$A:$A,0)-1,MATCH(K53,Ottone!$F$1:$FF$1,0)-1))*IF(G53="Ottone",1,0)</f>
        <v>0</v>
      </c>
      <c r="T53" s="255">
        <f ca="1">IF(ISERROR(OFFSET(Rame!$F$1,MATCH(J53,Rame!$F:$F,0)-1,MATCH(K53,Rame!$F$1:$FF$1,0)-1)=TRUE),0,OFFSET(Rame!$F$1,MATCH(J53,Rame!$F:$F,0)-1,MATCH(K53,Rame!$F$1:$FF$1,0)-1))*IF(G53="Rame",1,0)</f>
        <v>0</v>
      </c>
      <c r="U53" s="255">
        <f ca="1">IF(ISERROR(OFFSET(Bronzo!$A$1,MATCH(J53,Bronzo!$A:$A,0)-1,MATCH(K53,Bronzo!$A$1:$AA$1,0)-1)=TRUE),0,OFFSET(Bronzo!$A$1,MATCH(J53,Bronzo!$A:$A,0)-1,MATCH(K53,Bronzo!$A$1:$AA$1,0)-1))</f>
        <v>0</v>
      </c>
      <c r="V53" s="255">
        <f t="shared" ca="1" si="57"/>
        <v>0</v>
      </c>
      <c r="W53" s="254"/>
      <c r="X53" s="255">
        <v>0</v>
      </c>
      <c r="Y53" s="256">
        <f t="shared" ca="1" si="58"/>
        <v>1.47</v>
      </c>
      <c r="Z53" s="269">
        <f t="shared" si="59"/>
        <v>25.200000000000003</v>
      </c>
      <c r="AA53" s="253">
        <v>3.95</v>
      </c>
      <c r="AB53" s="253">
        <f t="shared" ca="1" si="60"/>
        <v>0</v>
      </c>
      <c r="AC53" s="258"/>
      <c r="AF53" s="223" t="s">
        <v>405</v>
      </c>
      <c r="AH53" s="232">
        <f t="shared" ca="1" si="50"/>
        <v>46120</v>
      </c>
      <c r="AI53" s="232" t="b">
        <f t="shared" si="51"/>
        <v>1</v>
      </c>
      <c r="AJ53" s="259" t="str">
        <f t="shared" si="61"/>
        <v/>
      </c>
      <c r="AM53" s="223">
        <f t="shared" si="52"/>
        <v>0</v>
      </c>
      <c r="AN53" s="223">
        <f t="shared" si="53"/>
        <v>1900</v>
      </c>
      <c r="AU53" s="223">
        <f t="shared" si="54"/>
        <v>0</v>
      </c>
      <c r="AV53" s="223">
        <f t="shared" si="55"/>
        <v>0</v>
      </c>
    </row>
    <row r="54" spans="4:48" ht="26.25" x14ac:dyDescent="0.4">
      <c r="D54" s="246" t="s">
        <v>462</v>
      </c>
      <c r="E54" s="262" t="s">
        <v>212</v>
      </c>
      <c r="F54" s="263">
        <v>1810</v>
      </c>
      <c r="G54" s="249" t="s">
        <v>4</v>
      </c>
      <c r="H54" s="250">
        <v>2.48</v>
      </c>
      <c r="I54" s="251">
        <v>46036</v>
      </c>
      <c r="J54" s="252" t="s">
        <v>28</v>
      </c>
      <c r="K54" s="252"/>
      <c r="L54" s="253">
        <v>0.05</v>
      </c>
      <c r="M54" s="254">
        <f ca="1">IF(ISERROR(OFFSET(Tabella!$A$1,MATCH(J54,Tabella!$A:$A,0)-1,MATCH(L54,Tabella!$A$1:$AC$1,0)-1)=TRUE),0,+OFFSET(Tabella!$A$1,MATCH(J54,Tabella!$A:$A,0)-1,MATCH(L54,Tabella!$A$1:$AC$1,0)-1))</f>
        <v>0</v>
      </c>
      <c r="N54" s="255">
        <f ca="1">IF(ISERROR(OFFSET(Ottone!$A$1,MATCH(J54,Ottone!$A:$A,0)-1,MATCH(L54,Ottone!$A$1:$Z$1,0)-1)=TRUE),0,OFFSET(Ottone!$A$1,MATCH(J54,Ottone!$A:$A,0)-1,MATCH(L54,Ottone!$A$1:$Z$1,0)-1))*IF(G54="Ottone",1,0)</f>
        <v>0</v>
      </c>
      <c r="O54" s="255">
        <f ca="1">IF(ISERROR(OFFSET(Rame!$A$1,MATCH(J54,Rame!$A:$A,0)-1,MATCH(L54,Rame!$A$1:$AA$1,0)-1)=TRUE),0,OFFSET(Rame!$A$1,MATCH(J54,Rame!$A:$A,0)-1,MATCH(L54,Rame!$A$1:$AA$1,0)-1))*IF(G54="Rame",1,0)</f>
        <v>0</v>
      </c>
      <c r="P54" s="255">
        <v>0</v>
      </c>
      <c r="Q54" s="255">
        <v>1.47</v>
      </c>
      <c r="R54" s="255">
        <f ca="1">+IF(ISERROR(OFFSET(Tabella!$G$1,MATCH(J54,Tabella!$G:$G,0)-1,MATCH(K54,Tabella!$G$1:$FG$1,0)-1)=TRUE),0,OFFSET(Tabella!$G$1,MATCH(J54,Tabella!$G:$G,0)-1,MATCH(K54,Tabella!$G$1:$AB$1,0)-1))</f>
        <v>0</v>
      </c>
      <c r="S54" s="255">
        <f ca="1">IF(ISERROR(OFFSET(Ottone!$F$1,MATCH(J54,Ottone!$A:$A,0)-1,MATCH(K54,Ottone!$F$1:$FF$1,0)-1)=TRUE),0,OFFSET(Ottone!$F$1,MATCH(J54,Ottone!$A:$A,0)-1,MATCH(K54,Ottone!$F$1:$FF$1,0)-1))*IF(G54="Ottone",1,0)</f>
        <v>0</v>
      </c>
      <c r="T54" s="255">
        <f ca="1">IF(ISERROR(OFFSET(Rame!$F$1,MATCH(J54,Rame!$F:$F,0)-1,MATCH(K54,Rame!$F$1:$FF$1,0)-1)=TRUE),0,OFFSET(Rame!$F$1,MATCH(J54,Rame!$F:$F,0)-1,MATCH(K54,Rame!$F$1:$FF$1,0)-1))*IF(G54="Rame",1,0)</f>
        <v>0</v>
      </c>
      <c r="U54" s="255">
        <f ca="1">IF(ISERROR(OFFSET(Bronzo!$A$1,MATCH(J54,Bronzo!$A:$A,0)-1,MATCH(K54,Bronzo!$A$1:$AA$1,0)-1)=TRUE),0,OFFSET(Bronzo!$A$1,MATCH(J54,Bronzo!$A:$A,0)-1,MATCH(K54,Bronzo!$A$1:$AA$1,0)-1))</f>
        <v>0</v>
      </c>
      <c r="V54" s="255">
        <f t="shared" ca="1" si="57"/>
        <v>0</v>
      </c>
      <c r="W54" s="254"/>
      <c r="X54" s="255">
        <v>0</v>
      </c>
      <c r="Y54" s="256">
        <f t="shared" ca="1" si="58"/>
        <v>1.47</v>
      </c>
      <c r="Z54" s="269">
        <f t="shared" si="59"/>
        <v>90.5</v>
      </c>
      <c r="AA54" s="253">
        <v>3.95</v>
      </c>
      <c r="AB54" s="253">
        <f t="shared" ca="1" si="60"/>
        <v>0</v>
      </c>
      <c r="AC54" s="258"/>
      <c r="AF54" s="223" t="s">
        <v>405</v>
      </c>
      <c r="AH54" s="232">
        <f t="shared" ca="1" si="50"/>
        <v>46120</v>
      </c>
      <c r="AI54" s="232" t="b">
        <f t="shared" si="51"/>
        <v>1</v>
      </c>
      <c r="AJ54" s="259" t="str">
        <f t="shared" si="61"/>
        <v/>
      </c>
      <c r="AM54" s="223">
        <f t="shared" si="52"/>
        <v>0</v>
      </c>
      <c r="AN54" s="223">
        <f t="shared" si="53"/>
        <v>1900</v>
      </c>
      <c r="AU54" s="223">
        <f t="shared" si="54"/>
        <v>0</v>
      </c>
      <c r="AV54" s="223">
        <f t="shared" si="55"/>
        <v>0</v>
      </c>
    </row>
    <row r="55" spans="4:48" ht="26.25" x14ac:dyDescent="0.4">
      <c r="D55" s="246" t="s">
        <v>514</v>
      </c>
      <c r="E55" s="262" t="s">
        <v>212</v>
      </c>
      <c r="F55" s="263">
        <v>2170</v>
      </c>
      <c r="G55" s="249" t="s">
        <v>4</v>
      </c>
      <c r="H55" s="250">
        <v>2.48</v>
      </c>
      <c r="I55" s="251">
        <v>46036</v>
      </c>
      <c r="J55" s="252" t="s">
        <v>28</v>
      </c>
      <c r="K55" s="252"/>
      <c r="L55" s="253">
        <v>0.05</v>
      </c>
      <c r="M55" s="254">
        <f ca="1">IF(ISERROR(OFFSET(Tabella!$A$1,MATCH(J55,Tabella!$A:$A,0)-1,MATCH(L55,Tabella!$A$1:$AC$1,0)-1)=TRUE),0,+OFFSET(Tabella!$A$1,MATCH(J55,Tabella!$A:$A,0)-1,MATCH(L55,Tabella!$A$1:$AC$1,0)-1))</f>
        <v>0</v>
      </c>
      <c r="N55" s="255">
        <f ca="1">IF(ISERROR(OFFSET(Ottone!$A$1,MATCH(J55,Ottone!$A:$A,0)-1,MATCH(L55,Ottone!$A$1:$Z$1,0)-1)=TRUE),0,OFFSET(Ottone!$A$1,MATCH(J55,Ottone!$A:$A,0)-1,MATCH(L55,Ottone!$A$1:$Z$1,0)-1))*IF(G55="Ottone",1,0)</f>
        <v>0</v>
      </c>
      <c r="O55" s="255">
        <f ca="1">IF(ISERROR(OFFSET(Rame!$A$1,MATCH(J55,Rame!$A:$A,0)-1,MATCH(L55,Rame!$A$1:$AA$1,0)-1)=TRUE),0,OFFSET(Rame!$A$1,MATCH(J55,Rame!$A:$A,0)-1,MATCH(L55,Rame!$A$1:$AA$1,0)-1))*IF(G55="Rame",1,0)</f>
        <v>0</v>
      </c>
      <c r="P55" s="255">
        <v>0</v>
      </c>
      <c r="Q55" s="255">
        <v>1.47</v>
      </c>
      <c r="R55" s="255">
        <f ca="1">+IF(ISERROR(OFFSET(Tabella!$G$1,MATCH(J55,Tabella!$G:$G,0)-1,MATCH(K55,Tabella!$G$1:$FG$1,0)-1)=TRUE),0,OFFSET(Tabella!$G$1,MATCH(J55,Tabella!$G:$G,0)-1,MATCH(K55,Tabella!$G$1:$AB$1,0)-1))</f>
        <v>0</v>
      </c>
      <c r="S55" s="255">
        <f ca="1">IF(ISERROR(OFFSET(Ottone!$F$1,MATCH(J55,Ottone!$A:$A,0)-1,MATCH(K55,Ottone!$F$1:$FF$1,0)-1)=TRUE),0,OFFSET(Ottone!$F$1,MATCH(J55,Ottone!$A:$A,0)-1,MATCH(K55,Ottone!$F$1:$FF$1,0)-1))*IF(G55="Ottone",1,0)</f>
        <v>0</v>
      </c>
      <c r="T55" s="255">
        <f ca="1">IF(ISERROR(OFFSET(Rame!$F$1,MATCH(J55,Rame!$F:$F,0)-1,MATCH(K55,Rame!$F$1:$FF$1,0)-1)=TRUE),0,OFFSET(Rame!$F$1,MATCH(J55,Rame!$F:$F,0)-1,MATCH(K55,Rame!$F$1:$FF$1,0)-1))*IF(G55="Rame",1,0)</f>
        <v>0</v>
      </c>
      <c r="U55" s="255">
        <f ca="1">IF(ISERROR(OFFSET(Bronzo!$A$1,MATCH(J55,Bronzo!$A:$A,0)-1,MATCH(K55,Bronzo!$A$1:$AA$1,0)-1)=TRUE),0,OFFSET(Bronzo!$A$1,MATCH(J55,Bronzo!$A:$A,0)-1,MATCH(K55,Bronzo!$A$1:$AA$1,0)-1))</f>
        <v>0</v>
      </c>
      <c r="V55" s="255">
        <f t="shared" ca="1" si="57"/>
        <v>0</v>
      </c>
      <c r="W55" s="254"/>
      <c r="X55" s="255">
        <v>0</v>
      </c>
      <c r="Y55" s="256">
        <f t="shared" ca="1" si="58"/>
        <v>1.47</v>
      </c>
      <c r="Z55" s="269">
        <f t="shared" si="59"/>
        <v>108.5</v>
      </c>
      <c r="AA55" s="253">
        <v>3.95</v>
      </c>
      <c r="AB55" s="253">
        <f t="shared" ca="1" si="60"/>
        <v>0</v>
      </c>
      <c r="AC55" s="258"/>
      <c r="AF55" s="223" t="s">
        <v>405</v>
      </c>
      <c r="AH55" s="232">
        <f t="shared" ca="1" si="50"/>
        <v>46120</v>
      </c>
      <c r="AI55" s="232" t="b">
        <f t="shared" si="51"/>
        <v>1</v>
      </c>
      <c r="AJ55" s="259" t="str">
        <f t="shared" si="61"/>
        <v/>
      </c>
      <c r="AM55" s="223">
        <f t="shared" si="52"/>
        <v>0</v>
      </c>
      <c r="AN55" s="223">
        <f t="shared" si="53"/>
        <v>1900</v>
      </c>
      <c r="AU55" s="223">
        <f t="shared" si="54"/>
        <v>0</v>
      </c>
      <c r="AV55" s="223">
        <f t="shared" si="55"/>
        <v>0</v>
      </c>
    </row>
    <row r="56" spans="4:48" ht="26.25" x14ac:dyDescent="0.4">
      <c r="D56" s="246" t="s">
        <v>462</v>
      </c>
      <c r="E56" s="262" t="s">
        <v>212</v>
      </c>
      <c r="F56" s="263">
        <v>766</v>
      </c>
      <c r="G56" s="249" t="s">
        <v>4</v>
      </c>
      <c r="H56" s="250">
        <v>2.48</v>
      </c>
      <c r="I56" s="251">
        <v>46036</v>
      </c>
      <c r="J56" s="252" t="s">
        <v>23</v>
      </c>
      <c r="K56" s="252"/>
      <c r="L56" s="253">
        <v>0.05</v>
      </c>
      <c r="M56" s="254">
        <f ca="1">IF(ISERROR(OFFSET(Tabella!$A$1,MATCH(J56,Tabella!$A:$A,0)-1,MATCH(L56,Tabella!$A$1:$AC$1,0)-1)=TRUE),0,+OFFSET(Tabella!$A$1,MATCH(J56,Tabella!$A:$A,0)-1,MATCH(L56,Tabella!$A$1:$AC$1,0)-1))</f>
        <v>0</v>
      </c>
      <c r="N56" s="255">
        <f ca="1">IF(ISERROR(OFFSET(Ottone!$A$1,MATCH(J56,Ottone!$A:$A,0)-1,MATCH(L56,Ottone!$A$1:$Z$1,0)-1)=TRUE),0,OFFSET(Ottone!$A$1,MATCH(J56,Ottone!$A:$A,0)-1,MATCH(L56,Ottone!$A$1:$Z$1,0)-1))*IF(G56="Ottone",1,0)</f>
        <v>0</v>
      </c>
      <c r="O56" s="255">
        <f ca="1">IF(ISERROR(OFFSET(Rame!$A$1,MATCH(J56,Rame!$A:$A,0)-1,MATCH(L56,Rame!$A$1:$AA$1,0)-1)=TRUE),0,OFFSET(Rame!$A$1,MATCH(J56,Rame!$A:$A,0)-1,MATCH(L56,Rame!$A$1:$AA$1,0)-1))*IF(G56="Rame",1,0)</f>
        <v>0</v>
      </c>
      <c r="P56" s="255">
        <v>0</v>
      </c>
      <c r="Q56" s="255">
        <v>1.47</v>
      </c>
      <c r="R56" s="255">
        <f ca="1">+IF(ISERROR(OFFSET(Tabella!$G$1,MATCH(J56,Tabella!$G:$G,0)-1,MATCH(K56,Tabella!$G$1:$FG$1,0)-1)=TRUE),0,OFFSET(Tabella!$G$1,MATCH(J56,Tabella!$G:$G,0)-1,MATCH(K56,Tabella!$G$1:$AB$1,0)-1))</f>
        <v>0</v>
      </c>
      <c r="S56" s="255">
        <f ca="1">IF(ISERROR(OFFSET(Ottone!$F$1,MATCH(J56,Ottone!$A:$A,0)-1,MATCH(K56,Ottone!$F$1:$FF$1,0)-1)=TRUE),0,OFFSET(Ottone!$F$1,MATCH(J56,Ottone!$A:$A,0)-1,MATCH(K56,Ottone!$F$1:$FF$1,0)-1))*IF(G56="Ottone",1,0)</f>
        <v>0</v>
      </c>
      <c r="T56" s="255">
        <f ca="1">IF(ISERROR(OFFSET(Rame!$F$1,MATCH(J56,Rame!$F:$F,0)-1,MATCH(K56,Rame!$F$1:$FF$1,0)-1)=TRUE),0,OFFSET(Rame!$F$1,MATCH(J56,Rame!$F:$F,0)-1,MATCH(K56,Rame!$F$1:$FF$1,0)-1))*IF(G56="Rame",1,0)</f>
        <v>0</v>
      </c>
      <c r="U56" s="255">
        <f ca="1">IF(ISERROR(OFFSET(Bronzo!$A$1,MATCH(J56,Bronzo!$A:$A,0)-1,MATCH(K56,Bronzo!$A$1:$AA$1,0)-1)=TRUE),0,OFFSET(Bronzo!$A$1,MATCH(J56,Bronzo!$A:$A,0)-1,MATCH(K56,Bronzo!$A$1:$AA$1,0)-1))</f>
        <v>0</v>
      </c>
      <c r="V56" s="255">
        <f t="shared" ca="1" si="57"/>
        <v>0</v>
      </c>
      <c r="W56" s="254"/>
      <c r="X56" s="255">
        <v>0</v>
      </c>
      <c r="Y56" s="256">
        <f t="shared" ca="1" si="58"/>
        <v>1.47</v>
      </c>
      <c r="Z56" s="269">
        <f t="shared" si="59"/>
        <v>38.300000000000004</v>
      </c>
      <c r="AA56" s="253">
        <v>3.95</v>
      </c>
      <c r="AB56" s="253">
        <f t="shared" ca="1" si="60"/>
        <v>0</v>
      </c>
      <c r="AC56" s="258"/>
      <c r="AF56" s="223" t="s">
        <v>405</v>
      </c>
      <c r="AH56" s="232">
        <f t="shared" ca="1" si="50"/>
        <v>46120</v>
      </c>
      <c r="AI56" s="232" t="b">
        <f t="shared" si="51"/>
        <v>1</v>
      </c>
      <c r="AJ56" s="259" t="str">
        <f t="shared" si="61"/>
        <v/>
      </c>
      <c r="AM56" s="223">
        <f t="shared" si="52"/>
        <v>0</v>
      </c>
      <c r="AN56" s="223">
        <f t="shared" si="53"/>
        <v>1900</v>
      </c>
      <c r="AU56" s="223">
        <f t="shared" si="54"/>
        <v>0</v>
      </c>
      <c r="AV56" s="223">
        <f t="shared" si="55"/>
        <v>0</v>
      </c>
    </row>
    <row r="57" spans="4:48" ht="26.25" x14ac:dyDescent="0.4">
      <c r="D57" s="246" t="s">
        <v>487</v>
      </c>
      <c r="E57" s="262" t="s">
        <v>263</v>
      </c>
      <c r="F57" s="263">
        <v>1499</v>
      </c>
      <c r="G57" s="249" t="s">
        <v>4</v>
      </c>
      <c r="H57" s="250">
        <v>2.4900000000000002</v>
      </c>
      <c r="I57" s="251">
        <v>46037</v>
      </c>
      <c r="J57" s="252" t="s">
        <v>15</v>
      </c>
      <c r="K57" s="252"/>
      <c r="L57" s="253">
        <v>7.0000000000000007E-2</v>
      </c>
      <c r="M57" s="254">
        <f ca="1">IF(ISERROR(OFFSET(Tabella!$A$1,MATCH(J57,Tabella!$A:$A,0)-1,MATCH(L57,Tabella!$A$1:$AC$1,0)-1)=TRUE),0,+OFFSET(Tabella!$A$1,MATCH(J57,Tabella!$A:$A,0)-1,MATCH(L57,Tabella!$A$1:$AC$1,0)-1))</f>
        <v>1.4</v>
      </c>
      <c r="N57" s="255">
        <f ca="1">IF(ISERROR(OFFSET(Ottone!$A$1,MATCH(J57,Ottone!$A:$A,0)-1,MATCH(L57,Ottone!$A$1:$Z$1,0)-1)=TRUE),0,OFFSET(Ottone!$A$1,MATCH(J57,Ottone!$A:$A,0)-1,MATCH(L57,Ottone!$A$1:$Z$1,0)-1))*IF(G57="Ottone",1,0)</f>
        <v>0</v>
      </c>
      <c r="O57" s="255">
        <f ca="1">IF(ISERROR(OFFSET(Rame!$A$1,MATCH(J57,Rame!$A:$A,0)-1,MATCH(L57,Rame!$A$1:$AA$1,0)-1)=TRUE),0,OFFSET(Rame!$A$1,MATCH(J57,Rame!$A:$A,0)-1,MATCH(L57,Rame!$A$1:$AA$1,0)-1))*IF(G57="Rame",1,0)</f>
        <v>0</v>
      </c>
      <c r="P57" s="255">
        <v>0</v>
      </c>
      <c r="Q57" s="255">
        <f t="shared" ca="1" si="56"/>
        <v>1.4</v>
      </c>
      <c r="R57" s="255">
        <f ca="1">+IF(ISERROR(OFFSET(Tabella!$G$1,MATCH(J57,Tabella!$G:$G,0)-1,MATCH(K57,Tabella!$G$1:$FG$1,0)-1)=TRUE),0,OFFSET(Tabella!$G$1,MATCH(J57,Tabella!$G:$G,0)-1,MATCH(K57,Tabella!$G$1:$AB$1,0)-1))</f>
        <v>0</v>
      </c>
      <c r="S57" s="255">
        <f ca="1">IF(ISERROR(OFFSET(Ottone!$F$1,MATCH(J57,Ottone!$A:$A,0)-1,MATCH(K57,Ottone!$F$1:$FF$1,0)-1)=TRUE),0,OFFSET(Ottone!$F$1,MATCH(J57,Ottone!$A:$A,0)-1,MATCH(K57,Ottone!$F$1:$FF$1,0)-1))*IF(G57="Ottone",1,0)</f>
        <v>0</v>
      </c>
      <c r="T57" s="255">
        <f ca="1">IF(ISERROR(OFFSET(Rame!$F$1,MATCH(J57,Rame!$F:$F,0)-1,MATCH(K57,Rame!$F$1:$FF$1,0)-1)=TRUE),0,OFFSET(Rame!$F$1,MATCH(J57,Rame!$F:$F,0)-1,MATCH(K57,Rame!$F$1:$FF$1,0)-1))*IF(G57="Rame",1,0)</f>
        <v>0</v>
      </c>
      <c r="U57" s="255">
        <f ca="1">IF(ISERROR(OFFSET(Bronzo!$A$1,MATCH(J57,Bronzo!$A:$A,0)-1,MATCH(K57,Bronzo!$A$1:$AA$1,0)-1)=TRUE),0,OFFSET(Bronzo!$A$1,MATCH(J57,Bronzo!$A:$A,0)-1,MATCH(K57,Bronzo!$A$1:$AA$1,0)-1))</f>
        <v>0</v>
      </c>
      <c r="V57" s="255">
        <f t="shared" ca="1" si="57"/>
        <v>0</v>
      </c>
      <c r="W57" s="254"/>
      <c r="X57" s="255">
        <v>0</v>
      </c>
      <c r="Y57" s="256">
        <f t="shared" ca="1" si="58"/>
        <v>1.4</v>
      </c>
      <c r="Z57" s="269">
        <f t="shared" si="59"/>
        <v>104.93</v>
      </c>
      <c r="AA57" s="253">
        <v>4.21</v>
      </c>
      <c r="AB57" s="253">
        <f t="shared" ca="1" si="60"/>
        <v>0.31999999999999984</v>
      </c>
      <c r="AC57" s="258"/>
      <c r="AF57" s="223" t="s">
        <v>405</v>
      </c>
      <c r="AH57" s="232">
        <f t="shared" ca="1" si="50"/>
        <v>46120</v>
      </c>
      <c r="AI57" s="232" t="b">
        <f t="shared" si="51"/>
        <v>1</v>
      </c>
      <c r="AJ57" s="259" t="str">
        <f t="shared" si="61"/>
        <v/>
      </c>
      <c r="AM57" s="223">
        <f t="shared" si="52"/>
        <v>0</v>
      </c>
      <c r="AN57" s="223">
        <f t="shared" si="53"/>
        <v>1900</v>
      </c>
      <c r="AU57" s="223">
        <f t="shared" si="54"/>
        <v>0</v>
      </c>
      <c r="AV57" s="223">
        <f t="shared" si="55"/>
        <v>0</v>
      </c>
    </row>
    <row r="58" spans="4:48" ht="26.25" x14ac:dyDescent="0.4">
      <c r="D58" s="246" t="s">
        <v>487</v>
      </c>
      <c r="E58" s="262" t="s">
        <v>263</v>
      </c>
      <c r="F58" s="263">
        <v>1560</v>
      </c>
      <c r="G58" s="249" t="s">
        <v>4</v>
      </c>
      <c r="H58" s="250">
        <v>2.4900000000000002</v>
      </c>
      <c r="I58" s="251">
        <v>46037</v>
      </c>
      <c r="J58" s="252" t="s">
        <v>322</v>
      </c>
      <c r="K58" s="252"/>
      <c r="L58" s="253">
        <v>7.0000000000000007E-2</v>
      </c>
      <c r="M58" s="254">
        <f ca="1">IF(ISERROR(OFFSET(Tabella!$A$1,MATCH(J58,Tabella!$A:$A,0)-1,MATCH(L58,Tabella!$A$1:$AC$1,0)-1)=TRUE),0,+OFFSET(Tabella!$A$1,MATCH(J58,Tabella!$A:$A,0)-1,MATCH(L58,Tabella!$A$1:$AC$1,0)-1))</f>
        <v>1.25</v>
      </c>
      <c r="N58" s="255">
        <f ca="1">IF(ISERROR(OFFSET(Ottone!$A$1,MATCH(J58,Ottone!$A:$A,0)-1,MATCH(L58,Ottone!$A$1:$Z$1,0)-1)=TRUE),0,OFFSET(Ottone!$A$1,MATCH(J58,Ottone!$A:$A,0)-1,MATCH(L58,Ottone!$A$1:$Z$1,0)-1))*IF(G58="Ottone",1,0)</f>
        <v>0</v>
      </c>
      <c r="O58" s="255">
        <f ca="1">IF(ISERROR(OFFSET(Rame!$A$1,MATCH(J58,Rame!$A:$A,0)-1,MATCH(L58,Rame!$A$1:$AA$1,0)-1)=TRUE),0,OFFSET(Rame!$A$1,MATCH(J58,Rame!$A:$A,0)-1,MATCH(L58,Rame!$A$1:$AA$1,0)-1))*IF(G58="Rame",1,0)</f>
        <v>0</v>
      </c>
      <c r="P58" s="255">
        <v>0</v>
      </c>
      <c r="Q58" s="255">
        <f t="shared" ca="1" si="56"/>
        <v>1.25</v>
      </c>
      <c r="R58" s="255">
        <f ca="1">+IF(ISERROR(OFFSET(Tabella!$G$1,MATCH(J58,Tabella!$G:$G,0)-1,MATCH(K58,Tabella!$G$1:$FG$1,0)-1)=TRUE),0,OFFSET(Tabella!$G$1,MATCH(J58,Tabella!$G:$G,0)-1,MATCH(K58,Tabella!$G$1:$AB$1,0)-1))</f>
        <v>0</v>
      </c>
      <c r="S58" s="255">
        <f ca="1">IF(ISERROR(OFFSET(Ottone!$F$1,MATCH(J58,Ottone!$A:$A,0)-1,MATCH(K58,Ottone!$F$1:$FF$1,0)-1)=TRUE),0,OFFSET(Ottone!$F$1,MATCH(J58,Ottone!$A:$A,0)-1,MATCH(K58,Ottone!$F$1:$FF$1,0)-1))*IF(G58="Ottone",1,0)</f>
        <v>0</v>
      </c>
      <c r="T58" s="255">
        <f ca="1">IF(ISERROR(OFFSET(Rame!$F$1,MATCH(J58,Rame!$F:$F,0)-1,MATCH(K58,Rame!$F$1:$FF$1,0)-1)=TRUE),0,OFFSET(Rame!$F$1,MATCH(J58,Rame!$F:$F,0)-1,MATCH(K58,Rame!$F$1:$FF$1,0)-1))*IF(G58="Rame",1,0)</f>
        <v>0</v>
      </c>
      <c r="U58" s="255">
        <f ca="1">IF(ISERROR(OFFSET(Bronzo!$A$1,MATCH(J58,Bronzo!$A:$A,0)-1,MATCH(K58,Bronzo!$A$1:$AA$1,0)-1)=TRUE),0,OFFSET(Bronzo!$A$1,MATCH(J58,Bronzo!$A:$A,0)-1,MATCH(K58,Bronzo!$A$1:$AA$1,0)-1))</f>
        <v>0</v>
      </c>
      <c r="V58" s="255">
        <f t="shared" ca="1" si="57"/>
        <v>0</v>
      </c>
      <c r="W58" s="254"/>
      <c r="X58" s="255">
        <v>0</v>
      </c>
      <c r="Y58" s="256">
        <f t="shared" ca="1" si="58"/>
        <v>1.25</v>
      </c>
      <c r="Z58" s="269">
        <f t="shared" si="59"/>
        <v>109.20000000000002</v>
      </c>
      <c r="AA58" s="253">
        <v>4.0599999999999996</v>
      </c>
      <c r="AB58" s="253">
        <f t="shared" ca="1" si="60"/>
        <v>0.3199999999999994</v>
      </c>
      <c r="AC58" s="258"/>
      <c r="AF58" s="223" t="s">
        <v>405</v>
      </c>
      <c r="AH58" s="232">
        <f t="shared" ca="1" si="50"/>
        <v>46120</v>
      </c>
      <c r="AI58" s="232" t="b">
        <f t="shared" si="51"/>
        <v>1</v>
      </c>
      <c r="AJ58" s="259" t="str">
        <f t="shared" si="61"/>
        <v/>
      </c>
      <c r="AM58" s="223">
        <f t="shared" si="52"/>
        <v>0</v>
      </c>
      <c r="AN58" s="223">
        <f t="shared" si="53"/>
        <v>1900</v>
      </c>
      <c r="AU58" s="223">
        <f t="shared" si="54"/>
        <v>0</v>
      </c>
      <c r="AV58" s="223">
        <f t="shared" si="55"/>
        <v>0</v>
      </c>
    </row>
    <row r="59" spans="4:48" ht="26.25" x14ac:dyDescent="0.4">
      <c r="D59" s="246" t="s">
        <v>487</v>
      </c>
      <c r="E59" s="262" t="s">
        <v>263</v>
      </c>
      <c r="F59" s="263">
        <v>1466</v>
      </c>
      <c r="G59" s="249" t="s">
        <v>4</v>
      </c>
      <c r="H59" s="250">
        <v>2.4900000000000002</v>
      </c>
      <c r="I59" s="251">
        <v>46037</v>
      </c>
      <c r="J59" s="252" t="s">
        <v>314</v>
      </c>
      <c r="K59" s="252"/>
      <c r="L59" s="253">
        <v>7.0000000000000007E-2</v>
      </c>
      <c r="M59" s="254">
        <f ca="1">IF(ISERROR(OFFSET(Tabella!$A$1,MATCH(J59,Tabella!$A:$A,0)-1,MATCH(L59,Tabella!$A$1:$AC$1,0)-1)=TRUE),0,+OFFSET(Tabella!$A$1,MATCH(J59,Tabella!$A:$A,0)-1,MATCH(L59,Tabella!$A$1:$AC$1,0)-1))</f>
        <v>1.25</v>
      </c>
      <c r="N59" s="255">
        <f ca="1">IF(ISERROR(OFFSET(Ottone!$A$1,MATCH(J59,Ottone!$A:$A,0)-1,MATCH(L59,Ottone!$A$1:$Z$1,0)-1)=TRUE),0,OFFSET(Ottone!$A$1,MATCH(J59,Ottone!$A:$A,0)-1,MATCH(L59,Ottone!$A$1:$Z$1,0)-1))*IF(G59="Ottone",1,0)</f>
        <v>0</v>
      </c>
      <c r="O59" s="255">
        <f ca="1">IF(ISERROR(OFFSET(Rame!$A$1,MATCH(J59,Rame!$A:$A,0)-1,MATCH(L59,Rame!$A$1:$AA$1,0)-1)=TRUE),0,OFFSET(Rame!$A$1,MATCH(J59,Rame!$A:$A,0)-1,MATCH(L59,Rame!$A$1:$AA$1,0)-1))*IF(G59="Rame",1,0)</f>
        <v>0</v>
      </c>
      <c r="P59" s="255">
        <v>0</v>
      </c>
      <c r="Q59" s="255">
        <f ca="1">SUM(M59:P59)</f>
        <v>1.25</v>
      </c>
      <c r="R59" s="255">
        <f ca="1">+IF(ISERROR(OFFSET(Tabella!$G$1,MATCH(J59,Tabella!$G:$G,0)-1,MATCH(K59,Tabella!$G$1:$FG$1,0)-1)=TRUE),0,OFFSET(Tabella!$G$1,MATCH(J59,Tabella!$G:$G,0)-1,MATCH(K59,Tabella!$G$1:$AB$1,0)-1))</f>
        <v>0</v>
      </c>
      <c r="S59" s="255">
        <f ca="1">IF(ISERROR(OFFSET(Ottone!$F$1,MATCH(J59,Ottone!$A:$A,0)-1,MATCH(K59,Ottone!$F$1:$FF$1,0)-1)=TRUE),0,OFFSET(Ottone!$F$1,MATCH(J59,Ottone!$A:$A,0)-1,MATCH(K59,Ottone!$F$1:$FF$1,0)-1))*IF(G59="Ottone",1,0)</f>
        <v>0</v>
      </c>
      <c r="T59" s="255">
        <f ca="1">IF(ISERROR(OFFSET(Rame!$F$1,MATCH(J59,Rame!$F:$F,0)-1,MATCH(K59,Rame!$F$1:$FF$1,0)-1)=TRUE),0,OFFSET(Rame!$F$1,MATCH(J59,Rame!$F:$F,0)-1,MATCH(K59,Rame!$F$1:$FF$1,0)-1))*IF(G59="Rame",1,0)</f>
        <v>0</v>
      </c>
      <c r="U59" s="255">
        <f ca="1">IF(ISERROR(OFFSET(Bronzo!$A$1,MATCH(J59,Bronzo!$A:$A,0)-1,MATCH(K59,Bronzo!$A$1:$AA$1,0)-1)=TRUE),0,OFFSET(Bronzo!$A$1,MATCH(J59,Bronzo!$A:$A,0)-1,MATCH(K59,Bronzo!$A$1:$AA$1,0)-1))</f>
        <v>0</v>
      </c>
      <c r="V59" s="255">
        <f t="shared" ca="1" si="57"/>
        <v>0</v>
      </c>
      <c r="W59" s="254"/>
      <c r="X59" s="255">
        <v>0</v>
      </c>
      <c r="Y59" s="256">
        <f ca="1">+Q59+V59+W59+X59</f>
        <v>1.25</v>
      </c>
      <c r="Z59" s="269">
        <f t="shared" si="59"/>
        <v>102.62</v>
      </c>
      <c r="AA59" s="253">
        <v>4.0599999999999996</v>
      </c>
      <c r="AB59" s="253">
        <f t="shared" ca="1" si="60"/>
        <v>0.3199999999999994</v>
      </c>
      <c r="AC59" s="258"/>
      <c r="AF59" s="223" t="s">
        <v>405</v>
      </c>
      <c r="AH59" s="232">
        <f t="shared" ca="1" si="50"/>
        <v>46120</v>
      </c>
      <c r="AI59" s="232" t="b">
        <f t="shared" si="51"/>
        <v>1</v>
      </c>
      <c r="AJ59" s="259" t="str">
        <f t="shared" si="61"/>
        <v/>
      </c>
      <c r="AM59" s="223">
        <f t="shared" si="52"/>
        <v>0</v>
      </c>
      <c r="AN59" s="223">
        <f t="shared" si="53"/>
        <v>1900</v>
      </c>
      <c r="AU59" s="223">
        <f t="shared" si="54"/>
        <v>0</v>
      </c>
      <c r="AV59" s="223">
        <f t="shared" si="55"/>
        <v>0</v>
      </c>
    </row>
    <row r="60" spans="4:48" ht="26.25" x14ac:dyDescent="0.4">
      <c r="D60" s="246" t="s">
        <v>565</v>
      </c>
      <c r="E60" s="262" t="s">
        <v>259</v>
      </c>
      <c r="F60" s="263">
        <v>812</v>
      </c>
      <c r="G60" s="249" t="s">
        <v>6</v>
      </c>
      <c r="H60" s="250">
        <v>11.35</v>
      </c>
      <c r="I60" s="251">
        <v>46037</v>
      </c>
      <c r="J60" s="252" t="s">
        <v>18</v>
      </c>
      <c r="K60" s="252"/>
      <c r="L60" s="253">
        <v>0.15</v>
      </c>
      <c r="M60" s="254">
        <f ca="1">IF(ISERROR(OFFSET(Tabella!$A$1,MATCH(J60,Tabella!$A:$A,0)-1,MATCH(L60,Tabella!$A$1:$AC$1,0)-1)=TRUE),0,+OFFSET(Tabella!$A$1,MATCH(J60,Tabella!$A:$A,0)-1,MATCH(L60,Tabella!$A$1:$AC$1,0)-1))</f>
        <v>0</v>
      </c>
      <c r="N60" s="255">
        <f ca="1">IF(ISERROR(OFFSET(Ottone!$A$1,MATCH(J60,Ottone!$A:$A,0)-1,MATCH(L60,Ottone!$A$1:$Z$1,0)-1)=TRUE),0,OFFSET(Ottone!$A$1,MATCH(J60,Ottone!$A:$A,0)-1,MATCH(L60,Ottone!$A$1:$Z$1,0)-1))*IF(G60="Ottone",1,0)</f>
        <v>0</v>
      </c>
      <c r="O60" s="255">
        <f ca="1">IF(ISERROR(OFFSET(Rame!$A$1,MATCH(J60,Rame!$A:$A,0)-1,MATCH(L60,Rame!$A$1:$AA$1,0)-1)=TRUE),0,OFFSET(Rame!$A$1,MATCH(J60,Rame!$A:$A,0)-1,MATCH(L60,Rame!$A$1:$AA$1,0)-1))*IF(G60="Rame",1,0)</f>
        <v>0.82</v>
      </c>
      <c r="P60" s="255">
        <v>0</v>
      </c>
      <c r="Q60" s="255">
        <f t="shared" ca="1" si="56"/>
        <v>0.82</v>
      </c>
      <c r="R60" s="255">
        <f ca="1">+IF(ISERROR(OFFSET(Tabella!$G$1,MATCH(J60,Tabella!$G:$G,0)-1,MATCH(K60,Tabella!$G$1:$FG$1,0)-1)=TRUE),0,OFFSET(Tabella!$G$1,MATCH(J60,Tabella!$G:$G,0)-1,MATCH(K60,Tabella!$G$1:$AB$1,0)-1))</f>
        <v>0</v>
      </c>
      <c r="S60" s="255">
        <f ca="1">IF(ISERROR(OFFSET(Ottone!$F$1,MATCH(J60,Ottone!$A:$A,0)-1,MATCH(K60,Ottone!$F$1:$FF$1,0)-1)=TRUE),0,OFFSET(Ottone!$F$1,MATCH(J60,Ottone!$A:$A,0)-1,MATCH(K60,Ottone!$F$1:$FF$1,0)-1))*IF(G60="Ottone",1,0)</f>
        <v>0</v>
      </c>
      <c r="T60" s="255">
        <f ca="1">IF(ISERROR(OFFSET(Rame!$F$1,MATCH(J60,Rame!$F:$F,0)-1,MATCH(K60,Rame!$F$1:$FF$1,0)-1)=TRUE),0,OFFSET(Rame!$F$1,MATCH(J60,Rame!$F:$F,0)-1,MATCH(K60,Rame!$F$1:$FF$1,0)-1))*IF(G60="Rame",1,0)</f>
        <v>0</v>
      </c>
      <c r="U60" s="255">
        <f ca="1">IF(ISERROR(OFFSET(Bronzo!$A$1,MATCH(J60,Bronzo!$A:$A,0)-1,MATCH(K60,Bronzo!$A$1:$AA$1,0)-1)=TRUE),0,OFFSET(Bronzo!$A$1,MATCH(J60,Bronzo!$A:$A,0)-1,MATCH(K60,Bronzo!$A$1:$AA$1,0)-1))</f>
        <v>0</v>
      </c>
      <c r="V60" s="255">
        <f t="shared" ca="1" si="57"/>
        <v>0</v>
      </c>
      <c r="W60" s="254"/>
      <c r="X60" s="255">
        <v>0</v>
      </c>
      <c r="Y60" s="256">
        <f t="shared" ca="1" si="58"/>
        <v>0.82</v>
      </c>
      <c r="Z60" s="269">
        <f t="shared" si="59"/>
        <v>121.8</v>
      </c>
      <c r="AA60" s="253">
        <v>14.95</v>
      </c>
      <c r="AB60" s="253">
        <f t="shared" ca="1" si="60"/>
        <v>2.7799999999999994</v>
      </c>
      <c r="AC60" s="258"/>
      <c r="AF60" s="223" t="s">
        <v>405</v>
      </c>
      <c r="AH60" s="232">
        <f t="shared" ca="1" si="50"/>
        <v>46120</v>
      </c>
      <c r="AI60" s="232" t="b">
        <f t="shared" si="51"/>
        <v>1</v>
      </c>
      <c r="AJ60" s="259" t="str">
        <f t="shared" si="61"/>
        <v/>
      </c>
      <c r="AM60" s="223">
        <f t="shared" si="52"/>
        <v>0</v>
      </c>
      <c r="AN60" s="223">
        <f t="shared" si="53"/>
        <v>1900</v>
      </c>
      <c r="AU60" s="223">
        <f t="shared" si="54"/>
        <v>0</v>
      </c>
      <c r="AV60" s="223">
        <f t="shared" si="55"/>
        <v>0</v>
      </c>
    </row>
    <row r="61" spans="4:48" ht="26.25" x14ac:dyDescent="0.4">
      <c r="D61" s="246" t="s">
        <v>570</v>
      </c>
      <c r="E61" s="262" t="s">
        <v>97</v>
      </c>
      <c r="F61" s="263">
        <v>13520</v>
      </c>
      <c r="G61" s="249" t="s">
        <v>6</v>
      </c>
      <c r="H61" s="250">
        <v>11.18</v>
      </c>
      <c r="I61" s="251">
        <v>46038</v>
      </c>
      <c r="J61" s="252" t="s">
        <v>14</v>
      </c>
      <c r="K61" s="252"/>
      <c r="L61" s="253">
        <v>0.05</v>
      </c>
      <c r="M61" s="254">
        <f ca="1">IF(ISERROR(OFFSET(Tabella!$A$1,MATCH(J61,Tabella!$A:$A,0)-1,MATCH(L61,Tabella!$A$1:$AC$1,0)-1)=TRUE),0,+OFFSET(Tabella!$A$1,MATCH(J61,Tabella!$A:$A,0)-1,MATCH(L61,Tabella!$A$1:$AC$1,0)-1))</f>
        <v>0</v>
      </c>
      <c r="N61" s="255">
        <f ca="1">IF(ISERROR(OFFSET(Ottone!$A$1,MATCH(J61,Ottone!$A:$A,0)-1,MATCH(L61,Ottone!$A$1:$Z$1,0)-1)=TRUE),0,OFFSET(Ottone!$A$1,MATCH(J61,Ottone!$A:$A,0)-1,MATCH(L61,Ottone!$A$1:$Z$1,0)-1))*IF(G61="Ottone",1,0)</f>
        <v>0</v>
      </c>
      <c r="O61" s="255">
        <f ca="1">IF(ISERROR(OFFSET(Rame!$A$1,MATCH(J61,Rame!$A:$A,0)-1,MATCH(L61,Rame!$A$1:$AA$1,0)-1)=TRUE),0,OFFSET(Rame!$A$1,MATCH(J61,Rame!$A:$A,0)-1,MATCH(L61,Rame!$A$1:$AA$1,0)-1))*IF(G61="Rame",1,0)</f>
        <v>0</v>
      </c>
      <c r="P61" s="255">
        <v>0</v>
      </c>
      <c r="Q61" s="255">
        <v>3.25</v>
      </c>
      <c r="R61" s="255">
        <f ca="1">+IF(ISERROR(OFFSET(Tabella!$G$1,MATCH(J61,Tabella!$G:$G,0)-1,MATCH(K61,Tabella!$G$1:$FG$1,0)-1)=TRUE),0,OFFSET(Tabella!$G$1,MATCH(J61,Tabella!$G:$G,0)-1,MATCH(K61,Tabella!$G$1:$AB$1,0)-1))</f>
        <v>0</v>
      </c>
      <c r="S61" s="255">
        <f ca="1">IF(ISERROR(OFFSET(Ottone!$F$1,MATCH(J61,Ottone!$A:$A,0)-1,MATCH(K61,Ottone!$F$1:$FF$1,0)-1)=TRUE),0,OFFSET(Ottone!$F$1,MATCH(J61,Ottone!$A:$A,0)-1,MATCH(K61,Ottone!$F$1:$FF$1,0)-1))*IF(G61="Ottone",1,0)</f>
        <v>0</v>
      </c>
      <c r="T61" s="255">
        <f ca="1">IF(ISERROR(OFFSET(Rame!$F$1,MATCH(J61,Rame!$F:$F,0)-1,MATCH(K61,Rame!$F$1:$FF$1,0)-1)=TRUE),0,OFFSET(Rame!$F$1,MATCH(J61,Rame!$F:$F,0)-1,MATCH(K61,Rame!$F$1:$FF$1,0)-1))*IF(G61="Rame",1,0)</f>
        <v>0</v>
      </c>
      <c r="U61" s="255">
        <f ca="1">IF(ISERROR(OFFSET(Bronzo!$A$1,MATCH(J61,Bronzo!$A:$A,0)-1,MATCH(K61,Bronzo!$A$1:$AA$1,0)-1)=TRUE),0,OFFSET(Bronzo!$A$1,MATCH(J61,Bronzo!$A:$A,0)-1,MATCH(K61,Bronzo!$A$1:$AA$1,0)-1))</f>
        <v>0</v>
      </c>
      <c r="V61" s="255">
        <f t="shared" ca="1" si="57"/>
        <v>0</v>
      </c>
      <c r="W61" s="254"/>
      <c r="X61" s="255">
        <v>0</v>
      </c>
      <c r="Y61" s="256">
        <f t="shared" ca="1" si="58"/>
        <v>3.25</v>
      </c>
      <c r="Z61" s="269">
        <f t="shared" si="59"/>
        <v>676</v>
      </c>
      <c r="AA61" s="253">
        <v>13.95</v>
      </c>
      <c r="AB61" s="253">
        <f t="shared" ca="1" si="60"/>
        <v>-0.48000000000000043</v>
      </c>
      <c r="AC61" s="258"/>
      <c r="AF61" s="223" t="s">
        <v>405</v>
      </c>
      <c r="AH61" s="232">
        <f t="shared" ref="AH61:AH78" ca="1" si="62">TODAY()</f>
        <v>46120</v>
      </c>
      <c r="AI61" s="232" t="b">
        <f t="shared" si="51"/>
        <v>1</v>
      </c>
      <c r="AJ61" s="259" t="str">
        <f t="shared" si="61"/>
        <v/>
      </c>
      <c r="AM61" s="223">
        <f t="shared" si="52"/>
        <v>0</v>
      </c>
      <c r="AN61" s="223">
        <f t="shared" si="53"/>
        <v>1900</v>
      </c>
      <c r="AU61" s="223">
        <f t="shared" si="54"/>
        <v>0</v>
      </c>
      <c r="AV61" s="223">
        <f t="shared" si="55"/>
        <v>0</v>
      </c>
    </row>
    <row r="62" spans="4:48" ht="26.25" x14ac:dyDescent="0.4">
      <c r="D62" s="246" t="s">
        <v>629</v>
      </c>
      <c r="E62" s="262" t="s">
        <v>304</v>
      </c>
      <c r="F62" s="263">
        <v>213</v>
      </c>
      <c r="G62" s="249" t="s">
        <v>6</v>
      </c>
      <c r="H62" s="250">
        <v>11.18</v>
      </c>
      <c r="I62" s="251">
        <v>46041</v>
      </c>
      <c r="J62" s="252" t="s">
        <v>14</v>
      </c>
      <c r="K62" s="252"/>
      <c r="L62" s="253">
        <v>0.15</v>
      </c>
      <c r="M62" s="254">
        <f ca="1">IF(ISERROR(OFFSET(Tabella!$A$1,MATCH(J62,Tabella!$A:$A,0)-1,MATCH(L62,Tabella!$A$1:$AC$1,0)-1)=TRUE),0,+OFFSET(Tabella!$A$1,MATCH(J62,Tabella!$A:$A,0)-1,MATCH(L62,Tabella!$A$1:$AC$1,0)-1))</f>
        <v>0</v>
      </c>
      <c r="N62" s="255">
        <f ca="1">IF(ISERROR(OFFSET(Ottone!$A$1,MATCH(J62,Ottone!$A:$A,0)-1,MATCH(L62,Ottone!$A$1:$Z$1,0)-1)=TRUE),0,OFFSET(Ottone!$A$1,MATCH(J62,Ottone!$A:$A,0)-1,MATCH(L62,Ottone!$A$1:$Z$1,0)-1))*IF(G62="Ottone",1,0)</f>
        <v>0</v>
      </c>
      <c r="O62" s="255">
        <f ca="1">IF(ISERROR(OFFSET(Rame!$A$1,MATCH(J62,Rame!$A:$A,0)-1,MATCH(L62,Rame!$A$1:$AA$1,0)-1)=TRUE),0,OFFSET(Rame!$A$1,MATCH(J62,Rame!$A:$A,0)-1,MATCH(L62,Rame!$A$1:$AA$1,0)-1))*IF(G62="Rame",1,0)</f>
        <v>1</v>
      </c>
      <c r="P62" s="255">
        <v>0</v>
      </c>
      <c r="Q62" s="255">
        <f t="shared" ca="1" si="56"/>
        <v>1</v>
      </c>
      <c r="R62" s="255">
        <f ca="1">+IF(ISERROR(OFFSET(Tabella!$G$1,MATCH(J62,Tabella!$G:$G,0)-1,MATCH(K62,Tabella!$G$1:$FG$1,0)-1)=TRUE),0,OFFSET(Tabella!$G$1,MATCH(J62,Tabella!$G:$G,0)-1,MATCH(K62,Tabella!$G$1:$AB$1,0)-1))</f>
        <v>0</v>
      </c>
      <c r="S62" s="255">
        <f ca="1">IF(ISERROR(OFFSET(Ottone!$F$1,MATCH(J62,Ottone!$A:$A,0)-1,MATCH(K62,Ottone!$F$1:$FF$1,0)-1)=TRUE),0,OFFSET(Ottone!$F$1,MATCH(J62,Ottone!$A:$A,0)-1,MATCH(K62,Ottone!$F$1:$FF$1,0)-1))*IF(G62="Ottone",1,0)</f>
        <v>0</v>
      </c>
      <c r="T62" s="255">
        <f ca="1">IF(ISERROR(OFFSET(Rame!$F$1,MATCH(J62,Rame!$F:$F,0)-1,MATCH(K62,Rame!$F$1:$FF$1,0)-1)=TRUE),0,OFFSET(Rame!$F$1,MATCH(J62,Rame!$F:$F,0)-1,MATCH(K62,Rame!$F$1:$FF$1,0)-1))*IF(G62="Rame",1,0)</f>
        <v>0</v>
      </c>
      <c r="U62" s="255">
        <f ca="1">IF(ISERROR(OFFSET(Bronzo!$A$1,MATCH(J62,Bronzo!$A:$A,0)-1,MATCH(K62,Bronzo!$A$1:$AA$1,0)-1)=TRUE),0,OFFSET(Bronzo!$A$1,MATCH(J62,Bronzo!$A:$A,0)-1,MATCH(K62,Bronzo!$A$1:$AA$1,0)-1))</f>
        <v>0</v>
      </c>
      <c r="V62" s="255">
        <f t="shared" ca="1" si="57"/>
        <v>0</v>
      </c>
      <c r="W62" s="254"/>
      <c r="X62" s="255">
        <v>0</v>
      </c>
      <c r="Y62" s="256">
        <f t="shared" ca="1" si="58"/>
        <v>1</v>
      </c>
      <c r="Z62" s="269">
        <f t="shared" si="59"/>
        <v>31.95</v>
      </c>
      <c r="AA62" s="253">
        <v>14.9</v>
      </c>
      <c r="AB62" s="253">
        <f t="shared" ca="1" si="60"/>
        <v>2.7200000000000006</v>
      </c>
      <c r="AC62" s="258"/>
      <c r="AF62" s="223" t="s">
        <v>405</v>
      </c>
      <c r="AH62" s="232">
        <f t="shared" ca="1" si="62"/>
        <v>46120</v>
      </c>
      <c r="AI62" s="232" t="b">
        <f t="shared" si="51"/>
        <v>1</v>
      </c>
      <c r="AJ62" s="259" t="str">
        <f t="shared" si="61"/>
        <v/>
      </c>
      <c r="AM62" s="223">
        <f t="shared" si="52"/>
        <v>0</v>
      </c>
      <c r="AN62" s="223">
        <f t="shared" si="53"/>
        <v>1900</v>
      </c>
      <c r="AU62" s="223">
        <f t="shared" si="54"/>
        <v>0</v>
      </c>
      <c r="AV62" s="223">
        <f t="shared" si="55"/>
        <v>0</v>
      </c>
    </row>
    <row r="63" spans="4:48" ht="26.25" x14ac:dyDescent="0.4">
      <c r="D63" s="246" t="s">
        <v>629</v>
      </c>
      <c r="E63" s="262" t="s">
        <v>304</v>
      </c>
      <c r="F63" s="263">
        <v>674</v>
      </c>
      <c r="G63" s="249" t="s">
        <v>6</v>
      </c>
      <c r="H63" s="250">
        <v>11.18</v>
      </c>
      <c r="I63" s="251">
        <v>46041</v>
      </c>
      <c r="J63" s="252" t="s">
        <v>14</v>
      </c>
      <c r="K63" s="252"/>
      <c r="L63" s="253">
        <v>0.15</v>
      </c>
      <c r="M63" s="254">
        <f ca="1">IF(ISERROR(OFFSET(Tabella!$A$1,MATCH(J63,Tabella!$A:$A,0)-1,MATCH(L63,Tabella!$A$1:$AC$1,0)-1)=TRUE),0,+OFFSET(Tabella!$A$1,MATCH(J63,Tabella!$A:$A,0)-1,MATCH(L63,Tabella!$A$1:$AC$1,0)-1))</f>
        <v>0</v>
      </c>
      <c r="N63" s="255">
        <f ca="1">IF(ISERROR(OFFSET(Ottone!$A$1,MATCH(J63,Ottone!$A:$A,0)-1,MATCH(L63,Ottone!$A$1:$Z$1,0)-1)=TRUE),0,OFFSET(Ottone!$A$1,MATCH(J63,Ottone!$A:$A,0)-1,MATCH(L63,Ottone!$A$1:$Z$1,0)-1))*IF(G63="Ottone",1,0)</f>
        <v>0</v>
      </c>
      <c r="O63" s="255">
        <f ca="1">IF(ISERROR(OFFSET(Rame!$A$1,MATCH(J63,Rame!$A:$A,0)-1,MATCH(L63,Rame!$A$1:$AA$1,0)-1)=TRUE),0,OFFSET(Rame!$A$1,MATCH(J63,Rame!$A:$A,0)-1,MATCH(L63,Rame!$A$1:$AA$1,0)-1))*IF(G63="Rame",1,0)</f>
        <v>1</v>
      </c>
      <c r="P63" s="255">
        <v>0</v>
      </c>
      <c r="Q63" s="255">
        <f t="shared" ca="1" si="56"/>
        <v>1</v>
      </c>
      <c r="R63" s="255">
        <f ca="1">+IF(ISERROR(OFFSET(Tabella!$G$1,MATCH(J63,Tabella!$G:$G,0)-1,MATCH(K63,Tabella!$G$1:$FG$1,0)-1)=TRUE),0,OFFSET(Tabella!$G$1,MATCH(J63,Tabella!$G:$G,0)-1,MATCH(K63,Tabella!$G$1:$AB$1,0)-1))</f>
        <v>0</v>
      </c>
      <c r="S63" s="255">
        <f ca="1">IF(ISERROR(OFFSET(Ottone!$F$1,MATCH(J63,Ottone!$A:$A,0)-1,MATCH(K63,Ottone!$F$1:$FF$1,0)-1)=TRUE),0,OFFSET(Ottone!$F$1,MATCH(J63,Ottone!$A:$A,0)-1,MATCH(K63,Ottone!$F$1:$FF$1,0)-1))*IF(G63="Ottone",1,0)</f>
        <v>0</v>
      </c>
      <c r="T63" s="255">
        <f ca="1">IF(ISERROR(OFFSET(Rame!$F$1,MATCH(J63,Rame!$F:$F,0)-1,MATCH(K63,Rame!$F$1:$FF$1,0)-1)=TRUE),0,OFFSET(Rame!$F$1,MATCH(J63,Rame!$F:$F,0)-1,MATCH(K63,Rame!$F$1:$FF$1,0)-1))*IF(G63="Rame",1,0)</f>
        <v>0</v>
      </c>
      <c r="U63" s="255">
        <f ca="1">IF(ISERROR(OFFSET(Bronzo!$A$1,MATCH(J63,Bronzo!$A:$A,0)-1,MATCH(K63,Bronzo!$A$1:$AA$1,0)-1)=TRUE),0,OFFSET(Bronzo!$A$1,MATCH(J63,Bronzo!$A:$A,0)-1,MATCH(K63,Bronzo!$A$1:$AA$1,0)-1))</f>
        <v>0</v>
      </c>
      <c r="V63" s="255">
        <f t="shared" ca="1" si="57"/>
        <v>0</v>
      </c>
      <c r="W63" s="254"/>
      <c r="X63" s="255">
        <v>0</v>
      </c>
      <c r="Y63" s="256">
        <f t="shared" ca="1" si="58"/>
        <v>1</v>
      </c>
      <c r="Z63" s="269">
        <f t="shared" si="59"/>
        <v>101.1</v>
      </c>
      <c r="AA63" s="253">
        <v>15</v>
      </c>
      <c r="AB63" s="253">
        <f t="shared" ca="1" si="60"/>
        <v>2.8200000000000003</v>
      </c>
      <c r="AC63" s="258"/>
      <c r="AF63" s="223" t="s">
        <v>405</v>
      </c>
      <c r="AH63" s="232">
        <f t="shared" ca="1" si="62"/>
        <v>46120</v>
      </c>
      <c r="AI63" s="232" t="b">
        <f t="shared" si="51"/>
        <v>1</v>
      </c>
      <c r="AJ63" s="259" t="str">
        <f t="shared" si="61"/>
        <v/>
      </c>
      <c r="AM63" s="223">
        <f t="shared" si="52"/>
        <v>0</v>
      </c>
      <c r="AN63" s="223">
        <f t="shared" si="53"/>
        <v>1900</v>
      </c>
      <c r="AU63" s="223">
        <f t="shared" si="54"/>
        <v>0</v>
      </c>
      <c r="AV63" s="223">
        <f t="shared" si="55"/>
        <v>0</v>
      </c>
    </row>
    <row r="64" spans="4:48" ht="26.25" x14ac:dyDescent="0.4">
      <c r="D64" s="246" t="s">
        <v>541</v>
      </c>
      <c r="E64" s="262" t="s">
        <v>377</v>
      </c>
      <c r="F64" s="263">
        <v>295</v>
      </c>
      <c r="G64" s="249" t="s">
        <v>6</v>
      </c>
      <c r="H64" s="250">
        <v>11.18</v>
      </c>
      <c r="I64" s="251">
        <v>46041</v>
      </c>
      <c r="J64" s="252" t="s">
        <v>16</v>
      </c>
      <c r="K64" s="252"/>
      <c r="L64" s="253">
        <v>0.15</v>
      </c>
      <c r="M64" s="254">
        <f ca="1">IF(ISERROR(OFFSET(Tabella!$A$1,MATCH(J64,Tabella!$A:$A,0)-1,MATCH(L64,Tabella!$A$1:$AC$1,0)-1)=TRUE),0,+OFFSET(Tabella!$A$1,MATCH(J64,Tabella!$A:$A,0)-1,MATCH(L64,Tabella!$A$1:$AC$1,0)-1))</f>
        <v>0</v>
      </c>
      <c r="N64" s="255">
        <f ca="1">IF(ISERROR(OFFSET(Ottone!$A$1,MATCH(J64,Ottone!$A:$A,0)-1,MATCH(L64,Ottone!$A$1:$Z$1,0)-1)=TRUE),0,OFFSET(Ottone!$A$1,MATCH(J64,Ottone!$A:$A,0)-1,MATCH(L64,Ottone!$A$1:$Z$1,0)-1))*IF(G64="Ottone",1,0)</f>
        <v>0</v>
      </c>
      <c r="O64" s="255">
        <f ca="1">IF(ISERROR(OFFSET(Rame!$A$1,MATCH(J64,Rame!$A:$A,0)-1,MATCH(L64,Rame!$A$1:$AA$1,0)-1)=TRUE),0,OFFSET(Rame!$A$1,MATCH(J64,Rame!$A:$A,0)-1,MATCH(L64,Rame!$A$1:$AA$1,0)-1))*IF(G64="Rame",1,0)</f>
        <v>0.85</v>
      </c>
      <c r="P64" s="255">
        <v>0</v>
      </c>
      <c r="Q64" s="255">
        <f t="shared" ca="1" si="56"/>
        <v>0.85</v>
      </c>
      <c r="R64" s="255">
        <f ca="1">+IF(ISERROR(OFFSET(Tabella!$G$1,MATCH(J64,Tabella!$G:$G,0)-1,MATCH(K64,Tabella!$G$1:$FG$1,0)-1)=TRUE),0,OFFSET(Tabella!$G$1,MATCH(J64,Tabella!$G:$G,0)-1,MATCH(K64,Tabella!$G$1:$AB$1,0)-1))</f>
        <v>0</v>
      </c>
      <c r="S64" s="255">
        <f ca="1">IF(ISERROR(OFFSET(Ottone!$F$1,MATCH(J64,Ottone!$A:$A,0)-1,MATCH(K64,Ottone!$F$1:$FF$1,0)-1)=TRUE),0,OFFSET(Ottone!$F$1,MATCH(J64,Ottone!$A:$A,0)-1,MATCH(K64,Ottone!$F$1:$FF$1,0)-1))*IF(G64="Ottone",1,0)</f>
        <v>0</v>
      </c>
      <c r="T64" s="255">
        <f ca="1">IF(ISERROR(OFFSET(Rame!$F$1,MATCH(J64,Rame!$F:$F,0)-1,MATCH(K64,Rame!$F$1:$FF$1,0)-1)=TRUE),0,OFFSET(Rame!$F$1,MATCH(J64,Rame!$F:$F,0)-1,MATCH(K64,Rame!$F$1:$FF$1,0)-1))*IF(G64="Rame",1,0)</f>
        <v>0</v>
      </c>
      <c r="U64" s="255">
        <f ca="1">IF(ISERROR(OFFSET(Bronzo!$A$1,MATCH(J64,Bronzo!$A:$A,0)-1,MATCH(K64,Bronzo!$A$1:$AA$1,0)-1)=TRUE),0,OFFSET(Bronzo!$A$1,MATCH(J64,Bronzo!$A:$A,0)-1,MATCH(K64,Bronzo!$A$1:$AA$1,0)-1))</f>
        <v>0</v>
      </c>
      <c r="V64" s="255">
        <f t="shared" ca="1" si="57"/>
        <v>0</v>
      </c>
      <c r="W64" s="254"/>
      <c r="X64" s="255">
        <v>0</v>
      </c>
      <c r="Y64" s="256">
        <f t="shared" ca="1" si="58"/>
        <v>0.85</v>
      </c>
      <c r="Z64" s="269">
        <f t="shared" si="59"/>
        <v>44.25</v>
      </c>
      <c r="AA64" s="253">
        <v>14.9</v>
      </c>
      <c r="AB64" s="253">
        <f t="shared" ca="1" si="60"/>
        <v>2.870000000000001</v>
      </c>
      <c r="AC64" s="258"/>
      <c r="AF64" s="223" t="s">
        <v>405</v>
      </c>
      <c r="AH64" s="232">
        <f t="shared" ca="1" si="62"/>
        <v>46120</v>
      </c>
      <c r="AI64" s="232" t="b">
        <f t="shared" si="51"/>
        <v>1</v>
      </c>
      <c r="AJ64" s="259" t="str">
        <f t="shared" si="61"/>
        <v/>
      </c>
      <c r="AM64" s="223">
        <f t="shared" si="52"/>
        <v>0</v>
      </c>
      <c r="AN64" s="223">
        <f t="shared" si="53"/>
        <v>1900</v>
      </c>
      <c r="AU64" s="223">
        <f t="shared" si="54"/>
        <v>0</v>
      </c>
      <c r="AV64" s="223">
        <f t="shared" si="55"/>
        <v>0</v>
      </c>
    </row>
    <row r="65" spans="4:48" ht="26.25" x14ac:dyDescent="0.4">
      <c r="D65" s="246" t="s">
        <v>463</v>
      </c>
      <c r="E65" s="262" t="s">
        <v>212</v>
      </c>
      <c r="F65" s="263">
        <v>2996</v>
      </c>
      <c r="G65" s="249" t="s">
        <v>4</v>
      </c>
      <c r="H65" s="250">
        <v>2.48</v>
      </c>
      <c r="I65" s="251">
        <v>46042</v>
      </c>
      <c r="J65" s="252" t="s">
        <v>17</v>
      </c>
      <c r="K65" s="252"/>
      <c r="L65" s="253">
        <v>0.05</v>
      </c>
      <c r="M65" s="254">
        <f ca="1">IF(ISERROR(OFFSET(Tabella!$A$1,MATCH(J65,Tabella!$A:$A,0)-1,MATCH(L65,Tabella!$A$1:$AC$1,0)-1)=TRUE),0,+OFFSET(Tabella!$A$1,MATCH(J65,Tabella!$A:$A,0)-1,MATCH(L65,Tabella!$A$1:$AC$1,0)-1))</f>
        <v>0</v>
      </c>
      <c r="N65" s="255">
        <f ca="1">IF(ISERROR(OFFSET(Ottone!$A$1,MATCH(J65,Ottone!$A:$A,0)-1,MATCH(L65,Ottone!$A$1:$Z$1,0)-1)=TRUE),0,OFFSET(Ottone!$A$1,MATCH(J65,Ottone!$A:$A,0)-1,MATCH(L65,Ottone!$A$1:$Z$1,0)-1))*IF(G65="Ottone",1,0)</f>
        <v>0</v>
      </c>
      <c r="O65" s="255">
        <f ca="1">IF(ISERROR(OFFSET(Rame!$A$1,MATCH(J65,Rame!$A:$A,0)-1,MATCH(L65,Rame!$A$1:$AA$1,0)-1)=TRUE),0,OFFSET(Rame!$A$1,MATCH(J65,Rame!$A:$A,0)-1,MATCH(L65,Rame!$A$1:$AA$1,0)-1))*IF(G65="Rame",1,0)</f>
        <v>0</v>
      </c>
      <c r="P65" s="255">
        <v>0</v>
      </c>
      <c r="Q65" s="255">
        <v>1.52</v>
      </c>
      <c r="R65" s="255">
        <f ca="1">+IF(ISERROR(OFFSET(Tabella!$G$1,MATCH(J65,Tabella!$G:$G,0)-1,MATCH(K65,Tabella!$G$1:$FG$1,0)-1)=TRUE),0,OFFSET(Tabella!$G$1,MATCH(J65,Tabella!$G:$G,0)-1,MATCH(K65,Tabella!$G$1:$AB$1,0)-1))</f>
        <v>0</v>
      </c>
      <c r="S65" s="255">
        <f ca="1">IF(ISERROR(OFFSET(Ottone!$F$1,MATCH(J65,Ottone!$A:$A,0)-1,MATCH(K65,Ottone!$F$1:$FF$1,0)-1)=TRUE),0,OFFSET(Ottone!$F$1,MATCH(J65,Ottone!$A:$A,0)-1,MATCH(K65,Ottone!$F$1:$FF$1,0)-1))*IF(G65="Ottone",1,0)</f>
        <v>0</v>
      </c>
      <c r="T65" s="255">
        <f ca="1">IF(ISERROR(OFFSET(Rame!$F$1,MATCH(J65,Rame!$F:$F,0)-1,MATCH(K65,Rame!$F$1:$FF$1,0)-1)=TRUE),0,OFFSET(Rame!$F$1,MATCH(J65,Rame!$F:$F,0)-1,MATCH(K65,Rame!$F$1:$FF$1,0)-1))*IF(G65="Rame",1,0)</f>
        <v>0</v>
      </c>
      <c r="U65" s="255">
        <f ca="1">IF(ISERROR(OFFSET(Bronzo!$A$1,MATCH(J65,Bronzo!$A:$A,0)-1,MATCH(K65,Bronzo!$A$1:$AA$1,0)-1)=TRUE),0,OFFSET(Bronzo!$A$1,MATCH(J65,Bronzo!$A:$A,0)-1,MATCH(K65,Bronzo!$A$1:$AA$1,0)-1))</f>
        <v>0</v>
      </c>
      <c r="V65" s="255">
        <f t="shared" ref="V65:V86" ca="1" si="63">SUM(R65:U65)</f>
        <v>0</v>
      </c>
      <c r="W65" s="254"/>
      <c r="X65" s="255">
        <v>0</v>
      </c>
      <c r="Y65" s="256">
        <f t="shared" ref="Y65:Y86" ca="1" si="64">+Q65+V65+W65+X65</f>
        <v>1.52</v>
      </c>
      <c r="Z65" s="269">
        <f t="shared" ref="Z65:Z86" si="65">+L65*F65</f>
        <v>149.80000000000001</v>
      </c>
      <c r="AA65" s="253">
        <v>4</v>
      </c>
      <c r="AB65" s="253">
        <f t="shared" ref="AB65:AB86" ca="1" si="66">+AA65-Y65-H65</f>
        <v>0</v>
      </c>
      <c r="AC65" s="258"/>
      <c r="AF65" s="223" t="s">
        <v>405</v>
      </c>
      <c r="AH65" s="232">
        <f t="shared" ca="1" si="62"/>
        <v>46120</v>
      </c>
      <c r="AI65" s="232" t="b">
        <f t="shared" si="51"/>
        <v>1</v>
      </c>
      <c r="AJ65" s="259" t="str">
        <f t="shared" si="61"/>
        <v/>
      </c>
      <c r="AM65" s="223">
        <f t="shared" si="52"/>
        <v>0</v>
      </c>
      <c r="AN65" s="223">
        <f t="shared" si="53"/>
        <v>1900</v>
      </c>
      <c r="AU65" s="223">
        <f t="shared" si="54"/>
        <v>0</v>
      </c>
      <c r="AV65" s="223">
        <f t="shared" si="55"/>
        <v>0</v>
      </c>
    </row>
    <row r="66" spans="4:48" ht="26.25" x14ac:dyDescent="0.4">
      <c r="D66" s="246" t="s">
        <v>463</v>
      </c>
      <c r="E66" s="262" t="s">
        <v>212</v>
      </c>
      <c r="F66" s="263">
        <v>4075</v>
      </c>
      <c r="G66" s="249" t="s">
        <v>4</v>
      </c>
      <c r="H66" s="250">
        <v>2.48</v>
      </c>
      <c r="I66" s="251">
        <v>46042</v>
      </c>
      <c r="J66" s="252" t="s">
        <v>17</v>
      </c>
      <c r="K66" s="252"/>
      <c r="L66" s="253">
        <v>0.05</v>
      </c>
      <c r="M66" s="254">
        <f ca="1">IF(ISERROR(OFFSET(Tabella!$A$1,MATCH(J66,Tabella!$A:$A,0)-1,MATCH(L66,Tabella!$A$1:$AC$1,0)-1)=TRUE),0,+OFFSET(Tabella!$A$1,MATCH(J66,Tabella!$A:$A,0)-1,MATCH(L66,Tabella!$A$1:$AC$1,0)-1))</f>
        <v>0</v>
      </c>
      <c r="N66" s="255">
        <f ca="1">IF(ISERROR(OFFSET(Ottone!$A$1,MATCH(J66,Ottone!$A:$A,0)-1,MATCH(L66,Ottone!$A$1:$Z$1,0)-1)=TRUE),0,OFFSET(Ottone!$A$1,MATCH(J66,Ottone!$A:$A,0)-1,MATCH(L66,Ottone!$A$1:$Z$1,0)-1))*IF(G66="Ottone",1,0)</f>
        <v>0</v>
      </c>
      <c r="O66" s="255">
        <f ca="1">IF(ISERROR(OFFSET(Rame!$A$1,MATCH(J66,Rame!$A:$A,0)-1,MATCH(L66,Rame!$A$1:$AA$1,0)-1)=TRUE),0,OFFSET(Rame!$A$1,MATCH(J66,Rame!$A:$A,0)-1,MATCH(L66,Rame!$A$1:$AA$1,0)-1))*IF(G66="Rame",1,0)</f>
        <v>0</v>
      </c>
      <c r="P66" s="255">
        <v>0</v>
      </c>
      <c r="Q66" s="255">
        <v>1.52</v>
      </c>
      <c r="R66" s="255">
        <f ca="1">+IF(ISERROR(OFFSET(Tabella!$G$1,MATCH(J66,Tabella!$G:$G,0)-1,MATCH(K66,Tabella!$G$1:$FG$1,0)-1)=TRUE),0,OFFSET(Tabella!$G$1,MATCH(J66,Tabella!$G:$G,0)-1,MATCH(K66,Tabella!$G$1:$AB$1,0)-1))</f>
        <v>0</v>
      </c>
      <c r="S66" s="255">
        <f ca="1">IF(ISERROR(OFFSET(Ottone!$F$1,MATCH(J66,Ottone!$A:$A,0)-1,MATCH(K66,Ottone!$F$1:$FF$1,0)-1)=TRUE),0,OFFSET(Ottone!$F$1,MATCH(J66,Ottone!$A:$A,0)-1,MATCH(K66,Ottone!$F$1:$FF$1,0)-1))*IF(G66="Ottone",1,0)</f>
        <v>0</v>
      </c>
      <c r="T66" s="255">
        <f ca="1">IF(ISERROR(OFFSET(Rame!$F$1,MATCH(J66,Rame!$F:$F,0)-1,MATCH(K66,Rame!$F$1:$FF$1,0)-1)=TRUE),0,OFFSET(Rame!$F$1,MATCH(J66,Rame!$F:$F,0)-1,MATCH(K66,Rame!$F$1:$FF$1,0)-1))*IF(G66="Rame",1,0)</f>
        <v>0</v>
      </c>
      <c r="U66" s="255">
        <f ca="1">IF(ISERROR(OFFSET(Bronzo!$A$1,MATCH(J66,Bronzo!$A:$A,0)-1,MATCH(K66,Bronzo!$A$1:$AA$1,0)-1)=TRUE),0,OFFSET(Bronzo!$A$1,MATCH(J66,Bronzo!$A:$A,0)-1,MATCH(K66,Bronzo!$A$1:$AA$1,0)-1))</f>
        <v>0</v>
      </c>
      <c r="V66" s="255">
        <f t="shared" ca="1" si="63"/>
        <v>0</v>
      </c>
      <c r="W66" s="254"/>
      <c r="X66" s="255">
        <v>0</v>
      </c>
      <c r="Y66" s="256">
        <f t="shared" ca="1" si="64"/>
        <v>1.52</v>
      </c>
      <c r="Z66" s="269">
        <f t="shared" si="65"/>
        <v>203.75</v>
      </c>
      <c r="AA66" s="253">
        <v>4</v>
      </c>
      <c r="AB66" s="253">
        <f t="shared" ca="1" si="66"/>
        <v>0</v>
      </c>
      <c r="AC66" s="258"/>
      <c r="AF66" s="223" t="s">
        <v>405</v>
      </c>
      <c r="AH66" s="232">
        <f t="shared" ca="1" si="62"/>
        <v>46120</v>
      </c>
      <c r="AI66" s="232" t="b">
        <f t="shared" si="51"/>
        <v>1</v>
      </c>
      <c r="AJ66" s="259" t="str">
        <f t="shared" si="61"/>
        <v/>
      </c>
      <c r="AM66" s="223">
        <f t="shared" si="52"/>
        <v>0</v>
      </c>
      <c r="AN66" s="223">
        <f t="shared" si="53"/>
        <v>1900</v>
      </c>
      <c r="AU66" s="223">
        <f t="shared" si="54"/>
        <v>0</v>
      </c>
      <c r="AV66" s="223">
        <f t="shared" si="55"/>
        <v>0</v>
      </c>
    </row>
    <row r="67" spans="4:48" ht="26.25" x14ac:dyDescent="0.4">
      <c r="D67" s="246" t="s">
        <v>463</v>
      </c>
      <c r="E67" s="262" t="s">
        <v>212</v>
      </c>
      <c r="F67" s="263">
        <v>3524</v>
      </c>
      <c r="G67" s="249" t="s">
        <v>4</v>
      </c>
      <c r="H67" s="250">
        <v>2.48</v>
      </c>
      <c r="I67" s="251">
        <v>46042</v>
      </c>
      <c r="J67" s="252" t="s">
        <v>17</v>
      </c>
      <c r="K67" s="252"/>
      <c r="L67" s="253">
        <v>0.05</v>
      </c>
      <c r="M67" s="254">
        <f ca="1">IF(ISERROR(OFFSET(Tabella!$A$1,MATCH(J67,Tabella!$A:$A,0)-1,MATCH(L67,Tabella!$A$1:$AC$1,0)-1)=TRUE),0,+OFFSET(Tabella!$A$1,MATCH(J67,Tabella!$A:$A,0)-1,MATCH(L67,Tabella!$A$1:$AC$1,0)-1))</f>
        <v>0</v>
      </c>
      <c r="N67" s="255">
        <f ca="1">IF(ISERROR(OFFSET(Ottone!$A$1,MATCH(J67,Ottone!$A:$A,0)-1,MATCH(L67,Ottone!$A$1:$Z$1,0)-1)=TRUE),0,OFFSET(Ottone!$A$1,MATCH(J67,Ottone!$A:$A,0)-1,MATCH(L67,Ottone!$A$1:$Z$1,0)-1))*IF(G67="Ottone",1,0)</f>
        <v>0</v>
      </c>
      <c r="O67" s="255">
        <f ca="1">IF(ISERROR(OFFSET(Rame!$A$1,MATCH(J67,Rame!$A:$A,0)-1,MATCH(L67,Rame!$A$1:$AA$1,0)-1)=TRUE),0,OFFSET(Rame!$A$1,MATCH(J67,Rame!$A:$A,0)-1,MATCH(L67,Rame!$A$1:$AA$1,0)-1))*IF(G67="Rame",1,0)</f>
        <v>0</v>
      </c>
      <c r="P67" s="255">
        <v>0</v>
      </c>
      <c r="Q67" s="255">
        <v>1.52</v>
      </c>
      <c r="R67" s="255">
        <f ca="1">+IF(ISERROR(OFFSET(Tabella!$G$1,MATCH(J67,Tabella!$G:$G,0)-1,MATCH(K67,Tabella!$G$1:$FG$1,0)-1)=TRUE),0,OFFSET(Tabella!$G$1,MATCH(J67,Tabella!$G:$G,0)-1,MATCH(K67,Tabella!$G$1:$AB$1,0)-1))</f>
        <v>0</v>
      </c>
      <c r="S67" s="255">
        <f ca="1">IF(ISERROR(OFFSET(Ottone!$F$1,MATCH(J67,Ottone!$A:$A,0)-1,MATCH(K67,Ottone!$F$1:$FF$1,0)-1)=TRUE),0,OFFSET(Ottone!$F$1,MATCH(J67,Ottone!$A:$A,0)-1,MATCH(K67,Ottone!$F$1:$FF$1,0)-1))*IF(G67="Ottone",1,0)</f>
        <v>0</v>
      </c>
      <c r="T67" s="255">
        <f ca="1">IF(ISERROR(OFFSET(Rame!$F$1,MATCH(J67,Rame!$F:$F,0)-1,MATCH(K67,Rame!$F$1:$FF$1,0)-1)=TRUE),0,OFFSET(Rame!$F$1,MATCH(J67,Rame!$F:$F,0)-1,MATCH(K67,Rame!$F$1:$FF$1,0)-1))*IF(G67="Rame",1,0)</f>
        <v>0</v>
      </c>
      <c r="U67" s="255">
        <f ca="1">IF(ISERROR(OFFSET(Bronzo!$A$1,MATCH(J67,Bronzo!$A:$A,0)-1,MATCH(K67,Bronzo!$A$1:$AA$1,0)-1)=TRUE),0,OFFSET(Bronzo!$A$1,MATCH(J67,Bronzo!$A:$A,0)-1,MATCH(K67,Bronzo!$A$1:$AA$1,0)-1))</f>
        <v>0</v>
      </c>
      <c r="V67" s="255">
        <f t="shared" ca="1" si="63"/>
        <v>0</v>
      </c>
      <c r="W67" s="254"/>
      <c r="X67" s="255">
        <v>0</v>
      </c>
      <c r="Y67" s="256">
        <f t="shared" ca="1" si="64"/>
        <v>1.52</v>
      </c>
      <c r="Z67" s="269">
        <f t="shared" si="65"/>
        <v>176.20000000000002</v>
      </c>
      <c r="AA67" s="253">
        <v>4</v>
      </c>
      <c r="AB67" s="253">
        <f t="shared" ca="1" si="66"/>
        <v>0</v>
      </c>
      <c r="AC67" s="258"/>
      <c r="AF67" s="223" t="s">
        <v>405</v>
      </c>
      <c r="AH67" s="232">
        <f t="shared" ca="1" si="62"/>
        <v>46120</v>
      </c>
      <c r="AI67" s="232" t="b">
        <f t="shared" si="51"/>
        <v>1</v>
      </c>
      <c r="AJ67" s="259" t="str">
        <f t="shared" si="61"/>
        <v/>
      </c>
      <c r="AM67" s="223">
        <f t="shared" si="52"/>
        <v>0</v>
      </c>
      <c r="AN67" s="223">
        <f t="shared" si="53"/>
        <v>1900</v>
      </c>
      <c r="AU67" s="223">
        <f t="shared" si="54"/>
        <v>0</v>
      </c>
      <c r="AV67" s="223">
        <f t="shared" si="55"/>
        <v>0</v>
      </c>
    </row>
    <row r="68" spans="4:48" ht="26.25" x14ac:dyDescent="0.4">
      <c r="D68" s="246" t="s">
        <v>506</v>
      </c>
      <c r="E68" s="262" t="s">
        <v>212</v>
      </c>
      <c r="F68" s="263">
        <v>968</v>
      </c>
      <c r="G68" s="249" t="s">
        <v>4</v>
      </c>
      <c r="H68" s="250">
        <v>2.48</v>
      </c>
      <c r="I68" s="251">
        <v>46042</v>
      </c>
      <c r="J68" s="252" t="s">
        <v>25</v>
      </c>
      <c r="K68" s="252"/>
      <c r="L68" s="253">
        <v>0.05</v>
      </c>
      <c r="M68" s="254">
        <f ca="1">IF(ISERROR(OFFSET(Tabella!$A$1,MATCH(J68,Tabella!$A:$A,0)-1,MATCH(L68,Tabella!$A$1:$AC$1,0)-1)=TRUE),0,+OFFSET(Tabella!$A$1,MATCH(J68,Tabella!$A:$A,0)-1,MATCH(L68,Tabella!$A$1:$AC$1,0)-1))</f>
        <v>0</v>
      </c>
      <c r="N68" s="255">
        <f ca="1">IF(ISERROR(OFFSET(Ottone!$A$1,MATCH(J68,Ottone!$A:$A,0)-1,MATCH(L68,Ottone!$A$1:$Z$1,0)-1)=TRUE),0,OFFSET(Ottone!$A$1,MATCH(J68,Ottone!$A:$A,0)-1,MATCH(L68,Ottone!$A$1:$Z$1,0)-1))*IF(G68="Ottone",1,0)</f>
        <v>0</v>
      </c>
      <c r="O68" s="255">
        <f ca="1">IF(ISERROR(OFFSET(Rame!$A$1,MATCH(J68,Rame!$A:$A,0)-1,MATCH(L68,Rame!$A$1:$AA$1,0)-1)=TRUE),0,OFFSET(Rame!$A$1,MATCH(J68,Rame!$A:$A,0)-1,MATCH(L68,Rame!$A$1:$AA$1,0)-1))*IF(G68="Rame",1,0)</f>
        <v>0</v>
      </c>
      <c r="P68" s="255">
        <v>0</v>
      </c>
      <c r="Q68" s="255">
        <v>1.47</v>
      </c>
      <c r="R68" s="255">
        <f ca="1">+IF(ISERROR(OFFSET(Tabella!$G$1,MATCH(J68,Tabella!$G:$G,0)-1,MATCH(K68,Tabella!$G$1:$FG$1,0)-1)=TRUE),0,OFFSET(Tabella!$G$1,MATCH(J68,Tabella!$G:$G,0)-1,MATCH(K68,Tabella!$G$1:$AB$1,0)-1))</f>
        <v>0</v>
      </c>
      <c r="S68" s="255">
        <f ca="1">IF(ISERROR(OFFSET(Ottone!$F$1,MATCH(J68,Ottone!$A:$A,0)-1,MATCH(K68,Ottone!$F$1:$FF$1,0)-1)=TRUE),0,OFFSET(Ottone!$F$1,MATCH(J68,Ottone!$A:$A,0)-1,MATCH(K68,Ottone!$F$1:$FF$1,0)-1))*IF(G68="Ottone",1,0)</f>
        <v>0</v>
      </c>
      <c r="T68" s="255">
        <f ca="1">IF(ISERROR(OFFSET(Rame!$F$1,MATCH(J68,Rame!$F:$F,0)-1,MATCH(K68,Rame!$F$1:$FF$1,0)-1)=TRUE),0,OFFSET(Rame!$F$1,MATCH(J68,Rame!$F:$F,0)-1,MATCH(K68,Rame!$F$1:$FF$1,0)-1))*IF(G68="Rame",1,0)</f>
        <v>0</v>
      </c>
      <c r="U68" s="255">
        <f ca="1">IF(ISERROR(OFFSET(Bronzo!$A$1,MATCH(J68,Bronzo!$A:$A,0)-1,MATCH(K68,Bronzo!$A$1:$AA$1,0)-1)=TRUE),0,OFFSET(Bronzo!$A$1,MATCH(J68,Bronzo!$A:$A,0)-1,MATCH(K68,Bronzo!$A$1:$AA$1,0)-1))</f>
        <v>0</v>
      </c>
      <c r="V68" s="255">
        <f t="shared" ca="1" si="63"/>
        <v>0</v>
      </c>
      <c r="W68" s="254"/>
      <c r="X68" s="255">
        <v>0</v>
      </c>
      <c r="Y68" s="256">
        <f t="shared" ca="1" si="64"/>
        <v>1.47</v>
      </c>
      <c r="Z68" s="269">
        <f t="shared" si="65"/>
        <v>48.400000000000006</v>
      </c>
      <c r="AA68" s="253">
        <v>3.95</v>
      </c>
      <c r="AB68" s="253">
        <f t="shared" ca="1" si="66"/>
        <v>0</v>
      </c>
      <c r="AC68" s="258"/>
      <c r="AF68" s="223" t="s">
        <v>405</v>
      </c>
      <c r="AH68" s="232">
        <f t="shared" ca="1" si="62"/>
        <v>46120</v>
      </c>
      <c r="AI68" s="232" t="b">
        <f t="shared" si="51"/>
        <v>1</v>
      </c>
      <c r="AJ68" s="259" t="str">
        <f t="shared" si="61"/>
        <v/>
      </c>
      <c r="AM68" s="223">
        <f t="shared" si="52"/>
        <v>0</v>
      </c>
      <c r="AN68" s="223">
        <f t="shared" si="53"/>
        <v>1900</v>
      </c>
      <c r="AU68" s="223">
        <f t="shared" si="54"/>
        <v>0</v>
      </c>
      <c r="AV68" s="223">
        <f t="shared" si="55"/>
        <v>0</v>
      </c>
    </row>
    <row r="69" spans="4:48" ht="26.25" x14ac:dyDescent="0.4">
      <c r="D69" s="246" t="s">
        <v>473</v>
      </c>
      <c r="E69" s="262" t="s">
        <v>212</v>
      </c>
      <c r="F69" s="263">
        <v>2064</v>
      </c>
      <c r="G69" s="249" t="s">
        <v>4</v>
      </c>
      <c r="H69" s="250">
        <v>2.48</v>
      </c>
      <c r="I69" s="251">
        <v>46042</v>
      </c>
      <c r="J69" s="252" t="s">
        <v>25</v>
      </c>
      <c r="K69" s="252"/>
      <c r="L69" s="253">
        <v>0.05</v>
      </c>
      <c r="M69" s="254">
        <f ca="1">IF(ISERROR(OFFSET(Tabella!$A$1,MATCH(J69,Tabella!$A:$A,0)-1,MATCH(L69,Tabella!$A$1:$AC$1,0)-1)=TRUE),0,+OFFSET(Tabella!$A$1,MATCH(J69,Tabella!$A:$A,0)-1,MATCH(L69,Tabella!$A$1:$AC$1,0)-1))</f>
        <v>0</v>
      </c>
      <c r="N69" s="255">
        <f ca="1">IF(ISERROR(OFFSET(Ottone!$A$1,MATCH(J69,Ottone!$A:$A,0)-1,MATCH(L69,Ottone!$A$1:$Z$1,0)-1)=TRUE),0,OFFSET(Ottone!$A$1,MATCH(J69,Ottone!$A:$A,0)-1,MATCH(L69,Ottone!$A$1:$Z$1,0)-1))*IF(G69="Ottone",1,0)</f>
        <v>0</v>
      </c>
      <c r="O69" s="255">
        <f ca="1">IF(ISERROR(OFFSET(Rame!$A$1,MATCH(J69,Rame!$A:$A,0)-1,MATCH(L69,Rame!$A$1:$AA$1,0)-1)=TRUE),0,OFFSET(Rame!$A$1,MATCH(J69,Rame!$A:$A,0)-1,MATCH(L69,Rame!$A$1:$AA$1,0)-1))*IF(G69="Rame",1,0)</f>
        <v>0</v>
      </c>
      <c r="P69" s="255">
        <v>0</v>
      </c>
      <c r="Q69" s="255">
        <v>1.47</v>
      </c>
      <c r="R69" s="255">
        <f ca="1">+IF(ISERROR(OFFSET(Tabella!$G$1,MATCH(J69,Tabella!$G:$G,0)-1,MATCH(K69,Tabella!$G$1:$FG$1,0)-1)=TRUE),0,OFFSET(Tabella!$G$1,MATCH(J69,Tabella!$G:$G,0)-1,MATCH(K69,Tabella!$G$1:$AB$1,0)-1))</f>
        <v>0</v>
      </c>
      <c r="S69" s="255">
        <f ca="1">IF(ISERROR(OFFSET(Ottone!$F$1,MATCH(J69,Ottone!$A:$A,0)-1,MATCH(K69,Ottone!$F$1:$FF$1,0)-1)=TRUE),0,OFFSET(Ottone!$F$1,MATCH(J69,Ottone!$A:$A,0)-1,MATCH(K69,Ottone!$F$1:$FF$1,0)-1))*IF(G69="Ottone",1,0)</f>
        <v>0</v>
      </c>
      <c r="T69" s="255">
        <f ca="1">IF(ISERROR(OFFSET(Rame!$F$1,MATCH(J69,Rame!$F:$F,0)-1,MATCH(K69,Rame!$F$1:$FF$1,0)-1)=TRUE),0,OFFSET(Rame!$F$1,MATCH(J69,Rame!$F:$F,0)-1,MATCH(K69,Rame!$F$1:$FF$1,0)-1))*IF(G69="Rame",1,0)</f>
        <v>0</v>
      </c>
      <c r="U69" s="255">
        <f ca="1">IF(ISERROR(OFFSET(Bronzo!$A$1,MATCH(J69,Bronzo!$A:$A,0)-1,MATCH(K69,Bronzo!$A$1:$AA$1,0)-1)=TRUE),0,OFFSET(Bronzo!$A$1,MATCH(J69,Bronzo!$A:$A,0)-1,MATCH(K69,Bronzo!$A$1:$AA$1,0)-1))</f>
        <v>0</v>
      </c>
      <c r="V69" s="255">
        <f t="shared" ca="1" si="63"/>
        <v>0</v>
      </c>
      <c r="W69" s="254"/>
      <c r="X69" s="255">
        <v>0</v>
      </c>
      <c r="Y69" s="256">
        <f t="shared" ca="1" si="64"/>
        <v>1.47</v>
      </c>
      <c r="Z69" s="269">
        <f t="shared" si="65"/>
        <v>103.2</v>
      </c>
      <c r="AA69" s="253">
        <v>3.95</v>
      </c>
      <c r="AB69" s="253">
        <f t="shared" ca="1" si="66"/>
        <v>0</v>
      </c>
      <c r="AC69" s="258"/>
      <c r="AF69" s="223" t="s">
        <v>405</v>
      </c>
      <c r="AH69" s="232">
        <f t="shared" ca="1" si="62"/>
        <v>46120</v>
      </c>
      <c r="AI69" s="232" t="b">
        <f t="shared" si="51"/>
        <v>1</v>
      </c>
      <c r="AJ69" s="259" t="str">
        <f t="shared" si="61"/>
        <v/>
      </c>
      <c r="AM69" s="223">
        <f t="shared" si="52"/>
        <v>0</v>
      </c>
      <c r="AN69" s="223">
        <f t="shared" si="53"/>
        <v>1900</v>
      </c>
      <c r="AU69" s="223">
        <f t="shared" si="54"/>
        <v>0</v>
      </c>
      <c r="AV69" s="223">
        <f t="shared" si="55"/>
        <v>0</v>
      </c>
    </row>
    <row r="70" spans="4:48" ht="26.25" x14ac:dyDescent="0.4">
      <c r="D70" s="246" t="s">
        <v>464</v>
      </c>
      <c r="E70" s="262" t="s">
        <v>212</v>
      </c>
      <c r="F70" s="263">
        <v>2172</v>
      </c>
      <c r="G70" s="249" t="s">
        <v>4</v>
      </c>
      <c r="H70" s="250">
        <v>2.48</v>
      </c>
      <c r="I70" s="251">
        <v>46042</v>
      </c>
      <c r="J70" s="252" t="s">
        <v>24</v>
      </c>
      <c r="K70" s="252"/>
      <c r="L70" s="253">
        <v>0.05</v>
      </c>
      <c r="M70" s="254">
        <f ca="1">IF(ISERROR(OFFSET(Tabella!$A$1,MATCH(J70,Tabella!$A:$A,0)-1,MATCH(L70,Tabella!$A$1:$AC$1,0)-1)=TRUE),0,+OFFSET(Tabella!$A$1,MATCH(J70,Tabella!$A:$A,0)-1,MATCH(L70,Tabella!$A$1:$AC$1,0)-1))</f>
        <v>0</v>
      </c>
      <c r="N70" s="255">
        <f ca="1">IF(ISERROR(OFFSET(Ottone!$A$1,MATCH(J70,Ottone!$A:$A,0)-1,MATCH(L70,Ottone!$A$1:$Z$1,0)-1)=TRUE),0,OFFSET(Ottone!$A$1,MATCH(J70,Ottone!$A:$A,0)-1,MATCH(L70,Ottone!$A$1:$Z$1,0)-1))*IF(G70="Ottone",1,0)</f>
        <v>0</v>
      </c>
      <c r="O70" s="255">
        <f ca="1">IF(ISERROR(OFFSET(Rame!$A$1,MATCH(J70,Rame!$A:$A,0)-1,MATCH(L70,Rame!$A$1:$AA$1,0)-1)=TRUE),0,OFFSET(Rame!$A$1,MATCH(J70,Rame!$A:$A,0)-1,MATCH(L70,Rame!$A$1:$AA$1,0)-1))*IF(G70="Rame",1,0)</f>
        <v>0</v>
      </c>
      <c r="P70" s="255">
        <v>0</v>
      </c>
      <c r="Q70" s="255">
        <v>1.47</v>
      </c>
      <c r="R70" s="255">
        <f ca="1">+IF(ISERROR(OFFSET(Tabella!$G$1,MATCH(J70,Tabella!$G:$G,0)-1,MATCH(K70,Tabella!$G$1:$FG$1,0)-1)=TRUE),0,OFFSET(Tabella!$G$1,MATCH(J70,Tabella!$G:$G,0)-1,MATCH(K70,Tabella!$G$1:$AB$1,0)-1))</f>
        <v>0</v>
      </c>
      <c r="S70" s="255">
        <f ca="1">IF(ISERROR(OFFSET(Ottone!$F$1,MATCH(J70,Ottone!$A:$A,0)-1,MATCH(K70,Ottone!$F$1:$FF$1,0)-1)=TRUE),0,OFFSET(Ottone!$F$1,MATCH(J70,Ottone!$A:$A,0)-1,MATCH(K70,Ottone!$F$1:$FF$1,0)-1))*IF(G70="Ottone",1,0)</f>
        <v>0</v>
      </c>
      <c r="T70" s="255">
        <f ca="1">IF(ISERROR(OFFSET(Rame!$F$1,MATCH(J70,Rame!$F:$F,0)-1,MATCH(K70,Rame!$F$1:$FF$1,0)-1)=TRUE),0,OFFSET(Rame!$F$1,MATCH(J70,Rame!$F:$F,0)-1,MATCH(K70,Rame!$F$1:$FF$1,0)-1))*IF(G70="Rame",1,0)</f>
        <v>0</v>
      </c>
      <c r="U70" s="255">
        <f ca="1">IF(ISERROR(OFFSET(Bronzo!$A$1,MATCH(J70,Bronzo!$A:$A,0)-1,MATCH(K70,Bronzo!$A$1:$AA$1,0)-1)=TRUE),0,OFFSET(Bronzo!$A$1,MATCH(J70,Bronzo!$A:$A,0)-1,MATCH(K70,Bronzo!$A$1:$AA$1,0)-1))</f>
        <v>0</v>
      </c>
      <c r="V70" s="255">
        <f t="shared" ca="1" si="63"/>
        <v>0</v>
      </c>
      <c r="W70" s="254"/>
      <c r="X70" s="255">
        <v>0</v>
      </c>
      <c r="Y70" s="256">
        <f t="shared" ca="1" si="64"/>
        <v>1.47</v>
      </c>
      <c r="Z70" s="269">
        <f t="shared" si="65"/>
        <v>108.60000000000001</v>
      </c>
      <c r="AA70" s="253">
        <v>3.95</v>
      </c>
      <c r="AB70" s="253">
        <f t="shared" ca="1" si="66"/>
        <v>0</v>
      </c>
      <c r="AC70" s="258"/>
      <c r="AF70" s="223" t="s">
        <v>405</v>
      </c>
      <c r="AH70" s="232">
        <f t="shared" ca="1" si="62"/>
        <v>46120</v>
      </c>
      <c r="AI70" s="232" t="b">
        <f t="shared" si="51"/>
        <v>1</v>
      </c>
      <c r="AJ70" s="259" t="str">
        <f t="shared" si="61"/>
        <v/>
      </c>
      <c r="AM70" s="223">
        <f t="shared" si="52"/>
        <v>0</v>
      </c>
      <c r="AN70" s="223">
        <f t="shared" si="53"/>
        <v>1900</v>
      </c>
      <c r="AU70" s="223">
        <f t="shared" si="54"/>
        <v>0</v>
      </c>
      <c r="AV70" s="223">
        <f t="shared" si="55"/>
        <v>0</v>
      </c>
    </row>
    <row r="71" spans="4:48" ht="26.25" x14ac:dyDescent="0.4">
      <c r="D71" s="246" t="s">
        <v>496</v>
      </c>
      <c r="E71" s="262" t="s">
        <v>212</v>
      </c>
      <c r="F71" s="263">
        <v>6206</v>
      </c>
      <c r="G71" s="249" t="s">
        <v>4</v>
      </c>
      <c r="H71" s="250">
        <v>2.48</v>
      </c>
      <c r="I71" s="251">
        <v>46042</v>
      </c>
      <c r="J71" s="252" t="s">
        <v>23</v>
      </c>
      <c r="K71" s="252"/>
      <c r="L71" s="253">
        <v>0.05</v>
      </c>
      <c r="M71" s="254">
        <f ca="1">IF(ISERROR(OFFSET(Tabella!$A$1,MATCH(J71,Tabella!$A:$A,0)-1,MATCH(L71,Tabella!$A$1:$AC$1,0)-1)=TRUE),0,+OFFSET(Tabella!$A$1,MATCH(J71,Tabella!$A:$A,0)-1,MATCH(L71,Tabella!$A$1:$AC$1,0)-1))</f>
        <v>0</v>
      </c>
      <c r="N71" s="255">
        <f ca="1">IF(ISERROR(OFFSET(Ottone!$A$1,MATCH(J71,Ottone!$A:$A,0)-1,MATCH(L71,Ottone!$A$1:$Z$1,0)-1)=TRUE),0,OFFSET(Ottone!$A$1,MATCH(J71,Ottone!$A:$A,0)-1,MATCH(L71,Ottone!$A$1:$Z$1,0)-1))*IF(G71="Ottone",1,0)</f>
        <v>0</v>
      </c>
      <c r="O71" s="255">
        <f ca="1">IF(ISERROR(OFFSET(Rame!$A$1,MATCH(J71,Rame!$A:$A,0)-1,MATCH(L71,Rame!$A$1:$AA$1,0)-1)=TRUE),0,OFFSET(Rame!$A$1,MATCH(J71,Rame!$A:$A,0)-1,MATCH(L71,Rame!$A$1:$AA$1,0)-1))*IF(G71="Rame",1,0)</f>
        <v>0</v>
      </c>
      <c r="P71" s="255">
        <v>0</v>
      </c>
      <c r="Q71" s="255">
        <v>1.37</v>
      </c>
      <c r="R71" s="255">
        <f ca="1">+IF(ISERROR(OFFSET(Tabella!$G$1,MATCH(J71,Tabella!$G:$G,0)-1,MATCH(K71,Tabella!$G$1:$FG$1,0)-1)=TRUE),0,OFFSET(Tabella!$G$1,MATCH(J71,Tabella!$G:$G,0)-1,MATCH(K71,Tabella!$G$1:$AB$1,0)-1))</f>
        <v>0</v>
      </c>
      <c r="S71" s="255">
        <f ca="1">IF(ISERROR(OFFSET(Ottone!$F$1,MATCH(J71,Ottone!$A:$A,0)-1,MATCH(K71,Ottone!$F$1:$FF$1,0)-1)=TRUE),0,OFFSET(Ottone!$F$1,MATCH(J71,Ottone!$A:$A,0)-1,MATCH(K71,Ottone!$F$1:$FF$1,0)-1))*IF(G71="Ottone",1,0)</f>
        <v>0</v>
      </c>
      <c r="T71" s="255">
        <f ca="1">IF(ISERROR(OFFSET(Rame!$F$1,MATCH(J71,Rame!$F:$F,0)-1,MATCH(K71,Rame!$F$1:$FF$1,0)-1)=TRUE),0,OFFSET(Rame!$F$1,MATCH(J71,Rame!$F:$F,0)-1,MATCH(K71,Rame!$F$1:$FF$1,0)-1))*IF(G71="Rame",1,0)</f>
        <v>0</v>
      </c>
      <c r="U71" s="255">
        <f ca="1">IF(ISERROR(OFFSET(Bronzo!$A$1,MATCH(J71,Bronzo!$A:$A,0)-1,MATCH(K71,Bronzo!$A$1:$AA$1,0)-1)=TRUE),0,OFFSET(Bronzo!$A$1,MATCH(J71,Bronzo!$A:$A,0)-1,MATCH(K71,Bronzo!$A$1:$AA$1,0)-1))</f>
        <v>0</v>
      </c>
      <c r="V71" s="255">
        <f t="shared" ca="1" si="63"/>
        <v>0</v>
      </c>
      <c r="W71" s="254"/>
      <c r="X71" s="255">
        <v>0</v>
      </c>
      <c r="Y71" s="256">
        <f t="shared" ca="1" si="64"/>
        <v>1.37</v>
      </c>
      <c r="Z71" s="269">
        <f t="shared" si="65"/>
        <v>310.3</v>
      </c>
      <c r="AA71" s="281">
        <v>3.85</v>
      </c>
      <c r="AB71" s="253">
        <f t="shared" ca="1" si="66"/>
        <v>0</v>
      </c>
      <c r="AC71" s="258"/>
      <c r="AF71" s="223" t="s">
        <v>405</v>
      </c>
      <c r="AH71" s="232">
        <f t="shared" ca="1" si="62"/>
        <v>46120</v>
      </c>
      <c r="AI71" s="232" t="b">
        <f t="shared" si="51"/>
        <v>1</v>
      </c>
      <c r="AJ71" s="259" t="str">
        <f t="shared" si="61"/>
        <v/>
      </c>
      <c r="AM71" s="223">
        <f t="shared" si="52"/>
        <v>0</v>
      </c>
      <c r="AN71" s="223">
        <f t="shared" si="53"/>
        <v>1900</v>
      </c>
      <c r="AU71" s="223">
        <f t="shared" si="54"/>
        <v>0</v>
      </c>
      <c r="AV71" s="223">
        <f t="shared" si="55"/>
        <v>0</v>
      </c>
    </row>
    <row r="72" spans="4:48" ht="26.25" x14ac:dyDescent="0.4">
      <c r="D72" s="246" t="s">
        <v>493</v>
      </c>
      <c r="E72" s="262" t="s">
        <v>263</v>
      </c>
      <c r="F72" s="263">
        <v>1188</v>
      </c>
      <c r="G72" s="249" t="s">
        <v>4</v>
      </c>
      <c r="H72" s="250">
        <v>2.4900000000000002</v>
      </c>
      <c r="I72" s="251">
        <v>46037</v>
      </c>
      <c r="J72" s="252" t="s">
        <v>9</v>
      </c>
      <c r="K72" s="252"/>
      <c r="L72" s="253">
        <v>7.0000000000000007E-2</v>
      </c>
      <c r="M72" s="254"/>
      <c r="N72" s="255"/>
      <c r="O72" s="255"/>
      <c r="P72" s="255"/>
      <c r="Q72" s="255">
        <v>1.8</v>
      </c>
      <c r="R72" s="255"/>
      <c r="S72" s="255"/>
      <c r="T72" s="255"/>
      <c r="U72" s="255"/>
      <c r="V72" s="255">
        <f t="shared" si="63"/>
        <v>0</v>
      </c>
      <c r="W72" s="254"/>
      <c r="X72" s="255">
        <v>0</v>
      </c>
      <c r="Y72" s="256">
        <f t="shared" si="64"/>
        <v>1.8</v>
      </c>
      <c r="Z72" s="269">
        <f t="shared" si="65"/>
        <v>83.160000000000011</v>
      </c>
      <c r="AA72" s="253">
        <v>4.3600000000000003</v>
      </c>
      <c r="AB72" s="253">
        <f t="shared" si="66"/>
        <v>7.0000000000000284E-2</v>
      </c>
      <c r="AC72" s="258"/>
      <c r="AF72" s="223" t="s">
        <v>405</v>
      </c>
      <c r="AJ72" s="259"/>
    </row>
    <row r="73" spans="4:48" ht="26.25" x14ac:dyDescent="0.4">
      <c r="D73" s="246" t="s">
        <v>467</v>
      </c>
      <c r="E73" s="262" t="s">
        <v>263</v>
      </c>
      <c r="F73" s="263">
        <v>1554</v>
      </c>
      <c r="G73" s="249" t="s">
        <v>4</v>
      </c>
      <c r="H73" s="250">
        <v>2.4900000000000002</v>
      </c>
      <c r="I73" s="251">
        <v>46043</v>
      </c>
      <c r="J73" s="252" t="s">
        <v>309</v>
      </c>
      <c r="K73" s="252"/>
      <c r="L73" s="253">
        <v>7.0000000000000007E-2</v>
      </c>
      <c r="M73" s="254">
        <f ca="1">IF(ISERROR(OFFSET(Tabella!$A$1,MATCH(J73,Tabella!$A:$A,0)-1,MATCH(L73,Tabella!$A$1:$AC$1,0)-1)=TRUE),0,+OFFSET(Tabella!$A$1,MATCH(J73,Tabella!$A:$A,0)-1,MATCH(L73,Tabella!$A$1:$AC$1,0)-1))</f>
        <v>1.25</v>
      </c>
      <c r="N73" s="255">
        <f ca="1">IF(ISERROR(OFFSET(Ottone!$A$1,MATCH(J73,Ottone!$A:$A,0)-1,MATCH(L73,Ottone!$A$1:$Z$1,0)-1)=TRUE),0,OFFSET(Ottone!$A$1,MATCH(J73,Ottone!$A:$A,0)-1,MATCH(L73,Ottone!$A$1:$Z$1,0)-1))*IF(G73="Ottone",1,0)</f>
        <v>0</v>
      </c>
      <c r="O73" s="255">
        <f ca="1">IF(ISERROR(OFFSET(Rame!$A$1,MATCH(J73,Rame!$A:$A,0)-1,MATCH(L73,Rame!$A$1:$AA$1,0)-1)=TRUE),0,OFFSET(Rame!$A$1,MATCH(J73,Rame!$A:$A,0)-1,MATCH(L73,Rame!$A$1:$AA$1,0)-1))*IF(G73="Rame",1,0)</f>
        <v>0</v>
      </c>
      <c r="P73" s="255">
        <v>0</v>
      </c>
      <c r="Q73" s="255">
        <v>1.5</v>
      </c>
      <c r="R73" s="255">
        <f ca="1">+IF(ISERROR(OFFSET(Tabella!$G$1,MATCH(J73,Tabella!$G:$G,0)-1,MATCH(K73,Tabella!$G$1:$FG$1,0)-1)=TRUE),0,OFFSET(Tabella!$G$1,MATCH(J73,Tabella!$G:$G,0)-1,MATCH(K73,Tabella!$G$1:$AB$1,0)-1))</f>
        <v>0</v>
      </c>
      <c r="S73" s="255">
        <f ca="1">IF(ISERROR(OFFSET(Ottone!$F$1,MATCH(J73,Ottone!$A:$A,0)-1,MATCH(K73,Ottone!$F$1:$FF$1,0)-1)=TRUE),0,OFFSET(Ottone!$F$1,MATCH(J73,Ottone!$A:$A,0)-1,MATCH(K73,Ottone!$F$1:$FF$1,0)-1))*IF(G73="Ottone",1,0)</f>
        <v>0</v>
      </c>
      <c r="T73" s="255">
        <f ca="1">IF(ISERROR(OFFSET(Rame!$F$1,MATCH(J73,Rame!$F:$F,0)-1,MATCH(K73,Rame!$F$1:$FF$1,0)-1)=TRUE),0,OFFSET(Rame!$F$1,MATCH(J73,Rame!$F:$F,0)-1,MATCH(K73,Rame!$F$1:$FF$1,0)-1))*IF(G73="Rame",1,0)</f>
        <v>0</v>
      </c>
      <c r="U73" s="255">
        <f ca="1">IF(ISERROR(OFFSET(Bronzo!$A$1,MATCH(J73,Bronzo!$A:$A,0)-1,MATCH(K73,Bronzo!$A$1:$AA$1,0)-1)=TRUE),0,OFFSET(Bronzo!$A$1,MATCH(J73,Bronzo!$A:$A,0)-1,MATCH(K73,Bronzo!$A$1:$AA$1,0)-1))</f>
        <v>0</v>
      </c>
      <c r="V73" s="255">
        <f t="shared" ca="1" si="63"/>
        <v>0</v>
      </c>
      <c r="W73" s="254"/>
      <c r="X73" s="255">
        <v>0</v>
      </c>
      <c r="Y73" s="256">
        <f t="shared" ca="1" si="64"/>
        <v>1.5</v>
      </c>
      <c r="Z73" s="269">
        <f t="shared" si="65"/>
        <v>108.78000000000002</v>
      </c>
      <c r="AA73" s="253">
        <v>4.0599999999999996</v>
      </c>
      <c r="AB73" s="253">
        <f t="shared" ca="1" si="66"/>
        <v>6.9999999999999396E-2</v>
      </c>
      <c r="AC73" s="258"/>
      <c r="AF73" s="223" t="s">
        <v>405</v>
      </c>
      <c r="AH73" s="232">
        <f t="shared" ca="1" si="62"/>
        <v>46120</v>
      </c>
      <c r="AI73" s="232" t="b">
        <f t="shared" ref="AI73:AI91" si="67">ISBLANK(AC73)</f>
        <v>1</v>
      </c>
      <c r="AJ73" s="259" t="str">
        <f t="shared" ref="AJ73:AJ91" si="68">IF(AI73=FALSE,_xlfn.DAYS(AC73,AH73),"")</f>
        <v/>
      </c>
      <c r="AM73" s="223">
        <f t="shared" ref="AM73:AM91" si="69">WEEKNUM(AC73)</f>
        <v>0</v>
      </c>
      <c r="AN73" s="223">
        <f t="shared" ref="AN73:AN91" si="70">YEAR(AC73)</f>
        <v>1900</v>
      </c>
      <c r="AU73" s="223">
        <f t="shared" ref="AU73:AU91" si="71">IF(AC73="",0,MONTH(AC73))</f>
        <v>0</v>
      </c>
      <c r="AV73" s="223">
        <f t="shared" ref="AV73:AV91" si="72">IF(AC73="",0,YEAR(AC73))</f>
        <v>0</v>
      </c>
    </row>
    <row r="74" spans="4:48" ht="26.25" x14ac:dyDescent="0.4">
      <c r="D74" s="246" t="s">
        <v>488</v>
      </c>
      <c r="E74" s="262" t="s">
        <v>263</v>
      </c>
      <c r="F74" s="263">
        <v>635</v>
      </c>
      <c r="G74" s="249" t="s">
        <v>4</v>
      </c>
      <c r="H74" s="250">
        <v>2.4900000000000002</v>
      </c>
      <c r="I74" s="251">
        <v>46043</v>
      </c>
      <c r="J74" s="252" t="s">
        <v>9</v>
      </c>
      <c r="K74" s="252"/>
      <c r="L74" s="253">
        <v>7.0000000000000007E-2</v>
      </c>
      <c r="M74" s="254">
        <f ca="1">IF(ISERROR(OFFSET(Tabella!$A$1,MATCH(J74,Tabella!$A:$A,0)-1,MATCH(L74,Tabella!$A$1:$AC$1,0)-1)=TRUE),0,+OFFSET(Tabella!$A$1,MATCH(J74,Tabella!$A:$A,0)-1,MATCH(L74,Tabella!$A$1:$AC$1,0)-1))</f>
        <v>1.6</v>
      </c>
      <c r="N74" s="255">
        <f ca="1">IF(ISERROR(OFFSET(Ottone!$A$1,MATCH(J74,Ottone!$A:$A,0)-1,MATCH(L74,Ottone!$A$1:$Z$1,0)-1)=TRUE),0,OFFSET(Ottone!$A$1,MATCH(J74,Ottone!$A:$A,0)-1,MATCH(L74,Ottone!$A$1:$Z$1,0)-1))*IF(G74="Ottone",1,0)</f>
        <v>0</v>
      </c>
      <c r="O74" s="255">
        <f ca="1">IF(ISERROR(OFFSET(Rame!$A$1,MATCH(J74,Rame!$A:$A,0)-1,MATCH(L74,Rame!$A$1:$AA$1,0)-1)=TRUE),0,OFFSET(Rame!$A$1,MATCH(J74,Rame!$A:$A,0)-1,MATCH(L74,Rame!$A$1:$AA$1,0)-1))*IF(G74="Rame",1,0)</f>
        <v>0</v>
      </c>
      <c r="P74" s="255">
        <v>0</v>
      </c>
      <c r="Q74" s="255">
        <v>1.8</v>
      </c>
      <c r="R74" s="255">
        <f ca="1">+IF(ISERROR(OFFSET(Tabella!$G$1,MATCH(J74,Tabella!$G:$G,0)-1,MATCH(K74,Tabella!$G$1:$FG$1,0)-1)=TRUE),0,OFFSET(Tabella!$G$1,MATCH(J74,Tabella!$G:$G,0)-1,MATCH(K74,Tabella!$G$1:$AB$1,0)-1))</f>
        <v>0</v>
      </c>
      <c r="S74" s="255">
        <f ca="1">IF(ISERROR(OFFSET(Ottone!$F$1,MATCH(J74,Ottone!$A:$A,0)-1,MATCH(K74,Ottone!$F$1:$FF$1,0)-1)=TRUE),0,OFFSET(Ottone!$F$1,MATCH(J74,Ottone!$A:$A,0)-1,MATCH(K74,Ottone!$F$1:$FF$1,0)-1))*IF(G74="Ottone",1,0)</f>
        <v>0</v>
      </c>
      <c r="T74" s="255">
        <f ca="1">IF(ISERROR(OFFSET(Rame!$F$1,MATCH(J74,Rame!$F:$F,0)-1,MATCH(K74,Rame!$F$1:$FF$1,0)-1)=TRUE),0,OFFSET(Rame!$F$1,MATCH(J74,Rame!$F:$F,0)-1,MATCH(K74,Rame!$F$1:$FF$1,0)-1))*IF(G74="Rame",1,0)</f>
        <v>0</v>
      </c>
      <c r="U74" s="255">
        <f ca="1">IF(ISERROR(OFFSET(Bronzo!$A$1,MATCH(J74,Bronzo!$A:$A,0)-1,MATCH(K74,Bronzo!$A$1:$AA$1,0)-1)=TRUE),0,OFFSET(Bronzo!$A$1,MATCH(J74,Bronzo!$A:$A,0)-1,MATCH(K74,Bronzo!$A$1:$AA$1,0)-1))</f>
        <v>0</v>
      </c>
      <c r="V74" s="255">
        <f t="shared" ca="1" si="63"/>
        <v>0</v>
      </c>
      <c r="W74" s="254"/>
      <c r="X74" s="255">
        <v>0</v>
      </c>
      <c r="Y74" s="256">
        <f t="shared" ca="1" si="64"/>
        <v>1.8</v>
      </c>
      <c r="Z74" s="269">
        <f t="shared" si="65"/>
        <v>44.45</v>
      </c>
      <c r="AA74" s="253">
        <v>4.3600000000000003</v>
      </c>
      <c r="AB74" s="253">
        <f t="shared" ca="1" si="66"/>
        <v>7.0000000000000284E-2</v>
      </c>
      <c r="AC74" s="258"/>
      <c r="AF74" s="223" t="s">
        <v>405</v>
      </c>
      <c r="AH74" s="232">
        <f t="shared" ca="1" si="62"/>
        <v>46120</v>
      </c>
      <c r="AI74" s="232" t="b">
        <f t="shared" si="67"/>
        <v>1</v>
      </c>
      <c r="AJ74" s="259" t="str">
        <f t="shared" si="68"/>
        <v/>
      </c>
      <c r="AM74" s="223">
        <f t="shared" si="69"/>
        <v>0</v>
      </c>
      <c r="AN74" s="223">
        <f t="shared" si="70"/>
        <v>1900</v>
      </c>
      <c r="AU74" s="223">
        <f t="shared" si="71"/>
        <v>0</v>
      </c>
      <c r="AV74" s="223">
        <f t="shared" si="72"/>
        <v>0</v>
      </c>
    </row>
    <row r="75" spans="4:48" ht="26.25" x14ac:dyDescent="0.4">
      <c r="D75" s="246" t="s">
        <v>488</v>
      </c>
      <c r="E75" s="262" t="s">
        <v>263</v>
      </c>
      <c r="F75" s="263">
        <v>1121</v>
      </c>
      <c r="G75" s="249" t="s">
        <v>4</v>
      </c>
      <c r="H75" s="250">
        <v>2.4900000000000002</v>
      </c>
      <c r="I75" s="251">
        <v>46043</v>
      </c>
      <c r="J75" s="252" t="s">
        <v>15</v>
      </c>
      <c r="K75" s="252"/>
      <c r="L75" s="253">
        <v>7.0000000000000007E-2</v>
      </c>
      <c r="M75" s="254">
        <f ca="1">IF(ISERROR(OFFSET(Tabella!$A$1,MATCH(J75,Tabella!$A:$A,0)-1,MATCH(L75,Tabella!$A$1:$AC$1,0)-1)=TRUE),0,+OFFSET(Tabella!$A$1,MATCH(J75,Tabella!$A:$A,0)-1,MATCH(L75,Tabella!$A$1:$AC$1,0)-1))</f>
        <v>1.4</v>
      </c>
      <c r="N75" s="255">
        <f ca="1">IF(ISERROR(OFFSET(Ottone!$A$1,MATCH(J75,Ottone!$A:$A,0)-1,MATCH(L75,Ottone!$A$1:$Z$1,0)-1)=TRUE),0,OFFSET(Ottone!$A$1,MATCH(J75,Ottone!$A:$A,0)-1,MATCH(L75,Ottone!$A$1:$Z$1,0)-1))*IF(G75="Ottone",1,0)</f>
        <v>0</v>
      </c>
      <c r="O75" s="255">
        <f ca="1">IF(ISERROR(OFFSET(Rame!$A$1,MATCH(J75,Rame!$A:$A,0)-1,MATCH(L75,Rame!$A$1:$AA$1,0)-1)=TRUE),0,OFFSET(Rame!$A$1,MATCH(J75,Rame!$A:$A,0)-1,MATCH(L75,Rame!$A$1:$AA$1,0)-1))*IF(G75="Rame",1,0)</f>
        <v>0</v>
      </c>
      <c r="P75" s="255">
        <v>0</v>
      </c>
      <c r="Q75" s="255">
        <v>1.65</v>
      </c>
      <c r="R75" s="255">
        <f ca="1">+IF(ISERROR(OFFSET(Tabella!$G$1,MATCH(J75,Tabella!$G:$G,0)-1,MATCH(K75,Tabella!$G$1:$FG$1,0)-1)=TRUE),0,OFFSET(Tabella!$G$1,MATCH(J75,Tabella!$G:$G,0)-1,MATCH(K75,Tabella!$G$1:$AB$1,0)-1))</f>
        <v>0</v>
      </c>
      <c r="S75" s="255">
        <f ca="1">IF(ISERROR(OFFSET(Ottone!$F$1,MATCH(J75,Ottone!$A:$A,0)-1,MATCH(K75,Ottone!$F$1:$FF$1,0)-1)=TRUE),0,OFFSET(Ottone!$F$1,MATCH(J75,Ottone!$A:$A,0)-1,MATCH(K75,Ottone!$F$1:$FF$1,0)-1))*IF(G75="Ottone",1,0)</f>
        <v>0</v>
      </c>
      <c r="T75" s="255">
        <f ca="1">IF(ISERROR(OFFSET(Rame!$F$1,MATCH(J75,Rame!$F:$F,0)-1,MATCH(K75,Rame!$F$1:$FF$1,0)-1)=TRUE),0,OFFSET(Rame!$F$1,MATCH(J75,Rame!$F:$F,0)-1,MATCH(K75,Rame!$F$1:$FF$1,0)-1))*IF(G75="Rame",1,0)</f>
        <v>0</v>
      </c>
      <c r="U75" s="255">
        <f ca="1">IF(ISERROR(OFFSET(Bronzo!$A$1,MATCH(J75,Bronzo!$A:$A,0)-1,MATCH(K75,Bronzo!$A$1:$AA$1,0)-1)=TRUE),0,OFFSET(Bronzo!$A$1,MATCH(J75,Bronzo!$A:$A,0)-1,MATCH(K75,Bronzo!$A$1:$AA$1,0)-1))</f>
        <v>0</v>
      </c>
      <c r="V75" s="255">
        <f t="shared" ca="1" si="63"/>
        <v>0</v>
      </c>
      <c r="W75" s="254"/>
      <c r="X75" s="255">
        <v>0</v>
      </c>
      <c r="Y75" s="256">
        <f t="shared" ca="1" si="64"/>
        <v>1.65</v>
      </c>
      <c r="Z75" s="269">
        <f t="shared" si="65"/>
        <v>78.470000000000013</v>
      </c>
      <c r="AA75" s="253">
        <v>4.21</v>
      </c>
      <c r="AB75" s="253">
        <f t="shared" ca="1" si="66"/>
        <v>6.999999999999984E-2</v>
      </c>
      <c r="AC75" s="258"/>
      <c r="AF75" s="223" t="s">
        <v>405</v>
      </c>
      <c r="AH75" s="232">
        <f t="shared" ca="1" si="62"/>
        <v>46120</v>
      </c>
      <c r="AI75" s="232" t="b">
        <f t="shared" si="67"/>
        <v>1</v>
      </c>
      <c r="AJ75" s="259" t="str">
        <f t="shared" si="68"/>
        <v/>
      </c>
      <c r="AM75" s="223">
        <f t="shared" si="69"/>
        <v>0</v>
      </c>
      <c r="AN75" s="223">
        <f t="shared" si="70"/>
        <v>1900</v>
      </c>
      <c r="AU75" s="223">
        <f t="shared" si="71"/>
        <v>0</v>
      </c>
      <c r="AV75" s="223">
        <f t="shared" si="72"/>
        <v>0</v>
      </c>
    </row>
    <row r="76" spans="4:48" ht="26.25" x14ac:dyDescent="0.4">
      <c r="D76" s="246" t="s">
        <v>448</v>
      </c>
      <c r="E76" s="282" t="s">
        <v>420</v>
      </c>
      <c r="F76" s="283">
        <v>5150</v>
      </c>
      <c r="G76" s="249" t="s">
        <v>4</v>
      </c>
      <c r="H76" s="250">
        <v>2.66</v>
      </c>
      <c r="I76" s="251">
        <v>46044</v>
      </c>
      <c r="J76" s="252" t="s">
        <v>21</v>
      </c>
      <c r="K76" s="252"/>
      <c r="L76" s="253">
        <v>0.05</v>
      </c>
      <c r="M76" s="254">
        <f ca="1">IF(ISERROR(OFFSET(Tabella!$A$1,MATCH(J76,Tabella!$A:$A,0)-1,MATCH(L76,Tabella!$A$1:$AC$1,0)-1)=TRUE),0,+OFFSET(Tabella!$A$1,MATCH(J76,Tabella!$A:$A,0)-1,MATCH(L76,Tabella!$A$1:$AC$1,0)-1))</f>
        <v>0</v>
      </c>
      <c r="N76" s="255">
        <f ca="1">IF(ISERROR(OFFSET(Ottone!$A$1,MATCH(J76,Ottone!$A:$A,0)-1,MATCH(L76,Ottone!$A$1:$Z$1,0)-1)=TRUE),0,OFFSET(Ottone!$A$1,MATCH(J76,Ottone!$A:$A,0)-1,MATCH(L76,Ottone!$A$1:$Z$1,0)-1))*IF(G76="Ottone",1,0)</f>
        <v>0</v>
      </c>
      <c r="O76" s="255">
        <f ca="1">IF(ISERROR(OFFSET(Rame!$A$1,MATCH(J76,Rame!$A:$A,0)-1,MATCH(L76,Rame!$A$1:$AA$1,0)-1)=TRUE),0,OFFSET(Rame!$A$1,MATCH(J76,Rame!$A:$A,0)-1,MATCH(L76,Rame!$A$1:$AA$1,0)-1))*IF(G76="Rame",1,0)</f>
        <v>0</v>
      </c>
      <c r="P76" s="255">
        <v>0</v>
      </c>
      <c r="Q76" s="255">
        <v>1.5</v>
      </c>
      <c r="R76" s="255">
        <f ca="1">+IF(ISERROR(OFFSET(Tabella!$G$1,MATCH(J76,Tabella!$G:$G,0)-1,MATCH(K76,Tabella!$G$1:$FG$1,0)-1)=TRUE),0,OFFSET(Tabella!$G$1,MATCH(J76,Tabella!$G:$G,0)-1,MATCH(K76,Tabella!$G$1:$AB$1,0)-1))</f>
        <v>0</v>
      </c>
      <c r="S76" s="255">
        <f ca="1">IF(ISERROR(OFFSET(Ottone!$F$1,MATCH(J76,Ottone!$A:$A,0)-1,MATCH(K76,Ottone!$F$1:$FF$1,0)-1)=TRUE),0,OFFSET(Ottone!$F$1,MATCH(J76,Ottone!$A:$A,0)-1,MATCH(K76,Ottone!$F$1:$FF$1,0)-1))*IF(G76="Ottone",1,0)</f>
        <v>0</v>
      </c>
      <c r="T76" s="255">
        <f ca="1">IF(ISERROR(OFFSET(Rame!$F$1,MATCH(J76,Rame!$F:$F,0)-1,MATCH(K76,Rame!$F$1:$FF$1,0)-1)=TRUE),0,OFFSET(Rame!$F$1,MATCH(J76,Rame!$F:$F,0)-1,MATCH(K76,Rame!$F$1:$FF$1,0)-1))*IF(G76="Rame",1,0)</f>
        <v>0</v>
      </c>
      <c r="U76" s="255">
        <f ca="1">IF(ISERROR(OFFSET(Bronzo!$A$1,MATCH(J76,Bronzo!$A:$A,0)-1,MATCH(K76,Bronzo!$A$1:$AA$1,0)-1)=TRUE),0,OFFSET(Bronzo!$A$1,MATCH(J76,Bronzo!$A:$A,0)-1,MATCH(K76,Bronzo!$A$1:$AA$1,0)-1))</f>
        <v>0</v>
      </c>
      <c r="V76" s="255">
        <f t="shared" ca="1" si="63"/>
        <v>0</v>
      </c>
      <c r="W76" s="254"/>
      <c r="X76" s="255">
        <v>0</v>
      </c>
      <c r="Y76" s="256">
        <f t="shared" ca="1" si="64"/>
        <v>1.5</v>
      </c>
      <c r="Z76" s="284">
        <f t="shared" si="65"/>
        <v>257.5</v>
      </c>
      <c r="AA76" s="253">
        <v>4.0999999999999996</v>
      </c>
      <c r="AB76" s="253">
        <f t="shared" ca="1" si="66"/>
        <v>-6.0000000000000497E-2</v>
      </c>
      <c r="AC76" s="258">
        <v>46112</v>
      </c>
      <c r="AH76" s="232">
        <f t="shared" ca="1" si="62"/>
        <v>46120</v>
      </c>
      <c r="AI76" s="232" t="b">
        <f t="shared" si="67"/>
        <v>0</v>
      </c>
      <c r="AJ76" s="259">
        <f t="shared" ca="1" si="68"/>
        <v>-8</v>
      </c>
      <c r="AM76" s="223">
        <f t="shared" si="69"/>
        <v>14</v>
      </c>
      <c r="AN76" s="223">
        <f t="shared" si="70"/>
        <v>2026</v>
      </c>
      <c r="AU76" s="223">
        <f t="shared" si="71"/>
        <v>3</v>
      </c>
      <c r="AV76" s="223">
        <f t="shared" si="72"/>
        <v>2026</v>
      </c>
    </row>
    <row r="77" spans="4:48" ht="26.25" x14ac:dyDescent="0.4">
      <c r="D77" s="246" t="s">
        <v>540</v>
      </c>
      <c r="E77" s="262" t="s">
        <v>269</v>
      </c>
      <c r="F77" s="263">
        <v>611</v>
      </c>
      <c r="G77" s="249" t="s">
        <v>4</v>
      </c>
      <c r="H77" s="250">
        <v>2.66</v>
      </c>
      <c r="I77" s="251">
        <v>46352</v>
      </c>
      <c r="J77" s="252" t="s">
        <v>26</v>
      </c>
      <c r="K77" s="252"/>
      <c r="L77" s="253">
        <v>0.13</v>
      </c>
      <c r="M77" s="254">
        <f ca="1">IF(ISERROR(OFFSET(Tabella!$A$1,MATCH(J77,Tabella!$A:$A,0)-1,MATCH(L77,Tabella!$A$1:$AC$1,0)-1)=TRUE),0,+OFFSET(Tabella!$A$1,MATCH(J77,Tabella!$A:$A,0)-1,MATCH(L77,Tabella!$A$1:$AC$1,0)-1))</f>
        <v>0</v>
      </c>
      <c r="N77" s="255">
        <f ca="1">IF(ISERROR(OFFSET(Ottone!$A$1,MATCH(J77,Ottone!$A:$A,0)-1,MATCH(L77,Ottone!$A$1:$Z$1,0)-1)=TRUE),0,OFFSET(Ottone!$A$1,MATCH(J77,Ottone!$A:$A,0)-1,MATCH(L77,Ottone!$A$1:$Z$1,0)-1))*IF(G77="Ottone",1,0)</f>
        <v>0</v>
      </c>
      <c r="O77" s="255">
        <f ca="1">IF(ISERROR(OFFSET(Rame!$A$1,MATCH(J77,Rame!$A:$A,0)-1,MATCH(L77,Rame!$A$1:$AA$1,0)-1)=TRUE),0,OFFSET(Rame!$A$1,MATCH(J77,Rame!$A:$A,0)-1,MATCH(L77,Rame!$A$1:$AA$1,0)-1))*IF(G77="Rame",1,0)</f>
        <v>0</v>
      </c>
      <c r="P77" s="255">
        <v>0</v>
      </c>
      <c r="Q77" s="255">
        <v>1.5</v>
      </c>
      <c r="R77" s="255">
        <f ca="1">+IF(ISERROR(OFFSET(Tabella!$G$1,MATCH(J77,Tabella!$G:$G,0)-1,MATCH(K77,Tabella!$G$1:$FG$1,0)-1)=TRUE),0,OFFSET(Tabella!$G$1,MATCH(J77,Tabella!$G:$G,0)-1,MATCH(K77,Tabella!$G$1:$AB$1,0)-1))</f>
        <v>0</v>
      </c>
      <c r="S77" s="255">
        <f ca="1">IF(ISERROR(OFFSET(Ottone!$F$1,MATCH(J77,Ottone!$A:$A,0)-1,MATCH(K77,Ottone!$F$1:$FF$1,0)-1)=TRUE),0,OFFSET(Ottone!$F$1,MATCH(J77,Ottone!$A:$A,0)-1,MATCH(K77,Ottone!$F$1:$FF$1,0)-1))*IF(G77="Ottone",1,0)</f>
        <v>0</v>
      </c>
      <c r="T77" s="255">
        <f ca="1">IF(ISERROR(OFFSET(Rame!$F$1,MATCH(J77,Rame!$F:$F,0)-1,MATCH(K77,Rame!$F$1:$FF$1,0)-1)=TRUE),0,OFFSET(Rame!$F$1,MATCH(J77,Rame!$F:$F,0)-1,MATCH(K77,Rame!$F$1:$FF$1,0)-1))*IF(G77="Rame",1,0)</f>
        <v>0</v>
      </c>
      <c r="U77" s="255">
        <f ca="1">IF(ISERROR(OFFSET(Bronzo!$A$1,MATCH(J77,Bronzo!$A:$A,0)-1,MATCH(K77,Bronzo!$A$1:$AA$1,0)-1)=TRUE),0,OFFSET(Bronzo!$A$1,MATCH(J77,Bronzo!$A:$A,0)-1,MATCH(K77,Bronzo!$A$1:$AA$1,0)-1))</f>
        <v>0</v>
      </c>
      <c r="V77" s="255">
        <f t="shared" ca="1" si="63"/>
        <v>0</v>
      </c>
      <c r="W77" s="254"/>
      <c r="X77" s="255">
        <v>0</v>
      </c>
      <c r="Y77" s="256">
        <f t="shared" ca="1" si="64"/>
        <v>1.5</v>
      </c>
      <c r="Z77" s="269">
        <f t="shared" si="65"/>
        <v>79.430000000000007</v>
      </c>
      <c r="AA77" s="253">
        <v>4.45</v>
      </c>
      <c r="AB77" s="253">
        <f t="shared" ca="1" si="66"/>
        <v>0.29000000000000004</v>
      </c>
      <c r="AC77" s="258"/>
      <c r="AF77" s="223" t="s">
        <v>405</v>
      </c>
      <c r="AH77" s="232">
        <f t="shared" ca="1" si="62"/>
        <v>46120</v>
      </c>
      <c r="AI77" s="232" t="b">
        <f t="shared" si="67"/>
        <v>1</v>
      </c>
      <c r="AJ77" s="259" t="str">
        <f t="shared" si="68"/>
        <v/>
      </c>
      <c r="AM77" s="223">
        <f t="shared" si="69"/>
        <v>0</v>
      </c>
      <c r="AN77" s="223">
        <f t="shared" si="70"/>
        <v>1900</v>
      </c>
      <c r="AU77" s="223">
        <f t="shared" si="71"/>
        <v>0</v>
      </c>
      <c r="AV77" s="223">
        <f t="shared" si="72"/>
        <v>0</v>
      </c>
    </row>
    <row r="78" spans="4:48" ht="26.25" x14ac:dyDescent="0.4">
      <c r="D78" s="246" t="s">
        <v>528</v>
      </c>
      <c r="E78" s="262" t="s">
        <v>219</v>
      </c>
      <c r="F78" s="263">
        <v>588</v>
      </c>
      <c r="G78" s="249" t="s">
        <v>4</v>
      </c>
      <c r="H78" s="250">
        <v>2.66</v>
      </c>
      <c r="I78" s="251">
        <v>46352</v>
      </c>
      <c r="J78" s="252" t="s">
        <v>23</v>
      </c>
      <c r="K78" s="252"/>
      <c r="L78" s="253">
        <v>0.05</v>
      </c>
      <c r="M78" s="254">
        <f ca="1">IF(ISERROR(OFFSET(Tabella!$A$1,MATCH(J78,Tabella!$A:$A,0)-1,MATCH(L78,Tabella!$A$1:$AC$1,0)-1)=TRUE),0,+OFFSET(Tabella!$A$1,MATCH(J78,Tabella!$A:$A,0)-1,MATCH(L78,Tabella!$A$1:$AC$1,0)-1))</f>
        <v>0</v>
      </c>
      <c r="N78" s="255">
        <f ca="1">IF(ISERROR(OFFSET(Ottone!$A$1,MATCH(J78,Ottone!$A:$A,0)-1,MATCH(L78,Ottone!$A$1:$Z$1,0)-1)=TRUE),0,OFFSET(Ottone!$A$1,MATCH(J78,Ottone!$A:$A,0)-1,MATCH(L78,Ottone!$A$1:$Z$1,0)-1))*IF(G78="Ottone",1,0)</f>
        <v>0</v>
      </c>
      <c r="O78" s="255">
        <f ca="1">IF(ISERROR(OFFSET(Rame!$A$1,MATCH(J78,Rame!$A:$A,0)-1,MATCH(L78,Rame!$A$1:$AA$1,0)-1)=TRUE),0,OFFSET(Rame!$A$1,MATCH(J78,Rame!$A:$A,0)-1,MATCH(L78,Rame!$A$1:$AA$1,0)-1))*IF(G78="Rame",1,0)</f>
        <v>0</v>
      </c>
      <c r="P78" s="255">
        <v>0</v>
      </c>
      <c r="Q78" s="255">
        <v>1.5</v>
      </c>
      <c r="R78" s="255">
        <f ca="1">+IF(ISERROR(OFFSET(Tabella!$G$1,MATCH(J78,Tabella!$G:$G,0)-1,MATCH(K78,Tabella!$G$1:$FG$1,0)-1)=TRUE),0,OFFSET(Tabella!$G$1,MATCH(J78,Tabella!$G:$G,0)-1,MATCH(K78,Tabella!$G$1:$AB$1,0)-1))</f>
        <v>0</v>
      </c>
      <c r="S78" s="255">
        <f ca="1">IF(ISERROR(OFFSET(Ottone!$F$1,MATCH(J78,Ottone!$A:$A,0)-1,MATCH(K78,Ottone!$F$1:$FF$1,0)-1)=TRUE),0,OFFSET(Ottone!$F$1,MATCH(J78,Ottone!$A:$A,0)-1,MATCH(K78,Ottone!$F$1:$FF$1,0)-1))*IF(G78="Ottone",1,0)</f>
        <v>0</v>
      </c>
      <c r="T78" s="255">
        <f ca="1">IF(ISERROR(OFFSET(Rame!$F$1,MATCH(J78,Rame!$F:$F,0)-1,MATCH(K78,Rame!$F$1:$FF$1,0)-1)=TRUE),0,OFFSET(Rame!$F$1,MATCH(J78,Rame!$F:$F,0)-1,MATCH(K78,Rame!$F$1:$FF$1,0)-1))*IF(G78="Rame",1,0)</f>
        <v>0</v>
      </c>
      <c r="U78" s="255">
        <f ca="1">IF(ISERROR(OFFSET(Bronzo!$A$1,MATCH(J78,Bronzo!$A:$A,0)-1,MATCH(K78,Bronzo!$A$1:$AA$1,0)-1)=TRUE),0,OFFSET(Bronzo!$A$1,MATCH(J78,Bronzo!$A:$A,0)-1,MATCH(K78,Bronzo!$A$1:$AA$1,0)-1))</f>
        <v>0</v>
      </c>
      <c r="V78" s="255">
        <f t="shared" ca="1" si="63"/>
        <v>0</v>
      </c>
      <c r="W78" s="254"/>
      <c r="X78" s="255">
        <v>0</v>
      </c>
      <c r="Y78" s="256">
        <f t="shared" ca="1" si="64"/>
        <v>1.5</v>
      </c>
      <c r="Z78" s="269">
        <f t="shared" si="65"/>
        <v>29.400000000000002</v>
      </c>
      <c r="AA78" s="253">
        <v>4.03</v>
      </c>
      <c r="AB78" s="253">
        <f t="shared" ca="1" si="66"/>
        <v>-0.12999999999999989</v>
      </c>
      <c r="AC78" s="258"/>
      <c r="AF78" s="223" t="s">
        <v>405</v>
      </c>
      <c r="AH78" s="232">
        <f t="shared" ca="1" si="62"/>
        <v>46120</v>
      </c>
      <c r="AI78" s="232" t="b">
        <f t="shared" si="67"/>
        <v>1</v>
      </c>
      <c r="AJ78" s="259" t="str">
        <f t="shared" si="68"/>
        <v/>
      </c>
      <c r="AM78" s="223">
        <f t="shared" si="69"/>
        <v>0</v>
      </c>
      <c r="AN78" s="223">
        <f t="shared" si="70"/>
        <v>1900</v>
      </c>
      <c r="AU78" s="223">
        <f t="shared" si="71"/>
        <v>0</v>
      </c>
      <c r="AV78" s="223">
        <f t="shared" si="72"/>
        <v>0</v>
      </c>
    </row>
    <row r="79" spans="4:48" ht="26.25" x14ac:dyDescent="0.4">
      <c r="D79" s="246" t="s">
        <v>492</v>
      </c>
      <c r="E79" s="262" t="s">
        <v>263</v>
      </c>
      <c r="F79" s="263">
        <v>1052</v>
      </c>
      <c r="G79" s="249" t="s">
        <v>4</v>
      </c>
      <c r="H79" s="250">
        <v>2.4900000000000002</v>
      </c>
      <c r="I79" s="251">
        <v>46045</v>
      </c>
      <c r="J79" s="252" t="s">
        <v>15</v>
      </c>
      <c r="K79" s="252"/>
      <c r="L79" s="253">
        <v>7.0000000000000007E-2</v>
      </c>
      <c r="M79" s="254">
        <f ca="1">IF(ISERROR(OFFSET(Tabella!$A$1,MATCH(J79,Tabella!$A:$A,0)-1,MATCH(L79,Tabella!$A$1:$AC$1,0)-1)=TRUE),0,+OFFSET(Tabella!$A$1,MATCH(J79,Tabella!$A:$A,0)-1,MATCH(L79,Tabella!$A$1:$AC$1,0)-1))</f>
        <v>1.4</v>
      </c>
      <c r="N79" s="255">
        <f ca="1">IF(ISERROR(OFFSET(Ottone!$A$1,MATCH(J79,Ottone!$A:$A,0)-1,MATCH(L79,Ottone!$A$1:$Z$1,0)-1)=TRUE),0,OFFSET(Ottone!$A$1,MATCH(J79,Ottone!$A:$A,0)-1,MATCH(L79,Ottone!$A$1:$Z$1,0)-1))*IF(G79="Ottone",1,0)</f>
        <v>0</v>
      </c>
      <c r="O79" s="255">
        <f ca="1">IF(ISERROR(OFFSET(Rame!$A$1,MATCH(J79,Rame!$A:$A,0)-1,MATCH(L79,Rame!$A$1:$AA$1,0)-1)=TRUE),0,OFFSET(Rame!$A$1,MATCH(J79,Rame!$A:$A,0)-1,MATCH(L79,Rame!$A$1:$AA$1,0)-1))*IF(G79="Rame",1,0)</f>
        <v>0</v>
      </c>
      <c r="P79" s="255">
        <v>0</v>
      </c>
      <c r="Q79" s="255">
        <v>1.65</v>
      </c>
      <c r="R79" s="255">
        <f ca="1">+IF(ISERROR(OFFSET(Tabella!$G$1,MATCH(J79,Tabella!$G:$G,0)-1,MATCH(K79,Tabella!$G$1:$FG$1,0)-1)=TRUE),0,OFFSET(Tabella!$G$1,MATCH(J79,Tabella!$G:$G,0)-1,MATCH(K79,Tabella!$G$1:$AB$1,0)-1))</f>
        <v>0</v>
      </c>
      <c r="S79" s="255">
        <f ca="1">IF(ISERROR(OFFSET(Ottone!$F$1,MATCH(J79,Ottone!$A:$A,0)-1,MATCH(K79,Ottone!$F$1:$FF$1,0)-1)=TRUE),0,OFFSET(Ottone!$F$1,MATCH(J79,Ottone!$A:$A,0)-1,MATCH(K79,Ottone!$F$1:$FF$1,0)-1))*IF(G79="Ottone",1,0)</f>
        <v>0</v>
      </c>
      <c r="T79" s="255">
        <f ca="1">IF(ISERROR(OFFSET(Rame!$F$1,MATCH(J79,Rame!$F:$F,0)-1,MATCH(K79,Rame!$F$1:$FF$1,0)-1)=TRUE),0,OFFSET(Rame!$F$1,MATCH(J79,Rame!$F:$F,0)-1,MATCH(K79,Rame!$F$1:$FF$1,0)-1))*IF(G79="Rame",1,0)</f>
        <v>0</v>
      </c>
      <c r="U79" s="255">
        <f ca="1">IF(ISERROR(OFFSET(Bronzo!$A$1,MATCH(J79,Bronzo!$A:$A,0)-1,MATCH(K79,Bronzo!$A$1:$AA$1,0)-1)=TRUE),0,OFFSET(Bronzo!$A$1,MATCH(J79,Bronzo!$A:$A,0)-1,MATCH(K79,Bronzo!$A$1:$AA$1,0)-1))</f>
        <v>0</v>
      </c>
      <c r="V79" s="255">
        <f t="shared" ca="1" si="63"/>
        <v>0</v>
      </c>
      <c r="W79" s="254"/>
      <c r="X79" s="255">
        <v>0</v>
      </c>
      <c r="Y79" s="256">
        <f t="shared" ca="1" si="64"/>
        <v>1.65</v>
      </c>
      <c r="Z79" s="269">
        <f t="shared" si="65"/>
        <v>73.64</v>
      </c>
      <c r="AA79" s="253">
        <v>4.21</v>
      </c>
      <c r="AB79" s="253">
        <f t="shared" ca="1" si="66"/>
        <v>6.999999999999984E-2</v>
      </c>
      <c r="AC79" s="258"/>
      <c r="AF79" s="223" t="s">
        <v>405</v>
      </c>
      <c r="AH79" s="232">
        <f t="shared" ref="AH79:AH120" ca="1" si="73">TODAY()</f>
        <v>46120</v>
      </c>
      <c r="AI79" s="232" t="b">
        <f t="shared" si="67"/>
        <v>1</v>
      </c>
      <c r="AJ79" s="259" t="str">
        <f t="shared" si="68"/>
        <v/>
      </c>
      <c r="AM79" s="223">
        <f t="shared" si="69"/>
        <v>0</v>
      </c>
      <c r="AN79" s="223">
        <f t="shared" si="70"/>
        <v>1900</v>
      </c>
      <c r="AU79" s="223">
        <f t="shared" si="71"/>
        <v>0</v>
      </c>
      <c r="AV79" s="223">
        <f t="shared" si="72"/>
        <v>0</v>
      </c>
    </row>
    <row r="80" spans="4:48" ht="26.25" x14ac:dyDescent="0.4">
      <c r="D80" s="246" t="s">
        <v>519</v>
      </c>
      <c r="E80" s="262" t="s">
        <v>263</v>
      </c>
      <c r="F80" s="263">
        <v>2062</v>
      </c>
      <c r="G80" s="249" t="s">
        <v>4</v>
      </c>
      <c r="H80" s="250">
        <v>2.4900000000000002</v>
      </c>
      <c r="I80" s="251">
        <v>46045</v>
      </c>
      <c r="J80" s="252" t="s">
        <v>15</v>
      </c>
      <c r="K80" s="252"/>
      <c r="L80" s="253">
        <v>7.0000000000000007E-2</v>
      </c>
      <c r="M80" s="254">
        <f ca="1">IF(ISERROR(OFFSET(Tabella!$A$1,MATCH(J80,Tabella!$A:$A,0)-1,MATCH(L80,Tabella!$A$1:$AC$1,0)-1)=TRUE),0,+OFFSET(Tabella!$A$1,MATCH(J80,Tabella!$A:$A,0)-1,MATCH(L80,Tabella!$A$1:$AC$1,0)-1))</f>
        <v>1.4</v>
      </c>
      <c r="N80" s="255">
        <f ca="1">IF(ISERROR(OFFSET(Ottone!$A$1,MATCH(J80,Ottone!$A:$A,0)-1,MATCH(L80,Ottone!$A$1:$Z$1,0)-1)=TRUE),0,OFFSET(Ottone!$A$1,MATCH(J80,Ottone!$A:$A,0)-1,MATCH(L80,Ottone!$A$1:$Z$1,0)-1))*IF(G80="Ottone",1,0)</f>
        <v>0</v>
      </c>
      <c r="O80" s="255">
        <f ca="1">IF(ISERROR(OFFSET(Rame!$A$1,MATCH(J80,Rame!$A:$A,0)-1,MATCH(L80,Rame!$A$1:$AA$1,0)-1)=TRUE),0,OFFSET(Rame!$A$1,MATCH(J80,Rame!$A:$A,0)-1,MATCH(L80,Rame!$A$1:$AA$1,0)-1))*IF(G80="Rame",1,0)</f>
        <v>0</v>
      </c>
      <c r="P80" s="255">
        <v>0</v>
      </c>
      <c r="Q80" s="255">
        <v>1.65</v>
      </c>
      <c r="R80" s="255">
        <f ca="1">+IF(ISERROR(OFFSET(Tabella!$G$1,MATCH(J80,Tabella!$G:$G,0)-1,MATCH(K80,Tabella!$G$1:$FG$1,0)-1)=TRUE),0,OFFSET(Tabella!$G$1,MATCH(J80,Tabella!$G:$G,0)-1,MATCH(K80,Tabella!$G$1:$AB$1,0)-1))</f>
        <v>0</v>
      </c>
      <c r="S80" s="255">
        <f ca="1">IF(ISERROR(OFFSET(Ottone!$F$1,MATCH(J80,Ottone!$A:$A,0)-1,MATCH(K80,Ottone!$F$1:$FF$1,0)-1)=TRUE),0,OFFSET(Ottone!$F$1,MATCH(J80,Ottone!$A:$A,0)-1,MATCH(K80,Ottone!$F$1:$FF$1,0)-1))*IF(G80="Ottone",1,0)</f>
        <v>0</v>
      </c>
      <c r="T80" s="255">
        <f ca="1">IF(ISERROR(OFFSET(Rame!$F$1,MATCH(J80,Rame!$F:$F,0)-1,MATCH(K80,Rame!$F$1:$FF$1,0)-1)=TRUE),0,OFFSET(Rame!$F$1,MATCH(J80,Rame!$F:$F,0)-1,MATCH(K80,Rame!$F$1:$FF$1,0)-1))*IF(G80="Rame",1,0)</f>
        <v>0</v>
      </c>
      <c r="U80" s="255">
        <f ca="1">IF(ISERROR(OFFSET(Bronzo!$A$1,MATCH(J80,Bronzo!$A:$A,0)-1,MATCH(K80,Bronzo!$A$1:$AA$1,0)-1)=TRUE),0,OFFSET(Bronzo!$A$1,MATCH(J80,Bronzo!$A:$A,0)-1,MATCH(K80,Bronzo!$A$1:$AA$1,0)-1))</f>
        <v>0</v>
      </c>
      <c r="V80" s="255">
        <f t="shared" ca="1" si="63"/>
        <v>0</v>
      </c>
      <c r="W80" s="254"/>
      <c r="X80" s="255">
        <v>0</v>
      </c>
      <c r="Y80" s="256">
        <f t="shared" ca="1" si="64"/>
        <v>1.65</v>
      </c>
      <c r="Z80" s="269">
        <f t="shared" si="65"/>
        <v>144.34</v>
      </c>
      <c r="AA80" s="253">
        <v>4.21</v>
      </c>
      <c r="AB80" s="253">
        <f t="shared" ca="1" si="66"/>
        <v>6.999999999999984E-2</v>
      </c>
      <c r="AC80" s="258"/>
      <c r="AF80" s="223" t="s">
        <v>405</v>
      </c>
      <c r="AH80" s="232">
        <f t="shared" ca="1" si="73"/>
        <v>46120</v>
      </c>
      <c r="AI80" s="232" t="b">
        <f t="shared" si="67"/>
        <v>1</v>
      </c>
      <c r="AJ80" s="259" t="str">
        <f t="shared" si="68"/>
        <v/>
      </c>
      <c r="AM80" s="223">
        <f t="shared" si="69"/>
        <v>0</v>
      </c>
      <c r="AN80" s="223">
        <f t="shared" si="70"/>
        <v>1900</v>
      </c>
      <c r="AU80" s="223">
        <f t="shared" si="71"/>
        <v>0</v>
      </c>
      <c r="AV80" s="223">
        <f t="shared" si="72"/>
        <v>0</v>
      </c>
    </row>
    <row r="81" spans="4:48" ht="26.25" x14ac:dyDescent="0.4">
      <c r="D81" s="246" t="s">
        <v>539</v>
      </c>
      <c r="E81" s="262" t="s">
        <v>447</v>
      </c>
      <c r="F81" s="263">
        <v>4410</v>
      </c>
      <c r="G81" s="249" t="s">
        <v>6</v>
      </c>
      <c r="H81" s="250">
        <v>10.79</v>
      </c>
      <c r="I81" s="251">
        <v>46045</v>
      </c>
      <c r="J81" s="252" t="s">
        <v>14</v>
      </c>
      <c r="K81" s="252"/>
      <c r="L81" s="253">
        <v>0.05</v>
      </c>
      <c r="M81" s="254">
        <f ca="1">IF(ISERROR(OFFSET(Tabella!$A$1,MATCH(J81,Tabella!$A:$A,0)-1,MATCH(L81,Tabella!$A$1:$AC$1,0)-1)=TRUE),0,+OFFSET(Tabella!$A$1,MATCH(J81,Tabella!$A:$A,0)-1,MATCH(L81,Tabella!$A$1:$AC$1,0)-1))</f>
        <v>0</v>
      </c>
      <c r="N81" s="255">
        <f ca="1">IF(ISERROR(OFFSET(Ottone!$A$1,MATCH(J81,Ottone!$A:$A,0)-1,MATCH(L81,Ottone!$A$1:$Z$1,0)-1)=TRUE),0,OFFSET(Ottone!$A$1,MATCH(J81,Ottone!$A:$A,0)-1,MATCH(L81,Ottone!$A$1:$Z$1,0)-1))*IF(G81="Ottone",1,0)</f>
        <v>0</v>
      </c>
      <c r="O81" s="255">
        <f ca="1">IF(ISERROR(OFFSET(Rame!$A$1,MATCH(J81,Rame!$A:$A,0)-1,MATCH(L81,Rame!$A$1:$AA$1,0)-1)=TRUE),0,OFFSET(Rame!$A$1,MATCH(J81,Rame!$A:$A,0)-1,MATCH(L81,Rame!$A$1:$AA$1,0)-1))*IF(G81="Rame",1,0)</f>
        <v>0</v>
      </c>
      <c r="P81" s="255">
        <v>0</v>
      </c>
      <c r="Q81" s="255">
        <v>3.25</v>
      </c>
      <c r="R81" s="255">
        <f ca="1">+IF(ISERROR(OFFSET(Tabella!$G$1,MATCH(J81,Tabella!$G:$G,0)-1,MATCH(K81,Tabella!$G$1:$FG$1,0)-1)=TRUE),0,OFFSET(Tabella!$G$1,MATCH(J81,Tabella!$G:$G,0)-1,MATCH(K81,Tabella!$G$1:$AB$1,0)-1))</f>
        <v>0</v>
      </c>
      <c r="S81" s="255">
        <f ca="1">IF(ISERROR(OFFSET(Ottone!$F$1,MATCH(J81,Ottone!$A:$A,0)-1,MATCH(K81,Ottone!$F$1:$FF$1,0)-1)=TRUE),0,OFFSET(Ottone!$F$1,MATCH(J81,Ottone!$A:$A,0)-1,MATCH(K81,Ottone!$F$1:$FF$1,0)-1))*IF(G81="Ottone",1,0)</f>
        <v>0</v>
      </c>
      <c r="T81" s="255">
        <f ca="1">IF(ISERROR(OFFSET(Rame!$F$1,MATCH(J81,Rame!$F:$F,0)-1,MATCH(K81,Rame!$F$1:$FF$1,0)-1)=TRUE),0,OFFSET(Rame!$F$1,MATCH(J81,Rame!$F:$F,0)-1,MATCH(K81,Rame!$F$1:$FF$1,0)-1))*IF(G81="Rame",1,0)</f>
        <v>0</v>
      </c>
      <c r="U81" s="255">
        <f ca="1">IF(ISERROR(OFFSET(Bronzo!$A$1,MATCH(J81,Bronzo!$A:$A,0)-1,MATCH(K81,Bronzo!$A$1:$AA$1,0)-1)=TRUE),0,OFFSET(Bronzo!$A$1,MATCH(J81,Bronzo!$A:$A,0)-1,MATCH(K81,Bronzo!$A$1:$AA$1,0)-1))</f>
        <v>0</v>
      </c>
      <c r="V81" s="255">
        <f t="shared" ca="1" si="63"/>
        <v>0</v>
      </c>
      <c r="W81" s="254"/>
      <c r="X81" s="255">
        <v>0</v>
      </c>
      <c r="Y81" s="256">
        <f t="shared" ca="1" si="64"/>
        <v>3.25</v>
      </c>
      <c r="Z81" s="269">
        <f t="shared" si="65"/>
        <v>220.5</v>
      </c>
      <c r="AA81" s="253">
        <v>14</v>
      </c>
      <c r="AB81" s="253">
        <f t="shared" ca="1" si="66"/>
        <v>-3.9999999999999147E-2</v>
      </c>
      <c r="AC81" s="258"/>
      <c r="AF81" s="223" t="s">
        <v>405</v>
      </c>
      <c r="AH81" s="232">
        <f t="shared" ca="1" si="73"/>
        <v>46120</v>
      </c>
      <c r="AI81" s="232" t="b">
        <f t="shared" si="67"/>
        <v>1</v>
      </c>
      <c r="AJ81" s="259" t="str">
        <f t="shared" si="68"/>
        <v/>
      </c>
      <c r="AM81" s="223">
        <f t="shared" si="69"/>
        <v>0</v>
      </c>
      <c r="AN81" s="223">
        <f t="shared" si="70"/>
        <v>1900</v>
      </c>
      <c r="AU81" s="223">
        <f t="shared" si="71"/>
        <v>0</v>
      </c>
      <c r="AV81" s="223">
        <f t="shared" si="72"/>
        <v>0</v>
      </c>
    </row>
    <row r="82" spans="4:48" ht="26.25" x14ac:dyDescent="0.4">
      <c r="D82" s="246" t="s">
        <v>571</v>
      </c>
      <c r="E82" s="262" t="s">
        <v>92</v>
      </c>
      <c r="F82" s="263">
        <v>5980</v>
      </c>
      <c r="G82" s="249" t="s">
        <v>4</v>
      </c>
      <c r="H82" s="250">
        <v>2.66</v>
      </c>
      <c r="I82" s="251">
        <v>46045</v>
      </c>
      <c r="J82" s="252" t="s">
        <v>24</v>
      </c>
      <c r="K82" s="252"/>
      <c r="L82" s="253">
        <v>7.0000000000000007E-2</v>
      </c>
      <c r="M82" s="254">
        <f ca="1">IF(ISERROR(OFFSET(Tabella!$A$1,MATCH(J82,Tabella!$A:$A,0)-1,MATCH(L82,Tabella!$A$1:$AC$1,0)-1)=TRUE),0,+OFFSET(Tabella!$A$1,MATCH(J82,Tabella!$A:$A,0)-1,MATCH(L82,Tabella!$A$1:$AC$1,0)-1))</f>
        <v>1.25</v>
      </c>
      <c r="N82" s="255">
        <f ca="1">IF(ISERROR(OFFSET(Ottone!$A$1,MATCH(J82,Ottone!$A:$A,0)-1,MATCH(L82,Ottone!$A$1:$Z$1,0)-1)=TRUE),0,OFFSET(Ottone!$A$1,MATCH(J82,Ottone!$A:$A,0)-1,MATCH(L82,Ottone!$A$1:$Z$1,0)-1))*IF(G82="Ottone",1,0)</f>
        <v>0</v>
      </c>
      <c r="O82" s="255">
        <f ca="1">IF(ISERROR(OFFSET(Rame!$A$1,MATCH(J82,Rame!$A:$A,0)-1,MATCH(L82,Rame!$A$1:$AA$1,0)-1)=TRUE),0,OFFSET(Rame!$A$1,MATCH(J82,Rame!$A:$A,0)-1,MATCH(L82,Rame!$A$1:$AA$1,0)-1))*IF(G82="Rame",1,0)</f>
        <v>0</v>
      </c>
      <c r="P82" s="255">
        <v>0</v>
      </c>
      <c r="Q82" s="255">
        <v>1.5</v>
      </c>
      <c r="R82" s="255">
        <f ca="1">+IF(ISERROR(OFFSET(Tabella!$G$1,MATCH(J82,Tabella!$G:$G,0)-1,MATCH(K82,Tabella!$G$1:$FG$1,0)-1)=TRUE),0,OFFSET(Tabella!$G$1,MATCH(J82,Tabella!$G:$G,0)-1,MATCH(K82,Tabella!$G$1:$AB$1,0)-1))</f>
        <v>0</v>
      </c>
      <c r="S82" s="255">
        <f ca="1">IF(ISERROR(OFFSET(Ottone!$F$1,MATCH(J82,Ottone!$A:$A,0)-1,MATCH(K82,Ottone!$F$1:$FF$1,0)-1)=TRUE),0,OFFSET(Ottone!$F$1,MATCH(J82,Ottone!$A:$A,0)-1,MATCH(K82,Ottone!$F$1:$FF$1,0)-1))*IF(G82="Ottone",1,0)</f>
        <v>0</v>
      </c>
      <c r="T82" s="255">
        <f ca="1">IF(ISERROR(OFFSET(Rame!$F$1,MATCH(J82,Rame!$F:$F,0)-1,MATCH(K82,Rame!$F$1:$FF$1,0)-1)=TRUE),0,OFFSET(Rame!$F$1,MATCH(J82,Rame!$F:$F,0)-1,MATCH(K82,Rame!$F$1:$FF$1,0)-1))*IF(G82="Rame",1,0)</f>
        <v>0</v>
      </c>
      <c r="U82" s="255">
        <f ca="1">IF(ISERROR(OFFSET(Bronzo!$A$1,MATCH(J82,Bronzo!$A:$A,0)-1,MATCH(K82,Bronzo!$A$1:$AA$1,0)-1)=TRUE),0,OFFSET(Bronzo!$A$1,MATCH(J82,Bronzo!$A:$A,0)-1,MATCH(K82,Bronzo!$A$1:$AA$1,0)-1))</f>
        <v>0</v>
      </c>
      <c r="V82" s="255">
        <f t="shared" ca="1" si="63"/>
        <v>0</v>
      </c>
      <c r="W82" s="254"/>
      <c r="X82" s="255">
        <v>0</v>
      </c>
      <c r="Y82" s="256">
        <f t="shared" ca="1" si="64"/>
        <v>1.5</v>
      </c>
      <c r="Z82" s="269">
        <f t="shared" si="65"/>
        <v>418.6</v>
      </c>
      <c r="AA82" s="253">
        <v>4.1500000000000004</v>
      </c>
      <c r="AB82" s="253">
        <f t="shared" ca="1" si="66"/>
        <v>-9.9999999999997868E-3</v>
      </c>
      <c r="AC82" s="258"/>
      <c r="AF82" s="223" t="s">
        <v>405</v>
      </c>
      <c r="AH82" s="232">
        <f t="shared" ca="1" si="73"/>
        <v>46120</v>
      </c>
      <c r="AI82" s="232" t="b">
        <f t="shared" si="67"/>
        <v>1</v>
      </c>
      <c r="AJ82" s="259" t="str">
        <f t="shared" si="68"/>
        <v/>
      </c>
      <c r="AM82" s="223">
        <f t="shared" si="69"/>
        <v>0</v>
      </c>
      <c r="AN82" s="223">
        <f t="shared" si="70"/>
        <v>1900</v>
      </c>
      <c r="AU82" s="223">
        <f t="shared" si="71"/>
        <v>0</v>
      </c>
      <c r="AV82" s="223">
        <f t="shared" si="72"/>
        <v>0</v>
      </c>
    </row>
    <row r="83" spans="4:48" ht="26.25" x14ac:dyDescent="0.4">
      <c r="D83" s="246" t="s">
        <v>571</v>
      </c>
      <c r="E83" s="262" t="s">
        <v>92</v>
      </c>
      <c r="F83" s="263">
        <v>3752</v>
      </c>
      <c r="G83" s="249" t="s">
        <v>4</v>
      </c>
      <c r="H83" s="250">
        <v>2.66</v>
      </c>
      <c r="I83" s="251">
        <v>46045</v>
      </c>
      <c r="J83" s="252" t="s">
        <v>26</v>
      </c>
      <c r="K83" s="252"/>
      <c r="L83" s="253">
        <v>7.0000000000000007E-2</v>
      </c>
      <c r="M83" s="254">
        <f ca="1">IF(ISERROR(OFFSET(Tabella!$A$1,MATCH(J83,Tabella!$A:$A,0)-1,MATCH(L83,Tabella!$A$1:$AC$1,0)-1)=TRUE),0,+OFFSET(Tabella!$A$1,MATCH(J83,Tabella!$A:$A,0)-1,MATCH(L83,Tabella!$A$1:$AC$1,0)-1))</f>
        <v>1.25</v>
      </c>
      <c r="N83" s="255">
        <f ca="1">IF(ISERROR(OFFSET(Ottone!$A$1,MATCH(J83,Ottone!$A:$A,0)-1,MATCH(L83,Ottone!$A$1:$Z$1,0)-1)=TRUE),0,OFFSET(Ottone!$A$1,MATCH(J83,Ottone!$A:$A,0)-1,MATCH(L83,Ottone!$A$1:$Z$1,0)-1))*IF(G83="Ottone",1,0)</f>
        <v>0</v>
      </c>
      <c r="O83" s="255">
        <f ca="1">IF(ISERROR(OFFSET(Rame!$A$1,MATCH(J83,Rame!$A:$A,0)-1,MATCH(L83,Rame!$A$1:$AA$1,0)-1)=TRUE),0,OFFSET(Rame!$A$1,MATCH(J83,Rame!$A:$A,0)-1,MATCH(L83,Rame!$A$1:$AA$1,0)-1))*IF(G83="Rame",1,0)</f>
        <v>0</v>
      </c>
      <c r="P83" s="255">
        <v>0</v>
      </c>
      <c r="Q83" s="255">
        <v>1.5</v>
      </c>
      <c r="R83" s="255">
        <f ca="1">+IF(ISERROR(OFFSET(Tabella!$G$1,MATCH(J83,Tabella!$G:$G,0)-1,MATCH(K83,Tabella!$G$1:$FG$1,0)-1)=TRUE),0,OFFSET(Tabella!$G$1,MATCH(J83,Tabella!$G:$G,0)-1,MATCH(K83,Tabella!$G$1:$AB$1,0)-1))</f>
        <v>0</v>
      </c>
      <c r="S83" s="255">
        <f ca="1">IF(ISERROR(OFFSET(Ottone!$F$1,MATCH(J83,Ottone!$A:$A,0)-1,MATCH(K83,Ottone!$F$1:$FF$1,0)-1)=TRUE),0,OFFSET(Ottone!$F$1,MATCH(J83,Ottone!$A:$A,0)-1,MATCH(K83,Ottone!$F$1:$FF$1,0)-1))*IF(G83="Ottone",1,0)</f>
        <v>0</v>
      </c>
      <c r="T83" s="255">
        <f ca="1">IF(ISERROR(OFFSET(Rame!$F$1,MATCH(J83,Rame!$F:$F,0)-1,MATCH(K83,Rame!$F$1:$FF$1,0)-1)=TRUE),0,OFFSET(Rame!$F$1,MATCH(J83,Rame!$F:$F,0)-1,MATCH(K83,Rame!$F$1:$FF$1,0)-1))*IF(G83="Rame",1,0)</f>
        <v>0</v>
      </c>
      <c r="U83" s="255">
        <f ca="1">IF(ISERROR(OFFSET(Bronzo!$A$1,MATCH(J83,Bronzo!$A:$A,0)-1,MATCH(K83,Bronzo!$A$1:$AA$1,0)-1)=TRUE),0,OFFSET(Bronzo!$A$1,MATCH(J83,Bronzo!$A:$A,0)-1,MATCH(K83,Bronzo!$A$1:$AA$1,0)-1))</f>
        <v>0</v>
      </c>
      <c r="V83" s="255">
        <f t="shared" ca="1" si="63"/>
        <v>0</v>
      </c>
      <c r="W83" s="254"/>
      <c r="X83" s="255">
        <v>0</v>
      </c>
      <c r="Y83" s="256">
        <f t="shared" ca="1" si="64"/>
        <v>1.5</v>
      </c>
      <c r="Z83" s="269">
        <f t="shared" si="65"/>
        <v>262.64000000000004</v>
      </c>
      <c r="AA83" s="253">
        <v>4.1500000000000004</v>
      </c>
      <c r="AB83" s="253">
        <f t="shared" ca="1" si="66"/>
        <v>-9.9999999999997868E-3</v>
      </c>
      <c r="AC83" s="258"/>
      <c r="AF83" s="223" t="s">
        <v>405</v>
      </c>
      <c r="AH83" s="232">
        <f t="shared" ca="1" si="73"/>
        <v>46120</v>
      </c>
      <c r="AI83" s="232" t="b">
        <f t="shared" si="67"/>
        <v>1</v>
      </c>
      <c r="AJ83" s="259" t="str">
        <f t="shared" si="68"/>
        <v/>
      </c>
      <c r="AM83" s="223">
        <f t="shared" si="69"/>
        <v>0</v>
      </c>
      <c r="AN83" s="223">
        <f t="shared" si="70"/>
        <v>1900</v>
      </c>
      <c r="AU83" s="223">
        <f t="shared" si="71"/>
        <v>0</v>
      </c>
      <c r="AV83" s="223">
        <f t="shared" si="72"/>
        <v>0</v>
      </c>
    </row>
    <row r="84" spans="4:48" ht="26.25" x14ac:dyDescent="0.4">
      <c r="D84" s="246" t="s">
        <v>527</v>
      </c>
      <c r="E84" s="262" t="s">
        <v>92</v>
      </c>
      <c r="F84" s="263">
        <v>3218</v>
      </c>
      <c r="G84" s="249" t="s">
        <v>4</v>
      </c>
      <c r="H84" s="250">
        <v>2.66</v>
      </c>
      <c r="I84" s="251">
        <v>46045</v>
      </c>
      <c r="J84" s="252" t="s">
        <v>28</v>
      </c>
      <c r="K84" s="252"/>
      <c r="L84" s="253">
        <v>7.0000000000000007E-2</v>
      </c>
      <c r="M84" s="254">
        <f ca="1">IF(ISERROR(OFFSET(Tabella!$A$1,MATCH(J84,Tabella!$A:$A,0)-1,MATCH(L84,Tabella!$A$1:$AC$1,0)-1)=TRUE),0,+OFFSET(Tabella!$A$1,MATCH(J84,Tabella!$A:$A,0)-1,MATCH(L84,Tabella!$A$1:$AC$1,0)-1))</f>
        <v>1.25</v>
      </c>
      <c r="N84" s="255">
        <f ca="1">IF(ISERROR(OFFSET(Ottone!$A$1,MATCH(J84,Ottone!$A:$A,0)-1,MATCH(L84,Ottone!$A$1:$Z$1,0)-1)=TRUE),0,OFFSET(Ottone!$A$1,MATCH(J84,Ottone!$A:$A,0)-1,MATCH(L84,Ottone!$A$1:$Z$1,0)-1))*IF(G84="Ottone",1,0)</f>
        <v>0</v>
      </c>
      <c r="O84" s="255">
        <f ca="1">IF(ISERROR(OFFSET(Rame!$A$1,MATCH(J84,Rame!$A:$A,0)-1,MATCH(L84,Rame!$A$1:$AA$1,0)-1)=TRUE),0,OFFSET(Rame!$A$1,MATCH(J84,Rame!$A:$A,0)-1,MATCH(L84,Rame!$A$1:$AA$1,0)-1))*IF(G84="Rame",1,0)</f>
        <v>0</v>
      </c>
      <c r="P84" s="255">
        <v>0</v>
      </c>
      <c r="Q84" s="255">
        <v>1.5</v>
      </c>
      <c r="R84" s="255">
        <f ca="1">+IF(ISERROR(OFFSET(Tabella!$G$1,MATCH(J84,Tabella!$G:$G,0)-1,MATCH(K84,Tabella!$G$1:$FG$1,0)-1)=TRUE),0,OFFSET(Tabella!$G$1,MATCH(J84,Tabella!$G:$G,0)-1,MATCH(K84,Tabella!$G$1:$AB$1,0)-1))</f>
        <v>0</v>
      </c>
      <c r="S84" s="255">
        <f ca="1">IF(ISERROR(OFFSET(Ottone!$F$1,MATCH(J84,Ottone!$A:$A,0)-1,MATCH(K84,Ottone!$F$1:$FF$1,0)-1)=TRUE),0,OFFSET(Ottone!$F$1,MATCH(J84,Ottone!$A:$A,0)-1,MATCH(K84,Ottone!$F$1:$FF$1,0)-1))*IF(G84="Ottone",1,0)</f>
        <v>0</v>
      </c>
      <c r="T84" s="255">
        <f ca="1">IF(ISERROR(OFFSET(Rame!$F$1,MATCH(J84,Rame!$F:$F,0)-1,MATCH(K84,Rame!$F$1:$FF$1,0)-1)=TRUE),0,OFFSET(Rame!$F$1,MATCH(J84,Rame!$F:$F,0)-1,MATCH(K84,Rame!$F$1:$FF$1,0)-1))*IF(G84="Rame",1,0)</f>
        <v>0</v>
      </c>
      <c r="U84" s="255">
        <f ca="1">IF(ISERROR(OFFSET(Bronzo!$A$1,MATCH(J84,Bronzo!$A:$A,0)-1,MATCH(K84,Bronzo!$A$1:$AA$1,0)-1)=TRUE),0,OFFSET(Bronzo!$A$1,MATCH(J84,Bronzo!$A:$A,0)-1,MATCH(K84,Bronzo!$A$1:$AA$1,0)-1))</f>
        <v>0</v>
      </c>
      <c r="V84" s="255">
        <f t="shared" ca="1" si="63"/>
        <v>0</v>
      </c>
      <c r="W84" s="254"/>
      <c r="X84" s="255">
        <v>0</v>
      </c>
      <c r="Y84" s="256">
        <f t="shared" ca="1" si="64"/>
        <v>1.5</v>
      </c>
      <c r="Z84" s="269">
        <f t="shared" si="65"/>
        <v>225.26000000000002</v>
      </c>
      <c r="AA84" s="253">
        <v>4.1500000000000004</v>
      </c>
      <c r="AB84" s="253">
        <f t="shared" ca="1" si="66"/>
        <v>-9.9999999999997868E-3</v>
      </c>
      <c r="AC84" s="258"/>
      <c r="AF84" s="223" t="s">
        <v>405</v>
      </c>
      <c r="AH84" s="232">
        <f t="shared" ca="1" si="73"/>
        <v>46120</v>
      </c>
      <c r="AI84" s="232" t="b">
        <f t="shared" si="67"/>
        <v>1</v>
      </c>
      <c r="AJ84" s="259" t="str">
        <f t="shared" si="68"/>
        <v/>
      </c>
      <c r="AM84" s="223">
        <f t="shared" si="69"/>
        <v>0</v>
      </c>
      <c r="AN84" s="223">
        <f t="shared" si="70"/>
        <v>1900</v>
      </c>
      <c r="AU84" s="223">
        <f t="shared" si="71"/>
        <v>0</v>
      </c>
      <c r="AV84" s="223">
        <f t="shared" si="72"/>
        <v>0</v>
      </c>
    </row>
    <row r="85" spans="4:48" ht="26.25" x14ac:dyDescent="0.4">
      <c r="D85" s="246" t="s">
        <v>520</v>
      </c>
      <c r="E85" s="262" t="s">
        <v>263</v>
      </c>
      <c r="F85" s="263">
        <v>1196</v>
      </c>
      <c r="G85" s="249" t="s">
        <v>4</v>
      </c>
      <c r="H85" s="250">
        <v>2.4900000000000002</v>
      </c>
      <c r="I85" s="251">
        <v>46048</v>
      </c>
      <c r="J85" s="252" t="s">
        <v>25</v>
      </c>
      <c r="K85" s="252"/>
      <c r="L85" s="253">
        <v>7.0000000000000007E-2</v>
      </c>
      <c r="M85" s="254">
        <f ca="1">IF(ISERROR(OFFSET(Tabella!$A$1,MATCH(J85,Tabella!$A:$A,0)-1,MATCH(L85,Tabella!$A$1:$AC$1,0)-1)=TRUE),0,+OFFSET(Tabella!$A$1,MATCH(J85,Tabella!$A:$A,0)-1,MATCH(L85,Tabella!$A$1:$AC$1,0)-1))</f>
        <v>1.25</v>
      </c>
      <c r="N85" s="255">
        <f ca="1">IF(ISERROR(OFFSET(Ottone!$A$1,MATCH(J85,Ottone!$A:$A,0)-1,MATCH(L85,Ottone!$A$1:$Z$1,0)-1)=TRUE),0,OFFSET(Ottone!$A$1,MATCH(J85,Ottone!$A:$A,0)-1,MATCH(L85,Ottone!$A$1:$Z$1,0)-1))*IF(G85="Ottone",1,0)</f>
        <v>0</v>
      </c>
      <c r="O85" s="255">
        <f ca="1">IF(ISERROR(OFFSET(Rame!$A$1,MATCH(J85,Rame!$A:$A,0)-1,MATCH(L85,Rame!$A$1:$AA$1,0)-1)=TRUE),0,OFFSET(Rame!$A$1,MATCH(J85,Rame!$A:$A,0)-1,MATCH(L85,Rame!$A$1:$AA$1,0)-1))*IF(G85="Rame",1,0)</f>
        <v>0</v>
      </c>
      <c r="P85" s="255">
        <v>0</v>
      </c>
      <c r="Q85" s="255">
        <v>1.57</v>
      </c>
      <c r="R85" s="255">
        <f ca="1">+IF(ISERROR(OFFSET(Tabella!$G$1,MATCH(J85,Tabella!$G:$G,0)-1,MATCH(K85,Tabella!$G$1:$FG$1,0)-1)=TRUE),0,OFFSET(Tabella!$G$1,MATCH(J85,Tabella!$G:$G,0)-1,MATCH(K85,Tabella!$G$1:$AB$1,0)-1))</f>
        <v>0</v>
      </c>
      <c r="S85" s="255">
        <f ca="1">IF(ISERROR(OFFSET(Ottone!$F$1,MATCH(J85,Ottone!$A:$A,0)-1,MATCH(K85,Ottone!$F$1:$FF$1,0)-1)=TRUE),0,OFFSET(Ottone!$F$1,MATCH(J85,Ottone!$A:$A,0)-1,MATCH(K85,Ottone!$F$1:$FF$1,0)-1))*IF(G85="Ottone",1,0)</f>
        <v>0</v>
      </c>
      <c r="T85" s="255">
        <f ca="1">IF(ISERROR(OFFSET(Rame!$F$1,MATCH(J85,Rame!$F:$F,0)-1,MATCH(K85,Rame!$F$1:$FF$1,0)-1)=TRUE),0,OFFSET(Rame!$F$1,MATCH(J85,Rame!$F:$F,0)-1,MATCH(K85,Rame!$F$1:$FF$1,0)-1))*IF(G85="Rame",1,0)</f>
        <v>0</v>
      </c>
      <c r="U85" s="255">
        <f ca="1">IF(ISERROR(OFFSET(Bronzo!$A$1,MATCH(J85,Bronzo!$A:$A,0)-1,MATCH(K85,Bronzo!$A$1:$AA$1,0)-1)=TRUE),0,OFFSET(Bronzo!$A$1,MATCH(J85,Bronzo!$A:$A,0)-1,MATCH(K85,Bronzo!$A$1:$AA$1,0)-1))</f>
        <v>0</v>
      </c>
      <c r="V85" s="255">
        <f t="shared" ca="1" si="63"/>
        <v>0</v>
      </c>
      <c r="W85" s="254"/>
      <c r="X85" s="255">
        <v>0</v>
      </c>
      <c r="Y85" s="256">
        <f t="shared" ca="1" si="64"/>
        <v>1.57</v>
      </c>
      <c r="Z85" s="269">
        <f t="shared" si="65"/>
        <v>83.720000000000013</v>
      </c>
      <c r="AA85" s="253">
        <v>4.0599999999999996</v>
      </c>
      <c r="AB85" s="253">
        <f t="shared" ca="1" si="66"/>
        <v>0</v>
      </c>
      <c r="AC85" s="258"/>
      <c r="AF85" s="223" t="s">
        <v>405</v>
      </c>
      <c r="AH85" s="232">
        <f t="shared" ca="1" si="73"/>
        <v>46120</v>
      </c>
      <c r="AI85" s="232" t="b">
        <f t="shared" si="67"/>
        <v>1</v>
      </c>
      <c r="AJ85" s="259" t="str">
        <f t="shared" si="68"/>
        <v/>
      </c>
      <c r="AM85" s="223">
        <f t="shared" si="69"/>
        <v>0</v>
      </c>
      <c r="AN85" s="223">
        <f t="shared" si="70"/>
        <v>1900</v>
      </c>
      <c r="AU85" s="223">
        <f t="shared" si="71"/>
        <v>0</v>
      </c>
      <c r="AV85" s="223">
        <f t="shared" si="72"/>
        <v>0</v>
      </c>
    </row>
    <row r="86" spans="4:48" ht="26.25" x14ac:dyDescent="0.4">
      <c r="D86" s="246" t="s">
        <v>520</v>
      </c>
      <c r="E86" s="262" t="s">
        <v>263</v>
      </c>
      <c r="F86" s="263">
        <v>740</v>
      </c>
      <c r="G86" s="249" t="s">
        <v>4</v>
      </c>
      <c r="H86" s="250">
        <v>2.4900000000000002</v>
      </c>
      <c r="I86" s="251">
        <v>46048</v>
      </c>
      <c r="J86" s="252" t="s">
        <v>314</v>
      </c>
      <c r="K86" s="252"/>
      <c r="L86" s="253">
        <v>7.0000000000000007E-2</v>
      </c>
      <c r="M86" s="254">
        <f ca="1">IF(ISERROR(OFFSET(Tabella!$A$1,MATCH(J86,Tabella!$A:$A,0)-1,MATCH(L86,Tabella!$A$1:$AC$1,0)-1)=TRUE),0,+OFFSET(Tabella!$A$1,MATCH(J86,Tabella!$A:$A,0)-1,MATCH(L86,Tabella!$A$1:$AC$1,0)-1))</f>
        <v>1.25</v>
      </c>
      <c r="N86" s="255">
        <f ca="1">IF(ISERROR(OFFSET(Ottone!$A$1,MATCH(J86,Ottone!$A:$A,0)-1,MATCH(L86,Ottone!$A$1:$Z$1,0)-1)=TRUE),0,OFFSET(Ottone!$A$1,MATCH(J86,Ottone!$A:$A,0)-1,MATCH(L86,Ottone!$A$1:$Z$1,0)-1))*IF(G86="Ottone",1,0)</f>
        <v>0</v>
      </c>
      <c r="O86" s="255">
        <f ca="1">IF(ISERROR(OFFSET(Rame!$A$1,MATCH(J86,Rame!$A:$A,0)-1,MATCH(L86,Rame!$A$1:$AA$1,0)-1)=TRUE),0,OFFSET(Rame!$A$1,MATCH(J86,Rame!$A:$A,0)-1,MATCH(L86,Rame!$A$1:$AA$1,0)-1))*IF(G86="Rame",1,0)</f>
        <v>0</v>
      </c>
      <c r="P86" s="255">
        <v>0</v>
      </c>
      <c r="Q86" s="255">
        <v>1.57</v>
      </c>
      <c r="R86" s="255">
        <f ca="1">+IF(ISERROR(OFFSET(Tabella!$G$1,MATCH(J86,Tabella!$G:$G,0)-1,MATCH(K86,Tabella!$G$1:$FG$1,0)-1)=TRUE),0,OFFSET(Tabella!$G$1,MATCH(J86,Tabella!$G:$G,0)-1,MATCH(K86,Tabella!$G$1:$AB$1,0)-1))</f>
        <v>0</v>
      </c>
      <c r="S86" s="255">
        <f ca="1">IF(ISERROR(OFFSET(Ottone!$F$1,MATCH(J86,Ottone!$A:$A,0)-1,MATCH(K86,Ottone!$F$1:$FF$1,0)-1)=TRUE),0,OFFSET(Ottone!$F$1,MATCH(J86,Ottone!$A:$A,0)-1,MATCH(K86,Ottone!$F$1:$FF$1,0)-1))*IF(G86="Ottone",1,0)</f>
        <v>0</v>
      </c>
      <c r="T86" s="255">
        <f ca="1">IF(ISERROR(OFFSET(Rame!$F$1,MATCH(J86,Rame!$F:$F,0)-1,MATCH(K86,Rame!$F$1:$FF$1,0)-1)=TRUE),0,OFFSET(Rame!$F$1,MATCH(J86,Rame!$F:$F,0)-1,MATCH(K86,Rame!$F$1:$FF$1,0)-1))*IF(G86="Rame",1,0)</f>
        <v>0</v>
      </c>
      <c r="U86" s="255">
        <f ca="1">IF(ISERROR(OFFSET(Bronzo!$A$1,MATCH(J86,Bronzo!$A:$A,0)-1,MATCH(K86,Bronzo!$A$1:$AA$1,0)-1)=TRUE),0,OFFSET(Bronzo!$A$1,MATCH(J86,Bronzo!$A:$A,0)-1,MATCH(K86,Bronzo!$A$1:$AA$1,0)-1))</f>
        <v>0</v>
      </c>
      <c r="V86" s="255">
        <f t="shared" ca="1" si="63"/>
        <v>0</v>
      </c>
      <c r="W86" s="254"/>
      <c r="X86" s="255">
        <v>0</v>
      </c>
      <c r="Y86" s="256">
        <f t="shared" ca="1" si="64"/>
        <v>1.57</v>
      </c>
      <c r="Z86" s="269">
        <f t="shared" si="65"/>
        <v>51.800000000000004</v>
      </c>
      <c r="AA86" s="253">
        <v>4.0599999999999996</v>
      </c>
      <c r="AB86" s="253">
        <f t="shared" ca="1" si="66"/>
        <v>0</v>
      </c>
      <c r="AC86" s="258"/>
      <c r="AF86" s="223" t="s">
        <v>405</v>
      </c>
      <c r="AH86" s="232">
        <f t="shared" ca="1" si="73"/>
        <v>46120</v>
      </c>
      <c r="AI86" s="232" t="b">
        <f t="shared" si="67"/>
        <v>1</v>
      </c>
      <c r="AJ86" s="259" t="str">
        <f t="shared" si="68"/>
        <v/>
      </c>
      <c r="AM86" s="223">
        <f t="shared" si="69"/>
        <v>0</v>
      </c>
      <c r="AN86" s="223">
        <f t="shared" si="70"/>
        <v>1900</v>
      </c>
      <c r="AU86" s="223">
        <f t="shared" si="71"/>
        <v>0</v>
      </c>
      <c r="AV86" s="223">
        <f t="shared" si="72"/>
        <v>0</v>
      </c>
    </row>
    <row r="87" spans="4:48" ht="26.25" x14ac:dyDescent="0.4">
      <c r="D87" s="246" t="s">
        <v>490</v>
      </c>
      <c r="E87" s="262" t="s">
        <v>263</v>
      </c>
      <c r="F87" s="263">
        <v>1312</v>
      </c>
      <c r="G87" s="249" t="s">
        <v>4</v>
      </c>
      <c r="H87" s="250">
        <v>2.4900000000000002</v>
      </c>
      <c r="I87" s="251">
        <v>46048</v>
      </c>
      <c r="J87" s="252" t="s">
        <v>322</v>
      </c>
      <c r="K87" s="252"/>
      <c r="L87" s="253">
        <v>7.0000000000000007E-2</v>
      </c>
      <c r="M87" s="254">
        <f ca="1">IF(ISERROR(OFFSET(Tabella!$A$1,MATCH(J87,Tabella!$A:$A,0)-1,MATCH(L87,Tabella!$A$1:$AC$1,0)-1)=TRUE),0,+OFFSET(Tabella!$A$1,MATCH(J87,Tabella!$A:$A,0)-1,MATCH(L87,Tabella!$A$1:$AC$1,0)-1))</f>
        <v>1.25</v>
      </c>
      <c r="N87" s="255">
        <f ca="1">IF(ISERROR(OFFSET(Ottone!$A$1,MATCH(J87,Ottone!$A:$A,0)-1,MATCH(L87,Ottone!$A$1:$Z$1,0)-1)=TRUE),0,OFFSET(Ottone!$A$1,MATCH(J87,Ottone!$A:$A,0)-1,MATCH(L87,Ottone!$A$1:$Z$1,0)-1))*IF(G87="Ottone",1,0)</f>
        <v>0</v>
      </c>
      <c r="O87" s="255">
        <f ca="1">IF(ISERROR(OFFSET(Rame!$A$1,MATCH(J87,Rame!$A:$A,0)-1,MATCH(L87,Rame!$A$1:$AA$1,0)-1)=TRUE),0,OFFSET(Rame!$A$1,MATCH(J87,Rame!$A:$A,0)-1,MATCH(L87,Rame!$A$1:$AA$1,0)-1))*IF(G87="Rame",1,0)</f>
        <v>0</v>
      </c>
      <c r="P87" s="255">
        <v>0</v>
      </c>
      <c r="Q87" s="255">
        <v>1.57</v>
      </c>
      <c r="R87" s="255">
        <f ca="1">+IF(ISERROR(OFFSET(Tabella!$G$1,MATCH(J87,Tabella!$G:$G,0)-1,MATCH(K87,Tabella!$G$1:$FG$1,0)-1)=TRUE),0,OFFSET(Tabella!$G$1,MATCH(J87,Tabella!$G:$G,0)-1,MATCH(K87,Tabella!$G$1:$AB$1,0)-1))</f>
        <v>0</v>
      </c>
      <c r="S87" s="255">
        <f ca="1">IF(ISERROR(OFFSET(Ottone!$F$1,MATCH(J87,Ottone!$A:$A,0)-1,MATCH(K87,Ottone!$F$1:$FF$1,0)-1)=TRUE),0,OFFSET(Ottone!$F$1,MATCH(J87,Ottone!$A:$A,0)-1,MATCH(K87,Ottone!$F$1:$FF$1,0)-1))*IF(G87="Ottone",1,0)</f>
        <v>0</v>
      </c>
      <c r="T87" s="255">
        <f ca="1">IF(ISERROR(OFFSET(Rame!$F$1,MATCH(J87,Rame!$F:$F,0)-1,MATCH(K87,Rame!$F$1:$FF$1,0)-1)=TRUE),0,OFFSET(Rame!$F$1,MATCH(J87,Rame!$F:$F,0)-1,MATCH(K87,Rame!$F$1:$FF$1,0)-1))*IF(G87="Rame",1,0)</f>
        <v>0</v>
      </c>
      <c r="U87" s="255">
        <f ca="1">IF(ISERROR(OFFSET(Bronzo!$A$1,MATCH(J87,Bronzo!$A:$A,0)-1,MATCH(K87,Bronzo!$A$1:$AA$1,0)-1)=TRUE),0,OFFSET(Bronzo!$A$1,MATCH(J87,Bronzo!$A:$A,0)-1,MATCH(K87,Bronzo!$A$1:$AA$1,0)-1))</f>
        <v>0</v>
      </c>
      <c r="V87" s="255">
        <f t="shared" ref="V87:V129" ca="1" si="74">SUM(R87:U87)</f>
        <v>0</v>
      </c>
      <c r="W87" s="254"/>
      <c r="X87" s="255">
        <v>0</v>
      </c>
      <c r="Y87" s="256">
        <f t="shared" ref="Y87:Y129" ca="1" si="75">+Q87+V87+W87+X87</f>
        <v>1.57</v>
      </c>
      <c r="Z87" s="269">
        <f t="shared" ref="Z87:Z129" si="76">+L87*F87</f>
        <v>91.84</v>
      </c>
      <c r="AA87" s="253">
        <v>4.0599999999999996</v>
      </c>
      <c r="AB87" s="253">
        <f t="shared" ref="AB87:AB129" ca="1" si="77">+AA87-Y87-H87</f>
        <v>0</v>
      </c>
      <c r="AC87" s="258"/>
      <c r="AF87" s="223" t="s">
        <v>405</v>
      </c>
      <c r="AH87" s="232">
        <f t="shared" ca="1" si="73"/>
        <v>46120</v>
      </c>
      <c r="AI87" s="232" t="b">
        <f t="shared" si="67"/>
        <v>1</v>
      </c>
      <c r="AJ87" s="259" t="str">
        <f t="shared" si="68"/>
        <v/>
      </c>
      <c r="AM87" s="223">
        <f t="shared" si="69"/>
        <v>0</v>
      </c>
      <c r="AN87" s="223">
        <f t="shared" si="70"/>
        <v>1900</v>
      </c>
      <c r="AU87" s="223">
        <f t="shared" si="71"/>
        <v>0</v>
      </c>
      <c r="AV87" s="223">
        <f t="shared" si="72"/>
        <v>0</v>
      </c>
    </row>
    <row r="88" spans="4:48" ht="26.25" x14ac:dyDescent="0.4">
      <c r="D88" s="246" t="s">
        <v>489</v>
      </c>
      <c r="E88" s="262" t="s">
        <v>263</v>
      </c>
      <c r="F88" s="263">
        <v>537</v>
      </c>
      <c r="G88" s="249" t="s">
        <v>4</v>
      </c>
      <c r="H88" s="250">
        <v>2.4900000000000002</v>
      </c>
      <c r="I88" s="251">
        <v>46048</v>
      </c>
      <c r="J88" s="252" t="s">
        <v>9</v>
      </c>
      <c r="K88" s="252"/>
      <c r="L88" s="253">
        <v>7.0000000000000007E-2</v>
      </c>
      <c r="M88" s="254">
        <f ca="1">IF(ISERROR(OFFSET(Tabella!$A$1,MATCH(J88,Tabella!$A:$A,0)-1,MATCH(L88,Tabella!$A$1:$AC$1,0)-1)=TRUE),0,+OFFSET(Tabella!$A$1,MATCH(J88,Tabella!$A:$A,0)-1,MATCH(L88,Tabella!$A$1:$AC$1,0)-1))</f>
        <v>1.6</v>
      </c>
      <c r="N88" s="255">
        <f ca="1">IF(ISERROR(OFFSET(Ottone!$A$1,MATCH(J88,Ottone!$A:$A,0)-1,MATCH(L88,Ottone!$A$1:$Z$1,0)-1)=TRUE),0,OFFSET(Ottone!$A$1,MATCH(J88,Ottone!$A:$A,0)-1,MATCH(L88,Ottone!$A$1:$Z$1,0)-1))*IF(G88="Ottone",1,0)</f>
        <v>0</v>
      </c>
      <c r="O88" s="255">
        <f ca="1">IF(ISERROR(OFFSET(Rame!$A$1,MATCH(J88,Rame!$A:$A,0)-1,MATCH(L88,Rame!$A$1:$AA$1,0)-1)=TRUE),0,OFFSET(Rame!$A$1,MATCH(J88,Rame!$A:$A,0)-1,MATCH(L88,Rame!$A$1:$AA$1,0)-1))*IF(G88="Rame",1,0)</f>
        <v>0</v>
      </c>
      <c r="P88" s="255">
        <v>0</v>
      </c>
      <c r="Q88" s="255">
        <v>1.8</v>
      </c>
      <c r="R88" s="255">
        <f ca="1">+IF(ISERROR(OFFSET(Tabella!$G$1,MATCH(J88,Tabella!$G:$G,0)-1,MATCH(K88,Tabella!$G$1:$FG$1,0)-1)=TRUE),0,OFFSET(Tabella!$G$1,MATCH(J88,Tabella!$G:$G,0)-1,MATCH(K88,Tabella!$G$1:$AB$1,0)-1))</f>
        <v>0</v>
      </c>
      <c r="S88" s="255">
        <f ca="1">IF(ISERROR(OFFSET(Ottone!$F$1,MATCH(J88,Ottone!$A:$A,0)-1,MATCH(K88,Ottone!$F$1:$FF$1,0)-1)=TRUE),0,OFFSET(Ottone!$F$1,MATCH(J88,Ottone!$A:$A,0)-1,MATCH(K88,Ottone!$F$1:$FF$1,0)-1))*IF(G88="Ottone",1,0)</f>
        <v>0</v>
      </c>
      <c r="T88" s="255">
        <f ca="1">IF(ISERROR(OFFSET(Rame!$F$1,MATCH(J88,Rame!$F:$F,0)-1,MATCH(K88,Rame!$F$1:$FF$1,0)-1)=TRUE),0,OFFSET(Rame!$F$1,MATCH(J88,Rame!$F:$F,0)-1,MATCH(K88,Rame!$F$1:$FF$1,0)-1))*IF(G88="Rame",1,0)</f>
        <v>0</v>
      </c>
      <c r="U88" s="255">
        <f ca="1">IF(ISERROR(OFFSET(Bronzo!$A$1,MATCH(J88,Bronzo!$A:$A,0)-1,MATCH(K88,Bronzo!$A$1:$AA$1,0)-1)=TRUE),0,OFFSET(Bronzo!$A$1,MATCH(J88,Bronzo!$A:$A,0)-1,MATCH(K88,Bronzo!$A$1:$AA$1,0)-1))</f>
        <v>0</v>
      </c>
      <c r="V88" s="255">
        <f t="shared" ca="1" si="74"/>
        <v>0</v>
      </c>
      <c r="W88" s="254"/>
      <c r="X88" s="255">
        <v>0</v>
      </c>
      <c r="Y88" s="256">
        <f t="shared" ca="1" si="75"/>
        <v>1.8</v>
      </c>
      <c r="Z88" s="269">
        <f t="shared" si="76"/>
        <v>37.590000000000003</v>
      </c>
      <c r="AA88" s="253">
        <v>4.3600000000000003</v>
      </c>
      <c r="AB88" s="253">
        <f t="shared" ca="1" si="77"/>
        <v>7.0000000000000284E-2</v>
      </c>
      <c r="AC88" s="258"/>
      <c r="AF88" s="223" t="s">
        <v>405</v>
      </c>
      <c r="AH88" s="232">
        <f t="shared" ca="1" si="73"/>
        <v>46120</v>
      </c>
      <c r="AI88" s="232" t="b">
        <f t="shared" si="67"/>
        <v>1</v>
      </c>
      <c r="AJ88" s="259" t="str">
        <f t="shared" si="68"/>
        <v/>
      </c>
      <c r="AM88" s="223">
        <f t="shared" si="69"/>
        <v>0</v>
      </c>
      <c r="AN88" s="223">
        <f t="shared" si="70"/>
        <v>1900</v>
      </c>
      <c r="AU88" s="223">
        <f t="shared" si="71"/>
        <v>0</v>
      </c>
      <c r="AV88" s="223">
        <f t="shared" si="72"/>
        <v>0</v>
      </c>
    </row>
    <row r="89" spans="4:48" ht="26.25" x14ac:dyDescent="0.4">
      <c r="D89" s="246" t="s">
        <v>489</v>
      </c>
      <c r="E89" s="262" t="s">
        <v>263</v>
      </c>
      <c r="F89" s="263">
        <v>622</v>
      </c>
      <c r="G89" s="249" t="s">
        <v>4</v>
      </c>
      <c r="H89" s="250">
        <v>2.4900000000000002</v>
      </c>
      <c r="I89" s="251">
        <v>46048</v>
      </c>
      <c r="J89" s="252" t="s">
        <v>9</v>
      </c>
      <c r="K89" s="252"/>
      <c r="L89" s="253">
        <v>7.0000000000000007E-2</v>
      </c>
      <c r="M89" s="254">
        <f ca="1">IF(ISERROR(OFFSET(Tabella!$A$1,MATCH(J89,Tabella!$A:$A,0)-1,MATCH(L89,Tabella!$A$1:$AC$1,0)-1)=TRUE),0,+OFFSET(Tabella!$A$1,MATCH(J89,Tabella!$A:$A,0)-1,MATCH(L89,Tabella!$A$1:$AC$1,0)-1))</f>
        <v>1.6</v>
      </c>
      <c r="N89" s="255">
        <f ca="1">IF(ISERROR(OFFSET(Ottone!$A$1,MATCH(J89,Ottone!$A:$A,0)-1,MATCH(L89,Ottone!$A$1:$Z$1,0)-1)=TRUE),0,OFFSET(Ottone!$A$1,MATCH(J89,Ottone!$A:$A,0)-1,MATCH(L89,Ottone!$A$1:$Z$1,0)-1))*IF(G89="Ottone",1,0)</f>
        <v>0</v>
      </c>
      <c r="O89" s="255">
        <f ca="1">IF(ISERROR(OFFSET(Rame!$A$1,MATCH(J89,Rame!$A:$A,0)-1,MATCH(L89,Rame!$A$1:$AA$1,0)-1)=TRUE),0,OFFSET(Rame!$A$1,MATCH(J89,Rame!$A:$A,0)-1,MATCH(L89,Rame!$A$1:$AA$1,0)-1))*IF(G89="Rame",1,0)</f>
        <v>0</v>
      </c>
      <c r="P89" s="255">
        <v>0</v>
      </c>
      <c r="Q89" s="255">
        <v>1.8</v>
      </c>
      <c r="R89" s="255">
        <f ca="1">+IF(ISERROR(OFFSET(Tabella!$G$1,MATCH(J89,Tabella!$G:$G,0)-1,MATCH(K89,Tabella!$G$1:$FG$1,0)-1)=TRUE),0,OFFSET(Tabella!$G$1,MATCH(J89,Tabella!$G:$G,0)-1,MATCH(K89,Tabella!$G$1:$AB$1,0)-1))</f>
        <v>0</v>
      </c>
      <c r="S89" s="255">
        <f ca="1">IF(ISERROR(OFFSET(Ottone!$F$1,MATCH(J89,Ottone!$A:$A,0)-1,MATCH(K89,Ottone!$F$1:$FF$1,0)-1)=TRUE),0,OFFSET(Ottone!$F$1,MATCH(J89,Ottone!$A:$A,0)-1,MATCH(K89,Ottone!$F$1:$FF$1,0)-1))*IF(G89="Ottone",1,0)</f>
        <v>0</v>
      </c>
      <c r="T89" s="255">
        <f ca="1">IF(ISERROR(OFFSET(Rame!$F$1,MATCH(J89,Rame!$F:$F,0)-1,MATCH(K89,Rame!$F$1:$FF$1,0)-1)=TRUE),0,OFFSET(Rame!$F$1,MATCH(J89,Rame!$F:$F,0)-1,MATCH(K89,Rame!$F$1:$FF$1,0)-1))*IF(G89="Rame",1,0)</f>
        <v>0</v>
      </c>
      <c r="U89" s="255">
        <f ca="1">IF(ISERROR(OFFSET(Bronzo!$A$1,MATCH(J89,Bronzo!$A:$A,0)-1,MATCH(K89,Bronzo!$A$1:$AA$1,0)-1)=TRUE),0,OFFSET(Bronzo!$A$1,MATCH(J89,Bronzo!$A:$A,0)-1,MATCH(K89,Bronzo!$A$1:$AA$1,0)-1))</f>
        <v>0</v>
      </c>
      <c r="V89" s="255">
        <f t="shared" ca="1" si="74"/>
        <v>0</v>
      </c>
      <c r="W89" s="254"/>
      <c r="X89" s="255">
        <v>0</v>
      </c>
      <c r="Y89" s="256">
        <f t="shared" ca="1" si="75"/>
        <v>1.8</v>
      </c>
      <c r="Z89" s="269">
        <f t="shared" si="76"/>
        <v>43.540000000000006</v>
      </c>
      <c r="AA89" s="253">
        <v>4.3600000000000003</v>
      </c>
      <c r="AB89" s="253">
        <f t="shared" ca="1" si="77"/>
        <v>7.0000000000000284E-2</v>
      </c>
      <c r="AC89" s="258"/>
      <c r="AF89" s="223" t="s">
        <v>405</v>
      </c>
      <c r="AH89" s="232">
        <f t="shared" ca="1" si="73"/>
        <v>46120</v>
      </c>
      <c r="AI89" s="232" t="b">
        <f t="shared" si="67"/>
        <v>1</v>
      </c>
      <c r="AJ89" s="259" t="str">
        <f t="shared" si="68"/>
        <v/>
      </c>
      <c r="AM89" s="223">
        <f t="shared" si="69"/>
        <v>0</v>
      </c>
      <c r="AN89" s="223">
        <f t="shared" si="70"/>
        <v>1900</v>
      </c>
      <c r="AU89" s="223">
        <f t="shared" si="71"/>
        <v>0</v>
      </c>
      <c r="AV89" s="223">
        <f t="shared" si="72"/>
        <v>0</v>
      </c>
    </row>
    <row r="90" spans="4:48" ht="26.25" x14ac:dyDescent="0.4">
      <c r="D90" s="246" t="s">
        <v>739</v>
      </c>
      <c r="E90" s="262" t="s">
        <v>397</v>
      </c>
      <c r="F90" s="263">
        <v>860</v>
      </c>
      <c r="G90" s="249" t="s">
        <v>4</v>
      </c>
      <c r="H90" s="250">
        <v>2.68</v>
      </c>
      <c r="I90" s="251">
        <v>46048</v>
      </c>
      <c r="J90" s="252" t="s">
        <v>28</v>
      </c>
      <c r="K90" s="252"/>
      <c r="L90" s="253">
        <v>7.0000000000000007E-2</v>
      </c>
      <c r="M90" s="254">
        <f ca="1">IF(ISERROR(OFFSET(Tabella!$A$1,MATCH(J90,Tabella!$A:$A,0)-1,MATCH(L90,Tabella!$A$1:$AC$1,0)-1)=TRUE),0,+OFFSET(Tabella!$A$1,MATCH(J90,Tabella!$A:$A,0)-1,MATCH(L90,Tabella!$A$1:$AC$1,0)-1))</f>
        <v>1.25</v>
      </c>
      <c r="N90" s="255">
        <f ca="1">IF(ISERROR(OFFSET(Ottone!$A$1,MATCH(J90,Ottone!$A:$A,0)-1,MATCH(L90,Ottone!$A$1:$Z$1,0)-1)=TRUE),0,OFFSET(Ottone!$A$1,MATCH(J90,Ottone!$A:$A,0)-1,MATCH(L90,Ottone!$A$1:$Z$1,0)-1))*IF(G90="Ottone",1,0)</f>
        <v>0</v>
      </c>
      <c r="O90" s="255">
        <f ca="1">IF(ISERROR(OFFSET(Rame!$A$1,MATCH(J90,Rame!$A:$A,0)-1,MATCH(L90,Rame!$A$1:$AA$1,0)-1)=TRUE),0,OFFSET(Rame!$A$1,MATCH(J90,Rame!$A:$A,0)-1,MATCH(L90,Rame!$A$1:$AA$1,0)-1))*IF(G90="Rame",1,0)</f>
        <v>0</v>
      </c>
      <c r="P90" s="255">
        <v>0</v>
      </c>
      <c r="Q90" s="255">
        <f t="shared" ref="Q90:Q127" ca="1" si="78">SUM(M90:P90)</f>
        <v>1.25</v>
      </c>
      <c r="R90" s="255">
        <f ca="1">+IF(ISERROR(OFFSET(Tabella!$G$1,MATCH(J90,Tabella!$G:$G,0)-1,MATCH(K90,Tabella!$G$1:$FG$1,0)-1)=TRUE),0,OFFSET(Tabella!$G$1,MATCH(J90,Tabella!$G:$G,0)-1,MATCH(K90,Tabella!$G$1:$AB$1,0)-1))</f>
        <v>0</v>
      </c>
      <c r="S90" s="255">
        <f ca="1">IF(ISERROR(OFFSET(Ottone!$F$1,MATCH(J90,Ottone!$A:$A,0)-1,MATCH(K90,Ottone!$F$1:$FF$1,0)-1)=TRUE),0,OFFSET(Ottone!$F$1,MATCH(J90,Ottone!$A:$A,0)-1,MATCH(K90,Ottone!$F$1:$FF$1,0)-1))*IF(G90="Ottone",1,0)</f>
        <v>0</v>
      </c>
      <c r="T90" s="255">
        <f ca="1">IF(ISERROR(OFFSET(Rame!$F$1,MATCH(J90,Rame!$F:$F,0)-1,MATCH(K90,Rame!$F$1:$FF$1,0)-1)=TRUE),0,OFFSET(Rame!$F$1,MATCH(J90,Rame!$F:$F,0)-1,MATCH(K90,Rame!$F$1:$FF$1,0)-1))*IF(G90="Rame",1,0)</f>
        <v>0</v>
      </c>
      <c r="U90" s="255">
        <f ca="1">IF(ISERROR(OFFSET(Bronzo!$A$1,MATCH(J90,Bronzo!$A:$A,0)-1,MATCH(K90,Bronzo!$A$1:$AA$1,0)-1)=TRUE),0,OFFSET(Bronzo!$A$1,MATCH(J90,Bronzo!$A:$A,0)-1,MATCH(K90,Bronzo!$A$1:$AA$1,0)-1))</f>
        <v>0</v>
      </c>
      <c r="V90" s="255">
        <f t="shared" ca="1" si="74"/>
        <v>0</v>
      </c>
      <c r="W90" s="254"/>
      <c r="X90" s="255">
        <v>0</v>
      </c>
      <c r="Y90" s="256">
        <f t="shared" ca="1" si="75"/>
        <v>1.25</v>
      </c>
      <c r="Z90" s="269">
        <f t="shared" si="76"/>
        <v>60.2</v>
      </c>
      <c r="AA90" s="253">
        <v>4.4000000000000004</v>
      </c>
      <c r="AB90" s="253">
        <f t="shared" ca="1" si="77"/>
        <v>0.4700000000000002</v>
      </c>
      <c r="AC90" s="258"/>
      <c r="AF90" s="223" t="s">
        <v>405</v>
      </c>
      <c r="AH90" s="232">
        <f t="shared" ca="1" si="73"/>
        <v>46120</v>
      </c>
      <c r="AI90" s="232" t="b">
        <f t="shared" si="67"/>
        <v>1</v>
      </c>
      <c r="AJ90" s="259" t="str">
        <f t="shared" si="68"/>
        <v/>
      </c>
      <c r="AM90" s="223">
        <f t="shared" si="69"/>
        <v>0</v>
      </c>
      <c r="AN90" s="223">
        <f t="shared" si="70"/>
        <v>1900</v>
      </c>
      <c r="AU90" s="223">
        <f t="shared" si="71"/>
        <v>0</v>
      </c>
      <c r="AV90" s="223">
        <f t="shared" si="72"/>
        <v>0</v>
      </c>
    </row>
    <row r="91" spans="4:48" ht="26.25" x14ac:dyDescent="0.4">
      <c r="D91" s="246" t="s">
        <v>742</v>
      </c>
      <c r="E91" s="262" t="s">
        <v>397</v>
      </c>
      <c r="F91" s="263">
        <v>682</v>
      </c>
      <c r="G91" s="249" t="s">
        <v>4</v>
      </c>
      <c r="H91" s="250">
        <v>2.68</v>
      </c>
      <c r="I91" s="251">
        <v>46048</v>
      </c>
      <c r="J91" s="252" t="s">
        <v>307</v>
      </c>
      <c r="K91" s="252"/>
      <c r="L91" s="253">
        <v>7.0000000000000007E-2</v>
      </c>
      <c r="M91" s="254">
        <f ca="1">IF(ISERROR(OFFSET(Tabella!$A$1,MATCH(J91,Tabella!$A:$A,0)-1,MATCH(L91,Tabella!$A$1:$AC$1,0)-1)=TRUE),0,+OFFSET(Tabella!$A$1,MATCH(J91,Tabella!$A:$A,0)-1,MATCH(L91,Tabella!$A$1:$AC$1,0)-1))</f>
        <v>1.25</v>
      </c>
      <c r="N91" s="255">
        <f ca="1">IF(ISERROR(OFFSET(Ottone!$A$1,MATCH(J91,Ottone!$A:$A,0)-1,MATCH(L91,Ottone!$A$1:$Z$1,0)-1)=TRUE),0,OFFSET(Ottone!$A$1,MATCH(J91,Ottone!$A:$A,0)-1,MATCH(L91,Ottone!$A$1:$Z$1,0)-1))*IF(G91="Ottone",1,0)</f>
        <v>0</v>
      </c>
      <c r="O91" s="255">
        <f ca="1">IF(ISERROR(OFFSET(Rame!$A$1,MATCH(J91,Rame!$A:$A,0)-1,MATCH(L91,Rame!$A$1:$AA$1,0)-1)=TRUE),0,OFFSET(Rame!$A$1,MATCH(J91,Rame!$A:$A,0)-1,MATCH(L91,Rame!$A$1:$AA$1,0)-1))*IF(G91="Rame",1,0)</f>
        <v>0</v>
      </c>
      <c r="P91" s="255">
        <v>0</v>
      </c>
      <c r="Q91" s="255">
        <f t="shared" ca="1" si="78"/>
        <v>1.25</v>
      </c>
      <c r="R91" s="255">
        <f ca="1">+IF(ISERROR(OFFSET(Tabella!$G$1,MATCH(J91,Tabella!$G:$G,0)-1,MATCH(K91,Tabella!$G$1:$FG$1,0)-1)=TRUE),0,OFFSET(Tabella!$G$1,MATCH(J91,Tabella!$G:$G,0)-1,MATCH(K91,Tabella!$G$1:$AB$1,0)-1))</f>
        <v>0</v>
      </c>
      <c r="S91" s="255">
        <f ca="1">IF(ISERROR(OFFSET(Ottone!$F$1,MATCH(J91,Ottone!$A:$A,0)-1,MATCH(K91,Ottone!$F$1:$FF$1,0)-1)=TRUE),0,OFFSET(Ottone!$F$1,MATCH(J91,Ottone!$A:$A,0)-1,MATCH(K91,Ottone!$F$1:$FF$1,0)-1))*IF(G91="Ottone",1,0)</f>
        <v>0</v>
      </c>
      <c r="T91" s="255">
        <f ca="1">IF(ISERROR(OFFSET(Rame!$F$1,MATCH(J91,Rame!$F:$F,0)-1,MATCH(K91,Rame!$F$1:$FF$1,0)-1)=TRUE),0,OFFSET(Rame!$F$1,MATCH(J91,Rame!$F:$F,0)-1,MATCH(K91,Rame!$F$1:$FF$1,0)-1))*IF(G91="Rame",1,0)</f>
        <v>0</v>
      </c>
      <c r="U91" s="255">
        <f ca="1">IF(ISERROR(OFFSET(Bronzo!$A$1,MATCH(J91,Bronzo!$A:$A,0)-1,MATCH(K91,Bronzo!$A$1:$AA$1,0)-1)=TRUE),0,OFFSET(Bronzo!$A$1,MATCH(J91,Bronzo!$A:$A,0)-1,MATCH(K91,Bronzo!$A$1:$AA$1,0)-1))</f>
        <v>0</v>
      </c>
      <c r="V91" s="255">
        <f t="shared" ca="1" si="74"/>
        <v>0</v>
      </c>
      <c r="W91" s="254"/>
      <c r="X91" s="255">
        <v>0</v>
      </c>
      <c r="Y91" s="256">
        <f t="shared" ca="1" si="75"/>
        <v>1.25</v>
      </c>
      <c r="Z91" s="269">
        <f>+L91*F91</f>
        <v>47.74</v>
      </c>
      <c r="AA91" s="253">
        <v>4.55</v>
      </c>
      <c r="AB91" s="253">
        <f t="shared" ca="1" si="77"/>
        <v>0.61999999999999966</v>
      </c>
      <c r="AC91" s="258"/>
      <c r="AF91" s="223" t="s">
        <v>405</v>
      </c>
      <c r="AH91" s="232">
        <f t="shared" ca="1" si="73"/>
        <v>46120</v>
      </c>
      <c r="AI91" s="232" t="b">
        <f t="shared" si="67"/>
        <v>1</v>
      </c>
      <c r="AJ91" s="259" t="str">
        <f t="shared" si="68"/>
        <v/>
      </c>
      <c r="AM91" s="223">
        <f t="shared" si="69"/>
        <v>0</v>
      </c>
      <c r="AN91" s="223">
        <f t="shared" si="70"/>
        <v>1900</v>
      </c>
      <c r="AU91" s="223">
        <f t="shared" si="71"/>
        <v>0</v>
      </c>
      <c r="AV91" s="223">
        <f t="shared" si="72"/>
        <v>0</v>
      </c>
    </row>
    <row r="92" spans="4:48" ht="26.25" x14ac:dyDescent="0.4">
      <c r="D92" s="246" t="s">
        <v>582</v>
      </c>
      <c r="E92" s="262" t="s">
        <v>397</v>
      </c>
      <c r="F92" s="263">
        <v>201</v>
      </c>
      <c r="G92" s="249" t="s">
        <v>4</v>
      </c>
      <c r="H92" s="250">
        <v>2.6</v>
      </c>
      <c r="I92" s="251">
        <v>46048</v>
      </c>
      <c r="J92" s="252" t="s">
        <v>243</v>
      </c>
      <c r="K92" s="252"/>
      <c r="L92" s="253">
        <v>7.0000000000000007E-2</v>
      </c>
      <c r="M92" s="254"/>
      <c r="N92" s="255"/>
      <c r="O92" s="255"/>
      <c r="P92" s="255"/>
      <c r="Q92" s="255">
        <v>1.6</v>
      </c>
      <c r="R92" s="255"/>
      <c r="S92" s="255"/>
      <c r="T92" s="255"/>
      <c r="U92" s="255"/>
      <c r="V92" s="255"/>
      <c r="W92" s="254"/>
      <c r="X92" s="255"/>
      <c r="Y92" s="256">
        <v>1.6</v>
      </c>
      <c r="Z92" s="269">
        <f t="shared" si="76"/>
        <v>14.070000000000002</v>
      </c>
      <c r="AA92" s="253">
        <v>4.42</v>
      </c>
      <c r="AB92" s="253"/>
      <c r="AC92" s="258"/>
      <c r="AF92" s="223" t="s">
        <v>405</v>
      </c>
      <c r="AJ92" s="259"/>
    </row>
    <row r="93" spans="4:48" ht="26.25" x14ac:dyDescent="0.4">
      <c r="D93" s="246" t="s">
        <v>454</v>
      </c>
      <c r="E93" s="252" t="s">
        <v>397</v>
      </c>
      <c r="F93" s="276">
        <v>2100</v>
      </c>
      <c r="G93" s="249" t="s">
        <v>4</v>
      </c>
      <c r="H93" s="250">
        <v>2.68</v>
      </c>
      <c r="I93" s="251">
        <v>46048</v>
      </c>
      <c r="J93" s="252" t="s">
        <v>28</v>
      </c>
      <c r="K93" s="252"/>
      <c r="L93" s="253">
        <v>7.0000000000000007E-2</v>
      </c>
      <c r="M93" s="254">
        <f ca="1">IF(ISERROR(OFFSET(Tabella!$A$1,MATCH(J93,Tabella!$A:$A,0)-1,MATCH(L93,Tabella!$A$1:$AC$1,0)-1)=TRUE),0,+OFFSET(Tabella!$A$1,MATCH(J93,Tabella!$A:$A,0)-1,MATCH(L93,Tabella!$A$1:$AC$1,0)-1))</f>
        <v>1.25</v>
      </c>
      <c r="N93" s="255">
        <f ca="1">IF(ISERROR(OFFSET(Ottone!$A$1,MATCH(J93,Ottone!$A:$A,0)-1,MATCH(L93,Ottone!$A$1:$Z$1,0)-1)=TRUE),0,OFFSET(Ottone!$A$1,MATCH(J93,Ottone!$A:$A,0)-1,MATCH(L93,Ottone!$A$1:$Z$1,0)-1))*IF(G93="Ottone",1,0)</f>
        <v>0</v>
      </c>
      <c r="O93" s="255">
        <f ca="1">IF(ISERROR(OFFSET(Rame!$A$1,MATCH(J93,Rame!$A:$A,0)-1,MATCH(L93,Rame!$A$1:$AA$1,0)-1)=TRUE),0,OFFSET(Rame!$A$1,MATCH(J93,Rame!$A:$A,0)-1,MATCH(L93,Rame!$A$1:$AA$1,0)-1))*IF(G93="Rame",1,0)</f>
        <v>0</v>
      </c>
      <c r="P93" s="255">
        <v>0</v>
      </c>
      <c r="Q93" s="255">
        <f t="shared" ca="1" si="78"/>
        <v>1.25</v>
      </c>
      <c r="R93" s="255">
        <f ca="1">+IF(ISERROR(OFFSET(Tabella!$G$1,MATCH(J93,Tabella!$G:$G,0)-1,MATCH(K93,Tabella!$G$1:$FG$1,0)-1)=TRUE),0,OFFSET(Tabella!$G$1,MATCH(J93,Tabella!$G:$G,0)-1,MATCH(K93,Tabella!$G$1:$AB$1,0)-1))</f>
        <v>0</v>
      </c>
      <c r="S93" s="255">
        <f ca="1">IF(ISERROR(OFFSET(Ottone!$F$1,MATCH(J93,Ottone!$A:$A,0)-1,MATCH(K93,Ottone!$F$1:$FF$1,0)-1)=TRUE),0,OFFSET(Ottone!$F$1,MATCH(J93,Ottone!$A:$A,0)-1,MATCH(K93,Ottone!$F$1:$FF$1,0)-1))*IF(G93="Ottone",1,0)</f>
        <v>0</v>
      </c>
      <c r="T93" s="255">
        <f ca="1">IF(ISERROR(OFFSET(Rame!$F$1,MATCH(J93,Rame!$F:$F,0)-1,MATCH(K93,Rame!$F$1:$FF$1,0)-1)=TRUE),0,OFFSET(Rame!$F$1,MATCH(J93,Rame!$F:$F,0)-1,MATCH(K93,Rame!$F$1:$FF$1,0)-1))*IF(G93="Rame",1,0)</f>
        <v>0</v>
      </c>
      <c r="U93" s="255">
        <f ca="1">IF(ISERROR(OFFSET(Bronzo!$A$1,MATCH(J93,Bronzo!$A:$A,0)-1,MATCH(K93,Bronzo!$A$1:$AA$1,0)-1)=TRUE),0,OFFSET(Bronzo!$A$1,MATCH(J93,Bronzo!$A:$A,0)-1,MATCH(K93,Bronzo!$A$1:$AA$1,0)-1))</f>
        <v>0</v>
      </c>
      <c r="V93" s="255">
        <f t="shared" ca="1" si="74"/>
        <v>0</v>
      </c>
      <c r="W93" s="254"/>
      <c r="X93" s="255">
        <v>0</v>
      </c>
      <c r="Y93" s="256">
        <f t="shared" ca="1" si="75"/>
        <v>1.25</v>
      </c>
      <c r="Z93" s="257">
        <f t="shared" si="76"/>
        <v>147</v>
      </c>
      <c r="AA93" s="253">
        <v>4.4000000000000004</v>
      </c>
      <c r="AB93" s="253">
        <f t="shared" ca="1" si="77"/>
        <v>0.4700000000000002</v>
      </c>
      <c r="AC93" s="258">
        <v>46157</v>
      </c>
      <c r="AH93" s="232">
        <f t="shared" ca="1" si="73"/>
        <v>46120</v>
      </c>
      <c r="AI93" s="232" t="b">
        <f t="shared" ref="AI93:AI156" si="79">ISBLANK(AC93)</f>
        <v>0</v>
      </c>
      <c r="AJ93" s="259">
        <f t="shared" ref="AJ93:AJ100" ca="1" si="80">IF(AI93=FALSE,_xlfn.DAYS(AC93,AH93),"")</f>
        <v>37</v>
      </c>
      <c r="AM93" s="223">
        <f t="shared" ref="AM93:AM156" si="81">WEEKNUM(AC93)</f>
        <v>20</v>
      </c>
      <c r="AN93" s="223">
        <f t="shared" ref="AN93:AN156" si="82">YEAR(AC93)</f>
        <v>2026</v>
      </c>
      <c r="AU93" s="223">
        <f t="shared" ref="AU93:AU156" si="83">IF(AC93="",0,MONTH(AC93))</f>
        <v>5</v>
      </c>
      <c r="AV93" s="223">
        <f t="shared" ref="AV93:AV156" si="84">IF(AC93="",0,YEAR(AC93))</f>
        <v>2026</v>
      </c>
    </row>
    <row r="94" spans="4:48" ht="26.25" x14ac:dyDescent="0.4">
      <c r="D94" s="246" t="s">
        <v>455</v>
      </c>
      <c r="E94" s="252" t="s">
        <v>397</v>
      </c>
      <c r="F94" s="276">
        <v>700</v>
      </c>
      <c r="G94" s="249" t="s">
        <v>4</v>
      </c>
      <c r="H94" s="250">
        <v>2.68</v>
      </c>
      <c r="I94" s="251">
        <v>46048</v>
      </c>
      <c r="J94" s="252" t="s">
        <v>25</v>
      </c>
      <c r="K94" s="252"/>
      <c r="L94" s="253">
        <v>7.0000000000000007E-2</v>
      </c>
      <c r="M94" s="254">
        <f ca="1">IF(ISERROR(OFFSET(Tabella!$A$1,MATCH(J94,Tabella!$A:$A,0)-1,MATCH(L94,Tabella!$A$1:$AC$1,0)-1)=TRUE),0,+OFFSET(Tabella!$A$1,MATCH(J94,Tabella!$A:$A,0)-1,MATCH(L94,Tabella!$A$1:$AC$1,0)-1))</f>
        <v>1.25</v>
      </c>
      <c r="N94" s="255">
        <f ca="1">IF(ISERROR(OFFSET(Ottone!$A$1,MATCH(J94,Ottone!$A:$A,0)-1,MATCH(L94,Ottone!$A$1:$Z$1,0)-1)=TRUE),0,OFFSET(Ottone!$A$1,MATCH(J94,Ottone!$A:$A,0)-1,MATCH(L94,Ottone!$A$1:$Z$1,0)-1))*IF(G94="Ottone",1,0)</f>
        <v>0</v>
      </c>
      <c r="O94" s="255">
        <f ca="1">IF(ISERROR(OFFSET(Rame!$A$1,MATCH(J94,Rame!$A:$A,0)-1,MATCH(L94,Rame!$A$1:$AA$1,0)-1)=TRUE),0,OFFSET(Rame!$A$1,MATCH(J94,Rame!$A:$A,0)-1,MATCH(L94,Rame!$A$1:$AA$1,0)-1))*IF(G94="Rame",1,0)</f>
        <v>0</v>
      </c>
      <c r="P94" s="255">
        <v>0</v>
      </c>
      <c r="Q94" s="255">
        <f t="shared" ca="1" si="78"/>
        <v>1.25</v>
      </c>
      <c r="R94" s="255">
        <f ca="1">+IF(ISERROR(OFFSET(Tabella!$G$1,MATCH(J94,Tabella!$G:$G,0)-1,MATCH(K94,Tabella!$G$1:$FG$1,0)-1)=TRUE),0,OFFSET(Tabella!$G$1,MATCH(J94,Tabella!$G:$G,0)-1,MATCH(K94,Tabella!$G$1:$AB$1,0)-1))</f>
        <v>0</v>
      </c>
      <c r="S94" s="255">
        <f ca="1">IF(ISERROR(OFFSET(Ottone!$F$1,MATCH(J94,Ottone!$A:$A,0)-1,MATCH(K94,Ottone!$F$1:$FF$1,0)-1)=TRUE),0,OFFSET(Ottone!$F$1,MATCH(J94,Ottone!$A:$A,0)-1,MATCH(K94,Ottone!$F$1:$FF$1,0)-1))*IF(G94="Ottone",1,0)</f>
        <v>0</v>
      </c>
      <c r="T94" s="255">
        <f ca="1">IF(ISERROR(OFFSET(Rame!$F$1,MATCH(J94,Rame!$F:$F,0)-1,MATCH(K94,Rame!$F$1:$FF$1,0)-1)=TRUE),0,OFFSET(Rame!$F$1,MATCH(J94,Rame!$F:$F,0)-1,MATCH(K94,Rame!$F$1:$FF$1,0)-1))*IF(G94="Rame",1,0)</f>
        <v>0</v>
      </c>
      <c r="U94" s="255">
        <f ca="1">IF(ISERROR(OFFSET(Bronzo!$A$1,MATCH(J94,Bronzo!$A:$A,0)-1,MATCH(K94,Bronzo!$A$1:$AA$1,0)-1)=TRUE),0,OFFSET(Bronzo!$A$1,MATCH(J94,Bronzo!$A:$A,0)-1,MATCH(K94,Bronzo!$A$1:$AA$1,0)-1))</f>
        <v>0</v>
      </c>
      <c r="V94" s="255">
        <f t="shared" ca="1" si="74"/>
        <v>0</v>
      </c>
      <c r="W94" s="254"/>
      <c r="X94" s="255">
        <v>0</v>
      </c>
      <c r="Y94" s="256">
        <f t="shared" ca="1" si="75"/>
        <v>1.25</v>
      </c>
      <c r="Z94" s="257">
        <f t="shared" si="76"/>
        <v>49.000000000000007</v>
      </c>
      <c r="AA94" s="253">
        <v>4.4000000000000004</v>
      </c>
      <c r="AB94" s="253">
        <f t="shared" ca="1" si="77"/>
        <v>0.4700000000000002</v>
      </c>
      <c r="AC94" s="258">
        <v>46141</v>
      </c>
      <c r="AH94" s="232">
        <f t="shared" ca="1" si="73"/>
        <v>46120</v>
      </c>
      <c r="AI94" s="232" t="b">
        <f t="shared" si="79"/>
        <v>0</v>
      </c>
      <c r="AJ94" s="259">
        <f t="shared" ca="1" si="80"/>
        <v>21</v>
      </c>
      <c r="AM94" s="223">
        <f t="shared" si="81"/>
        <v>18</v>
      </c>
      <c r="AN94" s="223">
        <f t="shared" si="82"/>
        <v>2026</v>
      </c>
      <c r="AU94" s="223">
        <f t="shared" si="83"/>
        <v>4</v>
      </c>
      <c r="AV94" s="223">
        <f t="shared" si="84"/>
        <v>2026</v>
      </c>
    </row>
    <row r="95" spans="4:48" ht="26.25" x14ac:dyDescent="0.4">
      <c r="D95" s="246" t="s">
        <v>449</v>
      </c>
      <c r="E95" s="252" t="s">
        <v>260</v>
      </c>
      <c r="F95" s="276">
        <v>279</v>
      </c>
      <c r="G95" s="249" t="s">
        <v>4</v>
      </c>
      <c r="H95" s="250">
        <v>2.68</v>
      </c>
      <c r="I95" s="251">
        <v>46048</v>
      </c>
      <c r="J95" s="252" t="s">
        <v>19</v>
      </c>
      <c r="K95" s="252"/>
      <c r="L95" s="253">
        <v>0.05</v>
      </c>
      <c r="M95" s="254">
        <f ca="1">IF(ISERROR(OFFSET(Tabella!$A$1,MATCH(J95,Tabella!$A:$A,0)-1,MATCH(L95,Tabella!$A$1:$AC$1,0)-1)=TRUE),0,+OFFSET(Tabella!$A$1,MATCH(J95,Tabella!$A:$A,0)-1,MATCH(L95,Tabella!$A$1:$AC$1,0)-1))</f>
        <v>0</v>
      </c>
      <c r="N95" s="255">
        <f ca="1">IF(ISERROR(OFFSET(Ottone!$A$1,MATCH(J95,Ottone!$A:$A,0)-1,MATCH(L95,Ottone!$A$1:$Z$1,0)-1)=TRUE),0,OFFSET(Ottone!$A$1,MATCH(J95,Ottone!$A:$A,0)-1,MATCH(L95,Ottone!$A$1:$Z$1,0)-1))*IF(G95="Ottone",1,0)</f>
        <v>0</v>
      </c>
      <c r="O95" s="255">
        <f ca="1">IF(ISERROR(OFFSET(Rame!$A$1,MATCH(J95,Rame!$A:$A,0)-1,MATCH(L95,Rame!$A$1:$AA$1,0)-1)=TRUE),0,OFFSET(Rame!$A$1,MATCH(J95,Rame!$A:$A,0)-1,MATCH(L95,Rame!$A$1:$AA$1,0)-1))*IF(G95="Rame",1,0)</f>
        <v>0</v>
      </c>
      <c r="P95" s="255">
        <v>0</v>
      </c>
      <c r="Q95" s="255">
        <v>1.55</v>
      </c>
      <c r="R95" s="255">
        <f ca="1">+IF(ISERROR(OFFSET(Tabella!$G$1,MATCH(J95,Tabella!$G:$G,0)-1,MATCH(K95,Tabella!$G$1:$FG$1,0)-1)=TRUE),0,OFFSET(Tabella!$G$1,MATCH(J95,Tabella!$G:$G,0)-1,MATCH(K95,Tabella!$G$1:$AB$1,0)-1))</f>
        <v>0</v>
      </c>
      <c r="S95" s="255">
        <f ca="1">IF(ISERROR(OFFSET(Ottone!$F$1,MATCH(J95,Ottone!$A:$A,0)-1,MATCH(K95,Ottone!$F$1:$FF$1,0)-1)=TRUE),0,OFFSET(Ottone!$F$1,MATCH(J95,Ottone!$A:$A,0)-1,MATCH(K95,Ottone!$F$1:$FF$1,0)-1))*IF(G95="Ottone",1,0)</f>
        <v>0</v>
      </c>
      <c r="T95" s="255">
        <f ca="1">IF(ISERROR(OFFSET(Rame!$F$1,MATCH(J95,Rame!$F:$F,0)-1,MATCH(K95,Rame!$F$1:$FF$1,0)-1)=TRUE),0,OFFSET(Rame!$F$1,MATCH(J95,Rame!$F:$F,0)-1,MATCH(K95,Rame!$F$1:$FF$1,0)-1))*IF(G95="Rame",1,0)</f>
        <v>0</v>
      </c>
      <c r="U95" s="255">
        <f ca="1">IF(ISERROR(OFFSET(Bronzo!$A$1,MATCH(J95,Bronzo!$A:$A,0)-1,MATCH(K95,Bronzo!$A$1:$AA$1,0)-1)=TRUE),0,OFFSET(Bronzo!$A$1,MATCH(J95,Bronzo!$A:$A,0)-1,MATCH(K95,Bronzo!$A$1:$AA$1,0)-1))</f>
        <v>0</v>
      </c>
      <c r="V95" s="255">
        <f t="shared" ca="1" si="74"/>
        <v>0</v>
      </c>
      <c r="W95" s="254"/>
      <c r="X95" s="255">
        <v>0</v>
      </c>
      <c r="Y95" s="256">
        <f t="shared" ca="1" si="75"/>
        <v>1.55</v>
      </c>
      <c r="Z95" s="257">
        <f t="shared" si="76"/>
        <v>13.950000000000001</v>
      </c>
      <c r="AA95" s="253">
        <v>4</v>
      </c>
      <c r="AB95" s="253">
        <f t="shared" ca="1" si="77"/>
        <v>-0.22999999999999998</v>
      </c>
      <c r="AC95" s="258">
        <v>46176</v>
      </c>
      <c r="AH95" s="232">
        <f t="shared" ca="1" si="73"/>
        <v>46120</v>
      </c>
      <c r="AI95" s="232" t="b">
        <f t="shared" si="79"/>
        <v>0</v>
      </c>
      <c r="AJ95" s="259">
        <f t="shared" ca="1" si="80"/>
        <v>56</v>
      </c>
      <c r="AM95" s="223">
        <f t="shared" si="81"/>
        <v>23</v>
      </c>
      <c r="AN95" s="223">
        <f t="shared" si="82"/>
        <v>2026</v>
      </c>
      <c r="AU95" s="223">
        <f t="shared" si="83"/>
        <v>6</v>
      </c>
      <c r="AV95" s="223">
        <f t="shared" si="84"/>
        <v>2026</v>
      </c>
    </row>
    <row r="96" spans="4:48" ht="26.25" x14ac:dyDescent="0.4">
      <c r="D96" s="246" t="s">
        <v>556</v>
      </c>
      <c r="E96" s="262" t="s">
        <v>260</v>
      </c>
      <c r="F96" s="263">
        <v>750</v>
      </c>
      <c r="G96" s="249" t="s">
        <v>4</v>
      </c>
      <c r="H96" s="250">
        <v>2.68</v>
      </c>
      <c r="I96" s="251">
        <v>46048</v>
      </c>
      <c r="J96" s="252" t="s">
        <v>24</v>
      </c>
      <c r="K96" s="252"/>
      <c r="L96" s="253">
        <v>0.05</v>
      </c>
      <c r="M96" s="254">
        <f ca="1">IF(ISERROR(OFFSET(Tabella!$A$1,MATCH(J96,Tabella!$A:$A,0)-1,MATCH(L96,Tabella!$A$1:$AC$1,0)-1)=TRUE),0,+OFFSET(Tabella!$A$1,MATCH(J96,Tabella!$A:$A,0)-1,MATCH(L96,Tabella!$A$1:$AC$1,0)-1))</f>
        <v>0</v>
      </c>
      <c r="N96" s="255">
        <f ca="1">IF(ISERROR(OFFSET(Ottone!$A$1,MATCH(J96,Ottone!$A:$A,0)-1,MATCH(L96,Ottone!$A$1:$Z$1,0)-1)=TRUE),0,OFFSET(Ottone!$A$1,MATCH(J96,Ottone!$A:$A,0)-1,MATCH(L96,Ottone!$A$1:$Z$1,0)-1))*IF(G96="Ottone",1,0)</f>
        <v>0</v>
      </c>
      <c r="O96" s="255">
        <f ca="1">IF(ISERROR(OFFSET(Rame!$A$1,MATCH(J96,Rame!$A:$A,0)-1,MATCH(L96,Rame!$A$1:$AA$1,0)-1)=TRUE),0,OFFSET(Rame!$A$1,MATCH(J96,Rame!$A:$A,0)-1,MATCH(L96,Rame!$A$1:$AA$1,0)-1))*IF(G96="Rame",1,0)</f>
        <v>0</v>
      </c>
      <c r="P96" s="255">
        <v>0</v>
      </c>
      <c r="Q96" s="255">
        <v>1.5</v>
      </c>
      <c r="R96" s="255">
        <f ca="1">+IF(ISERROR(OFFSET(Tabella!$G$1,MATCH(J96,Tabella!$G:$G,0)-1,MATCH(K96,Tabella!$G$1:$FG$1,0)-1)=TRUE),0,OFFSET(Tabella!$G$1,MATCH(J96,Tabella!$G:$G,0)-1,MATCH(K96,Tabella!$G$1:$AB$1,0)-1))</f>
        <v>0</v>
      </c>
      <c r="S96" s="255">
        <f ca="1">IF(ISERROR(OFFSET(Ottone!$F$1,MATCH(J96,Ottone!$A:$A,0)-1,MATCH(K96,Ottone!$F$1:$FF$1,0)-1)=TRUE),0,OFFSET(Ottone!$F$1,MATCH(J96,Ottone!$A:$A,0)-1,MATCH(K96,Ottone!$F$1:$FF$1,0)-1))*IF(G96="Ottone",1,0)</f>
        <v>0</v>
      </c>
      <c r="T96" s="255">
        <f ca="1">IF(ISERROR(OFFSET(Rame!$F$1,MATCH(J96,Rame!$F:$F,0)-1,MATCH(K96,Rame!$F$1:$FF$1,0)-1)=TRUE),0,OFFSET(Rame!$F$1,MATCH(J96,Rame!$F:$F,0)-1,MATCH(K96,Rame!$F$1:$FF$1,0)-1))*IF(G96="Rame",1,0)</f>
        <v>0</v>
      </c>
      <c r="U96" s="255">
        <f ca="1">IF(ISERROR(OFFSET(Bronzo!$A$1,MATCH(J96,Bronzo!$A:$A,0)-1,MATCH(K96,Bronzo!$A$1:$AA$1,0)-1)=TRUE),0,OFFSET(Bronzo!$A$1,MATCH(J96,Bronzo!$A:$A,0)-1,MATCH(K96,Bronzo!$A$1:$AA$1,0)-1))</f>
        <v>0</v>
      </c>
      <c r="V96" s="255">
        <f t="shared" ca="1" si="74"/>
        <v>0</v>
      </c>
      <c r="W96" s="254"/>
      <c r="X96" s="255">
        <v>0</v>
      </c>
      <c r="Y96" s="256">
        <f t="shared" ca="1" si="75"/>
        <v>1.5</v>
      </c>
      <c r="Z96" s="269">
        <f t="shared" si="76"/>
        <v>37.5</v>
      </c>
      <c r="AA96" s="253">
        <v>4</v>
      </c>
      <c r="AB96" s="253">
        <f t="shared" ca="1" si="77"/>
        <v>-0.18000000000000016</v>
      </c>
      <c r="AC96" s="258"/>
      <c r="AF96" s="223" t="s">
        <v>405</v>
      </c>
      <c r="AH96" s="232">
        <f t="shared" ca="1" si="73"/>
        <v>46120</v>
      </c>
      <c r="AI96" s="232" t="b">
        <f t="shared" si="79"/>
        <v>1</v>
      </c>
      <c r="AJ96" s="259" t="str">
        <f t="shared" si="80"/>
        <v/>
      </c>
      <c r="AM96" s="223">
        <f t="shared" si="81"/>
        <v>0</v>
      </c>
      <c r="AN96" s="223">
        <f t="shared" si="82"/>
        <v>1900</v>
      </c>
      <c r="AU96" s="223">
        <f t="shared" si="83"/>
        <v>0</v>
      </c>
      <c r="AV96" s="223">
        <f t="shared" si="84"/>
        <v>0</v>
      </c>
    </row>
    <row r="97" spans="4:48" ht="26.25" x14ac:dyDescent="0.4">
      <c r="D97" s="246" t="s">
        <v>575</v>
      </c>
      <c r="E97" s="262" t="s">
        <v>260</v>
      </c>
      <c r="F97" s="263">
        <v>507</v>
      </c>
      <c r="G97" s="249" t="s">
        <v>4</v>
      </c>
      <c r="H97" s="250">
        <v>2.68</v>
      </c>
      <c r="I97" s="251">
        <v>46048</v>
      </c>
      <c r="J97" s="252" t="s">
        <v>23</v>
      </c>
      <c r="K97" s="252"/>
      <c r="L97" s="253">
        <v>0.05</v>
      </c>
      <c r="M97" s="254">
        <f ca="1">IF(ISERROR(OFFSET(Tabella!$A$1,MATCH(J97,Tabella!$A:$A,0)-1,MATCH(L97,Tabella!$A$1:$AC$1,0)-1)=TRUE),0,+OFFSET(Tabella!$A$1,MATCH(J97,Tabella!$A:$A,0)-1,MATCH(L97,Tabella!$A$1:$AC$1,0)-1))</f>
        <v>0</v>
      </c>
      <c r="N97" s="255">
        <f ca="1">IF(ISERROR(OFFSET(Ottone!$A$1,MATCH(J97,Ottone!$A:$A,0)-1,MATCH(L97,Ottone!$A$1:$Z$1,0)-1)=TRUE),0,OFFSET(Ottone!$A$1,MATCH(J97,Ottone!$A:$A,0)-1,MATCH(L97,Ottone!$A$1:$Z$1,0)-1))*IF(G97="Ottone",1,0)</f>
        <v>0</v>
      </c>
      <c r="O97" s="255">
        <f ca="1">IF(ISERROR(OFFSET(Rame!$A$1,MATCH(J97,Rame!$A:$A,0)-1,MATCH(L97,Rame!$A$1:$AA$1,0)-1)=TRUE),0,OFFSET(Rame!$A$1,MATCH(J97,Rame!$A:$A,0)-1,MATCH(L97,Rame!$A$1:$AA$1,0)-1))*IF(G97="Rame",1,0)</f>
        <v>0</v>
      </c>
      <c r="P97" s="255">
        <v>0</v>
      </c>
      <c r="Q97" s="255">
        <v>1.5</v>
      </c>
      <c r="R97" s="255">
        <f ca="1">+IF(ISERROR(OFFSET(Tabella!$G$1,MATCH(J97,Tabella!$G:$G,0)-1,MATCH(K97,Tabella!$G$1:$FG$1,0)-1)=TRUE),0,OFFSET(Tabella!$G$1,MATCH(J97,Tabella!$G:$G,0)-1,MATCH(K97,Tabella!$G$1:$AB$1,0)-1))</f>
        <v>0</v>
      </c>
      <c r="S97" s="255">
        <f ca="1">IF(ISERROR(OFFSET(Ottone!$F$1,MATCH(J97,Ottone!$A:$A,0)-1,MATCH(K97,Ottone!$F$1:$FF$1,0)-1)=TRUE),0,OFFSET(Ottone!$F$1,MATCH(J97,Ottone!$A:$A,0)-1,MATCH(K97,Ottone!$F$1:$FF$1,0)-1))*IF(G97="Ottone",1,0)</f>
        <v>0</v>
      </c>
      <c r="T97" s="255">
        <f ca="1">IF(ISERROR(OFFSET(Rame!$F$1,MATCH(J97,Rame!$F:$F,0)-1,MATCH(K97,Rame!$F$1:$FF$1,0)-1)=TRUE),0,OFFSET(Rame!$F$1,MATCH(J97,Rame!$F:$F,0)-1,MATCH(K97,Rame!$F$1:$FF$1,0)-1))*IF(G97="Rame",1,0)</f>
        <v>0</v>
      </c>
      <c r="U97" s="255">
        <f ca="1">IF(ISERROR(OFFSET(Bronzo!$A$1,MATCH(J97,Bronzo!$A:$A,0)-1,MATCH(K97,Bronzo!$A$1:$AA$1,0)-1)=TRUE),0,OFFSET(Bronzo!$A$1,MATCH(J97,Bronzo!$A:$A,0)-1,MATCH(K97,Bronzo!$A$1:$AA$1,0)-1))</f>
        <v>0</v>
      </c>
      <c r="V97" s="255">
        <f t="shared" ca="1" si="74"/>
        <v>0</v>
      </c>
      <c r="W97" s="254"/>
      <c r="X97" s="255">
        <v>0</v>
      </c>
      <c r="Y97" s="256">
        <f t="shared" ca="1" si="75"/>
        <v>1.5</v>
      </c>
      <c r="Z97" s="269">
        <f t="shared" si="76"/>
        <v>25.35</v>
      </c>
      <c r="AA97" s="253">
        <v>4</v>
      </c>
      <c r="AB97" s="253">
        <f t="shared" ca="1" si="77"/>
        <v>-0.18000000000000016</v>
      </c>
      <c r="AC97" s="258"/>
      <c r="AF97" s="223" t="s">
        <v>405</v>
      </c>
      <c r="AH97" s="232">
        <f t="shared" ca="1" si="73"/>
        <v>46120</v>
      </c>
      <c r="AI97" s="232" t="b">
        <f t="shared" si="79"/>
        <v>1</v>
      </c>
      <c r="AJ97" s="259" t="str">
        <f t="shared" si="80"/>
        <v/>
      </c>
      <c r="AM97" s="223">
        <f t="shared" si="81"/>
        <v>0</v>
      </c>
      <c r="AN97" s="223">
        <f t="shared" si="82"/>
        <v>1900</v>
      </c>
      <c r="AU97" s="223">
        <f t="shared" si="83"/>
        <v>0</v>
      </c>
      <c r="AV97" s="223">
        <f t="shared" si="84"/>
        <v>0</v>
      </c>
    </row>
    <row r="98" spans="4:48" ht="26.25" x14ac:dyDescent="0.4">
      <c r="D98" s="246" t="s">
        <v>554</v>
      </c>
      <c r="E98" s="262" t="s">
        <v>260</v>
      </c>
      <c r="F98" s="263">
        <v>1239</v>
      </c>
      <c r="G98" s="249" t="s">
        <v>4</v>
      </c>
      <c r="H98" s="250">
        <v>2.68</v>
      </c>
      <c r="I98" s="251">
        <v>46048</v>
      </c>
      <c r="J98" s="252" t="s">
        <v>326</v>
      </c>
      <c r="K98" s="252"/>
      <c r="L98" s="253">
        <v>0.05</v>
      </c>
      <c r="M98" s="254">
        <f ca="1">IF(ISERROR(OFFSET(Tabella!$A$1,MATCH(J98,Tabella!$A:$A,0)-1,MATCH(L98,Tabella!$A$1:$AC$1,0)-1)=TRUE),0,+OFFSET(Tabella!$A$1,MATCH(J98,Tabella!$A:$A,0)-1,MATCH(L98,Tabella!$A$1:$AC$1,0)-1))</f>
        <v>0</v>
      </c>
      <c r="N98" s="255">
        <f ca="1">IF(ISERROR(OFFSET(Ottone!$A$1,MATCH(J98,Ottone!$A:$A,0)-1,MATCH(L98,Ottone!$A$1:$Z$1,0)-1)=TRUE),0,OFFSET(Ottone!$A$1,MATCH(J98,Ottone!$A:$A,0)-1,MATCH(L98,Ottone!$A$1:$Z$1,0)-1))*IF(G98="Ottone",1,0)</f>
        <v>0</v>
      </c>
      <c r="O98" s="255">
        <f ca="1">IF(ISERROR(OFFSET(Rame!$A$1,MATCH(J98,Rame!$A:$A,0)-1,MATCH(L98,Rame!$A$1:$AA$1,0)-1)=TRUE),0,OFFSET(Rame!$A$1,MATCH(J98,Rame!$A:$A,0)-1,MATCH(L98,Rame!$A$1:$AA$1,0)-1))*IF(G98="Rame",1,0)</f>
        <v>0</v>
      </c>
      <c r="P98" s="255">
        <v>0</v>
      </c>
      <c r="Q98" s="255">
        <v>1.5</v>
      </c>
      <c r="R98" s="255">
        <f ca="1">+IF(ISERROR(OFFSET(Tabella!$G$1,MATCH(J98,Tabella!$G:$G,0)-1,MATCH(K98,Tabella!$G$1:$FG$1,0)-1)=TRUE),0,OFFSET(Tabella!$G$1,MATCH(J98,Tabella!$G:$G,0)-1,MATCH(K98,Tabella!$G$1:$AB$1,0)-1))</f>
        <v>0</v>
      </c>
      <c r="S98" s="255">
        <f ca="1">IF(ISERROR(OFFSET(Ottone!$F$1,MATCH(J98,Ottone!$A:$A,0)-1,MATCH(K98,Ottone!$F$1:$FF$1,0)-1)=TRUE),0,OFFSET(Ottone!$F$1,MATCH(J98,Ottone!$A:$A,0)-1,MATCH(K98,Ottone!$F$1:$FF$1,0)-1))*IF(G98="Ottone",1,0)</f>
        <v>0</v>
      </c>
      <c r="T98" s="255">
        <f ca="1">IF(ISERROR(OFFSET(Rame!$F$1,MATCH(J98,Rame!$F:$F,0)-1,MATCH(K98,Rame!$F$1:$FF$1,0)-1)=TRUE),0,OFFSET(Rame!$F$1,MATCH(J98,Rame!$F:$F,0)-1,MATCH(K98,Rame!$F$1:$FF$1,0)-1))*IF(G98="Rame",1,0)</f>
        <v>0</v>
      </c>
      <c r="U98" s="255">
        <f ca="1">IF(ISERROR(OFFSET(Bronzo!$A$1,MATCH(J98,Bronzo!$A:$A,0)-1,MATCH(K98,Bronzo!$A$1:$AA$1,0)-1)=TRUE),0,OFFSET(Bronzo!$A$1,MATCH(J98,Bronzo!$A:$A,0)-1,MATCH(K98,Bronzo!$A$1:$AA$1,0)-1))</f>
        <v>0</v>
      </c>
      <c r="V98" s="255">
        <f t="shared" ca="1" si="74"/>
        <v>0</v>
      </c>
      <c r="W98" s="254"/>
      <c r="X98" s="255">
        <v>0</v>
      </c>
      <c r="Y98" s="256">
        <f t="shared" ca="1" si="75"/>
        <v>1.5</v>
      </c>
      <c r="Z98" s="269">
        <f t="shared" si="76"/>
        <v>61.95</v>
      </c>
      <c r="AA98" s="253">
        <v>4</v>
      </c>
      <c r="AB98" s="253">
        <f t="shared" ca="1" si="77"/>
        <v>-0.18000000000000016</v>
      </c>
      <c r="AC98" s="258"/>
      <c r="AF98" s="223" t="s">
        <v>405</v>
      </c>
      <c r="AG98" s="223" t="s">
        <v>555</v>
      </c>
      <c r="AH98" s="232">
        <f t="shared" ca="1" si="73"/>
        <v>46120</v>
      </c>
      <c r="AI98" s="232" t="b">
        <f t="shared" si="79"/>
        <v>1</v>
      </c>
      <c r="AJ98" s="259" t="str">
        <f t="shared" si="80"/>
        <v/>
      </c>
      <c r="AM98" s="223">
        <f t="shared" si="81"/>
        <v>0</v>
      </c>
      <c r="AN98" s="223">
        <f t="shared" si="82"/>
        <v>1900</v>
      </c>
      <c r="AU98" s="223">
        <f t="shared" si="83"/>
        <v>0</v>
      </c>
      <c r="AV98" s="223">
        <f t="shared" si="84"/>
        <v>0</v>
      </c>
    </row>
    <row r="99" spans="4:48" ht="26.25" x14ac:dyDescent="0.4">
      <c r="D99" s="246" t="s">
        <v>576</v>
      </c>
      <c r="E99" s="262" t="s">
        <v>260</v>
      </c>
      <c r="F99" s="263">
        <v>507</v>
      </c>
      <c r="G99" s="249" t="s">
        <v>4</v>
      </c>
      <c r="H99" s="250">
        <v>2.68</v>
      </c>
      <c r="I99" s="251">
        <v>46048</v>
      </c>
      <c r="J99" s="252" t="s">
        <v>23</v>
      </c>
      <c r="K99" s="252"/>
      <c r="L99" s="253">
        <v>0.05</v>
      </c>
      <c r="M99" s="254">
        <f ca="1">IF(ISERROR(OFFSET(Tabella!$A$1,MATCH(J99,Tabella!$A:$A,0)-1,MATCH(L99,Tabella!$A$1:$AC$1,0)-1)=TRUE),0,+OFFSET(Tabella!$A$1,MATCH(J99,Tabella!$A:$A,0)-1,MATCH(L99,Tabella!$A$1:$AC$1,0)-1))</f>
        <v>0</v>
      </c>
      <c r="N99" s="255">
        <f ca="1">IF(ISERROR(OFFSET(Ottone!$A$1,MATCH(J99,Ottone!$A:$A,0)-1,MATCH(L99,Ottone!$A$1:$Z$1,0)-1)=TRUE),0,OFFSET(Ottone!$A$1,MATCH(J99,Ottone!$A:$A,0)-1,MATCH(L99,Ottone!$A$1:$Z$1,0)-1))*IF(G99="Ottone",1,0)</f>
        <v>0</v>
      </c>
      <c r="O99" s="255">
        <f ca="1">IF(ISERROR(OFFSET(Rame!$A$1,MATCH(J99,Rame!$A:$A,0)-1,MATCH(L99,Rame!$A$1:$AA$1,0)-1)=TRUE),0,OFFSET(Rame!$A$1,MATCH(J99,Rame!$A:$A,0)-1,MATCH(L99,Rame!$A$1:$AA$1,0)-1))*IF(G99="Rame",1,0)</f>
        <v>0</v>
      </c>
      <c r="P99" s="255">
        <v>0</v>
      </c>
      <c r="Q99" s="255">
        <v>1.5</v>
      </c>
      <c r="R99" s="255">
        <f ca="1">+IF(ISERROR(OFFSET(Tabella!$G$1,MATCH(J99,Tabella!$G:$G,0)-1,MATCH(K99,Tabella!$G$1:$FG$1,0)-1)=TRUE),0,OFFSET(Tabella!$G$1,MATCH(J99,Tabella!$G:$G,0)-1,MATCH(K99,Tabella!$G$1:$AB$1,0)-1))</f>
        <v>0</v>
      </c>
      <c r="S99" s="255">
        <f ca="1">IF(ISERROR(OFFSET(Ottone!$F$1,MATCH(J99,Ottone!$A:$A,0)-1,MATCH(K99,Ottone!$F$1:$FF$1,0)-1)=TRUE),0,OFFSET(Ottone!$F$1,MATCH(J99,Ottone!$A:$A,0)-1,MATCH(K99,Ottone!$F$1:$FF$1,0)-1))*IF(G99="Ottone",1,0)</f>
        <v>0</v>
      </c>
      <c r="T99" s="255">
        <f ca="1">IF(ISERROR(OFFSET(Rame!$F$1,MATCH(J99,Rame!$F:$F,0)-1,MATCH(K99,Rame!$F$1:$FF$1,0)-1)=TRUE),0,OFFSET(Rame!$F$1,MATCH(J99,Rame!$F:$F,0)-1,MATCH(K99,Rame!$F$1:$FF$1,0)-1))*IF(G99="Rame",1,0)</f>
        <v>0</v>
      </c>
      <c r="U99" s="255">
        <f ca="1">IF(ISERROR(OFFSET(Bronzo!$A$1,MATCH(J99,Bronzo!$A:$A,0)-1,MATCH(K99,Bronzo!$A$1:$AA$1,0)-1)=TRUE),0,OFFSET(Bronzo!$A$1,MATCH(J99,Bronzo!$A:$A,0)-1,MATCH(K99,Bronzo!$A$1:$AA$1,0)-1))</f>
        <v>0</v>
      </c>
      <c r="V99" s="255">
        <f t="shared" ca="1" si="74"/>
        <v>0</v>
      </c>
      <c r="W99" s="254"/>
      <c r="X99" s="255">
        <v>0</v>
      </c>
      <c r="Y99" s="256">
        <f t="shared" ca="1" si="75"/>
        <v>1.5</v>
      </c>
      <c r="Z99" s="269">
        <f t="shared" si="76"/>
        <v>25.35</v>
      </c>
      <c r="AA99" s="253">
        <v>4</v>
      </c>
      <c r="AB99" s="253">
        <f t="shared" ca="1" si="77"/>
        <v>-0.18000000000000016</v>
      </c>
      <c r="AC99" s="258"/>
      <c r="AF99" s="223" t="s">
        <v>405</v>
      </c>
      <c r="AH99" s="232">
        <f t="shared" ca="1" si="73"/>
        <v>46120</v>
      </c>
      <c r="AI99" s="232" t="b">
        <f t="shared" si="79"/>
        <v>1</v>
      </c>
      <c r="AJ99" s="259" t="str">
        <f t="shared" si="80"/>
        <v/>
      </c>
      <c r="AM99" s="223">
        <f t="shared" si="81"/>
        <v>0</v>
      </c>
      <c r="AN99" s="223">
        <f t="shared" si="82"/>
        <v>1900</v>
      </c>
      <c r="AU99" s="223">
        <f t="shared" si="83"/>
        <v>0</v>
      </c>
      <c r="AV99" s="223">
        <f t="shared" si="84"/>
        <v>0</v>
      </c>
    </row>
    <row r="100" spans="4:48" ht="26.25" x14ac:dyDescent="0.4">
      <c r="D100" s="246" t="s">
        <v>453</v>
      </c>
      <c r="E100" s="252" t="s">
        <v>397</v>
      </c>
      <c r="F100" s="276">
        <v>1000</v>
      </c>
      <c r="G100" s="249" t="s">
        <v>4</v>
      </c>
      <c r="H100" s="250">
        <v>2.68</v>
      </c>
      <c r="I100" s="251">
        <v>46048</v>
      </c>
      <c r="J100" s="252" t="s">
        <v>28</v>
      </c>
      <c r="K100" s="252"/>
      <c r="L100" s="253">
        <v>7.0000000000000007E-2</v>
      </c>
      <c r="M100" s="254">
        <f ca="1">IF(ISERROR(OFFSET(Tabella!$A$1,MATCH(J100,Tabella!$A:$A,0)-1,MATCH(L100,Tabella!$A$1:$AC$1,0)-1)=TRUE),0,+OFFSET(Tabella!$A$1,MATCH(J100,Tabella!$A:$A,0)-1,MATCH(L100,Tabella!$A$1:$AC$1,0)-1))</f>
        <v>1.25</v>
      </c>
      <c r="N100" s="255">
        <f ca="1">IF(ISERROR(OFFSET(Ottone!$A$1,MATCH(J100,Ottone!$A:$A,0)-1,MATCH(L100,Ottone!$A$1:$Z$1,0)-1)=TRUE),0,OFFSET(Ottone!$A$1,MATCH(J100,Ottone!$A:$A,0)-1,MATCH(L100,Ottone!$A$1:$Z$1,0)-1))*IF(G100="Ottone",1,0)</f>
        <v>0</v>
      </c>
      <c r="O100" s="255">
        <f ca="1">IF(ISERROR(OFFSET(Rame!$A$1,MATCH(J100,Rame!$A:$A,0)-1,MATCH(L100,Rame!$A$1:$AA$1,0)-1)=TRUE),0,OFFSET(Rame!$A$1,MATCH(J100,Rame!$A:$A,0)-1,MATCH(L100,Rame!$A$1:$AA$1,0)-1))*IF(G100="Rame",1,0)</f>
        <v>0</v>
      </c>
      <c r="P100" s="255">
        <v>0</v>
      </c>
      <c r="Q100" s="255">
        <f t="shared" ca="1" si="78"/>
        <v>1.25</v>
      </c>
      <c r="R100" s="255">
        <f ca="1">+IF(ISERROR(OFFSET(Tabella!$G$1,MATCH(J100,Tabella!$G:$G,0)-1,MATCH(K100,Tabella!$G$1:$FG$1,0)-1)=TRUE),0,OFFSET(Tabella!$G$1,MATCH(J100,Tabella!$G:$G,0)-1,MATCH(K100,Tabella!$G$1:$AB$1,0)-1))</f>
        <v>0</v>
      </c>
      <c r="S100" s="255">
        <f ca="1">IF(ISERROR(OFFSET(Ottone!$F$1,MATCH(J100,Ottone!$A:$A,0)-1,MATCH(K100,Ottone!$F$1:$FF$1,0)-1)=TRUE),0,OFFSET(Ottone!$F$1,MATCH(J100,Ottone!$A:$A,0)-1,MATCH(K100,Ottone!$F$1:$FF$1,0)-1))*IF(G100="Ottone",1,0)</f>
        <v>0</v>
      </c>
      <c r="T100" s="255">
        <f ca="1">IF(ISERROR(OFFSET(Rame!$F$1,MATCH(J100,Rame!$F:$F,0)-1,MATCH(K100,Rame!$F$1:$FF$1,0)-1)=TRUE),0,OFFSET(Rame!$F$1,MATCH(J100,Rame!$F:$F,0)-1,MATCH(K100,Rame!$F$1:$FF$1,0)-1))*IF(G100="Rame",1,0)</f>
        <v>0</v>
      </c>
      <c r="U100" s="255">
        <f ca="1">IF(ISERROR(OFFSET(Bronzo!$A$1,MATCH(J100,Bronzo!$A:$A,0)-1,MATCH(K100,Bronzo!$A$1:$AA$1,0)-1)=TRUE),0,OFFSET(Bronzo!$A$1,MATCH(J100,Bronzo!$A:$A,0)-1,MATCH(K100,Bronzo!$A$1:$AA$1,0)-1))</f>
        <v>0</v>
      </c>
      <c r="V100" s="255">
        <f t="shared" ca="1" si="74"/>
        <v>0</v>
      </c>
      <c r="W100" s="254"/>
      <c r="X100" s="255">
        <v>0</v>
      </c>
      <c r="Y100" s="256">
        <f t="shared" ca="1" si="75"/>
        <v>1.25</v>
      </c>
      <c r="Z100" s="257">
        <f t="shared" si="76"/>
        <v>70</v>
      </c>
      <c r="AA100" s="253">
        <v>4.4000000000000004</v>
      </c>
      <c r="AB100" s="253">
        <f t="shared" ca="1" si="77"/>
        <v>0.4700000000000002</v>
      </c>
      <c r="AC100" s="258">
        <v>46238</v>
      </c>
      <c r="AH100" s="232">
        <f t="shared" ca="1" si="73"/>
        <v>46120</v>
      </c>
      <c r="AI100" s="232" t="b">
        <f t="shared" si="79"/>
        <v>0</v>
      </c>
      <c r="AJ100" s="259">
        <f t="shared" ca="1" si="80"/>
        <v>118</v>
      </c>
      <c r="AM100" s="223">
        <f t="shared" si="81"/>
        <v>32</v>
      </c>
      <c r="AN100" s="223">
        <f t="shared" si="82"/>
        <v>2026</v>
      </c>
      <c r="AU100" s="223">
        <f t="shared" si="83"/>
        <v>8</v>
      </c>
      <c r="AV100" s="223">
        <f t="shared" si="84"/>
        <v>2026</v>
      </c>
    </row>
    <row r="101" spans="4:48" ht="26.25" x14ac:dyDescent="0.4">
      <c r="D101" s="246" t="s">
        <v>453</v>
      </c>
      <c r="E101" s="252" t="s">
        <v>397</v>
      </c>
      <c r="F101" s="276">
        <v>300</v>
      </c>
      <c r="G101" s="249" t="s">
        <v>4</v>
      </c>
      <c r="H101" s="250">
        <v>2.62</v>
      </c>
      <c r="I101" s="251">
        <v>46048</v>
      </c>
      <c r="J101" s="252" t="s">
        <v>19</v>
      </c>
      <c r="K101" s="252"/>
      <c r="L101" s="253">
        <v>7.0000000000000007E-2</v>
      </c>
      <c r="M101" s="254"/>
      <c r="N101" s="255"/>
      <c r="O101" s="255"/>
      <c r="P101" s="255"/>
      <c r="Q101" s="255">
        <v>1.55</v>
      </c>
      <c r="R101" s="255"/>
      <c r="S101" s="255"/>
      <c r="T101" s="255"/>
      <c r="U101" s="255"/>
      <c r="V101" s="255"/>
      <c r="W101" s="254"/>
      <c r="X101" s="255"/>
      <c r="Y101" s="256">
        <v>1.55</v>
      </c>
      <c r="Z101" s="257">
        <f t="shared" si="76"/>
        <v>21.000000000000004</v>
      </c>
      <c r="AA101" s="253">
        <v>4.3899999999999997</v>
      </c>
      <c r="AB101" s="253"/>
      <c r="AC101" s="258">
        <v>46238</v>
      </c>
      <c r="AI101" s="232" t="b">
        <f t="shared" si="79"/>
        <v>0</v>
      </c>
      <c r="AJ101" s="259"/>
      <c r="AM101" s="223">
        <f t="shared" si="81"/>
        <v>32</v>
      </c>
      <c r="AN101" s="223">
        <f t="shared" si="82"/>
        <v>2026</v>
      </c>
      <c r="AU101" s="223">
        <f t="shared" si="83"/>
        <v>8</v>
      </c>
      <c r="AV101" s="223">
        <f t="shared" si="84"/>
        <v>2026</v>
      </c>
    </row>
    <row r="102" spans="4:48" ht="26.25" x14ac:dyDescent="0.4">
      <c r="D102" s="246" t="s">
        <v>456</v>
      </c>
      <c r="E102" s="252" t="s">
        <v>397</v>
      </c>
      <c r="F102" s="276">
        <v>1000</v>
      </c>
      <c r="G102" s="249" t="s">
        <v>4</v>
      </c>
      <c r="H102" s="250">
        <v>2.68</v>
      </c>
      <c r="I102" s="251">
        <v>46048</v>
      </c>
      <c r="J102" s="252" t="s">
        <v>28</v>
      </c>
      <c r="K102" s="252"/>
      <c r="L102" s="253">
        <v>7.0000000000000007E-2</v>
      </c>
      <c r="M102" s="254">
        <f ca="1">IF(ISERROR(OFFSET(Tabella!$A$1,MATCH(J102,Tabella!$A:$A,0)-1,MATCH(L102,Tabella!$A$1:$AC$1,0)-1)=TRUE),0,+OFFSET(Tabella!$A$1,MATCH(J102,Tabella!$A:$A,0)-1,MATCH(L102,Tabella!$A$1:$AC$1,0)-1))</f>
        <v>1.25</v>
      </c>
      <c r="N102" s="255">
        <f ca="1">IF(ISERROR(OFFSET(Ottone!$A$1,MATCH(J102,Ottone!$A:$A,0)-1,MATCH(L102,Ottone!$A$1:$Z$1,0)-1)=TRUE),0,OFFSET(Ottone!$A$1,MATCH(J102,Ottone!$A:$A,0)-1,MATCH(L102,Ottone!$A$1:$Z$1,0)-1))*IF(G102="Ottone",1,0)</f>
        <v>0</v>
      </c>
      <c r="O102" s="255">
        <f ca="1">IF(ISERROR(OFFSET(Rame!$A$1,MATCH(J102,Rame!$A:$A,0)-1,MATCH(L102,Rame!$A$1:$AA$1,0)-1)=TRUE),0,OFFSET(Rame!$A$1,MATCH(J102,Rame!$A:$A,0)-1,MATCH(L102,Rame!$A$1:$AA$1,0)-1))*IF(G102="Rame",1,0)</f>
        <v>0</v>
      </c>
      <c r="P102" s="255">
        <v>0</v>
      </c>
      <c r="Q102" s="255">
        <f t="shared" ca="1" si="78"/>
        <v>1.25</v>
      </c>
      <c r="R102" s="255">
        <f ca="1">+IF(ISERROR(OFFSET(Tabella!$G$1,MATCH(J102,Tabella!$G:$G,0)-1,MATCH(K102,Tabella!$G$1:$FG$1,0)-1)=TRUE),0,OFFSET(Tabella!$G$1,MATCH(J102,Tabella!$G:$G,0)-1,MATCH(K102,Tabella!$G$1:$AB$1,0)-1))</f>
        <v>0</v>
      </c>
      <c r="S102" s="255">
        <f ca="1">IF(ISERROR(OFFSET(Ottone!$F$1,MATCH(J102,Ottone!$A:$A,0)-1,MATCH(K102,Ottone!$F$1:$FF$1,0)-1)=TRUE),0,OFFSET(Ottone!$F$1,MATCH(J102,Ottone!$A:$A,0)-1,MATCH(K102,Ottone!$F$1:$FF$1,0)-1))*IF(G102="Ottone",1,0)</f>
        <v>0</v>
      </c>
      <c r="T102" s="255">
        <f ca="1">IF(ISERROR(OFFSET(Rame!$F$1,MATCH(J102,Rame!$F:$F,0)-1,MATCH(K102,Rame!$F$1:$FF$1,0)-1)=TRUE),0,OFFSET(Rame!$F$1,MATCH(J102,Rame!$F:$F,0)-1,MATCH(K102,Rame!$F$1:$FF$1,0)-1))*IF(G102="Rame",1,0)</f>
        <v>0</v>
      </c>
      <c r="U102" s="255">
        <f ca="1">IF(ISERROR(OFFSET(Bronzo!$A$1,MATCH(J102,Bronzo!$A:$A,0)-1,MATCH(K102,Bronzo!$A$1:$AA$1,0)-1)=TRUE),0,OFFSET(Bronzo!$A$1,MATCH(J102,Bronzo!$A:$A,0)-1,MATCH(K102,Bronzo!$A$1:$AA$1,0)-1))</f>
        <v>0</v>
      </c>
      <c r="V102" s="255">
        <f t="shared" ca="1" si="74"/>
        <v>0</v>
      </c>
      <c r="W102" s="254"/>
      <c r="X102" s="255">
        <v>0</v>
      </c>
      <c r="Y102" s="256">
        <f t="shared" ca="1" si="75"/>
        <v>1.25</v>
      </c>
      <c r="Z102" s="257">
        <f t="shared" si="76"/>
        <v>70</v>
      </c>
      <c r="AA102" s="253">
        <v>4.4000000000000004</v>
      </c>
      <c r="AB102" s="253">
        <f t="shared" ca="1" si="77"/>
        <v>0.4700000000000002</v>
      </c>
      <c r="AC102" s="258">
        <v>46304</v>
      </c>
      <c r="AH102" s="232">
        <f t="shared" ca="1" si="73"/>
        <v>46120</v>
      </c>
      <c r="AI102" s="232" t="b">
        <f t="shared" si="79"/>
        <v>0</v>
      </c>
      <c r="AJ102" s="259">
        <f t="shared" ref="AJ102:AJ127" ca="1" si="85">IF(AI102=FALSE,_xlfn.DAYS(AC102,AH102),"")</f>
        <v>184</v>
      </c>
      <c r="AM102" s="223">
        <f t="shared" si="81"/>
        <v>41</v>
      </c>
      <c r="AN102" s="223">
        <f t="shared" si="82"/>
        <v>2026</v>
      </c>
      <c r="AU102" s="223">
        <f t="shared" si="83"/>
        <v>10</v>
      </c>
      <c r="AV102" s="223">
        <f t="shared" si="84"/>
        <v>2026</v>
      </c>
    </row>
    <row r="103" spans="4:48" ht="26.25" x14ac:dyDescent="0.4">
      <c r="D103" s="246" t="s">
        <v>457</v>
      </c>
      <c r="E103" s="252" t="s">
        <v>397</v>
      </c>
      <c r="F103" s="276">
        <v>1000</v>
      </c>
      <c r="G103" s="249" t="s">
        <v>4</v>
      </c>
      <c r="H103" s="250">
        <v>2.68</v>
      </c>
      <c r="I103" s="251">
        <v>46048</v>
      </c>
      <c r="J103" s="252" t="s">
        <v>28</v>
      </c>
      <c r="K103" s="252"/>
      <c r="L103" s="253">
        <v>7.0000000000000007E-2</v>
      </c>
      <c r="M103" s="254">
        <f ca="1">IF(ISERROR(OFFSET(Tabella!$A$1,MATCH(J103,Tabella!$A:$A,0)-1,MATCH(L103,Tabella!$A$1:$AC$1,0)-1)=TRUE),0,+OFFSET(Tabella!$A$1,MATCH(J103,Tabella!$A:$A,0)-1,MATCH(L103,Tabella!$A$1:$AC$1,0)-1))</f>
        <v>1.25</v>
      </c>
      <c r="N103" s="255">
        <f ca="1">IF(ISERROR(OFFSET(Ottone!$A$1,MATCH(J103,Ottone!$A:$A,0)-1,MATCH(L103,Ottone!$A$1:$Z$1,0)-1)=TRUE),0,OFFSET(Ottone!$A$1,MATCH(J103,Ottone!$A:$A,0)-1,MATCH(L103,Ottone!$A$1:$Z$1,0)-1))*IF(G103="Ottone",1,0)</f>
        <v>0</v>
      </c>
      <c r="O103" s="255">
        <f ca="1">IF(ISERROR(OFFSET(Rame!$A$1,MATCH(J103,Rame!$A:$A,0)-1,MATCH(L103,Rame!$A$1:$AA$1,0)-1)=TRUE),0,OFFSET(Rame!$A$1,MATCH(J103,Rame!$A:$A,0)-1,MATCH(L103,Rame!$A$1:$AA$1,0)-1))*IF(G103="Rame",1,0)</f>
        <v>0</v>
      </c>
      <c r="P103" s="255">
        <v>0</v>
      </c>
      <c r="Q103" s="255">
        <f t="shared" ca="1" si="78"/>
        <v>1.25</v>
      </c>
      <c r="R103" s="255">
        <f ca="1">+IF(ISERROR(OFFSET(Tabella!$G$1,MATCH(J103,Tabella!$G:$G,0)-1,MATCH(K103,Tabella!$G$1:$FG$1,0)-1)=TRUE),0,OFFSET(Tabella!$G$1,MATCH(J103,Tabella!$G:$G,0)-1,MATCH(K103,Tabella!$G$1:$AB$1,0)-1))</f>
        <v>0</v>
      </c>
      <c r="S103" s="255">
        <f ca="1">IF(ISERROR(OFFSET(Ottone!$F$1,MATCH(J103,Ottone!$A:$A,0)-1,MATCH(K103,Ottone!$F$1:$FF$1,0)-1)=TRUE),0,OFFSET(Ottone!$F$1,MATCH(J103,Ottone!$A:$A,0)-1,MATCH(K103,Ottone!$F$1:$FF$1,0)-1))*IF(G103="Ottone",1,0)</f>
        <v>0</v>
      </c>
      <c r="T103" s="255">
        <f ca="1">IF(ISERROR(OFFSET(Rame!$F$1,MATCH(J103,Rame!$F:$F,0)-1,MATCH(K103,Rame!$F$1:$FF$1,0)-1)=TRUE),0,OFFSET(Rame!$F$1,MATCH(J103,Rame!$F:$F,0)-1,MATCH(K103,Rame!$F$1:$FF$1,0)-1))*IF(G103="Rame",1,0)</f>
        <v>0</v>
      </c>
      <c r="U103" s="255">
        <f ca="1">IF(ISERROR(OFFSET(Bronzo!$A$1,MATCH(J103,Bronzo!$A:$A,0)-1,MATCH(K103,Bronzo!$A$1:$AA$1,0)-1)=TRUE),0,OFFSET(Bronzo!$A$1,MATCH(J103,Bronzo!$A:$A,0)-1,MATCH(K103,Bronzo!$A$1:$AA$1,0)-1))</f>
        <v>0</v>
      </c>
      <c r="V103" s="255">
        <f t="shared" ca="1" si="74"/>
        <v>0</v>
      </c>
      <c r="W103" s="254"/>
      <c r="X103" s="255">
        <v>0</v>
      </c>
      <c r="Y103" s="256">
        <f t="shared" ca="1" si="75"/>
        <v>1.25</v>
      </c>
      <c r="Z103" s="257">
        <f t="shared" si="76"/>
        <v>70</v>
      </c>
      <c r="AA103" s="253">
        <v>4.4000000000000004</v>
      </c>
      <c r="AB103" s="253">
        <f t="shared" ca="1" si="77"/>
        <v>0.4700000000000002</v>
      </c>
      <c r="AC103" s="258">
        <v>46269</v>
      </c>
      <c r="AH103" s="232">
        <f t="shared" ca="1" si="73"/>
        <v>46120</v>
      </c>
      <c r="AI103" s="232" t="b">
        <f t="shared" si="79"/>
        <v>0</v>
      </c>
      <c r="AJ103" s="259">
        <f t="shared" ca="1" si="85"/>
        <v>149</v>
      </c>
      <c r="AM103" s="223">
        <f t="shared" si="81"/>
        <v>36</v>
      </c>
      <c r="AN103" s="223">
        <f t="shared" si="82"/>
        <v>2026</v>
      </c>
      <c r="AU103" s="223">
        <f t="shared" si="83"/>
        <v>9</v>
      </c>
      <c r="AV103" s="223">
        <f t="shared" si="84"/>
        <v>2026</v>
      </c>
    </row>
    <row r="104" spans="4:48" ht="26.25" x14ac:dyDescent="0.4">
      <c r="D104" s="246" t="s">
        <v>458</v>
      </c>
      <c r="E104" s="252" t="s">
        <v>397</v>
      </c>
      <c r="F104" s="276">
        <v>1000</v>
      </c>
      <c r="G104" s="249" t="s">
        <v>4</v>
      </c>
      <c r="H104" s="250">
        <v>2.68</v>
      </c>
      <c r="I104" s="251">
        <v>46048</v>
      </c>
      <c r="J104" s="252" t="s">
        <v>28</v>
      </c>
      <c r="K104" s="252"/>
      <c r="L104" s="253">
        <v>7.0000000000000007E-2</v>
      </c>
      <c r="M104" s="254">
        <f ca="1">IF(ISERROR(OFFSET(Tabella!$A$1,MATCH(J104,Tabella!$A:$A,0)-1,MATCH(L104,Tabella!$A$1:$AC$1,0)-1)=TRUE),0,+OFFSET(Tabella!$A$1,MATCH(J104,Tabella!$A:$A,0)-1,MATCH(L104,Tabella!$A$1:$AC$1,0)-1))</f>
        <v>1.25</v>
      </c>
      <c r="N104" s="255">
        <f ca="1">IF(ISERROR(OFFSET(Ottone!$A$1,MATCH(J104,Ottone!$A:$A,0)-1,MATCH(L104,Ottone!$A$1:$Z$1,0)-1)=TRUE),0,OFFSET(Ottone!$A$1,MATCH(J104,Ottone!$A:$A,0)-1,MATCH(L104,Ottone!$A$1:$Z$1,0)-1))*IF(G104="Ottone",1,0)</f>
        <v>0</v>
      </c>
      <c r="O104" s="255">
        <f ca="1">IF(ISERROR(OFFSET(Rame!$A$1,MATCH(J104,Rame!$A:$A,0)-1,MATCH(L104,Rame!$A$1:$AA$1,0)-1)=TRUE),0,OFFSET(Rame!$A$1,MATCH(J104,Rame!$A:$A,0)-1,MATCH(L104,Rame!$A$1:$AA$1,0)-1))*IF(G104="Rame",1,0)</f>
        <v>0</v>
      </c>
      <c r="P104" s="255">
        <v>0</v>
      </c>
      <c r="Q104" s="255">
        <f t="shared" ca="1" si="78"/>
        <v>1.25</v>
      </c>
      <c r="R104" s="255">
        <f ca="1">+IF(ISERROR(OFFSET(Tabella!$G$1,MATCH(J104,Tabella!$G:$G,0)-1,MATCH(K104,Tabella!$G$1:$FG$1,0)-1)=TRUE),0,OFFSET(Tabella!$G$1,MATCH(J104,Tabella!$G:$G,0)-1,MATCH(K104,Tabella!$G$1:$AB$1,0)-1))</f>
        <v>0</v>
      </c>
      <c r="S104" s="255">
        <f ca="1">IF(ISERROR(OFFSET(Ottone!$F$1,MATCH(J104,Ottone!$A:$A,0)-1,MATCH(K104,Ottone!$F$1:$FF$1,0)-1)=TRUE),0,OFFSET(Ottone!$F$1,MATCH(J104,Ottone!$A:$A,0)-1,MATCH(K104,Ottone!$F$1:$FF$1,0)-1))*IF(G104="Ottone",1,0)</f>
        <v>0</v>
      </c>
      <c r="T104" s="255">
        <f ca="1">IF(ISERROR(OFFSET(Rame!$F$1,MATCH(J104,Rame!$F:$F,0)-1,MATCH(K104,Rame!$F$1:$FF$1,0)-1)=TRUE),0,OFFSET(Rame!$F$1,MATCH(J104,Rame!$F:$F,0)-1,MATCH(K104,Rame!$F$1:$FF$1,0)-1))*IF(G104="Rame",1,0)</f>
        <v>0</v>
      </c>
      <c r="U104" s="255">
        <f ca="1">IF(ISERROR(OFFSET(Bronzo!$A$1,MATCH(J104,Bronzo!$A:$A,0)-1,MATCH(K104,Bronzo!$A$1:$AA$1,0)-1)=TRUE),0,OFFSET(Bronzo!$A$1,MATCH(J104,Bronzo!$A:$A,0)-1,MATCH(K104,Bronzo!$A$1:$AA$1,0)-1))</f>
        <v>0</v>
      </c>
      <c r="V104" s="255">
        <f t="shared" ca="1" si="74"/>
        <v>0</v>
      </c>
      <c r="W104" s="254"/>
      <c r="X104" s="255">
        <v>0</v>
      </c>
      <c r="Y104" s="256">
        <f t="shared" ca="1" si="75"/>
        <v>1.25</v>
      </c>
      <c r="Z104" s="257">
        <f t="shared" si="76"/>
        <v>70</v>
      </c>
      <c r="AA104" s="253">
        <v>4.4000000000000004</v>
      </c>
      <c r="AB104" s="253">
        <f t="shared" ca="1" si="77"/>
        <v>0.4700000000000002</v>
      </c>
      <c r="AC104" s="258">
        <v>46192</v>
      </c>
      <c r="AH104" s="232">
        <f t="shared" ca="1" si="73"/>
        <v>46120</v>
      </c>
      <c r="AI104" s="232" t="b">
        <f t="shared" si="79"/>
        <v>0</v>
      </c>
      <c r="AJ104" s="259">
        <f t="shared" ca="1" si="85"/>
        <v>72</v>
      </c>
      <c r="AM104" s="223">
        <f t="shared" si="81"/>
        <v>25</v>
      </c>
      <c r="AN104" s="223">
        <f t="shared" si="82"/>
        <v>2026</v>
      </c>
      <c r="AU104" s="223">
        <f t="shared" si="83"/>
        <v>6</v>
      </c>
      <c r="AV104" s="223">
        <f t="shared" si="84"/>
        <v>2026</v>
      </c>
    </row>
    <row r="105" spans="4:48" ht="26.25" x14ac:dyDescent="0.4">
      <c r="D105" s="246" t="s">
        <v>460</v>
      </c>
      <c r="E105" s="285" t="s">
        <v>114</v>
      </c>
      <c r="F105" s="286">
        <v>5400</v>
      </c>
      <c r="G105" s="249" t="s">
        <v>4</v>
      </c>
      <c r="H105" s="250">
        <v>2.66</v>
      </c>
      <c r="I105" s="251">
        <v>46049</v>
      </c>
      <c r="J105" s="252" t="s">
        <v>21</v>
      </c>
      <c r="K105" s="252"/>
      <c r="L105" s="253">
        <v>7.0000000000000007E-2</v>
      </c>
      <c r="M105" s="254">
        <f ca="1">IF(ISERROR(OFFSET(Tabella!$A$1,MATCH(J105,Tabella!$A:$A,0)-1,MATCH(L105,Tabella!$A$1:$AC$1,0)-1)=TRUE),0,+OFFSET(Tabella!$A$1,MATCH(J105,Tabella!$A:$A,0)-1,MATCH(L105,Tabella!$A$1:$AC$1,0)-1))</f>
        <v>1.25</v>
      </c>
      <c r="N105" s="255">
        <f ca="1">IF(ISERROR(OFFSET(Ottone!$A$1,MATCH(J105,Ottone!$A:$A,0)-1,MATCH(L105,Ottone!$A$1:$Z$1,0)-1)=TRUE),0,OFFSET(Ottone!$A$1,MATCH(J105,Ottone!$A:$A,0)-1,MATCH(L105,Ottone!$A$1:$Z$1,0)-1))*IF(G105="Ottone",1,0)</f>
        <v>0</v>
      </c>
      <c r="O105" s="255">
        <f ca="1">IF(ISERROR(OFFSET(Rame!$A$1,MATCH(J105,Rame!$A:$A,0)-1,MATCH(L105,Rame!$A$1:$AA$1,0)-1)=TRUE),0,OFFSET(Rame!$A$1,MATCH(J105,Rame!$A:$A,0)-1,MATCH(L105,Rame!$A$1:$AA$1,0)-1))*IF(G105="Rame",1,0)</f>
        <v>0</v>
      </c>
      <c r="P105" s="255">
        <v>0</v>
      </c>
      <c r="Q105" s="255">
        <f t="shared" ca="1" si="78"/>
        <v>1.25</v>
      </c>
      <c r="R105" s="255">
        <f ca="1">+IF(ISERROR(OFFSET(Tabella!$G$1,MATCH(J105,Tabella!$G:$G,0)-1,MATCH(K105,Tabella!$G$1:$FG$1,0)-1)=TRUE),0,OFFSET(Tabella!$G$1,MATCH(J105,Tabella!$G:$G,0)-1,MATCH(K105,Tabella!$G$1:$AB$1,0)-1))</f>
        <v>0</v>
      </c>
      <c r="S105" s="255">
        <f ca="1">IF(ISERROR(OFFSET(Ottone!$F$1,MATCH(J105,Ottone!$A:$A,0)-1,MATCH(K105,Ottone!$F$1:$FF$1,0)-1)=TRUE),0,OFFSET(Ottone!$F$1,MATCH(J105,Ottone!$A:$A,0)-1,MATCH(K105,Ottone!$F$1:$FF$1,0)-1))*IF(G105="Ottone",1,0)</f>
        <v>0</v>
      </c>
      <c r="T105" s="255">
        <f ca="1">IF(ISERROR(OFFSET(Rame!$F$1,MATCH(J105,Rame!$F:$F,0)-1,MATCH(K105,Rame!$F$1:$FF$1,0)-1)=TRUE),0,OFFSET(Rame!$F$1,MATCH(J105,Rame!$F:$F,0)-1,MATCH(K105,Rame!$F$1:$FF$1,0)-1))*IF(G105="Rame",1,0)</f>
        <v>0</v>
      </c>
      <c r="U105" s="255">
        <f ca="1">IF(ISERROR(OFFSET(Bronzo!$A$1,MATCH(J105,Bronzo!$A:$A,0)-1,MATCH(K105,Bronzo!$A$1:$AA$1,0)-1)=TRUE),0,OFFSET(Bronzo!$A$1,MATCH(J105,Bronzo!$A:$A,0)-1,MATCH(K105,Bronzo!$A$1:$AA$1,0)-1))</f>
        <v>0</v>
      </c>
      <c r="V105" s="255">
        <f t="shared" ca="1" si="74"/>
        <v>0</v>
      </c>
      <c r="W105" s="254"/>
      <c r="X105" s="255">
        <v>0</v>
      </c>
      <c r="Y105" s="256">
        <f t="shared" ca="1" si="75"/>
        <v>1.25</v>
      </c>
      <c r="Z105" s="287">
        <f t="shared" si="76"/>
        <v>378.00000000000006</v>
      </c>
      <c r="AA105" s="253">
        <v>4.1500000000000004</v>
      </c>
      <c r="AB105" s="253">
        <f t="shared" ca="1" si="77"/>
        <v>0.24000000000000021</v>
      </c>
      <c r="AC105" s="258">
        <v>46142</v>
      </c>
      <c r="AH105" s="232">
        <f t="shared" ca="1" si="73"/>
        <v>46120</v>
      </c>
      <c r="AI105" s="232" t="b">
        <f t="shared" si="79"/>
        <v>0</v>
      </c>
      <c r="AJ105" s="259">
        <f t="shared" ca="1" si="85"/>
        <v>22</v>
      </c>
      <c r="AM105" s="223">
        <f t="shared" si="81"/>
        <v>18</v>
      </c>
      <c r="AN105" s="223">
        <f t="shared" si="82"/>
        <v>2026</v>
      </c>
      <c r="AU105" s="223">
        <f t="shared" si="83"/>
        <v>4</v>
      </c>
      <c r="AV105" s="223">
        <f t="shared" si="84"/>
        <v>2026</v>
      </c>
    </row>
    <row r="106" spans="4:48" ht="26.25" x14ac:dyDescent="0.4">
      <c r="D106" s="246" t="s">
        <v>517</v>
      </c>
      <c r="E106" s="262" t="s">
        <v>212</v>
      </c>
      <c r="F106" s="263">
        <v>595</v>
      </c>
      <c r="G106" s="249" t="s">
        <v>6</v>
      </c>
      <c r="H106" s="288">
        <v>10.88</v>
      </c>
      <c r="I106" s="251">
        <v>46050</v>
      </c>
      <c r="J106" s="252" t="s">
        <v>14</v>
      </c>
      <c r="K106" s="252"/>
      <c r="L106" s="253">
        <v>0.1</v>
      </c>
      <c r="M106" s="254">
        <f ca="1">IF(ISERROR(OFFSET(Tabella!$A$1,MATCH(J106,Tabella!$A:$A,0)-1,MATCH(L106,Tabella!$A$1:$AC$1,0)-1)=TRUE),0,+OFFSET(Tabella!$A$1,MATCH(J106,Tabella!$A:$A,0)-1,MATCH(L106,Tabella!$A$1:$AC$1,0)-1))</f>
        <v>0</v>
      </c>
      <c r="N106" s="255">
        <f ca="1">IF(ISERROR(OFFSET(Ottone!$A$1,MATCH(J106,Ottone!$A:$A,0)-1,MATCH(L106,Ottone!$A$1:$Z$1,0)-1)=TRUE),0,OFFSET(Ottone!$A$1,MATCH(J106,Ottone!$A:$A,0)-1,MATCH(L106,Ottone!$A$1:$Z$1,0)-1))*IF(G106="Ottone",1,0)</f>
        <v>0</v>
      </c>
      <c r="O106" s="255">
        <f ca="1">IF(ISERROR(OFFSET(Rame!$A$1,MATCH(J106,Rame!$A:$A,0)-1,MATCH(L106,Rame!$A$1:$AA$1,0)-1)=TRUE),0,OFFSET(Rame!$A$1,MATCH(J106,Rame!$A:$A,0)-1,MATCH(L106,Rame!$A$1:$AA$1,0)-1))*IF(G106="Rame",1,0)</f>
        <v>0.95</v>
      </c>
      <c r="P106" s="255">
        <v>0</v>
      </c>
      <c r="Q106" s="255">
        <f t="shared" ca="1" si="78"/>
        <v>0.95</v>
      </c>
      <c r="R106" s="255">
        <f ca="1">+IF(ISERROR(OFFSET(Tabella!$G$1,MATCH(J106,Tabella!$G:$G,0)-1,MATCH(K106,Tabella!$G$1:$FG$1,0)-1)=TRUE),0,OFFSET(Tabella!$G$1,MATCH(J106,Tabella!$G:$G,0)-1,MATCH(K106,Tabella!$G$1:$AB$1,0)-1))</f>
        <v>0</v>
      </c>
      <c r="S106" s="255">
        <f ca="1">IF(ISERROR(OFFSET(Ottone!$F$1,MATCH(J106,Ottone!$A:$A,0)-1,MATCH(K106,Ottone!$F$1:$FF$1,0)-1)=TRUE),0,OFFSET(Ottone!$F$1,MATCH(J106,Ottone!$A:$A,0)-1,MATCH(K106,Ottone!$F$1:$FF$1,0)-1))*IF(G106="Ottone",1,0)</f>
        <v>0</v>
      </c>
      <c r="T106" s="255">
        <f ca="1">IF(ISERROR(OFFSET(Rame!$F$1,MATCH(J106,Rame!$F:$F,0)-1,MATCH(K106,Rame!$F$1:$FF$1,0)-1)=TRUE),0,OFFSET(Rame!$F$1,MATCH(J106,Rame!$F:$F,0)-1,MATCH(K106,Rame!$F$1:$FF$1,0)-1))*IF(G106="Rame",1,0)</f>
        <v>0</v>
      </c>
      <c r="U106" s="255">
        <f ca="1">IF(ISERROR(OFFSET(Bronzo!$A$1,MATCH(J106,Bronzo!$A:$A,0)-1,MATCH(K106,Bronzo!$A$1:$AA$1,0)-1)=TRUE),0,OFFSET(Bronzo!$A$1,MATCH(J106,Bronzo!$A:$A,0)-1,MATCH(K106,Bronzo!$A$1:$AA$1,0)-1))</f>
        <v>0</v>
      </c>
      <c r="V106" s="255">
        <f t="shared" ca="1" si="74"/>
        <v>0</v>
      </c>
      <c r="W106" s="254"/>
      <c r="X106" s="255">
        <v>0</v>
      </c>
      <c r="Y106" s="256">
        <f t="shared" ca="1" si="75"/>
        <v>0.95</v>
      </c>
      <c r="Z106" s="269">
        <f t="shared" si="76"/>
        <v>59.5</v>
      </c>
      <c r="AA106" s="281">
        <v>14.28</v>
      </c>
      <c r="AB106" s="253">
        <f t="shared" ca="1" si="77"/>
        <v>2.4499999999999993</v>
      </c>
      <c r="AC106" s="258"/>
      <c r="AF106" s="223" t="s">
        <v>405</v>
      </c>
      <c r="AH106" s="232">
        <f t="shared" ca="1" si="73"/>
        <v>46120</v>
      </c>
      <c r="AI106" s="232" t="b">
        <f t="shared" si="79"/>
        <v>1</v>
      </c>
      <c r="AJ106" s="259" t="str">
        <f t="shared" si="85"/>
        <v/>
      </c>
      <c r="AM106" s="223">
        <f t="shared" si="81"/>
        <v>0</v>
      </c>
      <c r="AN106" s="223">
        <f t="shared" si="82"/>
        <v>1900</v>
      </c>
      <c r="AU106" s="223">
        <f t="shared" si="83"/>
        <v>0</v>
      </c>
      <c r="AV106" s="223">
        <f t="shared" si="84"/>
        <v>0</v>
      </c>
    </row>
    <row r="107" spans="4:48" ht="26.25" x14ac:dyDescent="0.4">
      <c r="D107" s="246" t="s">
        <v>737</v>
      </c>
      <c r="E107" s="289" t="s">
        <v>212</v>
      </c>
      <c r="F107" s="290">
        <v>588</v>
      </c>
      <c r="G107" s="249" t="s">
        <v>6</v>
      </c>
      <c r="H107" s="288">
        <v>10.88</v>
      </c>
      <c r="I107" s="251">
        <v>46050</v>
      </c>
      <c r="J107" s="252" t="s">
        <v>12</v>
      </c>
      <c r="K107" s="252"/>
      <c r="L107" s="253">
        <v>0.1</v>
      </c>
      <c r="M107" s="254">
        <f ca="1">IF(ISERROR(OFFSET(Tabella!$A$1,MATCH(J107,Tabella!$A:$A,0)-1,MATCH(L107,Tabella!$A$1:$AC$1,0)-1)=TRUE),0,+OFFSET(Tabella!$A$1,MATCH(J107,Tabella!$A:$A,0)-1,MATCH(L107,Tabella!$A$1:$AC$1,0)-1))</f>
        <v>0</v>
      </c>
      <c r="N107" s="255">
        <f ca="1">IF(ISERROR(OFFSET(Ottone!$A$1,MATCH(J107,Ottone!$A:$A,0)-1,MATCH(L107,Ottone!$A$1:$Z$1,0)-1)=TRUE),0,OFFSET(Ottone!$A$1,MATCH(J107,Ottone!$A:$A,0)-1,MATCH(L107,Ottone!$A$1:$Z$1,0)-1))*IF(G107="Ottone",1,0)</f>
        <v>0</v>
      </c>
      <c r="O107" s="255">
        <f ca="1">IF(ISERROR(OFFSET(Rame!$A$1,MATCH(J107,Rame!$A:$A,0)-1,MATCH(L107,Rame!$A$1:$AA$1,0)-1)=TRUE),0,OFFSET(Rame!$A$1,MATCH(J107,Rame!$A:$A,0)-1,MATCH(L107,Rame!$A$1:$AA$1,0)-1))*IF(G107="Rame",1,0)</f>
        <v>1.1000000000000001</v>
      </c>
      <c r="P107" s="255">
        <v>0</v>
      </c>
      <c r="Q107" s="255">
        <f t="shared" ca="1" si="78"/>
        <v>1.1000000000000001</v>
      </c>
      <c r="R107" s="255">
        <f ca="1">+IF(ISERROR(OFFSET(Tabella!$G$1,MATCH(J107,Tabella!$G:$G,0)-1,MATCH(K107,Tabella!$G$1:$FG$1,0)-1)=TRUE),0,OFFSET(Tabella!$G$1,MATCH(J107,Tabella!$G:$G,0)-1,MATCH(K107,Tabella!$G$1:$AB$1,0)-1))</f>
        <v>0</v>
      </c>
      <c r="S107" s="255">
        <f ca="1">IF(ISERROR(OFFSET(Ottone!$F$1,MATCH(J107,Ottone!$A:$A,0)-1,MATCH(K107,Ottone!$F$1:$FF$1,0)-1)=TRUE),0,OFFSET(Ottone!$F$1,MATCH(J107,Ottone!$A:$A,0)-1,MATCH(K107,Ottone!$F$1:$FF$1,0)-1))*IF(G107="Ottone",1,0)</f>
        <v>0</v>
      </c>
      <c r="T107" s="255">
        <f ca="1">IF(ISERROR(OFFSET(Rame!$F$1,MATCH(J107,Rame!$F:$F,0)-1,MATCH(K107,Rame!$F$1:$FF$1,0)-1)=TRUE),0,OFFSET(Rame!$F$1,MATCH(J107,Rame!$F:$F,0)-1,MATCH(K107,Rame!$F$1:$FF$1,0)-1))*IF(G107="Rame",1,0)</f>
        <v>0</v>
      </c>
      <c r="U107" s="255">
        <f ca="1">IF(ISERROR(OFFSET(Bronzo!$A$1,MATCH(J107,Bronzo!$A:$A,0)-1,MATCH(K107,Bronzo!$A$1:$AA$1,0)-1)=TRUE),0,OFFSET(Bronzo!$A$1,MATCH(J107,Bronzo!$A:$A,0)-1,MATCH(K107,Bronzo!$A$1:$AA$1,0)-1))</f>
        <v>0</v>
      </c>
      <c r="V107" s="255">
        <f t="shared" ca="1" si="74"/>
        <v>0</v>
      </c>
      <c r="W107" s="254"/>
      <c r="X107" s="255">
        <v>0</v>
      </c>
      <c r="Y107" s="256">
        <f t="shared" ca="1" si="75"/>
        <v>1.1000000000000001</v>
      </c>
      <c r="Z107" s="291">
        <f t="shared" si="76"/>
        <v>58.800000000000004</v>
      </c>
      <c r="AA107" s="281">
        <v>14.38</v>
      </c>
      <c r="AB107" s="253">
        <f t="shared" ca="1" si="77"/>
        <v>2.4000000000000004</v>
      </c>
      <c r="AC107" s="258"/>
      <c r="AH107" s="232">
        <f t="shared" ca="1" si="73"/>
        <v>46120</v>
      </c>
      <c r="AI107" s="232" t="b">
        <f t="shared" si="79"/>
        <v>1</v>
      </c>
      <c r="AJ107" s="259" t="str">
        <f t="shared" si="85"/>
        <v/>
      </c>
      <c r="AM107" s="223">
        <f t="shared" si="81"/>
        <v>0</v>
      </c>
      <c r="AN107" s="223">
        <f t="shared" si="82"/>
        <v>1900</v>
      </c>
      <c r="AU107" s="223">
        <f t="shared" si="83"/>
        <v>0</v>
      </c>
      <c r="AV107" s="223">
        <f t="shared" si="84"/>
        <v>0</v>
      </c>
    </row>
    <row r="108" spans="4:48" ht="26.25" x14ac:dyDescent="0.4">
      <c r="D108" s="246" t="s">
        <v>693</v>
      </c>
      <c r="E108" s="292" t="s">
        <v>212</v>
      </c>
      <c r="F108" s="293">
        <v>283</v>
      </c>
      <c r="G108" s="249" t="s">
        <v>6</v>
      </c>
      <c r="H108" s="288">
        <v>10.88</v>
      </c>
      <c r="I108" s="251">
        <v>46050</v>
      </c>
      <c r="J108" s="252" t="s">
        <v>18</v>
      </c>
      <c r="K108" s="252"/>
      <c r="L108" s="253">
        <v>0.1</v>
      </c>
      <c r="M108" s="254">
        <f ca="1">IF(ISERROR(OFFSET(Tabella!$A$1,MATCH(J108,Tabella!$A:$A,0)-1,MATCH(L108,Tabella!$A$1:$AC$1,0)-1)=TRUE),0,+OFFSET(Tabella!$A$1,MATCH(J108,Tabella!$A:$A,0)-1,MATCH(L108,Tabella!$A$1:$AC$1,0)-1))</f>
        <v>0</v>
      </c>
      <c r="N108" s="255">
        <f ca="1">IF(ISERROR(OFFSET(Ottone!$A$1,MATCH(J108,Ottone!$A:$A,0)-1,MATCH(L108,Ottone!$A$1:$Z$1,0)-1)=TRUE),0,OFFSET(Ottone!$A$1,MATCH(J108,Ottone!$A:$A,0)-1,MATCH(L108,Ottone!$A$1:$Z$1,0)-1))*IF(G108="Ottone",1,0)</f>
        <v>0</v>
      </c>
      <c r="O108" s="255">
        <f ca="1">IF(ISERROR(OFFSET(Rame!$A$1,MATCH(J108,Rame!$A:$A,0)-1,MATCH(L108,Rame!$A$1:$AA$1,0)-1)=TRUE),0,OFFSET(Rame!$A$1,MATCH(J108,Rame!$A:$A,0)-1,MATCH(L108,Rame!$A$1:$AA$1,0)-1))*IF(G108="Rame",1,0)</f>
        <v>0.78</v>
      </c>
      <c r="P108" s="255">
        <v>0</v>
      </c>
      <c r="Q108" s="255">
        <f t="shared" ca="1" si="78"/>
        <v>0.78</v>
      </c>
      <c r="R108" s="255">
        <f ca="1">+IF(ISERROR(OFFSET(Tabella!$G$1,MATCH(J108,Tabella!$G:$G,0)-1,MATCH(K108,Tabella!$G$1:$FG$1,0)-1)=TRUE),0,OFFSET(Tabella!$G$1,MATCH(J108,Tabella!$G:$G,0)-1,MATCH(K108,Tabella!$G$1:$AB$1,0)-1))</f>
        <v>0</v>
      </c>
      <c r="S108" s="255">
        <f ca="1">IF(ISERROR(OFFSET(Ottone!$F$1,MATCH(J108,Ottone!$A:$A,0)-1,MATCH(K108,Ottone!$F$1:$FF$1,0)-1)=TRUE),0,OFFSET(Ottone!$F$1,MATCH(J108,Ottone!$A:$A,0)-1,MATCH(K108,Ottone!$F$1:$FF$1,0)-1))*IF(G108="Ottone",1,0)</f>
        <v>0</v>
      </c>
      <c r="T108" s="255">
        <f ca="1">IF(ISERROR(OFFSET(Rame!$F$1,MATCH(J108,Rame!$F:$F,0)-1,MATCH(K108,Rame!$F$1:$FF$1,0)-1)=TRUE),0,OFFSET(Rame!$F$1,MATCH(J108,Rame!$F:$F,0)-1,MATCH(K108,Rame!$F$1:$FF$1,0)-1))*IF(G108="Rame",1,0)</f>
        <v>0</v>
      </c>
      <c r="U108" s="255">
        <f ca="1">IF(ISERROR(OFFSET(Bronzo!$A$1,MATCH(J108,Bronzo!$A:$A,0)-1,MATCH(K108,Bronzo!$A$1:$AA$1,0)-1)=TRUE),0,OFFSET(Bronzo!$A$1,MATCH(J108,Bronzo!$A:$A,0)-1,MATCH(K108,Bronzo!$A$1:$AA$1,0)-1))</f>
        <v>0</v>
      </c>
      <c r="V108" s="255">
        <f t="shared" ca="1" si="74"/>
        <v>0</v>
      </c>
      <c r="W108" s="254"/>
      <c r="X108" s="255">
        <v>0</v>
      </c>
      <c r="Y108" s="256">
        <f t="shared" ca="1" si="75"/>
        <v>0.78</v>
      </c>
      <c r="Z108" s="291">
        <f t="shared" si="76"/>
        <v>28.3</v>
      </c>
      <c r="AA108" s="281">
        <v>14.13</v>
      </c>
      <c r="AB108" s="253">
        <f t="shared" ca="1" si="77"/>
        <v>2.4700000000000006</v>
      </c>
      <c r="AC108" s="258"/>
      <c r="AH108" s="232">
        <f t="shared" ca="1" si="73"/>
        <v>46120</v>
      </c>
      <c r="AI108" s="232" t="b">
        <f t="shared" si="79"/>
        <v>1</v>
      </c>
      <c r="AJ108" s="259" t="str">
        <f t="shared" si="85"/>
        <v/>
      </c>
      <c r="AM108" s="223">
        <f t="shared" si="81"/>
        <v>0</v>
      </c>
      <c r="AN108" s="223">
        <f t="shared" si="82"/>
        <v>1900</v>
      </c>
      <c r="AU108" s="223">
        <f t="shared" si="83"/>
        <v>0</v>
      </c>
      <c r="AV108" s="223">
        <f t="shared" si="84"/>
        <v>0</v>
      </c>
    </row>
    <row r="109" spans="4:48" ht="26.25" x14ac:dyDescent="0.4">
      <c r="D109" s="246" t="s">
        <v>472</v>
      </c>
      <c r="E109" s="252" t="s">
        <v>212</v>
      </c>
      <c r="F109" s="276">
        <v>350</v>
      </c>
      <c r="G109" s="249" t="s">
        <v>6</v>
      </c>
      <c r="H109" s="288">
        <v>10.88</v>
      </c>
      <c r="I109" s="251">
        <v>46050</v>
      </c>
      <c r="J109" s="252" t="s">
        <v>14</v>
      </c>
      <c r="K109" s="252"/>
      <c r="L109" s="253">
        <v>0.1</v>
      </c>
      <c r="M109" s="254">
        <f ca="1">IF(ISERROR(OFFSET(Tabella!$A$1,MATCH(J109,Tabella!$A:$A,0)-1,MATCH(L109,Tabella!$A$1:$AC$1,0)-1)=TRUE),0,+OFFSET(Tabella!$A$1,MATCH(J109,Tabella!$A:$A,0)-1,MATCH(L109,Tabella!$A$1:$AC$1,0)-1))</f>
        <v>0</v>
      </c>
      <c r="N109" s="255">
        <f ca="1">IF(ISERROR(OFFSET(Ottone!$A$1,MATCH(J109,Ottone!$A:$A,0)-1,MATCH(L109,Ottone!$A$1:$Z$1,0)-1)=TRUE),0,OFFSET(Ottone!$A$1,MATCH(J109,Ottone!$A:$A,0)-1,MATCH(L109,Ottone!$A$1:$Z$1,0)-1))*IF(G109="Ottone",1,0)</f>
        <v>0</v>
      </c>
      <c r="O109" s="255">
        <f ca="1">IF(ISERROR(OFFSET(Rame!$A$1,MATCH(J109,Rame!$A:$A,0)-1,MATCH(L109,Rame!$A$1:$AA$1,0)-1)=TRUE),0,OFFSET(Rame!$A$1,MATCH(J109,Rame!$A:$A,0)-1,MATCH(L109,Rame!$A$1:$AA$1,0)-1))*IF(G109="Rame",1,0)</f>
        <v>0.95</v>
      </c>
      <c r="P109" s="255">
        <v>0</v>
      </c>
      <c r="Q109" s="255">
        <f t="shared" ca="1" si="78"/>
        <v>0.95</v>
      </c>
      <c r="R109" s="255">
        <f ca="1">+IF(ISERROR(OFFSET(Tabella!$G$1,MATCH(J109,Tabella!$G:$G,0)-1,MATCH(K109,Tabella!$G$1:$FG$1,0)-1)=TRUE),0,OFFSET(Tabella!$G$1,MATCH(J109,Tabella!$G:$G,0)-1,MATCH(K109,Tabella!$G$1:$AB$1,0)-1))</f>
        <v>0</v>
      </c>
      <c r="S109" s="255">
        <f ca="1">IF(ISERROR(OFFSET(Ottone!$F$1,MATCH(J109,Ottone!$A:$A,0)-1,MATCH(K109,Ottone!$F$1:$FF$1,0)-1)=TRUE),0,OFFSET(Ottone!$F$1,MATCH(J109,Ottone!$A:$A,0)-1,MATCH(K109,Ottone!$F$1:$FF$1,0)-1))*IF(G109="Ottone",1,0)</f>
        <v>0</v>
      </c>
      <c r="T109" s="255">
        <f ca="1">IF(ISERROR(OFFSET(Rame!$F$1,MATCH(J109,Rame!$F:$F,0)-1,MATCH(K109,Rame!$F$1:$FF$1,0)-1)=TRUE),0,OFFSET(Rame!$F$1,MATCH(J109,Rame!$F:$F,0)-1,MATCH(K109,Rame!$F$1:$FF$1,0)-1))*IF(G109="Rame",1,0)</f>
        <v>0</v>
      </c>
      <c r="U109" s="255">
        <f ca="1">IF(ISERROR(OFFSET(Bronzo!$A$1,MATCH(J109,Bronzo!$A:$A,0)-1,MATCH(K109,Bronzo!$A$1:$AA$1,0)-1)=TRUE),0,OFFSET(Bronzo!$A$1,MATCH(J109,Bronzo!$A:$A,0)-1,MATCH(K109,Bronzo!$A$1:$AA$1,0)-1))</f>
        <v>0</v>
      </c>
      <c r="V109" s="255">
        <f t="shared" ca="1" si="74"/>
        <v>0</v>
      </c>
      <c r="W109" s="254"/>
      <c r="X109" s="255">
        <v>0</v>
      </c>
      <c r="Y109" s="256">
        <f t="shared" ca="1" si="75"/>
        <v>0.95</v>
      </c>
      <c r="Z109" s="257">
        <f t="shared" si="76"/>
        <v>35</v>
      </c>
      <c r="AA109" s="281">
        <v>14.28</v>
      </c>
      <c r="AB109" s="253">
        <f t="shared" ca="1" si="77"/>
        <v>2.4499999999999993</v>
      </c>
      <c r="AC109" s="258">
        <v>46113</v>
      </c>
      <c r="AH109" s="232">
        <f t="shared" ca="1" si="73"/>
        <v>46120</v>
      </c>
      <c r="AI109" s="232" t="b">
        <f t="shared" si="79"/>
        <v>0</v>
      </c>
      <c r="AJ109" s="259">
        <f t="shared" ca="1" si="85"/>
        <v>-7</v>
      </c>
      <c r="AM109" s="223">
        <f t="shared" si="81"/>
        <v>14</v>
      </c>
      <c r="AN109" s="223">
        <f t="shared" si="82"/>
        <v>2026</v>
      </c>
      <c r="AU109" s="223">
        <f t="shared" si="83"/>
        <v>4</v>
      </c>
      <c r="AV109" s="223">
        <f t="shared" si="84"/>
        <v>2026</v>
      </c>
    </row>
    <row r="110" spans="4:48" ht="26.25" x14ac:dyDescent="0.4">
      <c r="D110" s="246" t="s">
        <v>450</v>
      </c>
      <c r="E110" s="285" t="s">
        <v>102</v>
      </c>
      <c r="F110" s="286">
        <v>23370</v>
      </c>
      <c r="G110" s="249" t="s">
        <v>4</v>
      </c>
      <c r="H110" s="250">
        <v>2.65</v>
      </c>
      <c r="I110" s="251">
        <v>46050</v>
      </c>
      <c r="J110" s="252" t="s">
        <v>21</v>
      </c>
      <c r="K110" s="252"/>
      <c r="L110" s="253">
        <v>7.0000000000000007E-2</v>
      </c>
      <c r="M110" s="254">
        <f ca="1">IF(ISERROR(OFFSET(Tabella!$A$1,MATCH(J110,Tabella!$A:$A,0)-1,MATCH(L110,Tabella!$A$1:$AC$1,0)-1)=TRUE),0,+OFFSET(Tabella!$A$1,MATCH(J110,Tabella!$A:$A,0)-1,MATCH(L110,Tabella!$A$1:$AC$1,0)-1))</f>
        <v>1.25</v>
      </c>
      <c r="N110" s="255">
        <f ca="1">IF(ISERROR(OFFSET(Ottone!$A$1,MATCH(J110,Ottone!$A:$A,0)-1,MATCH(L110,Ottone!$A$1:$Z$1,0)-1)=TRUE),0,OFFSET(Ottone!$A$1,MATCH(J110,Ottone!$A:$A,0)-1,MATCH(L110,Ottone!$A$1:$Z$1,0)-1))*IF(G110="Ottone",1,0)</f>
        <v>0</v>
      </c>
      <c r="O110" s="255">
        <f ca="1">IF(ISERROR(OFFSET(Rame!$A$1,MATCH(J110,Rame!$A:$A,0)-1,MATCH(L110,Rame!$A$1:$AA$1,0)-1)=TRUE),0,OFFSET(Rame!$A$1,MATCH(J110,Rame!$A:$A,0)-1,MATCH(L110,Rame!$A$1:$AA$1,0)-1))*IF(G110="Rame",1,0)</f>
        <v>0</v>
      </c>
      <c r="P110" s="255">
        <v>0</v>
      </c>
      <c r="Q110" s="255">
        <f t="shared" ca="1" si="78"/>
        <v>1.25</v>
      </c>
      <c r="R110" s="255">
        <f ca="1">+IF(ISERROR(OFFSET(Tabella!$G$1,MATCH(J110,Tabella!$G:$G,0)-1,MATCH(K110,Tabella!$G$1:$FG$1,0)-1)=TRUE),0,OFFSET(Tabella!$G$1,MATCH(J110,Tabella!$G:$G,0)-1,MATCH(K110,Tabella!$G$1:$AB$1,0)-1))</f>
        <v>0</v>
      </c>
      <c r="S110" s="255">
        <f ca="1">IF(ISERROR(OFFSET(Ottone!$F$1,MATCH(J110,Ottone!$A:$A,0)-1,MATCH(K110,Ottone!$F$1:$FF$1,0)-1)=TRUE),0,OFFSET(Ottone!$F$1,MATCH(J110,Ottone!$A:$A,0)-1,MATCH(K110,Ottone!$F$1:$FF$1,0)-1))*IF(G110="Ottone",1,0)</f>
        <v>0</v>
      </c>
      <c r="T110" s="255">
        <f ca="1">IF(ISERROR(OFFSET(Rame!$F$1,MATCH(J110,Rame!$F:$F,0)-1,MATCH(K110,Rame!$F$1:$FF$1,0)-1)=TRUE),0,OFFSET(Rame!$F$1,MATCH(J110,Rame!$F:$F,0)-1,MATCH(K110,Rame!$F$1:$FF$1,0)-1))*IF(G110="Rame",1,0)</f>
        <v>0</v>
      </c>
      <c r="U110" s="255">
        <f ca="1">IF(ISERROR(OFFSET(Bronzo!$A$1,MATCH(J110,Bronzo!$A:$A,0)-1,MATCH(K110,Bronzo!$A$1:$AA$1,0)-1)=TRUE),0,OFFSET(Bronzo!$A$1,MATCH(J110,Bronzo!$A:$A,0)-1,MATCH(K110,Bronzo!$A$1:$AA$1,0)-1))</f>
        <v>0</v>
      </c>
      <c r="V110" s="255">
        <f t="shared" ca="1" si="74"/>
        <v>0</v>
      </c>
      <c r="W110" s="254"/>
      <c r="X110" s="255">
        <v>0</v>
      </c>
      <c r="Y110" s="256">
        <f t="shared" ca="1" si="75"/>
        <v>1.25</v>
      </c>
      <c r="Z110" s="287">
        <f t="shared" si="76"/>
        <v>1635.9</v>
      </c>
      <c r="AA110" s="253">
        <v>4.1500000000000004</v>
      </c>
      <c r="AB110" s="253">
        <f t="shared" ca="1" si="77"/>
        <v>0.25000000000000044</v>
      </c>
      <c r="AC110" s="258">
        <v>46234</v>
      </c>
      <c r="AH110" s="232">
        <f t="shared" ca="1" si="73"/>
        <v>46120</v>
      </c>
      <c r="AI110" s="232" t="b">
        <f t="shared" si="79"/>
        <v>0</v>
      </c>
      <c r="AJ110" s="259">
        <f t="shared" ca="1" si="85"/>
        <v>114</v>
      </c>
      <c r="AM110" s="223">
        <f t="shared" si="81"/>
        <v>31</v>
      </c>
      <c r="AN110" s="223">
        <f t="shared" si="82"/>
        <v>2026</v>
      </c>
      <c r="AU110" s="223">
        <f t="shared" si="83"/>
        <v>7</v>
      </c>
      <c r="AV110" s="223">
        <f t="shared" si="84"/>
        <v>2026</v>
      </c>
    </row>
    <row r="111" spans="4:48" ht="26.25" x14ac:dyDescent="0.4">
      <c r="D111" s="246" t="s">
        <v>501</v>
      </c>
      <c r="E111" s="262" t="s">
        <v>212</v>
      </c>
      <c r="F111" s="263">
        <v>1900</v>
      </c>
      <c r="G111" s="249" t="s">
        <v>4</v>
      </c>
      <c r="H111" s="288">
        <v>2.48</v>
      </c>
      <c r="I111" s="251">
        <v>46051</v>
      </c>
      <c r="J111" s="252" t="s">
        <v>308</v>
      </c>
      <c r="K111" s="252"/>
      <c r="L111" s="253">
        <v>0.05</v>
      </c>
      <c r="M111" s="254">
        <f ca="1">IF(ISERROR(OFFSET(Tabella!$A$1,MATCH(J111,Tabella!$A:$A,0)-1,MATCH(L111,Tabella!$A$1:$AC$1,0)-1)=TRUE),0,+OFFSET(Tabella!$A$1,MATCH(J111,Tabella!$A:$A,0)-1,MATCH(L111,Tabella!$A$1:$AC$1,0)-1))</f>
        <v>0</v>
      </c>
      <c r="N111" s="255">
        <f ca="1">IF(ISERROR(OFFSET(Ottone!$A$1,MATCH(J111,Ottone!$A:$A,0)-1,MATCH(L111,Ottone!$A$1:$Z$1,0)-1)=TRUE),0,OFFSET(Ottone!$A$1,MATCH(J111,Ottone!$A:$A,0)-1,MATCH(L111,Ottone!$A$1:$Z$1,0)-1))*IF(G111="Ottone",1,0)</f>
        <v>0</v>
      </c>
      <c r="O111" s="255">
        <f ca="1">IF(ISERROR(OFFSET(Rame!$A$1,MATCH(J111,Rame!$A:$A,0)-1,MATCH(L111,Rame!$A$1:$AA$1,0)-1)=TRUE),0,OFFSET(Rame!$A$1,MATCH(J111,Rame!$A:$A,0)-1,MATCH(L111,Rame!$A$1:$AA$1,0)-1))*IF(G111="Rame",1,0)</f>
        <v>0</v>
      </c>
      <c r="P111" s="255">
        <v>0</v>
      </c>
      <c r="Q111" s="255">
        <v>1.47</v>
      </c>
      <c r="R111" s="255">
        <f ca="1">+IF(ISERROR(OFFSET(Tabella!$G$1,MATCH(J111,Tabella!$G:$G,0)-1,MATCH(K111,Tabella!$G$1:$FG$1,0)-1)=TRUE),0,OFFSET(Tabella!$G$1,MATCH(J111,Tabella!$G:$G,0)-1,MATCH(K111,Tabella!$G$1:$AB$1,0)-1))</f>
        <v>0</v>
      </c>
      <c r="S111" s="255">
        <f ca="1">IF(ISERROR(OFFSET(Ottone!$F$1,MATCH(J111,Ottone!$A:$A,0)-1,MATCH(K111,Ottone!$F$1:$FF$1,0)-1)=TRUE),0,OFFSET(Ottone!$F$1,MATCH(J111,Ottone!$A:$A,0)-1,MATCH(K111,Ottone!$F$1:$FF$1,0)-1))*IF(G111="Ottone",1,0)</f>
        <v>0</v>
      </c>
      <c r="T111" s="255">
        <f ca="1">IF(ISERROR(OFFSET(Rame!$F$1,MATCH(J111,Rame!$F:$F,0)-1,MATCH(K111,Rame!$F$1:$FF$1,0)-1)=TRUE),0,OFFSET(Rame!$F$1,MATCH(J111,Rame!$F:$F,0)-1,MATCH(K111,Rame!$F$1:$FF$1,0)-1))*IF(G111="Rame",1,0)</f>
        <v>0</v>
      </c>
      <c r="U111" s="255">
        <f ca="1">IF(ISERROR(OFFSET(Bronzo!$A$1,MATCH(J111,Bronzo!$A:$A,0)-1,MATCH(K111,Bronzo!$A$1:$AA$1,0)-1)=TRUE),0,OFFSET(Bronzo!$A$1,MATCH(J111,Bronzo!$A:$A,0)-1,MATCH(K111,Bronzo!$A$1:$AA$1,0)-1))</f>
        <v>0</v>
      </c>
      <c r="V111" s="255">
        <f t="shared" ca="1" si="74"/>
        <v>0</v>
      </c>
      <c r="W111" s="254"/>
      <c r="X111" s="255">
        <v>0</v>
      </c>
      <c r="Y111" s="256">
        <f t="shared" ca="1" si="75"/>
        <v>1.47</v>
      </c>
      <c r="Z111" s="269">
        <f t="shared" si="76"/>
        <v>95</v>
      </c>
      <c r="AA111" s="253">
        <v>3.95</v>
      </c>
      <c r="AB111" s="253">
        <f t="shared" ca="1" si="77"/>
        <v>0</v>
      </c>
      <c r="AC111" s="258"/>
      <c r="AF111" s="223" t="s">
        <v>405</v>
      </c>
      <c r="AH111" s="232">
        <f t="shared" ca="1" si="73"/>
        <v>46120</v>
      </c>
      <c r="AI111" s="232" t="b">
        <f t="shared" si="79"/>
        <v>1</v>
      </c>
      <c r="AJ111" s="259" t="str">
        <f t="shared" si="85"/>
        <v/>
      </c>
      <c r="AM111" s="223">
        <f t="shared" si="81"/>
        <v>0</v>
      </c>
      <c r="AN111" s="223">
        <f t="shared" si="82"/>
        <v>1900</v>
      </c>
      <c r="AU111" s="223">
        <f t="shared" si="83"/>
        <v>0</v>
      </c>
      <c r="AV111" s="223">
        <f t="shared" si="84"/>
        <v>0</v>
      </c>
    </row>
    <row r="112" spans="4:48" ht="26.25" x14ac:dyDescent="0.4">
      <c r="D112" s="246" t="s">
        <v>478</v>
      </c>
      <c r="E112" s="262" t="s">
        <v>212</v>
      </c>
      <c r="F112" s="263">
        <v>2414</v>
      </c>
      <c r="G112" s="249" t="s">
        <v>4</v>
      </c>
      <c r="H112" s="250">
        <v>2.48</v>
      </c>
      <c r="I112" s="251">
        <v>46051</v>
      </c>
      <c r="J112" s="252" t="s">
        <v>25</v>
      </c>
      <c r="K112" s="252"/>
      <c r="L112" s="253">
        <v>0.05</v>
      </c>
      <c r="M112" s="254">
        <f ca="1">IF(ISERROR(OFFSET(Tabella!$A$1,MATCH(J112,Tabella!$A:$A,0)-1,MATCH(L112,Tabella!$A$1:$AC$1,0)-1)=TRUE),0,+OFFSET(Tabella!$A$1,MATCH(J112,Tabella!$A:$A,0)-1,MATCH(L112,Tabella!$A$1:$AC$1,0)-1))</f>
        <v>0</v>
      </c>
      <c r="N112" s="255">
        <f ca="1">IF(ISERROR(OFFSET(Ottone!$A$1,MATCH(J112,Ottone!$A:$A,0)-1,MATCH(L112,Ottone!$A$1:$Z$1,0)-1)=TRUE),0,OFFSET(Ottone!$A$1,MATCH(J112,Ottone!$A:$A,0)-1,MATCH(L112,Ottone!$A$1:$Z$1,0)-1))*IF(G112="Ottone",1,0)</f>
        <v>0</v>
      </c>
      <c r="O112" s="255">
        <f ca="1">IF(ISERROR(OFFSET(Rame!$A$1,MATCH(J112,Rame!$A:$A,0)-1,MATCH(L112,Rame!$A$1:$AA$1,0)-1)=TRUE),0,OFFSET(Rame!$A$1,MATCH(J112,Rame!$A:$A,0)-1,MATCH(L112,Rame!$A$1:$AA$1,0)-1))*IF(G112="Rame",1,0)</f>
        <v>0</v>
      </c>
      <c r="P112" s="255">
        <v>0</v>
      </c>
      <c r="Q112" s="255">
        <v>1.47</v>
      </c>
      <c r="R112" s="255">
        <f ca="1">+IF(ISERROR(OFFSET(Tabella!$G$1,MATCH(J112,Tabella!$G:$G,0)-1,MATCH(K112,Tabella!$G$1:$FG$1,0)-1)=TRUE),0,OFFSET(Tabella!$G$1,MATCH(J112,Tabella!$G:$G,0)-1,MATCH(K112,Tabella!$G$1:$AB$1,0)-1))</f>
        <v>0</v>
      </c>
      <c r="S112" s="255">
        <f ca="1">IF(ISERROR(OFFSET(Ottone!$F$1,MATCH(J112,Ottone!$A:$A,0)-1,MATCH(K112,Ottone!$F$1:$FF$1,0)-1)=TRUE),0,OFFSET(Ottone!$F$1,MATCH(J112,Ottone!$A:$A,0)-1,MATCH(K112,Ottone!$F$1:$FF$1,0)-1))*IF(G112="Ottone",1,0)</f>
        <v>0</v>
      </c>
      <c r="T112" s="255">
        <f ca="1">IF(ISERROR(OFFSET(Rame!$F$1,MATCH(J112,Rame!$F:$F,0)-1,MATCH(K112,Rame!$F$1:$FF$1,0)-1)=TRUE),0,OFFSET(Rame!$F$1,MATCH(J112,Rame!$F:$F,0)-1,MATCH(K112,Rame!$F$1:$FF$1,0)-1))*IF(G112="Rame",1,0)</f>
        <v>0</v>
      </c>
      <c r="U112" s="255">
        <f ca="1">IF(ISERROR(OFFSET(Bronzo!$A$1,MATCH(J112,Bronzo!$A:$A,0)-1,MATCH(K112,Bronzo!$A$1:$AA$1,0)-1)=TRUE),0,OFFSET(Bronzo!$A$1,MATCH(J112,Bronzo!$A:$A,0)-1,MATCH(K112,Bronzo!$A$1:$AA$1,0)-1))</f>
        <v>0</v>
      </c>
      <c r="V112" s="255">
        <f t="shared" ca="1" si="74"/>
        <v>0</v>
      </c>
      <c r="W112" s="254"/>
      <c r="X112" s="255">
        <v>0</v>
      </c>
      <c r="Y112" s="256">
        <f t="shared" ca="1" si="75"/>
        <v>1.47</v>
      </c>
      <c r="Z112" s="269">
        <f t="shared" si="76"/>
        <v>120.7</v>
      </c>
      <c r="AA112" s="253">
        <v>3.95</v>
      </c>
      <c r="AB112" s="253">
        <f t="shared" ca="1" si="77"/>
        <v>0</v>
      </c>
      <c r="AC112" s="258"/>
      <c r="AF112" s="223" t="s">
        <v>405</v>
      </c>
      <c r="AH112" s="232">
        <f t="shared" ca="1" si="73"/>
        <v>46120</v>
      </c>
      <c r="AI112" s="232" t="b">
        <f t="shared" si="79"/>
        <v>1</v>
      </c>
      <c r="AJ112" s="259" t="str">
        <f t="shared" si="85"/>
        <v/>
      </c>
      <c r="AM112" s="223">
        <f t="shared" si="81"/>
        <v>0</v>
      </c>
      <c r="AN112" s="223">
        <f t="shared" si="82"/>
        <v>1900</v>
      </c>
      <c r="AU112" s="223">
        <f t="shared" si="83"/>
        <v>0</v>
      </c>
      <c r="AV112" s="223">
        <f t="shared" si="84"/>
        <v>0</v>
      </c>
    </row>
    <row r="113" spans="4:48" ht="26.25" x14ac:dyDescent="0.4">
      <c r="D113" s="246" t="s">
        <v>485</v>
      </c>
      <c r="E113" s="262" t="s">
        <v>212</v>
      </c>
      <c r="F113" s="263">
        <v>1925</v>
      </c>
      <c r="G113" s="249" t="s">
        <v>4</v>
      </c>
      <c r="H113" s="250">
        <v>2.48</v>
      </c>
      <c r="I113" s="251">
        <v>46051</v>
      </c>
      <c r="J113" s="252" t="s">
        <v>29</v>
      </c>
      <c r="K113" s="252"/>
      <c r="L113" s="253">
        <v>0.05</v>
      </c>
      <c r="M113" s="254">
        <f ca="1">IF(ISERROR(OFFSET(Tabella!$A$1,MATCH(J113,Tabella!$A:$A,0)-1,MATCH(L113,Tabella!$A$1:$AC$1,0)-1)=TRUE),0,+OFFSET(Tabella!$A$1,MATCH(J113,Tabella!$A:$A,0)-1,MATCH(L113,Tabella!$A$1:$AC$1,0)-1))</f>
        <v>0</v>
      </c>
      <c r="N113" s="255">
        <f ca="1">IF(ISERROR(OFFSET(Ottone!$A$1,MATCH(J113,Ottone!$A:$A,0)-1,MATCH(L113,Ottone!$A$1:$Z$1,0)-1)=TRUE),0,OFFSET(Ottone!$A$1,MATCH(J113,Ottone!$A:$A,0)-1,MATCH(L113,Ottone!$A$1:$Z$1,0)-1))*IF(G113="Ottone",1,0)</f>
        <v>0</v>
      </c>
      <c r="O113" s="255">
        <f ca="1">IF(ISERROR(OFFSET(Rame!$A$1,MATCH(J113,Rame!$A:$A,0)-1,MATCH(L113,Rame!$A$1:$AA$1,0)-1)=TRUE),0,OFFSET(Rame!$A$1,MATCH(J113,Rame!$A:$A,0)-1,MATCH(L113,Rame!$A$1:$AA$1,0)-1))*IF(G113="Rame",1,0)</f>
        <v>0</v>
      </c>
      <c r="P113" s="255">
        <v>0</v>
      </c>
      <c r="Q113" s="255">
        <v>1.47</v>
      </c>
      <c r="R113" s="255">
        <f ca="1">+IF(ISERROR(OFFSET(Tabella!$G$1,MATCH(J113,Tabella!$G:$G,0)-1,MATCH(K113,Tabella!$G$1:$FG$1,0)-1)=TRUE),0,OFFSET(Tabella!$G$1,MATCH(J113,Tabella!$G:$G,0)-1,MATCH(K113,Tabella!$G$1:$AB$1,0)-1))</f>
        <v>0</v>
      </c>
      <c r="S113" s="255">
        <f ca="1">IF(ISERROR(OFFSET(Ottone!$F$1,MATCH(J113,Ottone!$A:$A,0)-1,MATCH(K113,Ottone!$F$1:$FF$1,0)-1)=TRUE),0,OFFSET(Ottone!$F$1,MATCH(J113,Ottone!$A:$A,0)-1,MATCH(K113,Ottone!$F$1:$FF$1,0)-1))*IF(G113="Ottone",1,0)</f>
        <v>0</v>
      </c>
      <c r="T113" s="255">
        <f ca="1">IF(ISERROR(OFFSET(Rame!$F$1,MATCH(J113,Rame!$F:$F,0)-1,MATCH(K113,Rame!$F$1:$FF$1,0)-1)=TRUE),0,OFFSET(Rame!$F$1,MATCH(J113,Rame!$F:$F,0)-1,MATCH(K113,Rame!$F$1:$FF$1,0)-1))*IF(G113="Rame",1,0)</f>
        <v>0</v>
      </c>
      <c r="U113" s="255">
        <f ca="1">IF(ISERROR(OFFSET(Bronzo!$A$1,MATCH(J113,Bronzo!$A:$A,0)-1,MATCH(K113,Bronzo!$A$1:$AA$1,0)-1)=TRUE),0,OFFSET(Bronzo!$A$1,MATCH(J113,Bronzo!$A:$A,0)-1,MATCH(K113,Bronzo!$A$1:$AA$1,0)-1))</f>
        <v>0</v>
      </c>
      <c r="V113" s="255">
        <f t="shared" ca="1" si="74"/>
        <v>0</v>
      </c>
      <c r="W113" s="254"/>
      <c r="X113" s="255">
        <v>0</v>
      </c>
      <c r="Y113" s="256">
        <f t="shared" ca="1" si="75"/>
        <v>1.47</v>
      </c>
      <c r="Z113" s="269">
        <f t="shared" si="76"/>
        <v>96.25</v>
      </c>
      <c r="AA113" s="253">
        <v>3.95</v>
      </c>
      <c r="AB113" s="253">
        <f t="shared" ca="1" si="77"/>
        <v>0</v>
      </c>
      <c r="AC113" s="258"/>
      <c r="AF113" s="223" t="s">
        <v>405</v>
      </c>
      <c r="AH113" s="232">
        <f t="shared" ca="1" si="73"/>
        <v>46120</v>
      </c>
      <c r="AI113" s="232" t="b">
        <f t="shared" si="79"/>
        <v>1</v>
      </c>
      <c r="AJ113" s="259" t="str">
        <f t="shared" si="85"/>
        <v/>
      </c>
      <c r="AM113" s="223">
        <f t="shared" si="81"/>
        <v>0</v>
      </c>
      <c r="AN113" s="223">
        <f t="shared" si="82"/>
        <v>1900</v>
      </c>
      <c r="AU113" s="223">
        <f t="shared" si="83"/>
        <v>0</v>
      </c>
      <c r="AV113" s="223">
        <f t="shared" si="84"/>
        <v>0</v>
      </c>
    </row>
    <row r="114" spans="4:48" ht="26.25" x14ac:dyDescent="0.4">
      <c r="D114" s="246" t="s">
        <v>485</v>
      </c>
      <c r="E114" s="262" t="s">
        <v>212</v>
      </c>
      <c r="F114" s="263">
        <v>638</v>
      </c>
      <c r="G114" s="249" t="s">
        <v>4</v>
      </c>
      <c r="H114" s="250">
        <v>2.48</v>
      </c>
      <c r="I114" s="251">
        <v>46051</v>
      </c>
      <c r="J114" s="252" t="s">
        <v>29</v>
      </c>
      <c r="K114" s="252"/>
      <c r="L114" s="253">
        <v>0.05</v>
      </c>
      <c r="M114" s="254">
        <f ca="1">IF(ISERROR(OFFSET(Tabella!$A$1,MATCH(J114,Tabella!$A:$A,0)-1,MATCH(L114,Tabella!$A$1:$AC$1,0)-1)=TRUE),0,+OFFSET(Tabella!$A$1,MATCH(J114,Tabella!$A:$A,0)-1,MATCH(L114,Tabella!$A$1:$AC$1,0)-1))</f>
        <v>0</v>
      </c>
      <c r="N114" s="255">
        <f ca="1">IF(ISERROR(OFFSET(Ottone!$A$1,MATCH(J114,Ottone!$A:$A,0)-1,MATCH(L114,Ottone!$A$1:$Z$1,0)-1)=TRUE),0,OFFSET(Ottone!$A$1,MATCH(J114,Ottone!$A:$A,0)-1,MATCH(L114,Ottone!$A$1:$Z$1,0)-1))*IF(G114="Ottone",1,0)</f>
        <v>0</v>
      </c>
      <c r="O114" s="255">
        <f ca="1">IF(ISERROR(OFFSET(Rame!$A$1,MATCH(J114,Rame!$A:$A,0)-1,MATCH(L114,Rame!$A$1:$AA$1,0)-1)=TRUE),0,OFFSET(Rame!$A$1,MATCH(J114,Rame!$A:$A,0)-1,MATCH(L114,Rame!$A$1:$AA$1,0)-1))*IF(G114="Rame",1,0)</f>
        <v>0</v>
      </c>
      <c r="P114" s="255">
        <v>0</v>
      </c>
      <c r="Q114" s="255">
        <v>1.47</v>
      </c>
      <c r="R114" s="255">
        <f ca="1">+IF(ISERROR(OFFSET(Tabella!$G$1,MATCH(J114,Tabella!$G:$G,0)-1,MATCH(K114,Tabella!$G$1:$FG$1,0)-1)=TRUE),0,OFFSET(Tabella!$G$1,MATCH(J114,Tabella!$G:$G,0)-1,MATCH(K114,Tabella!$G$1:$AB$1,0)-1))</f>
        <v>0</v>
      </c>
      <c r="S114" s="255">
        <f ca="1">IF(ISERROR(OFFSET(Ottone!$F$1,MATCH(J114,Ottone!$A:$A,0)-1,MATCH(K114,Ottone!$F$1:$FF$1,0)-1)=TRUE),0,OFFSET(Ottone!$F$1,MATCH(J114,Ottone!$A:$A,0)-1,MATCH(K114,Ottone!$F$1:$FF$1,0)-1))*IF(G114="Ottone",1,0)</f>
        <v>0</v>
      </c>
      <c r="T114" s="255">
        <f ca="1">IF(ISERROR(OFFSET(Rame!$F$1,MATCH(J114,Rame!$F:$F,0)-1,MATCH(K114,Rame!$F$1:$FF$1,0)-1)=TRUE),0,OFFSET(Rame!$F$1,MATCH(J114,Rame!$F:$F,0)-1,MATCH(K114,Rame!$F$1:$FF$1,0)-1))*IF(G114="Rame",1,0)</f>
        <v>0</v>
      </c>
      <c r="U114" s="255">
        <f ca="1">IF(ISERROR(OFFSET(Bronzo!$A$1,MATCH(J114,Bronzo!$A:$A,0)-1,MATCH(K114,Bronzo!$A$1:$AA$1,0)-1)=TRUE),0,OFFSET(Bronzo!$A$1,MATCH(J114,Bronzo!$A:$A,0)-1,MATCH(K114,Bronzo!$A$1:$AA$1,0)-1))</f>
        <v>0</v>
      </c>
      <c r="V114" s="255">
        <f t="shared" ca="1" si="74"/>
        <v>0</v>
      </c>
      <c r="W114" s="254"/>
      <c r="X114" s="255">
        <v>0</v>
      </c>
      <c r="Y114" s="256">
        <f t="shared" ca="1" si="75"/>
        <v>1.47</v>
      </c>
      <c r="Z114" s="269">
        <f t="shared" si="76"/>
        <v>31.900000000000002</v>
      </c>
      <c r="AA114" s="253">
        <v>3.95</v>
      </c>
      <c r="AB114" s="253">
        <f t="shared" ca="1" si="77"/>
        <v>0</v>
      </c>
      <c r="AC114" s="258"/>
      <c r="AF114" s="223" t="s">
        <v>405</v>
      </c>
      <c r="AH114" s="232">
        <f t="shared" ca="1" si="73"/>
        <v>46120</v>
      </c>
      <c r="AI114" s="232" t="b">
        <f t="shared" si="79"/>
        <v>1</v>
      </c>
      <c r="AJ114" s="259" t="str">
        <f t="shared" si="85"/>
        <v/>
      </c>
      <c r="AM114" s="223">
        <f t="shared" si="81"/>
        <v>0</v>
      </c>
      <c r="AN114" s="223">
        <f t="shared" si="82"/>
        <v>1900</v>
      </c>
      <c r="AU114" s="223">
        <f t="shared" si="83"/>
        <v>0</v>
      </c>
      <c r="AV114" s="223">
        <f t="shared" si="84"/>
        <v>0</v>
      </c>
    </row>
    <row r="115" spans="4:48" ht="26.25" x14ac:dyDescent="0.4">
      <c r="D115" s="246" t="s">
        <v>451</v>
      </c>
      <c r="E115" s="262" t="s">
        <v>212</v>
      </c>
      <c r="F115" s="263">
        <v>1716</v>
      </c>
      <c r="G115" s="249" t="s">
        <v>4</v>
      </c>
      <c r="H115" s="250">
        <v>2.48</v>
      </c>
      <c r="I115" s="251">
        <v>46051</v>
      </c>
      <c r="J115" s="252" t="s">
        <v>28</v>
      </c>
      <c r="K115" s="252"/>
      <c r="L115" s="253">
        <v>0.05</v>
      </c>
      <c r="M115" s="254">
        <f ca="1">IF(ISERROR(OFFSET(Tabella!$A$1,MATCH(J115,Tabella!$A:$A,0)-1,MATCH(L115,Tabella!$A$1:$AC$1,0)-1)=TRUE),0,+OFFSET(Tabella!$A$1,MATCH(J115,Tabella!$A:$A,0)-1,MATCH(L115,Tabella!$A$1:$AC$1,0)-1))</f>
        <v>0</v>
      </c>
      <c r="N115" s="255">
        <f ca="1">IF(ISERROR(OFFSET(Ottone!$A$1,MATCH(J115,Ottone!$A:$A,0)-1,MATCH(L115,Ottone!$A$1:$Z$1,0)-1)=TRUE),0,OFFSET(Ottone!$A$1,MATCH(J115,Ottone!$A:$A,0)-1,MATCH(L115,Ottone!$A$1:$Z$1,0)-1))*IF(G115="Ottone",1,0)</f>
        <v>0</v>
      </c>
      <c r="O115" s="255">
        <f ca="1">IF(ISERROR(OFFSET(Rame!$A$1,MATCH(J115,Rame!$A:$A,0)-1,MATCH(L115,Rame!$A$1:$AA$1,0)-1)=TRUE),0,OFFSET(Rame!$A$1,MATCH(J115,Rame!$A:$A,0)-1,MATCH(L115,Rame!$A$1:$AA$1,0)-1))*IF(G115="Rame",1,0)</f>
        <v>0</v>
      </c>
      <c r="P115" s="255">
        <v>0</v>
      </c>
      <c r="Q115" s="255">
        <v>1.47</v>
      </c>
      <c r="R115" s="255">
        <f ca="1">+IF(ISERROR(OFFSET(Tabella!$G$1,MATCH(J115,Tabella!$G:$G,0)-1,MATCH(K115,Tabella!$G$1:$FG$1,0)-1)=TRUE),0,OFFSET(Tabella!$G$1,MATCH(J115,Tabella!$G:$G,0)-1,MATCH(K115,Tabella!$G$1:$AB$1,0)-1))</f>
        <v>0</v>
      </c>
      <c r="S115" s="255">
        <f ca="1">IF(ISERROR(OFFSET(Ottone!$F$1,MATCH(J115,Ottone!$A:$A,0)-1,MATCH(K115,Ottone!$F$1:$FF$1,0)-1)=TRUE),0,OFFSET(Ottone!$F$1,MATCH(J115,Ottone!$A:$A,0)-1,MATCH(K115,Ottone!$F$1:$FF$1,0)-1))*IF(G115="Ottone",1,0)</f>
        <v>0</v>
      </c>
      <c r="T115" s="255">
        <f ca="1">IF(ISERROR(OFFSET(Rame!$F$1,MATCH(J115,Rame!$F:$F,0)-1,MATCH(K115,Rame!$F$1:$FF$1,0)-1)=TRUE),0,OFFSET(Rame!$F$1,MATCH(J115,Rame!$F:$F,0)-1,MATCH(K115,Rame!$F$1:$FF$1,0)-1))*IF(G115="Rame",1,0)</f>
        <v>0</v>
      </c>
      <c r="U115" s="255">
        <f ca="1">IF(ISERROR(OFFSET(Bronzo!$A$1,MATCH(J115,Bronzo!$A:$A,0)-1,MATCH(K115,Bronzo!$A$1:$AA$1,0)-1)=TRUE),0,OFFSET(Bronzo!$A$1,MATCH(J115,Bronzo!$A:$A,0)-1,MATCH(K115,Bronzo!$A$1:$AA$1,0)-1))</f>
        <v>0</v>
      </c>
      <c r="V115" s="255">
        <f t="shared" ca="1" si="74"/>
        <v>0</v>
      </c>
      <c r="W115" s="254"/>
      <c r="X115" s="255">
        <v>0</v>
      </c>
      <c r="Y115" s="256">
        <f t="shared" ca="1" si="75"/>
        <v>1.47</v>
      </c>
      <c r="Z115" s="269">
        <f t="shared" si="76"/>
        <v>85.800000000000011</v>
      </c>
      <c r="AA115" s="253">
        <v>3.95</v>
      </c>
      <c r="AB115" s="253">
        <f t="shared" ca="1" si="77"/>
        <v>0</v>
      </c>
      <c r="AC115" s="258"/>
      <c r="AF115" s="223" t="s">
        <v>405</v>
      </c>
      <c r="AH115" s="232">
        <f t="shared" ca="1" si="73"/>
        <v>46120</v>
      </c>
      <c r="AI115" s="232" t="b">
        <f t="shared" si="79"/>
        <v>1</v>
      </c>
      <c r="AJ115" s="259" t="str">
        <f t="shared" si="85"/>
        <v/>
      </c>
      <c r="AM115" s="223">
        <f t="shared" si="81"/>
        <v>0</v>
      </c>
      <c r="AN115" s="223">
        <f t="shared" si="82"/>
        <v>1900</v>
      </c>
      <c r="AU115" s="223">
        <f t="shared" si="83"/>
        <v>0</v>
      </c>
      <c r="AV115" s="223">
        <f t="shared" si="84"/>
        <v>0</v>
      </c>
    </row>
    <row r="116" spans="4:48" ht="26.25" x14ac:dyDescent="0.4">
      <c r="D116" s="246" t="s">
        <v>521</v>
      </c>
      <c r="E116" s="262" t="s">
        <v>263</v>
      </c>
      <c r="F116" s="263">
        <v>1151</v>
      </c>
      <c r="G116" s="249" t="s">
        <v>4</v>
      </c>
      <c r="H116" s="250">
        <v>2.4900000000000002</v>
      </c>
      <c r="I116" s="251">
        <v>46051</v>
      </c>
      <c r="J116" s="252" t="s">
        <v>13</v>
      </c>
      <c r="K116" s="252"/>
      <c r="L116" s="253">
        <v>7.0000000000000007E-2</v>
      </c>
      <c r="M116" s="254">
        <f ca="1">IF(ISERROR(OFFSET(Tabella!$A$1,MATCH(J116,Tabella!$A:$A,0)-1,MATCH(L116,Tabella!$A$1:$AC$1,0)-1)=TRUE),0,+OFFSET(Tabella!$A$1,MATCH(J116,Tabella!$A:$A,0)-1,MATCH(L116,Tabella!$A$1:$AC$1,0)-1))</f>
        <v>1.4</v>
      </c>
      <c r="N116" s="255">
        <f ca="1">IF(ISERROR(OFFSET(Ottone!$A$1,MATCH(J116,Ottone!$A:$A,0)-1,MATCH(L116,Ottone!$A$1:$Z$1,0)-1)=TRUE),0,OFFSET(Ottone!$A$1,MATCH(J116,Ottone!$A:$A,0)-1,MATCH(L116,Ottone!$A$1:$Z$1,0)-1))*IF(G116="Ottone",1,0)</f>
        <v>0</v>
      </c>
      <c r="O116" s="255">
        <f ca="1">IF(ISERROR(OFFSET(Rame!$A$1,MATCH(J116,Rame!$A:$A,0)-1,MATCH(L116,Rame!$A$1:$AA$1,0)-1)=TRUE),0,OFFSET(Rame!$A$1,MATCH(J116,Rame!$A:$A,0)-1,MATCH(L116,Rame!$A$1:$AA$1,0)-1))*IF(G116="Rame",1,0)</f>
        <v>0</v>
      </c>
      <c r="P116" s="255">
        <v>0</v>
      </c>
      <c r="Q116" s="255">
        <v>1.65</v>
      </c>
      <c r="R116" s="255">
        <f ca="1">+IF(ISERROR(OFFSET(Tabella!$G$1,MATCH(J116,Tabella!$G:$G,0)-1,MATCH(K116,Tabella!$G$1:$FG$1,0)-1)=TRUE),0,OFFSET(Tabella!$G$1,MATCH(J116,Tabella!$G:$G,0)-1,MATCH(K116,Tabella!$G$1:$AB$1,0)-1))</f>
        <v>0</v>
      </c>
      <c r="S116" s="255">
        <f ca="1">IF(ISERROR(OFFSET(Ottone!$F$1,MATCH(J116,Ottone!$A:$A,0)-1,MATCH(K116,Ottone!$F$1:$FF$1,0)-1)=TRUE),0,OFFSET(Ottone!$F$1,MATCH(J116,Ottone!$A:$A,0)-1,MATCH(K116,Ottone!$F$1:$FF$1,0)-1))*IF(G116="Ottone",1,0)</f>
        <v>0</v>
      </c>
      <c r="T116" s="255">
        <f ca="1">IF(ISERROR(OFFSET(Rame!$F$1,MATCH(J116,Rame!$F:$F,0)-1,MATCH(K116,Rame!$F$1:$FF$1,0)-1)=TRUE),0,OFFSET(Rame!$F$1,MATCH(J116,Rame!$F:$F,0)-1,MATCH(K116,Rame!$F$1:$FF$1,0)-1))*IF(G116="Rame",1,0)</f>
        <v>0</v>
      </c>
      <c r="U116" s="255">
        <f ca="1">IF(ISERROR(OFFSET(Bronzo!$A$1,MATCH(J116,Bronzo!$A:$A,0)-1,MATCH(K116,Bronzo!$A$1:$AA$1,0)-1)=TRUE),0,OFFSET(Bronzo!$A$1,MATCH(J116,Bronzo!$A:$A,0)-1,MATCH(K116,Bronzo!$A$1:$AA$1,0)-1))</f>
        <v>0</v>
      </c>
      <c r="V116" s="255">
        <f t="shared" ca="1" si="74"/>
        <v>0</v>
      </c>
      <c r="W116" s="254"/>
      <c r="X116" s="255">
        <v>0</v>
      </c>
      <c r="Y116" s="256">
        <f t="shared" ca="1" si="75"/>
        <v>1.65</v>
      </c>
      <c r="Z116" s="269">
        <f t="shared" si="76"/>
        <v>80.570000000000007</v>
      </c>
      <c r="AA116" s="253">
        <v>4.21</v>
      </c>
      <c r="AB116" s="253">
        <f t="shared" ca="1" si="77"/>
        <v>6.999999999999984E-2</v>
      </c>
      <c r="AC116" s="258"/>
      <c r="AF116" s="223" t="s">
        <v>405</v>
      </c>
      <c r="AH116" s="232">
        <f t="shared" ca="1" si="73"/>
        <v>46120</v>
      </c>
      <c r="AI116" s="232" t="b">
        <f t="shared" si="79"/>
        <v>1</v>
      </c>
      <c r="AJ116" s="259" t="str">
        <f t="shared" si="85"/>
        <v/>
      </c>
      <c r="AM116" s="223">
        <f t="shared" si="81"/>
        <v>0</v>
      </c>
      <c r="AN116" s="223">
        <f t="shared" si="82"/>
        <v>1900</v>
      </c>
      <c r="AU116" s="223">
        <f t="shared" si="83"/>
        <v>0</v>
      </c>
      <c r="AV116" s="223">
        <f t="shared" si="84"/>
        <v>0</v>
      </c>
    </row>
    <row r="117" spans="4:48" ht="26.25" x14ac:dyDescent="0.4">
      <c r="D117" s="246" t="s">
        <v>521</v>
      </c>
      <c r="E117" s="262" t="s">
        <v>263</v>
      </c>
      <c r="F117" s="263">
        <v>700</v>
      </c>
      <c r="G117" s="249" t="s">
        <v>4</v>
      </c>
      <c r="H117" s="250">
        <v>2.4900000000000002</v>
      </c>
      <c r="I117" s="251">
        <v>46051</v>
      </c>
      <c r="J117" s="252" t="s">
        <v>21</v>
      </c>
      <c r="K117" s="252"/>
      <c r="L117" s="253">
        <v>7.0000000000000007E-2</v>
      </c>
      <c r="M117" s="254">
        <f ca="1">IF(ISERROR(OFFSET(Tabella!$A$1,MATCH(J117,Tabella!$A:$A,0)-1,MATCH(L117,Tabella!$A$1:$AC$1,0)-1)=TRUE),0,+OFFSET(Tabella!$A$1,MATCH(J117,Tabella!$A:$A,0)-1,MATCH(L117,Tabella!$A$1:$AC$1,0)-1))</f>
        <v>1.25</v>
      </c>
      <c r="N117" s="255">
        <f ca="1">IF(ISERROR(OFFSET(Ottone!$A$1,MATCH(J117,Ottone!$A:$A,0)-1,MATCH(L117,Ottone!$A$1:$Z$1,0)-1)=TRUE),0,OFFSET(Ottone!$A$1,MATCH(J117,Ottone!$A:$A,0)-1,MATCH(L117,Ottone!$A$1:$Z$1,0)-1))*IF(G117="Ottone",1,0)</f>
        <v>0</v>
      </c>
      <c r="O117" s="255">
        <f ca="1">IF(ISERROR(OFFSET(Rame!$A$1,MATCH(J117,Rame!$A:$A,0)-1,MATCH(L117,Rame!$A$1:$AA$1,0)-1)=TRUE),0,OFFSET(Rame!$A$1,MATCH(J117,Rame!$A:$A,0)-1,MATCH(L117,Rame!$A$1:$AA$1,0)-1))*IF(G117="Rame",1,0)</f>
        <v>0</v>
      </c>
      <c r="P117" s="255">
        <v>0</v>
      </c>
      <c r="Q117" s="255">
        <f t="shared" ca="1" si="78"/>
        <v>1.25</v>
      </c>
      <c r="R117" s="255">
        <f ca="1">+IF(ISERROR(OFFSET(Tabella!$G$1,MATCH(J117,Tabella!$G:$G,0)-1,MATCH(K117,Tabella!$G$1:$FG$1,0)-1)=TRUE),0,OFFSET(Tabella!$G$1,MATCH(J117,Tabella!$G:$G,0)-1,MATCH(K117,Tabella!$G$1:$AB$1,0)-1))</f>
        <v>0</v>
      </c>
      <c r="S117" s="255">
        <f ca="1">IF(ISERROR(OFFSET(Ottone!$F$1,MATCH(J117,Ottone!$A:$A,0)-1,MATCH(K117,Ottone!$F$1:$FF$1,0)-1)=TRUE),0,OFFSET(Ottone!$F$1,MATCH(J117,Ottone!$A:$A,0)-1,MATCH(K117,Ottone!$F$1:$FF$1,0)-1))*IF(G117="Ottone",1,0)</f>
        <v>0</v>
      </c>
      <c r="T117" s="255">
        <f ca="1">IF(ISERROR(OFFSET(Rame!$F$1,MATCH(J117,Rame!$F:$F,0)-1,MATCH(K117,Rame!$F$1:$FF$1,0)-1)=TRUE),0,OFFSET(Rame!$F$1,MATCH(J117,Rame!$F:$F,0)-1,MATCH(K117,Rame!$F$1:$FF$1,0)-1))*IF(G117="Rame",1,0)</f>
        <v>0</v>
      </c>
      <c r="U117" s="255">
        <f ca="1">IF(ISERROR(OFFSET(Bronzo!$A$1,MATCH(J117,Bronzo!$A:$A,0)-1,MATCH(K117,Bronzo!$A$1:$AA$1,0)-1)=TRUE),0,OFFSET(Bronzo!$A$1,MATCH(J117,Bronzo!$A:$A,0)-1,MATCH(K117,Bronzo!$A$1:$AA$1,0)-1))</f>
        <v>0</v>
      </c>
      <c r="V117" s="255">
        <f t="shared" ca="1" si="74"/>
        <v>0</v>
      </c>
      <c r="W117" s="254"/>
      <c r="X117" s="255">
        <v>0</v>
      </c>
      <c r="Y117" s="256">
        <f t="shared" ca="1" si="75"/>
        <v>1.25</v>
      </c>
      <c r="Z117" s="269">
        <f t="shared" si="76"/>
        <v>49.000000000000007</v>
      </c>
      <c r="AA117" s="253">
        <v>4.0599999999999996</v>
      </c>
      <c r="AB117" s="253">
        <f t="shared" ca="1" si="77"/>
        <v>0.3199999999999994</v>
      </c>
      <c r="AC117" s="258"/>
      <c r="AF117" s="223" t="s">
        <v>405</v>
      </c>
      <c r="AH117" s="232">
        <f t="shared" ca="1" si="73"/>
        <v>46120</v>
      </c>
      <c r="AI117" s="232" t="b">
        <f t="shared" si="79"/>
        <v>1</v>
      </c>
      <c r="AJ117" s="259" t="str">
        <f t="shared" si="85"/>
        <v/>
      </c>
      <c r="AM117" s="223">
        <f t="shared" si="81"/>
        <v>0</v>
      </c>
      <c r="AN117" s="223">
        <f t="shared" si="82"/>
        <v>1900</v>
      </c>
      <c r="AU117" s="223">
        <f t="shared" si="83"/>
        <v>0</v>
      </c>
      <c r="AV117" s="223">
        <f t="shared" si="84"/>
        <v>0</v>
      </c>
    </row>
    <row r="118" spans="4:48" ht="26.25" x14ac:dyDescent="0.4">
      <c r="D118" s="246" t="s">
        <v>521</v>
      </c>
      <c r="E118" s="262" t="s">
        <v>263</v>
      </c>
      <c r="F118" s="263">
        <v>1344</v>
      </c>
      <c r="G118" s="249" t="s">
        <v>4</v>
      </c>
      <c r="H118" s="250">
        <v>2.4900000000000002</v>
      </c>
      <c r="I118" s="251">
        <v>46051</v>
      </c>
      <c r="J118" s="252" t="s">
        <v>322</v>
      </c>
      <c r="K118" s="252"/>
      <c r="L118" s="253">
        <v>7.0000000000000007E-2</v>
      </c>
      <c r="M118" s="254">
        <f ca="1">IF(ISERROR(OFFSET(Tabella!$A$1,MATCH(J118,Tabella!$A:$A,0)-1,MATCH(L118,Tabella!$A$1:$AC$1,0)-1)=TRUE),0,+OFFSET(Tabella!$A$1,MATCH(J118,Tabella!$A:$A,0)-1,MATCH(L118,Tabella!$A$1:$AC$1,0)-1))</f>
        <v>1.25</v>
      </c>
      <c r="N118" s="255">
        <f ca="1">IF(ISERROR(OFFSET(Ottone!$A$1,MATCH(J118,Ottone!$A:$A,0)-1,MATCH(L118,Ottone!$A$1:$Z$1,0)-1)=TRUE),0,OFFSET(Ottone!$A$1,MATCH(J118,Ottone!$A:$A,0)-1,MATCH(L118,Ottone!$A$1:$Z$1,0)-1))*IF(G118="Ottone",1,0)</f>
        <v>0</v>
      </c>
      <c r="O118" s="255">
        <f ca="1">IF(ISERROR(OFFSET(Rame!$A$1,MATCH(J118,Rame!$A:$A,0)-1,MATCH(L118,Rame!$A$1:$AA$1,0)-1)=TRUE),0,OFFSET(Rame!$A$1,MATCH(J118,Rame!$A:$A,0)-1,MATCH(L118,Rame!$A$1:$AA$1,0)-1))*IF(G118="Rame",1,0)</f>
        <v>0</v>
      </c>
      <c r="P118" s="255">
        <v>0</v>
      </c>
      <c r="Q118" s="255">
        <f t="shared" ca="1" si="78"/>
        <v>1.25</v>
      </c>
      <c r="R118" s="255">
        <f ca="1">+IF(ISERROR(OFFSET(Tabella!$G$1,MATCH(J118,Tabella!$G:$G,0)-1,MATCH(K118,Tabella!$G$1:$FG$1,0)-1)=TRUE),0,OFFSET(Tabella!$G$1,MATCH(J118,Tabella!$G:$G,0)-1,MATCH(K118,Tabella!$G$1:$AB$1,0)-1))</f>
        <v>0</v>
      </c>
      <c r="S118" s="255">
        <f ca="1">IF(ISERROR(OFFSET(Ottone!$F$1,MATCH(J118,Ottone!$A:$A,0)-1,MATCH(K118,Ottone!$F$1:$FF$1,0)-1)=TRUE),0,OFFSET(Ottone!$F$1,MATCH(J118,Ottone!$A:$A,0)-1,MATCH(K118,Ottone!$F$1:$FF$1,0)-1))*IF(G118="Ottone",1,0)</f>
        <v>0</v>
      </c>
      <c r="T118" s="255">
        <f ca="1">IF(ISERROR(OFFSET(Rame!$F$1,MATCH(J118,Rame!$F:$F,0)-1,MATCH(K118,Rame!$F$1:$FF$1,0)-1)=TRUE),0,OFFSET(Rame!$F$1,MATCH(J118,Rame!$F:$F,0)-1,MATCH(K118,Rame!$F$1:$FF$1,0)-1))*IF(G118="Rame",1,0)</f>
        <v>0</v>
      </c>
      <c r="U118" s="255">
        <f ca="1">IF(ISERROR(OFFSET(Bronzo!$A$1,MATCH(J118,Bronzo!$A:$A,0)-1,MATCH(K118,Bronzo!$A$1:$AA$1,0)-1)=TRUE),0,OFFSET(Bronzo!$A$1,MATCH(J118,Bronzo!$A:$A,0)-1,MATCH(K118,Bronzo!$A$1:$AA$1,0)-1))</f>
        <v>0</v>
      </c>
      <c r="V118" s="255">
        <f t="shared" ca="1" si="74"/>
        <v>0</v>
      </c>
      <c r="W118" s="254"/>
      <c r="X118" s="255">
        <v>0</v>
      </c>
      <c r="Y118" s="256">
        <f t="shared" ca="1" si="75"/>
        <v>1.25</v>
      </c>
      <c r="Z118" s="269">
        <f t="shared" si="76"/>
        <v>94.080000000000013</v>
      </c>
      <c r="AA118" s="253">
        <v>4.0599999999999996</v>
      </c>
      <c r="AB118" s="253">
        <f t="shared" ca="1" si="77"/>
        <v>0.3199999999999994</v>
      </c>
      <c r="AC118" s="258"/>
      <c r="AF118" s="223" t="s">
        <v>405</v>
      </c>
      <c r="AH118" s="232">
        <f t="shared" ca="1" si="73"/>
        <v>46120</v>
      </c>
      <c r="AI118" s="232" t="b">
        <f t="shared" si="79"/>
        <v>1</v>
      </c>
      <c r="AJ118" s="259" t="str">
        <f t="shared" si="85"/>
        <v/>
      </c>
      <c r="AM118" s="223">
        <f t="shared" si="81"/>
        <v>0</v>
      </c>
      <c r="AN118" s="223">
        <f t="shared" si="82"/>
        <v>1900</v>
      </c>
      <c r="AU118" s="223">
        <f t="shared" si="83"/>
        <v>0</v>
      </c>
      <c r="AV118" s="223">
        <f t="shared" si="84"/>
        <v>0</v>
      </c>
    </row>
    <row r="119" spans="4:48" ht="26.25" x14ac:dyDescent="0.4">
      <c r="D119" s="246" t="s">
        <v>452</v>
      </c>
      <c r="E119" s="292" t="s">
        <v>263</v>
      </c>
      <c r="F119" s="293">
        <v>2319</v>
      </c>
      <c r="G119" s="249" t="s">
        <v>4</v>
      </c>
      <c r="H119" s="250">
        <v>2.4900000000000002</v>
      </c>
      <c r="I119" s="251">
        <v>46051</v>
      </c>
      <c r="J119" s="252" t="s">
        <v>15</v>
      </c>
      <c r="K119" s="252"/>
      <c r="L119" s="253">
        <v>7.0000000000000007E-2</v>
      </c>
      <c r="M119" s="254">
        <f ca="1">IF(ISERROR(OFFSET(Tabella!$A$1,MATCH(J119,Tabella!$A:$A,0)-1,MATCH(L119,Tabella!$A$1:$AC$1,0)-1)=TRUE),0,+OFFSET(Tabella!$A$1,MATCH(J119,Tabella!$A:$A,0)-1,MATCH(L119,Tabella!$A$1:$AC$1,0)-1))</f>
        <v>1.4</v>
      </c>
      <c r="N119" s="255">
        <f ca="1">IF(ISERROR(OFFSET(Ottone!$A$1,MATCH(J119,Ottone!$A:$A,0)-1,MATCH(L119,Ottone!$A$1:$Z$1,0)-1)=TRUE),0,OFFSET(Ottone!$A$1,MATCH(J119,Ottone!$A:$A,0)-1,MATCH(L119,Ottone!$A$1:$Z$1,0)-1))*IF(G119="Ottone",1,0)</f>
        <v>0</v>
      </c>
      <c r="O119" s="255">
        <f ca="1">IF(ISERROR(OFFSET(Rame!$A$1,MATCH(J119,Rame!$A:$A,0)-1,MATCH(L119,Rame!$A$1:$AA$1,0)-1)=TRUE),0,OFFSET(Rame!$A$1,MATCH(J119,Rame!$A:$A,0)-1,MATCH(L119,Rame!$A$1:$AA$1,0)-1))*IF(G119="Rame",1,0)</f>
        <v>0</v>
      </c>
      <c r="P119" s="255">
        <v>0</v>
      </c>
      <c r="Q119" s="255">
        <f t="shared" ca="1" si="78"/>
        <v>1.4</v>
      </c>
      <c r="R119" s="255">
        <f ca="1">+IF(ISERROR(OFFSET(Tabella!$G$1,MATCH(J119,Tabella!$G:$G,0)-1,MATCH(K119,Tabella!$G$1:$FG$1,0)-1)=TRUE),0,OFFSET(Tabella!$G$1,MATCH(J119,Tabella!$G:$G,0)-1,MATCH(K119,Tabella!$G$1:$AB$1,0)-1))</f>
        <v>0</v>
      </c>
      <c r="S119" s="255">
        <f ca="1">IF(ISERROR(OFFSET(Ottone!$F$1,MATCH(J119,Ottone!$A:$A,0)-1,MATCH(K119,Ottone!$F$1:$FF$1,0)-1)=TRUE),0,OFFSET(Ottone!$F$1,MATCH(J119,Ottone!$A:$A,0)-1,MATCH(K119,Ottone!$F$1:$FF$1,0)-1))*IF(G119="Ottone",1,0)</f>
        <v>0</v>
      </c>
      <c r="T119" s="255">
        <f ca="1">IF(ISERROR(OFFSET(Rame!$F$1,MATCH(J119,Rame!$F:$F,0)-1,MATCH(K119,Rame!$F$1:$FF$1,0)-1)=TRUE),0,OFFSET(Rame!$F$1,MATCH(J119,Rame!$F:$F,0)-1,MATCH(K119,Rame!$F$1:$FF$1,0)-1))*IF(G119="Rame",1,0)</f>
        <v>0</v>
      </c>
      <c r="U119" s="255">
        <f ca="1">IF(ISERROR(OFFSET(Bronzo!$A$1,MATCH(J119,Bronzo!$A:$A,0)-1,MATCH(K119,Bronzo!$A$1:$AA$1,0)-1)=TRUE),0,OFFSET(Bronzo!$A$1,MATCH(J119,Bronzo!$A:$A,0)-1,MATCH(K119,Bronzo!$A$1:$AA$1,0)-1))</f>
        <v>0</v>
      </c>
      <c r="V119" s="255">
        <f t="shared" ca="1" si="74"/>
        <v>0</v>
      </c>
      <c r="W119" s="254"/>
      <c r="X119" s="255">
        <v>0</v>
      </c>
      <c r="Y119" s="256">
        <f t="shared" ca="1" si="75"/>
        <v>1.4</v>
      </c>
      <c r="Z119" s="291">
        <f t="shared" si="76"/>
        <v>162.33000000000001</v>
      </c>
      <c r="AA119" s="253">
        <v>4.21</v>
      </c>
      <c r="AB119" s="253">
        <f t="shared" ca="1" si="77"/>
        <v>0.31999999999999984</v>
      </c>
      <c r="AC119" s="258"/>
      <c r="AH119" s="232">
        <f t="shared" ca="1" si="73"/>
        <v>46120</v>
      </c>
      <c r="AI119" s="232" t="b">
        <f t="shared" si="79"/>
        <v>1</v>
      </c>
      <c r="AJ119" s="259" t="str">
        <f t="shared" si="85"/>
        <v/>
      </c>
      <c r="AM119" s="223">
        <f t="shared" si="81"/>
        <v>0</v>
      </c>
      <c r="AN119" s="223">
        <f t="shared" si="82"/>
        <v>1900</v>
      </c>
      <c r="AU119" s="223">
        <f t="shared" si="83"/>
        <v>0</v>
      </c>
      <c r="AV119" s="223">
        <f t="shared" si="84"/>
        <v>0</v>
      </c>
    </row>
    <row r="120" spans="4:48" ht="26.25" x14ac:dyDescent="0.4">
      <c r="D120" s="246" t="s">
        <v>521</v>
      </c>
      <c r="E120" s="262" t="s">
        <v>263</v>
      </c>
      <c r="F120" s="263">
        <v>1034</v>
      </c>
      <c r="G120" s="249" t="s">
        <v>4</v>
      </c>
      <c r="H120" s="250">
        <v>2.4900000000000002</v>
      </c>
      <c r="I120" s="251">
        <v>46051</v>
      </c>
      <c r="J120" s="252" t="s">
        <v>9</v>
      </c>
      <c r="K120" s="252"/>
      <c r="L120" s="253">
        <v>7.0000000000000007E-2</v>
      </c>
      <c r="M120" s="254">
        <f ca="1">IF(ISERROR(OFFSET(Tabella!$A$1,MATCH(J120,Tabella!$A:$A,0)-1,MATCH(L120,Tabella!$A$1:$AC$1,0)-1)=TRUE),0,+OFFSET(Tabella!$A$1,MATCH(J120,Tabella!$A:$A,0)-1,MATCH(L120,Tabella!$A$1:$AC$1,0)-1))</f>
        <v>1.6</v>
      </c>
      <c r="N120" s="255">
        <f ca="1">IF(ISERROR(OFFSET(Ottone!$A$1,MATCH(J120,Ottone!$A:$A,0)-1,MATCH(L120,Ottone!$A$1:$Z$1,0)-1)=TRUE),0,OFFSET(Ottone!$A$1,MATCH(J120,Ottone!$A:$A,0)-1,MATCH(L120,Ottone!$A$1:$Z$1,0)-1))*IF(G120="Ottone",1,0)</f>
        <v>0</v>
      </c>
      <c r="O120" s="255">
        <f ca="1">IF(ISERROR(OFFSET(Rame!$A$1,MATCH(J120,Rame!$A:$A,0)-1,MATCH(L120,Rame!$A$1:$AA$1,0)-1)=TRUE),0,OFFSET(Rame!$A$1,MATCH(J120,Rame!$A:$A,0)-1,MATCH(L120,Rame!$A$1:$AA$1,0)-1))*IF(G120="Rame",1,0)</f>
        <v>0</v>
      </c>
      <c r="P120" s="255">
        <v>0</v>
      </c>
      <c r="Q120" s="255">
        <f t="shared" ca="1" si="78"/>
        <v>1.6</v>
      </c>
      <c r="R120" s="255">
        <f ca="1">+IF(ISERROR(OFFSET(Tabella!$G$1,MATCH(J120,Tabella!$G:$G,0)-1,MATCH(K120,Tabella!$G$1:$FG$1,0)-1)=TRUE),0,OFFSET(Tabella!$G$1,MATCH(J120,Tabella!$G:$G,0)-1,MATCH(K120,Tabella!$G$1:$AB$1,0)-1))</f>
        <v>0</v>
      </c>
      <c r="S120" s="255">
        <f ca="1">IF(ISERROR(OFFSET(Ottone!$F$1,MATCH(J120,Ottone!$A:$A,0)-1,MATCH(K120,Ottone!$F$1:$FF$1,0)-1)=TRUE),0,OFFSET(Ottone!$F$1,MATCH(J120,Ottone!$A:$A,0)-1,MATCH(K120,Ottone!$F$1:$FF$1,0)-1))*IF(G120="Ottone",1,0)</f>
        <v>0</v>
      </c>
      <c r="T120" s="255">
        <f ca="1">IF(ISERROR(OFFSET(Rame!$F$1,MATCH(J120,Rame!$F:$F,0)-1,MATCH(K120,Rame!$F$1:$FF$1,0)-1)=TRUE),0,OFFSET(Rame!$F$1,MATCH(J120,Rame!$F:$F,0)-1,MATCH(K120,Rame!$F$1:$FF$1,0)-1))*IF(G120="Rame",1,0)</f>
        <v>0</v>
      </c>
      <c r="U120" s="255">
        <f ca="1">IF(ISERROR(OFFSET(Bronzo!$A$1,MATCH(J120,Bronzo!$A:$A,0)-1,MATCH(K120,Bronzo!$A$1:$AA$1,0)-1)=TRUE),0,OFFSET(Bronzo!$A$1,MATCH(J120,Bronzo!$A:$A,0)-1,MATCH(K120,Bronzo!$A$1:$AA$1,0)-1))</f>
        <v>0</v>
      </c>
      <c r="V120" s="255">
        <f t="shared" ca="1" si="74"/>
        <v>0</v>
      </c>
      <c r="W120" s="254"/>
      <c r="X120" s="255">
        <v>0</v>
      </c>
      <c r="Y120" s="256">
        <f t="shared" ca="1" si="75"/>
        <v>1.6</v>
      </c>
      <c r="Z120" s="269">
        <f t="shared" si="76"/>
        <v>72.38000000000001</v>
      </c>
      <c r="AA120" s="253">
        <v>4.3600000000000003</v>
      </c>
      <c r="AB120" s="253">
        <f t="shared" ca="1" si="77"/>
        <v>0.27</v>
      </c>
      <c r="AC120" s="258"/>
      <c r="AF120" s="223" t="s">
        <v>405</v>
      </c>
      <c r="AH120" s="232">
        <f t="shared" ca="1" si="73"/>
        <v>46120</v>
      </c>
      <c r="AI120" s="232" t="b">
        <f t="shared" si="79"/>
        <v>1</v>
      </c>
      <c r="AJ120" s="259" t="str">
        <f t="shared" si="85"/>
        <v/>
      </c>
      <c r="AM120" s="223">
        <f t="shared" si="81"/>
        <v>0</v>
      </c>
      <c r="AN120" s="223">
        <f t="shared" si="82"/>
        <v>1900</v>
      </c>
      <c r="AU120" s="223">
        <f t="shared" si="83"/>
        <v>0</v>
      </c>
      <c r="AV120" s="223">
        <f t="shared" si="84"/>
        <v>0</v>
      </c>
    </row>
    <row r="121" spans="4:48" ht="26.25" x14ac:dyDescent="0.4">
      <c r="D121" s="246" t="s">
        <v>459</v>
      </c>
      <c r="E121" s="252" t="s">
        <v>441</v>
      </c>
      <c r="F121" s="276">
        <v>480</v>
      </c>
      <c r="G121" s="249" t="s">
        <v>4</v>
      </c>
      <c r="H121" s="250">
        <v>2.63</v>
      </c>
      <c r="I121" s="251">
        <v>46052</v>
      </c>
      <c r="J121" s="252" t="s">
        <v>28</v>
      </c>
      <c r="K121" s="252"/>
      <c r="L121" s="253">
        <v>0.19</v>
      </c>
      <c r="M121" s="254">
        <f ca="1">IF(ISERROR(OFFSET(Tabella!$A$1,MATCH(J121,Tabella!$A:$A,0)-1,MATCH(L121,Tabella!$A$1:$AC$1,0)-1)=TRUE),0,+OFFSET(Tabella!$A$1,MATCH(J121,Tabella!$A:$A,0)-1,MATCH(L121,Tabella!$A$1:$AC$1,0)-1))</f>
        <v>0</v>
      </c>
      <c r="N121" s="255">
        <f ca="1">IF(ISERROR(OFFSET(Ottone!$A$1,MATCH(J121,Ottone!$A:$A,0)-1,MATCH(L121,Ottone!$A$1:$Z$1,0)-1)=TRUE),0,OFFSET(Ottone!$A$1,MATCH(J121,Ottone!$A:$A,0)-1,MATCH(L121,Ottone!$A$1:$Z$1,0)-1))*IF(G121="Ottone",1,0)</f>
        <v>0</v>
      </c>
      <c r="O121" s="255">
        <f ca="1">IF(ISERROR(OFFSET(Rame!$A$1,MATCH(J121,Rame!$A:$A,0)-1,MATCH(L121,Rame!$A$1:$AA$1,0)-1)=TRUE),0,OFFSET(Rame!$A$1,MATCH(J121,Rame!$A:$A,0)-1,MATCH(L121,Rame!$A$1:$AA$1,0)-1))*IF(G121="Rame",1,0)</f>
        <v>0</v>
      </c>
      <c r="P121" s="255">
        <v>0</v>
      </c>
      <c r="Q121" s="255">
        <v>1.79</v>
      </c>
      <c r="R121" s="255">
        <f ca="1">+IF(ISERROR(OFFSET(Tabella!$G$1,MATCH(J121,Tabella!$G:$G,0)-1,MATCH(K121,Tabella!$G$1:$FG$1,0)-1)=TRUE),0,OFFSET(Tabella!$G$1,MATCH(J121,Tabella!$G:$G,0)-1,MATCH(K121,Tabella!$G$1:$AB$1,0)-1))</f>
        <v>0</v>
      </c>
      <c r="S121" s="255">
        <f ca="1">IF(ISERROR(OFFSET(Ottone!$F$1,MATCH(J121,Ottone!$A:$A,0)-1,MATCH(K121,Ottone!$F$1:$FF$1,0)-1)=TRUE),0,OFFSET(Ottone!$F$1,MATCH(J121,Ottone!$A:$A,0)-1,MATCH(K121,Ottone!$F$1:$FF$1,0)-1))*IF(G121="Ottone",1,0)</f>
        <v>0</v>
      </c>
      <c r="T121" s="255">
        <f ca="1">IF(ISERROR(OFFSET(Rame!$F$1,MATCH(J121,Rame!$F:$F,0)-1,MATCH(K121,Rame!$F$1:$FF$1,0)-1)=TRUE),0,OFFSET(Rame!$F$1,MATCH(J121,Rame!$F:$F,0)-1,MATCH(K121,Rame!$F$1:$FF$1,0)-1))*IF(G121="Rame",1,0)</f>
        <v>0</v>
      </c>
      <c r="U121" s="255">
        <f ca="1">IF(ISERROR(OFFSET(Bronzo!$A$1,MATCH(J121,Bronzo!$A:$A,0)-1,MATCH(K121,Bronzo!$A$1:$AA$1,0)-1)=TRUE),0,OFFSET(Bronzo!$A$1,MATCH(J121,Bronzo!$A:$A,0)-1,MATCH(K121,Bronzo!$A$1:$AA$1,0)-1))</f>
        <v>0</v>
      </c>
      <c r="V121" s="255">
        <f t="shared" ca="1" si="74"/>
        <v>0</v>
      </c>
      <c r="W121" s="254"/>
      <c r="X121" s="255">
        <v>0</v>
      </c>
      <c r="Y121" s="256">
        <f t="shared" ca="1" si="75"/>
        <v>1.79</v>
      </c>
      <c r="Z121" s="257">
        <f t="shared" si="76"/>
        <v>91.2</v>
      </c>
      <c r="AA121" s="253">
        <v>4.5</v>
      </c>
      <c r="AB121" s="253">
        <f t="shared" ca="1" si="77"/>
        <v>8.0000000000000071E-2</v>
      </c>
      <c r="AC121" s="258">
        <v>46122</v>
      </c>
      <c r="AH121" s="232">
        <f t="shared" ref="AH121:AH163" ca="1" si="86">TODAY()</f>
        <v>46120</v>
      </c>
      <c r="AI121" s="232" t="b">
        <f t="shared" si="79"/>
        <v>0</v>
      </c>
      <c r="AJ121" s="259">
        <f t="shared" ca="1" si="85"/>
        <v>2</v>
      </c>
      <c r="AM121" s="223">
        <f t="shared" si="81"/>
        <v>15</v>
      </c>
      <c r="AN121" s="223">
        <f t="shared" si="82"/>
        <v>2026</v>
      </c>
      <c r="AU121" s="223">
        <f t="shared" si="83"/>
        <v>4</v>
      </c>
      <c r="AV121" s="223">
        <f t="shared" si="84"/>
        <v>2026</v>
      </c>
    </row>
    <row r="122" spans="4:48" ht="26.25" x14ac:dyDescent="0.4">
      <c r="D122" s="246" t="s">
        <v>480</v>
      </c>
      <c r="E122" s="262" t="s">
        <v>212</v>
      </c>
      <c r="F122" s="263">
        <v>1894</v>
      </c>
      <c r="G122" s="249" t="s">
        <v>4</v>
      </c>
      <c r="H122" s="250">
        <v>2.48</v>
      </c>
      <c r="I122" s="251">
        <v>46052</v>
      </c>
      <c r="J122" s="252" t="s">
        <v>21</v>
      </c>
      <c r="K122" s="252"/>
      <c r="L122" s="253">
        <v>0.05</v>
      </c>
      <c r="M122" s="254">
        <f ca="1">IF(ISERROR(OFFSET(Tabella!$A$1,MATCH(J122,Tabella!$A:$A,0)-1,MATCH(L122,Tabella!$A$1:$AC$1,0)-1)=TRUE),0,+OFFSET(Tabella!$A$1,MATCH(J122,Tabella!$A:$A,0)-1,MATCH(L122,Tabella!$A$1:$AC$1,0)-1))</f>
        <v>0</v>
      </c>
      <c r="N122" s="255">
        <f ca="1">IF(ISERROR(OFFSET(Ottone!$A$1,MATCH(J122,Ottone!$A:$A,0)-1,MATCH(L122,Ottone!$A$1:$Z$1,0)-1)=TRUE),0,OFFSET(Ottone!$A$1,MATCH(J122,Ottone!$A:$A,0)-1,MATCH(L122,Ottone!$A$1:$Z$1,0)-1))*IF(G122="Ottone",1,0)</f>
        <v>0</v>
      </c>
      <c r="O122" s="255">
        <f ca="1">IF(ISERROR(OFFSET(Rame!$A$1,MATCH(J122,Rame!$A:$A,0)-1,MATCH(L122,Rame!$A$1:$AA$1,0)-1)=TRUE),0,OFFSET(Rame!$A$1,MATCH(J122,Rame!$A:$A,0)-1,MATCH(L122,Rame!$A$1:$AA$1,0)-1))*IF(G122="Rame",1,0)</f>
        <v>0</v>
      </c>
      <c r="P122" s="255">
        <v>0</v>
      </c>
      <c r="Q122" s="255">
        <v>1.47</v>
      </c>
      <c r="R122" s="255">
        <f ca="1">+IF(ISERROR(OFFSET(Tabella!$G$1,MATCH(J122,Tabella!$G:$G,0)-1,MATCH(K122,Tabella!$G$1:$FG$1,0)-1)=TRUE),0,OFFSET(Tabella!$G$1,MATCH(J122,Tabella!$G:$G,0)-1,MATCH(K122,Tabella!$G$1:$AB$1,0)-1))</f>
        <v>0</v>
      </c>
      <c r="S122" s="255">
        <f ca="1">IF(ISERROR(OFFSET(Ottone!$F$1,MATCH(J122,Ottone!$A:$A,0)-1,MATCH(K122,Ottone!$F$1:$FF$1,0)-1)=TRUE),0,OFFSET(Ottone!$F$1,MATCH(J122,Ottone!$A:$A,0)-1,MATCH(K122,Ottone!$F$1:$FF$1,0)-1))*IF(G122="Ottone",1,0)</f>
        <v>0</v>
      </c>
      <c r="T122" s="255">
        <f ca="1">IF(ISERROR(OFFSET(Rame!$F$1,MATCH(J122,Rame!$F:$F,0)-1,MATCH(K122,Rame!$F$1:$FF$1,0)-1)=TRUE),0,OFFSET(Rame!$F$1,MATCH(J122,Rame!$F:$F,0)-1,MATCH(K122,Rame!$F$1:$FF$1,0)-1))*IF(G122="Rame",1,0)</f>
        <v>0</v>
      </c>
      <c r="U122" s="255">
        <f ca="1">IF(ISERROR(OFFSET(Bronzo!$A$1,MATCH(J122,Bronzo!$A:$A,0)-1,MATCH(K122,Bronzo!$A$1:$AA$1,0)-1)=TRUE),0,OFFSET(Bronzo!$A$1,MATCH(J122,Bronzo!$A:$A,0)-1,MATCH(K122,Bronzo!$A$1:$AA$1,0)-1))</f>
        <v>0</v>
      </c>
      <c r="V122" s="255">
        <f t="shared" ca="1" si="74"/>
        <v>0</v>
      </c>
      <c r="W122" s="254"/>
      <c r="X122" s="255">
        <v>0</v>
      </c>
      <c r="Y122" s="256">
        <f t="shared" ca="1" si="75"/>
        <v>1.47</v>
      </c>
      <c r="Z122" s="269">
        <f t="shared" si="76"/>
        <v>94.7</v>
      </c>
      <c r="AA122" s="253">
        <v>3.95</v>
      </c>
      <c r="AB122" s="253">
        <f t="shared" ca="1" si="77"/>
        <v>0</v>
      </c>
      <c r="AC122" s="258"/>
      <c r="AF122" s="223" t="s">
        <v>405</v>
      </c>
      <c r="AG122" s="223" t="s">
        <v>481</v>
      </c>
      <c r="AH122" s="232">
        <f t="shared" ca="1" si="86"/>
        <v>46120</v>
      </c>
      <c r="AI122" s="232" t="b">
        <f t="shared" si="79"/>
        <v>1</v>
      </c>
      <c r="AJ122" s="259" t="str">
        <f t="shared" si="85"/>
        <v/>
      </c>
      <c r="AM122" s="223">
        <f t="shared" si="81"/>
        <v>0</v>
      </c>
      <c r="AN122" s="223">
        <f t="shared" si="82"/>
        <v>1900</v>
      </c>
      <c r="AU122" s="223">
        <f t="shared" si="83"/>
        <v>0</v>
      </c>
      <c r="AV122" s="223">
        <f t="shared" si="84"/>
        <v>0</v>
      </c>
    </row>
    <row r="123" spans="4:48" ht="26.25" x14ac:dyDescent="0.4">
      <c r="D123" s="246" t="s">
        <v>474</v>
      </c>
      <c r="E123" s="262" t="s">
        <v>212</v>
      </c>
      <c r="F123" s="263">
        <v>4890</v>
      </c>
      <c r="G123" s="249" t="s">
        <v>4</v>
      </c>
      <c r="H123" s="250">
        <v>2.48</v>
      </c>
      <c r="I123" s="251">
        <v>46052</v>
      </c>
      <c r="J123" s="252" t="s">
        <v>310</v>
      </c>
      <c r="K123" s="252"/>
      <c r="L123" s="253">
        <v>0.05</v>
      </c>
      <c r="M123" s="254">
        <f ca="1">IF(ISERROR(OFFSET(Tabella!$A$1,MATCH(J123,Tabella!$A:$A,0)-1,MATCH(L123,Tabella!$A$1:$AC$1,0)-1)=TRUE),0,+OFFSET(Tabella!$A$1,MATCH(J123,Tabella!$A:$A,0)-1,MATCH(L123,Tabella!$A$1:$AC$1,0)-1))</f>
        <v>0</v>
      </c>
      <c r="N123" s="255">
        <f ca="1">IF(ISERROR(OFFSET(Ottone!$A$1,MATCH(J123,Ottone!$A:$A,0)-1,MATCH(L123,Ottone!$A$1:$Z$1,0)-1)=TRUE),0,OFFSET(Ottone!$A$1,MATCH(J123,Ottone!$A:$A,0)-1,MATCH(L123,Ottone!$A$1:$Z$1,0)-1))*IF(G123="Ottone",1,0)</f>
        <v>0</v>
      </c>
      <c r="O123" s="255">
        <f ca="1">IF(ISERROR(OFFSET(Rame!$A$1,MATCH(J123,Rame!$A:$A,0)-1,MATCH(L123,Rame!$A$1:$AA$1,0)-1)=TRUE),0,OFFSET(Rame!$A$1,MATCH(J123,Rame!$A:$A,0)-1,MATCH(L123,Rame!$A$1:$AA$1,0)-1))*IF(G123="Rame",1,0)</f>
        <v>0</v>
      </c>
      <c r="P123" s="255">
        <v>0</v>
      </c>
      <c r="Q123" s="255">
        <v>1.37</v>
      </c>
      <c r="R123" s="255">
        <f ca="1">+IF(ISERROR(OFFSET(Tabella!$G$1,MATCH(J123,Tabella!$G:$G,0)-1,MATCH(K123,Tabella!$G$1:$FG$1,0)-1)=TRUE),0,OFFSET(Tabella!$G$1,MATCH(J123,Tabella!$G:$G,0)-1,MATCH(K123,Tabella!$G$1:$AB$1,0)-1))</f>
        <v>0</v>
      </c>
      <c r="S123" s="255">
        <f ca="1">IF(ISERROR(OFFSET(Ottone!$F$1,MATCH(J123,Ottone!$A:$A,0)-1,MATCH(K123,Ottone!$F$1:$FF$1,0)-1)=TRUE),0,OFFSET(Ottone!$F$1,MATCH(J123,Ottone!$A:$A,0)-1,MATCH(K123,Ottone!$F$1:$FF$1,0)-1))*IF(G123="Ottone",1,0)</f>
        <v>0</v>
      </c>
      <c r="T123" s="255">
        <f ca="1">IF(ISERROR(OFFSET(Rame!$F$1,MATCH(J123,Rame!$F:$F,0)-1,MATCH(K123,Rame!$F$1:$FF$1,0)-1)=TRUE),0,OFFSET(Rame!$F$1,MATCH(J123,Rame!$F:$F,0)-1,MATCH(K123,Rame!$F$1:$FF$1,0)-1))*IF(G123="Rame",1,0)</f>
        <v>0</v>
      </c>
      <c r="U123" s="255">
        <f ca="1">IF(ISERROR(OFFSET(Bronzo!$A$1,MATCH(J123,Bronzo!$A:$A,0)-1,MATCH(K123,Bronzo!$A$1:$AA$1,0)-1)=TRUE),0,OFFSET(Bronzo!$A$1,MATCH(J123,Bronzo!$A:$A,0)-1,MATCH(K123,Bronzo!$A$1:$AA$1,0)-1))</f>
        <v>0</v>
      </c>
      <c r="V123" s="255">
        <f t="shared" ca="1" si="74"/>
        <v>0</v>
      </c>
      <c r="W123" s="254"/>
      <c r="X123" s="255">
        <v>0</v>
      </c>
      <c r="Y123" s="256">
        <f t="shared" ca="1" si="75"/>
        <v>1.37</v>
      </c>
      <c r="Z123" s="269">
        <f t="shared" si="76"/>
        <v>244.5</v>
      </c>
      <c r="AA123" s="253">
        <v>3.85</v>
      </c>
      <c r="AB123" s="253">
        <f t="shared" ca="1" si="77"/>
        <v>0</v>
      </c>
      <c r="AC123" s="258"/>
      <c r="AF123" s="223" t="s">
        <v>405</v>
      </c>
      <c r="AH123" s="232">
        <f t="shared" ca="1" si="86"/>
        <v>46120</v>
      </c>
      <c r="AI123" s="232" t="b">
        <f t="shared" si="79"/>
        <v>1</v>
      </c>
      <c r="AJ123" s="259" t="str">
        <f t="shared" si="85"/>
        <v/>
      </c>
      <c r="AM123" s="223">
        <f t="shared" si="81"/>
        <v>0</v>
      </c>
      <c r="AN123" s="223">
        <f t="shared" si="82"/>
        <v>1900</v>
      </c>
      <c r="AU123" s="223">
        <f t="shared" si="83"/>
        <v>0</v>
      </c>
      <c r="AV123" s="223">
        <f t="shared" si="84"/>
        <v>0</v>
      </c>
    </row>
    <row r="124" spans="4:48" ht="26.25" x14ac:dyDescent="0.4">
      <c r="D124" s="246" t="s">
        <v>474</v>
      </c>
      <c r="E124" s="262" t="s">
        <v>212</v>
      </c>
      <c r="F124" s="263">
        <v>9582</v>
      </c>
      <c r="G124" s="249" t="s">
        <v>4</v>
      </c>
      <c r="H124" s="250">
        <v>2.48</v>
      </c>
      <c r="I124" s="251">
        <v>46052</v>
      </c>
      <c r="J124" s="252" t="s">
        <v>310</v>
      </c>
      <c r="K124" s="252"/>
      <c r="L124" s="253">
        <v>0.05</v>
      </c>
      <c r="M124" s="254">
        <f ca="1">IF(ISERROR(OFFSET(Tabella!$A$1,MATCH(J124,Tabella!$A:$A,0)-1,MATCH(L124,Tabella!$A$1:$AC$1,0)-1)=TRUE),0,+OFFSET(Tabella!$A$1,MATCH(J124,Tabella!$A:$A,0)-1,MATCH(L124,Tabella!$A$1:$AC$1,0)-1))</f>
        <v>0</v>
      </c>
      <c r="N124" s="255">
        <f ca="1">IF(ISERROR(OFFSET(Ottone!$A$1,MATCH(J124,Ottone!$A:$A,0)-1,MATCH(L124,Ottone!$A$1:$Z$1,0)-1)=TRUE),0,OFFSET(Ottone!$A$1,MATCH(J124,Ottone!$A:$A,0)-1,MATCH(L124,Ottone!$A$1:$Z$1,0)-1))*IF(G124="Ottone",1,0)</f>
        <v>0</v>
      </c>
      <c r="O124" s="255">
        <f ca="1">IF(ISERROR(OFFSET(Rame!$A$1,MATCH(J124,Rame!$A:$A,0)-1,MATCH(L124,Rame!$A$1:$AA$1,0)-1)=TRUE),0,OFFSET(Rame!$A$1,MATCH(J124,Rame!$A:$A,0)-1,MATCH(L124,Rame!$A$1:$AA$1,0)-1))*IF(G124="Rame",1,0)</f>
        <v>0</v>
      </c>
      <c r="P124" s="255">
        <v>0</v>
      </c>
      <c r="Q124" s="255">
        <v>1.37</v>
      </c>
      <c r="R124" s="255">
        <f ca="1">+IF(ISERROR(OFFSET(Tabella!$G$1,MATCH(J124,Tabella!$G:$G,0)-1,MATCH(K124,Tabella!$G$1:$FG$1,0)-1)=TRUE),0,OFFSET(Tabella!$G$1,MATCH(J124,Tabella!$G:$G,0)-1,MATCH(K124,Tabella!$G$1:$AB$1,0)-1))</f>
        <v>0</v>
      </c>
      <c r="S124" s="255">
        <f ca="1">IF(ISERROR(OFFSET(Ottone!$F$1,MATCH(J124,Ottone!$A:$A,0)-1,MATCH(K124,Ottone!$F$1:$FF$1,0)-1)=TRUE),0,OFFSET(Ottone!$F$1,MATCH(J124,Ottone!$A:$A,0)-1,MATCH(K124,Ottone!$F$1:$FF$1,0)-1))*IF(G124="Ottone",1,0)</f>
        <v>0</v>
      </c>
      <c r="T124" s="255">
        <f ca="1">IF(ISERROR(OFFSET(Rame!$F$1,MATCH(J124,Rame!$F:$F,0)-1,MATCH(K124,Rame!$F$1:$FF$1,0)-1)=TRUE),0,OFFSET(Rame!$F$1,MATCH(J124,Rame!$F:$F,0)-1,MATCH(K124,Rame!$F$1:$FF$1,0)-1))*IF(G124="Rame",1,0)</f>
        <v>0</v>
      </c>
      <c r="U124" s="255">
        <f ca="1">IF(ISERROR(OFFSET(Bronzo!$A$1,MATCH(J124,Bronzo!$A:$A,0)-1,MATCH(K124,Bronzo!$A$1:$AA$1,0)-1)=TRUE),0,OFFSET(Bronzo!$A$1,MATCH(J124,Bronzo!$A:$A,0)-1,MATCH(K124,Bronzo!$A$1:$AA$1,0)-1))</f>
        <v>0</v>
      </c>
      <c r="V124" s="255">
        <f t="shared" ca="1" si="74"/>
        <v>0</v>
      </c>
      <c r="W124" s="254"/>
      <c r="X124" s="255">
        <v>0</v>
      </c>
      <c r="Y124" s="256">
        <f t="shared" ca="1" si="75"/>
        <v>1.37</v>
      </c>
      <c r="Z124" s="269">
        <f t="shared" si="76"/>
        <v>479.1</v>
      </c>
      <c r="AA124" s="253">
        <v>3.85</v>
      </c>
      <c r="AB124" s="253">
        <f t="shared" ca="1" si="77"/>
        <v>0</v>
      </c>
      <c r="AC124" s="258"/>
      <c r="AF124" s="223" t="s">
        <v>405</v>
      </c>
      <c r="AH124" s="232">
        <f t="shared" ca="1" si="86"/>
        <v>46120</v>
      </c>
      <c r="AI124" s="232" t="b">
        <f t="shared" si="79"/>
        <v>1</v>
      </c>
      <c r="AJ124" s="259" t="str">
        <f t="shared" si="85"/>
        <v/>
      </c>
      <c r="AM124" s="223">
        <f t="shared" si="81"/>
        <v>0</v>
      </c>
      <c r="AN124" s="223">
        <f t="shared" si="82"/>
        <v>1900</v>
      </c>
      <c r="AU124" s="223">
        <f t="shared" si="83"/>
        <v>0</v>
      </c>
      <c r="AV124" s="223">
        <f t="shared" si="84"/>
        <v>0</v>
      </c>
    </row>
    <row r="125" spans="4:48" ht="26.25" x14ac:dyDescent="0.4">
      <c r="D125" s="246" t="s">
        <v>479</v>
      </c>
      <c r="E125" s="262" t="s">
        <v>212</v>
      </c>
      <c r="F125" s="263">
        <v>9620</v>
      </c>
      <c r="G125" s="249" t="s">
        <v>4</v>
      </c>
      <c r="H125" s="250">
        <v>2.48</v>
      </c>
      <c r="I125" s="251">
        <v>46052</v>
      </c>
      <c r="J125" s="252" t="s">
        <v>310</v>
      </c>
      <c r="K125" s="252"/>
      <c r="L125" s="253">
        <v>0.05</v>
      </c>
      <c r="M125" s="254">
        <f ca="1">IF(ISERROR(OFFSET(Tabella!$A$1,MATCH(J125,Tabella!$A:$A,0)-1,MATCH(L125,Tabella!$A$1:$AC$1,0)-1)=TRUE),0,+OFFSET(Tabella!$A$1,MATCH(J125,Tabella!$A:$A,0)-1,MATCH(L125,Tabella!$A$1:$AC$1,0)-1))</f>
        <v>0</v>
      </c>
      <c r="N125" s="255">
        <f ca="1">IF(ISERROR(OFFSET(Ottone!$A$1,MATCH(J125,Ottone!$A:$A,0)-1,MATCH(L125,Ottone!$A$1:$Z$1,0)-1)=TRUE),0,OFFSET(Ottone!$A$1,MATCH(J125,Ottone!$A:$A,0)-1,MATCH(L125,Ottone!$A$1:$Z$1,0)-1))*IF(G125="Ottone",1,0)</f>
        <v>0</v>
      </c>
      <c r="O125" s="255">
        <f ca="1">IF(ISERROR(OFFSET(Rame!$A$1,MATCH(J125,Rame!$A:$A,0)-1,MATCH(L125,Rame!$A$1:$AA$1,0)-1)=TRUE),0,OFFSET(Rame!$A$1,MATCH(J125,Rame!$A:$A,0)-1,MATCH(L125,Rame!$A$1:$AA$1,0)-1))*IF(G125="Rame",1,0)</f>
        <v>0</v>
      </c>
      <c r="P125" s="255">
        <v>0</v>
      </c>
      <c r="Q125" s="255">
        <v>1.37</v>
      </c>
      <c r="R125" s="255">
        <f ca="1">+IF(ISERROR(OFFSET(Tabella!$G$1,MATCH(J125,Tabella!$G:$G,0)-1,MATCH(K125,Tabella!$G$1:$FG$1,0)-1)=TRUE),0,OFFSET(Tabella!$G$1,MATCH(J125,Tabella!$G:$G,0)-1,MATCH(K125,Tabella!$G$1:$AB$1,0)-1))</f>
        <v>0</v>
      </c>
      <c r="S125" s="255">
        <f ca="1">IF(ISERROR(OFFSET(Ottone!$F$1,MATCH(J125,Ottone!$A:$A,0)-1,MATCH(K125,Ottone!$F$1:$FF$1,0)-1)=TRUE),0,OFFSET(Ottone!$F$1,MATCH(J125,Ottone!$A:$A,0)-1,MATCH(K125,Ottone!$F$1:$FF$1,0)-1))*IF(G125="Ottone",1,0)</f>
        <v>0</v>
      </c>
      <c r="T125" s="255">
        <f ca="1">IF(ISERROR(OFFSET(Rame!$F$1,MATCH(J125,Rame!$F:$F,0)-1,MATCH(K125,Rame!$F$1:$FF$1,0)-1)=TRUE),0,OFFSET(Rame!$F$1,MATCH(J125,Rame!$F:$F,0)-1,MATCH(K125,Rame!$F$1:$FF$1,0)-1))*IF(G125="Rame",1,0)</f>
        <v>0</v>
      </c>
      <c r="U125" s="255">
        <f ca="1">IF(ISERROR(OFFSET(Bronzo!$A$1,MATCH(J125,Bronzo!$A:$A,0)-1,MATCH(K125,Bronzo!$A$1:$AA$1,0)-1)=TRUE),0,OFFSET(Bronzo!$A$1,MATCH(J125,Bronzo!$A:$A,0)-1,MATCH(K125,Bronzo!$A$1:$AA$1,0)-1))</f>
        <v>0</v>
      </c>
      <c r="V125" s="255">
        <f t="shared" ca="1" si="74"/>
        <v>0</v>
      </c>
      <c r="W125" s="254"/>
      <c r="X125" s="255">
        <v>0</v>
      </c>
      <c r="Y125" s="256">
        <f t="shared" ca="1" si="75"/>
        <v>1.37</v>
      </c>
      <c r="Z125" s="269">
        <f t="shared" si="76"/>
        <v>481</v>
      </c>
      <c r="AA125" s="253">
        <v>3.85</v>
      </c>
      <c r="AB125" s="253">
        <f t="shared" ca="1" si="77"/>
        <v>0</v>
      </c>
      <c r="AC125" s="258"/>
      <c r="AF125" s="223" t="s">
        <v>405</v>
      </c>
      <c r="AH125" s="232">
        <f t="shared" ca="1" si="86"/>
        <v>46120</v>
      </c>
      <c r="AI125" s="232" t="b">
        <f t="shared" si="79"/>
        <v>1</v>
      </c>
      <c r="AJ125" s="259" t="str">
        <f t="shared" si="85"/>
        <v/>
      </c>
      <c r="AM125" s="223">
        <f t="shared" si="81"/>
        <v>0</v>
      </c>
      <c r="AN125" s="223">
        <f t="shared" si="82"/>
        <v>1900</v>
      </c>
      <c r="AU125" s="223">
        <f t="shared" si="83"/>
        <v>0</v>
      </c>
      <c r="AV125" s="223">
        <f t="shared" si="84"/>
        <v>0</v>
      </c>
    </row>
    <row r="126" spans="4:48" ht="26.25" x14ac:dyDescent="0.4">
      <c r="D126" s="246" t="s">
        <v>515</v>
      </c>
      <c r="E126" s="262" t="s">
        <v>212</v>
      </c>
      <c r="F126" s="263">
        <v>8274</v>
      </c>
      <c r="G126" s="249" t="s">
        <v>4</v>
      </c>
      <c r="H126" s="250">
        <v>2.48</v>
      </c>
      <c r="I126" s="251">
        <v>46052</v>
      </c>
      <c r="J126" s="252" t="s">
        <v>310</v>
      </c>
      <c r="K126" s="252"/>
      <c r="L126" s="253">
        <v>0.05</v>
      </c>
      <c r="M126" s="254">
        <f ca="1">IF(ISERROR(OFFSET(Tabella!$A$1,MATCH(J126,Tabella!$A:$A,0)-1,MATCH(L126,Tabella!$A$1:$AC$1,0)-1)=TRUE),0,+OFFSET(Tabella!$A$1,MATCH(J126,Tabella!$A:$A,0)-1,MATCH(L126,Tabella!$A$1:$AC$1,0)-1))</f>
        <v>0</v>
      </c>
      <c r="N126" s="255">
        <f ca="1">IF(ISERROR(OFFSET(Ottone!$A$1,MATCH(J126,Ottone!$A:$A,0)-1,MATCH(L126,Ottone!$A$1:$Z$1,0)-1)=TRUE),0,OFFSET(Ottone!$A$1,MATCH(J126,Ottone!$A:$A,0)-1,MATCH(L126,Ottone!$A$1:$Z$1,0)-1))*IF(G126="Ottone",1,0)</f>
        <v>0</v>
      </c>
      <c r="O126" s="255">
        <f ca="1">IF(ISERROR(OFFSET(Rame!$A$1,MATCH(J126,Rame!$A:$A,0)-1,MATCH(L126,Rame!$A$1:$AA$1,0)-1)=TRUE),0,OFFSET(Rame!$A$1,MATCH(J126,Rame!$A:$A,0)-1,MATCH(L126,Rame!$A$1:$AA$1,0)-1))*IF(G126="Rame",1,0)</f>
        <v>0</v>
      </c>
      <c r="P126" s="255">
        <v>0</v>
      </c>
      <c r="Q126" s="255">
        <v>1.37</v>
      </c>
      <c r="R126" s="255">
        <f ca="1">+IF(ISERROR(OFFSET(Tabella!$G$1,MATCH(J126,Tabella!$G:$G,0)-1,MATCH(K126,Tabella!$G$1:$FG$1,0)-1)=TRUE),0,OFFSET(Tabella!$G$1,MATCH(J126,Tabella!$G:$G,0)-1,MATCH(K126,Tabella!$G$1:$AB$1,0)-1))</f>
        <v>0</v>
      </c>
      <c r="S126" s="255">
        <f ca="1">IF(ISERROR(OFFSET(Ottone!$F$1,MATCH(J126,Ottone!$A:$A,0)-1,MATCH(K126,Ottone!$F$1:$FF$1,0)-1)=TRUE),0,OFFSET(Ottone!$F$1,MATCH(J126,Ottone!$A:$A,0)-1,MATCH(K126,Ottone!$F$1:$FF$1,0)-1))*IF(G126="Ottone",1,0)</f>
        <v>0</v>
      </c>
      <c r="T126" s="255">
        <f ca="1">IF(ISERROR(OFFSET(Rame!$F$1,MATCH(J126,Rame!$F:$F,0)-1,MATCH(K126,Rame!$F$1:$FF$1,0)-1)=TRUE),0,OFFSET(Rame!$F$1,MATCH(J126,Rame!$F:$F,0)-1,MATCH(K126,Rame!$F$1:$FF$1,0)-1))*IF(G126="Rame",1,0)</f>
        <v>0</v>
      </c>
      <c r="U126" s="255">
        <f ca="1">IF(ISERROR(OFFSET(Bronzo!$A$1,MATCH(J126,Bronzo!$A:$A,0)-1,MATCH(K126,Bronzo!$A$1:$AA$1,0)-1)=TRUE),0,OFFSET(Bronzo!$A$1,MATCH(J126,Bronzo!$A:$A,0)-1,MATCH(K126,Bronzo!$A$1:$AA$1,0)-1))</f>
        <v>0</v>
      </c>
      <c r="V126" s="255">
        <f t="shared" ca="1" si="74"/>
        <v>0</v>
      </c>
      <c r="W126" s="254"/>
      <c r="X126" s="255">
        <v>0</v>
      </c>
      <c r="Y126" s="256">
        <f t="shared" ca="1" si="75"/>
        <v>1.37</v>
      </c>
      <c r="Z126" s="269">
        <f t="shared" si="76"/>
        <v>413.70000000000005</v>
      </c>
      <c r="AA126" s="253">
        <v>3.85</v>
      </c>
      <c r="AB126" s="253">
        <f t="shared" ca="1" si="77"/>
        <v>0</v>
      </c>
      <c r="AC126" s="258"/>
      <c r="AF126" s="223" t="s">
        <v>405</v>
      </c>
      <c r="AH126" s="232">
        <f t="shared" ca="1" si="86"/>
        <v>46120</v>
      </c>
      <c r="AI126" s="232" t="b">
        <f t="shared" si="79"/>
        <v>1</v>
      </c>
      <c r="AJ126" s="259" t="str">
        <f t="shared" si="85"/>
        <v/>
      </c>
      <c r="AM126" s="223">
        <f t="shared" si="81"/>
        <v>0</v>
      </c>
      <c r="AN126" s="223">
        <f t="shared" si="82"/>
        <v>1900</v>
      </c>
      <c r="AU126" s="223">
        <f t="shared" si="83"/>
        <v>0</v>
      </c>
      <c r="AV126" s="223">
        <f t="shared" si="84"/>
        <v>0</v>
      </c>
    </row>
    <row r="127" spans="4:48" ht="26.25" x14ac:dyDescent="0.4">
      <c r="D127" s="246" t="s">
        <v>458</v>
      </c>
      <c r="E127" s="252" t="s">
        <v>397</v>
      </c>
      <c r="F127" s="276">
        <v>600</v>
      </c>
      <c r="G127" s="249" t="s">
        <v>4</v>
      </c>
      <c r="H127" s="250">
        <v>2.65</v>
      </c>
      <c r="I127" s="251">
        <v>46052</v>
      </c>
      <c r="J127" s="252" t="s">
        <v>13</v>
      </c>
      <c r="K127" s="252"/>
      <c r="L127" s="253">
        <v>7.0000000000000007E-2</v>
      </c>
      <c r="M127" s="254">
        <f ca="1">IF(ISERROR(OFFSET(Tabella!$A$1,MATCH(J127,Tabella!$A:$A,0)-1,MATCH(L127,Tabella!$A$1:$AC$1,0)-1)=TRUE),0,+OFFSET(Tabella!$A$1,MATCH(J127,Tabella!$A:$A,0)-1,MATCH(L127,Tabella!$A$1:$AC$1,0)-1))</f>
        <v>1.4</v>
      </c>
      <c r="N127" s="255">
        <f ca="1">IF(ISERROR(OFFSET(Ottone!$A$1,MATCH(J127,Ottone!$A:$A,0)-1,MATCH(L127,Ottone!$A$1:$Z$1,0)-1)=TRUE),0,OFFSET(Ottone!$A$1,MATCH(J127,Ottone!$A:$A,0)-1,MATCH(L127,Ottone!$A$1:$Z$1,0)-1))*IF(G127="Ottone",1,0)</f>
        <v>0</v>
      </c>
      <c r="O127" s="255">
        <f ca="1">IF(ISERROR(OFFSET(Rame!$A$1,MATCH(J127,Rame!$A:$A,0)-1,MATCH(L127,Rame!$A$1:$AA$1,0)-1)=TRUE),0,OFFSET(Rame!$A$1,MATCH(J127,Rame!$A:$A,0)-1,MATCH(L127,Rame!$A$1:$AA$1,0)-1))*IF(G127="Rame",1,0)</f>
        <v>0</v>
      </c>
      <c r="P127" s="255">
        <v>0</v>
      </c>
      <c r="Q127" s="255">
        <f t="shared" ca="1" si="78"/>
        <v>1.4</v>
      </c>
      <c r="R127" s="255">
        <f ca="1">+IF(ISERROR(OFFSET(Tabella!$G$1,MATCH(J127,Tabella!$G:$G,0)-1,MATCH(K127,Tabella!$G$1:$FG$1,0)-1)=TRUE),0,OFFSET(Tabella!$G$1,MATCH(J127,Tabella!$G:$G,0)-1,MATCH(K127,Tabella!$G$1:$AB$1,0)-1))</f>
        <v>0</v>
      </c>
      <c r="S127" s="255">
        <f ca="1">IF(ISERROR(OFFSET(Ottone!$F$1,MATCH(J127,Ottone!$A:$A,0)-1,MATCH(K127,Ottone!$F$1:$FF$1,0)-1)=TRUE),0,OFFSET(Ottone!$F$1,MATCH(J127,Ottone!$A:$A,0)-1,MATCH(K127,Ottone!$F$1:$FF$1,0)-1))*IF(G127="Ottone",1,0)</f>
        <v>0</v>
      </c>
      <c r="T127" s="255">
        <f ca="1">IF(ISERROR(OFFSET(Rame!$F$1,MATCH(J127,Rame!$F:$F,0)-1,MATCH(K127,Rame!$F$1:$FF$1,0)-1)=TRUE),0,OFFSET(Rame!$F$1,MATCH(J127,Rame!$F:$F,0)-1,MATCH(K127,Rame!$F$1:$FF$1,0)-1))*IF(G127="Rame",1,0)</f>
        <v>0</v>
      </c>
      <c r="U127" s="255">
        <f ca="1">IF(ISERROR(OFFSET(Bronzo!$A$1,MATCH(J127,Bronzo!$A:$A,0)-1,MATCH(K127,Bronzo!$A$1:$AA$1,0)-1)=TRUE),0,OFFSET(Bronzo!$A$1,MATCH(J127,Bronzo!$A:$A,0)-1,MATCH(K127,Bronzo!$A$1:$AA$1,0)-1))</f>
        <v>0</v>
      </c>
      <c r="V127" s="255">
        <f t="shared" ca="1" si="74"/>
        <v>0</v>
      </c>
      <c r="W127" s="254"/>
      <c r="X127" s="255">
        <v>0</v>
      </c>
      <c r="Y127" s="256">
        <f t="shared" ca="1" si="75"/>
        <v>1.4</v>
      </c>
      <c r="Z127" s="257">
        <f>+L127*F127</f>
        <v>42.000000000000007</v>
      </c>
      <c r="AA127" s="253">
        <v>4.55</v>
      </c>
      <c r="AB127" s="253">
        <f t="shared" ca="1" si="77"/>
        <v>0.5</v>
      </c>
      <c r="AC127" s="258">
        <v>46192</v>
      </c>
      <c r="AH127" s="232">
        <f t="shared" ca="1" si="86"/>
        <v>46120</v>
      </c>
      <c r="AI127" s="232" t="b">
        <f t="shared" si="79"/>
        <v>0</v>
      </c>
      <c r="AJ127" s="259">
        <f t="shared" ca="1" si="85"/>
        <v>72</v>
      </c>
      <c r="AM127" s="223">
        <f t="shared" si="81"/>
        <v>25</v>
      </c>
      <c r="AN127" s="223">
        <f t="shared" si="82"/>
        <v>2026</v>
      </c>
      <c r="AU127" s="223">
        <f t="shared" si="83"/>
        <v>6</v>
      </c>
      <c r="AV127" s="223">
        <f t="shared" si="84"/>
        <v>2026</v>
      </c>
    </row>
    <row r="128" spans="4:48" ht="26.25" x14ac:dyDescent="0.4">
      <c r="D128" s="246" t="s">
        <v>458</v>
      </c>
      <c r="E128" s="252" t="s">
        <v>397</v>
      </c>
      <c r="F128" s="276">
        <v>500</v>
      </c>
      <c r="G128" s="249" t="s">
        <v>4</v>
      </c>
      <c r="H128" s="250">
        <v>2.6</v>
      </c>
      <c r="I128" s="251">
        <v>46052</v>
      </c>
      <c r="J128" s="252" t="s">
        <v>13</v>
      </c>
      <c r="K128" s="252"/>
      <c r="L128" s="253">
        <v>7.0000000000000007E-2</v>
      </c>
      <c r="M128" s="254"/>
      <c r="N128" s="255"/>
      <c r="O128" s="255"/>
      <c r="P128" s="255"/>
      <c r="Q128" s="255">
        <v>1.5</v>
      </c>
      <c r="R128" s="255"/>
      <c r="S128" s="255"/>
      <c r="T128" s="255"/>
      <c r="U128" s="255"/>
      <c r="V128" s="255"/>
      <c r="W128" s="254"/>
      <c r="X128" s="255"/>
      <c r="Y128" s="256">
        <v>1.5</v>
      </c>
      <c r="Z128" s="257">
        <f>+L128*F128</f>
        <v>35</v>
      </c>
      <c r="AA128" s="253">
        <v>4.47</v>
      </c>
      <c r="AB128" s="253"/>
      <c r="AC128" s="258">
        <v>46192</v>
      </c>
      <c r="AI128" s="232" t="b">
        <f t="shared" si="79"/>
        <v>0</v>
      </c>
      <c r="AJ128" s="259"/>
      <c r="AM128" s="223">
        <f t="shared" si="81"/>
        <v>25</v>
      </c>
      <c r="AN128" s="223">
        <f t="shared" si="82"/>
        <v>2026</v>
      </c>
      <c r="AU128" s="223">
        <f t="shared" si="83"/>
        <v>6</v>
      </c>
      <c r="AV128" s="223">
        <f t="shared" si="84"/>
        <v>2026</v>
      </c>
    </row>
    <row r="129" spans="4:48" ht="26.25" x14ac:dyDescent="0.4">
      <c r="D129" s="246" t="s">
        <v>622</v>
      </c>
      <c r="E129" s="262" t="s">
        <v>102</v>
      </c>
      <c r="F129" s="263">
        <v>2408</v>
      </c>
      <c r="G129" s="249" t="s">
        <v>4</v>
      </c>
      <c r="H129" s="250">
        <v>2.65</v>
      </c>
      <c r="I129" s="251">
        <v>46052</v>
      </c>
      <c r="J129" s="252" t="s">
        <v>26</v>
      </c>
      <c r="K129" s="252"/>
      <c r="L129" s="253">
        <v>7.0000000000000007E-2</v>
      </c>
      <c r="M129" s="254">
        <f ca="1">IF(ISERROR(OFFSET(Tabella!$A$1,MATCH(J129,Tabella!$A:$A,0)-1,MATCH(L129,Tabella!$A$1:$AC$1,0)-1)=TRUE),0,+OFFSET(Tabella!$A$1,MATCH(J129,Tabella!$A:$A,0)-1,MATCH(L129,Tabella!$A$1:$AC$1,0)-1))</f>
        <v>1.25</v>
      </c>
      <c r="N129" s="255">
        <f ca="1">IF(ISERROR(OFFSET(Ottone!$A$1,MATCH(J129,Ottone!$A:$A,0)-1,MATCH(L129,Ottone!$A$1:$Z$1,0)-1)=TRUE),0,OFFSET(Ottone!$A$1,MATCH(J129,Ottone!$A:$A,0)-1,MATCH(L129,Ottone!$A$1:$Z$1,0)-1))*IF(G129="Ottone",1,0)</f>
        <v>0</v>
      </c>
      <c r="O129" s="255">
        <f ca="1">IF(ISERROR(OFFSET(Rame!$A$1,MATCH(J129,Rame!$A:$A,0)-1,MATCH(L129,Rame!$A$1:$AA$1,0)-1)=TRUE),0,OFFSET(Rame!$A$1,MATCH(J129,Rame!$A:$A,0)-1,MATCH(L129,Rame!$A$1:$AA$1,0)-1))*IF(G129="Rame",1,0)</f>
        <v>0</v>
      </c>
      <c r="P129" s="255">
        <v>0</v>
      </c>
      <c r="Q129" s="255">
        <v>1.5</v>
      </c>
      <c r="R129" s="255">
        <f ca="1">+IF(ISERROR(OFFSET(Tabella!$G$1,MATCH(J129,Tabella!$G:$G,0)-1,MATCH(K129,Tabella!$G$1:$FG$1,0)-1)=TRUE),0,OFFSET(Tabella!$G$1,MATCH(J129,Tabella!$G:$G,0)-1,MATCH(K129,Tabella!$G$1:$AB$1,0)-1))</f>
        <v>0</v>
      </c>
      <c r="S129" s="255">
        <f ca="1">IF(ISERROR(OFFSET(Ottone!$F$1,MATCH(J129,Ottone!$A:$A,0)-1,MATCH(K129,Ottone!$F$1:$FF$1,0)-1)=TRUE),0,OFFSET(Ottone!$F$1,MATCH(J129,Ottone!$A:$A,0)-1,MATCH(K129,Ottone!$F$1:$FF$1,0)-1))*IF(G129="Ottone",1,0)</f>
        <v>0</v>
      </c>
      <c r="T129" s="255">
        <f ca="1">IF(ISERROR(OFFSET(Rame!$F$1,MATCH(J129,Rame!$F:$F,0)-1,MATCH(K129,Rame!$F$1:$FF$1,0)-1)=TRUE),0,OFFSET(Rame!$F$1,MATCH(J129,Rame!$F:$F,0)-1,MATCH(K129,Rame!$F$1:$FF$1,0)-1))*IF(G129="Rame",1,0)</f>
        <v>0</v>
      </c>
      <c r="U129" s="255">
        <f ca="1">IF(ISERROR(OFFSET(Bronzo!$A$1,MATCH(J129,Bronzo!$A:$A,0)-1,MATCH(K129,Bronzo!$A$1:$AA$1,0)-1)=TRUE),0,OFFSET(Bronzo!$A$1,MATCH(J129,Bronzo!$A:$A,0)-1,MATCH(K129,Bronzo!$A$1:$AA$1,0)-1))</f>
        <v>0</v>
      </c>
      <c r="V129" s="255">
        <f t="shared" ca="1" si="74"/>
        <v>0</v>
      </c>
      <c r="W129" s="254"/>
      <c r="X129" s="255">
        <v>0</v>
      </c>
      <c r="Y129" s="256">
        <f t="shared" ca="1" si="75"/>
        <v>1.5</v>
      </c>
      <c r="Z129" s="269">
        <f t="shared" si="76"/>
        <v>168.56</v>
      </c>
      <c r="AA129" s="253">
        <v>4.0999999999999996</v>
      </c>
      <c r="AB129" s="253">
        <f t="shared" ca="1" si="77"/>
        <v>-5.0000000000000266E-2</v>
      </c>
      <c r="AC129" s="258"/>
      <c r="AF129" s="223" t="s">
        <v>405</v>
      </c>
      <c r="AH129" s="232">
        <f t="shared" ca="1" si="86"/>
        <v>46120</v>
      </c>
      <c r="AI129" s="232" t="b">
        <f t="shared" si="79"/>
        <v>1</v>
      </c>
      <c r="AJ129" s="259" t="str">
        <f t="shared" ref="AJ129:AJ145" si="87">IF(AI129=FALSE,_xlfn.DAYS(AC129,AH129),"")</f>
        <v/>
      </c>
      <c r="AM129" s="223">
        <f t="shared" si="81"/>
        <v>0</v>
      </c>
      <c r="AN129" s="223">
        <f t="shared" si="82"/>
        <v>1900</v>
      </c>
      <c r="AU129" s="223">
        <f t="shared" si="83"/>
        <v>0</v>
      </c>
      <c r="AV129" s="223">
        <f t="shared" si="84"/>
        <v>0</v>
      </c>
    </row>
    <row r="130" spans="4:48" ht="26.25" x14ac:dyDescent="0.4">
      <c r="D130" s="246" t="s">
        <v>674</v>
      </c>
      <c r="E130" s="262" t="s">
        <v>102</v>
      </c>
      <c r="F130" s="263">
        <v>1881</v>
      </c>
      <c r="G130" s="249" t="s">
        <v>4</v>
      </c>
      <c r="H130" s="250">
        <v>2.65</v>
      </c>
      <c r="I130" s="251">
        <v>46050</v>
      </c>
      <c r="J130" s="252" t="s">
        <v>9</v>
      </c>
      <c r="K130" s="252"/>
      <c r="L130" s="253">
        <v>7.0000000000000007E-2</v>
      </c>
      <c r="M130" s="254">
        <f ca="1">IF(ISERROR(OFFSET(Tabella!$A$1,MATCH(J130,Tabella!$A:$A,0)-1,MATCH(L130,Tabella!$A$1:$AC$1,0)-1)=TRUE),0,+OFFSET(Tabella!$A$1,MATCH(J130,Tabella!$A:$A,0)-1,MATCH(L130,Tabella!$A$1:$AC$1,0)-1))</f>
        <v>1.6</v>
      </c>
      <c r="N130" s="255">
        <f ca="1">IF(ISERROR(OFFSET(Ottone!$A$1,MATCH(J130,Ottone!$A:$A,0)-1,MATCH(L130,Ottone!$A$1:$Z$1,0)-1)=TRUE),0,OFFSET(Ottone!$A$1,MATCH(J130,Ottone!$A:$A,0)-1,MATCH(L130,Ottone!$A$1:$Z$1,0)-1))*IF(G130="Ottone",1,0)</f>
        <v>0</v>
      </c>
      <c r="O130" s="255">
        <f ca="1">IF(ISERROR(OFFSET(Rame!$A$1,MATCH(J130,Rame!$A:$A,0)-1,MATCH(L130,Rame!$A$1:$AA$1,0)-1)=TRUE),0,OFFSET(Rame!$A$1,MATCH(J130,Rame!$A:$A,0)-1,MATCH(L130,Rame!$A$1:$AA$1,0)-1))*IF(G130="Rame",1,0)</f>
        <v>0</v>
      </c>
      <c r="P130" s="255">
        <v>0</v>
      </c>
      <c r="Q130" s="255">
        <v>1.8</v>
      </c>
      <c r="R130" s="255">
        <f ca="1">+IF(ISERROR(OFFSET(Tabella!$G$1,MATCH(J130,Tabella!$G:$G,0)-1,MATCH(K130,Tabella!$G$1:$FG$1,0)-1)=TRUE),0,OFFSET(Tabella!$G$1,MATCH(J130,Tabella!$G:$G,0)-1,MATCH(K130,Tabella!$G$1:$AB$1,0)-1))</f>
        <v>0</v>
      </c>
      <c r="S130" s="255">
        <f ca="1">IF(ISERROR(OFFSET(Ottone!$F$1,MATCH(J130,Ottone!$A:$A,0)-1,MATCH(K130,Ottone!$F$1:$FF$1,0)-1)=TRUE),0,OFFSET(Ottone!$F$1,MATCH(J130,Ottone!$A:$A,0)-1,MATCH(K130,Ottone!$F$1:$FF$1,0)-1))*IF(G130="Ottone",1,0)</f>
        <v>0</v>
      </c>
      <c r="T130" s="255">
        <f ca="1">IF(ISERROR(OFFSET(Rame!$F$1,MATCH(J130,Rame!$F:$F,0)-1,MATCH(K130,Rame!$F$1:$FF$1,0)-1)=TRUE),0,OFFSET(Rame!$F$1,MATCH(J130,Rame!$F:$F,0)-1,MATCH(K130,Rame!$F$1:$FF$1,0)-1))*IF(G130="Rame",1,0)</f>
        <v>0</v>
      </c>
      <c r="U130" s="255">
        <f ca="1">IF(ISERROR(OFFSET(Bronzo!$A$1,MATCH(J130,Bronzo!$A:$A,0)-1,MATCH(K130,Bronzo!$A$1:$AA$1,0)-1)=TRUE),0,OFFSET(Bronzo!$A$1,MATCH(J130,Bronzo!$A:$A,0)-1,MATCH(K130,Bronzo!$A$1:$AA$1,0)-1))</f>
        <v>0</v>
      </c>
      <c r="V130" s="255">
        <f t="shared" ref="V130:V178" ca="1" si="88">SUM(R130:U130)</f>
        <v>0</v>
      </c>
      <c r="W130" s="254"/>
      <c r="X130" s="255">
        <v>0</v>
      </c>
      <c r="Y130" s="256">
        <f t="shared" ref="Y130:Y178" ca="1" si="89">+Q130+V130+W130+X130</f>
        <v>1.8</v>
      </c>
      <c r="Z130" s="269">
        <f t="shared" ref="Z130:Z178" si="90">+L130*F130</f>
        <v>131.67000000000002</v>
      </c>
      <c r="AA130" s="253">
        <v>4.4000000000000004</v>
      </c>
      <c r="AB130" s="253">
        <f t="shared" ref="AB130:AB178" ca="1" si="91">+AA130-Y130-H130</f>
        <v>-4.9999999999999378E-2</v>
      </c>
      <c r="AC130" s="258"/>
      <c r="AF130" s="223" t="s">
        <v>405</v>
      </c>
      <c r="AH130" s="232">
        <f t="shared" ca="1" si="86"/>
        <v>46120</v>
      </c>
      <c r="AI130" s="232" t="b">
        <f t="shared" si="79"/>
        <v>1</v>
      </c>
      <c r="AJ130" s="259" t="str">
        <f t="shared" si="87"/>
        <v/>
      </c>
      <c r="AM130" s="223">
        <f t="shared" si="81"/>
        <v>0</v>
      </c>
      <c r="AN130" s="223">
        <f t="shared" si="82"/>
        <v>1900</v>
      </c>
      <c r="AU130" s="223">
        <f t="shared" si="83"/>
        <v>0</v>
      </c>
      <c r="AV130" s="223">
        <f t="shared" si="84"/>
        <v>0</v>
      </c>
    </row>
    <row r="131" spans="4:48" ht="26.25" x14ac:dyDescent="0.4">
      <c r="D131" s="246" t="s">
        <v>622</v>
      </c>
      <c r="E131" s="262" t="s">
        <v>102</v>
      </c>
      <c r="F131" s="263">
        <v>1114</v>
      </c>
      <c r="G131" s="249" t="s">
        <v>4</v>
      </c>
      <c r="H131" s="250">
        <v>2.65</v>
      </c>
      <c r="I131" s="251">
        <v>46050</v>
      </c>
      <c r="J131" s="252" t="s">
        <v>23</v>
      </c>
      <c r="K131" s="252"/>
      <c r="L131" s="253">
        <v>7.0000000000000007E-2</v>
      </c>
      <c r="M131" s="254">
        <f ca="1">IF(ISERROR(OFFSET(Tabella!$A$1,MATCH(J131,Tabella!$A:$A,0)-1,MATCH(L131,Tabella!$A$1:$AC$1,0)-1)=TRUE),0,+OFFSET(Tabella!$A$1,MATCH(J131,Tabella!$A:$A,0)-1,MATCH(L131,Tabella!$A$1:$AC$1,0)-1))</f>
        <v>1.25</v>
      </c>
      <c r="N131" s="255">
        <f ca="1">IF(ISERROR(OFFSET(Ottone!$A$1,MATCH(J131,Ottone!$A:$A,0)-1,MATCH(L131,Ottone!$A$1:$Z$1,0)-1)=TRUE),0,OFFSET(Ottone!$A$1,MATCH(J131,Ottone!$A:$A,0)-1,MATCH(L131,Ottone!$A$1:$Z$1,0)-1))*IF(G131="Ottone",1,0)</f>
        <v>0</v>
      </c>
      <c r="O131" s="255">
        <f ca="1">IF(ISERROR(OFFSET(Rame!$A$1,MATCH(J131,Rame!$A:$A,0)-1,MATCH(L131,Rame!$A$1:$AA$1,0)-1)=TRUE),0,OFFSET(Rame!$A$1,MATCH(J131,Rame!$A:$A,0)-1,MATCH(L131,Rame!$A$1:$AA$1,0)-1))*IF(G131="Rame",1,0)</f>
        <v>0</v>
      </c>
      <c r="P131" s="255">
        <v>0</v>
      </c>
      <c r="Q131" s="255">
        <v>1.5</v>
      </c>
      <c r="R131" s="255">
        <f ca="1">+IF(ISERROR(OFFSET(Tabella!$G$1,MATCH(J131,Tabella!$G:$G,0)-1,MATCH(K131,Tabella!$G$1:$FG$1,0)-1)=TRUE),0,OFFSET(Tabella!$G$1,MATCH(J131,Tabella!$G:$G,0)-1,MATCH(K131,Tabella!$G$1:$AB$1,0)-1))</f>
        <v>0</v>
      </c>
      <c r="S131" s="255">
        <f ca="1">IF(ISERROR(OFFSET(Ottone!$F$1,MATCH(J131,Ottone!$A:$A,0)-1,MATCH(K131,Ottone!$F$1:$FF$1,0)-1)=TRUE),0,OFFSET(Ottone!$F$1,MATCH(J131,Ottone!$A:$A,0)-1,MATCH(K131,Ottone!$F$1:$FF$1,0)-1))*IF(G131="Ottone",1,0)</f>
        <v>0</v>
      </c>
      <c r="T131" s="255">
        <f ca="1">IF(ISERROR(OFFSET(Rame!$F$1,MATCH(J131,Rame!$F:$F,0)-1,MATCH(K131,Rame!$F$1:$FF$1,0)-1)=TRUE),0,OFFSET(Rame!$F$1,MATCH(J131,Rame!$F:$F,0)-1,MATCH(K131,Rame!$F$1:$FF$1,0)-1))*IF(G131="Rame",1,0)</f>
        <v>0</v>
      </c>
      <c r="U131" s="255">
        <f ca="1">IF(ISERROR(OFFSET(Bronzo!$A$1,MATCH(J131,Bronzo!$A:$A,0)-1,MATCH(K131,Bronzo!$A$1:$AA$1,0)-1)=TRUE),0,OFFSET(Bronzo!$A$1,MATCH(J131,Bronzo!$A:$A,0)-1,MATCH(K131,Bronzo!$A$1:$AA$1,0)-1))</f>
        <v>0</v>
      </c>
      <c r="V131" s="255">
        <f t="shared" ca="1" si="88"/>
        <v>0</v>
      </c>
      <c r="W131" s="254"/>
      <c r="X131" s="255">
        <v>0</v>
      </c>
      <c r="Y131" s="256">
        <f t="shared" ca="1" si="89"/>
        <v>1.5</v>
      </c>
      <c r="Z131" s="269">
        <f t="shared" si="90"/>
        <v>77.98</v>
      </c>
      <c r="AA131" s="253">
        <v>4.1500000000000004</v>
      </c>
      <c r="AB131" s="253">
        <f t="shared" ca="1" si="91"/>
        <v>0</v>
      </c>
      <c r="AC131" s="258"/>
      <c r="AF131" s="223" t="s">
        <v>405</v>
      </c>
      <c r="AG131" s="223" t="s">
        <v>623</v>
      </c>
      <c r="AH131" s="232">
        <f t="shared" ca="1" si="86"/>
        <v>46120</v>
      </c>
      <c r="AI131" s="232" t="b">
        <f t="shared" si="79"/>
        <v>1</v>
      </c>
      <c r="AJ131" s="259" t="str">
        <f t="shared" si="87"/>
        <v/>
      </c>
      <c r="AM131" s="223">
        <f t="shared" si="81"/>
        <v>0</v>
      </c>
      <c r="AN131" s="223">
        <f t="shared" si="82"/>
        <v>1900</v>
      </c>
      <c r="AU131" s="223">
        <f t="shared" si="83"/>
        <v>0</v>
      </c>
      <c r="AV131" s="223">
        <f t="shared" si="84"/>
        <v>0</v>
      </c>
    </row>
    <row r="132" spans="4:48" ht="26.25" x14ac:dyDescent="0.4">
      <c r="D132" s="246" t="s">
        <v>674</v>
      </c>
      <c r="E132" s="262" t="s">
        <v>102</v>
      </c>
      <c r="F132" s="263">
        <v>1746</v>
      </c>
      <c r="G132" s="249" t="s">
        <v>4</v>
      </c>
      <c r="H132" s="250">
        <v>2.65</v>
      </c>
      <c r="I132" s="251">
        <v>46050</v>
      </c>
      <c r="J132" s="252" t="s">
        <v>26</v>
      </c>
      <c r="K132" s="252"/>
      <c r="L132" s="253">
        <v>7.0000000000000007E-2</v>
      </c>
      <c r="M132" s="254">
        <f ca="1">IF(ISERROR(OFFSET(Tabella!$A$1,MATCH(J132,Tabella!$A:$A,0)-1,MATCH(L132,Tabella!$A$1:$AC$1,0)-1)=TRUE),0,+OFFSET(Tabella!$A$1,MATCH(J132,Tabella!$A:$A,0)-1,MATCH(L132,Tabella!$A$1:$AC$1,0)-1))</f>
        <v>1.25</v>
      </c>
      <c r="N132" s="255">
        <f ca="1">IF(ISERROR(OFFSET(Ottone!$A$1,MATCH(J132,Ottone!$A:$A,0)-1,MATCH(L132,Ottone!$A$1:$Z$1,0)-1)=TRUE),0,OFFSET(Ottone!$A$1,MATCH(J132,Ottone!$A:$A,0)-1,MATCH(L132,Ottone!$A$1:$Z$1,0)-1))*IF(G132="Ottone",1,0)</f>
        <v>0</v>
      </c>
      <c r="O132" s="255">
        <f ca="1">IF(ISERROR(OFFSET(Rame!$A$1,MATCH(J132,Rame!$A:$A,0)-1,MATCH(L132,Rame!$A$1:$AA$1,0)-1)=TRUE),0,OFFSET(Rame!$A$1,MATCH(J132,Rame!$A:$A,0)-1,MATCH(L132,Rame!$A$1:$AA$1,0)-1))*IF(G132="Rame",1,0)</f>
        <v>0</v>
      </c>
      <c r="P132" s="255">
        <v>0</v>
      </c>
      <c r="Q132" s="255">
        <v>1.5</v>
      </c>
      <c r="R132" s="255">
        <f ca="1">+IF(ISERROR(OFFSET(Tabella!$G$1,MATCH(J132,Tabella!$G:$G,0)-1,MATCH(K132,Tabella!$G$1:$FG$1,0)-1)=TRUE),0,OFFSET(Tabella!$G$1,MATCH(J132,Tabella!$G:$G,0)-1,MATCH(K132,Tabella!$G$1:$AB$1,0)-1))</f>
        <v>0</v>
      </c>
      <c r="S132" s="255">
        <f ca="1">IF(ISERROR(OFFSET(Ottone!$F$1,MATCH(J132,Ottone!$A:$A,0)-1,MATCH(K132,Ottone!$F$1:$FF$1,0)-1)=TRUE),0,OFFSET(Ottone!$F$1,MATCH(J132,Ottone!$A:$A,0)-1,MATCH(K132,Ottone!$F$1:$FF$1,0)-1))*IF(G132="Ottone",1,0)</f>
        <v>0</v>
      </c>
      <c r="T132" s="255">
        <f ca="1">IF(ISERROR(OFFSET(Rame!$F$1,MATCH(J132,Rame!$F:$F,0)-1,MATCH(K132,Rame!$F$1:$FF$1,0)-1)=TRUE),0,OFFSET(Rame!$F$1,MATCH(J132,Rame!$F:$F,0)-1,MATCH(K132,Rame!$F$1:$FF$1,0)-1))*IF(G132="Rame",1,0)</f>
        <v>0</v>
      </c>
      <c r="U132" s="255">
        <f ca="1">IF(ISERROR(OFFSET(Bronzo!$A$1,MATCH(J132,Bronzo!$A:$A,0)-1,MATCH(K132,Bronzo!$A$1:$AA$1,0)-1)=TRUE),0,OFFSET(Bronzo!$A$1,MATCH(J132,Bronzo!$A:$A,0)-1,MATCH(K132,Bronzo!$A$1:$AA$1,0)-1))</f>
        <v>0</v>
      </c>
      <c r="V132" s="255">
        <f t="shared" ca="1" si="88"/>
        <v>0</v>
      </c>
      <c r="W132" s="254"/>
      <c r="X132" s="255">
        <v>0</v>
      </c>
      <c r="Y132" s="256">
        <f t="shared" ca="1" si="89"/>
        <v>1.5</v>
      </c>
      <c r="Z132" s="269">
        <f t="shared" si="90"/>
        <v>122.22000000000001</v>
      </c>
      <c r="AA132" s="253">
        <v>4.1500000000000004</v>
      </c>
      <c r="AB132" s="253">
        <f t="shared" ca="1" si="91"/>
        <v>0</v>
      </c>
      <c r="AC132" s="258"/>
      <c r="AF132" s="223" t="s">
        <v>405</v>
      </c>
      <c r="AH132" s="232">
        <f t="shared" ca="1" si="86"/>
        <v>46120</v>
      </c>
      <c r="AI132" s="232" t="b">
        <f t="shared" si="79"/>
        <v>1</v>
      </c>
      <c r="AJ132" s="259" t="str">
        <f t="shared" si="87"/>
        <v/>
      </c>
      <c r="AM132" s="223">
        <f t="shared" si="81"/>
        <v>0</v>
      </c>
      <c r="AN132" s="223">
        <f t="shared" si="82"/>
        <v>1900</v>
      </c>
      <c r="AU132" s="223">
        <f t="shared" si="83"/>
        <v>0</v>
      </c>
      <c r="AV132" s="223">
        <f t="shared" si="84"/>
        <v>0</v>
      </c>
    </row>
    <row r="133" spans="4:48" ht="26.25" x14ac:dyDescent="0.4">
      <c r="D133" s="246" t="s">
        <v>562</v>
      </c>
      <c r="E133" s="262" t="s">
        <v>102</v>
      </c>
      <c r="F133" s="263">
        <v>2612</v>
      </c>
      <c r="G133" s="249" t="s">
        <v>4</v>
      </c>
      <c r="H133" s="250">
        <v>2.65</v>
      </c>
      <c r="I133" s="251">
        <v>46050</v>
      </c>
      <c r="J133" s="252" t="s">
        <v>27</v>
      </c>
      <c r="K133" s="252"/>
      <c r="L133" s="253">
        <v>7.0000000000000007E-2</v>
      </c>
      <c r="M133" s="254">
        <f ca="1">IF(ISERROR(OFFSET(Tabella!$A$1,MATCH(J133,Tabella!$A:$A,0)-1,MATCH(L133,Tabella!$A$1:$AC$1,0)-1)=TRUE),0,+OFFSET(Tabella!$A$1,MATCH(J133,Tabella!$A:$A,0)-1,MATCH(L133,Tabella!$A$1:$AC$1,0)-1))</f>
        <v>1.25</v>
      </c>
      <c r="N133" s="255">
        <f ca="1">IF(ISERROR(OFFSET(Ottone!$A$1,MATCH(J133,Ottone!$A:$A,0)-1,MATCH(L133,Ottone!$A$1:$Z$1,0)-1)=TRUE),0,OFFSET(Ottone!$A$1,MATCH(J133,Ottone!$A:$A,0)-1,MATCH(L133,Ottone!$A$1:$Z$1,0)-1))*IF(G133="Ottone",1,0)</f>
        <v>0</v>
      </c>
      <c r="O133" s="255">
        <f ca="1">IF(ISERROR(OFFSET(Rame!$A$1,MATCH(J133,Rame!$A:$A,0)-1,MATCH(L133,Rame!$A$1:$AA$1,0)-1)=TRUE),0,OFFSET(Rame!$A$1,MATCH(J133,Rame!$A:$A,0)-1,MATCH(L133,Rame!$A$1:$AA$1,0)-1))*IF(G133="Rame",1,0)</f>
        <v>0</v>
      </c>
      <c r="P133" s="255">
        <v>0</v>
      </c>
      <c r="Q133" s="255">
        <v>1.5</v>
      </c>
      <c r="R133" s="255">
        <f ca="1">+IF(ISERROR(OFFSET(Tabella!$G$1,MATCH(J133,Tabella!$G:$G,0)-1,MATCH(K133,Tabella!$G$1:$FG$1,0)-1)=TRUE),0,OFFSET(Tabella!$G$1,MATCH(J133,Tabella!$G:$G,0)-1,MATCH(K133,Tabella!$G$1:$AB$1,0)-1))</f>
        <v>0</v>
      </c>
      <c r="S133" s="255">
        <f ca="1">IF(ISERROR(OFFSET(Ottone!$F$1,MATCH(J133,Ottone!$A:$A,0)-1,MATCH(K133,Ottone!$F$1:$FF$1,0)-1)=TRUE),0,OFFSET(Ottone!$F$1,MATCH(J133,Ottone!$A:$A,0)-1,MATCH(K133,Ottone!$F$1:$FF$1,0)-1))*IF(G133="Ottone",1,0)</f>
        <v>0</v>
      </c>
      <c r="T133" s="255">
        <f ca="1">IF(ISERROR(OFFSET(Rame!$F$1,MATCH(J133,Rame!$F:$F,0)-1,MATCH(K133,Rame!$F$1:$FF$1,0)-1)=TRUE),0,OFFSET(Rame!$F$1,MATCH(J133,Rame!$F:$F,0)-1,MATCH(K133,Rame!$F$1:$FF$1,0)-1))*IF(G133="Rame",1,0)</f>
        <v>0</v>
      </c>
      <c r="U133" s="255">
        <f ca="1">IF(ISERROR(OFFSET(Bronzo!$A$1,MATCH(J133,Bronzo!$A:$A,0)-1,MATCH(K133,Bronzo!$A$1:$AA$1,0)-1)=TRUE),0,OFFSET(Bronzo!$A$1,MATCH(J133,Bronzo!$A:$A,0)-1,MATCH(K133,Bronzo!$A$1:$AA$1,0)-1))</f>
        <v>0</v>
      </c>
      <c r="V133" s="255">
        <f t="shared" ca="1" si="88"/>
        <v>0</v>
      </c>
      <c r="W133" s="254"/>
      <c r="X133" s="255">
        <v>0</v>
      </c>
      <c r="Y133" s="256">
        <f t="shared" ca="1" si="89"/>
        <v>1.5</v>
      </c>
      <c r="Z133" s="269">
        <f t="shared" si="90"/>
        <v>182.84</v>
      </c>
      <c r="AA133" s="253">
        <v>4.1500000000000004</v>
      </c>
      <c r="AB133" s="253">
        <f t="shared" ca="1" si="91"/>
        <v>0</v>
      </c>
      <c r="AC133" s="258"/>
      <c r="AF133" s="223" t="s">
        <v>405</v>
      </c>
      <c r="AH133" s="232">
        <f t="shared" ca="1" si="86"/>
        <v>46120</v>
      </c>
      <c r="AI133" s="232" t="b">
        <f t="shared" si="79"/>
        <v>1</v>
      </c>
      <c r="AJ133" s="259" t="str">
        <f t="shared" si="87"/>
        <v/>
      </c>
      <c r="AM133" s="223">
        <f t="shared" si="81"/>
        <v>0</v>
      </c>
      <c r="AN133" s="223">
        <f t="shared" si="82"/>
        <v>1900</v>
      </c>
      <c r="AU133" s="223">
        <f t="shared" si="83"/>
        <v>0</v>
      </c>
      <c r="AV133" s="223">
        <f t="shared" si="84"/>
        <v>0</v>
      </c>
    </row>
    <row r="134" spans="4:48" ht="26.25" x14ac:dyDescent="0.4">
      <c r="D134" s="246" t="s">
        <v>674</v>
      </c>
      <c r="E134" s="262" t="s">
        <v>102</v>
      </c>
      <c r="F134" s="263">
        <v>2933</v>
      </c>
      <c r="G134" s="249" t="s">
        <v>4</v>
      </c>
      <c r="H134" s="250">
        <v>2.65</v>
      </c>
      <c r="I134" s="251">
        <v>46050</v>
      </c>
      <c r="J134" s="252" t="s">
        <v>9</v>
      </c>
      <c r="K134" s="252"/>
      <c r="L134" s="253">
        <v>7.0000000000000007E-2</v>
      </c>
      <c r="M134" s="254">
        <f ca="1">IF(ISERROR(OFFSET(Tabella!$A$1,MATCH(J134,Tabella!$A:$A,0)-1,MATCH(L134,Tabella!$A$1:$AC$1,0)-1)=TRUE),0,+OFFSET(Tabella!$A$1,MATCH(J134,Tabella!$A:$A,0)-1,MATCH(L134,Tabella!$A$1:$AC$1,0)-1))</f>
        <v>1.6</v>
      </c>
      <c r="N134" s="255">
        <f ca="1">IF(ISERROR(OFFSET(Ottone!$A$1,MATCH(J134,Ottone!$A:$A,0)-1,MATCH(L134,Ottone!$A$1:$Z$1,0)-1)=TRUE),0,OFFSET(Ottone!$A$1,MATCH(J134,Ottone!$A:$A,0)-1,MATCH(L134,Ottone!$A$1:$Z$1,0)-1))*IF(G134="Ottone",1,0)</f>
        <v>0</v>
      </c>
      <c r="O134" s="255">
        <f ca="1">IF(ISERROR(OFFSET(Rame!$A$1,MATCH(J134,Rame!$A:$A,0)-1,MATCH(L134,Rame!$A$1:$AA$1,0)-1)=TRUE),0,OFFSET(Rame!$A$1,MATCH(J134,Rame!$A:$A,0)-1,MATCH(L134,Rame!$A$1:$AA$1,0)-1))*IF(G134="Rame",1,0)</f>
        <v>0</v>
      </c>
      <c r="P134" s="255">
        <v>0</v>
      </c>
      <c r="Q134" s="255">
        <v>1.8</v>
      </c>
      <c r="R134" s="255">
        <f ca="1">+IF(ISERROR(OFFSET(Tabella!$G$1,MATCH(J134,Tabella!$G:$G,0)-1,MATCH(K134,Tabella!$G$1:$FG$1,0)-1)=TRUE),0,OFFSET(Tabella!$G$1,MATCH(J134,Tabella!$G:$G,0)-1,MATCH(K134,Tabella!$G$1:$AB$1,0)-1))</f>
        <v>0</v>
      </c>
      <c r="S134" s="255">
        <f ca="1">IF(ISERROR(OFFSET(Ottone!$F$1,MATCH(J134,Ottone!$A:$A,0)-1,MATCH(K134,Ottone!$F$1:$FF$1,0)-1)=TRUE),0,OFFSET(Ottone!$F$1,MATCH(J134,Ottone!$A:$A,0)-1,MATCH(K134,Ottone!$F$1:$FF$1,0)-1))*IF(G134="Ottone",1,0)</f>
        <v>0</v>
      </c>
      <c r="T134" s="255">
        <f ca="1">IF(ISERROR(OFFSET(Rame!$F$1,MATCH(J134,Rame!$F:$F,0)-1,MATCH(K134,Rame!$F$1:$FF$1,0)-1)=TRUE),0,OFFSET(Rame!$F$1,MATCH(J134,Rame!$F:$F,0)-1,MATCH(K134,Rame!$F$1:$FF$1,0)-1))*IF(G134="Rame",1,0)</f>
        <v>0</v>
      </c>
      <c r="U134" s="255">
        <f ca="1">IF(ISERROR(OFFSET(Bronzo!$A$1,MATCH(J134,Bronzo!$A:$A,0)-1,MATCH(K134,Bronzo!$A$1:$AA$1,0)-1)=TRUE),0,OFFSET(Bronzo!$A$1,MATCH(J134,Bronzo!$A:$A,0)-1,MATCH(K134,Bronzo!$A$1:$AA$1,0)-1))</f>
        <v>0</v>
      </c>
      <c r="V134" s="255">
        <f t="shared" ca="1" si="88"/>
        <v>0</v>
      </c>
      <c r="W134" s="254"/>
      <c r="X134" s="255">
        <v>0</v>
      </c>
      <c r="Y134" s="256">
        <f t="shared" ca="1" si="89"/>
        <v>1.8</v>
      </c>
      <c r="Z134" s="269">
        <f t="shared" si="90"/>
        <v>205.31000000000003</v>
      </c>
      <c r="AA134" s="253">
        <v>4.4000000000000004</v>
      </c>
      <c r="AB134" s="253">
        <f t="shared" ca="1" si="91"/>
        <v>-4.9999999999999378E-2</v>
      </c>
      <c r="AC134" s="258"/>
      <c r="AF134" s="223" t="s">
        <v>405</v>
      </c>
      <c r="AH134" s="232">
        <f t="shared" ca="1" si="86"/>
        <v>46120</v>
      </c>
      <c r="AI134" s="232" t="b">
        <f t="shared" si="79"/>
        <v>1</v>
      </c>
      <c r="AJ134" s="259" t="str">
        <f t="shared" si="87"/>
        <v/>
      </c>
      <c r="AM134" s="223">
        <f t="shared" si="81"/>
        <v>0</v>
      </c>
      <c r="AN134" s="223">
        <f t="shared" si="82"/>
        <v>1900</v>
      </c>
      <c r="AU134" s="223">
        <f t="shared" si="83"/>
        <v>0</v>
      </c>
      <c r="AV134" s="223">
        <f t="shared" si="84"/>
        <v>0</v>
      </c>
    </row>
    <row r="135" spans="4:48" ht="26.25" x14ac:dyDescent="0.4">
      <c r="D135" s="246" t="s">
        <v>466</v>
      </c>
      <c r="E135" s="252" t="s">
        <v>102</v>
      </c>
      <c r="F135" s="276">
        <v>2500</v>
      </c>
      <c r="G135" s="249" t="s">
        <v>4</v>
      </c>
      <c r="H135" s="250">
        <v>2.65</v>
      </c>
      <c r="I135" s="251">
        <v>46050</v>
      </c>
      <c r="J135" s="252" t="s">
        <v>22</v>
      </c>
      <c r="K135" s="252"/>
      <c r="L135" s="253">
        <v>7.0000000000000007E-2</v>
      </c>
      <c r="M135" s="254">
        <f ca="1">IF(ISERROR(OFFSET(Tabella!$A$1,MATCH(J135,Tabella!$A:$A,0)-1,MATCH(L135,Tabella!$A$1:$AC$1,0)-1)=TRUE),0,+OFFSET(Tabella!$A$1,MATCH(J135,Tabella!$A:$A,0)-1,MATCH(L135,Tabella!$A$1:$AC$1,0)-1))</f>
        <v>1.25</v>
      </c>
      <c r="N135" s="255">
        <f ca="1">IF(ISERROR(OFFSET(Ottone!$A$1,MATCH(J135,Ottone!$A:$A,0)-1,MATCH(L135,Ottone!$A$1:$Z$1,0)-1)=TRUE),0,OFFSET(Ottone!$A$1,MATCH(J135,Ottone!$A:$A,0)-1,MATCH(L135,Ottone!$A$1:$Z$1,0)-1))*IF(G135="Ottone",1,0)</f>
        <v>0</v>
      </c>
      <c r="O135" s="255">
        <f ca="1">IF(ISERROR(OFFSET(Rame!$A$1,MATCH(J135,Rame!$A:$A,0)-1,MATCH(L135,Rame!$A$1:$AA$1,0)-1)=TRUE),0,OFFSET(Rame!$A$1,MATCH(J135,Rame!$A:$A,0)-1,MATCH(L135,Rame!$A$1:$AA$1,0)-1))*IF(G135="Rame",1,0)</f>
        <v>0</v>
      </c>
      <c r="P135" s="255">
        <v>0</v>
      </c>
      <c r="Q135" s="255">
        <v>1.5</v>
      </c>
      <c r="R135" s="255">
        <f ca="1">+IF(ISERROR(OFFSET(Tabella!$G$1,MATCH(J135,Tabella!$G:$G,0)-1,MATCH(K135,Tabella!$G$1:$FG$1,0)-1)=TRUE),0,OFFSET(Tabella!$G$1,MATCH(J135,Tabella!$G:$G,0)-1,MATCH(K135,Tabella!$G$1:$AB$1,0)-1))</f>
        <v>0</v>
      </c>
      <c r="S135" s="255">
        <f ca="1">IF(ISERROR(OFFSET(Ottone!$F$1,MATCH(J135,Ottone!$A:$A,0)-1,MATCH(K135,Ottone!$F$1:$FF$1,0)-1)=TRUE),0,OFFSET(Ottone!$F$1,MATCH(J135,Ottone!$A:$A,0)-1,MATCH(K135,Ottone!$F$1:$FF$1,0)-1))*IF(G135="Ottone",1,0)</f>
        <v>0</v>
      </c>
      <c r="T135" s="255">
        <f ca="1">IF(ISERROR(OFFSET(Rame!$F$1,MATCH(J135,Rame!$F:$F,0)-1,MATCH(K135,Rame!$F$1:$FF$1,0)-1)=TRUE),0,OFFSET(Rame!$F$1,MATCH(J135,Rame!$F:$F,0)-1,MATCH(K135,Rame!$F$1:$FF$1,0)-1))*IF(G135="Rame",1,0)</f>
        <v>0</v>
      </c>
      <c r="U135" s="255">
        <f ca="1">IF(ISERROR(OFFSET(Bronzo!$A$1,MATCH(J135,Bronzo!$A:$A,0)-1,MATCH(K135,Bronzo!$A$1:$AA$1,0)-1)=TRUE),0,OFFSET(Bronzo!$A$1,MATCH(J135,Bronzo!$A:$A,0)-1,MATCH(K135,Bronzo!$A$1:$AA$1,0)-1))</f>
        <v>0</v>
      </c>
      <c r="V135" s="255">
        <f t="shared" ca="1" si="88"/>
        <v>0</v>
      </c>
      <c r="W135" s="254"/>
      <c r="X135" s="255">
        <v>0</v>
      </c>
      <c r="Y135" s="256">
        <f t="shared" ca="1" si="89"/>
        <v>1.5</v>
      </c>
      <c r="Z135" s="257">
        <f t="shared" si="90"/>
        <v>175.00000000000003</v>
      </c>
      <c r="AA135" s="253">
        <v>4.1500000000000004</v>
      </c>
      <c r="AB135" s="253">
        <f t="shared" ca="1" si="91"/>
        <v>0</v>
      </c>
      <c r="AC135" s="258">
        <v>46114</v>
      </c>
      <c r="AH135" s="232">
        <f t="shared" ca="1" si="86"/>
        <v>46120</v>
      </c>
      <c r="AI135" s="232" t="b">
        <f t="shared" si="79"/>
        <v>0</v>
      </c>
      <c r="AJ135" s="259">
        <f t="shared" ca="1" si="87"/>
        <v>-6</v>
      </c>
      <c r="AM135" s="223">
        <f t="shared" si="81"/>
        <v>14</v>
      </c>
      <c r="AN135" s="223">
        <f t="shared" si="82"/>
        <v>2026</v>
      </c>
      <c r="AU135" s="223">
        <f t="shared" si="83"/>
        <v>4</v>
      </c>
      <c r="AV135" s="223">
        <f t="shared" si="84"/>
        <v>2026</v>
      </c>
    </row>
    <row r="136" spans="4:48" ht="26.25" x14ac:dyDescent="0.4">
      <c r="D136" s="246" t="s">
        <v>466</v>
      </c>
      <c r="E136" s="294" t="s">
        <v>102</v>
      </c>
      <c r="F136" s="295">
        <v>390</v>
      </c>
      <c r="G136" s="249" t="s">
        <v>4</v>
      </c>
      <c r="H136" s="250">
        <v>2.65</v>
      </c>
      <c r="I136" s="251">
        <v>46050</v>
      </c>
      <c r="J136" s="252" t="s">
        <v>308</v>
      </c>
      <c r="K136" s="252"/>
      <c r="L136" s="253">
        <v>7.0000000000000007E-2</v>
      </c>
      <c r="M136" s="254">
        <f ca="1">IF(ISERROR(OFFSET(Tabella!$A$1,MATCH(J136,Tabella!$A:$A,0)-1,MATCH(L136,Tabella!$A$1:$AC$1,0)-1)=TRUE),0,+OFFSET(Tabella!$A$1,MATCH(J136,Tabella!$A:$A,0)-1,MATCH(L136,Tabella!$A$1:$AC$1,0)-1))</f>
        <v>1.25</v>
      </c>
      <c r="N136" s="255">
        <f ca="1">IF(ISERROR(OFFSET(Ottone!$A$1,MATCH(J136,Ottone!$A:$A,0)-1,MATCH(L136,Ottone!$A$1:$Z$1,0)-1)=TRUE),0,OFFSET(Ottone!$A$1,MATCH(J136,Ottone!$A:$A,0)-1,MATCH(L136,Ottone!$A$1:$Z$1,0)-1))*IF(G136="Ottone",1,0)</f>
        <v>0</v>
      </c>
      <c r="O136" s="255">
        <f ca="1">IF(ISERROR(OFFSET(Rame!$A$1,MATCH(J136,Rame!$A:$A,0)-1,MATCH(L136,Rame!$A$1:$AA$1,0)-1)=TRUE),0,OFFSET(Rame!$A$1,MATCH(J136,Rame!$A:$A,0)-1,MATCH(L136,Rame!$A$1:$AA$1,0)-1))*IF(G136="Rame",1,0)</f>
        <v>0</v>
      </c>
      <c r="P136" s="255">
        <v>0</v>
      </c>
      <c r="Q136" s="255">
        <v>1.5</v>
      </c>
      <c r="R136" s="255">
        <f ca="1">+IF(ISERROR(OFFSET(Tabella!$G$1,MATCH(J136,Tabella!$G:$G,0)-1,MATCH(K136,Tabella!$G$1:$FG$1,0)-1)=TRUE),0,OFFSET(Tabella!$G$1,MATCH(J136,Tabella!$G:$G,0)-1,MATCH(K136,Tabella!$G$1:$AB$1,0)-1))</f>
        <v>0</v>
      </c>
      <c r="S136" s="255">
        <f ca="1">IF(ISERROR(OFFSET(Ottone!$F$1,MATCH(J136,Ottone!$A:$A,0)-1,MATCH(K136,Ottone!$F$1:$FF$1,0)-1)=TRUE),0,OFFSET(Ottone!$F$1,MATCH(J136,Ottone!$A:$A,0)-1,MATCH(K136,Ottone!$F$1:$FF$1,0)-1))*IF(G136="Ottone",1,0)</f>
        <v>0</v>
      </c>
      <c r="T136" s="255">
        <f ca="1">IF(ISERROR(OFFSET(Rame!$F$1,MATCH(J136,Rame!$F:$F,0)-1,MATCH(K136,Rame!$F$1:$FF$1,0)-1)=TRUE),0,OFFSET(Rame!$F$1,MATCH(J136,Rame!$F:$F,0)-1,MATCH(K136,Rame!$F$1:$FF$1,0)-1))*IF(G136="Rame",1,0)</f>
        <v>0</v>
      </c>
      <c r="U136" s="255">
        <f ca="1">IF(ISERROR(OFFSET(Bronzo!$A$1,MATCH(J136,Bronzo!$A:$A,0)-1,MATCH(K136,Bronzo!$A$1:$AA$1,0)-1)=TRUE),0,OFFSET(Bronzo!$A$1,MATCH(J136,Bronzo!$A:$A,0)-1,MATCH(K136,Bronzo!$A$1:$AA$1,0)-1))</f>
        <v>0</v>
      </c>
      <c r="V136" s="255">
        <f t="shared" ca="1" si="88"/>
        <v>0</v>
      </c>
      <c r="W136" s="254"/>
      <c r="X136" s="255">
        <v>0</v>
      </c>
      <c r="Y136" s="256">
        <f t="shared" ca="1" si="89"/>
        <v>1.5</v>
      </c>
      <c r="Z136" s="269">
        <f t="shared" si="90"/>
        <v>27.300000000000004</v>
      </c>
      <c r="AA136" s="253">
        <v>4.1500000000000004</v>
      </c>
      <c r="AB136" s="253">
        <f t="shared" ca="1" si="91"/>
        <v>0</v>
      </c>
      <c r="AC136" s="258">
        <v>46114</v>
      </c>
      <c r="AF136" s="223" t="s">
        <v>405</v>
      </c>
      <c r="AH136" s="232">
        <f t="shared" ca="1" si="86"/>
        <v>46120</v>
      </c>
      <c r="AI136" s="232" t="b">
        <f t="shared" si="79"/>
        <v>0</v>
      </c>
      <c r="AJ136" s="259">
        <f t="shared" ca="1" si="87"/>
        <v>-6</v>
      </c>
      <c r="AM136" s="223">
        <f t="shared" si="81"/>
        <v>14</v>
      </c>
      <c r="AN136" s="223">
        <f t="shared" si="82"/>
        <v>2026</v>
      </c>
      <c r="AU136" s="223">
        <f t="shared" si="83"/>
        <v>4</v>
      </c>
      <c r="AV136" s="223">
        <f t="shared" si="84"/>
        <v>2026</v>
      </c>
    </row>
    <row r="137" spans="4:48" ht="26.25" x14ac:dyDescent="0.4">
      <c r="D137" s="246" t="s">
        <v>477</v>
      </c>
      <c r="E137" s="262" t="s">
        <v>212</v>
      </c>
      <c r="F137" s="263">
        <v>5379</v>
      </c>
      <c r="G137" s="249" t="s">
        <v>4</v>
      </c>
      <c r="H137" s="250">
        <v>2.48</v>
      </c>
      <c r="I137" s="251">
        <v>46052</v>
      </c>
      <c r="J137" s="252" t="s">
        <v>23</v>
      </c>
      <c r="K137" s="252"/>
      <c r="L137" s="253">
        <v>0.05</v>
      </c>
      <c r="M137" s="254">
        <f ca="1">IF(ISERROR(OFFSET(Tabella!$A$1,MATCH(J137,Tabella!$A:$A,0)-1,MATCH(L137,Tabella!$A$1:$AC$1,0)-1)=TRUE),0,+OFFSET(Tabella!$A$1,MATCH(J137,Tabella!$A:$A,0)-1,MATCH(L137,Tabella!$A$1:$AC$1,0)-1))</f>
        <v>0</v>
      </c>
      <c r="N137" s="255">
        <f ca="1">IF(ISERROR(OFFSET(Ottone!$A$1,MATCH(J137,Ottone!$A:$A,0)-1,MATCH(L137,Ottone!$A$1:$Z$1,0)-1)=TRUE),0,OFFSET(Ottone!$A$1,MATCH(J137,Ottone!$A:$A,0)-1,MATCH(L137,Ottone!$A$1:$Z$1,0)-1))*IF(G137="Ottone",1,0)</f>
        <v>0</v>
      </c>
      <c r="O137" s="255">
        <f ca="1">IF(ISERROR(OFFSET(Rame!$A$1,MATCH(J137,Rame!$A:$A,0)-1,MATCH(L137,Rame!$A$1:$AA$1,0)-1)=TRUE),0,OFFSET(Rame!$A$1,MATCH(J137,Rame!$A:$A,0)-1,MATCH(L137,Rame!$A$1:$AA$1,0)-1))*IF(G137="Rame",1,0)</f>
        <v>0</v>
      </c>
      <c r="P137" s="255">
        <v>0</v>
      </c>
      <c r="Q137" s="255">
        <v>1.37</v>
      </c>
      <c r="R137" s="255">
        <f ca="1">+IF(ISERROR(OFFSET(Tabella!$G$1,MATCH(J137,Tabella!$G:$G,0)-1,MATCH(K137,Tabella!$G$1:$FG$1,0)-1)=TRUE),0,OFFSET(Tabella!$G$1,MATCH(J137,Tabella!$G:$G,0)-1,MATCH(K137,Tabella!$G$1:$AB$1,0)-1))</f>
        <v>0</v>
      </c>
      <c r="S137" s="255">
        <f ca="1">IF(ISERROR(OFFSET(Ottone!$F$1,MATCH(J137,Ottone!$A:$A,0)-1,MATCH(K137,Ottone!$F$1:$FF$1,0)-1)=TRUE),0,OFFSET(Ottone!$F$1,MATCH(J137,Ottone!$A:$A,0)-1,MATCH(K137,Ottone!$F$1:$FF$1,0)-1))*IF(G137="Ottone",1,0)</f>
        <v>0</v>
      </c>
      <c r="T137" s="255">
        <f ca="1">IF(ISERROR(OFFSET(Rame!$F$1,MATCH(J137,Rame!$F:$F,0)-1,MATCH(K137,Rame!$F$1:$FF$1,0)-1)=TRUE),0,OFFSET(Rame!$F$1,MATCH(J137,Rame!$F:$F,0)-1,MATCH(K137,Rame!$F$1:$FF$1,0)-1))*IF(G137="Rame",1,0)</f>
        <v>0</v>
      </c>
      <c r="U137" s="255">
        <f ca="1">IF(ISERROR(OFFSET(Bronzo!$A$1,MATCH(J137,Bronzo!$A:$A,0)-1,MATCH(K137,Bronzo!$A$1:$AA$1,0)-1)=TRUE),0,OFFSET(Bronzo!$A$1,MATCH(J137,Bronzo!$A:$A,0)-1,MATCH(K137,Bronzo!$A$1:$AA$1,0)-1))</f>
        <v>0</v>
      </c>
      <c r="V137" s="255">
        <f t="shared" ca="1" si="88"/>
        <v>0</v>
      </c>
      <c r="W137" s="254"/>
      <c r="X137" s="255">
        <v>0</v>
      </c>
      <c r="Y137" s="256">
        <f t="shared" ca="1" si="89"/>
        <v>1.37</v>
      </c>
      <c r="Z137" s="269">
        <f t="shared" si="90"/>
        <v>268.95</v>
      </c>
      <c r="AA137" s="253">
        <v>3.85</v>
      </c>
      <c r="AB137" s="253">
        <f t="shared" ca="1" si="91"/>
        <v>0</v>
      </c>
      <c r="AC137" s="258"/>
      <c r="AF137" s="223" t="s">
        <v>405</v>
      </c>
      <c r="AH137" s="232">
        <f t="shared" ca="1" si="86"/>
        <v>46120</v>
      </c>
      <c r="AI137" s="232" t="b">
        <f t="shared" si="79"/>
        <v>1</v>
      </c>
      <c r="AJ137" s="259" t="str">
        <f t="shared" si="87"/>
        <v/>
      </c>
      <c r="AM137" s="223">
        <f t="shared" si="81"/>
        <v>0</v>
      </c>
      <c r="AN137" s="223">
        <f t="shared" si="82"/>
        <v>1900</v>
      </c>
      <c r="AU137" s="223">
        <f t="shared" si="83"/>
        <v>0</v>
      </c>
      <c r="AV137" s="223">
        <f t="shared" si="84"/>
        <v>0</v>
      </c>
    </row>
    <row r="138" spans="4:48" ht="26.25" x14ac:dyDescent="0.4">
      <c r="D138" s="246" t="s">
        <v>497</v>
      </c>
      <c r="E138" s="262" t="s">
        <v>212</v>
      </c>
      <c r="F138" s="263">
        <v>8046</v>
      </c>
      <c r="G138" s="249" t="s">
        <v>4</v>
      </c>
      <c r="H138" s="250">
        <v>2.48</v>
      </c>
      <c r="I138" s="251">
        <v>46052</v>
      </c>
      <c r="J138" s="252" t="s">
        <v>23</v>
      </c>
      <c r="K138" s="252"/>
      <c r="L138" s="253">
        <v>0.05</v>
      </c>
      <c r="M138" s="254">
        <f ca="1">IF(ISERROR(OFFSET(Tabella!$A$1,MATCH(J138,Tabella!$A:$A,0)-1,MATCH(L138,Tabella!$A$1:$AC$1,0)-1)=TRUE),0,+OFFSET(Tabella!$A$1,MATCH(J138,Tabella!$A:$A,0)-1,MATCH(L138,Tabella!$A$1:$AC$1,0)-1))</f>
        <v>0</v>
      </c>
      <c r="N138" s="255">
        <f ca="1">IF(ISERROR(OFFSET(Ottone!$A$1,MATCH(J138,Ottone!$A:$A,0)-1,MATCH(L138,Ottone!$A$1:$Z$1,0)-1)=TRUE),0,OFFSET(Ottone!$A$1,MATCH(J138,Ottone!$A:$A,0)-1,MATCH(L138,Ottone!$A$1:$Z$1,0)-1))*IF(G138="Ottone",1,0)</f>
        <v>0</v>
      </c>
      <c r="O138" s="255">
        <f ca="1">IF(ISERROR(OFFSET(Rame!$A$1,MATCH(J138,Rame!$A:$A,0)-1,MATCH(L138,Rame!$A$1:$AA$1,0)-1)=TRUE),0,OFFSET(Rame!$A$1,MATCH(J138,Rame!$A:$A,0)-1,MATCH(L138,Rame!$A$1:$AA$1,0)-1))*IF(G138="Rame",1,0)</f>
        <v>0</v>
      </c>
      <c r="P138" s="255">
        <v>0</v>
      </c>
      <c r="Q138" s="255">
        <v>1.37</v>
      </c>
      <c r="R138" s="255">
        <f ca="1">+IF(ISERROR(OFFSET(Tabella!$G$1,MATCH(J138,Tabella!$G:$G,0)-1,MATCH(K138,Tabella!$G$1:$FG$1,0)-1)=TRUE),0,OFFSET(Tabella!$G$1,MATCH(J138,Tabella!$G:$G,0)-1,MATCH(K138,Tabella!$G$1:$AB$1,0)-1))</f>
        <v>0</v>
      </c>
      <c r="S138" s="255">
        <f ca="1">IF(ISERROR(OFFSET(Ottone!$F$1,MATCH(J138,Ottone!$A:$A,0)-1,MATCH(K138,Ottone!$F$1:$FF$1,0)-1)=TRUE),0,OFFSET(Ottone!$F$1,MATCH(J138,Ottone!$A:$A,0)-1,MATCH(K138,Ottone!$F$1:$FF$1,0)-1))*IF(G138="Ottone",1,0)</f>
        <v>0</v>
      </c>
      <c r="T138" s="255">
        <f ca="1">IF(ISERROR(OFFSET(Rame!$F$1,MATCH(J138,Rame!$F:$F,0)-1,MATCH(K138,Rame!$F$1:$FF$1,0)-1)=TRUE),0,OFFSET(Rame!$F$1,MATCH(J138,Rame!$F:$F,0)-1,MATCH(K138,Rame!$F$1:$FF$1,0)-1))*IF(G138="Rame",1,0)</f>
        <v>0</v>
      </c>
      <c r="U138" s="255">
        <f ca="1">IF(ISERROR(OFFSET(Bronzo!$A$1,MATCH(J138,Bronzo!$A:$A,0)-1,MATCH(K138,Bronzo!$A$1:$AA$1,0)-1)=TRUE),0,OFFSET(Bronzo!$A$1,MATCH(J138,Bronzo!$A:$A,0)-1,MATCH(K138,Bronzo!$A$1:$AA$1,0)-1))</f>
        <v>0</v>
      </c>
      <c r="V138" s="255">
        <f t="shared" ca="1" si="88"/>
        <v>0</v>
      </c>
      <c r="W138" s="254"/>
      <c r="X138" s="255">
        <v>0</v>
      </c>
      <c r="Y138" s="256">
        <f t="shared" ca="1" si="89"/>
        <v>1.37</v>
      </c>
      <c r="Z138" s="269">
        <f t="shared" si="90"/>
        <v>402.3</v>
      </c>
      <c r="AA138" s="253">
        <v>3.85</v>
      </c>
      <c r="AB138" s="253">
        <f t="shared" ca="1" si="91"/>
        <v>0</v>
      </c>
      <c r="AC138" s="258"/>
      <c r="AF138" s="223" t="s">
        <v>405</v>
      </c>
      <c r="AH138" s="232">
        <f t="shared" ca="1" si="86"/>
        <v>46120</v>
      </c>
      <c r="AI138" s="232" t="b">
        <f t="shared" si="79"/>
        <v>1</v>
      </c>
      <c r="AJ138" s="259" t="str">
        <f t="shared" si="87"/>
        <v/>
      </c>
      <c r="AM138" s="223">
        <f t="shared" si="81"/>
        <v>0</v>
      </c>
      <c r="AN138" s="223">
        <f t="shared" si="82"/>
        <v>1900</v>
      </c>
      <c r="AU138" s="223">
        <f t="shared" si="83"/>
        <v>0</v>
      </c>
      <c r="AV138" s="223">
        <f t="shared" si="84"/>
        <v>0</v>
      </c>
    </row>
    <row r="139" spans="4:48" ht="26.25" x14ac:dyDescent="0.4">
      <c r="D139" s="246" t="s">
        <v>498</v>
      </c>
      <c r="E139" s="262" t="s">
        <v>212</v>
      </c>
      <c r="F139" s="263">
        <v>7506</v>
      </c>
      <c r="G139" s="249" t="s">
        <v>4</v>
      </c>
      <c r="H139" s="250">
        <v>2.48</v>
      </c>
      <c r="I139" s="251">
        <v>46052</v>
      </c>
      <c r="J139" s="252" t="s">
        <v>23</v>
      </c>
      <c r="K139" s="252"/>
      <c r="L139" s="253">
        <v>0.05</v>
      </c>
      <c r="M139" s="254">
        <f ca="1">IF(ISERROR(OFFSET(Tabella!$A$1,MATCH(J139,Tabella!$A:$A,0)-1,MATCH(L139,Tabella!$A$1:$AC$1,0)-1)=TRUE),0,+OFFSET(Tabella!$A$1,MATCH(J139,Tabella!$A:$A,0)-1,MATCH(L139,Tabella!$A$1:$AC$1,0)-1))</f>
        <v>0</v>
      </c>
      <c r="N139" s="255">
        <f ca="1">IF(ISERROR(OFFSET(Ottone!$A$1,MATCH(J139,Ottone!$A:$A,0)-1,MATCH(L139,Ottone!$A$1:$Z$1,0)-1)=TRUE),0,OFFSET(Ottone!$A$1,MATCH(J139,Ottone!$A:$A,0)-1,MATCH(L139,Ottone!$A$1:$Z$1,0)-1))*IF(G139="Ottone",1,0)</f>
        <v>0</v>
      </c>
      <c r="O139" s="255">
        <f ca="1">IF(ISERROR(OFFSET(Rame!$A$1,MATCH(J139,Rame!$A:$A,0)-1,MATCH(L139,Rame!$A$1:$AA$1,0)-1)=TRUE),0,OFFSET(Rame!$A$1,MATCH(J139,Rame!$A:$A,0)-1,MATCH(L139,Rame!$A$1:$AA$1,0)-1))*IF(G139="Rame",1,0)</f>
        <v>0</v>
      </c>
      <c r="P139" s="255">
        <v>0</v>
      </c>
      <c r="Q139" s="255">
        <v>1.37</v>
      </c>
      <c r="R139" s="255">
        <f ca="1">+IF(ISERROR(OFFSET(Tabella!$G$1,MATCH(J139,Tabella!$G:$G,0)-1,MATCH(K139,Tabella!$G$1:$FG$1,0)-1)=TRUE),0,OFFSET(Tabella!$G$1,MATCH(J139,Tabella!$G:$G,0)-1,MATCH(K139,Tabella!$G$1:$AB$1,0)-1))</f>
        <v>0</v>
      </c>
      <c r="S139" s="255">
        <f ca="1">IF(ISERROR(OFFSET(Ottone!$F$1,MATCH(J139,Ottone!$A:$A,0)-1,MATCH(K139,Ottone!$F$1:$FF$1,0)-1)=TRUE),0,OFFSET(Ottone!$F$1,MATCH(J139,Ottone!$A:$A,0)-1,MATCH(K139,Ottone!$F$1:$FF$1,0)-1))*IF(G139="Ottone",1,0)</f>
        <v>0</v>
      </c>
      <c r="T139" s="255">
        <f ca="1">IF(ISERROR(OFFSET(Rame!$F$1,MATCH(J139,Rame!$F:$F,0)-1,MATCH(K139,Rame!$F$1:$FF$1,0)-1)=TRUE),0,OFFSET(Rame!$F$1,MATCH(J139,Rame!$F:$F,0)-1,MATCH(K139,Rame!$F$1:$FF$1,0)-1))*IF(G139="Rame",1,0)</f>
        <v>0</v>
      </c>
      <c r="U139" s="255">
        <f ca="1">IF(ISERROR(OFFSET(Bronzo!$A$1,MATCH(J139,Bronzo!$A:$A,0)-1,MATCH(K139,Bronzo!$A$1:$AA$1,0)-1)=TRUE),0,OFFSET(Bronzo!$A$1,MATCH(J139,Bronzo!$A:$A,0)-1,MATCH(K139,Bronzo!$A$1:$AA$1,0)-1))</f>
        <v>0</v>
      </c>
      <c r="V139" s="255">
        <f t="shared" ca="1" si="88"/>
        <v>0</v>
      </c>
      <c r="W139" s="254"/>
      <c r="X139" s="255">
        <v>0</v>
      </c>
      <c r="Y139" s="256">
        <f t="shared" ca="1" si="89"/>
        <v>1.37</v>
      </c>
      <c r="Z139" s="269">
        <f t="shared" si="90"/>
        <v>375.3</v>
      </c>
      <c r="AA139" s="253">
        <v>3.85</v>
      </c>
      <c r="AB139" s="253">
        <f t="shared" ca="1" si="91"/>
        <v>0</v>
      </c>
      <c r="AC139" s="258"/>
      <c r="AF139" s="223" t="s">
        <v>405</v>
      </c>
      <c r="AH139" s="232">
        <f t="shared" ca="1" si="86"/>
        <v>46120</v>
      </c>
      <c r="AI139" s="232" t="b">
        <f t="shared" si="79"/>
        <v>1</v>
      </c>
      <c r="AJ139" s="259" t="str">
        <f t="shared" si="87"/>
        <v/>
      </c>
      <c r="AM139" s="223">
        <f t="shared" si="81"/>
        <v>0</v>
      </c>
      <c r="AN139" s="223">
        <f t="shared" si="82"/>
        <v>1900</v>
      </c>
      <c r="AU139" s="223">
        <f t="shared" si="83"/>
        <v>0</v>
      </c>
      <c r="AV139" s="223">
        <f t="shared" si="84"/>
        <v>0</v>
      </c>
    </row>
    <row r="140" spans="4:48" ht="26.25" x14ac:dyDescent="0.4">
      <c r="D140" s="246" t="s">
        <v>529</v>
      </c>
      <c r="E140" s="262" t="s">
        <v>219</v>
      </c>
      <c r="F140" s="263">
        <v>614</v>
      </c>
      <c r="G140" s="249" t="s">
        <v>4</v>
      </c>
      <c r="H140" s="250">
        <v>2.6</v>
      </c>
      <c r="I140" s="251">
        <v>46052</v>
      </c>
      <c r="J140" s="252" t="s">
        <v>308</v>
      </c>
      <c r="K140" s="252"/>
      <c r="L140" s="253">
        <v>7.0000000000000007E-2</v>
      </c>
      <c r="M140" s="254">
        <f ca="1">IF(ISERROR(OFFSET(Tabella!$A$1,MATCH(J140,Tabella!$A:$A,0)-1,MATCH(L140,Tabella!$A$1:$AC$1,0)-1)=TRUE),0,+OFFSET(Tabella!$A$1,MATCH(J140,Tabella!$A:$A,0)-1,MATCH(L140,Tabella!$A$1:$AC$1,0)-1))</f>
        <v>1.25</v>
      </c>
      <c r="N140" s="255">
        <f ca="1">IF(ISERROR(OFFSET(Ottone!$A$1,MATCH(J140,Ottone!$A:$A,0)-1,MATCH(L140,Ottone!$A$1:$Z$1,0)-1)=TRUE),0,OFFSET(Ottone!$A$1,MATCH(J140,Ottone!$A:$A,0)-1,MATCH(L140,Ottone!$A$1:$Z$1,0)-1))*IF(G140="Ottone",1,0)</f>
        <v>0</v>
      </c>
      <c r="O140" s="255">
        <f ca="1">IF(ISERROR(OFFSET(Rame!$A$1,MATCH(J140,Rame!$A:$A,0)-1,MATCH(L140,Rame!$A$1:$AA$1,0)-1)=TRUE),0,OFFSET(Rame!$A$1,MATCH(J140,Rame!$A:$A,0)-1,MATCH(L140,Rame!$A$1:$AA$1,0)-1))*IF(G140="Rame",1,0)</f>
        <v>0</v>
      </c>
      <c r="P140" s="255">
        <v>0</v>
      </c>
      <c r="Q140" s="255">
        <v>1.5</v>
      </c>
      <c r="R140" s="255">
        <f ca="1">+IF(ISERROR(OFFSET(Tabella!$G$1,MATCH(J140,Tabella!$G:$G,0)-1,MATCH(K140,Tabella!$G$1:$FG$1,0)-1)=TRUE),0,OFFSET(Tabella!$G$1,MATCH(J140,Tabella!$G:$G,0)-1,MATCH(K140,Tabella!$G$1:$AB$1,0)-1))</f>
        <v>0</v>
      </c>
      <c r="S140" s="255">
        <f ca="1">IF(ISERROR(OFFSET(Ottone!$F$1,MATCH(J140,Ottone!$A:$A,0)-1,MATCH(K140,Ottone!$F$1:$FF$1,0)-1)=TRUE),0,OFFSET(Ottone!$F$1,MATCH(J140,Ottone!$A:$A,0)-1,MATCH(K140,Ottone!$F$1:$FF$1,0)-1))*IF(G140="Ottone",1,0)</f>
        <v>0</v>
      </c>
      <c r="T140" s="255">
        <f ca="1">IF(ISERROR(OFFSET(Rame!$F$1,MATCH(J140,Rame!$F:$F,0)-1,MATCH(K140,Rame!$F$1:$FF$1,0)-1)=TRUE),0,OFFSET(Rame!$F$1,MATCH(J140,Rame!$F:$F,0)-1,MATCH(K140,Rame!$F$1:$FF$1,0)-1))*IF(G140="Rame",1,0)</f>
        <v>0</v>
      </c>
      <c r="U140" s="255">
        <f ca="1">IF(ISERROR(OFFSET(Bronzo!$A$1,MATCH(J140,Bronzo!$A:$A,0)-1,MATCH(K140,Bronzo!$A$1:$AA$1,0)-1)=TRUE),0,OFFSET(Bronzo!$A$1,MATCH(J140,Bronzo!$A:$A,0)-1,MATCH(K140,Bronzo!$A$1:$AA$1,0)-1))</f>
        <v>0</v>
      </c>
      <c r="V140" s="255">
        <f t="shared" ca="1" si="88"/>
        <v>0</v>
      </c>
      <c r="W140" s="254"/>
      <c r="X140" s="255">
        <v>0</v>
      </c>
      <c r="Y140" s="256">
        <f t="shared" ca="1" si="89"/>
        <v>1.5</v>
      </c>
      <c r="Z140" s="269">
        <f t="shared" si="90"/>
        <v>42.980000000000004</v>
      </c>
      <c r="AA140" s="253">
        <v>4.0999999999999996</v>
      </c>
      <c r="AB140" s="253">
        <f t="shared" ca="1" si="91"/>
        <v>0</v>
      </c>
      <c r="AC140" s="258"/>
      <c r="AF140" s="223" t="s">
        <v>405</v>
      </c>
      <c r="AH140" s="232">
        <f t="shared" ca="1" si="86"/>
        <v>46120</v>
      </c>
      <c r="AI140" s="232" t="b">
        <f t="shared" si="79"/>
        <v>1</v>
      </c>
      <c r="AJ140" s="259" t="str">
        <f t="shared" si="87"/>
        <v/>
      </c>
      <c r="AM140" s="223">
        <f t="shared" si="81"/>
        <v>0</v>
      </c>
      <c r="AN140" s="223">
        <f t="shared" si="82"/>
        <v>1900</v>
      </c>
      <c r="AU140" s="223">
        <f t="shared" si="83"/>
        <v>0</v>
      </c>
      <c r="AV140" s="223">
        <f t="shared" si="84"/>
        <v>0</v>
      </c>
    </row>
    <row r="141" spans="4:48" ht="26.25" x14ac:dyDescent="0.4">
      <c r="D141" s="296" t="s">
        <v>635</v>
      </c>
      <c r="E141" s="262" t="s">
        <v>297</v>
      </c>
      <c r="F141" s="263">
        <v>678</v>
      </c>
      <c r="G141" s="249" t="s">
        <v>4</v>
      </c>
      <c r="H141" s="250">
        <v>2.6</v>
      </c>
      <c r="I141" s="251">
        <v>46055</v>
      </c>
      <c r="J141" s="252" t="s">
        <v>25</v>
      </c>
      <c r="K141" s="252"/>
      <c r="L141" s="269">
        <v>7.0000000000000007E-2</v>
      </c>
      <c r="M141" s="254">
        <f ca="1">IF(ISERROR(OFFSET(Tabella!$A$1,MATCH(J141,Tabella!$A:$A,0)-1,MATCH(L141,Tabella!$A$1:$AC$1,0)-1)=TRUE),0,+OFFSET(Tabella!$A$1,MATCH(J141,Tabella!$A:$A,0)-1,MATCH(L141,Tabella!$A$1:$AC$1,0)-1))</f>
        <v>1.25</v>
      </c>
      <c r="N141" s="255">
        <f ca="1">IF(ISERROR(OFFSET(Ottone!$A$1,MATCH(J141,Ottone!$A:$A,0)-1,MATCH(L141,Ottone!$A$1:$Z$1,0)-1)=TRUE),0,OFFSET(Ottone!$A$1,MATCH(J141,Ottone!$A:$A,0)-1,MATCH(L141,Ottone!$A$1:$Z$1,0)-1))*IF(G141="Ottone",1,0)</f>
        <v>0</v>
      </c>
      <c r="O141" s="255">
        <f ca="1">IF(ISERROR(OFFSET(Rame!$A$1,MATCH(J141,Rame!$A:$A,0)-1,MATCH(L141,Rame!$A$1:$AA$1,0)-1)=TRUE),0,OFFSET(Rame!$A$1,MATCH(J141,Rame!$A:$A,0)-1,MATCH(L141,Rame!$A$1:$AA$1,0)-1))*IF(G141="Rame",1,0)</f>
        <v>0</v>
      </c>
      <c r="P141" s="255">
        <v>0</v>
      </c>
      <c r="Q141" s="255">
        <v>1.5</v>
      </c>
      <c r="R141" s="255">
        <f ca="1">+IF(ISERROR(OFFSET(Tabella!$G$1,MATCH(J141,Tabella!$G:$G,0)-1,MATCH(K141,Tabella!$G$1:$FG$1,0)-1)=TRUE),0,OFFSET(Tabella!$G$1,MATCH(J141,Tabella!$G:$G,0)-1,MATCH(K141,Tabella!$G$1:$AB$1,0)-1))</f>
        <v>0</v>
      </c>
      <c r="S141" s="255">
        <f ca="1">IF(ISERROR(OFFSET(Ottone!$F$1,MATCH(J141,Ottone!$A:$A,0)-1,MATCH(K141,Ottone!$F$1:$FF$1,0)-1)=TRUE),0,OFFSET(Ottone!$F$1,MATCH(J141,Ottone!$A:$A,0)-1,MATCH(K141,Ottone!$F$1:$FF$1,0)-1))*IF(G141="Ottone",1,0)</f>
        <v>0</v>
      </c>
      <c r="T141" s="255">
        <f ca="1">IF(ISERROR(OFFSET(Rame!$F$1,MATCH(J141,Rame!$F:$F,0)-1,MATCH(K141,Rame!$F$1:$FF$1,0)-1)=TRUE),0,OFFSET(Rame!$F$1,MATCH(J141,Rame!$F:$F,0)-1,MATCH(K141,Rame!$F$1:$FF$1,0)-1))*IF(G141="Rame",1,0)</f>
        <v>0</v>
      </c>
      <c r="U141" s="255">
        <f ca="1">IF(ISERROR(OFFSET(Bronzo!$A$1,MATCH(J141,Bronzo!$A:$A,0)-1,MATCH(K141,Bronzo!$A$1:$AA$1,0)-1)=TRUE),0,OFFSET(Bronzo!$A$1,MATCH(J141,Bronzo!$A:$A,0)-1,MATCH(K141,Bronzo!$A$1:$AA$1,0)-1))</f>
        <v>0</v>
      </c>
      <c r="V141" s="255">
        <f t="shared" ca="1" si="88"/>
        <v>0</v>
      </c>
      <c r="W141" s="254"/>
      <c r="X141" s="255">
        <v>0</v>
      </c>
      <c r="Y141" s="256">
        <f t="shared" ca="1" si="89"/>
        <v>1.5</v>
      </c>
      <c r="Z141" s="269">
        <f t="shared" si="90"/>
        <v>47.460000000000008</v>
      </c>
      <c r="AA141" s="253">
        <v>4.0999999999999996</v>
      </c>
      <c r="AB141" s="253">
        <f t="shared" ca="1" si="91"/>
        <v>0</v>
      </c>
      <c r="AC141" s="258"/>
      <c r="AF141" s="223" t="s">
        <v>405</v>
      </c>
      <c r="AG141" s="223" t="s">
        <v>598</v>
      </c>
      <c r="AH141" s="232">
        <f t="shared" ca="1" si="86"/>
        <v>46120</v>
      </c>
      <c r="AI141" s="232" t="b">
        <f t="shared" si="79"/>
        <v>1</v>
      </c>
      <c r="AJ141" s="259" t="str">
        <f t="shared" si="87"/>
        <v/>
      </c>
      <c r="AM141" s="223">
        <f t="shared" si="81"/>
        <v>0</v>
      </c>
      <c r="AN141" s="223">
        <f t="shared" si="82"/>
        <v>1900</v>
      </c>
      <c r="AU141" s="223">
        <f t="shared" si="83"/>
        <v>0</v>
      </c>
      <c r="AV141" s="223">
        <f t="shared" si="84"/>
        <v>0</v>
      </c>
    </row>
    <row r="142" spans="4:48" ht="26.25" x14ac:dyDescent="0.4">
      <c r="D142" s="296" t="s">
        <v>530</v>
      </c>
      <c r="E142" s="262" t="s">
        <v>297</v>
      </c>
      <c r="F142" s="263">
        <v>1006</v>
      </c>
      <c r="G142" s="249" t="s">
        <v>4</v>
      </c>
      <c r="H142" s="250">
        <v>2.6</v>
      </c>
      <c r="I142" s="251">
        <v>46055</v>
      </c>
      <c r="J142" s="252" t="s">
        <v>26</v>
      </c>
      <c r="K142" s="252"/>
      <c r="L142" s="269">
        <v>7.0000000000000007E-2</v>
      </c>
      <c r="M142" s="254">
        <f ca="1">IF(ISERROR(OFFSET(Tabella!$A$1,MATCH(J142,Tabella!$A:$A,0)-1,MATCH(L142,Tabella!$A$1:$AC$1,0)-1)=TRUE),0,+OFFSET(Tabella!$A$1,MATCH(J142,Tabella!$A:$A,0)-1,MATCH(L142,Tabella!$A$1:$AC$1,0)-1))</f>
        <v>1.25</v>
      </c>
      <c r="N142" s="255">
        <f ca="1">IF(ISERROR(OFFSET(Ottone!$A$1,MATCH(J142,Ottone!$A:$A,0)-1,MATCH(L142,Ottone!$A$1:$Z$1,0)-1)=TRUE),0,OFFSET(Ottone!$A$1,MATCH(J142,Ottone!$A:$A,0)-1,MATCH(L142,Ottone!$A$1:$Z$1,0)-1))*IF(G142="Ottone",1,0)</f>
        <v>0</v>
      </c>
      <c r="O142" s="255">
        <f ca="1">IF(ISERROR(OFFSET(Rame!$A$1,MATCH(J142,Rame!$A:$A,0)-1,MATCH(L142,Rame!$A$1:$AA$1,0)-1)=TRUE),0,OFFSET(Rame!$A$1,MATCH(J142,Rame!$A:$A,0)-1,MATCH(L142,Rame!$A$1:$AA$1,0)-1))*IF(G142="Rame",1,0)</f>
        <v>0</v>
      </c>
      <c r="P142" s="255">
        <v>0</v>
      </c>
      <c r="Q142" s="255">
        <v>1.5</v>
      </c>
      <c r="R142" s="255">
        <f ca="1">+IF(ISERROR(OFFSET(Tabella!$G$1,MATCH(J142,Tabella!$G:$G,0)-1,MATCH(K142,Tabella!$G$1:$FG$1,0)-1)=TRUE),0,OFFSET(Tabella!$G$1,MATCH(J142,Tabella!$G:$G,0)-1,MATCH(K142,Tabella!$G$1:$AB$1,0)-1))</f>
        <v>0</v>
      </c>
      <c r="S142" s="255">
        <f ca="1">IF(ISERROR(OFFSET(Ottone!$F$1,MATCH(J142,Ottone!$A:$A,0)-1,MATCH(K142,Ottone!$F$1:$FF$1,0)-1)=TRUE),0,OFFSET(Ottone!$F$1,MATCH(J142,Ottone!$A:$A,0)-1,MATCH(K142,Ottone!$F$1:$FF$1,0)-1))*IF(G142="Ottone",1,0)</f>
        <v>0</v>
      </c>
      <c r="T142" s="255">
        <f ca="1">IF(ISERROR(OFFSET(Rame!$F$1,MATCH(J142,Rame!$F:$F,0)-1,MATCH(K142,Rame!$F$1:$FF$1,0)-1)=TRUE),0,OFFSET(Rame!$F$1,MATCH(J142,Rame!$F:$F,0)-1,MATCH(K142,Rame!$F$1:$FF$1,0)-1))*IF(G142="Rame",1,0)</f>
        <v>0</v>
      </c>
      <c r="U142" s="255">
        <f ca="1">IF(ISERROR(OFFSET(Bronzo!$A$1,MATCH(J142,Bronzo!$A:$A,0)-1,MATCH(K142,Bronzo!$A$1:$AA$1,0)-1)=TRUE),0,OFFSET(Bronzo!$A$1,MATCH(J142,Bronzo!$A:$A,0)-1,MATCH(K142,Bronzo!$A$1:$AA$1,0)-1))</f>
        <v>0</v>
      </c>
      <c r="V142" s="255">
        <f t="shared" ca="1" si="88"/>
        <v>0</v>
      </c>
      <c r="W142" s="254"/>
      <c r="X142" s="255">
        <v>0</v>
      </c>
      <c r="Y142" s="256">
        <f t="shared" ca="1" si="89"/>
        <v>1.5</v>
      </c>
      <c r="Z142" s="269">
        <f t="shared" si="90"/>
        <v>70.42</v>
      </c>
      <c r="AA142" s="253">
        <v>4.0999999999999996</v>
      </c>
      <c r="AB142" s="253">
        <f t="shared" ca="1" si="91"/>
        <v>0</v>
      </c>
      <c r="AC142" s="258"/>
      <c r="AF142" s="223" t="s">
        <v>405</v>
      </c>
      <c r="AH142" s="232">
        <f t="shared" ca="1" si="86"/>
        <v>46120</v>
      </c>
      <c r="AI142" s="232" t="b">
        <f t="shared" si="79"/>
        <v>1</v>
      </c>
      <c r="AJ142" s="259" t="str">
        <f t="shared" si="87"/>
        <v/>
      </c>
      <c r="AM142" s="223">
        <f t="shared" si="81"/>
        <v>0</v>
      </c>
      <c r="AN142" s="223">
        <f t="shared" si="82"/>
        <v>1900</v>
      </c>
      <c r="AU142" s="223">
        <f t="shared" si="83"/>
        <v>0</v>
      </c>
      <c r="AV142" s="223">
        <f t="shared" si="84"/>
        <v>0</v>
      </c>
    </row>
    <row r="143" spans="4:48" ht="26.25" x14ac:dyDescent="0.4">
      <c r="D143" s="296" t="s">
        <v>599</v>
      </c>
      <c r="E143" s="262" t="s">
        <v>297</v>
      </c>
      <c r="F143" s="263">
        <v>758</v>
      </c>
      <c r="G143" s="249" t="s">
        <v>4</v>
      </c>
      <c r="H143" s="250">
        <v>2.6</v>
      </c>
      <c r="I143" s="251">
        <v>46055</v>
      </c>
      <c r="J143" s="252" t="s">
        <v>314</v>
      </c>
      <c r="K143" s="252"/>
      <c r="L143" s="269">
        <v>7.0000000000000007E-2</v>
      </c>
      <c r="M143" s="254">
        <f ca="1">IF(ISERROR(OFFSET(Tabella!$A$1,MATCH(J143,Tabella!$A:$A,0)-1,MATCH(L143,Tabella!$A$1:$AC$1,0)-1)=TRUE),0,+OFFSET(Tabella!$A$1,MATCH(J143,Tabella!$A:$A,0)-1,MATCH(L143,Tabella!$A$1:$AC$1,0)-1))</f>
        <v>1.25</v>
      </c>
      <c r="N143" s="255">
        <f ca="1">IF(ISERROR(OFFSET(Ottone!$A$1,MATCH(J143,Ottone!$A:$A,0)-1,MATCH(L143,Ottone!$A$1:$Z$1,0)-1)=TRUE),0,OFFSET(Ottone!$A$1,MATCH(J143,Ottone!$A:$A,0)-1,MATCH(L143,Ottone!$A$1:$Z$1,0)-1))*IF(G143="Ottone",1,0)</f>
        <v>0</v>
      </c>
      <c r="O143" s="255">
        <f ca="1">IF(ISERROR(OFFSET(Rame!$A$1,MATCH(J143,Rame!$A:$A,0)-1,MATCH(L143,Rame!$A$1:$AA$1,0)-1)=TRUE),0,OFFSET(Rame!$A$1,MATCH(J143,Rame!$A:$A,0)-1,MATCH(L143,Rame!$A$1:$AA$1,0)-1))*IF(G143="Rame",1,0)</f>
        <v>0</v>
      </c>
      <c r="P143" s="255">
        <v>0</v>
      </c>
      <c r="Q143" s="255">
        <v>1.5</v>
      </c>
      <c r="R143" s="255">
        <f ca="1">+IF(ISERROR(OFFSET(Tabella!$G$1,MATCH(J143,Tabella!$G:$G,0)-1,MATCH(K143,Tabella!$G$1:$FG$1,0)-1)=TRUE),0,OFFSET(Tabella!$G$1,MATCH(J143,Tabella!$G:$G,0)-1,MATCH(K143,Tabella!$G$1:$AB$1,0)-1))</f>
        <v>0</v>
      </c>
      <c r="S143" s="255">
        <f ca="1">IF(ISERROR(OFFSET(Ottone!$F$1,MATCH(J143,Ottone!$A:$A,0)-1,MATCH(K143,Ottone!$F$1:$FF$1,0)-1)=TRUE),0,OFFSET(Ottone!$F$1,MATCH(J143,Ottone!$A:$A,0)-1,MATCH(K143,Ottone!$F$1:$FF$1,0)-1))*IF(G143="Ottone",1,0)</f>
        <v>0</v>
      </c>
      <c r="T143" s="255">
        <f ca="1">IF(ISERROR(OFFSET(Rame!$F$1,MATCH(J143,Rame!$F:$F,0)-1,MATCH(K143,Rame!$F$1:$FF$1,0)-1)=TRUE),0,OFFSET(Rame!$F$1,MATCH(J143,Rame!$F:$F,0)-1,MATCH(K143,Rame!$F$1:$FF$1,0)-1))*IF(G143="Rame",1,0)</f>
        <v>0</v>
      </c>
      <c r="U143" s="255">
        <f ca="1">IF(ISERROR(OFFSET(Bronzo!$A$1,MATCH(J143,Bronzo!$A:$A,0)-1,MATCH(K143,Bronzo!$A$1:$AA$1,0)-1)=TRUE),0,OFFSET(Bronzo!$A$1,MATCH(J143,Bronzo!$A:$A,0)-1,MATCH(K143,Bronzo!$A$1:$AA$1,0)-1))</f>
        <v>0</v>
      </c>
      <c r="V143" s="255">
        <f t="shared" ca="1" si="88"/>
        <v>0</v>
      </c>
      <c r="W143" s="254"/>
      <c r="X143" s="255">
        <v>0</v>
      </c>
      <c r="Y143" s="256">
        <f t="shared" ca="1" si="89"/>
        <v>1.5</v>
      </c>
      <c r="Z143" s="269">
        <f t="shared" si="90"/>
        <v>53.06</v>
      </c>
      <c r="AA143" s="253">
        <v>4.0999999999999996</v>
      </c>
      <c r="AB143" s="253">
        <f t="shared" ca="1" si="91"/>
        <v>0</v>
      </c>
      <c r="AC143" s="258"/>
      <c r="AF143" s="223" t="s">
        <v>405</v>
      </c>
      <c r="AG143" s="223" t="s">
        <v>598</v>
      </c>
      <c r="AH143" s="232">
        <f t="shared" ca="1" si="86"/>
        <v>46120</v>
      </c>
      <c r="AI143" s="232" t="b">
        <f t="shared" si="79"/>
        <v>1</v>
      </c>
      <c r="AJ143" s="259" t="str">
        <f t="shared" si="87"/>
        <v/>
      </c>
      <c r="AM143" s="223">
        <f t="shared" si="81"/>
        <v>0</v>
      </c>
      <c r="AN143" s="223">
        <f t="shared" si="82"/>
        <v>1900</v>
      </c>
      <c r="AU143" s="223">
        <f t="shared" si="83"/>
        <v>0</v>
      </c>
      <c r="AV143" s="223">
        <f t="shared" si="84"/>
        <v>0</v>
      </c>
    </row>
    <row r="144" spans="4:48" ht="26.25" x14ac:dyDescent="0.4">
      <c r="D144" s="296" t="s">
        <v>543</v>
      </c>
      <c r="E144" s="262" t="s">
        <v>297</v>
      </c>
      <c r="F144" s="263">
        <v>556</v>
      </c>
      <c r="G144" s="249" t="s">
        <v>4</v>
      </c>
      <c r="H144" s="250">
        <v>2.6</v>
      </c>
      <c r="I144" s="251">
        <v>46055</v>
      </c>
      <c r="J144" s="252" t="s">
        <v>19</v>
      </c>
      <c r="K144" s="252"/>
      <c r="L144" s="269">
        <v>7.0000000000000007E-2</v>
      </c>
      <c r="M144" s="254">
        <f ca="1">IF(ISERROR(OFFSET(Tabella!$A$1,MATCH(J144,Tabella!$A:$A,0)-1,MATCH(L144,Tabella!$A$1:$AC$1,0)-1)=TRUE),0,+OFFSET(Tabella!$A$1,MATCH(J144,Tabella!$A:$A,0)-1,MATCH(L144,Tabella!$A$1:$AC$1,0)-1))</f>
        <v>1.35</v>
      </c>
      <c r="N144" s="255">
        <f ca="1">IF(ISERROR(OFFSET(Ottone!$A$1,MATCH(J144,Ottone!$A:$A,0)-1,MATCH(L144,Ottone!$A$1:$Z$1,0)-1)=TRUE),0,OFFSET(Ottone!$A$1,MATCH(J144,Ottone!$A:$A,0)-1,MATCH(L144,Ottone!$A$1:$Z$1,0)-1))*IF(G144="Ottone",1,0)</f>
        <v>0</v>
      </c>
      <c r="O144" s="255">
        <f ca="1">IF(ISERROR(OFFSET(Rame!$A$1,MATCH(J144,Rame!$A:$A,0)-1,MATCH(L144,Rame!$A$1:$AA$1,0)-1)=TRUE),0,OFFSET(Rame!$A$1,MATCH(J144,Rame!$A:$A,0)-1,MATCH(L144,Rame!$A$1:$AA$1,0)-1))*IF(G144="Rame",1,0)</f>
        <v>0</v>
      </c>
      <c r="P144" s="255">
        <v>0</v>
      </c>
      <c r="Q144" s="255">
        <v>1.55</v>
      </c>
      <c r="R144" s="255">
        <f ca="1">+IF(ISERROR(OFFSET(Tabella!$G$1,MATCH(J144,Tabella!$G:$G,0)-1,MATCH(K144,Tabella!$G$1:$FG$1,0)-1)=TRUE),0,OFFSET(Tabella!$G$1,MATCH(J144,Tabella!$G:$G,0)-1,MATCH(K144,Tabella!$G$1:$AB$1,0)-1))</f>
        <v>0</v>
      </c>
      <c r="S144" s="255">
        <f ca="1">IF(ISERROR(OFFSET(Ottone!$F$1,MATCH(J144,Ottone!$A:$A,0)-1,MATCH(K144,Ottone!$F$1:$FF$1,0)-1)=TRUE),0,OFFSET(Ottone!$F$1,MATCH(J144,Ottone!$A:$A,0)-1,MATCH(K144,Ottone!$F$1:$FF$1,0)-1))*IF(G144="Ottone",1,0)</f>
        <v>0</v>
      </c>
      <c r="T144" s="255">
        <f ca="1">IF(ISERROR(OFFSET(Rame!$F$1,MATCH(J144,Rame!$F:$F,0)-1,MATCH(K144,Rame!$F$1:$FF$1,0)-1)=TRUE),0,OFFSET(Rame!$F$1,MATCH(J144,Rame!$F:$F,0)-1,MATCH(K144,Rame!$F$1:$FF$1,0)-1))*IF(G144="Rame",1,0)</f>
        <v>0</v>
      </c>
      <c r="U144" s="255">
        <f ca="1">IF(ISERROR(OFFSET(Bronzo!$A$1,MATCH(J144,Bronzo!$A:$A,0)-1,MATCH(K144,Bronzo!$A$1:$AA$1,0)-1)=TRUE),0,OFFSET(Bronzo!$A$1,MATCH(J144,Bronzo!$A:$A,0)-1,MATCH(K144,Bronzo!$A$1:$AA$1,0)-1))</f>
        <v>0</v>
      </c>
      <c r="V144" s="255">
        <f t="shared" ca="1" si="88"/>
        <v>0</v>
      </c>
      <c r="W144" s="254"/>
      <c r="X144" s="255">
        <v>0</v>
      </c>
      <c r="Y144" s="256">
        <f t="shared" ca="1" si="89"/>
        <v>1.55</v>
      </c>
      <c r="Z144" s="269">
        <f t="shared" si="90"/>
        <v>38.92</v>
      </c>
      <c r="AA144" s="253">
        <v>4.1500000000000004</v>
      </c>
      <c r="AB144" s="253">
        <f t="shared" ca="1" si="91"/>
        <v>0</v>
      </c>
      <c r="AC144" s="258"/>
      <c r="AF144" s="223" t="s">
        <v>405</v>
      </c>
      <c r="AH144" s="232">
        <f t="shared" ca="1" si="86"/>
        <v>46120</v>
      </c>
      <c r="AI144" s="232" t="b">
        <f t="shared" si="79"/>
        <v>1</v>
      </c>
      <c r="AJ144" s="259" t="str">
        <f t="shared" si="87"/>
        <v/>
      </c>
      <c r="AM144" s="223">
        <f t="shared" si="81"/>
        <v>0</v>
      </c>
      <c r="AN144" s="223">
        <f t="shared" si="82"/>
        <v>1900</v>
      </c>
      <c r="AU144" s="223">
        <f t="shared" si="83"/>
        <v>0</v>
      </c>
      <c r="AV144" s="223">
        <f t="shared" si="84"/>
        <v>0</v>
      </c>
    </row>
    <row r="145" spans="4:48" ht="26.25" x14ac:dyDescent="0.4">
      <c r="D145" s="296" t="s">
        <v>531</v>
      </c>
      <c r="E145" s="262" t="s">
        <v>297</v>
      </c>
      <c r="F145" s="263">
        <v>602</v>
      </c>
      <c r="G145" s="249" t="s">
        <v>4</v>
      </c>
      <c r="H145" s="250">
        <v>2.57</v>
      </c>
      <c r="I145" s="251">
        <v>46055</v>
      </c>
      <c r="J145" s="252" t="s">
        <v>308</v>
      </c>
      <c r="K145" s="252"/>
      <c r="L145" s="269">
        <v>7.0000000000000007E-2</v>
      </c>
      <c r="M145" s="254">
        <f ca="1">IF(ISERROR(OFFSET(Tabella!$A$1,MATCH(J145,Tabella!$A:$A,0)-1,MATCH(L145,Tabella!$A$1:$AC$1,0)-1)=TRUE),0,+OFFSET(Tabella!$A$1,MATCH(J145,Tabella!$A:$A,0)-1,MATCH(L145,Tabella!$A$1:$AC$1,0)-1))</f>
        <v>1.25</v>
      </c>
      <c r="N145" s="255">
        <f ca="1">IF(ISERROR(OFFSET(Ottone!$A$1,MATCH(J145,Ottone!$A:$A,0)-1,MATCH(L145,Ottone!$A$1:$Z$1,0)-1)=TRUE),0,OFFSET(Ottone!$A$1,MATCH(J145,Ottone!$A:$A,0)-1,MATCH(L145,Ottone!$A$1:$Z$1,0)-1))*IF(G145="Ottone",1,0)</f>
        <v>0</v>
      </c>
      <c r="O145" s="255">
        <f ca="1">IF(ISERROR(OFFSET(Rame!$A$1,MATCH(J145,Rame!$A:$A,0)-1,MATCH(L145,Rame!$A$1:$AA$1,0)-1)=TRUE),0,OFFSET(Rame!$A$1,MATCH(J145,Rame!$A:$A,0)-1,MATCH(L145,Rame!$A$1:$AA$1,0)-1))*IF(G145="Rame",1,0)</f>
        <v>0</v>
      </c>
      <c r="P145" s="255">
        <v>0</v>
      </c>
      <c r="Q145" s="255">
        <f t="shared" ref="Q145:Q156" ca="1" si="92">SUM(M145:P145)</f>
        <v>1.25</v>
      </c>
      <c r="R145" s="255">
        <f ca="1">+IF(ISERROR(OFFSET(Tabella!$G$1,MATCH(J145,Tabella!$G:$G,0)-1,MATCH(K145,Tabella!$G$1:$FG$1,0)-1)=TRUE),0,OFFSET(Tabella!$G$1,MATCH(J145,Tabella!$G:$G,0)-1,MATCH(K145,Tabella!$G$1:$AB$1,0)-1))</f>
        <v>0</v>
      </c>
      <c r="S145" s="255">
        <f ca="1">IF(ISERROR(OFFSET(Ottone!$F$1,MATCH(J145,Ottone!$A:$A,0)-1,MATCH(K145,Ottone!$F$1:$FF$1,0)-1)=TRUE),0,OFFSET(Ottone!$F$1,MATCH(J145,Ottone!$A:$A,0)-1,MATCH(K145,Ottone!$F$1:$FF$1,0)-1))*IF(G145="Ottone",1,0)</f>
        <v>0</v>
      </c>
      <c r="T145" s="255">
        <f ca="1">IF(ISERROR(OFFSET(Rame!$F$1,MATCH(J145,Rame!$F:$F,0)-1,MATCH(K145,Rame!$F$1:$FF$1,0)-1)=TRUE),0,OFFSET(Rame!$F$1,MATCH(J145,Rame!$F:$F,0)-1,MATCH(K145,Rame!$F$1:$FF$1,0)-1))*IF(G145="Rame",1,0)</f>
        <v>0</v>
      </c>
      <c r="U145" s="255">
        <f ca="1">IF(ISERROR(OFFSET(Bronzo!$A$1,MATCH(J145,Bronzo!$A:$A,0)-1,MATCH(K145,Bronzo!$A$1:$AA$1,0)-1)=TRUE),0,OFFSET(Bronzo!$A$1,MATCH(J145,Bronzo!$A:$A,0)-1,MATCH(K145,Bronzo!$A$1:$AA$1,0)-1))</f>
        <v>0</v>
      </c>
      <c r="V145" s="255">
        <f t="shared" ca="1" si="88"/>
        <v>0</v>
      </c>
      <c r="W145" s="254"/>
      <c r="X145" s="255">
        <v>0</v>
      </c>
      <c r="Y145" s="256">
        <f t="shared" ca="1" si="89"/>
        <v>1.25</v>
      </c>
      <c r="Z145" s="269">
        <f t="shared" si="90"/>
        <v>42.14</v>
      </c>
      <c r="AA145" s="253">
        <v>4.0999999999999996</v>
      </c>
      <c r="AB145" s="253">
        <f t="shared" ca="1" si="91"/>
        <v>0.2799999999999998</v>
      </c>
      <c r="AC145" s="258"/>
      <c r="AF145" s="223" t="s">
        <v>405</v>
      </c>
      <c r="AH145" s="232">
        <f t="shared" ca="1" si="86"/>
        <v>46120</v>
      </c>
      <c r="AI145" s="232" t="b">
        <f t="shared" si="79"/>
        <v>1</v>
      </c>
      <c r="AJ145" s="259" t="str">
        <f t="shared" si="87"/>
        <v/>
      </c>
      <c r="AM145" s="223">
        <f t="shared" si="81"/>
        <v>0</v>
      </c>
      <c r="AN145" s="223">
        <f t="shared" si="82"/>
        <v>1900</v>
      </c>
      <c r="AU145" s="223">
        <f t="shared" si="83"/>
        <v>0</v>
      </c>
      <c r="AV145" s="223">
        <f t="shared" si="84"/>
        <v>0</v>
      </c>
    </row>
    <row r="146" spans="4:48" ht="26.25" x14ac:dyDescent="0.4">
      <c r="D146" s="246" t="s">
        <v>458</v>
      </c>
      <c r="E146" s="252" t="s">
        <v>397</v>
      </c>
      <c r="F146" s="276">
        <v>500</v>
      </c>
      <c r="G146" s="249" t="s">
        <v>4</v>
      </c>
      <c r="H146" s="250">
        <v>2.62</v>
      </c>
      <c r="I146" s="251">
        <v>46052</v>
      </c>
      <c r="J146" s="252" t="s">
        <v>28</v>
      </c>
      <c r="K146" s="252"/>
      <c r="L146" s="253">
        <v>7.0000000000000007E-2</v>
      </c>
      <c r="M146" s="254"/>
      <c r="N146" s="255"/>
      <c r="O146" s="255"/>
      <c r="P146" s="255"/>
      <c r="Q146" s="255">
        <v>1.5</v>
      </c>
      <c r="R146" s="255"/>
      <c r="S146" s="255"/>
      <c r="T146" s="255"/>
      <c r="U146" s="255"/>
      <c r="V146" s="255"/>
      <c r="W146" s="254"/>
      <c r="X146" s="255"/>
      <c r="Y146" s="256">
        <v>1.5</v>
      </c>
      <c r="Z146" s="257">
        <f t="shared" si="90"/>
        <v>35</v>
      </c>
      <c r="AA146" s="253">
        <v>4.34</v>
      </c>
      <c r="AB146" s="253"/>
      <c r="AC146" s="258">
        <v>46199</v>
      </c>
      <c r="AI146" s="232" t="b">
        <f t="shared" si="79"/>
        <v>0</v>
      </c>
      <c r="AJ146" s="259"/>
      <c r="AM146" s="223">
        <f t="shared" si="81"/>
        <v>26</v>
      </c>
      <c r="AN146" s="223">
        <f t="shared" si="82"/>
        <v>2026</v>
      </c>
      <c r="AU146" s="223">
        <f t="shared" si="83"/>
        <v>6</v>
      </c>
      <c r="AV146" s="223">
        <f t="shared" si="84"/>
        <v>2026</v>
      </c>
    </row>
    <row r="147" spans="4:48" ht="26.25" x14ac:dyDescent="0.4">
      <c r="D147" s="246" t="s">
        <v>772</v>
      </c>
      <c r="E147" s="262" t="s">
        <v>397</v>
      </c>
      <c r="F147" s="263">
        <v>567</v>
      </c>
      <c r="G147" s="249" t="s">
        <v>4</v>
      </c>
      <c r="H147" s="250">
        <v>2.62</v>
      </c>
      <c r="I147" s="251">
        <v>46056</v>
      </c>
      <c r="J147" s="252" t="s">
        <v>23</v>
      </c>
      <c r="K147" s="252"/>
      <c r="L147" s="253">
        <v>7.0000000000000007E-2</v>
      </c>
      <c r="M147" s="254">
        <f ca="1">IF(ISERROR(OFFSET(Tabella!$A$1,MATCH(J147,Tabella!$A:$A,0)-1,MATCH(L147,Tabella!$A$1:$AC$1,0)-1)=TRUE),0,+OFFSET(Tabella!$A$1,MATCH(J147,Tabella!$A:$A,0)-1,MATCH(L147,Tabella!$A$1:$AC$1,0)-1))</f>
        <v>1.25</v>
      </c>
      <c r="N147" s="255">
        <f ca="1">IF(ISERROR(OFFSET(Ottone!$A$1,MATCH(J147,Ottone!$A:$A,0)-1,MATCH(L147,Ottone!$A$1:$Z$1,0)-1)=TRUE),0,OFFSET(Ottone!$A$1,MATCH(J147,Ottone!$A:$A,0)-1,MATCH(L147,Ottone!$A$1:$Z$1,0)-1))*IF(G147="Ottone",1,0)</f>
        <v>0</v>
      </c>
      <c r="O147" s="255">
        <f ca="1">IF(ISERROR(OFFSET(Rame!$A$1,MATCH(J147,Rame!$A:$A,0)-1,MATCH(L147,Rame!$A$1:$AA$1,0)-1)=TRUE),0,OFFSET(Rame!$A$1,MATCH(J147,Rame!$A:$A,0)-1,MATCH(L147,Rame!$A$1:$AA$1,0)-1))*IF(G147="Rame",1,0)</f>
        <v>0</v>
      </c>
      <c r="P147" s="255">
        <v>0</v>
      </c>
      <c r="Q147" s="255">
        <f t="shared" ca="1" si="92"/>
        <v>1.25</v>
      </c>
      <c r="R147" s="255">
        <f ca="1">+IF(ISERROR(OFFSET(Tabella!$G$1,MATCH(J147,Tabella!$G:$G,0)-1,MATCH(K147,Tabella!$G$1:$FG$1,0)-1)=TRUE),0,OFFSET(Tabella!$G$1,MATCH(J147,Tabella!$G:$G,0)-1,MATCH(K147,Tabella!$G$1:$AB$1,0)-1))</f>
        <v>0</v>
      </c>
      <c r="S147" s="255">
        <f ca="1">IF(ISERROR(OFFSET(Ottone!$F$1,MATCH(J147,Ottone!$A:$A,0)-1,MATCH(K147,Ottone!$F$1:$FF$1,0)-1)=TRUE),0,OFFSET(Ottone!$F$1,MATCH(J147,Ottone!$A:$A,0)-1,MATCH(K147,Ottone!$F$1:$FF$1,0)-1))*IF(G147="Ottone",1,0)</f>
        <v>0</v>
      </c>
      <c r="T147" s="255">
        <f ca="1">IF(ISERROR(OFFSET(Rame!$F$1,MATCH(J147,Rame!$F:$F,0)-1,MATCH(K147,Rame!$F$1:$FF$1,0)-1)=TRUE),0,OFFSET(Rame!$F$1,MATCH(J147,Rame!$F:$F,0)-1,MATCH(K147,Rame!$F$1:$FF$1,0)-1))*IF(G147="Rame",1,0)</f>
        <v>0</v>
      </c>
      <c r="U147" s="255">
        <f ca="1">IF(ISERROR(OFFSET(Bronzo!$A$1,MATCH(J147,Bronzo!$A:$A,0)-1,MATCH(K147,Bronzo!$A$1:$AA$1,0)-1)=TRUE),0,OFFSET(Bronzo!$A$1,MATCH(J147,Bronzo!$A:$A,0)-1,MATCH(K147,Bronzo!$A$1:$AA$1,0)-1))</f>
        <v>0</v>
      </c>
      <c r="V147" s="255">
        <f t="shared" ca="1" si="88"/>
        <v>0</v>
      </c>
      <c r="W147" s="254"/>
      <c r="X147" s="255">
        <v>0</v>
      </c>
      <c r="Y147" s="256">
        <f t="shared" ca="1" si="89"/>
        <v>1.25</v>
      </c>
      <c r="Z147" s="269">
        <f t="shared" si="90"/>
        <v>39.690000000000005</v>
      </c>
      <c r="AA147" s="253">
        <v>4.34</v>
      </c>
      <c r="AB147" s="253">
        <f t="shared" ca="1" si="91"/>
        <v>0.46999999999999975</v>
      </c>
      <c r="AC147" s="258"/>
      <c r="AF147" s="223" t="s">
        <v>405</v>
      </c>
      <c r="AH147" s="232">
        <f t="shared" ca="1" si="86"/>
        <v>46120</v>
      </c>
      <c r="AI147" s="232" t="b">
        <f t="shared" si="79"/>
        <v>1</v>
      </c>
      <c r="AJ147" s="259" t="str">
        <f t="shared" ref="AJ147:AJ178" si="93">IF(AI147=FALSE,_xlfn.DAYS(AC147,AH147),"")</f>
        <v/>
      </c>
      <c r="AM147" s="223">
        <f t="shared" si="81"/>
        <v>0</v>
      </c>
      <c r="AN147" s="223">
        <f t="shared" si="82"/>
        <v>1900</v>
      </c>
      <c r="AU147" s="223">
        <f t="shared" si="83"/>
        <v>0</v>
      </c>
      <c r="AV147" s="223">
        <f t="shared" si="84"/>
        <v>0</v>
      </c>
    </row>
    <row r="148" spans="4:48" ht="26.25" x14ac:dyDescent="0.4">
      <c r="D148" s="246" t="s">
        <v>475</v>
      </c>
      <c r="E148" s="262" t="s">
        <v>212</v>
      </c>
      <c r="F148" s="263">
        <v>566</v>
      </c>
      <c r="G148" s="249" t="s">
        <v>4</v>
      </c>
      <c r="H148" s="250">
        <v>2.69</v>
      </c>
      <c r="I148" s="251">
        <v>46057</v>
      </c>
      <c r="J148" s="252" t="s">
        <v>26</v>
      </c>
      <c r="K148" s="252"/>
      <c r="L148" s="253">
        <v>0.05</v>
      </c>
      <c r="M148" s="254">
        <f ca="1">IF(ISERROR(OFFSET(Tabella!$A$1,MATCH(J148,Tabella!$A:$A,0)-1,MATCH(L148,Tabella!$A$1:$AC$1,0)-1)=TRUE),0,+OFFSET(Tabella!$A$1,MATCH(J148,Tabella!$A:$A,0)-1,MATCH(L148,Tabella!$A$1:$AC$1,0)-1))</f>
        <v>0</v>
      </c>
      <c r="N148" s="255">
        <f ca="1">IF(ISERROR(OFFSET(Ottone!$A$1,MATCH(J148,Ottone!$A:$A,0)-1,MATCH(L148,Ottone!$A$1:$Z$1,0)-1)=TRUE),0,OFFSET(Ottone!$A$1,MATCH(J148,Ottone!$A:$A,0)-1,MATCH(L148,Ottone!$A$1:$Z$1,0)-1))*IF(G148="Ottone",1,0)</f>
        <v>0</v>
      </c>
      <c r="O148" s="255">
        <f ca="1">IF(ISERROR(OFFSET(Rame!$A$1,MATCH(J148,Rame!$A:$A,0)-1,MATCH(L148,Rame!$A$1:$AA$1,0)-1)=TRUE),0,OFFSET(Rame!$A$1,MATCH(J148,Rame!$A:$A,0)-1,MATCH(L148,Rame!$A$1:$AA$1,0)-1))*IF(G148="Rame",1,0)</f>
        <v>0</v>
      </c>
      <c r="P148" s="255">
        <v>0</v>
      </c>
      <c r="Q148" s="255">
        <v>1.47</v>
      </c>
      <c r="R148" s="255">
        <f ca="1">+IF(ISERROR(OFFSET(Tabella!$G$1,MATCH(J148,Tabella!$G:$G,0)-1,MATCH(K148,Tabella!$G$1:$FG$1,0)-1)=TRUE),0,OFFSET(Tabella!$G$1,MATCH(J148,Tabella!$G:$G,0)-1,MATCH(K148,Tabella!$G$1:$AB$1,0)-1))</f>
        <v>0</v>
      </c>
      <c r="S148" s="255">
        <f ca="1">IF(ISERROR(OFFSET(Ottone!$F$1,MATCH(J148,Ottone!$A:$A,0)-1,MATCH(K148,Ottone!$F$1:$FF$1,0)-1)=TRUE),0,OFFSET(Ottone!$F$1,MATCH(J148,Ottone!$A:$A,0)-1,MATCH(K148,Ottone!$F$1:$FF$1,0)-1))*IF(G148="Ottone",1,0)</f>
        <v>0</v>
      </c>
      <c r="T148" s="255">
        <f ca="1">IF(ISERROR(OFFSET(Rame!$F$1,MATCH(J148,Rame!$F:$F,0)-1,MATCH(K148,Rame!$F$1:$FF$1,0)-1)=TRUE),0,OFFSET(Rame!$F$1,MATCH(J148,Rame!$F:$F,0)-1,MATCH(K148,Rame!$F$1:$FF$1,0)-1))*IF(G148="Rame",1,0)</f>
        <v>0</v>
      </c>
      <c r="U148" s="255">
        <f ca="1">IF(ISERROR(OFFSET(Bronzo!$A$1,MATCH(J148,Bronzo!$A:$A,0)-1,MATCH(K148,Bronzo!$A$1:$AA$1,0)-1)=TRUE),0,OFFSET(Bronzo!$A$1,MATCH(J148,Bronzo!$A:$A,0)-1,MATCH(K148,Bronzo!$A$1:$AA$1,0)-1))</f>
        <v>0</v>
      </c>
      <c r="V148" s="255">
        <f t="shared" ca="1" si="88"/>
        <v>0</v>
      </c>
      <c r="W148" s="254"/>
      <c r="X148" s="255">
        <v>0</v>
      </c>
      <c r="Y148" s="256">
        <f t="shared" ca="1" si="89"/>
        <v>1.47</v>
      </c>
      <c r="Z148" s="269">
        <f t="shared" si="90"/>
        <v>28.3</v>
      </c>
      <c r="AA148" s="253">
        <v>4.16</v>
      </c>
      <c r="AB148" s="253">
        <f t="shared" ca="1" si="91"/>
        <v>0</v>
      </c>
      <c r="AC148" s="258"/>
      <c r="AF148" s="223" t="s">
        <v>405</v>
      </c>
      <c r="AH148" s="232">
        <f t="shared" ca="1" si="86"/>
        <v>46120</v>
      </c>
      <c r="AI148" s="232" t="b">
        <f t="shared" si="79"/>
        <v>1</v>
      </c>
      <c r="AJ148" s="259" t="str">
        <f t="shared" si="93"/>
        <v/>
      </c>
      <c r="AM148" s="223">
        <f t="shared" si="81"/>
        <v>0</v>
      </c>
      <c r="AN148" s="223">
        <f t="shared" si="82"/>
        <v>1900</v>
      </c>
      <c r="AU148" s="223">
        <f t="shared" si="83"/>
        <v>0</v>
      </c>
      <c r="AV148" s="223">
        <f t="shared" si="84"/>
        <v>0</v>
      </c>
    </row>
    <row r="149" spans="4:48" ht="26.25" x14ac:dyDescent="0.4">
      <c r="D149" s="246" t="s">
        <v>502</v>
      </c>
      <c r="E149" s="262" t="s">
        <v>212</v>
      </c>
      <c r="F149" s="263">
        <v>8642</v>
      </c>
      <c r="G149" s="249" t="s">
        <v>4</v>
      </c>
      <c r="H149" s="250">
        <v>2.69</v>
      </c>
      <c r="I149" s="251">
        <v>46057</v>
      </c>
      <c r="J149" s="252" t="s">
        <v>23</v>
      </c>
      <c r="K149" s="252"/>
      <c r="L149" s="253">
        <v>0.05</v>
      </c>
      <c r="M149" s="254">
        <f ca="1">IF(ISERROR(OFFSET(Tabella!$A$1,MATCH(J149,Tabella!$A:$A,0)-1,MATCH(L149,Tabella!$A$1:$AC$1,0)-1)=TRUE),0,+OFFSET(Tabella!$A$1,MATCH(J149,Tabella!$A:$A,0)-1,MATCH(L149,Tabella!$A$1:$AC$1,0)-1))</f>
        <v>0</v>
      </c>
      <c r="N149" s="255">
        <f ca="1">IF(ISERROR(OFFSET(Ottone!$A$1,MATCH(J149,Ottone!$A:$A,0)-1,MATCH(L149,Ottone!$A$1:$Z$1,0)-1)=TRUE),0,OFFSET(Ottone!$A$1,MATCH(J149,Ottone!$A:$A,0)-1,MATCH(L149,Ottone!$A$1:$Z$1,0)-1))*IF(G149="Ottone",1,0)</f>
        <v>0</v>
      </c>
      <c r="O149" s="255">
        <f ca="1">IF(ISERROR(OFFSET(Rame!$A$1,MATCH(J149,Rame!$A:$A,0)-1,MATCH(L149,Rame!$A$1:$AA$1,0)-1)=TRUE),0,OFFSET(Rame!$A$1,MATCH(J149,Rame!$A:$A,0)-1,MATCH(L149,Rame!$A$1:$AA$1,0)-1))*IF(G149="Rame",1,0)</f>
        <v>0</v>
      </c>
      <c r="P149" s="255">
        <v>0</v>
      </c>
      <c r="Q149" s="255">
        <v>1.37</v>
      </c>
      <c r="R149" s="255">
        <f ca="1">+IF(ISERROR(OFFSET(Tabella!$G$1,MATCH(J149,Tabella!$G:$G,0)-1,MATCH(K149,Tabella!$G$1:$FG$1,0)-1)=TRUE),0,OFFSET(Tabella!$G$1,MATCH(J149,Tabella!$G:$G,0)-1,MATCH(K149,Tabella!$G$1:$AB$1,0)-1))</f>
        <v>0</v>
      </c>
      <c r="S149" s="255">
        <f ca="1">IF(ISERROR(OFFSET(Ottone!$F$1,MATCH(J149,Ottone!$A:$A,0)-1,MATCH(K149,Ottone!$F$1:$FF$1,0)-1)=TRUE),0,OFFSET(Ottone!$F$1,MATCH(J149,Ottone!$A:$A,0)-1,MATCH(K149,Ottone!$F$1:$FF$1,0)-1))*IF(G149="Ottone",1,0)</f>
        <v>0</v>
      </c>
      <c r="T149" s="255">
        <f ca="1">IF(ISERROR(OFFSET(Rame!$F$1,MATCH(J149,Rame!$F:$F,0)-1,MATCH(K149,Rame!$F$1:$FF$1,0)-1)=TRUE),0,OFFSET(Rame!$F$1,MATCH(J149,Rame!$F:$F,0)-1,MATCH(K149,Rame!$F$1:$FF$1,0)-1))*IF(G149="Rame",1,0)</f>
        <v>0</v>
      </c>
      <c r="U149" s="255">
        <f ca="1">IF(ISERROR(OFFSET(Bronzo!$A$1,MATCH(J149,Bronzo!$A:$A,0)-1,MATCH(K149,Bronzo!$A$1:$AA$1,0)-1)=TRUE),0,OFFSET(Bronzo!$A$1,MATCH(J149,Bronzo!$A:$A,0)-1,MATCH(K149,Bronzo!$A$1:$AA$1,0)-1))</f>
        <v>0</v>
      </c>
      <c r="V149" s="255">
        <f t="shared" ca="1" si="88"/>
        <v>0</v>
      </c>
      <c r="W149" s="254"/>
      <c r="X149" s="255">
        <v>0</v>
      </c>
      <c r="Y149" s="256">
        <f t="shared" ca="1" si="89"/>
        <v>1.37</v>
      </c>
      <c r="Z149" s="269">
        <f t="shared" si="90"/>
        <v>432.1</v>
      </c>
      <c r="AA149" s="253">
        <v>4.0599999999999996</v>
      </c>
      <c r="AB149" s="253">
        <f t="shared" ca="1" si="91"/>
        <v>0</v>
      </c>
      <c r="AC149" s="258"/>
      <c r="AF149" s="223" t="s">
        <v>405</v>
      </c>
      <c r="AH149" s="232">
        <f t="shared" ca="1" si="86"/>
        <v>46120</v>
      </c>
      <c r="AI149" s="232" t="b">
        <f t="shared" si="79"/>
        <v>1</v>
      </c>
      <c r="AJ149" s="259" t="str">
        <f t="shared" si="93"/>
        <v/>
      </c>
      <c r="AM149" s="223">
        <f t="shared" si="81"/>
        <v>0</v>
      </c>
      <c r="AN149" s="223">
        <f t="shared" si="82"/>
        <v>1900</v>
      </c>
      <c r="AU149" s="223">
        <f t="shared" si="83"/>
        <v>0</v>
      </c>
      <c r="AV149" s="223">
        <f t="shared" si="84"/>
        <v>0</v>
      </c>
    </row>
    <row r="150" spans="4:48" ht="26.25" x14ac:dyDescent="0.4">
      <c r="D150" s="246" t="s">
        <v>522</v>
      </c>
      <c r="E150" s="262" t="s">
        <v>263</v>
      </c>
      <c r="F150" s="263">
        <v>1459</v>
      </c>
      <c r="G150" s="249" t="s">
        <v>4</v>
      </c>
      <c r="H150" s="250">
        <v>2.69</v>
      </c>
      <c r="I150" s="251">
        <v>46057</v>
      </c>
      <c r="J150" s="252" t="s">
        <v>19</v>
      </c>
      <c r="K150" s="252"/>
      <c r="L150" s="253">
        <v>7.0000000000000007E-2</v>
      </c>
      <c r="M150" s="254">
        <f ca="1">IF(ISERROR(OFFSET(Tabella!$A$1,MATCH(J150,Tabella!$A:$A,0)-1,MATCH(L150,Tabella!$A$1:$AC$1,0)-1)=TRUE),0,+OFFSET(Tabella!$A$1,MATCH(J150,Tabella!$A:$A,0)-1,MATCH(L150,Tabella!$A$1:$AC$1,0)-1))</f>
        <v>1.35</v>
      </c>
      <c r="N150" s="255">
        <f ca="1">IF(ISERROR(OFFSET(Ottone!$A$1,MATCH(J150,Ottone!$A:$A,0)-1,MATCH(L150,Ottone!$A$1:$Z$1,0)-1)=TRUE),0,OFFSET(Ottone!$A$1,MATCH(J150,Ottone!$A:$A,0)-1,MATCH(L150,Ottone!$A$1:$Z$1,0)-1))*IF(G150="Ottone",1,0)</f>
        <v>0</v>
      </c>
      <c r="O150" s="255">
        <f ca="1">IF(ISERROR(OFFSET(Rame!$A$1,MATCH(J150,Rame!$A:$A,0)-1,MATCH(L150,Rame!$A$1:$AA$1,0)-1)=TRUE),0,OFFSET(Rame!$A$1,MATCH(J150,Rame!$A:$A,0)-1,MATCH(L150,Rame!$A$1:$AA$1,0)-1))*IF(G150="Rame",1,0)</f>
        <v>0</v>
      </c>
      <c r="P150" s="255">
        <v>0</v>
      </c>
      <c r="Q150" s="255">
        <v>1.5</v>
      </c>
      <c r="R150" s="255">
        <f ca="1">+IF(ISERROR(OFFSET(Tabella!$G$1,MATCH(J150,Tabella!$G:$G,0)-1,MATCH(K150,Tabella!$G$1:$FG$1,0)-1)=TRUE),0,OFFSET(Tabella!$G$1,MATCH(J150,Tabella!$G:$G,0)-1,MATCH(K150,Tabella!$G$1:$AB$1,0)-1))</f>
        <v>0</v>
      </c>
      <c r="S150" s="255">
        <f ca="1">IF(ISERROR(OFFSET(Ottone!$F$1,MATCH(J150,Ottone!$A:$A,0)-1,MATCH(K150,Ottone!$F$1:$FF$1,0)-1)=TRUE),0,OFFSET(Ottone!$F$1,MATCH(J150,Ottone!$A:$A,0)-1,MATCH(K150,Ottone!$F$1:$FF$1,0)-1))*IF(G150="Ottone",1,0)</f>
        <v>0</v>
      </c>
      <c r="T150" s="255">
        <f ca="1">IF(ISERROR(OFFSET(Rame!$F$1,MATCH(J150,Rame!$F:$F,0)-1,MATCH(K150,Rame!$F$1:$FF$1,0)-1)=TRUE),0,OFFSET(Rame!$F$1,MATCH(J150,Rame!$F:$F,0)-1,MATCH(K150,Rame!$F$1:$FF$1,0)-1))*IF(G150="Rame",1,0)</f>
        <v>0</v>
      </c>
      <c r="U150" s="255">
        <f ca="1">IF(ISERROR(OFFSET(Bronzo!$A$1,MATCH(J150,Bronzo!$A:$A,0)-1,MATCH(K150,Bronzo!$A$1:$AA$1,0)-1)=TRUE),0,OFFSET(Bronzo!$A$1,MATCH(J150,Bronzo!$A:$A,0)-1,MATCH(K150,Bronzo!$A$1:$AA$1,0)-1))</f>
        <v>0</v>
      </c>
      <c r="V150" s="255">
        <f t="shared" ca="1" si="88"/>
        <v>0</v>
      </c>
      <c r="W150" s="254"/>
      <c r="X150" s="255">
        <v>0</v>
      </c>
      <c r="Y150" s="256">
        <f t="shared" ca="1" si="89"/>
        <v>1.5</v>
      </c>
      <c r="Z150" s="269">
        <f t="shared" si="90"/>
        <v>102.13000000000001</v>
      </c>
      <c r="AA150" s="253">
        <v>4.26</v>
      </c>
      <c r="AB150" s="253">
        <f t="shared" ca="1" si="91"/>
        <v>6.999999999999984E-2</v>
      </c>
      <c r="AC150" s="258"/>
      <c r="AF150" s="223" t="s">
        <v>405</v>
      </c>
      <c r="AH150" s="232">
        <f t="shared" ca="1" si="86"/>
        <v>46120</v>
      </c>
      <c r="AI150" s="232" t="b">
        <f t="shared" si="79"/>
        <v>1</v>
      </c>
      <c r="AJ150" s="259" t="str">
        <f t="shared" si="93"/>
        <v/>
      </c>
      <c r="AM150" s="223">
        <f t="shared" si="81"/>
        <v>0</v>
      </c>
      <c r="AN150" s="223">
        <f t="shared" si="82"/>
        <v>1900</v>
      </c>
      <c r="AU150" s="223">
        <f t="shared" si="83"/>
        <v>0</v>
      </c>
      <c r="AV150" s="223">
        <f t="shared" si="84"/>
        <v>0</v>
      </c>
    </row>
    <row r="151" spans="4:48" ht="26.25" x14ac:dyDescent="0.4">
      <c r="D151" s="246" t="s">
        <v>522</v>
      </c>
      <c r="E151" s="262" t="s">
        <v>263</v>
      </c>
      <c r="F151" s="263">
        <v>693</v>
      </c>
      <c r="G151" s="249" t="s">
        <v>4</v>
      </c>
      <c r="H151" s="250">
        <v>2.69</v>
      </c>
      <c r="I151" s="251">
        <v>46057</v>
      </c>
      <c r="J151" s="252" t="s">
        <v>21</v>
      </c>
      <c r="K151" s="252"/>
      <c r="L151" s="253">
        <v>7.0000000000000007E-2</v>
      </c>
      <c r="M151" s="254">
        <f ca="1">IF(ISERROR(OFFSET(Tabella!$A$1,MATCH(J151,Tabella!$A:$A,0)-1,MATCH(L151,Tabella!$A$1:$AC$1,0)-1)=TRUE),0,+OFFSET(Tabella!$A$1,MATCH(J151,Tabella!$A:$A,0)-1,MATCH(L151,Tabella!$A$1:$AC$1,0)-1))</f>
        <v>1.25</v>
      </c>
      <c r="N151" s="255">
        <f ca="1">IF(ISERROR(OFFSET(Ottone!$A$1,MATCH(J151,Ottone!$A:$A,0)-1,MATCH(L151,Ottone!$A$1:$Z$1,0)-1)=TRUE),0,OFFSET(Ottone!$A$1,MATCH(J151,Ottone!$A:$A,0)-1,MATCH(L151,Ottone!$A$1:$Z$1,0)-1))*IF(G151="Ottone",1,0)</f>
        <v>0</v>
      </c>
      <c r="O151" s="255">
        <f ca="1">IF(ISERROR(OFFSET(Rame!$A$1,MATCH(J151,Rame!$A:$A,0)-1,MATCH(L151,Rame!$A$1:$AA$1,0)-1)=TRUE),0,OFFSET(Rame!$A$1,MATCH(J151,Rame!$A:$A,0)-1,MATCH(L151,Rame!$A$1:$AA$1,0)-1))*IF(G151="Rame",1,0)</f>
        <v>0</v>
      </c>
      <c r="P151" s="255">
        <v>0</v>
      </c>
      <c r="Q151" s="255">
        <v>1.5</v>
      </c>
      <c r="R151" s="255">
        <f ca="1">+IF(ISERROR(OFFSET(Tabella!$G$1,MATCH(J151,Tabella!$G:$G,0)-1,MATCH(K151,Tabella!$G$1:$FG$1,0)-1)=TRUE),0,OFFSET(Tabella!$G$1,MATCH(J151,Tabella!$G:$G,0)-1,MATCH(K151,Tabella!$G$1:$AB$1,0)-1))</f>
        <v>0</v>
      </c>
      <c r="S151" s="255">
        <f ca="1">IF(ISERROR(OFFSET(Ottone!$F$1,MATCH(J151,Ottone!$A:$A,0)-1,MATCH(K151,Ottone!$F$1:$FF$1,0)-1)=TRUE),0,OFFSET(Ottone!$F$1,MATCH(J151,Ottone!$A:$A,0)-1,MATCH(K151,Ottone!$F$1:$FF$1,0)-1))*IF(G151="Ottone",1,0)</f>
        <v>0</v>
      </c>
      <c r="T151" s="255">
        <f ca="1">IF(ISERROR(OFFSET(Rame!$F$1,MATCH(J151,Rame!$F:$F,0)-1,MATCH(K151,Rame!$F$1:$FF$1,0)-1)=TRUE),0,OFFSET(Rame!$F$1,MATCH(J151,Rame!$F:$F,0)-1,MATCH(K151,Rame!$F$1:$FF$1,0)-1))*IF(G151="Rame",1,0)</f>
        <v>0</v>
      </c>
      <c r="U151" s="255">
        <f ca="1">IF(ISERROR(OFFSET(Bronzo!$A$1,MATCH(J151,Bronzo!$A:$A,0)-1,MATCH(K151,Bronzo!$A$1:$AA$1,0)-1)=TRUE),0,OFFSET(Bronzo!$A$1,MATCH(J151,Bronzo!$A:$A,0)-1,MATCH(K151,Bronzo!$A$1:$AA$1,0)-1))</f>
        <v>0</v>
      </c>
      <c r="V151" s="255">
        <f t="shared" ca="1" si="88"/>
        <v>0</v>
      </c>
      <c r="W151" s="254"/>
      <c r="X151" s="255">
        <v>0</v>
      </c>
      <c r="Y151" s="256">
        <f t="shared" ca="1" si="89"/>
        <v>1.5</v>
      </c>
      <c r="Z151" s="269">
        <f t="shared" si="90"/>
        <v>48.510000000000005</v>
      </c>
      <c r="AA151" s="253">
        <v>4.26</v>
      </c>
      <c r="AB151" s="253">
        <f t="shared" ca="1" si="91"/>
        <v>6.999999999999984E-2</v>
      </c>
      <c r="AC151" s="258"/>
      <c r="AF151" s="223" t="s">
        <v>405</v>
      </c>
      <c r="AH151" s="232">
        <f t="shared" ca="1" si="86"/>
        <v>46120</v>
      </c>
      <c r="AI151" s="232" t="b">
        <f t="shared" si="79"/>
        <v>1</v>
      </c>
      <c r="AJ151" s="259" t="str">
        <f t="shared" si="93"/>
        <v/>
      </c>
      <c r="AM151" s="223">
        <f t="shared" si="81"/>
        <v>0</v>
      </c>
      <c r="AN151" s="223">
        <f t="shared" si="82"/>
        <v>1900</v>
      </c>
      <c r="AU151" s="223">
        <f t="shared" si="83"/>
        <v>0</v>
      </c>
      <c r="AV151" s="223">
        <f t="shared" si="84"/>
        <v>0</v>
      </c>
    </row>
    <row r="152" spans="4:48" ht="26.25" x14ac:dyDescent="0.4">
      <c r="D152" s="246" t="s">
        <v>624</v>
      </c>
      <c r="E152" s="292" t="s">
        <v>263</v>
      </c>
      <c r="F152" s="293">
        <v>1627</v>
      </c>
      <c r="G152" s="249" t="s">
        <v>4</v>
      </c>
      <c r="H152" s="250">
        <v>2.69</v>
      </c>
      <c r="I152" s="251">
        <v>46057</v>
      </c>
      <c r="J152" s="252" t="s">
        <v>322</v>
      </c>
      <c r="K152" s="252"/>
      <c r="L152" s="253">
        <v>7.0000000000000007E-2</v>
      </c>
      <c r="M152" s="254">
        <f ca="1">IF(ISERROR(OFFSET(Tabella!$A$1,MATCH(J152,Tabella!$A:$A,0)-1,MATCH(L152,Tabella!$A$1:$AC$1,0)-1)=TRUE),0,+OFFSET(Tabella!$A$1,MATCH(J152,Tabella!$A:$A,0)-1,MATCH(L152,Tabella!$A$1:$AC$1,0)-1))</f>
        <v>1.25</v>
      </c>
      <c r="N152" s="255">
        <f ca="1">IF(ISERROR(OFFSET(Ottone!$A$1,MATCH(J152,Ottone!$A:$A,0)-1,MATCH(L152,Ottone!$A$1:$Z$1,0)-1)=TRUE),0,OFFSET(Ottone!$A$1,MATCH(J152,Ottone!$A:$A,0)-1,MATCH(L152,Ottone!$A$1:$Z$1,0)-1))*IF(G152="Ottone",1,0)</f>
        <v>0</v>
      </c>
      <c r="O152" s="255">
        <f ca="1">IF(ISERROR(OFFSET(Rame!$A$1,MATCH(J152,Rame!$A:$A,0)-1,MATCH(L152,Rame!$A$1:$AA$1,0)-1)=TRUE),0,OFFSET(Rame!$A$1,MATCH(J152,Rame!$A:$A,0)-1,MATCH(L152,Rame!$A$1:$AA$1,0)-1))*IF(G152="Rame",1,0)</f>
        <v>0</v>
      </c>
      <c r="P152" s="255">
        <v>0</v>
      </c>
      <c r="Q152" s="255">
        <v>1.5</v>
      </c>
      <c r="R152" s="255">
        <f ca="1">+IF(ISERROR(OFFSET(Tabella!$G$1,MATCH(J152,Tabella!$G:$G,0)-1,MATCH(K152,Tabella!$G$1:$FG$1,0)-1)=TRUE),0,OFFSET(Tabella!$G$1,MATCH(J152,Tabella!$G:$G,0)-1,MATCH(K152,Tabella!$G$1:$AB$1,0)-1))</f>
        <v>0</v>
      </c>
      <c r="S152" s="255">
        <f ca="1">IF(ISERROR(OFFSET(Ottone!$F$1,MATCH(J152,Ottone!$A:$A,0)-1,MATCH(K152,Ottone!$F$1:$FF$1,0)-1)=TRUE),0,OFFSET(Ottone!$F$1,MATCH(J152,Ottone!$A:$A,0)-1,MATCH(K152,Ottone!$F$1:$FF$1,0)-1))*IF(G152="Ottone",1,0)</f>
        <v>0</v>
      </c>
      <c r="T152" s="255">
        <f ca="1">IF(ISERROR(OFFSET(Rame!$F$1,MATCH(J152,Rame!$F:$F,0)-1,MATCH(K152,Rame!$F$1:$FF$1,0)-1)=TRUE),0,OFFSET(Rame!$F$1,MATCH(J152,Rame!$F:$F,0)-1,MATCH(K152,Rame!$F$1:$FF$1,0)-1))*IF(G152="Rame",1,0)</f>
        <v>0</v>
      </c>
      <c r="U152" s="255">
        <f ca="1">IF(ISERROR(OFFSET(Bronzo!$A$1,MATCH(J152,Bronzo!$A:$A,0)-1,MATCH(K152,Bronzo!$A$1:$AA$1,0)-1)=TRUE),0,OFFSET(Bronzo!$A$1,MATCH(J152,Bronzo!$A:$A,0)-1,MATCH(K152,Bronzo!$A$1:$AA$1,0)-1))</f>
        <v>0</v>
      </c>
      <c r="V152" s="255">
        <f t="shared" ca="1" si="88"/>
        <v>0</v>
      </c>
      <c r="W152" s="254"/>
      <c r="X152" s="255">
        <v>0</v>
      </c>
      <c r="Y152" s="256">
        <f t="shared" ca="1" si="89"/>
        <v>1.5</v>
      </c>
      <c r="Z152" s="291">
        <f t="shared" si="90"/>
        <v>113.89000000000001</v>
      </c>
      <c r="AA152" s="253">
        <v>4.26</v>
      </c>
      <c r="AB152" s="253">
        <f t="shared" ca="1" si="91"/>
        <v>6.999999999999984E-2</v>
      </c>
      <c r="AC152" s="258"/>
      <c r="AH152" s="232">
        <f t="shared" ca="1" si="86"/>
        <v>46120</v>
      </c>
      <c r="AI152" s="232" t="b">
        <f t="shared" si="79"/>
        <v>1</v>
      </c>
      <c r="AJ152" s="259" t="str">
        <f t="shared" si="93"/>
        <v/>
      </c>
      <c r="AM152" s="223">
        <f t="shared" si="81"/>
        <v>0</v>
      </c>
      <c r="AN152" s="223">
        <f t="shared" si="82"/>
        <v>1900</v>
      </c>
      <c r="AU152" s="223">
        <f t="shared" si="83"/>
        <v>0</v>
      </c>
      <c r="AV152" s="223">
        <f t="shared" si="84"/>
        <v>0</v>
      </c>
    </row>
    <row r="153" spans="4:48" ht="26.25" x14ac:dyDescent="0.4">
      <c r="D153" s="246" t="s">
        <v>624</v>
      </c>
      <c r="E153" s="292" t="s">
        <v>263</v>
      </c>
      <c r="F153" s="293">
        <v>1472</v>
      </c>
      <c r="G153" s="249" t="s">
        <v>4</v>
      </c>
      <c r="H153" s="250">
        <v>2.69</v>
      </c>
      <c r="I153" s="251">
        <v>46057</v>
      </c>
      <c r="J153" s="252" t="s">
        <v>314</v>
      </c>
      <c r="K153" s="252"/>
      <c r="L153" s="253">
        <v>7.0000000000000007E-2</v>
      </c>
      <c r="M153" s="254">
        <f ca="1">IF(ISERROR(OFFSET(Tabella!$A$1,MATCH(J153,Tabella!$A:$A,0)-1,MATCH(L153,Tabella!$A$1:$AC$1,0)-1)=TRUE),0,+OFFSET(Tabella!$A$1,MATCH(J153,Tabella!$A:$A,0)-1,MATCH(L153,Tabella!$A$1:$AC$1,0)-1))</f>
        <v>1.25</v>
      </c>
      <c r="N153" s="255">
        <f ca="1">IF(ISERROR(OFFSET(Ottone!$A$1,MATCH(J153,Ottone!$A:$A,0)-1,MATCH(L153,Ottone!$A$1:$Z$1,0)-1)=TRUE),0,OFFSET(Ottone!$A$1,MATCH(J153,Ottone!$A:$A,0)-1,MATCH(L153,Ottone!$A$1:$Z$1,0)-1))*IF(G153="Ottone",1,0)</f>
        <v>0</v>
      </c>
      <c r="O153" s="255">
        <f ca="1">IF(ISERROR(OFFSET(Rame!$A$1,MATCH(J153,Rame!$A:$A,0)-1,MATCH(L153,Rame!$A$1:$AA$1,0)-1)=TRUE),0,OFFSET(Rame!$A$1,MATCH(J153,Rame!$A:$A,0)-1,MATCH(L153,Rame!$A$1:$AA$1,0)-1))*IF(G153="Rame",1,0)</f>
        <v>0</v>
      </c>
      <c r="P153" s="255">
        <v>0</v>
      </c>
      <c r="Q153" s="255">
        <v>1.5</v>
      </c>
      <c r="R153" s="255">
        <f ca="1">+IF(ISERROR(OFFSET(Tabella!$G$1,MATCH(J153,Tabella!$G:$G,0)-1,MATCH(K153,Tabella!$G$1:$FG$1,0)-1)=TRUE),0,OFFSET(Tabella!$G$1,MATCH(J153,Tabella!$G:$G,0)-1,MATCH(K153,Tabella!$G$1:$AB$1,0)-1))</f>
        <v>0</v>
      </c>
      <c r="S153" s="255">
        <f ca="1">IF(ISERROR(OFFSET(Ottone!$F$1,MATCH(J153,Ottone!$A:$A,0)-1,MATCH(K153,Ottone!$F$1:$FF$1,0)-1)=TRUE),0,OFFSET(Ottone!$F$1,MATCH(J153,Ottone!$A:$A,0)-1,MATCH(K153,Ottone!$F$1:$FF$1,0)-1))*IF(G153="Ottone",1,0)</f>
        <v>0</v>
      </c>
      <c r="T153" s="255">
        <f ca="1">IF(ISERROR(OFFSET(Rame!$F$1,MATCH(J153,Rame!$F:$F,0)-1,MATCH(K153,Rame!$F$1:$FF$1,0)-1)=TRUE),0,OFFSET(Rame!$F$1,MATCH(J153,Rame!$F:$F,0)-1,MATCH(K153,Rame!$F$1:$FF$1,0)-1))*IF(G153="Rame",1,0)</f>
        <v>0</v>
      </c>
      <c r="U153" s="255">
        <f ca="1">IF(ISERROR(OFFSET(Bronzo!$A$1,MATCH(J153,Bronzo!$A:$A,0)-1,MATCH(K153,Bronzo!$A$1:$AA$1,0)-1)=TRUE),0,OFFSET(Bronzo!$A$1,MATCH(J153,Bronzo!$A:$A,0)-1,MATCH(K153,Bronzo!$A$1:$AA$1,0)-1))</f>
        <v>0</v>
      </c>
      <c r="V153" s="255">
        <f t="shared" ca="1" si="88"/>
        <v>0</v>
      </c>
      <c r="W153" s="254"/>
      <c r="X153" s="255">
        <v>0</v>
      </c>
      <c r="Y153" s="256">
        <f t="shared" ca="1" si="89"/>
        <v>1.5</v>
      </c>
      <c r="Z153" s="291">
        <f t="shared" si="90"/>
        <v>103.04</v>
      </c>
      <c r="AA153" s="253">
        <v>4.26</v>
      </c>
      <c r="AB153" s="253">
        <f t="shared" ca="1" si="91"/>
        <v>6.999999999999984E-2</v>
      </c>
      <c r="AC153" s="258"/>
      <c r="AH153" s="232">
        <f t="shared" ca="1" si="86"/>
        <v>46120</v>
      </c>
      <c r="AI153" s="232" t="b">
        <f t="shared" si="79"/>
        <v>1</v>
      </c>
      <c r="AJ153" s="259" t="str">
        <f t="shared" si="93"/>
        <v/>
      </c>
      <c r="AM153" s="223">
        <f t="shared" si="81"/>
        <v>0</v>
      </c>
      <c r="AN153" s="223">
        <f t="shared" si="82"/>
        <v>1900</v>
      </c>
      <c r="AU153" s="223">
        <f t="shared" si="83"/>
        <v>0</v>
      </c>
      <c r="AV153" s="223">
        <f t="shared" si="84"/>
        <v>0</v>
      </c>
    </row>
    <row r="154" spans="4:48" ht="26.25" x14ac:dyDescent="0.4">
      <c r="D154" s="246" t="s">
        <v>522</v>
      </c>
      <c r="E154" s="262" t="s">
        <v>263</v>
      </c>
      <c r="F154" s="263">
        <v>1582</v>
      </c>
      <c r="G154" s="249" t="s">
        <v>4</v>
      </c>
      <c r="H154" s="250">
        <v>2.69</v>
      </c>
      <c r="I154" s="251">
        <v>46057</v>
      </c>
      <c r="J154" s="252" t="s">
        <v>243</v>
      </c>
      <c r="K154" s="252"/>
      <c r="L154" s="253">
        <v>7.0000000000000007E-2</v>
      </c>
      <c r="M154" s="254">
        <f ca="1">IF(ISERROR(OFFSET(Tabella!$A$1,MATCH(J154,Tabella!$A:$A,0)-1,MATCH(L154,Tabella!$A$1:$AC$1,0)-1)=TRUE),0,+OFFSET(Tabella!$A$1,MATCH(J154,Tabella!$A:$A,0)-1,MATCH(L154,Tabella!$A$1:$AC$1,0)-1))</f>
        <v>1.4</v>
      </c>
      <c r="N154" s="255">
        <f ca="1">IF(ISERROR(OFFSET(Ottone!$A$1,MATCH(J154,Ottone!$A:$A,0)-1,MATCH(L154,Ottone!$A$1:$Z$1,0)-1)=TRUE),0,OFFSET(Ottone!$A$1,MATCH(J154,Ottone!$A:$A,0)-1,MATCH(L154,Ottone!$A$1:$Z$1,0)-1))*IF(G154="Ottone",1,0)</f>
        <v>0</v>
      </c>
      <c r="O154" s="255">
        <f ca="1">IF(ISERROR(OFFSET(Rame!$A$1,MATCH(J154,Rame!$A:$A,0)-1,MATCH(L154,Rame!$A$1:$AA$1,0)-1)=TRUE),0,OFFSET(Rame!$A$1,MATCH(J154,Rame!$A:$A,0)-1,MATCH(L154,Rame!$A$1:$AA$1,0)-1))*IF(G154="Rame",1,0)</f>
        <v>0</v>
      </c>
      <c r="P154" s="255">
        <v>0</v>
      </c>
      <c r="Q154" s="255">
        <v>1.6</v>
      </c>
      <c r="R154" s="255">
        <f ca="1">+IF(ISERROR(OFFSET(Tabella!$G$1,MATCH(J154,Tabella!$G:$G,0)-1,MATCH(K154,Tabella!$G$1:$FG$1,0)-1)=TRUE),0,OFFSET(Tabella!$G$1,MATCH(J154,Tabella!$G:$G,0)-1,MATCH(K154,Tabella!$G$1:$AB$1,0)-1))</f>
        <v>0</v>
      </c>
      <c r="S154" s="255">
        <f ca="1">IF(ISERROR(OFFSET(Ottone!$F$1,MATCH(J154,Ottone!$A:$A,0)-1,MATCH(K154,Ottone!$F$1:$FF$1,0)-1)=TRUE),0,OFFSET(Ottone!$F$1,MATCH(J154,Ottone!$A:$A,0)-1,MATCH(K154,Ottone!$F$1:$FF$1,0)-1))*IF(G154="Ottone",1,0)</f>
        <v>0</v>
      </c>
      <c r="T154" s="255">
        <f ca="1">IF(ISERROR(OFFSET(Rame!$F$1,MATCH(J154,Rame!$F:$F,0)-1,MATCH(K154,Rame!$F$1:$FF$1,0)-1)=TRUE),0,OFFSET(Rame!$F$1,MATCH(J154,Rame!$F:$F,0)-1,MATCH(K154,Rame!$F$1:$FF$1,0)-1))*IF(G154="Rame",1,0)</f>
        <v>0</v>
      </c>
      <c r="U154" s="255">
        <f ca="1">IF(ISERROR(OFFSET(Bronzo!$A$1,MATCH(J154,Bronzo!$A:$A,0)-1,MATCH(K154,Bronzo!$A$1:$AA$1,0)-1)=TRUE),0,OFFSET(Bronzo!$A$1,MATCH(J154,Bronzo!$A:$A,0)-1,MATCH(K154,Bronzo!$A$1:$AA$1,0)-1))</f>
        <v>0</v>
      </c>
      <c r="V154" s="255">
        <f t="shared" ca="1" si="88"/>
        <v>0</v>
      </c>
      <c r="W154" s="254"/>
      <c r="X154" s="255">
        <v>0</v>
      </c>
      <c r="Y154" s="256">
        <f t="shared" ca="1" si="89"/>
        <v>1.6</v>
      </c>
      <c r="Z154" s="269">
        <f t="shared" si="90"/>
        <v>110.74000000000001</v>
      </c>
      <c r="AA154" s="253">
        <v>4.3600000000000003</v>
      </c>
      <c r="AB154" s="253">
        <f t="shared" ca="1" si="91"/>
        <v>7.0000000000000284E-2</v>
      </c>
      <c r="AC154" s="258"/>
      <c r="AF154" s="223" t="s">
        <v>405</v>
      </c>
      <c r="AH154" s="232">
        <f t="shared" ca="1" si="86"/>
        <v>46120</v>
      </c>
      <c r="AI154" s="232" t="b">
        <f t="shared" si="79"/>
        <v>1</v>
      </c>
      <c r="AJ154" s="259" t="str">
        <f t="shared" si="93"/>
        <v/>
      </c>
      <c r="AM154" s="223">
        <f t="shared" si="81"/>
        <v>0</v>
      </c>
      <c r="AN154" s="223">
        <f t="shared" si="82"/>
        <v>1900</v>
      </c>
      <c r="AU154" s="223">
        <f t="shared" si="83"/>
        <v>0</v>
      </c>
      <c r="AV154" s="223">
        <f t="shared" si="84"/>
        <v>0</v>
      </c>
    </row>
    <row r="155" spans="4:48" ht="26.25" x14ac:dyDescent="0.4">
      <c r="D155" s="246" t="s">
        <v>476</v>
      </c>
      <c r="E155" s="252" t="s">
        <v>102</v>
      </c>
      <c r="F155" s="276">
        <v>1000</v>
      </c>
      <c r="G155" s="249" t="s">
        <v>4</v>
      </c>
      <c r="H155" s="250">
        <v>2.63</v>
      </c>
      <c r="I155" s="251">
        <v>46056</v>
      </c>
      <c r="J155" s="252" t="s">
        <v>30</v>
      </c>
      <c r="K155" s="252"/>
      <c r="L155" s="253">
        <v>0.1</v>
      </c>
      <c r="M155" s="254">
        <f ca="1">IF(ISERROR(OFFSET(Tabella!$A$1,MATCH(J155,Tabella!$A:$A,0)-1,MATCH(L155,Tabella!$A$1:$AC$1,0)-1)=TRUE),0,+OFFSET(Tabella!$A$1,MATCH(J155,Tabella!$A:$A,0)-1,MATCH(L155,Tabella!$A$1:$AC$1,0)-1))</f>
        <v>1.5</v>
      </c>
      <c r="N155" s="255">
        <f ca="1">IF(ISERROR(OFFSET(Ottone!$A$1,MATCH(J155,Ottone!$A:$A,0)-1,MATCH(L155,Ottone!$A$1:$Z$1,0)-1)=TRUE),0,OFFSET(Ottone!$A$1,MATCH(J155,Ottone!$A:$A,0)-1,MATCH(L155,Ottone!$A$1:$Z$1,0)-1))*IF(G155="Ottone",1,0)</f>
        <v>0</v>
      </c>
      <c r="O155" s="255">
        <f ca="1">IF(ISERROR(OFFSET(Rame!$A$1,MATCH(J155,Rame!$A:$A,0)-1,MATCH(L155,Rame!$A$1:$AA$1,0)-1)=TRUE),0,OFFSET(Rame!$A$1,MATCH(J155,Rame!$A:$A,0)-1,MATCH(L155,Rame!$A$1:$AA$1,0)-1))*IF(G155="Rame",1,0)</f>
        <v>0</v>
      </c>
      <c r="P155" s="255">
        <v>0</v>
      </c>
      <c r="Q155" s="255">
        <f t="shared" ca="1" si="92"/>
        <v>1.5</v>
      </c>
      <c r="R155" s="255">
        <f ca="1">+IF(ISERROR(OFFSET(Tabella!$G$1,MATCH(J155,Tabella!$G:$G,0)-1,MATCH(K155,Tabella!$G$1:$FG$1,0)-1)=TRUE),0,OFFSET(Tabella!$G$1,MATCH(J155,Tabella!$G:$G,0)-1,MATCH(K155,Tabella!$G$1:$AB$1,0)-1))</f>
        <v>0</v>
      </c>
      <c r="S155" s="255">
        <f ca="1">IF(ISERROR(OFFSET(Ottone!$F$1,MATCH(J155,Ottone!$A:$A,0)-1,MATCH(K155,Ottone!$F$1:$FF$1,0)-1)=TRUE),0,OFFSET(Ottone!$F$1,MATCH(J155,Ottone!$A:$A,0)-1,MATCH(K155,Ottone!$F$1:$FF$1,0)-1))*IF(G155="Ottone",1,0)</f>
        <v>0</v>
      </c>
      <c r="T155" s="255">
        <f ca="1">IF(ISERROR(OFFSET(Rame!$F$1,MATCH(J155,Rame!$F:$F,0)-1,MATCH(K155,Rame!$F$1:$FF$1,0)-1)=TRUE),0,OFFSET(Rame!$F$1,MATCH(J155,Rame!$F:$F,0)-1,MATCH(K155,Rame!$F$1:$FF$1,0)-1))*IF(G155="Rame",1,0)</f>
        <v>0</v>
      </c>
      <c r="U155" s="255">
        <f ca="1">IF(ISERROR(OFFSET(Bronzo!$A$1,MATCH(J155,Bronzo!$A:$A,0)-1,MATCH(K155,Bronzo!$A$1:$AA$1,0)-1)=TRUE),0,OFFSET(Bronzo!$A$1,MATCH(J155,Bronzo!$A:$A,0)-1,MATCH(K155,Bronzo!$A$1:$AA$1,0)-1))</f>
        <v>0</v>
      </c>
      <c r="V155" s="255">
        <f t="shared" ca="1" si="88"/>
        <v>0</v>
      </c>
      <c r="W155" s="254"/>
      <c r="X155" s="255">
        <v>0</v>
      </c>
      <c r="Y155" s="256">
        <f t="shared" ca="1" si="89"/>
        <v>1.5</v>
      </c>
      <c r="Z155" s="257">
        <f t="shared" si="90"/>
        <v>100</v>
      </c>
      <c r="AA155" s="253">
        <v>4.5999999999999996</v>
      </c>
      <c r="AB155" s="253">
        <f t="shared" ca="1" si="91"/>
        <v>0.46999999999999975</v>
      </c>
      <c r="AC155" s="258">
        <v>46115</v>
      </c>
      <c r="AG155" s="223" t="s">
        <v>465</v>
      </c>
      <c r="AH155" s="232">
        <f t="shared" ca="1" si="86"/>
        <v>46120</v>
      </c>
      <c r="AI155" s="232" t="b">
        <f t="shared" si="79"/>
        <v>0</v>
      </c>
      <c r="AJ155" s="259">
        <f t="shared" ca="1" si="93"/>
        <v>-5</v>
      </c>
      <c r="AM155" s="223">
        <f t="shared" si="81"/>
        <v>14</v>
      </c>
      <c r="AN155" s="223">
        <f t="shared" si="82"/>
        <v>2026</v>
      </c>
      <c r="AU155" s="223">
        <f t="shared" si="83"/>
        <v>4</v>
      </c>
      <c r="AV155" s="223">
        <f t="shared" si="84"/>
        <v>2026</v>
      </c>
    </row>
    <row r="156" spans="4:48" ht="26.25" x14ac:dyDescent="0.4">
      <c r="D156" s="246" t="s">
        <v>476</v>
      </c>
      <c r="E156" s="252" t="s">
        <v>102</v>
      </c>
      <c r="F156" s="276">
        <v>1000</v>
      </c>
      <c r="G156" s="249" t="s">
        <v>4</v>
      </c>
      <c r="H156" s="250">
        <v>2.63</v>
      </c>
      <c r="I156" s="251">
        <v>46056</v>
      </c>
      <c r="J156" s="252" t="s">
        <v>30</v>
      </c>
      <c r="K156" s="252"/>
      <c r="L156" s="253">
        <v>0.1</v>
      </c>
      <c r="M156" s="254">
        <f ca="1">IF(ISERROR(OFFSET(Tabella!$A$1,MATCH(J156,Tabella!$A:$A,0)-1,MATCH(L156,Tabella!$A$1:$AC$1,0)-1)=TRUE),0,+OFFSET(Tabella!$A$1,MATCH(J156,Tabella!$A:$A,0)-1,MATCH(L156,Tabella!$A$1:$AC$1,0)-1))</f>
        <v>1.5</v>
      </c>
      <c r="N156" s="255">
        <f ca="1">IF(ISERROR(OFFSET(Ottone!$A$1,MATCH(J156,Ottone!$A:$A,0)-1,MATCH(L156,Ottone!$A$1:$Z$1,0)-1)=TRUE),0,OFFSET(Ottone!$A$1,MATCH(J156,Ottone!$A:$A,0)-1,MATCH(L156,Ottone!$A$1:$Z$1,0)-1))*IF(G156="Ottone",1,0)</f>
        <v>0</v>
      </c>
      <c r="O156" s="255">
        <f ca="1">IF(ISERROR(OFFSET(Rame!$A$1,MATCH(J156,Rame!$A:$A,0)-1,MATCH(L156,Rame!$A$1:$AA$1,0)-1)=TRUE),0,OFFSET(Rame!$A$1,MATCH(J156,Rame!$A:$A,0)-1,MATCH(L156,Rame!$A$1:$AA$1,0)-1))*IF(G156="Rame",1,0)</f>
        <v>0</v>
      </c>
      <c r="P156" s="255">
        <v>0</v>
      </c>
      <c r="Q156" s="255">
        <f t="shared" ca="1" si="92"/>
        <v>1.5</v>
      </c>
      <c r="R156" s="255">
        <f ca="1">+IF(ISERROR(OFFSET(Tabella!$G$1,MATCH(J156,Tabella!$G:$G,0)-1,MATCH(K156,Tabella!$G$1:$FG$1,0)-1)=TRUE),0,OFFSET(Tabella!$G$1,MATCH(J156,Tabella!$G:$G,0)-1,MATCH(K156,Tabella!$G$1:$AB$1,0)-1))</f>
        <v>0</v>
      </c>
      <c r="S156" s="255">
        <f ca="1">IF(ISERROR(OFFSET(Ottone!$F$1,MATCH(J156,Ottone!$A:$A,0)-1,MATCH(K156,Ottone!$F$1:$FF$1,0)-1)=TRUE),0,OFFSET(Ottone!$F$1,MATCH(J156,Ottone!$A:$A,0)-1,MATCH(K156,Ottone!$F$1:$FF$1,0)-1))*IF(G156="Ottone",1,0)</f>
        <v>0</v>
      </c>
      <c r="T156" s="255">
        <f ca="1">IF(ISERROR(OFFSET(Rame!$F$1,MATCH(J156,Rame!$F:$F,0)-1,MATCH(K156,Rame!$F$1:$FF$1,0)-1)=TRUE),0,OFFSET(Rame!$F$1,MATCH(J156,Rame!$F:$F,0)-1,MATCH(K156,Rame!$F$1:$FF$1,0)-1))*IF(G156="Rame",1,0)</f>
        <v>0</v>
      </c>
      <c r="U156" s="255">
        <f ca="1">IF(ISERROR(OFFSET(Bronzo!$A$1,MATCH(J156,Bronzo!$A:$A,0)-1,MATCH(K156,Bronzo!$A$1:$AA$1,0)-1)=TRUE),0,OFFSET(Bronzo!$A$1,MATCH(J156,Bronzo!$A:$A,0)-1,MATCH(K156,Bronzo!$A$1:$AA$1,0)-1))</f>
        <v>0</v>
      </c>
      <c r="V156" s="255">
        <f t="shared" ca="1" si="88"/>
        <v>0</v>
      </c>
      <c r="W156" s="254"/>
      <c r="X156" s="255">
        <v>0</v>
      </c>
      <c r="Y156" s="256">
        <f t="shared" ca="1" si="89"/>
        <v>1.5</v>
      </c>
      <c r="Z156" s="257">
        <f t="shared" si="90"/>
        <v>100</v>
      </c>
      <c r="AA156" s="253">
        <v>4.5999999999999996</v>
      </c>
      <c r="AB156" s="253">
        <f t="shared" ca="1" si="91"/>
        <v>0.46999999999999975</v>
      </c>
      <c r="AC156" s="258">
        <v>46115</v>
      </c>
      <c r="AG156" s="223" t="s">
        <v>465</v>
      </c>
      <c r="AH156" s="232">
        <f t="shared" ca="1" si="86"/>
        <v>46120</v>
      </c>
      <c r="AI156" s="232" t="b">
        <f t="shared" si="79"/>
        <v>0</v>
      </c>
      <c r="AJ156" s="259">
        <f t="shared" ca="1" si="93"/>
        <v>-5</v>
      </c>
      <c r="AM156" s="223">
        <f t="shared" si="81"/>
        <v>14</v>
      </c>
      <c r="AN156" s="223">
        <f t="shared" si="82"/>
        <v>2026</v>
      </c>
      <c r="AU156" s="223">
        <f t="shared" si="83"/>
        <v>4</v>
      </c>
      <c r="AV156" s="223">
        <f t="shared" si="84"/>
        <v>2026</v>
      </c>
    </row>
    <row r="157" spans="4:48" ht="26.25" x14ac:dyDescent="0.4">
      <c r="D157" s="246" t="s">
        <v>525</v>
      </c>
      <c r="E157" s="262" t="s">
        <v>92</v>
      </c>
      <c r="F157" s="263">
        <v>1318</v>
      </c>
      <c r="G157" s="249" t="s">
        <v>4</v>
      </c>
      <c r="H157" s="250">
        <v>2.64</v>
      </c>
      <c r="I157" s="251">
        <v>46057</v>
      </c>
      <c r="J157" s="252" t="s">
        <v>21</v>
      </c>
      <c r="K157" s="252"/>
      <c r="L157" s="253">
        <v>7.0000000000000007E-2</v>
      </c>
      <c r="M157" s="254">
        <f ca="1">IF(ISERROR(OFFSET(Tabella!$A$1,MATCH(J157,Tabella!$A:$A,0)-1,MATCH(L157,Tabella!$A$1:$AC$1,0)-1)=TRUE),0,+OFFSET(Tabella!$A$1,MATCH(J157,Tabella!$A:$A,0)-1,MATCH(L157,Tabella!$A$1:$AC$1,0)-1))</f>
        <v>1.25</v>
      </c>
      <c r="N157" s="255">
        <f ca="1">IF(ISERROR(OFFSET(Ottone!$A$1,MATCH(J157,Ottone!$A:$A,0)-1,MATCH(L157,Ottone!$A$1:$Z$1,0)-1)=TRUE),0,OFFSET(Ottone!$A$1,MATCH(J157,Ottone!$A:$A,0)-1,MATCH(L157,Ottone!$A$1:$Z$1,0)-1))*IF(G157="Ottone",1,0)</f>
        <v>0</v>
      </c>
      <c r="O157" s="255">
        <f ca="1">IF(ISERROR(OFFSET(Rame!$A$1,MATCH(J157,Rame!$A:$A,0)-1,MATCH(L157,Rame!$A$1:$AA$1,0)-1)=TRUE),0,OFFSET(Rame!$A$1,MATCH(J157,Rame!$A:$A,0)-1,MATCH(L157,Rame!$A$1:$AA$1,0)-1))*IF(G157="Rame",1,0)</f>
        <v>0</v>
      </c>
      <c r="P157" s="255">
        <v>0</v>
      </c>
      <c r="Q157" s="255">
        <v>1.5</v>
      </c>
      <c r="R157" s="255">
        <f ca="1">+IF(ISERROR(OFFSET(Tabella!$G$1,MATCH(J157,Tabella!$G:$G,0)-1,MATCH(K157,Tabella!$G$1:$FG$1,0)-1)=TRUE),0,OFFSET(Tabella!$G$1,MATCH(J157,Tabella!$G:$G,0)-1,MATCH(K157,Tabella!$G$1:$AB$1,0)-1))</f>
        <v>0</v>
      </c>
      <c r="S157" s="255">
        <f ca="1">IF(ISERROR(OFFSET(Ottone!$F$1,MATCH(J157,Ottone!$A:$A,0)-1,MATCH(K157,Ottone!$F$1:$FF$1,0)-1)=TRUE),0,OFFSET(Ottone!$F$1,MATCH(J157,Ottone!$A:$A,0)-1,MATCH(K157,Ottone!$F$1:$FF$1,0)-1))*IF(G157="Ottone",1,0)</f>
        <v>0</v>
      </c>
      <c r="T157" s="255">
        <f ca="1">IF(ISERROR(OFFSET(Rame!$F$1,MATCH(J157,Rame!$F:$F,0)-1,MATCH(K157,Rame!$F$1:$FF$1,0)-1)=TRUE),0,OFFSET(Rame!$F$1,MATCH(J157,Rame!$F:$F,0)-1,MATCH(K157,Rame!$F$1:$FF$1,0)-1))*IF(G157="Rame",1,0)</f>
        <v>0</v>
      </c>
      <c r="U157" s="255">
        <f ca="1">IF(ISERROR(OFFSET(Bronzo!$A$1,MATCH(J157,Bronzo!$A:$A,0)-1,MATCH(K157,Bronzo!$A$1:$AA$1,0)-1)=TRUE),0,OFFSET(Bronzo!$A$1,MATCH(J157,Bronzo!$A:$A,0)-1,MATCH(K157,Bronzo!$A$1:$AA$1,0)-1))</f>
        <v>0</v>
      </c>
      <c r="V157" s="255">
        <f t="shared" ca="1" si="88"/>
        <v>0</v>
      </c>
      <c r="W157" s="254"/>
      <c r="X157" s="255">
        <v>0</v>
      </c>
      <c r="Y157" s="256">
        <f t="shared" ca="1" si="89"/>
        <v>1.5</v>
      </c>
      <c r="Z157" s="269">
        <f t="shared" si="90"/>
        <v>92.26</v>
      </c>
      <c r="AA157" s="253">
        <v>4.1399999999999997</v>
      </c>
      <c r="AB157" s="253">
        <f t="shared" ca="1" si="91"/>
        <v>0</v>
      </c>
      <c r="AC157" s="258"/>
      <c r="AF157" s="223" t="s">
        <v>405</v>
      </c>
      <c r="AH157" s="232">
        <f t="shared" ca="1" si="86"/>
        <v>46120</v>
      </c>
      <c r="AI157" s="232" t="b">
        <f t="shared" ref="AI157:AI220" si="94">ISBLANK(AC157)</f>
        <v>1</v>
      </c>
      <c r="AJ157" s="259" t="str">
        <f t="shared" si="93"/>
        <v/>
      </c>
      <c r="AM157" s="223">
        <f t="shared" ref="AM157:AM220" si="95">WEEKNUM(AC157)</f>
        <v>0</v>
      </c>
      <c r="AN157" s="223">
        <f t="shared" ref="AN157:AN220" si="96">YEAR(AC157)</f>
        <v>1900</v>
      </c>
      <c r="AU157" s="223">
        <f t="shared" ref="AU157:AU220" si="97">IF(AC157="",0,MONTH(AC157))</f>
        <v>0</v>
      </c>
      <c r="AV157" s="223">
        <f t="shared" ref="AV157:AV220" si="98">IF(AC157="",0,YEAR(AC157))</f>
        <v>0</v>
      </c>
    </row>
    <row r="158" spans="4:48" ht="26.25" x14ac:dyDescent="0.4">
      <c r="D158" s="246" t="s">
        <v>525</v>
      </c>
      <c r="E158" s="262" t="s">
        <v>92</v>
      </c>
      <c r="F158" s="263">
        <v>1318</v>
      </c>
      <c r="G158" s="249" t="s">
        <v>4</v>
      </c>
      <c r="H158" s="250">
        <v>2.64</v>
      </c>
      <c r="I158" s="251">
        <v>46057</v>
      </c>
      <c r="J158" s="252" t="s">
        <v>21</v>
      </c>
      <c r="K158" s="252"/>
      <c r="L158" s="253">
        <v>7.0000000000000007E-2</v>
      </c>
      <c r="M158" s="254">
        <f ca="1">IF(ISERROR(OFFSET(Tabella!$A$1,MATCH(J158,Tabella!$A:$A,0)-1,MATCH(L158,Tabella!$A$1:$AC$1,0)-1)=TRUE),0,+OFFSET(Tabella!$A$1,MATCH(J158,Tabella!$A:$A,0)-1,MATCH(L158,Tabella!$A$1:$AC$1,0)-1))</f>
        <v>1.25</v>
      </c>
      <c r="N158" s="255">
        <f ca="1">IF(ISERROR(OFFSET(Ottone!$A$1,MATCH(J158,Ottone!$A:$A,0)-1,MATCH(L158,Ottone!$A$1:$Z$1,0)-1)=TRUE),0,OFFSET(Ottone!$A$1,MATCH(J158,Ottone!$A:$A,0)-1,MATCH(L158,Ottone!$A$1:$Z$1,0)-1))*IF(G158="Ottone",1,0)</f>
        <v>0</v>
      </c>
      <c r="O158" s="255">
        <f ca="1">IF(ISERROR(OFFSET(Rame!$A$1,MATCH(J158,Rame!$A:$A,0)-1,MATCH(L158,Rame!$A$1:$AA$1,0)-1)=TRUE),0,OFFSET(Rame!$A$1,MATCH(J158,Rame!$A:$A,0)-1,MATCH(L158,Rame!$A$1:$AA$1,0)-1))*IF(G158="Rame",1,0)</f>
        <v>0</v>
      </c>
      <c r="P158" s="255">
        <v>0</v>
      </c>
      <c r="Q158" s="255">
        <v>1.5</v>
      </c>
      <c r="R158" s="255">
        <f ca="1">+IF(ISERROR(OFFSET(Tabella!$G$1,MATCH(J158,Tabella!$G:$G,0)-1,MATCH(K158,Tabella!$G$1:$FG$1,0)-1)=TRUE),0,OFFSET(Tabella!$G$1,MATCH(J158,Tabella!$G:$G,0)-1,MATCH(K158,Tabella!$G$1:$AB$1,0)-1))</f>
        <v>0</v>
      </c>
      <c r="S158" s="255">
        <f ca="1">IF(ISERROR(OFFSET(Ottone!$F$1,MATCH(J158,Ottone!$A:$A,0)-1,MATCH(K158,Ottone!$F$1:$FF$1,0)-1)=TRUE),0,OFFSET(Ottone!$F$1,MATCH(J158,Ottone!$A:$A,0)-1,MATCH(K158,Ottone!$F$1:$FF$1,0)-1))*IF(G158="Ottone",1,0)</f>
        <v>0</v>
      </c>
      <c r="T158" s="255">
        <f ca="1">IF(ISERROR(OFFSET(Rame!$F$1,MATCH(J158,Rame!$F:$F,0)-1,MATCH(K158,Rame!$F$1:$FF$1,0)-1)=TRUE),0,OFFSET(Rame!$F$1,MATCH(J158,Rame!$F:$F,0)-1,MATCH(K158,Rame!$F$1:$FF$1,0)-1))*IF(G158="Rame",1,0)</f>
        <v>0</v>
      </c>
      <c r="U158" s="255">
        <f ca="1">IF(ISERROR(OFFSET(Bronzo!$A$1,MATCH(J158,Bronzo!$A:$A,0)-1,MATCH(K158,Bronzo!$A$1:$AA$1,0)-1)=TRUE),0,OFFSET(Bronzo!$A$1,MATCH(J158,Bronzo!$A:$A,0)-1,MATCH(K158,Bronzo!$A$1:$AA$1,0)-1))</f>
        <v>0</v>
      </c>
      <c r="V158" s="255">
        <f t="shared" ca="1" si="88"/>
        <v>0</v>
      </c>
      <c r="W158" s="254"/>
      <c r="X158" s="255">
        <v>0</v>
      </c>
      <c r="Y158" s="256">
        <f t="shared" ca="1" si="89"/>
        <v>1.5</v>
      </c>
      <c r="Z158" s="269">
        <f t="shared" si="90"/>
        <v>92.26</v>
      </c>
      <c r="AA158" s="253">
        <v>4.1399999999999997</v>
      </c>
      <c r="AB158" s="253">
        <f t="shared" ca="1" si="91"/>
        <v>0</v>
      </c>
      <c r="AC158" s="258"/>
      <c r="AF158" s="223" t="s">
        <v>405</v>
      </c>
      <c r="AH158" s="232">
        <f t="shared" ca="1" si="86"/>
        <v>46120</v>
      </c>
      <c r="AI158" s="232" t="b">
        <f t="shared" si="94"/>
        <v>1</v>
      </c>
      <c r="AJ158" s="259" t="str">
        <f t="shared" si="93"/>
        <v/>
      </c>
      <c r="AM158" s="223">
        <f t="shared" si="95"/>
        <v>0</v>
      </c>
      <c r="AN158" s="223">
        <f t="shared" si="96"/>
        <v>1900</v>
      </c>
      <c r="AU158" s="223">
        <f t="shared" si="97"/>
        <v>0</v>
      </c>
      <c r="AV158" s="223">
        <f t="shared" si="98"/>
        <v>0</v>
      </c>
    </row>
    <row r="159" spans="4:48" ht="26.25" x14ac:dyDescent="0.4">
      <c r="D159" s="246" t="s">
        <v>471</v>
      </c>
      <c r="E159" s="262" t="s">
        <v>92</v>
      </c>
      <c r="F159" s="263">
        <v>3118</v>
      </c>
      <c r="G159" s="249" t="s">
        <v>4</v>
      </c>
      <c r="H159" s="250">
        <v>2.64</v>
      </c>
      <c r="I159" s="251">
        <v>46057</v>
      </c>
      <c r="J159" s="252" t="s">
        <v>24</v>
      </c>
      <c r="K159" s="252"/>
      <c r="L159" s="253">
        <v>7.0000000000000007E-2</v>
      </c>
      <c r="M159" s="254">
        <f ca="1">IF(ISERROR(OFFSET(Tabella!$A$1,MATCH(J159,Tabella!$A:$A,0)-1,MATCH(L159,Tabella!$A$1:$AC$1,0)-1)=TRUE),0,+OFFSET(Tabella!$A$1,MATCH(J159,Tabella!$A:$A,0)-1,MATCH(L159,Tabella!$A$1:$AC$1,0)-1))</f>
        <v>1.25</v>
      </c>
      <c r="N159" s="255">
        <f ca="1">IF(ISERROR(OFFSET(Ottone!$A$1,MATCH(J159,Ottone!$A:$A,0)-1,MATCH(L159,Ottone!$A$1:$Z$1,0)-1)=TRUE),0,OFFSET(Ottone!$A$1,MATCH(J159,Ottone!$A:$A,0)-1,MATCH(L159,Ottone!$A$1:$Z$1,0)-1))*IF(G159="Ottone",1,0)</f>
        <v>0</v>
      </c>
      <c r="O159" s="255">
        <f ca="1">IF(ISERROR(OFFSET(Rame!$A$1,MATCH(J159,Rame!$A:$A,0)-1,MATCH(L159,Rame!$A$1:$AA$1,0)-1)=TRUE),0,OFFSET(Rame!$A$1,MATCH(J159,Rame!$A:$A,0)-1,MATCH(L159,Rame!$A$1:$AA$1,0)-1))*IF(G159="Rame",1,0)</f>
        <v>0</v>
      </c>
      <c r="P159" s="255">
        <v>0</v>
      </c>
      <c r="Q159" s="255">
        <v>1.5</v>
      </c>
      <c r="R159" s="255">
        <f ca="1">+IF(ISERROR(OFFSET(Tabella!$G$1,MATCH(J159,Tabella!$G:$G,0)-1,MATCH(K159,Tabella!$G$1:$FG$1,0)-1)=TRUE),0,OFFSET(Tabella!$G$1,MATCH(J159,Tabella!$G:$G,0)-1,MATCH(K159,Tabella!$G$1:$AB$1,0)-1))</f>
        <v>0</v>
      </c>
      <c r="S159" s="255">
        <f ca="1">IF(ISERROR(OFFSET(Ottone!$F$1,MATCH(J159,Ottone!$A:$A,0)-1,MATCH(K159,Ottone!$F$1:$FF$1,0)-1)=TRUE),0,OFFSET(Ottone!$F$1,MATCH(J159,Ottone!$A:$A,0)-1,MATCH(K159,Ottone!$F$1:$FF$1,0)-1))*IF(G159="Ottone",1,0)</f>
        <v>0</v>
      </c>
      <c r="T159" s="255">
        <f ca="1">IF(ISERROR(OFFSET(Rame!$F$1,MATCH(J159,Rame!$F:$F,0)-1,MATCH(K159,Rame!$F$1:$FF$1,0)-1)=TRUE),0,OFFSET(Rame!$F$1,MATCH(J159,Rame!$F:$F,0)-1,MATCH(K159,Rame!$F$1:$FF$1,0)-1))*IF(G159="Rame",1,0)</f>
        <v>0</v>
      </c>
      <c r="U159" s="255">
        <f ca="1">IF(ISERROR(OFFSET(Bronzo!$A$1,MATCH(J159,Bronzo!$A:$A,0)-1,MATCH(K159,Bronzo!$A$1:$AA$1,0)-1)=TRUE),0,OFFSET(Bronzo!$A$1,MATCH(J159,Bronzo!$A:$A,0)-1,MATCH(K159,Bronzo!$A$1:$AA$1,0)-1))</f>
        <v>0</v>
      </c>
      <c r="V159" s="255">
        <f t="shared" ca="1" si="88"/>
        <v>0</v>
      </c>
      <c r="W159" s="254"/>
      <c r="X159" s="255">
        <v>0</v>
      </c>
      <c r="Y159" s="256">
        <f t="shared" ca="1" si="89"/>
        <v>1.5</v>
      </c>
      <c r="Z159" s="269">
        <f t="shared" si="90"/>
        <v>218.26000000000002</v>
      </c>
      <c r="AA159" s="253">
        <v>4.1399999999999997</v>
      </c>
      <c r="AB159" s="253">
        <f t="shared" ca="1" si="91"/>
        <v>0</v>
      </c>
      <c r="AC159" s="258"/>
      <c r="AF159" s="223" t="s">
        <v>405</v>
      </c>
      <c r="AG159" s="223" t="s">
        <v>730</v>
      </c>
      <c r="AH159" s="232">
        <f t="shared" ca="1" si="86"/>
        <v>46120</v>
      </c>
      <c r="AI159" s="232" t="b">
        <f t="shared" si="94"/>
        <v>1</v>
      </c>
      <c r="AJ159" s="259" t="str">
        <f t="shared" si="93"/>
        <v/>
      </c>
      <c r="AM159" s="223">
        <f t="shared" si="95"/>
        <v>0</v>
      </c>
      <c r="AN159" s="223">
        <f t="shared" si="96"/>
        <v>1900</v>
      </c>
      <c r="AU159" s="223">
        <f t="shared" si="97"/>
        <v>0</v>
      </c>
      <c r="AV159" s="223">
        <f t="shared" si="98"/>
        <v>0</v>
      </c>
    </row>
    <row r="160" spans="4:48" ht="26.25" x14ac:dyDescent="0.4">
      <c r="D160" s="246" t="s">
        <v>471</v>
      </c>
      <c r="E160" s="252" t="s">
        <v>92</v>
      </c>
      <c r="F160" s="276">
        <v>7000</v>
      </c>
      <c r="G160" s="249" t="s">
        <v>4</v>
      </c>
      <c r="H160" s="250">
        <v>2.64</v>
      </c>
      <c r="I160" s="251">
        <v>46057</v>
      </c>
      <c r="J160" s="252" t="s">
        <v>24</v>
      </c>
      <c r="K160" s="252"/>
      <c r="L160" s="253">
        <v>7.0000000000000007E-2</v>
      </c>
      <c r="M160" s="254">
        <f ca="1">IF(ISERROR(OFFSET(Tabella!$A$1,MATCH(J160,Tabella!$A:$A,0)-1,MATCH(L160,Tabella!$A$1:$AC$1,0)-1)=TRUE),0,+OFFSET(Tabella!$A$1,MATCH(J160,Tabella!$A:$A,0)-1,MATCH(L160,Tabella!$A$1:$AC$1,0)-1))</f>
        <v>1.25</v>
      </c>
      <c r="N160" s="255">
        <f ca="1">IF(ISERROR(OFFSET(Ottone!$A$1,MATCH(J160,Ottone!$A:$A,0)-1,MATCH(L160,Ottone!$A$1:$Z$1,0)-1)=TRUE),0,OFFSET(Ottone!$A$1,MATCH(J160,Ottone!$A:$A,0)-1,MATCH(L160,Ottone!$A$1:$Z$1,0)-1))*IF(G160="Ottone",1,0)</f>
        <v>0</v>
      </c>
      <c r="O160" s="255">
        <f ca="1">IF(ISERROR(OFFSET(Rame!$A$1,MATCH(J160,Rame!$A:$A,0)-1,MATCH(L160,Rame!$A$1:$AA$1,0)-1)=TRUE),0,OFFSET(Rame!$A$1,MATCH(J160,Rame!$A:$A,0)-1,MATCH(L160,Rame!$A$1:$AA$1,0)-1))*IF(G160="Rame",1,0)</f>
        <v>0</v>
      </c>
      <c r="P160" s="255">
        <v>0</v>
      </c>
      <c r="Q160" s="255">
        <v>1.5</v>
      </c>
      <c r="R160" s="255">
        <f ca="1">+IF(ISERROR(OFFSET(Tabella!$G$1,MATCH(J160,Tabella!$G:$G,0)-1,MATCH(K160,Tabella!$G$1:$FG$1,0)-1)=TRUE),0,OFFSET(Tabella!$G$1,MATCH(J160,Tabella!$G:$G,0)-1,MATCH(K160,Tabella!$G$1:$AB$1,0)-1))</f>
        <v>0</v>
      </c>
      <c r="S160" s="255">
        <f ca="1">IF(ISERROR(OFFSET(Ottone!$F$1,MATCH(J160,Ottone!$A:$A,0)-1,MATCH(K160,Ottone!$F$1:$FF$1,0)-1)=TRUE),0,OFFSET(Ottone!$F$1,MATCH(J160,Ottone!$A:$A,0)-1,MATCH(K160,Ottone!$F$1:$FF$1,0)-1))*IF(G160="Ottone",1,0)</f>
        <v>0</v>
      </c>
      <c r="T160" s="255">
        <f ca="1">IF(ISERROR(OFFSET(Rame!$F$1,MATCH(J160,Rame!$F:$F,0)-1,MATCH(K160,Rame!$F$1:$FF$1,0)-1)=TRUE),0,OFFSET(Rame!$F$1,MATCH(J160,Rame!$F:$F,0)-1,MATCH(K160,Rame!$F$1:$FF$1,0)-1))*IF(G160="Rame",1,0)</f>
        <v>0</v>
      </c>
      <c r="U160" s="255">
        <f ca="1">IF(ISERROR(OFFSET(Bronzo!$A$1,MATCH(J160,Bronzo!$A:$A,0)-1,MATCH(K160,Bronzo!$A$1:$AA$1,0)-1)=TRUE),0,OFFSET(Bronzo!$A$1,MATCH(J160,Bronzo!$A:$A,0)-1,MATCH(K160,Bronzo!$A$1:$AA$1,0)-1))</f>
        <v>0</v>
      </c>
      <c r="V160" s="255">
        <f t="shared" ca="1" si="88"/>
        <v>0</v>
      </c>
      <c r="W160" s="254"/>
      <c r="X160" s="255">
        <v>0</v>
      </c>
      <c r="Y160" s="256">
        <f t="shared" ca="1" si="89"/>
        <v>1.5</v>
      </c>
      <c r="Z160" s="257">
        <f t="shared" si="90"/>
        <v>490.00000000000006</v>
      </c>
      <c r="AA160" s="253">
        <v>4.1399999999999997</v>
      </c>
      <c r="AB160" s="253">
        <f t="shared" ca="1" si="91"/>
        <v>0</v>
      </c>
      <c r="AC160" s="258">
        <v>46115</v>
      </c>
      <c r="AH160" s="232">
        <f t="shared" ca="1" si="86"/>
        <v>46120</v>
      </c>
      <c r="AI160" s="232" t="b">
        <f t="shared" si="94"/>
        <v>0</v>
      </c>
      <c r="AJ160" s="259">
        <f t="shared" ca="1" si="93"/>
        <v>-5</v>
      </c>
      <c r="AM160" s="223">
        <f t="shared" si="95"/>
        <v>14</v>
      </c>
      <c r="AN160" s="223">
        <f t="shared" si="96"/>
        <v>2026</v>
      </c>
      <c r="AU160" s="223">
        <f t="shared" si="97"/>
        <v>4</v>
      </c>
      <c r="AV160" s="223">
        <f t="shared" si="98"/>
        <v>2026</v>
      </c>
    </row>
    <row r="161" spans="1:48" ht="26.25" x14ac:dyDescent="0.4">
      <c r="D161" s="246" t="s">
        <v>471</v>
      </c>
      <c r="E161" s="252" t="s">
        <v>92</v>
      </c>
      <c r="F161" s="276">
        <v>2000</v>
      </c>
      <c r="G161" s="249" t="s">
        <v>4</v>
      </c>
      <c r="H161" s="250">
        <v>2.64</v>
      </c>
      <c r="I161" s="251">
        <v>46057</v>
      </c>
      <c r="J161" s="252" t="s">
        <v>26</v>
      </c>
      <c r="K161" s="252"/>
      <c r="L161" s="253">
        <v>7.0000000000000007E-2</v>
      </c>
      <c r="M161" s="254">
        <f ca="1">IF(ISERROR(OFFSET(Tabella!$A$1,MATCH(J161,Tabella!$A:$A,0)-1,MATCH(L161,Tabella!$A$1:$AC$1,0)-1)=TRUE),0,+OFFSET(Tabella!$A$1,MATCH(J161,Tabella!$A:$A,0)-1,MATCH(L161,Tabella!$A$1:$AC$1,0)-1))</f>
        <v>1.25</v>
      </c>
      <c r="N161" s="255">
        <f ca="1">IF(ISERROR(OFFSET(Ottone!$A$1,MATCH(J161,Ottone!$A:$A,0)-1,MATCH(L161,Ottone!$A$1:$Z$1,0)-1)=TRUE),0,OFFSET(Ottone!$A$1,MATCH(J161,Ottone!$A:$A,0)-1,MATCH(L161,Ottone!$A$1:$Z$1,0)-1))*IF(G161="Ottone",1,0)</f>
        <v>0</v>
      </c>
      <c r="O161" s="255">
        <f ca="1">IF(ISERROR(OFFSET(Rame!$A$1,MATCH(J161,Rame!$A:$A,0)-1,MATCH(L161,Rame!$A$1:$AA$1,0)-1)=TRUE),0,OFFSET(Rame!$A$1,MATCH(J161,Rame!$A:$A,0)-1,MATCH(L161,Rame!$A$1:$AA$1,0)-1))*IF(G161="Rame",1,0)</f>
        <v>0</v>
      </c>
      <c r="P161" s="255">
        <v>0</v>
      </c>
      <c r="Q161" s="255">
        <v>1.5</v>
      </c>
      <c r="R161" s="255">
        <f ca="1">+IF(ISERROR(OFFSET(Tabella!$G$1,MATCH(J161,Tabella!$G:$G,0)-1,MATCH(K161,Tabella!$G$1:$FG$1,0)-1)=TRUE),0,OFFSET(Tabella!$G$1,MATCH(J161,Tabella!$G:$G,0)-1,MATCH(K161,Tabella!$G$1:$AB$1,0)-1))</f>
        <v>0</v>
      </c>
      <c r="S161" s="255">
        <f ca="1">IF(ISERROR(OFFSET(Ottone!$F$1,MATCH(J161,Ottone!$A:$A,0)-1,MATCH(K161,Ottone!$F$1:$FF$1,0)-1)=TRUE),0,OFFSET(Ottone!$F$1,MATCH(J161,Ottone!$A:$A,0)-1,MATCH(K161,Ottone!$F$1:$FF$1,0)-1))*IF(G161="Ottone",1,0)</f>
        <v>0</v>
      </c>
      <c r="T161" s="255">
        <f ca="1">IF(ISERROR(OFFSET(Rame!$F$1,MATCH(J161,Rame!$F:$F,0)-1,MATCH(K161,Rame!$F$1:$FF$1,0)-1)=TRUE),0,OFFSET(Rame!$F$1,MATCH(J161,Rame!$F:$F,0)-1,MATCH(K161,Rame!$F$1:$FF$1,0)-1))*IF(G161="Rame",1,0)</f>
        <v>0</v>
      </c>
      <c r="U161" s="255">
        <f ca="1">IF(ISERROR(OFFSET(Bronzo!$A$1,MATCH(J161,Bronzo!$A:$A,0)-1,MATCH(K161,Bronzo!$A$1:$AA$1,0)-1)=TRUE),0,OFFSET(Bronzo!$A$1,MATCH(J161,Bronzo!$A:$A,0)-1,MATCH(K161,Bronzo!$A$1:$AA$1,0)-1))</f>
        <v>0</v>
      </c>
      <c r="V161" s="255">
        <f t="shared" ca="1" si="88"/>
        <v>0</v>
      </c>
      <c r="W161" s="254"/>
      <c r="X161" s="255">
        <v>0</v>
      </c>
      <c r="Y161" s="256">
        <f t="shared" ca="1" si="89"/>
        <v>1.5</v>
      </c>
      <c r="Z161" s="257">
        <f t="shared" si="90"/>
        <v>140</v>
      </c>
      <c r="AA161" s="253">
        <v>4.1399999999999997</v>
      </c>
      <c r="AB161" s="253">
        <f t="shared" ca="1" si="91"/>
        <v>0</v>
      </c>
      <c r="AC161" s="258">
        <v>46115</v>
      </c>
      <c r="AH161" s="232">
        <f t="shared" ca="1" si="86"/>
        <v>46120</v>
      </c>
      <c r="AI161" s="232" t="b">
        <f t="shared" si="94"/>
        <v>0</v>
      </c>
      <c r="AJ161" s="259">
        <f t="shared" ca="1" si="93"/>
        <v>-5</v>
      </c>
      <c r="AM161" s="223">
        <f t="shared" si="95"/>
        <v>14</v>
      </c>
      <c r="AN161" s="223">
        <f t="shared" si="96"/>
        <v>2026</v>
      </c>
      <c r="AU161" s="223">
        <f t="shared" si="97"/>
        <v>4</v>
      </c>
      <c r="AV161" s="223">
        <f t="shared" si="98"/>
        <v>2026</v>
      </c>
    </row>
    <row r="162" spans="1:48" ht="26.25" x14ac:dyDescent="0.4">
      <c r="D162" s="246" t="s">
        <v>577</v>
      </c>
      <c r="E162" s="262" t="s">
        <v>108</v>
      </c>
      <c r="F162" s="263">
        <v>962</v>
      </c>
      <c r="G162" s="249" t="s">
        <v>4</v>
      </c>
      <c r="H162" s="250">
        <v>2.57</v>
      </c>
      <c r="I162" s="251">
        <v>46058</v>
      </c>
      <c r="J162" s="252" t="s">
        <v>25</v>
      </c>
      <c r="K162" s="252"/>
      <c r="L162" s="253">
        <v>7.0000000000000007E-2</v>
      </c>
      <c r="M162" s="254">
        <f ca="1">IF(ISERROR(OFFSET(Tabella!$A$1,MATCH(J162,Tabella!$A:$A,0)-1,MATCH(L162,Tabella!$A$1:$AC$1,0)-1)=TRUE),0,+OFFSET(Tabella!$A$1,MATCH(J162,Tabella!$A:$A,0)-1,MATCH(L162,Tabella!$A$1:$AC$1,0)-1))</f>
        <v>1.25</v>
      </c>
      <c r="N162" s="255">
        <f ca="1">IF(ISERROR(OFFSET(Ottone!$A$1,MATCH(J162,Ottone!$A:$A,0)-1,MATCH(L162,Ottone!$A$1:$Z$1,0)-1)=TRUE),0,OFFSET(Ottone!$A$1,MATCH(J162,Ottone!$A:$A,0)-1,MATCH(L162,Ottone!$A$1:$Z$1,0)-1))*IF(G162="Ottone",1,0)</f>
        <v>0</v>
      </c>
      <c r="O162" s="255">
        <f ca="1">IF(ISERROR(OFFSET(Rame!$A$1,MATCH(J162,Rame!$A:$A,0)-1,MATCH(L162,Rame!$A$1:$AA$1,0)-1)=TRUE),0,OFFSET(Rame!$A$1,MATCH(J162,Rame!$A:$A,0)-1,MATCH(L162,Rame!$A$1:$AA$1,0)-1))*IF(G162="Rame",1,0)</f>
        <v>0</v>
      </c>
      <c r="P162" s="255">
        <v>0</v>
      </c>
      <c r="Q162" s="255">
        <v>1.5</v>
      </c>
      <c r="R162" s="255">
        <f ca="1">+IF(ISERROR(OFFSET(Tabella!$G$1,MATCH(J162,Tabella!$G:$G,0)-1,MATCH(K162,Tabella!$G$1:$FG$1,0)-1)=TRUE),0,OFFSET(Tabella!$G$1,MATCH(J162,Tabella!$G:$G,0)-1,MATCH(K162,Tabella!$G$1:$AB$1,0)-1))</f>
        <v>0</v>
      </c>
      <c r="S162" s="255">
        <f ca="1">IF(ISERROR(OFFSET(Ottone!$F$1,MATCH(J162,Ottone!$A:$A,0)-1,MATCH(K162,Ottone!$F$1:$FF$1,0)-1)=TRUE),0,OFFSET(Ottone!$F$1,MATCH(J162,Ottone!$A:$A,0)-1,MATCH(K162,Ottone!$F$1:$FF$1,0)-1))*IF(G162="Ottone",1,0)</f>
        <v>0</v>
      </c>
      <c r="T162" s="255">
        <f ca="1">IF(ISERROR(OFFSET(Rame!$F$1,MATCH(J162,Rame!$F:$F,0)-1,MATCH(K162,Rame!$F$1:$FF$1,0)-1)=TRUE),0,OFFSET(Rame!$F$1,MATCH(J162,Rame!$F:$F,0)-1,MATCH(K162,Rame!$F$1:$FF$1,0)-1))*IF(G162="Rame",1,0)</f>
        <v>0</v>
      </c>
      <c r="U162" s="255">
        <f ca="1">IF(ISERROR(OFFSET(Bronzo!$A$1,MATCH(J162,Bronzo!$A:$A,0)-1,MATCH(K162,Bronzo!$A$1:$AA$1,0)-1)=TRUE),0,OFFSET(Bronzo!$A$1,MATCH(J162,Bronzo!$A:$A,0)-1,MATCH(K162,Bronzo!$A$1:$AA$1,0)-1))</f>
        <v>0</v>
      </c>
      <c r="V162" s="255">
        <f t="shared" ca="1" si="88"/>
        <v>0</v>
      </c>
      <c r="W162" s="254"/>
      <c r="X162" s="255">
        <v>0</v>
      </c>
      <c r="Y162" s="256">
        <f t="shared" ca="1" si="89"/>
        <v>1.5</v>
      </c>
      <c r="Z162" s="269">
        <f t="shared" si="90"/>
        <v>67.34</v>
      </c>
      <c r="AA162" s="253">
        <v>4.0999999999999996</v>
      </c>
      <c r="AB162" s="253">
        <f t="shared" ca="1" si="91"/>
        <v>2.9999999999999805E-2</v>
      </c>
      <c r="AC162" s="258"/>
      <c r="AF162" s="223" t="s">
        <v>405</v>
      </c>
      <c r="AH162" s="232">
        <f t="shared" ca="1" si="86"/>
        <v>46120</v>
      </c>
      <c r="AI162" s="232" t="b">
        <f t="shared" si="94"/>
        <v>1</v>
      </c>
      <c r="AJ162" s="259" t="str">
        <f t="shared" si="93"/>
        <v/>
      </c>
      <c r="AM162" s="223">
        <f t="shared" si="95"/>
        <v>0</v>
      </c>
      <c r="AN162" s="223">
        <f t="shared" si="96"/>
        <v>1900</v>
      </c>
      <c r="AU162" s="223">
        <f t="shared" si="97"/>
        <v>0</v>
      </c>
      <c r="AV162" s="223">
        <f t="shared" si="98"/>
        <v>0</v>
      </c>
    </row>
    <row r="163" spans="1:48" ht="26.25" x14ac:dyDescent="0.4">
      <c r="D163" s="246" t="s">
        <v>484</v>
      </c>
      <c r="E163" s="252" t="s">
        <v>330</v>
      </c>
      <c r="F163" s="276">
        <v>1200</v>
      </c>
      <c r="G163" s="249" t="s">
        <v>4</v>
      </c>
      <c r="H163" s="277">
        <v>1.6</v>
      </c>
      <c r="I163" s="251">
        <v>46057</v>
      </c>
      <c r="J163" s="252" t="s">
        <v>17</v>
      </c>
      <c r="K163" s="252"/>
      <c r="L163" s="253">
        <v>7.0000000000000007E-2</v>
      </c>
      <c r="M163" s="254">
        <f ca="1">IF(ISERROR(OFFSET(Tabella!$A$1,MATCH(J163,Tabella!$A:$A,0)-1,MATCH(L163,Tabella!$A$1:$AC$1,0)-1)=TRUE),0,+OFFSET(Tabella!$A$1,MATCH(J163,Tabella!$A:$A,0)-1,MATCH(L163,Tabella!$A$1:$AC$1,0)-1))</f>
        <v>1.4</v>
      </c>
      <c r="N163" s="255">
        <f ca="1">IF(ISERROR(OFFSET(Ottone!$A$1,MATCH(J163,Ottone!$A:$A,0)-1,MATCH(L163,Ottone!$A$1:$Z$1,0)-1)=TRUE),0,OFFSET(Ottone!$A$1,MATCH(J163,Ottone!$A:$A,0)-1,MATCH(L163,Ottone!$A$1:$Z$1,0)-1))*IF(G163="Ottone",1,0)</f>
        <v>0</v>
      </c>
      <c r="O163" s="255">
        <f ca="1">IF(ISERROR(OFFSET(Rame!$A$1,MATCH(J163,Rame!$A:$A,0)-1,MATCH(L163,Rame!$A$1:$AA$1,0)-1)=TRUE),0,OFFSET(Rame!$A$1,MATCH(J163,Rame!$A:$A,0)-1,MATCH(L163,Rame!$A$1:$AA$1,0)-1))*IF(G163="Rame",1,0)</f>
        <v>0</v>
      </c>
      <c r="P163" s="255">
        <v>0</v>
      </c>
      <c r="Q163" s="255">
        <v>1.6</v>
      </c>
      <c r="R163" s="255">
        <f ca="1">+IF(ISERROR(OFFSET(Tabella!$G$1,MATCH(J163,Tabella!$G:$G,0)-1,MATCH(K163,Tabella!$G$1:$FG$1,0)-1)=TRUE),0,OFFSET(Tabella!$G$1,MATCH(J163,Tabella!$G:$G,0)-1,MATCH(K163,Tabella!$G$1:$AB$1,0)-1))</f>
        <v>0</v>
      </c>
      <c r="S163" s="255">
        <f ca="1">IF(ISERROR(OFFSET(Ottone!$F$1,MATCH(J163,Ottone!$A:$A,0)-1,MATCH(K163,Ottone!$F$1:$FF$1,0)-1)=TRUE),0,OFFSET(Ottone!$F$1,MATCH(J163,Ottone!$A:$A,0)-1,MATCH(K163,Ottone!$F$1:$FF$1,0)-1))*IF(G163="Ottone",1,0)</f>
        <v>0</v>
      </c>
      <c r="T163" s="255">
        <f ca="1">IF(ISERROR(OFFSET(Rame!$F$1,MATCH(J163,Rame!$F:$F,0)-1,MATCH(K163,Rame!$F$1:$FF$1,0)-1)=TRUE),0,OFFSET(Rame!$F$1,MATCH(J163,Rame!$F:$F,0)-1,MATCH(K163,Rame!$F$1:$FF$1,0)-1))*IF(G163="Rame",1,0)</f>
        <v>0</v>
      </c>
      <c r="U163" s="255">
        <f ca="1">IF(ISERROR(OFFSET(Bronzo!$A$1,MATCH(J163,Bronzo!$A:$A,0)-1,MATCH(K163,Bronzo!$A$1:$AA$1,0)-1)=TRUE),0,OFFSET(Bronzo!$A$1,MATCH(J163,Bronzo!$A:$A,0)-1,MATCH(K163,Bronzo!$A$1:$AA$1,0)-1))</f>
        <v>0</v>
      </c>
      <c r="V163" s="255">
        <f t="shared" ca="1" si="88"/>
        <v>0</v>
      </c>
      <c r="W163" s="254"/>
      <c r="X163" s="255">
        <v>0</v>
      </c>
      <c r="Y163" s="256">
        <f t="shared" ca="1" si="89"/>
        <v>1.6</v>
      </c>
      <c r="Z163" s="257">
        <f t="shared" si="90"/>
        <v>84.000000000000014</v>
      </c>
      <c r="AA163" s="278">
        <v>1.6</v>
      </c>
      <c r="AB163" s="253">
        <f t="shared" ca="1" si="91"/>
        <v>-1.6</v>
      </c>
      <c r="AC163" s="258">
        <v>46119</v>
      </c>
      <c r="AH163" s="232">
        <f t="shared" ca="1" si="86"/>
        <v>46120</v>
      </c>
      <c r="AI163" s="232" t="b">
        <f t="shared" si="94"/>
        <v>0</v>
      </c>
      <c r="AJ163" s="259">
        <f t="shared" ca="1" si="93"/>
        <v>-1</v>
      </c>
      <c r="AM163" s="223">
        <f t="shared" si="95"/>
        <v>15</v>
      </c>
      <c r="AN163" s="223">
        <f t="shared" si="96"/>
        <v>2026</v>
      </c>
      <c r="AU163" s="223">
        <f t="shared" si="97"/>
        <v>4</v>
      </c>
      <c r="AV163" s="223">
        <f t="shared" si="98"/>
        <v>2026</v>
      </c>
    </row>
    <row r="164" spans="1:48" ht="26.25" x14ac:dyDescent="0.4">
      <c r="D164" s="246" t="s">
        <v>484</v>
      </c>
      <c r="E164" s="252" t="s">
        <v>330</v>
      </c>
      <c r="F164" s="276">
        <v>2000</v>
      </c>
      <c r="G164" s="249" t="s">
        <v>4</v>
      </c>
      <c r="H164" s="277">
        <v>1.6</v>
      </c>
      <c r="I164" s="251">
        <v>46057</v>
      </c>
      <c r="J164" s="252" t="s">
        <v>21</v>
      </c>
      <c r="K164" s="252"/>
      <c r="L164" s="253">
        <v>7.0000000000000007E-2</v>
      </c>
      <c r="M164" s="254">
        <f ca="1">IF(ISERROR(OFFSET(Tabella!$A$1,MATCH(J164,Tabella!$A:$A,0)-1,MATCH(L164,Tabella!$A$1:$AC$1,0)-1)=TRUE),0,+OFFSET(Tabella!$A$1,MATCH(J164,Tabella!$A:$A,0)-1,MATCH(L164,Tabella!$A$1:$AC$1,0)-1))</f>
        <v>1.25</v>
      </c>
      <c r="N164" s="255">
        <f ca="1">IF(ISERROR(OFFSET(Ottone!$A$1,MATCH(J164,Ottone!$A:$A,0)-1,MATCH(L164,Ottone!$A$1:$Z$1,0)-1)=TRUE),0,OFFSET(Ottone!$A$1,MATCH(J164,Ottone!$A:$A,0)-1,MATCH(L164,Ottone!$A$1:$Z$1,0)-1))*IF(G164="Ottone",1,0)</f>
        <v>0</v>
      </c>
      <c r="O164" s="255">
        <f ca="1">IF(ISERROR(OFFSET(Rame!$A$1,MATCH(J164,Rame!$A:$A,0)-1,MATCH(L164,Rame!$A$1:$AA$1,0)-1)=TRUE),0,OFFSET(Rame!$A$1,MATCH(J164,Rame!$A:$A,0)-1,MATCH(L164,Rame!$A$1:$AA$1,0)-1))*IF(G164="Rame",1,0)</f>
        <v>0</v>
      </c>
      <c r="P164" s="255">
        <v>0</v>
      </c>
      <c r="Q164" s="255">
        <v>1.5</v>
      </c>
      <c r="R164" s="255">
        <f ca="1">+IF(ISERROR(OFFSET(Tabella!$G$1,MATCH(J164,Tabella!$G:$G,0)-1,MATCH(K164,Tabella!$G$1:$FG$1,0)-1)=TRUE),0,OFFSET(Tabella!$G$1,MATCH(J164,Tabella!$G:$G,0)-1,MATCH(K164,Tabella!$G$1:$AB$1,0)-1))</f>
        <v>0</v>
      </c>
      <c r="S164" s="255">
        <f ca="1">IF(ISERROR(OFFSET(Ottone!$F$1,MATCH(J164,Ottone!$A:$A,0)-1,MATCH(K164,Ottone!$F$1:$FF$1,0)-1)=TRUE),0,OFFSET(Ottone!$F$1,MATCH(J164,Ottone!$A:$A,0)-1,MATCH(K164,Ottone!$F$1:$FF$1,0)-1))*IF(G164="Ottone",1,0)</f>
        <v>0</v>
      </c>
      <c r="T164" s="255">
        <f ca="1">IF(ISERROR(OFFSET(Rame!$F$1,MATCH(J164,Rame!$F:$F,0)-1,MATCH(K164,Rame!$F$1:$FF$1,0)-1)=TRUE),0,OFFSET(Rame!$F$1,MATCH(J164,Rame!$F:$F,0)-1,MATCH(K164,Rame!$F$1:$FF$1,0)-1))*IF(G164="Rame",1,0)</f>
        <v>0</v>
      </c>
      <c r="U164" s="255">
        <f ca="1">IF(ISERROR(OFFSET(Bronzo!$A$1,MATCH(J164,Bronzo!$A:$A,0)-1,MATCH(K164,Bronzo!$A$1:$AA$1,0)-1)=TRUE),0,OFFSET(Bronzo!$A$1,MATCH(J164,Bronzo!$A:$A,0)-1,MATCH(K164,Bronzo!$A$1:$AA$1,0)-1))</f>
        <v>0</v>
      </c>
      <c r="V164" s="255">
        <f ca="1">SUM(R164:U164)</f>
        <v>0</v>
      </c>
      <c r="W164" s="254"/>
      <c r="X164" s="255">
        <v>0</v>
      </c>
      <c r="Y164" s="256">
        <f t="shared" ca="1" si="89"/>
        <v>1.5</v>
      </c>
      <c r="Z164" s="257">
        <f t="shared" si="90"/>
        <v>140</v>
      </c>
      <c r="AA164" s="278">
        <v>1.5</v>
      </c>
      <c r="AB164" s="253">
        <f t="shared" ca="1" si="91"/>
        <v>-1.6</v>
      </c>
      <c r="AC164" s="258">
        <v>46136</v>
      </c>
      <c r="AH164" s="232">
        <f t="shared" ref="AH164:AH217" ca="1" si="99">TODAY()</f>
        <v>46120</v>
      </c>
      <c r="AI164" s="232" t="b">
        <f t="shared" si="94"/>
        <v>0</v>
      </c>
      <c r="AJ164" s="259">
        <f t="shared" ca="1" si="93"/>
        <v>16</v>
      </c>
      <c r="AM164" s="223">
        <f t="shared" si="95"/>
        <v>17</v>
      </c>
      <c r="AN164" s="223">
        <f t="shared" si="96"/>
        <v>2026</v>
      </c>
      <c r="AU164" s="223">
        <f t="shared" si="97"/>
        <v>4</v>
      </c>
      <c r="AV164" s="223">
        <f t="shared" si="98"/>
        <v>2026</v>
      </c>
    </row>
    <row r="165" spans="1:48" ht="26.25" x14ac:dyDescent="0.4">
      <c r="D165" s="246" t="s">
        <v>484</v>
      </c>
      <c r="E165" s="252" t="s">
        <v>330</v>
      </c>
      <c r="F165" s="276">
        <v>1000</v>
      </c>
      <c r="G165" s="249" t="s">
        <v>4</v>
      </c>
      <c r="H165" s="277">
        <v>1.6</v>
      </c>
      <c r="I165" s="251">
        <v>46057</v>
      </c>
      <c r="J165" s="252" t="s">
        <v>21</v>
      </c>
      <c r="K165" s="252"/>
      <c r="L165" s="253">
        <v>7.0000000000000007E-2</v>
      </c>
      <c r="M165" s="254">
        <f ca="1">IF(ISERROR(OFFSET(Tabella!$A$1,MATCH(J165,Tabella!$A:$A,0)-1,MATCH(L165,Tabella!$A$1:$AC$1,0)-1)=TRUE),0,+OFFSET(Tabella!$A$1,MATCH(J165,Tabella!$A:$A,0)-1,MATCH(L165,Tabella!$A$1:$AC$1,0)-1))</f>
        <v>1.25</v>
      </c>
      <c r="N165" s="255">
        <f ca="1">IF(ISERROR(OFFSET(Ottone!$A$1,MATCH(J165,Ottone!$A:$A,0)-1,MATCH(L165,Ottone!$A$1:$Z$1,0)-1)=TRUE),0,OFFSET(Ottone!$A$1,MATCH(J165,Ottone!$A:$A,0)-1,MATCH(L165,Ottone!$A$1:$Z$1,0)-1))*IF(G165="Ottone",1,0)</f>
        <v>0</v>
      </c>
      <c r="O165" s="255">
        <f ca="1">IF(ISERROR(OFFSET(Rame!$A$1,MATCH(J165,Rame!$A:$A,0)-1,MATCH(L165,Rame!$A$1:$AA$1,0)-1)=TRUE),0,OFFSET(Rame!$A$1,MATCH(J165,Rame!$A:$A,0)-1,MATCH(L165,Rame!$A$1:$AA$1,0)-1))*IF(G165="Rame",1,0)</f>
        <v>0</v>
      </c>
      <c r="P165" s="255">
        <v>0</v>
      </c>
      <c r="Q165" s="255">
        <v>1.5</v>
      </c>
      <c r="R165" s="255">
        <f ca="1">+IF(ISERROR(OFFSET(Tabella!$G$1,MATCH(J165,Tabella!$G:$G,0)-1,MATCH(K165,Tabella!$G$1:$FG$1,0)-1)=TRUE),0,OFFSET(Tabella!$G$1,MATCH(J165,Tabella!$G:$G,0)-1,MATCH(K165,Tabella!$G$1:$AB$1,0)-1))</f>
        <v>0</v>
      </c>
      <c r="S165" s="255">
        <f ca="1">IF(ISERROR(OFFSET(Ottone!$F$1,MATCH(J165,Ottone!$A:$A,0)-1,MATCH(K165,Ottone!$F$1:$FF$1,0)-1)=TRUE),0,OFFSET(Ottone!$F$1,MATCH(J165,Ottone!$A:$A,0)-1,MATCH(K165,Ottone!$F$1:$FF$1,0)-1))*IF(G165="Ottone",1,0)</f>
        <v>0</v>
      </c>
      <c r="T165" s="255">
        <f ca="1">IF(ISERROR(OFFSET(Rame!$F$1,MATCH(J165,Rame!$F:$F,0)-1,MATCH(K165,Rame!$F$1:$FF$1,0)-1)=TRUE),0,OFFSET(Rame!$F$1,MATCH(J165,Rame!$F:$F,0)-1,MATCH(K165,Rame!$F$1:$FF$1,0)-1))*IF(G165="Rame",1,0)</f>
        <v>0</v>
      </c>
      <c r="U165" s="255">
        <f ca="1">IF(ISERROR(OFFSET(Bronzo!$A$1,MATCH(J165,Bronzo!$A:$A,0)-1,MATCH(K165,Bronzo!$A$1:$AA$1,0)-1)=TRUE),0,OFFSET(Bronzo!$A$1,MATCH(J165,Bronzo!$A:$A,0)-1,MATCH(K165,Bronzo!$A$1:$AA$1,0)-1))</f>
        <v>0</v>
      </c>
      <c r="V165" s="255">
        <f t="shared" ca="1" si="88"/>
        <v>0</v>
      </c>
      <c r="W165" s="254"/>
      <c r="X165" s="255">
        <v>0</v>
      </c>
      <c r="Y165" s="256">
        <f t="shared" ca="1" si="89"/>
        <v>1.5</v>
      </c>
      <c r="Z165" s="257">
        <f t="shared" si="90"/>
        <v>70</v>
      </c>
      <c r="AA165" s="278">
        <v>1.5</v>
      </c>
      <c r="AB165" s="253">
        <f t="shared" ca="1" si="91"/>
        <v>-1.6</v>
      </c>
      <c r="AC165" s="258">
        <v>46146</v>
      </c>
      <c r="AH165" s="232">
        <f t="shared" ca="1" si="99"/>
        <v>46120</v>
      </c>
      <c r="AI165" s="232" t="b">
        <f t="shared" si="94"/>
        <v>0</v>
      </c>
      <c r="AJ165" s="259">
        <f t="shared" ca="1" si="93"/>
        <v>26</v>
      </c>
      <c r="AM165" s="223">
        <f t="shared" si="95"/>
        <v>19</v>
      </c>
      <c r="AN165" s="223">
        <f t="shared" si="96"/>
        <v>2026</v>
      </c>
      <c r="AU165" s="223">
        <f t="shared" si="97"/>
        <v>5</v>
      </c>
      <c r="AV165" s="223">
        <f t="shared" si="98"/>
        <v>2026</v>
      </c>
    </row>
    <row r="166" spans="1:48" ht="26.25" x14ac:dyDescent="0.4">
      <c r="D166" s="246" t="s">
        <v>484</v>
      </c>
      <c r="E166" s="252" t="s">
        <v>330</v>
      </c>
      <c r="F166" s="276">
        <v>500</v>
      </c>
      <c r="G166" s="249" t="s">
        <v>4</v>
      </c>
      <c r="H166" s="277">
        <v>1.6</v>
      </c>
      <c r="I166" s="251">
        <v>46057</v>
      </c>
      <c r="J166" s="252" t="s">
        <v>21</v>
      </c>
      <c r="K166" s="252"/>
      <c r="L166" s="253">
        <v>7.0000000000000007E-2</v>
      </c>
      <c r="M166" s="254">
        <f ca="1">IF(ISERROR(OFFSET(Tabella!$A$1,MATCH(J166,Tabella!$A:$A,0)-1,MATCH(L166,Tabella!$A$1:$AC$1,0)-1)=TRUE),0,+OFFSET(Tabella!$A$1,MATCH(J166,Tabella!$A:$A,0)-1,MATCH(L166,Tabella!$A$1:$AC$1,0)-1))</f>
        <v>1.25</v>
      </c>
      <c r="N166" s="255">
        <f ca="1">IF(ISERROR(OFFSET(Ottone!$A$1,MATCH(J166,Ottone!$A:$A,0)-1,MATCH(L166,Ottone!$A$1:$Z$1,0)-1)=TRUE),0,OFFSET(Ottone!$A$1,MATCH(J166,Ottone!$A:$A,0)-1,MATCH(L166,Ottone!$A$1:$Z$1,0)-1))*IF(G166="Ottone",1,0)</f>
        <v>0</v>
      </c>
      <c r="O166" s="255">
        <f ca="1">IF(ISERROR(OFFSET(Rame!$A$1,MATCH(J166,Rame!$A:$A,0)-1,MATCH(L166,Rame!$A$1:$AA$1,0)-1)=TRUE),0,OFFSET(Rame!$A$1,MATCH(J166,Rame!$A:$A,0)-1,MATCH(L166,Rame!$A$1:$AA$1,0)-1))*IF(G166="Rame",1,0)</f>
        <v>0</v>
      </c>
      <c r="P166" s="255">
        <v>0</v>
      </c>
      <c r="Q166" s="255">
        <v>1.5</v>
      </c>
      <c r="R166" s="255">
        <f ca="1">+IF(ISERROR(OFFSET(Tabella!$G$1,MATCH(J166,Tabella!$G:$G,0)-1,MATCH(K166,Tabella!$G$1:$FG$1,0)-1)=TRUE),0,OFFSET(Tabella!$G$1,MATCH(J166,Tabella!$G:$G,0)-1,MATCH(K166,Tabella!$G$1:$AB$1,0)-1))</f>
        <v>0</v>
      </c>
      <c r="S166" s="255">
        <f ca="1">IF(ISERROR(OFFSET(Ottone!$F$1,MATCH(J166,Ottone!$A:$A,0)-1,MATCH(K166,Ottone!$F$1:$FF$1,0)-1)=TRUE),0,OFFSET(Ottone!$F$1,MATCH(J166,Ottone!$A:$A,0)-1,MATCH(K166,Ottone!$F$1:$FF$1,0)-1))*IF(G166="Ottone",1,0)</f>
        <v>0</v>
      </c>
      <c r="T166" s="255">
        <f ca="1">IF(ISERROR(OFFSET(Rame!$F$1,MATCH(J166,Rame!$F:$F,0)-1,MATCH(K166,Rame!$F$1:$FF$1,0)-1)=TRUE),0,OFFSET(Rame!$F$1,MATCH(J166,Rame!$F:$F,0)-1,MATCH(K166,Rame!$F$1:$FF$1,0)-1))*IF(G166="Rame",1,0)</f>
        <v>0</v>
      </c>
      <c r="U166" s="255">
        <f ca="1">IF(ISERROR(OFFSET(Bronzo!$A$1,MATCH(J166,Bronzo!$A:$A,0)-1,MATCH(K166,Bronzo!$A$1:$AA$1,0)-1)=TRUE),0,OFFSET(Bronzo!$A$1,MATCH(J166,Bronzo!$A:$A,0)-1,MATCH(K166,Bronzo!$A$1:$AA$1,0)-1))</f>
        <v>0</v>
      </c>
      <c r="V166" s="255">
        <f t="shared" ca="1" si="88"/>
        <v>0</v>
      </c>
      <c r="W166" s="254"/>
      <c r="X166" s="255">
        <v>0</v>
      </c>
      <c r="Y166" s="256">
        <f t="shared" ca="1" si="89"/>
        <v>1.5</v>
      </c>
      <c r="Z166" s="257">
        <f t="shared" si="90"/>
        <v>35</v>
      </c>
      <c r="AA166" s="278">
        <v>1.5</v>
      </c>
      <c r="AB166" s="253">
        <f t="shared" ca="1" si="91"/>
        <v>-1.6</v>
      </c>
      <c r="AC166" s="258">
        <v>46167</v>
      </c>
      <c r="AH166" s="232">
        <f t="shared" ca="1" si="99"/>
        <v>46120</v>
      </c>
      <c r="AI166" s="232" t="b">
        <f t="shared" si="94"/>
        <v>0</v>
      </c>
      <c r="AJ166" s="259">
        <f t="shared" ca="1" si="93"/>
        <v>47</v>
      </c>
      <c r="AM166" s="223">
        <f t="shared" si="95"/>
        <v>22</v>
      </c>
      <c r="AN166" s="223">
        <f t="shared" si="96"/>
        <v>2026</v>
      </c>
      <c r="AU166" s="223">
        <f t="shared" si="97"/>
        <v>5</v>
      </c>
      <c r="AV166" s="223">
        <f t="shared" si="98"/>
        <v>2026</v>
      </c>
    </row>
    <row r="167" spans="1:48" s="260" customFormat="1" ht="26.25" x14ac:dyDescent="0.4">
      <c r="A167" s="223"/>
      <c r="C167" s="224"/>
      <c r="D167" s="261" t="s">
        <v>734</v>
      </c>
      <c r="E167" s="262" t="s">
        <v>330</v>
      </c>
      <c r="F167" s="263">
        <v>2416</v>
      </c>
      <c r="G167" s="264" t="s">
        <v>4</v>
      </c>
      <c r="H167" s="274">
        <v>2.61</v>
      </c>
      <c r="I167" s="266">
        <v>46057</v>
      </c>
      <c r="J167" s="267" t="s">
        <v>24</v>
      </c>
      <c r="K167" s="252"/>
      <c r="L167" s="268">
        <v>7.0000000000000007E-2</v>
      </c>
      <c r="M167" s="254">
        <f ca="1">IF(ISERROR(OFFSET(Tabella!$A$1,MATCH(J167,Tabella!$A:$A,0)-1,MATCH(L167,Tabella!$A$1:$AC$1,0)-1)=TRUE),0,+OFFSET(Tabella!$A$1,MATCH(J167,Tabella!$A:$A,0)-1,MATCH(L167,Tabella!$A$1:$AC$1,0)-1))</f>
        <v>1.25</v>
      </c>
      <c r="N167" s="255">
        <f ca="1">IF(ISERROR(OFFSET(Ottone!$A$1,MATCH(J167,Ottone!$A:$A,0)-1,MATCH(L167,Ottone!$A$1:$Z$1,0)-1)=TRUE),0,OFFSET(Ottone!$A$1,MATCH(J167,Ottone!$A:$A,0)-1,MATCH(L167,Ottone!$A$1:$Z$1,0)-1))*IF(G167="Ottone",1,0)</f>
        <v>0</v>
      </c>
      <c r="O167" s="255">
        <f ca="1">IF(ISERROR(OFFSET(Rame!$A$1,MATCH(J167,Rame!$A:$A,0)-1,MATCH(L167,Rame!$A$1:$AA$1,0)-1)=TRUE),0,OFFSET(Rame!$A$1,MATCH(J167,Rame!$A:$A,0)-1,MATCH(L167,Rame!$A$1:$AA$1,0)-1))*IF(G167="Rame",1,0)</f>
        <v>0</v>
      </c>
      <c r="P167" s="255">
        <v>0</v>
      </c>
      <c r="Q167" s="255">
        <v>1.5</v>
      </c>
      <c r="R167" s="255">
        <f ca="1">+IF(ISERROR(OFFSET(Tabella!$G$1,MATCH(J167,Tabella!$G:$G,0)-1,MATCH(K167,Tabella!$G$1:$FG$1,0)-1)=TRUE),0,OFFSET(Tabella!$G$1,MATCH(J167,Tabella!$G:$G,0)-1,MATCH(K167,Tabella!$G$1:$AB$1,0)-1))</f>
        <v>0</v>
      </c>
      <c r="S167" s="255">
        <f ca="1">IF(ISERROR(OFFSET(Ottone!$F$1,MATCH(J167,Ottone!$A:$A,0)-1,MATCH(K167,Ottone!$F$1:$FF$1,0)-1)=TRUE),0,OFFSET(Ottone!$F$1,MATCH(J167,Ottone!$A:$A,0)-1,MATCH(K167,Ottone!$F$1:$FF$1,0)-1))*IF(G167="Ottone",1,0)</f>
        <v>0</v>
      </c>
      <c r="T167" s="255">
        <f ca="1">IF(ISERROR(OFFSET(Rame!$F$1,MATCH(J167,Rame!$F:$F,0)-1,MATCH(K167,Rame!$F$1:$FF$1,0)-1)=TRUE),0,OFFSET(Rame!$F$1,MATCH(J167,Rame!$F:$F,0)-1,MATCH(K167,Rame!$F$1:$FF$1,0)-1))*IF(G167="Rame",1,0)</f>
        <v>0</v>
      </c>
      <c r="U167" s="255">
        <f ca="1">IF(ISERROR(OFFSET(Bronzo!$A$1,MATCH(J167,Bronzo!$A:$A,0)-1,MATCH(K167,Bronzo!$A$1:$AA$1,0)-1)=TRUE),0,OFFSET(Bronzo!$A$1,MATCH(J167,Bronzo!$A:$A,0)-1,MATCH(K167,Bronzo!$A$1:$AA$1,0)-1))</f>
        <v>0</v>
      </c>
      <c r="V167" s="255">
        <f t="shared" ca="1" si="88"/>
        <v>0</v>
      </c>
      <c r="W167" s="254"/>
      <c r="X167" s="255">
        <v>0</v>
      </c>
      <c r="Y167" s="256">
        <f t="shared" ca="1" si="89"/>
        <v>1.5</v>
      </c>
      <c r="Z167" s="269">
        <f t="shared" si="90"/>
        <v>169.12</v>
      </c>
      <c r="AA167" s="273">
        <v>4.21</v>
      </c>
      <c r="AB167" s="253">
        <f t="shared" ca="1" si="91"/>
        <v>0.10000000000000009</v>
      </c>
      <c r="AC167" s="258"/>
      <c r="AD167" s="223"/>
      <c r="AE167" s="223"/>
      <c r="AF167" s="260" t="s">
        <v>405</v>
      </c>
      <c r="AH167" s="271">
        <f t="shared" ca="1" si="99"/>
        <v>46120</v>
      </c>
      <c r="AI167" s="271" t="b">
        <f t="shared" si="94"/>
        <v>1</v>
      </c>
      <c r="AJ167" s="272" t="str">
        <f t="shared" si="93"/>
        <v/>
      </c>
      <c r="AM167" s="260">
        <f t="shared" si="95"/>
        <v>0</v>
      </c>
      <c r="AN167" s="260">
        <f t="shared" si="96"/>
        <v>1900</v>
      </c>
      <c r="AU167" s="260">
        <f t="shared" si="97"/>
        <v>0</v>
      </c>
      <c r="AV167" s="260">
        <f t="shared" si="98"/>
        <v>0</v>
      </c>
    </row>
    <row r="168" spans="1:48" s="260" customFormat="1" ht="26.25" x14ac:dyDescent="0.4">
      <c r="A168" s="223"/>
      <c r="C168" s="224"/>
      <c r="D168" s="261" t="s">
        <v>484</v>
      </c>
      <c r="E168" s="267" t="s">
        <v>330</v>
      </c>
      <c r="F168" s="297">
        <v>2000</v>
      </c>
      <c r="G168" s="264" t="s">
        <v>4</v>
      </c>
      <c r="H168" s="275">
        <v>1.6</v>
      </c>
      <c r="I168" s="266">
        <v>46057</v>
      </c>
      <c r="J168" s="267" t="s">
        <v>24</v>
      </c>
      <c r="K168" s="252"/>
      <c r="L168" s="268">
        <v>7.0000000000000007E-2</v>
      </c>
      <c r="M168" s="254">
        <f ca="1">IF(ISERROR(OFFSET(Tabella!$A$1,MATCH(J168,Tabella!$A:$A,0)-1,MATCH(L168,Tabella!$A$1:$AC$1,0)-1)=TRUE),0,+OFFSET(Tabella!$A$1,MATCH(J168,Tabella!$A:$A,0)-1,MATCH(L168,Tabella!$A$1:$AC$1,0)-1))</f>
        <v>1.25</v>
      </c>
      <c r="N168" s="255">
        <f ca="1">IF(ISERROR(OFFSET(Ottone!$A$1,MATCH(J168,Ottone!$A:$A,0)-1,MATCH(L168,Ottone!$A$1:$Z$1,0)-1)=TRUE),0,OFFSET(Ottone!$A$1,MATCH(J168,Ottone!$A:$A,0)-1,MATCH(L168,Ottone!$A$1:$Z$1,0)-1))*IF(G168="Ottone",1,0)</f>
        <v>0</v>
      </c>
      <c r="O168" s="255">
        <f ca="1">IF(ISERROR(OFFSET(Rame!$A$1,MATCH(J168,Rame!$A:$A,0)-1,MATCH(L168,Rame!$A$1:$AA$1,0)-1)=TRUE),0,OFFSET(Rame!$A$1,MATCH(J168,Rame!$A:$A,0)-1,MATCH(L168,Rame!$A$1:$AA$1,0)-1))*IF(G168="Rame",1,0)</f>
        <v>0</v>
      </c>
      <c r="P168" s="255">
        <v>0</v>
      </c>
      <c r="Q168" s="255">
        <v>1.5</v>
      </c>
      <c r="R168" s="255">
        <f ca="1">+IF(ISERROR(OFFSET(Tabella!$G$1,MATCH(J168,Tabella!$G:$G,0)-1,MATCH(K168,Tabella!$G$1:$FG$1,0)-1)=TRUE),0,OFFSET(Tabella!$G$1,MATCH(J168,Tabella!$G:$G,0)-1,MATCH(K168,Tabella!$G$1:$AB$1,0)-1))</f>
        <v>0</v>
      </c>
      <c r="S168" s="255">
        <f ca="1">IF(ISERROR(OFFSET(Ottone!$F$1,MATCH(J168,Ottone!$A:$A,0)-1,MATCH(K168,Ottone!$F$1:$FF$1,0)-1)=TRUE),0,OFFSET(Ottone!$F$1,MATCH(J168,Ottone!$A:$A,0)-1,MATCH(K168,Ottone!$F$1:$FF$1,0)-1))*IF(G168="Ottone",1,0)</f>
        <v>0</v>
      </c>
      <c r="T168" s="255">
        <f ca="1">IF(ISERROR(OFFSET(Rame!$F$1,MATCH(J168,Rame!$F:$F,0)-1,MATCH(K168,Rame!$F$1:$FF$1,0)-1)=TRUE),0,OFFSET(Rame!$F$1,MATCH(J168,Rame!$F:$F,0)-1,MATCH(K168,Rame!$F$1:$FF$1,0)-1))*IF(G168="Rame",1,0)</f>
        <v>0</v>
      </c>
      <c r="U168" s="255">
        <f ca="1">IF(ISERROR(OFFSET(Bronzo!$A$1,MATCH(J168,Bronzo!$A:$A,0)-1,MATCH(K168,Bronzo!$A$1:$AA$1,0)-1)=TRUE),0,OFFSET(Bronzo!$A$1,MATCH(J168,Bronzo!$A:$A,0)-1,MATCH(K168,Bronzo!$A$1:$AA$1,0)-1))</f>
        <v>0</v>
      </c>
      <c r="V168" s="255">
        <f t="shared" ca="1" si="88"/>
        <v>0</v>
      </c>
      <c r="W168" s="254"/>
      <c r="X168" s="255">
        <v>0</v>
      </c>
      <c r="Y168" s="256">
        <f t="shared" ca="1" si="89"/>
        <v>1.5</v>
      </c>
      <c r="Z168" s="268">
        <f t="shared" si="90"/>
        <v>140</v>
      </c>
      <c r="AA168" s="298">
        <v>1.5</v>
      </c>
      <c r="AB168" s="253">
        <f t="shared" ca="1" si="91"/>
        <v>-1.6</v>
      </c>
      <c r="AC168" s="258">
        <v>46142</v>
      </c>
      <c r="AD168" s="223"/>
      <c r="AE168" s="223"/>
      <c r="AH168" s="271">
        <f t="shared" ca="1" si="99"/>
        <v>46120</v>
      </c>
      <c r="AI168" s="271" t="b">
        <f t="shared" si="94"/>
        <v>0</v>
      </c>
      <c r="AJ168" s="272">
        <f t="shared" ca="1" si="93"/>
        <v>22</v>
      </c>
      <c r="AM168" s="260">
        <f t="shared" si="95"/>
        <v>18</v>
      </c>
      <c r="AN168" s="260">
        <f t="shared" si="96"/>
        <v>2026</v>
      </c>
      <c r="AU168" s="260">
        <f t="shared" si="97"/>
        <v>4</v>
      </c>
      <c r="AV168" s="260">
        <f t="shared" si="98"/>
        <v>2026</v>
      </c>
    </row>
    <row r="169" spans="1:48" s="260" customFormat="1" ht="26.25" x14ac:dyDescent="0.4">
      <c r="A169" s="223"/>
      <c r="C169" s="224"/>
      <c r="D169" s="261" t="s">
        <v>746</v>
      </c>
      <c r="E169" s="262" t="s">
        <v>330</v>
      </c>
      <c r="F169" s="263">
        <v>2041</v>
      </c>
      <c r="G169" s="264" t="s">
        <v>4</v>
      </c>
      <c r="H169" s="274">
        <v>2.61</v>
      </c>
      <c r="I169" s="266">
        <v>46057</v>
      </c>
      <c r="J169" s="267" t="s">
        <v>22</v>
      </c>
      <c r="K169" s="252"/>
      <c r="L169" s="268">
        <v>7.0000000000000007E-2</v>
      </c>
      <c r="M169" s="254">
        <f ca="1">IF(ISERROR(OFFSET(Tabella!$A$1,MATCH(J169,Tabella!$A:$A,0)-1,MATCH(L169,Tabella!$A$1:$AC$1,0)-1)=TRUE),0,+OFFSET(Tabella!$A$1,MATCH(J169,Tabella!$A:$A,0)-1,MATCH(L169,Tabella!$A$1:$AC$1,0)-1))</f>
        <v>1.25</v>
      </c>
      <c r="N169" s="255">
        <f ca="1">IF(ISERROR(OFFSET(Ottone!$A$1,MATCH(J169,Ottone!$A:$A,0)-1,MATCH(L169,Ottone!$A$1:$Z$1,0)-1)=TRUE),0,OFFSET(Ottone!$A$1,MATCH(J169,Ottone!$A:$A,0)-1,MATCH(L169,Ottone!$A$1:$Z$1,0)-1))*IF(G169="Ottone",1,0)</f>
        <v>0</v>
      </c>
      <c r="O169" s="255">
        <f ca="1">IF(ISERROR(OFFSET(Rame!$A$1,MATCH(J169,Rame!$A:$A,0)-1,MATCH(L169,Rame!$A$1:$AA$1,0)-1)=TRUE),0,OFFSET(Rame!$A$1,MATCH(J169,Rame!$A:$A,0)-1,MATCH(L169,Rame!$A$1:$AA$1,0)-1))*IF(G169="Rame",1,0)</f>
        <v>0</v>
      </c>
      <c r="P169" s="255">
        <v>0</v>
      </c>
      <c r="Q169" s="255">
        <v>1.5</v>
      </c>
      <c r="R169" s="255">
        <f ca="1">+IF(ISERROR(OFFSET(Tabella!$G$1,MATCH(J169,Tabella!$G:$G,0)-1,MATCH(K169,Tabella!$G$1:$FG$1,0)-1)=TRUE),0,OFFSET(Tabella!$G$1,MATCH(J169,Tabella!$G:$G,0)-1,MATCH(K169,Tabella!$G$1:$AB$1,0)-1))</f>
        <v>0</v>
      </c>
      <c r="S169" s="255">
        <f ca="1">IF(ISERROR(OFFSET(Ottone!$F$1,MATCH(J169,Ottone!$A:$A,0)-1,MATCH(K169,Ottone!$F$1:$FF$1,0)-1)=TRUE),0,OFFSET(Ottone!$F$1,MATCH(J169,Ottone!$A:$A,0)-1,MATCH(K169,Ottone!$F$1:$FF$1,0)-1))*IF(G169="Ottone",1,0)</f>
        <v>0</v>
      </c>
      <c r="T169" s="255">
        <f ca="1">IF(ISERROR(OFFSET(Rame!$F$1,MATCH(J169,Rame!$F:$F,0)-1,MATCH(K169,Rame!$F$1:$FF$1,0)-1)=TRUE),0,OFFSET(Rame!$F$1,MATCH(J169,Rame!$F:$F,0)-1,MATCH(K169,Rame!$F$1:$FF$1,0)-1))*IF(G169="Rame",1,0)</f>
        <v>0</v>
      </c>
      <c r="U169" s="255">
        <f ca="1">IF(ISERROR(OFFSET(Bronzo!$A$1,MATCH(J169,Bronzo!$A:$A,0)-1,MATCH(K169,Bronzo!$A$1:$AA$1,0)-1)=TRUE),0,OFFSET(Bronzo!$A$1,MATCH(J169,Bronzo!$A:$A,0)-1,MATCH(K169,Bronzo!$A$1:$AA$1,0)-1))</f>
        <v>0</v>
      </c>
      <c r="V169" s="255">
        <f t="shared" ca="1" si="88"/>
        <v>0</v>
      </c>
      <c r="W169" s="254"/>
      <c r="X169" s="255">
        <v>0</v>
      </c>
      <c r="Y169" s="256">
        <f t="shared" ca="1" si="89"/>
        <v>1.5</v>
      </c>
      <c r="Z169" s="269">
        <f t="shared" si="90"/>
        <v>142.87</v>
      </c>
      <c r="AA169" s="273">
        <v>4.21</v>
      </c>
      <c r="AB169" s="253">
        <f t="shared" ca="1" si="91"/>
        <v>0.10000000000000009</v>
      </c>
      <c r="AC169" s="258"/>
      <c r="AD169" s="223"/>
      <c r="AE169" s="223"/>
      <c r="AF169" s="260" t="s">
        <v>405</v>
      </c>
      <c r="AH169" s="271">
        <f t="shared" ca="1" si="99"/>
        <v>46120</v>
      </c>
      <c r="AI169" s="271" t="b">
        <f t="shared" si="94"/>
        <v>1</v>
      </c>
      <c r="AJ169" s="272" t="str">
        <f t="shared" si="93"/>
        <v/>
      </c>
      <c r="AM169" s="260">
        <f t="shared" si="95"/>
        <v>0</v>
      </c>
      <c r="AN169" s="260">
        <f t="shared" si="96"/>
        <v>1900</v>
      </c>
      <c r="AU169" s="260">
        <f t="shared" si="97"/>
        <v>0</v>
      </c>
      <c r="AV169" s="260">
        <f t="shared" si="98"/>
        <v>0</v>
      </c>
    </row>
    <row r="170" spans="1:48" s="260" customFormat="1" ht="26.25" x14ac:dyDescent="0.4">
      <c r="A170" s="223"/>
      <c r="C170" s="224"/>
      <c r="D170" s="261" t="s">
        <v>484</v>
      </c>
      <c r="E170" s="267" t="s">
        <v>330</v>
      </c>
      <c r="F170" s="297">
        <v>1800</v>
      </c>
      <c r="G170" s="264" t="s">
        <v>4</v>
      </c>
      <c r="H170" s="275">
        <v>1.6</v>
      </c>
      <c r="I170" s="266">
        <v>46057</v>
      </c>
      <c r="J170" s="267" t="s">
        <v>22</v>
      </c>
      <c r="K170" s="252"/>
      <c r="L170" s="268">
        <v>7.0000000000000007E-2</v>
      </c>
      <c r="M170" s="254">
        <f ca="1">IF(ISERROR(OFFSET(Tabella!$A$1,MATCH(J170,Tabella!$A:$A,0)-1,MATCH(L170,Tabella!$A$1:$AC$1,0)-1)=TRUE),0,+OFFSET(Tabella!$A$1,MATCH(J170,Tabella!$A:$A,0)-1,MATCH(L170,Tabella!$A$1:$AC$1,0)-1))</f>
        <v>1.25</v>
      </c>
      <c r="N170" s="255">
        <f ca="1">IF(ISERROR(OFFSET(Ottone!$A$1,MATCH(J170,Ottone!$A:$A,0)-1,MATCH(L170,Ottone!$A$1:$Z$1,0)-1)=TRUE),0,OFFSET(Ottone!$A$1,MATCH(J170,Ottone!$A:$A,0)-1,MATCH(L170,Ottone!$A$1:$Z$1,0)-1))*IF(G170="Ottone",1,0)</f>
        <v>0</v>
      </c>
      <c r="O170" s="255">
        <f ca="1">IF(ISERROR(OFFSET(Rame!$A$1,MATCH(J170,Rame!$A:$A,0)-1,MATCH(L170,Rame!$A$1:$AA$1,0)-1)=TRUE),0,OFFSET(Rame!$A$1,MATCH(J170,Rame!$A:$A,0)-1,MATCH(L170,Rame!$A$1:$AA$1,0)-1))*IF(G170="Rame",1,0)</f>
        <v>0</v>
      </c>
      <c r="P170" s="255">
        <v>0</v>
      </c>
      <c r="Q170" s="255">
        <v>1.5</v>
      </c>
      <c r="R170" s="255">
        <f ca="1">+IF(ISERROR(OFFSET(Tabella!$G$1,MATCH(J170,Tabella!$G:$G,0)-1,MATCH(K170,Tabella!$G$1:$FG$1,0)-1)=TRUE),0,OFFSET(Tabella!$G$1,MATCH(J170,Tabella!$G:$G,0)-1,MATCH(K170,Tabella!$G$1:$AB$1,0)-1))</f>
        <v>0</v>
      </c>
      <c r="S170" s="255">
        <f ca="1">IF(ISERROR(OFFSET(Ottone!$F$1,MATCH(J170,Ottone!$A:$A,0)-1,MATCH(K170,Ottone!$F$1:$FF$1,0)-1)=TRUE),0,OFFSET(Ottone!$F$1,MATCH(J170,Ottone!$A:$A,0)-1,MATCH(K170,Ottone!$F$1:$FF$1,0)-1))*IF(G170="Ottone",1,0)</f>
        <v>0</v>
      </c>
      <c r="T170" s="255">
        <f ca="1">IF(ISERROR(OFFSET(Rame!$F$1,MATCH(J170,Rame!$F:$F,0)-1,MATCH(K170,Rame!$F$1:$FF$1,0)-1)=TRUE),0,OFFSET(Rame!$F$1,MATCH(J170,Rame!$F:$F,0)-1,MATCH(K170,Rame!$F$1:$FF$1,0)-1))*IF(G170="Rame",1,0)</f>
        <v>0</v>
      </c>
      <c r="U170" s="255">
        <f ca="1">IF(ISERROR(OFFSET(Bronzo!$A$1,MATCH(J170,Bronzo!$A:$A,0)-1,MATCH(K170,Bronzo!$A$1:$AA$1,0)-1)=TRUE),0,OFFSET(Bronzo!$A$1,MATCH(J170,Bronzo!$A:$A,0)-1,MATCH(K170,Bronzo!$A$1:$AA$1,0)-1))</f>
        <v>0</v>
      </c>
      <c r="V170" s="255">
        <f t="shared" ca="1" si="88"/>
        <v>0</v>
      </c>
      <c r="W170" s="254"/>
      <c r="X170" s="255">
        <v>0</v>
      </c>
      <c r="Y170" s="256">
        <f t="shared" ca="1" si="89"/>
        <v>1.5</v>
      </c>
      <c r="Z170" s="268">
        <f t="shared" si="90"/>
        <v>126.00000000000001</v>
      </c>
      <c r="AA170" s="298">
        <v>1.5</v>
      </c>
      <c r="AB170" s="253">
        <f t="shared" ca="1" si="91"/>
        <v>-1.6</v>
      </c>
      <c r="AC170" s="258">
        <v>46146</v>
      </c>
      <c r="AD170" s="223"/>
      <c r="AE170" s="223"/>
      <c r="AH170" s="271">
        <f t="shared" ca="1" si="99"/>
        <v>46120</v>
      </c>
      <c r="AI170" s="271" t="b">
        <f t="shared" si="94"/>
        <v>0</v>
      </c>
      <c r="AJ170" s="272">
        <f t="shared" ca="1" si="93"/>
        <v>26</v>
      </c>
      <c r="AM170" s="260">
        <f t="shared" si="95"/>
        <v>19</v>
      </c>
      <c r="AN170" s="260">
        <f t="shared" si="96"/>
        <v>2026</v>
      </c>
      <c r="AU170" s="260">
        <f t="shared" si="97"/>
        <v>5</v>
      </c>
      <c r="AV170" s="260">
        <f t="shared" si="98"/>
        <v>2026</v>
      </c>
    </row>
    <row r="171" spans="1:48" s="260" customFormat="1" ht="26.25" x14ac:dyDescent="0.4">
      <c r="A171" s="223"/>
      <c r="C171" s="224"/>
      <c r="D171" s="261" t="s">
        <v>664</v>
      </c>
      <c r="E171" s="262" t="s">
        <v>330</v>
      </c>
      <c r="F171" s="263">
        <v>627</v>
      </c>
      <c r="G171" s="264" t="s">
        <v>4</v>
      </c>
      <c r="H171" s="274">
        <v>2.61</v>
      </c>
      <c r="I171" s="266">
        <v>46057</v>
      </c>
      <c r="J171" s="267" t="s">
        <v>25</v>
      </c>
      <c r="K171" s="252"/>
      <c r="L171" s="268">
        <v>7.0000000000000007E-2</v>
      </c>
      <c r="M171" s="254">
        <f ca="1">IF(ISERROR(OFFSET(Tabella!$A$1,MATCH(J171,Tabella!$A:$A,0)-1,MATCH(L171,Tabella!$A$1:$AC$1,0)-1)=TRUE),0,+OFFSET(Tabella!$A$1,MATCH(J171,Tabella!$A:$A,0)-1,MATCH(L171,Tabella!$A$1:$AC$1,0)-1))</f>
        <v>1.25</v>
      </c>
      <c r="N171" s="255">
        <f ca="1">IF(ISERROR(OFFSET(Ottone!$A$1,MATCH(J171,Ottone!$A:$A,0)-1,MATCH(L171,Ottone!$A$1:$Z$1,0)-1)=TRUE),0,OFFSET(Ottone!$A$1,MATCH(J171,Ottone!$A:$A,0)-1,MATCH(L171,Ottone!$A$1:$Z$1,0)-1))*IF(G171="Ottone",1,0)</f>
        <v>0</v>
      </c>
      <c r="O171" s="255">
        <f ca="1">IF(ISERROR(OFFSET(Rame!$A$1,MATCH(J171,Rame!$A:$A,0)-1,MATCH(L171,Rame!$A$1:$AA$1,0)-1)=TRUE),0,OFFSET(Rame!$A$1,MATCH(J171,Rame!$A:$A,0)-1,MATCH(L171,Rame!$A$1:$AA$1,0)-1))*IF(G171="Rame",1,0)</f>
        <v>0</v>
      </c>
      <c r="P171" s="255">
        <v>0</v>
      </c>
      <c r="Q171" s="255">
        <v>1.5</v>
      </c>
      <c r="R171" s="255">
        <f ca="1">+IF(ISERROR(OFFSET(Tabella!$G$1,MATCH(J171,Tabella!$G:$G,0)-1,MATCH(K171,Tabella!$G$1:$FG$1,0)-1)=TRUE),0,OFFSET(Tabella!$G$1,MATCH(J171,Tabella!$G:$G,0)-1,MATCH(K171,Tabella!$G$1:$AB$1,0)-1))</f>
        <v>0</v>
      </c>
      <c r="S171" s="255">
        <f ca="1">IF(ISERROR(OFFSET(Ottone!$F$1,MATCH(J171,Ottone!$A:$A,0)-1,MATCH(K171,Ottone!$F$1:$FF$1,0)-1)=TRUE),0,OFFSET(Ottone!$F$1,MATCH(J171,Ottone!$A:$A,0)-1,MATCH(K171,Ottone!$F$1:$FF$1,0)-1))*IF(G171="Ottone",1,0)</f>
        <v>0</v>
      </c>
      <c r="T171" s="255">
        <f ca="1">IF(ISERROR(OFFSET(Rame!$F$1,MATCH(J171,Rame!$F:$F,0)-1,MATCH(K171,Rame!$F$1:$FF$1,0)-1)=TRUE),0,OFFSET(Rame!$F$1,MATCH(J171,Rame!$F:$F,0)-1,MATCH(K171,Rame!$F$1:$FF$1,0)-1))*IF(G171="Rame",1,0)</f>
        <v>0</v>
      </c>
      <c r="U171" s="255">
        <f ca="1">IF(ISERROR(OFFSET(Bronzo!$A$1,MATCH(J171,Bronzo!$A:$A,0)-1,MATCH(K171,Bronzo!$A$1:$AA$1,0)-1)=TRUE),0,OFFSET(Bronzo!$A$1,MATCH(J171,Bronzo!$A:$A,0)-1,MATCH(K171,Bronzo!$A$1:$AA$1,0)-1))</f>
        <v>0</v>
      </c>
      <c r="V171" s="255">
        <f t="shared" ca="1" si="88"/>
        <v>0</v>
      </c>
      <c r="W171" s="254"/>
      <c r="X171" s="255">
        <v>0</v>
      </c>
      <c r="Y171" s="256">
        <f t="shared" ca="1" si="89"/>
        <v>1.5</v>
      </c>
      <c r="Z171" s="269">
        <f t="shared" si="90"/>
        <v>43.890000000000008</v>
      </c>
      <c r="AA171" s="273">
        <v>4.21</v>
      </c>
      <c r="AB171" s="253">
        <f t="shared" ca="1" si="91"/>
        <v>0.10000000000000009</v>
      </c>
      <c r="AC171" s="258"/>
      <c r="AD171" s="223"/>
      <c r="AE171" s="223"/>
      <c r="AF171" s="260" t="s">
        <v>405</v>
      </c>
      <c r="AH171" s="271">
        <f t="shared" ca="1" si="99"/>
        <v>46120</v>
      </c>
      <c r="AI171" s="271" t="b">
        <f t="shared" si="94"/>
        <v>1</v>
      </c>
      <c r="AJ171" s="272" t="str">
        <f t="shared" si="93"/>
        <v/>
      </c>
      <c r="AM171" s="260">
        <f t="shared" si="95"/>
        <v>0</v>
      </c>
      <c r="AN171" s="260">
        <f t="shared" si="96"/>
        <v>1900</v>
      </c>
      <c r="AU171" s="260">
        <f t="shared" si="97"/>
        <v>0</v>
      </c>
      <c r="AV171" s="260">
        <f t="shared" si="98"/>
        <v>0</v>
      </c>
    </row>
    <row r="172" spans="1:48" s="260" customFormat="1" ht="26.25" x14ac:dyDescent="0.4">
      <c r="A172" s="223"/>
      <c r="C172" s="224"/>
      <c r="D172" s="261" t="s">
        <v>746</v>
      </c>
      <c r="E172" s="262" t="s">
        <v>330</v>
      </c>
      <c r="F172" s="263">
        <v>3668</v>
      </c>
      <c r="G172" s="264" t="s">
        <v>4</v>
      </c>
      <c r="H172" s="274">
        <v>2.61</v>
      </c>
      <c r="I172" s="266">
        <v>46057</v>
      </c>
      <c r="J172" s="267" t="s">
        <v>26</v>
      </c>
      <c r="K172" s="252"/>
      <c r="L172" s="268">
        <v>7.0000000000000007E-2</v>
      </c>
      <c r="M172" s="254">
        <f ca="1">IF(ISERROR(OFFSET(Tabella!$A$1,MATCH(J172,Tabella!$A:$A,0)-1,MATCH(L172,Tabella!$A$1:$AC$1,0)-1)=TRUE),0,+OFFSET(Tabella!$A$1,MATCH(J172,Tabella!$A:$A,0)-1,MATCH(L172,Tabella!$A$1:$AC$1,0)-1))</f>
        <v>1.25</v>
      </c>
      <c r="N172" s="255">
        <f ca="1">IF(ISERROR(OFFSET(Ottone!$A$1,MATCH(J172,Ottone!$A:$A,0)-1,MATCH(L172,Ottone!$A$1:$Z$1,0)-1)=TRUE),0,OFFSET(Ottone!$A$1,MATCH(J172,Ottone!$A:$A,0)-1,MATCH(L172,Ottone!$A$1:$Z$1,0)-1))*IF(G172="Ottone",1,0)</f>
        <v>0</v>
      </c>
      <c r="O172" s="255">
        <f ca="1">IF(ISERROR(OFFSET(Rame!$A$1,MATCH(J172,Rame!$A:$A,0)-1,MATCH(L172,Rame!$A$1:$AA$1,0)-1)=TRUE),0,OFFSET(Rame!$A$1,MATCH(J172,Rame!$A:$A,0)-1,MATCH(L172,Rame!$A$1:$AA$1,0)-1))*IF(G172="Rame",1,0)</f>
        <v>0</v>
      </c>
      <c r="P172" s="255">
        <v>0</v>
      </c>
      <c r="Q172" s="255">
        <v>1.5</v>
      </c>
      <c r="R172" s="255">
        <f ca="1">+IF(ISERROR(OFFSET(Tabella!$G$1,MATCH(J172,Tabella!$G:$G,0)-1,MATCH(K172,Tabella!$G$1:$FG$1,0)-1)=TRUE),0,OFFSET(Tabella!$G$1,MATCH(J172,Tabella!$G:$G,0)-1,MATCH(K172,Tabella!$G$1:$AB$1,0)-1))</f>
        <v>0</v>
      </c>
      <c r="S172" s="255">
        <f ca="1">IF(ISERROR(OFFSET(Ottone!$F$1,MATCH(J172,Ottone!$A:$A,0)-1,MATCH(K172,Ottone!$F$1:$FF$1,0)-1)=TRUE),0,OFFSET(Ottone!$F$1,MATCH(J172,Ottone!$A:$A,0)-1,MATCH(K172,Ottone!$F$1:$FF$1,0)-1))*IF(G172="Ottone",1,0)</f>
        <v>0</v>
      </c>
      <c r="T172" s="255">
        <f ca="1">IF(ISERROR(OFFSET(Rame!$F$1,MATCH(J172,Rame!$F:$F,0)-1,MATCH(K172,Rame!$F$1:$FF$1,0)-1)=TRUE),0,OFFSET(Rame!$F$1,MATCH(J172,Rame!$F:$F,0)-1,MATCH(K172,Rame!$F$1:$FF$1,0)-1))*IF(G172="Rame",1,0)</f>
        <v>0</v>
      </c>
      <c r="U172" s="255">
        <f ca="1">IF(ISERROR(OFFSET(Bronzo!$A$1,MATCH(J172,Bronzo!$A:$A,0)-1,MATCH(K172,Bronzo!$A$1:$AA$1,0)-1)=TRUE),0,OFFSET(Bronzo!$A$1,MATCH(J172,Bronzo!$A:$A,0)-1,MATCH(K172,Bronzo!$A$1:$AA$1,0)-1))</f>
        <v>0</v>
      </c>
      <c r="V172" s="255">
        <f t="shared" ca="1" si="88"/>
        <v>0</v>
      </c>
      <c r="W172" s="254"/>
      <c r="X172" s="255">
        <v>0</v>
      </c>
      <c r="Y172" s="256">
        <f t="shared" ca="1" si="89"/>
        <v>1.5</v>
      </c>
      <c r="Z172" s="269">
        <f t="shared" si="90"/>
        <v>256.76000000000005</v>
      </c>
      <c r="AA172" s="273">
        <v>4.21</v>
      </c>
      <c r="AB172" s="253">
        <f t="shared" ca="1" si="91"/>
        <v>0.10000000000000009</v>
      </c>
      <c r="AC172" s="258"/>
      <c r="AD172" s="223"/>
      <c r="AE172" s="223"/>
      <c r="AF172" s="260" t="s">
        <v>405</v>
      </c>
      <c r="AG172" s="260" t="s">
        <v>747</v>
      </c>
      <c r="AH172" s="271">
        <f t="shared" ca="1" si="99"/>
        <v>46120</v>
      </c>
      <c r="AI172" s="271" t="b">
        <f t="shared" si="94"/>
        <v>1</v>
      </c>
      <c r="AJ172" s="272" t="str">
        <f t="shared" si="93"/>
        <v/>
      </c>
      <c r="AM172" s="260">
        <f t="shared" si="95"/>
        <v>0</v>
      </c>
      <c r="AN172" s="260">
        <f t="shared" si="96"/>
        <v>1900</v>
      </c>
      <c r="AU172" s="260">
        <f t="shared" si="97"/>
        <v>0</v>
      </c>
      <c r="AV172" s="260">
        <f t="shared" si="98"/>
        <v>0</v>
      </c>
    </row>
    <row r="173" spans="1:48" s="260" customFormat="1" ht="26.25" x14ac:dyDescent="0.4">
      <c r="A173" s="223"/>
      <c r="C173" s="224"/>
      <c r="D173" s="261" t="s">
        <v>484</v>
      </c>
      <c r="E173" s="267" t="s">
        <v>330</v>
      </c>
      <c r="F173" s="297">
        <v>2200</v>
      </c>
      <c r="G173" s="264" t="s">
        <v>4</v>
      </c>
      <c r="H173" s="275">
        <v>1.6</v>
      </c>
      <c r="I173" s="266">
        <v>46057</v>
      </c>
      <c r="J173" s="267" t="s">
        <v>26</v>
      </c>
      <c r="K173" s="252"/>
      <c r="L173" s="268">
        <v>7.0000000000000007E-2</v>
      </c>
      <c r="M173" s="254">
        <f ca="1">IF(ISERROR(OFFSET(Tabella!$A$1,MATCH(J173,Tabella!$A:$A,0)-1,MATCH(L173,Tabella!$A$1:$AC$1,0)-1)=TRUE),0,+OFFSET(Tabella!$A$1,MATCH(J173,Tabella!$A:$A,0)-1,MATCH(L173,Tabella!$A$1:$AC$1,0)-1))</f>
        <v>1.25</v>
      </c>
      <c r="N173" s="255">
        <f ca="1">IF(ISERROR(OFFSET(Ottone!$A$1,MATCH(J173,Ottone!$A:$A,0)-1,MATCH(L173,Ottone!$A$1:$Z$1,0)-1)=TRUE),0,OFFSET(Ottone!$A$1,MATCH(J173,Ottone!$A:$A,0)-1,MATCH(L173,Ottone!$A$1:$Z$1,0)-1))*IF(G173="Ottone",1,0)</f>
        <v>0</v>
      </c>
      <c r="O173" s="255">
        <f ca="1">IF(ISERROR(OFFSET(Rame!$A$1,MATCH(J173,Rame!$A:$A,0)-1,MATCH(L173,Rame!$A$1:$AA$1,0)-1)=TRUE),0,OFFSET(Rame!$A$1,MATCH(J173,Rame!$A:$A,0)-1,MATCH(L173,Rame!$A$1:$AA$1,0)-1))*IF(G173="Rame",1,0)</f>
        <v>0</v>
      </c>
      <c r="P173" s="255">
        <v>0</v>
      </c>
      <c r="Q173" s="255">
        <v>1.5</v>
      </c>
      <c r="R173" s="255">
        <f ca="1">+IF(ISERROR(OFFSET(Tabella!$G$1,MATCH(J173,Tabella!$G:$G,0)-1,MATCH(K173,Tabella!$G$1:$FG$1,0)-1)=TRUE),0,OFFSET(Tabella!$G$1,MATCH(J173,Tabella!$G:$G,0)-1,MATCH(K173,Tabella!$G$1:$AB$1,0)-1))</f>
        <v>0</v>
      </c>
      <c r="S173" s="255">
        <f ca="1">IF(ISERROR(OFFSET(Ottone!$F$1,MATCH(J173,Ottone!$A:$A,0)-1,MATCH(K173,Ottone!$F$1:$FF$1,0)-1)=TRUE),0,OFFSET(Ottone!$F$1,MATCH(J173,Ottone!$A:$A,0)-1,MATCH(K173,Ottone!$F$1:$FF$1,0)-1))*IF(G173="Ottone",1,0)</f>
        <v>0</v>
      </c>
      <c r="T173" s="255">
        <f ca="1">IF(ISERROR(OFFSET(Rame!$F$1,MATCH(J173,Rame!$F:$F,0)-1,MATCH(K173,Rame!$F$1:$FF$1,0)-1)=TRUE),0,OFFSET(Rame!$F$1,MATCH(J173,Rame!$F:$F,0)-1,MATCH(K173,Rame!$F$1:$FF$1,0)-1))*IF(G173="Rame",1,0)</f>
        <v>0</v>
      </c>
      <c r="U173" s="255">
        <f ca="1">IF(ISERROR(OFFSET(Bronzo!$A$1,MATCH(J173,Bronzo!$A:$A,0)-1,MATCH(K173,Bronzo!$A$1:$AA$1,0)-1)=TRUE),0,OFFSET(Bronzo!$A$1,MATCH(J173,Bronzo!$A:$A,0)-1,MATCH(K173,Bronzo!$A$1:$AA$1,0)-1))</f>
        <v>0</v>
      </c>
      <c r="V173" s="255">
        <f t="shared" ca="1" si="88"/>
        <v>0</v>
      </c>
      <c r="W173" s="254"/>
      <c r="X173" s="255">
        <v>0</v>
      </c>
      <c r="Y173" s="256">
        <f t="shared" ca="1" si="89"/>
        <v>1.5</v>
      </c>
      <c r="Z173" s="268">
        <f t="shared" si="90"/>
        <v>154.00000000000003</v>
      </c>
      <c r="AA173" s="298">
        <v>1.5</v>
      </c>
      <c r="AB173" s="253">
        <f t="shared" ca="1" si="91"/>
        <v>-1.6</v>
      </c>
      <c r="AC173" s="258">
        <v>46136</v>
      </c>
      <c r="AD173" s="223"/>
      <c r="AE173" s="223"/>
      <c r="AH173" s="271">
        <f t="shared" ca="1" si="99"/>
        <v>46120</v>
      </c>
      <c r="AI173" s="271" t="b">
        <f t="shared" si="94"/>
        <v>0</v>
      </c>
      <c r="AJ173" s="272">
        <f t="shared" ca="1" si="93"/>
        <v>16</v>
      </c>
      <c r="AM173" s="260">
        <f t="shared" si="95"/>
        <v>17</v>
      </c>
      <c r="AN173" s="260">
        <f t="shared" si="96"/>
        <v>2026</v>
      </c>
      <c r="AU173" s="260">
        <f t="shared" si="97"/>
        <v>4</v>
      </c>
      <c r="AV173" s="260">
        <f t="shared" si="98"/>
        <v>2026</v>
      </c>
    </row>
    <row r="174" spans="1:48" s="260" customFormat="1" ht="26.25" x14ac:dyDescent="0.4">
      <c r="A174" s="223"/>
      <c r="C174" s="224"/>
      <c r="D174" s="261" t="s">
        <v>734</v>
      </c>
      <c r="E174" s="262" t="s">
        <v>330</v>
      </c>
      <c r="F174" s="263">
        <v>706</v>
      </c>
      <c r="G174" s="264" t="s">
        <v>4</v>
      </c>
      <c r="H174" s="274">
        <v>2.61</v>
      </c>
      <c r="I174" s="266">
        <v>46057</v>
      </c>
      <c r="J174" s="267" t="s">
        <v>314</v>
      </c>
      <c r="K174" s="252"/>
      <c r="L174" s="268">
        <v>7.0000000000000007E-2</v>
      </c>
      <c r="M174" s="254">
        <f ca="1">IF(ISERROR(OFFSET(Tabella!$A$1,MATCH(J174,Tabella!$A:$A,0)-1,MATCH(L174,Tabella!$A$1:$AC$1,0)-1)=TRUE),0,+OFFSET(Tabella!$A$1,MATCH(J174,Tabella!$A:$A,0)-1,MATCH(L174,Tabella!$A$1:$AC$1,0)-1))</f>
        <v>1.25</v>
      </c>
      <c r="N174" s="255">
        <f ca="1">IF(ISERROR(OFFSET(Ottone!$A$1,MATCH(J174,Ottone!$A:$A,0)-1,MATCH(L174,Ottone!$A$1:$Z$1,0)-1)=TRUE),0,OFFSET(Ottone!$A$1,MATCH(J174,Ottone!$A:$A,0)-1,MATCH(L174,Ottone!$A$1:$Z$1,0)-1))*IF(G174="Ottone",1,0)</f>
        <v>0</v>
      </c>
      <c r="O174" s="255">
        <f ca="1">IF(ISERROR(OFFSET(Rame!$A$1,MATCH(J174,Rame!$A:$A,0)-1,MATCH(L174,Rame!$A$1:$AA$1,0)-1)=TRUE),0,OFFSET(Rame!$A$1,MATCH(J174,Rame!$A:$A,0)-1,MATCH(L174,Rame!$A$1:$AA$1,0)-1))*IF(G174="Rame",1,0)</f>
        <v>0</v>
      </c>
      <c r="P174" s="255">
        <v>0</v>
      </c>
      <c r="Q174" s="255">
        <v>1.5</v>
      </c>
      <c r="R174" s="255">
        <f ca="1">+IF(ISERROR(OFFSET(Tabella!$G$1,MATCH(J174,Tabella!$G:$G,0)-1,MATCH(K174,Tabella!$G$1:$FG$1,0)-1)=TRUE),0,OFFSET(Tabella!$G$1,MATCH(J174,Tabella!$G:$G,0)-1,MATCH(K174,Tabella!$G$1:$AB$1,0)-1))</f>
        <v>0</v>
      </c>
      <c r="S174" s="255">
        <f ca="1">IF(ISERROR(OFFSET(Ottone!$F$1,MATCH(J174,Ottone!$A:$A,0)-1,MATCH(K174,Ottone!$F$1:$FF$1,0)-1)=TRUE),0,OFFSET(Ottone!$F$1,MATCH(J174,Ottone!$A:$A,0)-1,MATCH(K174,Ottone!$F$1:$FF$1,0)-1))*IF(G174="Ottone",1,0)</f>
        <v>0</v>
      </c>
      <c r="T174" s="255">
        <f ca="1">IF(ISERROR(OFFSET(Rame!$F$1,MATCH(J174,Rame!$F:$F,0)-1,MATCH(K174,Rame!$F$1:$FF$1,0)-1)=TRUE),0,OFFSET(Rame!$F$1,MATCH(J174,Rame!$F:$F,0)-1,MATCH(K174,Rame!$F$1:$FF$1,0)-1))*IF(G174="Rame",1,0)</f>
        <v>0</v>
      </c>
      <c r="U174" s="255">
        <f ca="1">IF(ISERROR(OFFSET(Bronzo!$A$1,MATCH(J174,Bronzo!$A:$A,0)-1,MATCH(K174,Bronzo!$A$1:$AA$1,0)-1)=TRUE),0,OFFSET(Bronzo!$A$1,MATCH(J174,Bronzo!$A:$A,0)-1,MATCH(K174,Bronzo!$A$1:$AA$1,0)-1))</f>
        <v>0</v>
      </c>
      <c r="V174" s="255">
        <f t="shared" ca="1" si="88"/>
        <v>0</v>
      </c>
      <c r="W174" s="254"/>
      <c r="X174" s="255">
        <v>0</v>
      </c>
      <c r="Y174" s="256">
        <f t="shared" ca="1" si="89"/>
        <v>1.5</v>
      </c>
      <c r="Z174" s="269">
        <f t="shared" si="90"/>
        <v>49.42</v>
      </c>
      <c r="AA174" s="273">
        <v>4.21</v>
      </c>
      <c r="AB174" s="253">
        <f t="shared" ca="1" si="91"/>
        <v>0.10000000000000009</v>
      </c>
      <c r="AC174" s="258"/>
      <c r="AD174" s="223"/>
      <c r="AE174" s="223"/>
      <c r="AF174" s="260" t="s">
        <v>405</v>
      </c>
      <c r="AH174" s="271">
        <f t="shared" ca="1" si="99"/>
        <v>46120</v>
      </c>
      <c r="AI174" s="271" t="b">
        <f t="shared" si="94"/>
        <v>1</v>
      </c>
      <c r="AJ174" s="272" t="str">
        <f t="shared" si="93"/>
        <v/>
      </c>
      <c r="AM174" s="260">
        <f t="shared" si="95"/>
        <v>0</v>
      </c>
      <c r="AN174" s="260">
        <f t="shared" si="96"/>
        <v>1900</v>
      </c>
      <c r="AU174" s="260">
        <f t="shared" si="97"/>
        <v>0</v>
      </c>
      <c r="AV174" s="260">
        <f t="shared" si="98"/>
        <v>0</v>
      </c>
    </row>
    <row r="175" spans="1:48" s="260" customFormat="1" ht="26.25" x14ac:dyDescent="0.4">
      <c r="A175" s="223"/>
      <c r="C175" s="224"/>
      <c r="D175" s="261" t="s">
        <v>484</v>
      </c>
      <c r="E175" s="267" t="s">
        <v>330</v>
      </c>
      <c r="F175" s="297">
        <v>500</v>
      </c>
      <c r="G175" s="264" t="s">
        <v>4</v>
      </c>
      <c r="H175" s="275">
        <v>1.6</v>
      </c>
      <c r="I175" s="266">
        <v>46057</v>
      </c>
      <c r="J175" s="267" t="s">
        <v>314</v>
      </c>
      <c r="K175" s="252"/>
      <c r="L175" s="268">
        <v>7.0000000000000007E-2</v>
      </c>
      <c r="M175" s="254">
        <f ca="1">IF(ISERROR(OFFSET(Tabella!$A$1,MATCH(J175,Tabella!$A:$A,0)-1,MATCH(L175,Tabella!$A$1:$AC$1,0)-1)=TRUE),0,+OFFSET(Tabella!$A$1,MATCH(J175,Tabella!$A:$A,0)-1,MATCH(L175,Tabella!$A$1:$AC$1,0)-1))</f>
        <v>1.25</v>
      </c>
      <c r="N175" s="255">
        <f ca="1">IF(ISERROR(OFFSET(Ottone!$A$1,MATCH(J175,Ottone!$A:$A,0)-1,MATCH(L175,Ottone!$A$1:$Z$1,0)-1)=TRUE),0,OFFSET(Ottone!$A$1,MATCH(J175,Ottone!$A:$A,0)-1,MATCH(L175,Ottone!$A$1:$Z$1,0)-1))*IF(G175="Ottone",1,0)</f>
        <v>0</v>
      </c>
      <c r="O175" s="255">
        <f ca="1">IF(ISERROR(OFFSET(Rame!$A$1,MATCH(J175,Rame!$A:$A,0)-1,MATCH(L175,Rame!$A$1:$AA$1,0)-1)=TRUE),0,OFFSET(Rame!$A$1,MATCH(J175,Rame!$A:$A,0)-1,MATCH(L175,Rame!$A$1:$AA$1,0)-1))*IF(G175="Rame",1,0)</f>
        <v>0</v>
      </c>
      <c r="P175" s="255">
        <v>0</v>
      </c>
      <c r="Q175" s="255">
        <v>1.5</v>
      </c>
      <c r="R175" s="255">
        <f ca="1">+IF(ISERROR(OFFSET(Tabella!$G$1,MATCH(J175,Tabella!$G:$G,0)-1,MATCH(K175,Tabella!$G$1:$FG$1,0)-1)=TRUE),0,OFFSET(Tabella!$G$1,MATCH(J175,Tabella!$G:$G,0)-1,MATCH(K175,Tabella!$G$1:$AB$1,0)-1))</f>
        <v>0</v>
      </c>
      <c r="S175" s="255">
        <f ca="1">IF(ISERROR(OFFSET(Ottone!$F$1,MATCH(J175,Ottone!$A:$A,0)-1,MATCH(K175,Ottone!$F$1:$FF$1,0)-1)=TRUE),0,OFFSET(Ottone!$F$1,MATCH(J175,Ottone!$A:$A,0)-1,MATCH(K175,Ottone!$F$1:$FF$1,0)-1))*IF(G175="Ottone",1,0)</f>
        <v>0</v>
      </c>
      <c r="T175" s="255">
        <f ca="1">IF(ISERROR(OFFSET(Rame!$F$1,MATCH(J175,Rame!$F:$F,0)-1,MATCH(K175,Rame!$F$1:$FF$1,0)-1)=TRUE),0,OFFSET(Rame!$F$1,MATCH(J175,Rame!$F:$F,0)-1,MATCH(K175,Rame!$F$1:$FF$1,0)-1))*IF(G175="Rame",1,0)</f>
        <v>0</v>
      </c>
      <c r="U175" s="255">
        <f ca="1">IF(ISERROR(OFFSET(Bronzo!$A$1,MATCH(J175,Bronzo!$A:$A,0)-1,MATCH(K175,Bronzo!$A$1:$AA$1,0)-1)=TRUE),0,OFFSET(Bronzo!$A$1,MATCH(J175,Bronzo!$A:$A,0)-1,MATCH(K175,Bronzo!$A$1:$AA$1,0)-1))</f>
        <v>0</v>
      </c>
      <c r="V175" s="255">
        <f t="shared" ca="1" si="88"/>
        <v>0</v>
      </c>
      <c r="W175" s="254"/>
      <c r="X175" s="255">
        <v>0</v>
      </c>
      <c r="Y175" s="256">
        <f t="shared" ca="1" si="89"/>
        <v>1.5</v>
      </c>
      <c r="Z175" s="268">
        <f t="shared" si="90"/>
        <v>35</v>
      </c>
      <c r="AA175" s="298">
        <v>1.5</v>
      </c>
      <c r="AB175" s="253">
        <f t="shared" ca="1" si="91"/>
        <v>-1.6</v>
      </c>
      <c r="AC175" s="258">
        <v>46136</v>
      </c>
      <c r="AD175" s="223"/>
      <c r="AE175" s="223"/>
      <c r="AH175" s="271">
        <f t="shared" ca="1" si="99"/>
        <v>46120</v>
      </c>
      <c r="AI175" s="271" t="b">
        <f t="shared" si="94"/>
        <v>0</v>
      </c>
      <c r="AJ175" s="272">
        <f t="shared" ca="1" si="93"/>
        <v>16</v>
      </c>
      <c r="AM175" s="260">
        <f t="shared" si="95"/>
        <v>17</v>
      </c>
      <c r="AN175" s="260">
        <f t="shared" si="96"/>
        <v>2026</v>
      </c>
      <c r="AU175" s="260">
        <f t="shared" si="97"/>
        <v>4</v>
      </c>
      <c r="AV175" s="260">
        <f t="shared" si="98"/>
        <v>2026</v>
      </c>
    </row>
    <row r="176" spans="1:48" s="260" customFormat="1" ht="26.25" x14ac:dyDescent="0.4">
      <c r="A176" s="223"/>
      <c r="C176" s="224"/>
      <c r="D176" s="261" t="s">
        <v>748</v>
      </c>
      <c r="E176" s="262" t="s">
        <v>330</v>
      </c>
      <c r="F176" s="263">
        <v>974</v>
      </c>
      <c r="G176" s="264" t="s">
        <v>4</v>
      </c>
      <c r="H176" s="274">
        <v>2.61</v>
      </c>
      <c r="I176" s="266">
        <v>46057</v>
      </c>
      <c r="J176" s="267" t="s">
        <v>310</v>
      </c>
      <c r="K176" s="252"/>
      <c r="L176" s="268">
        <v>7.0000000000000007E-2</v>
      </c>
      <c r="M176" s="254">
        <f ca="1">IF(ISERROR(OFFSET(Tabella!$A$1,MATCH(J176,Tabella!$A:$A,0)-1,MATCH(L176,Tabella!$A$1:$AC$1,0)-1)=TRUE),0,+OFFSET(Tabella!$A$1,MATCH(J176,Tabella!$A:$A,0)-1,MATCH(L176,Tabella!$A$1:$AC$1,0)-1))</f>
        <v>1.25</v>
      </c>
      <c r="N176" s="255">
        <f ca="1">IF(ISERROR(OFFSET(Ottone!$A$1,MATCH(J176,Ottone!$A:$A,0)-1,MATCH(L176,Ottone!$A$1:$Z$1,0)-1)=TRUE),0,OFFSET(Ottone!$A$1,MATCH(J176,Ottone!$A:$A,0)-1,MATCH(L176,Ottone!$A$1:$Z$1,0)-1))*IF(G176="Ottone",1,0)</f>
        <v>0</v>
      </c>
      <c r="O176" s="255">
        <f ca="1">IF(ISERROR(OFFSET(Rame!$A$1,MATCH(J176,Rame!$A:$A,0)-1,MATCH(L176,Rame!$A$1:$AA$1,0)-1)=TRUE),0,OFFSET(Rame!$A$1,MATCH(J176,Rame!$A:$A,0)-1,MATCH(L176,Rame!$A$1:$AA$1,0)-1))*IF(G176="Rame",1,0)</f>
        <v>0</v>
      </c>
      <c r="P176" s="255">
        <v>0</v>
      </c>
      <c r="Q176" s="255">
        <v>1.5</v>
      </c>
      <c r="R176" s="255">
        <f ca="1">+IF(ISERROR(OFFSET(Tabella!$G$1,MATCH(J176,Tabella!$G:$G,0)-1,MATCH(K176,Tabella!$G$1:$FG$1,0)-1)=TRUE),0,OFFSET(Tabella!$G$1,MATCH(J176,Tabella!$G:$G,0)-1,MATCH(K176,Tabella!$G$1:$AB$1,0)-1))</f>
        <v>0</v>
      </c>
      <c r="S176" s="255">
        <f ca="1">IF(ISERROR(OFFSET(Ottone!$F$1,MATCH(J176,Ottone!$A:$A,0)-1,MATCH(K176,Ottone!$F$1:$FF$1,0)-1)=TRUE),0,OFFSET(Ottone!$F$1,MATCH(J176,Ottone!$A:$A,0)-1,MATCH(K176,Ottone!$F$1:$FF$1,0)-1))*IF(G176="Ottone",1,0)</f>
        <v>0</v>
      </c>
      <c r="T176" s="255">
        <f ca="1">IF(ISERROR(OFFSET(Rame!$F$1,MATCH(J176,Rame!$F:$F,0)-1,MATCH(K176,Rame!$F$1:$FF$1,0)-1)=TRUE),0,OFFSET(Rame!$F$1,MATCH(J176,Rame!$F:$F,0)-1,MATCH(K176,Rame!$F$1:$FF$1,0)-1))*IF(G176="Rame",1,0)</f>
        <v>0</v>
      </c>
      <c r="U176" s="255">
        <f ca="1">IF(ISERROR(OFFSET(Bronzo!$A$1,MATCH(J176,Bronzo!$A:$A,0)-1,MATCH(K176,Bronzo!$A$1:$AA$1,0)-1)=TRUE),0,OFFSET(Bronzo!$A$1,MATCH(J176,Bronzo!$A:$A,0)-1,MATCH(K176,Bronzo!$A$1:$AA$1,0)-1))</f>
        <v>0</v>
      </c>
      <c r="V176" s="255">
        <f t="shared" ca="1" si="88"/>
        <v>0</v>
      </c>
      <c r="W176" s="254"/>
      <c r="X176" s="255">
        <v>0</v>
      </c>
      <c r="Y176" s="256">
        <f t="shared" ca="1" si="89"/>
        <v>1.5</v>
      </c>
      <c r="Z176" s="269">
        <f t="shared" si="90"/>
        <v>68.180000000000007</v>
      </c>
      <c r="AA176" s="273">
        <v>4.21</v>
      </c>
      <c r="AB176" s="253">
        <f t="shared" ca="1" si="91"/>
        <v>0.10000000000000009</v>
      </c>
      <c r="AC176" s="258"/>
      <c r="AD176" s="223"/>
      <c r="AE176" s="223"/>
      <c r="AF176" s="260" t="s">
        <v>405</v>
      </c>
      <c r="AH176" s="271">
        <f t="shared" ca="1" si="99"/>
        <v>46120</v>
      </c>
      <c r="AI176" s="271" t="b">
        <f t="shared" si="94"/>
        <v>1</v>
      </c>
      <c r="AJ176" s="272" t="str">
        <f t="shared" si="93"/>
        <v/>
      </c>
      <c r="AM176" s="260">
        <f t="shared" si="95"/>
        <v>0</v>
      </c>
      <c r="AN176" s="260">
        <f t="shared" si="96"/>
        <v>1900</v>
      </c>
      <c r="AU176" s="260">
        <f t="shared" si="97"/>
        <v>0</v>
      </c>
      <c r="AV176" s="260">
        <f t="shared" si="98"/>
        <v>0</v>
      </c>
    </row>
    <row r="177" spans="4:48" ht="26.25" x14ac:dyDescent="0.4">
      <c r="D177" s="246" t="s">
        <v>484</v>
      </c>
      <c r="E177" s="252" t="s">
        <v>330</v>
      </c>
      <c r="F177" s="276">
        <v>2500</v>
      </c>
      <c r="G177" s="249" t="s">
        <v>4</v>
      </c>
      <c r="H177" s="277">
        <v>1.6</v>
      </c>
      <c r="I177" s="251">
        <v>46057</v>
      </c>
      <c r="J177" s="252" t="s">
        <v>28</v>
      </c>
      <c r="K177" s="252"/>
      <c r="L177" s="253">
        <v>7.0000000000000007E-2</v>
      </c>
      <c r="M177" s="254">
        <f ca="1">IF(ISERROR(OFFSET(Tabella!$A$1,MATCH(J177,Tabella!$A:$A,0)-1,MATCH(L177,Tabella!$A$1:$AC$1,0)-1)=TRUE),0,+OFFSET(Tabella!$A$1,MATCH(J177,Tabella!$A:$A,0)-1,MATCH(L177,Tabella!$A$1:$AC$1,0)-1))</f>
        <v>1.25</v>
      </c>
      <c r="N177" s="255">
        <f ca="1">IF(ISERROR(OFFSET(Ottone!$A$1,MATCH(J177,Ottone!$A:$A,0)-1,MATCH(L177,Ottone!$A$1:$Z$1,0)-1)=TRUE),0,OFFSET(Ottone!$A$1,MATCH(J177,Ottone!$A:$A,0)-1,MATCH(L177,Ottone!$A$1:$Z$1,0)-1))*IF(G177="Ottone",1,0)</f>
        <v>0</v>
      </c>
      <c r="O177" s="255">
        <f ca="1">IF(ISERROR(OFFSET(Rame!$A$1,MATCH(J177,Rame!$A:$A,0)-1,MATCH(L177,Rame!$A$1:$AA$1,0)-1)=TRUE),0,OFFSET(Rame!$A$1,MATCH(J177,Rame!$A:$A,0)-1,MATCH(L177,Rame!$A$1:$AA$1,0)-1))*IF(G177="Rame",1,0)</f>
        <v>0</v>
      </c>
      <c r="P177" s="255">
        <v>0</v>
      </c>
      <c r="Q177" s="255">
        <v>1.5</v>
      </c>
      <c r="R177" s="255">
        <f ca="1">+IF(ISERROR(OFFSET(Tabella!$G$1,MATCH(J177,Tabella!$G:$G,0)-1,MATCH(K177,Tabella!$G$1:$FG$1,0)-1)=TRUE),0,OFFSET(Tabella!$G$1,MATCH(J177,Tabella!$G:$G,0)-1,MATCH(K177,Tabella!$G$1:$AB$1,0)-1))</f>
        <v>0</v>
      </c>
      <c r="S177" s="255">
        <f ca="1">IF(ISERROR(OFFSET(Ottone!$F$1,MATCH(J177,Ottone!$A:$A,0)-1,MATCH(K177,Ottone!$F$1:$FF$1,0)-1)=TRUE),0,OFFSET(Ottone!$F$1,MATCH(J177,Ottone!$A:$A,0)-1,MATCH(K177,Ottone!$F$1:$FF$1,0)-1))*IF(G177="Ottone",1,0)</f>
        <v>0</v>
      </c>
      <c r="T177" s="255">
        <f ca="1">IF(ISERROR(OFFSET(Rame!$F$1,MATCH(J177,Rame!$F:$F,0)-1,MATCH(K177,Rame!$F$1:$FF$1,0)-1)=TRUE),0,OFFSET(Rame!$F$1,MATCH(J177,Rame!$F:$F,0)-1,MATCH(K177,Rame!$F$1:$FF$1,0)-1))*IF(G177="Rame",1,0)</f>
        <v>0</v>
      </c>
      <c r="U177" s="255">
        <f ca="1">IF(ISERROR(OFFSET(Bronzo!$A$1,MATCH(J177,Bronzo!$A:$A,0)-1,MATCH(K177,Bronzo!$A$1:$AA$1,0)-1)=TRUE),0,OFFSET(Bronzo!$A$1,MATCH(J177,Bronzo!$A:$A,0)-1,MATCH(K177,Bronzo!$A$1:$AA$1,0)-1))</f>
        <v>0</v>
      </c>
      <c r="V177" s="255">
        <f t="shared" ca="1" si="88"/>
        <v>0</v>
      </c>
      <c r="W177" s="254"/>
      <c r="X177" s="255">
        <v>0</v>
      </c>
      <c r="Y177" s="256">
        <f t="shared" ca="1" si="89"/>
        <v>1.5</v>
      </c>
      <c r="Z177" s="257">
        <f t="shared" si="90"/>
        <v>175.00000000000003</v>
      </c>
      <c r="AA177" s="278">
        <v>1.5</v>
      </c>
      <c r="AB177" s="253">
        <f t="shared" ca="1" si="91"/>
        <v>-1.6</v>
      </c>
      <c r="AC177" s="258">
        <v>46148</v>
      </c>
      <c r="AH177" s="232">
        <f t="shared" ca="1" si="99"/>
        <v>46120</v>
      </c>
      <c r="AI177" s="232" t="b">
        <f t="shared" si="94"/>
        <v>0</v>
      </c>
      <c r="AJ177" s="259">
        <f t="shared" ca="1" si="93"/>
        <v>28</v>
      </c>
      <c r="AM177" s="223">
        <f t="shared" si="95"/>
        <v>19</v>
      </c>
      <c r="AN177" s="223">
        <f t="shared" si="96"/>
        <v>2026</v>
      </c>
      <c r="AU177" s="223">
        <f t="shared" si="97"/>
        <v>5</v>
      </c>
      <c r="AV177" s="223">
        <f t="shared" si="98"/>
        <v>2026</v>
      </c>
    </row>
    <row r="178" spans="4:48" ht="26.25" x14ac:dyDescent="0.4">
      <c r="D178" s="246" t="s">
        <v>676</v>
      </c>
      <c r="E178" s="292" t="s">
        <v>212</v>
      </c>
      <c r="F178" s="293">
        <v>19653</v>
      </c>
      <c r="G178" s="249" t="s">
        <v>4</v>
      </c>
      <c r="H178" s="250">
        <v>2.62</v>
      </c>
      <c r="I178" s="251">
        <v>46058</v>
      </c>
      <c r="J178" s="252" t="s">
        <v>23</v>
      </c>
      <c r="K178" s="252"/>
      <c r="L178" s="253">
        <v>0.05</v>
      </c>
      <c r="M178" s="254">
        <f ca="1">IF(ISERROR(OFFSET(Tabella!$A$1,MATCH(J178,Tabella!$A:$A,0)-1,MATCH(L178,Tabella!$A$1:$AC$1,0)-1)=TRUE),0,+OFFSET(Tabella!$A$1,MATCH(J178,Tabella!$A:$A,0)-1,MATCH(L178,Tabella!$A$1:$AC$1,0)-1))</f>
        <v>0</v>
      </c>
      <c r="N178" s="255">
        <f ca="1">IF(ISERROR(OFFSET(Ottone!$A$1,MATCH(J178,Ottone!$A:$A,0)-1,MATCH(L178,Ottone!$A$1:$Z$1,0)-1)=TRUE),0,OFFSET(Ottone!$A$1,MATCH(J178,Ottone!$A:$A,0)-1,MATCH(L178,Ottone!$A$1:$Z$1,0)-1))*IF(G178="Ottone",1,0)</f>
        <v>0</v>
      </c>
      <c r="O178" s="255">
        <f ca="1">IF(ISERROR(OFFSET(Rame!$A$1,MATCH(J178,Rame!$A:$A,0)-1,MATCH(L178,Rame!$A$1:$AA$1,0)-1)=TRUE),0,OFFSET(Rame!$A$1,MATCH(J178,Rame!$A:$A,0)-1,MATCH(L178,Rame!$A$1:$AA$1,0)-1))*IF(G178="Rame",1,0)</f>
        <v>0</v>
      </c>
      <c r="P178" s="255">
        <v>0</v>
      </c>
      <c r="Q178" s="255">
        <v>1.37</v>
      </c>
      <c r="R178" s="255">
        <f ca="1">+IF(ISERROR(OFFSET(Tabella!$G$1,MATCH(J178,Tabella!$G:$G,0)-1,MATCH(K178,Tabella!$G$1:$FG$1,0)-1)=TRUE),0,OFFSET(Tabella!$G$1,MATCH(J178,Tabella!$G:$G,0)-1,MATCH(K178,Tabella!$G$1:$AB$1,0)-1))</f>
        <v>0</v>
      </c>
      <c r="S178" s="255">
        <f ca="1">IF(ISERROR(OFFSET(Ottone!$F$1,MATCH(J178,Ottone!$A:$A,0)-1,MATCH(K178,Ottone!$F$1:$FF$1,0)-1)=TRUE),0,OFFSET(Ottone!$F$1,MATCH(J178,Ottone!$A:$A,0)-1,MATCH(K178,Ottone!$F$1:$FF$1,0)-1))*IF(G178="Ottone",1,0)</f>
        <v>0</v>
      </c>
      <c r="T178" s="255">
        <f ca="1">IF(ISERROR(OFFSET(Rame!$F$1,MATCH(J178,Rame!$F:$F,0)-1,MATCH(K178,Rame!$F$1:$FF$1,0)-1)=TRUE),0,OFFSET(Rame!$F$1,MATCH(J178,Rame!$F:$F,0)-1,MATCH(K178,Rame!$F$1:$FF$1,0)-1))*IF(G178="Rame",1,0)</f>
        <v>0</v>
      </c>
      <c r="U178" s="255">
        <f ca="1">IF(ISERROR(OFFSET(Bronzo!$A$1,MATCH(J178,Bronzo!$A:$A,0)-1,MATCH(K178,Bronzo!$A$1:$AA$1,0)-1)=TRUE),0,OFFSET(Bronzo!$A$1,MATCH(J178,Bronzo!$A:$A,0)-1,MATCH(K178,Bronzo!$A$1:$AA$1,0)-1))</f>
        <v>0</v>
      </c>
      <c r="V178" s="255">
        <f t="shared" ca="1" si="88"/>
        <v>0</v>
      </c>
      <c r="W178" s="254"/>
      <c r="X178" s="255">
        <v>0</v>
      </c>
      <c r="Y178" s="256">
        <f t="shared" ca="1" si="89"/>
        <v>1.37</v>
      </c>
      <c r="Z178" s="291">
        <f t="shared" si="90"/>
        <v>982.65000000000009</v>
      </c>
      <c r="AA178" s="253">
        <v>3.99</v>
      </c>
      <c r="AB178" s="253">
        <f t="shared" ca="1" si="91"/>
        <v>0</v>
      </c>
      <c r="AC178" s="258"/>
      <c r="AH178" s="232">
        <f t="shared" ca="1" si="99"/>
        <v>46120</v>
      </c>
      <c r="AI178" s="232" t="b">
        <f t="shared" si="94"/>
        <v>1</v>
      </c>
      <c r="AJ178" s="259" t="str">
        <f t="shared" si="93"/>
        <v/>
      </c>
      <c r="AM178" s="223">
        <f t="shared" si="95"/>
        <v>0</v>
      </c>
      <c r="AN178" s="223">
        <f t="shared" si="96"/>
        <v>1900</v>
      </c>
      <c r="AU178" s="223">
        <f t="shared" si="97"/>
        <v>0</v>
      </c>
      <c r="AV178" s="223">
        <f t="shared" si="98"/>
        <v>0</v>
      </c>
    </row>
    <row r="179" spans="4:48" ht="26.25" x14ac:dyDescent="0.4">
      <c r="D179" s="246" t="s">
        <v>470</v>
      </c>
      <c r="E179" s="252" t="s">
        <v>212</v>
      </c>
      <c r="F179" s="276">
        <v>7000</v>
      </c>
      <c r="G179" s="249" t="s">
        <v>4</v>
      </c>
      <c r="H179" s="250">
        <v>2.62</v>
      </c>
      <c r="I179" s="251">
        <v>46058</v>
      </c>
      <c r="J179" s="252" t="s">
        <v>23</v>
      </c>
      <c r="K179" s="252"/>
      <c r="L179" s="253">
        <v>0.05</v>
      </c>
      <c r="M179" s="254">
        <f ca="1">IF(ISERROR(OFFSET(Tabella!$A$1,MATCH(J179,Tabella!$A:$A,0)-1,MATCH(L179,Tabella!$A$1:$AC$1,0)-1)=TRUE),0,+OFFSET(Tabella!$A$1,MATCH(J179,Tabella!$A:$A,0)-1,MATCH(L179,Tabella!$A$1:$AC$1,0)-1))</f>
        <v>0</v>
      </c>
      <c r="N179" s="255">
        <f ca="1">IF(ISERROR(OFFSET(Ottone!$A$1,MATCH(J179,Ottone!$A:$A,0)-1,MATCH(L179,Ottone!$A$1:$Z$1,0)-1)=TRUE),0,OFFSET(Ottone!$A$1,MATCH(J179,Ottone!$A:$A,0)-1,MATCH(L179,Ottone!$A$1:$Z$1,0)-1))*IF(G179="Ottone",1,0)</f>
        <v>0</v>
      </c>
      <c r="O179" s="255">
        <f ca="1">IF(ISERROR(OFFSET(Rame!$A$1,MATCH(J179,Rame!$A:$A,0)-1,MATCH(L179,Rame!$A$1:$AA$1,0)-1)=TRUE),0,OFFSET(Rame!$A$1,MATCH(J179,Rame!$A:$A,0)-1,MATCH(L179,Rame!$A$1:$AA$1,0)-1))*IF(G179="Rame",1,0)</f>
        <v>0</v>
      </c>
      <c r="P179" s="255">
        <v>0</v>
      </c>
      <c r="Q179" s="255">
        <v>1.37</v>
      </c>
      <c r="R179" s="255">
        <f ca="1">+IF(ISERROR(OFFSET(Tabella!$G$1,MATCH(J179,Tabella!$G:$G,0)-1,MATCH(K179,Tabella!$G$1:$FG$1,0)-1)=TRUE),0,OFFSET(Tabella!$G$1,MATCH(J179,Tabella!$G:$G,0)-1,MATCH(K179,Tabella!$G$1:$AB$1,0)-1))</f>
        <v>0</v>
      </c>
      <c r="S179" s="255">
        <f ca="1">IF(ISERROR(OFFSET(Ottone!$F$1,MATCH(J179,Ottone!$A:$A,0)-1,MATCH(K179,Ottone!$F$1:$FF$1,0)-1)=TRUE),0,OFFSET(Ottone!$F$1,MATCH(J179,Ottone!$A:$A,0)-1,MATCH(K179,Ottone!$F$1:$FF$1,0)-1))*IF(G179="Ottone",1,0)</f>
        <v>0</v>
      </c>
      <c r="T179" s="255">
        <f ca="1">IF(ISERROR(OFFSET(Rame!$F$1,MATCH(J179,Rame!$F:$F,0)-1,MATCH(K179,Rame!$F$1:$FF$1,0)-1)=TRUE),0,OFFSET(Rame!$F$1,MATCH(J179,Rame!$F:$F,0)-1,MATCH(K179,Rame!$F$1:$FF$1,0)-1))*IF(G179="Rame",1,0)</f>
        <v>0</v>
      </c>
      <c r="U179" s="255">
        <f ca="1">IF(ISERROR(OFFSET(Bronzo!$A$1,MATCH(J179,Bronzo!$A:$A,0)-1,MATCH(K179,Bronzo!$A$1:$AA$1,0)-1)=TRUE),0,OFFSET(Bronzo!$A$1,MATCH(J179,Bronzo!$A:$A,0)-1,MATCH(K179,Bronzo!$A$1:$AA$1,0)-1))</f>
        <v>0</v>
      </c>
      <c r="V179" s="255">
        <f t="shared" ref="V179:V232" ca="1" si="100">SUM(R179:U179)</f>
        <v>0</v>
      </c>
      <c r="W179" s="254"/>
      <c r="X179" s="255">
        <v>0</v>
      </c>
      <c r="Y179" s="256">
        <f t="shared" ref="Y179:Y232" ca="1" si="101">+Q179+V179+W179+X179</f>
        <v>1.37</v>
      </c>
      <c r="Z179" s="257">
        <f t="shared" ref="Z179:Z232" si="102">+L179*F179</f>
        <v>350</v>
      </c>
      <c r="AA179" s="253">
        <v>3.99</v>
      </c>
      <c r="AB179" s="253">
        <f t="shared" ref="AB179:AB232" ca="1" si="103">+AA179-Y179-H179</f>
        <v>0</v>
      </c>
      <c r="AC179" s="258">
        <v>46113</v>
      </c>
      <c r="AH179" s="232">
        <f t="shared" ca="1" si="99"/>
        <v>46120</v>
      </c>
      <c r="AI179" s="232" t="b">
        <f t="shared" si="94"/>
        <v>0</v>
      </c>
      <c r="AJ179" s="259">
        <f t="shared" ref="AJ179:AJ210" ca="1" si="104">IF(AI179=FALSE,_xlfn.DAYS(AC179,AH179),"")</f>
        <v>-7</v>
      </c>
      <c r="AM179" s="223">
        <f t="shared" si="95"/>
        <v>14</v>
      </c>
      <c r="AN179" s="223">
        <f t="shared" si="96"/>
        <v>2026</v>
      </c>
      <c r="AU179" s="223">
        <f t="shared" si="97"/>
        <v>4</v>
      </c>
      <c r="AV179" s="223">
        <f t="shared" si="98"/>
        <v>2026</v>
      </c>
    </row>
    <row r="180" spans="4:48" ht="26.25" x14ac:dyDescent="0.4">
      <c r="D180" s="246" t="s">
        <v>470</v>
      </c>
      <c r="E180" s="252" t="s">
        <v>212</v>
      </c>
      <c r="F180" s="276">
        <v>12000</v>
      </c>
      <c r="G180" s="249" t="s">
        <v>4</v>
      </c>
      <c r="H180" s="250">
        <v>2.62</v>
      </c>
      <c r="I180" s="251">
        <v>46058</v>
      </c>
      <c r="J180" s="252" t="s">
        <v>23</v>
      </c>
      <c r="K180" s="252"/>
      <c r="L180" s="253">
        <v>0.05</v>
      </c>
      <c r="M180" s="254">
        <f ca="1">IF(ISERROR(OFFSET(Tabella!$A$1,MATCH(J180,Tabella!$A:$A,0)-1,MATCH(L180,Tabella!$A$1:$AC$1,0)-1)=TRUE),0,+OFFSET(Tabella!$A$1,MATCH(J180,Tabella!$A:$A,0)-1,MATCH(L180,Tabella!$A$1:$AC$1,0)-1))</f>
        <v>0</v>
      </c>
      <c r="N180" s="255">
        <f ca="1">IF(ISERROR(OFFSET(Ottone!$A$1,MATCH(J180,Ottone!$A:$A,0)-1,MATCH(L180,Ottone!$A$1:$Z$1,0)-1)=TRUE),0,OFFSET(Ottone!$A$1,MATCH(J180,Ottone!$A:$A,0)-1,MATCH(L180,Ottone!$A$1:$Z$1,0)-1))*IF(G180="Ottone",1,0)</f>
        <v>0</v>
      </c>
      <c r="O180" s="255">
        <f ca="1">IF(ISERROR(OFFSET(Rame!$A$1,MATCH(J180,Rame!$A:$A,0)-1,MATCH(L180,Rame!$A$1:$AA$1,0)-1)=TRUE),0,OFFSET(Rame!$A$1,MATCH(J180,Rame!$A:$A,0)-1,MATCH(L180,Rame!$A$1:$AA$1,0)-1))*IF(G180="Rame",1,0)</f>
        <v>0</v>
      </c>
      <c r="P180" s="255">
        <v>0</v>
      </c>
      <c r="Q180" s="255">
        <v>1.37</v>
      </c>
      <c r="R180" s="255">
        <f ca="1">+IF(ISERROR(OFFSET(Tabella!$G$1,MATCH(J180,Tabella!$G:$G,0)-1,MATCH(K180,Tabella!$G$1:$FG$1,0)-1)=TRUE),0,OFFSET(Tabella!$G$1,MATCH(J180,Tabella!$G:$G,0)-1,MATCH(K180,Tabella!$G$1:$AB$1,0)-1))</f>
        <v>0</v>
      </c>
      <c r="S180" s="255">
        <f ca="1">IF(ISERROR(OFFSET(Ottone!$F$1,MATCH(J180,Ottone!$A:$A,0)-1,MATCH(K180,Ottone!$F$1:$FF$1,0)-1)=TRUE),0,OFFSET(Ottone!$F$1,MATCH(J180,Ottone!$A:$A,0)-1,MATCH(K180,Ottone!$F$1:$FF$1,0)-1))*IF(G180="Ottone",1,0)</f>
        <v>0</v>
      </c>
      <c r="T180" s="255">
        <f ca="1">IF(ISERROR(OFFSET(Rame!$F$1,MATCH(J180,Rame!$F:$F,0)-1,MATCH(K180,Rame!$F$1:$FF$1,0)-1)=TRUE),0,OFFSET(Rame!$F$1,MATCH(J180,Rame!$F:$F,0)-1,MATCH(K180,Rame!$F$1:$FF$1,0)-1))*IF(G180="Rame",1,0)</f>
        <v>0</v>
      </c>
      <c r="U180" s="255">
        <f ca="1">IF(ISERROR(OFFSET(Bronzo!$A$1,MATCH(J180,Bronzo!$A:$A,0)-1,MATCH(K180,Bronzo!$A$1:$AA$1,0)-1)=TRUE),0,OFFSET(Bronzo!$A$1,MATCH(J180,Bronzo!$A:$A,0)-1,MATCH(K180,Bronzo!$A$1:$AA$1,0)-1))</f>
        <v>0</v>
      </c>
      <c r="V180" s="255">
        <f t="shared" ca="1" si="100"/>
        <v>0</v>
      </c>
      <c r="W180" s="254"/>
      <c r="X180" s="255">
        <v>0</v>
      </c>
      <c r="Y180" s="256">
        <f t="shared" ca="1" si="101"/>
        <v>1.37</v>
      </c>
      <c r="Z180" s="257">
        <f t="shared" si="102"/>
        <v>600</v>
      </c>
      <c r="AA180" s="253">
        <v>3.99</v>
      </c>
      <c r="AB180" s="253">
        <f t="shared" ca="1" si="103"/>
        <v>0</v>
      </c>
      <c r="AC180" s="258">
        <v>46113</v>
      </c>
      <c r="AH180" s="232">
        <f t="shared" ca="1" si="99"/>
        <v>46120</v>
      </c>
      <c r="AI180" s="232" t="b">
        <f t="shared" si="94"/>
        <v>0</v>
      </c>
      <c r="AJ180" s="259">
        <f t="shared" ca="1" si="104"/>
        <v>-7</v>
      </c>
      <c r="AM180" s="223">
        <f t="shared" si="95"/>
        <v>14</v>
      </c>
      <c r="AN180" s="223">
        <f t="shared" si="96"/>
        <v>2026</v>
      </c>
      <c r="AU180" s="223">
        <f t="shared" si="97"/>
        <v>4</v>
      </c>
      <c r="AV180" s="223">
        <f t="shared" si="98"/>
        <v>2026</v>
      </c>
    </row>
    <row r="181" spans="4:48" ht="26.25" x14ac:dyDescent="0.4">
      <c r="D181" s="246" t="s">
        <v>469</v>
      </c>
      <c r="E181" s="285" t="s">
        <v>108</v>
      </c>
      <c r="F181" s="286">
        <v>4300</v>
      </c>
      <c r="G181" s="249" t="s">
        <v>4</v>
      </c>
      <c r="H181" s="250">
        <v>2.6</v>
      </c>
      <c r="I181" s="251">
        <v>46058</v>
      </c>
      <c r="J181" s="252" t="s">
        <v>21</v>
      </c>
      <c r="K181" s="252"/>
      <c r="L181" s="253">
        <v>7.0000000000000007E-2</v>
      </c>
      <c r="M181" s="254">
        <f ca="1">IF(ISERROR(OFFSET(Tabella!$A$1,MATCH(J181,Tabella!$A:$A,0)-1,MATCH(L181,Tabella!$A$1:$AC$1,0)-1)=TRUE),0,+OFFSET(Tabella!$A$1,MATCH(J181,Tabella!$A:$A,0)-1,MATCH(L181,Tabella!$A$1:$AC$1,0)-1))</f>
        <v>1.25</v>
      </c>
      <c r="N181" s="255">
        <f ca="1">IF(ISERROR(OFFSET(Ottone!$A$1,MATCH(J181,Ottone!$A:$A,0)-1,MATCH(L181,Ottone!$A$1:$Z$1,0)-1)=TRUE),0,OFFSET(Ottone!$A$1,MATCH(J181,Ottone!$A:$A,0)-1,MATCH(L181,Ottone!$A$1:$Z$1,0)-1))*IF(G181="Ottone",1,0)</f>
        <v>0</v>
      </c>
      <c r="O181" s="255">
        <f ca="1">IF(ISERROR(OFFSET(Rame!$A$1,MATCH(J181,Rame!$A:$A,0)-1,MATCH(L181,Rame!$A$1:$AA$1,0)-1)=TRUE),0,OFFSET(Rame!$A$1,MATCH(J181,Rame!$A:$A,0)-1,MATCH(L181,Rame!$A$1:$AA$1,0)-1))*IF(G181="Rame",1,0)</f>
        <v>0</v>
      </c>
      <c r="P181" s="255">
        <v>0</v>
      </c>
      <c r="Q181" s="255">
        <f t="shared" ref="Q181:Q221" ca="1" si="105">SUM(M181:P181)</f>
        <v>1.25</v>
      </c>
      <c r="R181" s="255">
        <f ca="1">+IF(ISERROR(OFFSET(Tabella!$G$1,MATCH(J181,Tabella!$G:$G,0)-1,MATCH(K181,Tabella!$G$1:$FG$1,0)-1)=TRUE),0,OFFSET(Tabella!$G$1,MATCH(J181,Tabella!$G:$G,0)-1,MATCH(K181,Tabella!$G$1:$AB$1,0)-1))</f>
        <v>0</v>
      </c>
      <c r="S181" s="255">
        <f ca="1">IF(ISERROR(OFFSET(Ottone!$F$1,MATCH(J181,Ottone!$A:$A,0)-1,MATCH(K181,Ottone!$F$1:$FF$1,0)-1)=TRUE),0,OFFSET(Ottone!$F$1,MATCH(J181,Ottone!$A:$A,0)-1,MATCH(K181,Ottone!$F$1:$FF$1,0)-1))*IF(G181="Ottone",1,0)</f>
        <v>0</v>
      </c>
      <c r="T181" s="255">
        <f ca="1">IF(ISERROR(OFFSET(Rame!$F$1,MATCH(J181,Rame!$F:$F,0)-1,MATCH(K181,Rame!$F$1:$FF$1,0)-1)=TRUE),0,OFFSET(Rame!$F$1,MATCH(J181,Rame!$F:$F,0)-1,MATCH(K181,Rame!$F$1:$FF$1,0)-1))*IF(G181="Rame",1,0)</f>
        <v>0</v>
      </c>
      <c r="U181" s="255">
        <f ca="1">IF(ISERROR(OFFSET(Bronzo!$A$1,MATCH(J181,Bronzo!$A:$A,0)-1,MATCH(K181,Bronzo!$A$1:$AA$1,0)-1)=TRUE),0,OFFSET(Bronzo!$A$1,MATCH(J181,Bronzo!$A:$A,0)-1,MATCH(K181,Bronzo!$A$1:$AA$1,0)-1))</f>
        <v>0</v>
      </c>
      <c r="V181" s="255">
        <f t="shared" ca="1" si="100"/>
        <v>0</v>
      </c>
      <c r="W181" s="254"/>
      <c r="X181" s="255">
        <v>0</v>
      </c>
      <c r="Y181" s="256">
        <f t="shared" ca="1" si="101"/>
        <v>1.25</v>
      </c>
      <c r="Z181" s="284">
        <f t="shared" si="102"/>
        <v>301.00000000000006</v>
      </c>
      <c r="AA181" s="253">
        <v>4.0999999999999996</v>
      </c>
      <c r="AB181" s="253">
        <f t="shared" ca="1" si="103"/>
        <v>0.24999999999999956</v>
      </c>
      <c r="AC181" s="258">
        <v>46178</v>
      </c>
      <c r="AH181" s="232">
        <f t="shared" ca="1" si="99"/>
        <v>46120</v>
      </c>
      <c r="AI181" s="232" t="b">
        <f t="shared" si="94"/>
        <v>0</v>
      </c>
      <c r="AJ181" s="259">
        <f t="shared" ca="1" si="104"/>
        <v>58</v>
      </c>
      <c r="AM181" s="223">
        <f t="shared" si="95"/>
        <v>23</v>
      </c>
      <c r="AN181" s="223">
        <f t="shared" si="96"/>
        <v>2026</v>
      </c>
      <c r="AU181" s="223">
        <f t="shared" si="97"/>
        <v>6</v>
      </c>
      <c r="AV181" s="223">
        <f t="shared" si="98"/>
        <v>2026</v>
      </c>
    </row>
    <row r="182" spans="4:48" ht="26.25" x14ac:dyDescent="0.4">
      <c r="D182" s="246" t="s">
        <v>507</v>
      </c>
      <c r="E182" s="262" t="s">
        <v>212</v>
      </c>
      <c r="F182" s="263">
        <v>706</v>
      </c>
      <c r="G182" s="249" t="s">
        <v>4</v>
      </c>
      <c r="H182" s="250">
        <v>2.69</v>
      </c>
      <c r="I182" s="251">
        <v>46059</v>
      </c>
      <c r="J182" s="252" t="s">
        <v>9</v>
      </c>
      <c r="K182" s="252"/>
      <c r="L182" s="253">
        <v>0.05</v>
      </c>
      <c r="M182" s="254">
        <f ca="1">IF(ISERROR(OFFSET(Tabella!$A$1,MATCH(J182,Tabella!$A:$A,0)-1,MATCH(L182,Tabella!$A$1:$AC$1,0)-1)=TRUE),0,+OFFSET(Tabella!$A$1,MATCH(J182,Tabella!$A:$A,0)-1,MATCH(L182,Tabella!$A$1:$AC$1,0)-1))</f>
        <v>0</v>
      </c>
      <c r="N182" s="255">
        <f ca="1">IF(ISERROR(OFFSET(Ottone!$A$1,MATCH(J182,Ottone!$A:$A,0)-1,MATCH(L182,Ottone!$A$1:$Z$1,0)-1)=TRUE),0,OFFSET(Ottone!$A$1,MATCH(J182,Ottone!$A:$A,0)-1,MATCH(L182,Ottone!$A$1:$Z$1,0)-1))*IF(G182="Ottone",1,0)</f>
        <v>0</v>
      </c>
      <c r="O182" s="255">
        <f ca="1">IF(ISERROR(OFFSET(Rame!$A$1,MATCH(J182,Rame!$A:$A,0)-1,MATCH(L182,Rame!$A$1:$AA$1,0)-1)=TRUE),0,OFFSET(Rame!$A$1,MATCH(J182,Rame!$A:$A,0)-1,MATCH(L182,Rame!$A$1:$AA$1,0)-1))*IF(G182="Rame",1,0)</f>
        <v>0</v>
      </c>
      <c r="P182" s="255">
        <v>0</v>
      </c>
      <c r="Q182" s="255">
        <v>1.77</v>
      </c>
      <c r="R182" s="255">
        <f ca="1">+IF(ISERROR(OFFSET(Tabella!$G$1,MATCH(J182,Tabella!$G:$G,0)-1,MATCH(K182,Tabella!$G$1:$FG$1,0)-1)=TRUE),0,OFFSET(Tabella!$G$1,MATCH(J182,Tabella!$G:$G,0)-1,MATCH(K182,Tabella!$G$1:$AB$1,0)-1))</f>
        <v>0</v>
      </c>
      <c r="S182" s="255">
        <f ca="1">IF(ISERROR(OFFSET(Ottone!$F$1,MATCH(J182,Ottone!$A:$A,0)-1,MATCH(K182,Ottone!$F$1:$FF$1,0)-1)=TRUE),0,OFFSET(Ottone!$F$1,MATCH(J182,Ottone!$A:$A,0)-1,MATCH(K182,Ottone!$F$1:$FF$1,0)-1))*IF(G182="Ottone",1,0)</f>
        <v>0</v>
      </c>
      <c r="T182" s="255">
        <f ca="1">IF(ISERROR(OFFSET(Rame!$F$1,MATCH(J182,Rame!$F:$F,0)-1,MATCH(K182,Rame!$F$1:$FF$1,0)-1)=TRUE),0,OFFSET(Rame!$F$1,MATCH(J182,Rame!$F:$F,0)-1,MATCH(K182,Rame!$F$1:$FF$1,0)-1))*IF(G182="Rame",1,0)</f>
        <v>0</v>
      </c>
      <c r="U182" s="255">
        <f ca="1">IF(ISERROR(OFFSET(Bronzo!$A$1,MATCH(J182,Bronzo!$A:$A,0)-1,MATCH(K182,Bronzo!$A$1:$AA$1,0)-1)=TRUE),0,OFFSET(Bronzo!$A$1,MATCH(J182,Bronzo!$A:$A,0)-1,MATCH(K182,Bronzo!$A$1:$AA$1,0)-1))</f>
        <v>0</v>
      </c>
      <c r="V182" s="255">
        <f t="shared" ca="1" si="100"/>
        <v>0</v>
      </c>
      <c r="W182" s="254"/>
      <c r="X182" s="255">
        <v>0</v>
      </c>
      <c r="Y182" s="256">
        <f t="shared" ca="1" si="101"/>
        <v>1.77</v>
      </c>
      <c r="Z182" s="269">
        <f t="shared" si="102"/>
        <v>35.300000000000004</v>
      </c>
      <c r="AA182" s="253">
        <v>4.46</v>
      </c>
      <c r="AB182" s="253">
        <f t="shared" ca="1" si="103"/>
        <v>0</v>
      </c>
      <c r="AC182" s="258"/>
      <c r="AF182" s="223" t="s">
        <v>405</v>
      </c>
      <c r="AH182" s="232">
        <f t="shared" ca="1" si="99"/>
        <v>46120</v>
      </c>
      <c r="AI182" s="232" t="b">
        <f t="shared" si="94"/>
        <v>1</v>
      </c>
      <c r="AJ182" s="259" t="str">
        <f t="shared" si="104"/>
        <v/>
      </c>
      <c r="AM182" s="223">
        <f t="shared" si="95"/>
        <v>0</v>
      </c>
      <c r="AN182" s="223">
        <f t="shared" si="96"/>
        <v>1900</v>
      </c>
      <c r="AU182" s="223">
        <f t="shared" si="97"/>
        <v>0</v>
      </c>
      <c r="AV182" s="223">
        <f t="shared" si="98"/>
        <v>0</v>
      </c>
    </row>
    <row r="183" spans="4:48" ht="26.25" x14ac:dyDescent="0.4">
      <c r="D183" s="246" t="s">
        <v>560</v>
      </c>
      <c r="E183" s="262" t="s">
        <v>95</v>
      </c>
      <c r="F183" s="263">
        <v>158</v>
      </c>
      <c r="G183" s="249" t="s">
        <v>6</v>
      </c>
      <c r="H183" s="250">
        <v>10.92</v>
      </c>
      <c r="I183" s="251">
        <v>46062</v>
      </c>
      <c r="J183" s="252" t="s">
        <v>18</v>
      </c>
      <c r="K183" s="252"/>
      <c r="L183" s="253">
        <v>0.1</v>
      </c>
      <c r="M183" s="254">
        <f ca="1">IF(ISERROR(OFFSET(Tabella!$A$1,MATCH(J183,Tabella!$A:$A,0)-1,MATCH(L183,Tabella!$A$1:$AC$1,0)-1)=TRUE),0,+OFFSET(Tabella!$A$1,MATCH(J183,Tabella!$A:$A,0)-1,MATCH(L183,Tabella!$A$1:$AC$1,0)-1))</f>
        <v>0</v>
      </c>
      <c r="N183" s="255">
        <f ca="1">IF(ISERROR(OFFSET(Ottone!$A$1,MATCH(J183,Ottone!$A:$A,0)-1,MATCH(L183,Ottone!$A$1:$Z$1,0)-1)=TRUE),0,OFFSET(Ottone!$A$1,MATCH(J183,Ottone!$A:$A,0)-1,MATCH(L183,Ottone!$A$1:$Z$1,0)-1))*IF(G183="Ottone",1,0)</f>
        <v>0</v>
      </c>
      <c r="O183" s="255">
        <f ca="1">IF(ISERROR(OFFSET(Rame!$A$1,MATCH(J183,Rame!$A:$A,0)-1,MATCH(L183,Rame!$A$1:$AA$1,0)-1)=TRUE),0,OFFSET(Rame!$A$1,MATCH(J183,Rame!$A:$A,0)-1,MATCH(L183,Rame!$A$1:$AA$1,0)-1))*IF(G183="Rame",1,0)</f>
        <v>0.78</v>
      </c>
      <c r="P183" s="255">
        <v>0</v>
      </c>
      <c r="Q183" s="255">
        <f t="shared" ca="1" si="105"/>
        <v>0.78</v>
      </c>
      <c r="R183" s="255">
        <f ca="1">+IF(ISERROR(OFFSET(Tabella!$G$1,MATCH(J183,Tabella!$G:$G,0)-1,MATCH(K183,Tabella!$G$1:$FG$1,0)-1)=TRUE),0,OFFSET(Tabella!$G$1,MATCH(J183,Tabella!$G:$G,0)-1,MATCH(K183,Tabella!$G$1:$AB$1,0)-1))</f>
        <v>0</v>
      </c>
      <c r="S183" s="255">
        <f ca="1">IF(ISERROR(OFFSET(Ottone!$F$1,MATCH(J183,Ottone!$A:$A,0)-1,MATCH(K183,Ottone!$F$1:$FF$1,0)-1)=TRUE),0,OFFSET(Ottone!$F$1,MATCH(J183,Ottone!$A:$A,0)-1,MATCH(K183,Ottone!$F$1:$FF$1,0)-1))*IF(G183="Ottone",1,0)</f>
        <v>0</v>
      </c>
      <c r="T183" s="255">
        <f ca="1">IF(ISERROR(OFFSET(Rame!$F$1,MATCH(J183,Rame!$F:$F,0)-1,MATCH(K183,Rame!$F$1:$FF$1,0)-1)=TRUE),0,OFFSET(Rame!$F$1,MATCH(J183,Rame!$F:$F,0)-1,MATCH(K183,Rame!$F$1:$FF$1,0)-1))*IF(G183="Rame",1,0)</f>
        <v>0</v>
      </c>
      <c r="U183" s="255">
        <f ca="1">IF(ISERROR(OFFSET(Bronzo!$A$1,MATCH(J183,Bronzo!$A:$A,0)-1,MATCH(K183,Bronzo!$A$1:$AA$1,0)-1)=TRUE),0,OFFSET(Bronzo!$A$1,MATCH(J183,Bronzo!$A:$A,0)-1,MATCH(K183,Bronzo!$A$1:$AA$1,0)-1))</f>
        <v>0</v>
      </c>
      <c r="V183" s="255">
        <f t="shared" ca="1" si="100"/>
        <v>0</v>
      </c>
      <c r="W183" s="254"/>
      <c r="X183" s="255">
        <v>0</v>
      </c>
      <c r="Y183" s="256">
        <f t="shared" ca="1" si="101"/>
        <v>0.78</v>
      </c>
      <c r="Z183" s="269">
        <f t="shared" si="102"/>
        <v>15.8</v>
      </c>
      <c r="AA183" s="268">
        <v>10.92</v>
      </c>
      <c r="AB183" s="253">
        <f t="shared" ca="1" si="103"/>
        <v>-0.77999999999999936</v>
      </c>
      <c r="AC183" s="258"/>
      <c r="AF183" s="223" t="s">
        <v>405</v>
      </c>
      <c r="AH183" s="232">
        <f t="shared" ca="1" si="99"/>
        <v>46120</v>
      </c>
      <c r="AI183" s="232" t="b">
        <f t="shared" si="94"/>
        <v>1</v>
      </c>
      <c r="AJ183" s="259" t="str">
        <f t="shared" si="104"/>
        <v/>
      </c>
      <c r="AM183" s="223">
        <f t="shared" si="95"/>
        <v>0</v>
      </c>
      <c r="AN183" s="223">
        <f t="shared" si="96"/>
        <v>1900</v>
      </c>
      <c r="AU183" s="223">
        <f t="shared" si="97"/>
        <v>0</v>
      </c>
      <c r="AV183" s="223">
        <f t="shared" si="98"/>
        <v>0</v>
      </c>
    </row>
    <row r="184" spans="4:48" ht="26.25" x14ac:dyDescent="0.4">
      <c r="D184" s="246" t="s">
        <v>604</v>
      </c>
      <c r="E184" s="262" t="s">
        <v>114</v>
      </c>
      <c r="F184" s="263">
        <v>569</v>
      </c>
      <c r="G184" s="249" t="s">
        <v>4</v>
      </c>
      <c r="H184" s="250">
        <v>2.66</v>
      </c>
      <c r="I184" s="251">
        <v>46049</v>
      </c>
      <c r="J184" s="252" t="s">
        <v>13</v>
      </c>
      <c r="K184" s="252"/>
      <c r="L184" s="253">
        <v>7.0000000000000007E-2</v>
      </c>
      <c r="M184" s="254">
        <f ca="1">IF(ISERROR(OFFSET(Tabella!$A$1,MATCH(J184,Tabella!$A:$A,0)-1,MATCH(L184,Tabella!$A$1:$AC$1,0)-1)=TRUE),0,+OFFSET(Tabella!$A$1,MATCH(J184,Tabella!$A:$A,0)-1,MATCH(L184,Tabella!$A$1:$AC$1,0)-1))</f>
        <v>1.4</v>
      </c>
      <c r="N184" s="255">
        <f ca="1">IF(ISERROR(OFFSET(Ottone!$A$1,MATCH(J184,Ottone!$A:$A,0)-1,MATCH(L184,Ottone!$A$1:$Z$1,0)-1)=TRUE),0,OFFSET(Ottone!$A$1,MATCH(J184,Ottone!$A:$A,0)-1,MATCH(L184,Ottone!$A$1:$Z$1,0)-1))*IF(G184="Ottone",1,0)</f>
        <v>0</v>
      </c>
      <c r="O184" s="255">
        <f ca="1">IF(ISERROR(OFFSET(Rame!$A$1,MATCH(J184,Rame!$A:$A,0)-1,MATCH(L184,Rame!$A$1:$AA$1,0)-1)=TRUE),0,OFFSET(Rame!$A$1,MATCH(J184,Rame!$A:$A,0)-1,MATCH(L184,Rame!$A$1:$AA$1,0)-1))*IF(G184="Rame",1,0)</f>
        <v>0</v>
      </c>
      <c r="P184" s="255">
        <v>0</v>
      </c>
      <c r="Q184" s="255">
        <f t="shared" ca="1" si="105"/>
        <v>1.4</v>
      </c>
      <c r="R184" s="255">
        <f ca="1">+IF(ISERROR(OFFSET(Tabella!$G$1,MATCH(J184,Tabella!$G:$G,0)-1,MATCH(K184,Tabella!$G$1:$FG$1,0)-1)=TRUE),0,OFFSET(Tabella!$G$1,MATCH(J184,Tabella!$G:$G,0)-1,MATCH(K184,Tabella!$G$1:$AB$1,0)-1))</f>
        <v>0</v>
      </c>
      <c r="S184" s="255">
        <f ca="1">IF(ISERROR(OFFSET(Ottone!$F$1,MATCH(J184,Ottone!$A:$A,0)-1,MATCH(K184,Ottone!$F$1:$FF$1,0)-1)=TRUE),0,OFFSET(Ottone!$F$1,MATCH(J184,Ottone!$A:$A,0)-1,MATCH(K184,Ottone!$F$1:$FF$1,0)-1))*IF(G184="Ottone",1,0)</f>
        <v>0</v>
      </c>
      <c r="T184" s="255">
        <f ca="1">IF(ISERROR(OFFSET(Rame!$F$1,MATCH(J184,Rame!$F:$F,0)-1,MATCH(K184,Rame!$F$1:$FF$1,0)-1)=TRUE),0,OFFSET(Rame!$F$1,MATCH(J184,Rame!$F:$F,0)-1,MATCH(K184,Rame!$F$1:$FF$1,0)-1))*IF(G184="Rame",1,0)</f>
        <v>0</v>
      </c>
      <c r="U184" s="255">
        <f ca="1">IF(ISERROR(OFFSET(Bronzo!$A$1,MATCH(J184,Bronzo!$A:$A,0)-1,MATCH(K184,Bronzo!$A$1:$AA$1,0)-1)=TRUE),0,OFFSET(Bronzo!$A$1,MATCH(J184,Bronzo!$A:$A,0)-1,MATCH(K184,Bronzo!$A$1:$AA$1,0)-1))</f>
        <v>0</v>
      </c>
      <c r="V184" s="255">
        <f t="shared" ca="1" si="100"/>
        <v>0</v>
      </c>
      <c r="W184" s="254"/>
      <c r="X184" s="255">
        <v>0</v>
      </c>
      <c r="Y184" s="256">
        <f t="shared" ca="1" si="101"/>
        <v>1.4</v>
      </c>
      <c r="Z184" s="269">
        <f t="shared" si="102"/>
        <v>39.830000000000005</v>
      </c>
      <c r="AA184" s="253">
        <v>4.3</v>
      </c>
      <c r="AB184" s="253">
        <f t="shared" ca="1" si="103"/>
        <v>0.23999999999999977</v>
      </c>
      <c r="AC184" s="258"/>
      <c r="AF184" s="223" t="s">
        <v>405</v>
      </c>
      <c r="AH184" s="232">
        <f t="shared" ca="1" si="99"/>
        <v>46120</v>
      </c>
      <c r="AI184" s="232" t="b">
        <f t="shared" si="94"/>
        <v>1</v>
      </c>
      <c r="AJ184" s="259" t="str">
        <f t="shared" si="104"/>
        <v/>
      </c>
      <c r="AM184" s="223">
        <f t="shared" si="95"/>
        <v>0</v>
      </c>
      <c r="AN184" s="223">
        <f t="shared" si="96"/>
        <v>1900</v>
      </c>
      <c r="AU184" s="223">
        <f t="shared" si="97"/>
        <v>0</v>
      </c>
      <c r="AV184" s="223">
        <f t="shared" si="98"/>
        <v>0</v>
      </c>
    </row>
    <row r="185" spans="4:48" ht="26.25" x14ac:dyDescent="0.4">
      <c r="D185" s="246" t="s">
        <v>604</v>
      </c>
      <c r="E185" s="262" t="s">
        <v>114</v>
      </c>
      <c r="F185" s="263">
        <v>968</v>
      </c>
      <c r="G185" s="249" t="s">
        <v>4</v>
      </c>
      <c r="H185" s="250">
        <v>2.66</v>
      </c>
      <c r="I185" s="251">
        <v>46049</v>
      </c>
      <c r="J185" s="252" t="s">
        <v>13</v>
      </c>
      <c r="K185" s="252"/>
      <c r="L185" s="253">
        <v>7.0000000000000007E-2</v>
      </c>
      <c r="M185" s="254">
        <f ca="1">IF(ISERROR(OFFSET(Tabella!$A$1,MATCH(J185,Tabella!$A:$A,0)-1,MATCH(L185,Tabella!$A$1:$AC$1,0)-1)=TRUE),0,+OFFSET(Tabella!$A$1,MATCH(J185,Tabella!$A:$A,0)-1,MATCH(L185,Tabella!$A$1:$AC$1,0)-1))</f>
        <v>1.4</v>
      </c>
      <c r="N185" s="255">
        <f ca="1">IF(ISERROR(OFFSET(Ottone!$A$1,MATCH(J185,Ottone!$A:$A,0)-1,MATCH(L185,Ottone!$A$1:$Z$1,0)-1)=TRUE),0,OFFSET(Ottone!$A$1,MATCH(J185,Ottone!$A:$A,0)-1,MATCH(L185,Ottone!$A$1:$Z$1,0)-1))*IF(G185="Ottone",1,0)</f>
        <v>0</v>
      </c>
      <c r="O185" s="255">
        <f ca="1">IF(ISERROR(OFFSET(Rame!$A$1,MATCH(J185,Rame!$A:$A,0)-1,MATCH(L185,Rame!$A$1:$AA$1,0)-1)=TRUE),0,OFFSET(Rame!$A$1,MATCH(J185,Rame!$A:$A,0)-1,MATCH(L185,Rame!$A$1:$AA$1,0)-1))*IF(G185="Rame",1,0)</f>
        <v>0</v>
      </c>
      <c r="P185" s="255">
        <v>0</v>
      </c>
      <c r="Q185" s="255">
        <f t="shared" ca="1" si="105"/>
        <v>1.4</v>
      </c>
      <c r="R185" s="255">
        <f ca="1">+IF(ISERROR(OFFSET(Tabella!$G$1,MATCH(J185,Tabella!$G:$G,0)-1,MATCH(K185,Tabella!$G$1:$FG$1,0)-1)=TRUE),0,OFFSET(Tabella!$G$1,MATCH(J185,Tabella!$G:$G,0)-1,MATCH(K185,Tabella!$G$1:$AB$1,0)-1))</f>
        <v>0</v>
      </c>
      <c r="S185" s="255">
        <f ca="1">IF(ISERROR(OFFSET(Ottone!$F$1,MATCH(J185,Ottone!$A:$A,0)-1,MATCH(K185,Ottone!$F$1:$FF$1,0)-1)=TRUE),0,OFFSET(Ottone!$F$1,MATCH(J185,Ottone!$A:$A,0)-1,MATCH(K185,Ottone!$F$1:$FF$1,0)-1))*IF(G185="Ottone",1,0)</f>
        <v>0</v>
      </c>
      <c r="T185" s="255">
        <f ca="1">IF(ISERROR(OFFSET(Rame!$F$1,MATCH(J185,Rame!$F:$F,0)-1,MATCH(K185,Rame!$F$1:$FF$1,0)-1)=TRUE),0,OFFSET(Rame!$F$1,MATCH(J185,Rame!$F:$F,0)-1,MATCH(K185,Rame!$F$1:$FF$1,0)-1))*IF(G185="Rame",1,0)</f>
        <v>0</v>
      </c>
      <c r="U185" s="255">
        <f ca="1">IF(ISERROR(OFFSET(Bronzo!$A$1,MATCH(J185,Bronzo!$A:$A,0)-1,MATCH(K185,Bronzo!$A$1:$AA$1,0)-1)=TRUE),0,OFFSET(Bronzo!$A$1,MATCH(J185,Bronzo!$A:$A,0)-1,MATCH(K185,Bronzo!$A$1:$AA$1,0)-1))</f>
        <v>0</v>
      </c>
      <c r="V185" s="255">
        <f t="shared" ca="1" si="100"/>
        <v>0</v>
      </c>
      <c r="W185" s="254"/>
      <c r="X185" s="255">
        <v>0</v>
      </c>
      <c r="Y185" s="256">
        <f t="shared" ca="1" si="101"/>
        <v>1.4</v>
      </c>
      <c r="Z185" s="269">
        <f t="shared" si="102"/>
        <v>67.760000000000005</v>
      </c>
      <c r="AA185" s="253">
        <v>4.3</v>
      </c>
      <c r="AB185" s="253">
        <f t="shared" ca="1" si="103"/>
        <v>0.23999999999999977</v>
      </c>
      <c r="AC185" s="258"/>
      <c r="AF185" s="223" t="s">
        <v>405</v>
      </c>
      <c r="AH185" s="232">
        <f t="shared" ca="1" si="99"/>
        <v>46120</v>
      </c>
      <c r="AI185" s="232" t="b">
        <f t="shared" si="94"/>
        <v>1</v>
      </c>
      <c r="AJ185" s="259" t="str">
        <f t="shared" si="104"/>
        <v/>
      </c>
      <c r="AM185" s="223">
        <f t="shared" si="95"/>
        <v>0</v>
      </c>
      <c r="AN185" s="223">
        <f t="shared" si="96"/>
        <v>1900</v>
      </c>
      <c r="AU185" s="223">
        <f t="shared" si="97"/>
        <v>0</v>
      </c>
      <c r="AV185" s="223">
        <f t="shared" si="98"/>
        <v>0</v>
      </c>
    </row>
    <row r="186" spans="4:48" ht="26.25" x14ac:dyDescent="0.4">
      <c r="D186" s="246" t="s">
        <v>753</v>
      </c>
      <c r="E186" s="292" t="s">
        <v>263</v>
      </c>
      <c r="F186" s="293">
        <v>2914</v>
      </c>
      <c r="G186" s="249" t="s">
        <v>4</v>
      </c>
      <c r="H186" s="250">
        <v>2.69</v>
      </c>
      <c r="I186" s="251">
        <v>46063</v>
      </c>
      <c r="J186" s="252" t="s">
        <v>15</v>
      </c>
      <c r="K186" s="252"/>
      <c r="L186" s="253">
        <v>7.0000000000000007E-2</v>
      </c>
      <c r="M186" s="254">
        <f ca="1">IF(ISERROR(OFFSET(Tabella!$A$1,MATCH(J186,Tabella!$A:$A,0)-1,MATCH(L186,Tabella!$A$1:$AC$1,0)-1)=TRUE),0,+OFFSET(Tabella!$A$1,MATCH(J186,Tabella!$A:$A,0)-1,MATCH(L186,Tabella!$A$1:$AC$1,0)-1))</f>
        <v>1.4</v>
      </c>
      <c r="N186" s="255">
        <f ca="1">IF(ISERROR(OFFSET(Ottone!$A$1,MATCH(J186,Ottone!$A:$A,0)-1,MATCH(L186,Ottone!$A$1:$Z$1,0)-1)=TRUE),0,OFFSET(Ottone!$A$1,MATCH(J186,Ottone!$A:$A,0)-1,MATCH(L186,Ottone!$A$1:$Z$1,0)-1))*IF(G186="Ottone",1,0)</f>
        <v>0</v>
      </c>
      <c r="O186" s="255">
        <f ca="1">IF(ISERROR(OFFSET(Rame!$A$1,MATCH(J186,Rame!$A:$A,0)-1,MATCH(L186,Rame!$A$1:$AA$1,0)-1)=TRUE),0,OFFSET(Rame!$A$1,MATCH(J186,Rame!$A:$A,0)-1,MATCH(L186,Rame!$A$1:$AA$1,0)-1))*IF(G186="Rame",1,0)</f>
        <v>0</v>
      </c>
      <c r="P186" s="255">
        <v>0</v>
      </c>
      <c r="Q186" s="255">
        <v>1.65</v>
      </c>
      <c r="R186" s="255">
        <f ca="1">+IF(ISERROR(OFFSET(Tabella!$G$1,MATCH(J186,Tabella!$G:$G,0)-1,MATCH(K186,Tabella!$G$1:$FG$1,0)-1)=TRUE),0,OFFSET(Tabella!$G$1,MATCH(J186,Tabella!$G:$G,0)-1,MATCH(K186,Tabella!$G$1:$AB$1,0)-1))</f>
        <v>0</v>
      </c>
      <c r="S186" s="255">
        <f ca="1">IF(ISERROR(OFFSET(Ottone!$F$1,MATCH(J186,Ottone!$A:$A,0)-1,MATCH(K186,Ottone!$F$1:$FF$1,0)-1)=TRUE),0,OFFSET(Ottone!$F$1,MATCH(J186,Ottone!$A:$A,0)-1,MATCH(K186,Ottone!$F$1:$FF$1,0)-1))*IF(G186="Ottone",1,0)</f>
        <v>0</v>
      </c>
      <c r="T186" s="255">
        <f ca="1">IF(ISERROR(OFFSET(Rame!$F$1,MATCH(J186,Rame!$F:$F,0)-1,MATCH(K186,Rame!$F$1:$FF$1,0)-1)=TRUE),0,OFFSET(Rame!$F$1,MATCH(J186,Rame!$F:$F,0)-1,MATCH(K186,Rame!$F$1:$FF$1,0)-1))*IF(G186="Rame",1,0)</f>
        <v>0</v>
      </c>
      <c r="U186" s="255">
        <f ca="1">IF(ISERROR(OFFSET(Bronzo!$A$1,MATCH(J186,Bronzo!$A:$A,0)-1,MATCH(K186,Bronzo!$A$1:$AA$1,0)-1)=TRUE),0,OFFSET(Bronzo!$A$1,MATCH(J186,Bronzo!$A:$A,0)-1,MATCH(K186,Bronzo!$A$1:$AA$1,0)-1))</f>
        <v>0</v>
      </c>
      <c r="V186" s="255">
        <f t="shared" ca="1" si="100"/>
        <v>0</v>
      </c>
      <c r="W186" s="254"/>
      <c r="X186" s="255">
        <v>0</v>
      </c>
      <c r="Y186" s="256">
        <f t="shared" ca="1" si="101"/>
        <v>1.65</v>
      </c>
      <c r="Z186" s="291">
        <f t="shared" si="102"/>
        <v>203.98000000000002</v>
      </c>
      <c r="AA186" s="253">
        <v>4.41</v>
      </c>
      <c r="AB186" s="253">
        <f t="shared" ca="1" si="103"/>
        <v>7.0000000000000284E-2</v>
      </c>
      <c r="AC186" s="258"/>
      <c r="AH186" s="232">
        <f t="shared" ca="1" si="99"/>
        <v>46120</v>
      </c>
      <c r="AI186" s="232" t="b">
        <f t="shared" si="94"/>
        <v>1</v>
      </c>
      <c r="AJ186" s="259" t="str">
        <f t="shared" si="104"/>
        <v/>
      </c>
      <c r="AM186" s="223">
        <f t="shared" si="95"/>
        <v>0</v>
      </c>
      <c r="AN186" s="223">
        <f t="shared" si="96"/>
        <v>1900</v>
      </c>
      <c r="AU186" s="223">
        <f t="shared" si="97"/>
        <v>0</v>
      </c>
      <c r="AV186" s="223">
        <f t="shared" si="98"/>
        <v>0</v>
      </c>
    </row>
    <row r="187" spans="4:48" ht="26.25" x14ac:dyDescent="0.4">
      <c r="D187" s="246" t="s">
        <v>523</v>
      </c>
      <c r="E187" s="262" t="s">
        <v>263</v>
      </c>
      <c r="F187" s="263">
        <v>1234</v>
      </c>
      <c r="G187" s="249" t="s">
        <v>4</v>
      </c>
      <c r="H187" s="250">
        <v>2.69</v>
      </c>
      <c r="I187" s="251">
        <v>46063</v>
      </c>
      <c r="J187" s="252" t="s">
        <v>309</v>
      </c>
      <c r="K187" s="252"/>
      <c r="L187" s="253">
        <v>7.0000000000000007E-2</v>
      </c>
      <c r="M187" s="254">
        <f ca="1">IF(ISERROR(OFFSET(Tabella!$A$1,MATCH(J187,Tabella!$A:$A,0)-1,MATCH(L187,Tabella!$A$1:$AC$1,0)-1)=TRUE),0,+OFFSET(Tabella!$A$1,MATCH(J187,Tabella!$A:$A,0)-1,MATCH(L187,Tabella!$A$1:$AC$1,0)-1))</f>
        <v>1.25</v>
      </c>
      <c r="N187" s="255">
        <f ca="1">IF(ISERROR(OFFSET(Ottone!$A$1,MATCH(J187,Ottone!$A:$A,0)-1,MATCH(L187,Ottone!$A$1:$Z$1,0)-1)=TRUE),0,OFFSET(Ottone!$A$1,MATCH(J187,Ottone!$A:$A,0)-1,MATCH(L187,Ottone!$A$1:$Z$1,0)-1))*IF(G187="Ottone",1,0)</f>
        <v>0</v>
      </c>
      <c r="O187" s="255">
        <f ca="1">IF(ISERROR(OFFSET(Rame!$A$1,MATCH(J187,Rame!$A:$A,0)-1,MATCH(L187,Rame!$A$1:$AA$1,0)-1)=TRUE),0,OFFSET(Rame!$A$1,MATCH(J187,Rame!$A:$A,0)-1,MATCH(L187,Rame!$A$1:$AA$1,0)-1))*IF(G187="Rame",1,0)</f>
        <v>0</v>
      </c>
      <c r="P187" s="255">
        <v>0</v>
      </c>
      <c r="Q187" s="255">
        <v>1.5</v>
      </c>
      <c r="R187" s="255">
        <f ca="1">+IF(ISERROR(OFFSET(Tabella!$G$1,MATCH(J187,Tabella!$G:$G,0)-1,MATCH(K187,Tabella!$G$1:$FG$1,0)-1)=TRUE),0,OFFSET(Tabella!$G$1,MATCH(J187,Tabella!$G:$G,0)-1,MATCH(K187,Tabella!$G$1:$AB$1,0)-1))</f>
        <v>0</v>
      </c>
      <c r="S187" s="255">
        <f ca="1">IF(ISERROR(OFFSET(Ottone!$F$1,MATCH(J187,Ottone!$A:$A,0)-1,MATCH(K187,Ottone!$F$1:$FF$1,0)-1)=TRUE),0,OFFSET(Ottone!$F$1,MATCH(J187,Ottone!$A:$A,0)-1,MATCH(K187,Ottone!$F$1:$FF$1,0)-1))*IF(G187="Ottone",1,0)</f>
        <v>0</v>
      </c>
      <c r="T187" s="255">
        <f ca="1">IF(ISERROR(OFFSET(Rame!$F$1,MATCH(J187,Rame!$F:$F,0)-1,MATCH(K187,Rame!$F$1:$FF$1,0)-1)=TRUE),0,OFFSET(Rame!$F$1,MATCH(J187,Rame!$F:$F,0)-1,MATCH(K187,Rame!$F$1:$FF$1,0)-1))*IF(G187="Rame",1,0)</f>
        <v>0</v>
      </c>
      <c r="U187" s="255">
        <f ca="1">IF(ISERROR(OFFSET(Bronzo!$A$1,MATCH(J187,Bronzo!$A:$A,0)-1,MATCH(K187,Bronzo!$A$1:$AA$1,0)-1)=TRUE),0,OFFSET(Bronzo!$A$1,MATCH(J187,Bronzo!$A:$A,0)-1,MATCH(K187,Bronzo!$A$1:$AA$1,0)-1))</f>
        <v>0</v>
      </c>
      <c r="V187" s="255">
        <f t="shared" ca="1" si="100"/>
        <v>0</v>
      </c>
      <c r="W187" s="254"/>
      <c r="X187" s="255">
        <v>0</v>
      </c>
      <c r="Y187" s="256">
        <f t="shared" ca="1" si="101"/>
        <v>1.5</v>
      </c>
      <c r="Z187" s="269">
        <f t="shared" si="102"/>
        <v>86.38000000000001</v>
      </c>
      <c r="AA187" s="253">
        <v>4.26</v>
      </c>
      <c r="AB187" s="253">
        <f t="shared" ca="1" si="103"/>
        <v>6.999999999999984E-2</v>
      </c>
      <c r="AC187" s="258"/>
      <c r="AF187" s="223" t="s">
        <v>405</v>
      </c>
      <c r="AH187" s="232">
        <f t="shared" ca="1" si="99"/>
        <v>46120</v>
      </c>
      <c r="AI187" s="232" t="b">
        <f t="shared" si="94"/>
        <v>1</v>
      </c>
      <c r="AJ187" s="259" t="str">
        <f t="shared" si="104"/>
        <v/>
      </c>
      <c r="AM187" s="223">
        <f t="shared" si="95"/>
        <v>0</v>
      </c>
      <c r="AN187" s="223">
        <f t="shared" si="96"/>
        <v>1900</v>
      </c>
      <c r="AU187" s="223">
        <f t="shared" si="97"/>
        <v>0</v>
      </c>
      <c r="AV187" s="223">
        <f t="shared" si="98"/>
        <v>0</v>
      </c>
    </row>
    <row r="188" spans="4:48" ht="26.25" x14ac:dyDescent="0.4">
      <c r="D188" s="246" t="s">
        <v>523</v>
      </c>
      <c r="E188" s="262" t="s">
        <v>263</v>
      </c>
      <c r="F188" s="263">
        <v>1120</v>
      </c>
      <c r="G188" s="249" t="s">
        <v>4</v>
      </c>
      <c r="H188" s="250">
        <v>2.69</v>
      </c>
      <c r="I188" s="251">
        <v>46063</v>
      </c>
      <c r="J188" s="252" t="s">
        <v>15</v>
      </c>
      <c r="K188" s="252"/>
      <c r="L188" s="253">
        <v>7.0000000000000007E-2</v>
      </c>
      <c r="M188" s="254">
        <f ca="1">IF(ISERROR(OFFSET(Tabella!$A$1,MATCH(J188,Tabella!$A:$A,0)-1,MATCH(L188,Tabella!$A$1:$AC$1,0)-1)=TRUE),0,+OFFSET(Tabella!$A$1,MATCH(J188,Tabella!$A:$A,0)-1,MATCH(L188,Tabella!$A$1:$AC$1,0)-1))</f>
        <v>1.4</v>
      </c>
      <c r="N188" s="255">
        <f ca="1">IF(ISERROR(OFFSET(Ottone!$A$1,MATCH(J188,Ottone!$A:$A,0)-1,MATCH(L188,Ottone!$A$1:$Z$1,0)-1)=TRUE),0,OFFSET(Ottone!$A$1,MATCH(J188,Ottone!$A:$A,0)-1,MATCH(L188,Ottone!$A$1:$Z$1,0)-1))*IF(G188="Ottone",1,0)</f>
        <v>0</v>
      </c>
      <c r="O188" s="255">
        <f ca="1">IF(ISERROR(OFFSET(Rame!$A$1,MATCH(J188,Rame!$A:$A,0)-1,MATCH(L188,Rame!$A$1:$AA$1,0)-1)=TRUE),0,OFFSET(Rame!$A$1,MATCH(J188,Rame!$A:$A,0)-1,MATCH(L188,Rame!$A$1:$AA$1,0)-1))*IF(G188="Rame",1,0)</f>
        <v>0</v>
      </c>
      <c r="P188" s="255">
        <v>0</v>
      </c>
      <c r="Q188" s="255">
        <v>1.65</v>
      </c>
      <c r="R188" s="255">
        <f ca="1">+IF(ISERROR(OFFSET(Tabella!$G$1,MATCH(J188,Tabella!$G:$G,0)-1,MATCH(K188,Tabella!$G$1:$FG$1,0)-1)=TRUE),0,OFFSET(Tabella!$G$1,MATCH(J188,Tabella!$G:$G,0)-1,MATCH(K188,Tabella!$G$1:$AB$1,0)-1))</f>
        <v>0</v>
      </c>
      <c r="S188" s="255">
        <f ca="1">IF(ISERROR(OFFSET(Ottone!$F$1,MATCH(J188,Ottone!$A:$A,0)-1,MATCH(K188,Ottone!$F$1:$FF$1,0)-1)=TRUE),0,OFFSET(Ottone!$F$1,MATCH(J188,Ottone!$A:$A,0)-1,MATCH(K188,Ottone!$F$1:$FF$1,0)-1))*IF(G188="Ottone",1,0)</f>
        <v>0</v>
      </c>
      <c r="T188" s="255">
        <f ca="1">IF(ISERROR(OFFSET(Rame!$F$1,MATCH(J188,Rame!$F:$F,0)-1,MATCH(K188,Rame!$F$1:$FF$1,0)-1)=TRUE),0,OFFSET(Rame!$F$1,MATCH(J188,Rame!$F:$F,0)-1,MATCH(K188,Rame!$F$1:$FF$1,0)-1))*IF(G188="Rame",1,0)</f>
        <v>0</v>
      </c>
      <c r="U188" s="255">
        <f ca="1">IF(ISERROR(OFFSET(Bronzo!$A$1,MATCH(J188,Bronzo!$A:$A,0)-1,MATCH(K188,Bronzo!$A$1:$AA$1,0)-1)=TRUE),0,OFFSET(Bronzo!$A$1,MATCH(J188,Bronzo!$A:$A,0)-1,MATCH(K188,Bronzo!$A$1:$AA$1,0)-1))</f>
        <v>0</v>
      </c>
      <c r="V188" s="255">
        <f t="shared" ca="1" si="100"/>
        <v>0</v>
      </c>
      <c r="W188" s="254"/>
      <c r="X188" s="255">
        <v>0</v>
      </c>
      <c r="Y188" s="256">
        <f t="shared" ca="1" si="101"/>
        <v>1.65</v>
      </c>
      <c r="Z188" s="269">
        <f t="shared" si="102"/>
        <v>78.400000000000006</v>
      </c>
      <c r="AA188" s="253">
        <v>4.41</v>
      </c>
      <c r="AB188" s="253">
        <f t="shared" ca="1" si="103"/>
        <v>7.0000000000000284E-2</v>
      </c>
      <c r="AC188" s="258"/>
      <c r="AF188" s="223" t="s">
        <v>405</v>
      </c>
      <c r="AH188" s="232">
        <f t="shared" ca="1" si="99"/>
        <v>46120</v>
      </c>
      <c r="AI188" s="232" t="b">
        <f t="shared" si="94"/>
        <v>1</v>
      </c>
      <c r="AJ188" s="259" t="str">
        <f t="shared" si="104"/>
        <v/>
      </c>
      <c r="AM188" s="223">
        <f t="shared" si="95"/>
        <v>0</v>
      </c>
      <c r="AN188" s="223">
        <f t="shared" si="96"/>
        <v>1900</v>
      </c>
      <c r="AU188" s="223">
        <f t="shared" si="97"/>
        <v>0</v>
      </c>
      <c r="AV188" s="223">
        <f t="shared" si="98"/>
        <v>0</v>
      </c>
    </row>
    <row r="189" spans="4:48" ht="26.25" x14ac:dyDescent="0.4">
      <c r="D189" s="246" t="s">
        <v>625</v>
      </c>
      <c r="E189" s="292" t="s">
        <v>263</v>
      </c>
      <c r="F189" s="293">
        <v>1584</v>
      </c>
      <c r="G189" s="249" t="s">
        <v>4</v>
      </c>
      <c r="H189" s="250">
        <v>2.69</v>
      </c>
      <c r="I189" s="251">
        <v>46063</v>
      </c>
      <c r="J189" s="252" t="s">
        <v>322</v>
      </c>
      <c r="K189" s="252"/>
      <c r="L189" s="253">
        <v>7.0000000000000007E-2</v>
      </c>
      <c r="M189" s="254">
        <f ca="1">IF(ISERROR(OFFSET(Tabella!$A$1,MATCH(J189,Tabella!$A:$A,0)-1,MATCH(L189,Tabella!$A$1:$AC$1,0)-1)=TRUE),0,+OFFSET(Tabella!$A$1,MATCH(J189,Tabella!$A:$A,0)-1,MATCH(L189,Tabella!$A$1:$AC$1,0)-1))</f>
        <v>1.25</v>
      </c>
      <c r="N189" s="255">
        <f ca="1">IF(ISERROR(OFFSET(Ottone!$A$1,MATCH(J189,Ottone!$A:$A,0)-1,MATCH(L189,Ottone!$A$1:$Z$1,0)-1)=TRUE),0,OFFSET(Ottone!$A$1,MATCH(J189,Ottone!$A:$A,0)-1,MATCH(L189,Ottone!$A$1:$Z$1,0)-1))*IF(G189="Ottone",1,0)</f>
        <v>0</v>
      </c>
      <c r="O189" s="255">
        <f ca="1">IF(ISERROR(OFFSET(Rame!$A$1,MATCH(J189,Rame!$A:$A,0)-1,MATCH(L189,Rame!$A$1:$AA$1,0)-1)=TRUE),0,OFFSET(Rame!$A$1,MATCH(J189,Rame!$A:$A,0)-1,MATCH(L189,Rame!$A$1:$AA$1,0)-1))*IF(G189="Rame",1,0)</f>
        <v>0</v>
      </c>
      <c r="P189" s="255">
        <v>0</v>
      </c>
      <c r="Q189" s="255">
        <v>1.5</v>
      </c>
      <c r="R189" s="255">
        <f ca="1">+IF(ISERROR(OFFSET(Tabella!$G$1,MATCH(J189,Tabella!$G:$G,0)-1,MATCH(K189,Tabella!$G$1:$FG$1,0)-1)=TRUE),0,OFFSET(Tabella!$G$1,MATCH(J189,Tabella!$G:$G,0)-1,MATCH(K189,Tabella!$G$1:$AB$1,0)-1))</f>
        <v>0</v>
      </c>
      <c r="S189" s="255">
        <f ca="1">IF(ISERROR(OFFSET(Ottone!$F$1,MATCH(J189,Ottone!$A:$A,0)-1,MATCH(K189,Ottone!$F$1:$FF$1,0)-1)=TRUE),0,OFFSET(Ottone!$F$1,MATCH(J189,Ottone!$A:$A,0)-1,MATCH(K189,Ottone!$F$1:$FF$1,0)-1))*IF(G189="Ottone",1,0)</f>
        <v>0</v>
      </c>
      <c r="T189" s="255">
        <f ca="1">IF(ISERROR(OFFSET(Rame!$F$1,MATCH(J189,Rame!$F:$F,0)-1,MATCH(K189,Rame!$F$1:$FF$1,0)-1)=TRUE),0,OFFSET(Rame!$F$1,MATCH(J189,Rame!$F:$F,0)-1,MATCH(K189,Rame!$F$1:$FF$1,0)-1))*IF(G189="Rame",1,0)</f>
        <v>0</v>
      </c>
      <c r="U189" s="255">
        <f ca="1">IF(ISERROR(OFFSET(Bronzo!$A$1,MATCH(J189,Bronzo!$A:$A,0)-1,MATCH(K189,Bronzo!$A$1:$AA$1,0)-1)=TRUE),0,OFFSET(Bronzo!$A$1,MATCH(J189,Bronzo!$A:$A,0)-1,MATCH(K189,Bronzo!$A$1:$AA$1,0)-1))</f>
        <v>0</v>
      </c>
      <c r="V189" s="255">
        <f t="shared" ca="1" si="100"/>
        <v>0</v>
      </c>
      <c r="W189" s="254"/>
      <c r="X189" s="255">
        <v>0</v>
      </c>
      <c r="Y189" s="256">
        <f t="shared" ca="1" si="101"/>
        <v>1.5</v>
      </c>
      <c r="Z189" s="291">
        <f t="shared" si="102"/>
        <v>110.88000000000001</v>
      </c>
      <c r="AA189" s="253">
        <v>4.26</v>
      </c>
      <c r="AB189" s="253">
        <f t="shared" ca="1" si="103"/>
        <v>6.999999999999984E-2</v>
      </c>
      <c r="AC189" s="258"/>
      <c r="AH189" s="232">
        <f t="shared" ca="1" si="99"/>
        <v>46120</v>
      </c>
      <c r="AI189" s="232" t="b">
        <f t="shared" si="94"/>
        <v>1</v>
      </c>
      <c r="AJ189" s="259" t="str">
        <f t="shared" si="104"/>
        <v/>
      </c>
      <c r="AM189" s="223">
        <f t="shared" si="95"/>
        <v>0</v>
      </c>
      <c r="AN189" s="223">
        <f t="shared" si="96"/>
        <v>1900</v>
      </c>
      <c r="AU189" s="223">
        <f t="shared" si="97"/>
        <v>0</v>
      </c>
      <c r="AV189" s="223">
        <f t="shared" si="98"/>
        <v>0</v>
      </c>
    </row>
    <row r="190" spans="4:48" ht="26.25" x14ac:dyDescent="0.4">
      <c r="D190" s="246" t="s">
        <v>625</v>
      </c>
      <c r="E190" s="292" t="s">
        <v>263</v>
      </c>
      <c r="F190" s="293">
        <v>1713</v>
      </c>
      <c r="G190" s="249" t="s">
        <v>4</v>
      </c>
      <c r="H190" s="250">
        <v>2.69</v>
      </c>
      <c r="I190" s="251">
        <v>46063</v>
      </c>
      <c r="J190" s="252" t="s">
        <v>309</v>
      </c>
      <c r="K190" s="252"/>
      <c r="L190" s="253">
        <v>7.0000000000000007E-2</v>
      </c>
      <c r="M190" s="254">
        <f ca="1">IF(ISERROR(OFFSET(Tabella!$A$1,MATCH(J190,Tabella!$A:$A,0)-1,MATCH(L190,Tabella!$A$1:$AC$1,0)-1)=TRUE),0,+OFFSET(Tabella!$A$1,MATCH(J190,Tabella!$A:$A,0)-1,MATCH(L190,Tabella!$A$1:$AC$1,0)-1))</f>
        <v>1.25</v>
      </c>
      <c r="N190" s="255">
        <f ca="1">IF(ISERROR(OFFSET(Ottone!$A$1,MATCH(J190,Ottone!$A:$A,0)-1,MATCH(L190,Ottone!$A$1:$Z$1,0)-1)=TRUE),0,OFFSET(Ottone!$A$1,MATCH(J190,Ottone!$A:$A,0)-1,MATCH(L190,Ottone!$A$1:$Z$1,0)-1))*IF(G190="Ottone",1,0)</f>
        <v>0</v>
      </c>
      <c r="O190" s="255">
        <f ca="1">IF(ISERROR(OFFSET(Rame!$A$1,MATCH(J190,Rame!$A:$A,0)-1,MATCH(L190,Rame!$A$1:$AA$1,0)-1)=TRUE),0,OFFSET(Rame!$A$1,MATCH(J190,Rame!$A:$A,0)-1,MATCH(L190,Rame!$A$1:$AA$1,0)-1))*IF(G190="Rame",1,0)</f>
        <v>0</v>
      </c>
      <c r="P190" s="255">
        <v>0</v>
      </c>
      <c r="Q190" s="255">
        <v>1.5</v>
      </c>
      <c r="R190" s="255">
        <f ca="1">+IF(ISERROR(OFFSET(Tabella!$G$1,MATCH(J190,Tabella!$G:$G,0)-1,MATCH(K190,Tabella!$G$1:$FG$1,0)-1)=TRUE),0,OFFSET(Tabella!$G$1,MATCH(J190,Tabella!$G:$G,0)-1,MATCH(K190,Tabella!$G$1:$AB$1,0)-1))</f>
        <v>0</v>
      </c>
      <c r="S190" s="255">
        <f ca="1">IF(ISERROR(OFFSET(Ottone!$F$1,MATCH(J190,Ottone!$A:$A,0)-1,MATCH(K190,Ottone!$F$1:$FF$1,0)-1)=TRUE),0,OFFSET(Ottone!$F$1,MATCH(J190,Ottone!$A:$A,0)-1,MATCH(K190,Ottone!$F$1:$FF$1,0)-1))*IF(G190="Ottone",1,0)</f>
        <v>0</v>
      </c>
      <c r="T190" s="255">
        <f ca="1">IF(ISERROR(OFFSET(Rame!$F$1,MATCH(J190,Rame!$F:$F,0)-1,MATCH(K190,Rame!$F$1:$FF$1,0)-1)=TRUE),0,OFFSET(Rame!$F$1,MATCH(J190,Rame!$F:$F,0)-1,MATCH(K190,Rame!$F$1:$FF$1,0)-1))*IF(G190="Rame",1,0)</f>
        <v>0</v>
      </c>
      <c r="U190" s="255">
        <f ca="1">IF(ISERROR(OFFSET(Bronzo!$A$1,MATCH(J190,Bronzo!$A:$A,0)-1,MATCH(K190,Bronzo!$A$1:$AA$1,0)-1)=TRUE),0,OFFSET(Bronzo!$A$1,MATCH(J190,Bronzo!$A:$A,0)-1,MATCH(K190,Bronzo!$A$1:$AA$1,0)-1))</f>
        <v>0</v>
      </c>
      <c r="V190" s="255">
        <f t="shared" ca="1" si="100"/>
        <v>0</v>
      </c>
      <c r="W190" s="254"/>
      <c r="X190" s="255">
        <v>0</v>
      </c>
      <c r="Y190" s="256">
        <f t="shared" ca="1" si="101"/>
        <v>1.5</v>
      </c>
      <c r="Z190" s="291">
        <f t="shared" si="102"/>
        <v>119.91000000000001</v>
      </c>
      <c r="AA190" s="253">
        <v>4.26</v>
      </c>
      <c r="AB190" s="253">
        <f t="shared" ca="1" si="103"/>
        <v>6.999999999999984E-2</v>
      </c>
      <c r="AC190" s="258"/>
      <c r="AH190" s="232">
        <f t="shared" ca="1" si="99"/>
        <v>46120</v>
      </c>
      <c r="AI190" s="232" t="b">
        <f t="shared" si="94"/>
        <v>1</v>
      </c>
      <c r="AJ190" s="259" t="str">
        <f t="shared" si="104"/>
        <v/>
      </c>
      <c r="AM190" s="223">
        <f t="shared" si="95"/>
        <v>0</v>
      </c>
      <c r="AN190" s="223">
        <f t="shared" si="96"/>
        <v>1900</v>
      </c>
      <c r="AU190" s="223">
        <f t="shared" si="97"/>
        <v>0</v>
      </c>
      <c r="AV190" s="223">
        <f t="shared" si="98"/>
        <v>0</v>
      </c>
    </row>
    <row r="191" spans="4:48" ht="26.25" x14ac:dyDescent="0.4">
      <c r="D191" s="246" t="s">
        <v>482</v>
      </c>
      <c r="E191" s="252" t="s">
        <v>397</v>
      </c>
      <c r="F191" s="276">
        <v>300</v>
      </c>
      <c r="G191" s="249" t="s">
        <v>4</v>
      </c>
      <c r="H191" s="250">
        <v>2.6</v>
      </c>
      <c r="I191" s="251">
        <v>46063</v>
      </c>
      <c r="J191" s="252" t="s">
        <v>9</v>
      </c>
      <c r="K191" s="252"/>
      <c r="L191" s="253">
        <v>7.0000000000000007E-2</v>
      </c>
      <c r="M191" s="254">
        <f ca="1">IF(ISERROR(OFFSET(Tabella!$A$1,MATCH(J191,Tabella!$A:$A,0)-1,MATCH(L191,Tabella!$A$1:$AC$1,0)-1)=TRUE),0,+OFFSET(Tabella!$A$1,MATCH(J191,Tabella!$A:$A,0)-1,MATCH(L191,Tabella!$A$1:$AC$1,0)-1))</f>
        <v>1.6</v>
      </c>
      <c r="N191" s="255">
        <f ca="1">IF(ISERROR(OFFSET(Ottone!$A$1,MATCH(J191,Ottone!$A:$A,0)-1,MATCH(L191,Ottone!$A$1:$Z$1,0)-1)=TRUE),0,OFFSET(Ottone!$A$1,MATCH(J191,Ottone!$A:$A,0)-1,MATCH(L191,Ottone!$A$1:$Z$1,0)-1))*IF(G191="Ottone",1,0)</f>
        <v>0</v>
      </c>
      <c r="O191" s="255">
        <f ca="1">IF(ISERROR(OFFSET(Rame!$A$1,MATCH(J191,Rame!$A:$A,0)-1,MATCH(L191,Rame!$A$1:$AA$1,0)-1)=TRUE),0,OFFSET(Rame!$A$1,MATCH(J191,Rame!$A:$A,0)-1,MATCH(L191,Rame!$A$1:$AA$1,0)-1))*IF(G191="Rame",1,0)</f>
        <v>0</v>
      </c>
      <c r="P191" s="255">
        <v>0</v>
      </c>
      <c r="Q191" s="255">
        <v>1.8</v>
      </c>
      <c r="R191" s="255">
        <f ca="1">+IF(ISERROR(OFFSET(Tabella!$G$1,MATCH(J191,Tabella!$G:$G,0)-1,MATCH(K191,Tabella!$G$1:$FG$1,0)-1)=TRUE),0,OFFSET(Tabella!$G$1,MATCH(J191,Tabella!$G:$G,0)-1,MATCH(K191,Tabella!$G$1:$AB$1,0)-1))</f>
        <v>0</v>
      </c>
      <c r="S191" s="255">
        <f ca="1">IF(ISERROR(OFFSET(Ottone!$F$1,MATCH(J191,Ottone!$A:$A,0)-1,MATCH(K191,Ottone!$F$1:$FF$1,0)-1)=TRUE),0,OFFSET(Ottone!$F$1,MATCH(J191,Ottone!$A:$A,0)-1,MATCH(K191,Ottone!$F$1:$FF$1,0)-1))*IF(G191="Ottone",1,0)</f>
        <v>0</v>
      </c>
      <c r="T191" s="255">
        <f ca="1">IF(ISERROR(OFFSET(Rame!$F$1,MATCH(J191,Rame!$F:$F,0)-1,MATCH(K191,Rame!$F$1:$FF$1,0)-1)=TRUE),0,OFFSET(Rame!$F$1,MATCH(J191,Rame!$F:$F,0)-1,MATCH(K191,Rame!$F$1:$FF$1,0)-1))*IF(G191="Rame",1,0)</f>
        <v>0</v>
      </c>
      <c r="U191" s="255">
        <f ca="1">IF(ISERROR(OFFSET(Bronzo!$A$1,MATCH(J191,Bronzo!$A:$A,0)-1,MATCH(K191,Bronzo!$A$1:$AA$1,0)-1)=TRUE),0,OFFSET(Bronzo!$A$1,MATCH(J191,Bronzo!$A:$A,0)-1,MATCH(K191,Bronzo!$A$1:$AA$1,0)-1))</f>
        <v>0</v>
      </c>
      <c r="V191" s="255">
        <f t="shared" ca="1" si="100"/>
        <v>0</v>
      </c>
      <c r="W191" s="254"/>
      <c r="X191" s="255">
        <v>0</v>
      </c>
      <c r="Y191" s="256">
        <f t="shared" ca="1" si="101"/>
        <v>1.8</v>
      </c>
      <c r="Z191" s="257">
        <f t="shared" si="102"/>
        <v>21.000000000000004</v>
      </c>
      <c r="AA191" s="253">
        <v>4.62</v>
      </c>
      <c r="AB191" s="253">
        <f t="shared" ca="1" si="103"/>
        <v>0.2200000000000002</v>
      </c>
      <c r="AC191" s="258">
        <v>46185</v>
      </c>
      <c r="AH191" s="232">
        <f t="shared" ca="1" si="99"/>
        <v>46120</v>
      </c>
      <c r="AI191" s="232" t="b">
        <f t="shared" si="94"/>
        <v>0</v>
      </c>
      <c r="AJ191" s="259">
        <f t="shared" ca="1" si="104"/>
        <v>65</v>
      </c>
      <c r="AM191" s="223">
        <f t="shared" si="95"/>
        <v>24</v>
      </c>
      <c r="AN191" s="223">
        <f t="shared" si="96"/>
        <v>2026</v>
      </c>
      <c r="AU191" s="223">
        <f t="shared" si="97"/>
        <v>6</v>
      </c>
      <c r="AV191" s="223">
        <f t="shared" si="98"/>
        <v>2026</v>
      </c>
    </row>
    <row r="192" spans="4:48" ht="26.25" x14ac:dyDescent="0.4">
      <c r="D192" s="246" t="s">
        <v>483</v>
      </c>
      <c r="E192" s="252" t="s">
        <v>440</v>
      </c>
      <c r="F192" s="276">
        <v>500</v>
      </c>
      <c r="G192" s="249" t="s">
        <v>6</v>
      </c>
      <c r="H192" s="250">
        <v>10.92</v>
      </c>
      <c r="I192" s="251">
        <v>46063</v>
      </c>
      <c r="J192" s="252" t="s">
        <v>12</v>
      </c>
      <c r="K192" s="252"/>
      <c r="L192" s="253">
        <v>0.15</v>
      </c>
      <c r="M192" s="254">
        <f ca="1">IF(ISERROR(OFFSET(Tabella!$A$1,MATCH(J192,Tabella!$A:$A,0)-1,MATCH(L192,Tabella!$A$1:$AC$1,0)-1)=TRUE),0,+OFFSET(Tabella!$A$1,MATCH(J192,Tabella!$A:$A,0)-1,MATCH(L192,Tabella!$A$1:$AC$1,0)-1))</f>
        <v>0</v>
      </c>
      <c r="N192" s="255">
        <f ca="1">IF(ISERROR(OFFSET(Ottone!$A$1,MATCH(J192,Ottone!$A:$A,0)-1,MATCH(L192,Ottone!$A$1:$Z$1,0)-1)=TRUE),0,OFFSET(Ottone!$A$1,MATCH(J192,Ottone!$A:$A,0)-1,MATCH(L192,Ottone!$A$1:$Z$1,0)-1))*IF(G192="Ottone",1,0)</f>
        <v>0</v>
      </c>
      <c r="O192" s="255">
        <f ca="1">IF(ISERROR(OFFSET(Rame!$A$1,MATCH(J192,Rame!$A:$A,0)-1,MATCH(L192,Rame!$A$1:$AA$1,0)-1)=TRUE),0,OFFSET(Rame!$A$1,MATCH(J192,Rame!$A:$A,0)-1,MATCH(L192,Rame!$A$1:$AA$1,0)-1))*IF(G192="Rame",1,0)</f>
        <v>1.25</v>
      </c>
      <c r="P192" s="255">
        <v>0</v>
      </c>
      <c r="Q192" s="255">
        <f t="shared" ca="1" si="105"/>
        <v>1.25</v>
      </c>
      <c r="R192" s="255">
        <f ca="1">+IF(ISERROR(OFFSET(Tabella!$G$1,MATCH(J192,Tabella!$G:$G,0)-1,MATCH(K192,Tabella!$G$1:$FG$1,0)-1)=TRUE),0,OFFSET(Tabella!$G$1,MATCH(J192,Tabella!$G:$G,0)-1,MATCH(K192,Tabella!$G$1:$AB$1,0)-1))</f>
        <v>0</v>
      </c>
      <c r="S192" s="255">
        <f ca="1">IF(ISERROR(OFFSET(Ottone!$F$1,MATCH(J192,Ottone!$A:$A,0)-1,MATCH(K192,Ottone!$F$1:$FF$1,0)-1)=TRUE),0,OFFSET(Ottone!$F$1,MATCH(J192,Ottone!$A:$A,0)-1,MATCH(K192,Ottone!$F$1:$FF$1,0)-1))*IF(G192="Ottone",1,0)</f>
        <v>0</v>
      </c>
      <c r="T192" s="255">
        <f ca="1">IF(ISERROR(OFFSET(Rame!$F$1,MATCH(J192,Rame!$F:$F,0)-1,MATCH(K192,Rame!$F$1:$FF$1,0)-1)=TRUE),0,OFFSET(Rame!$F$1,MATCH(J192,Rame!$F:$F,0)-1,MATCH(K192,Rame!$F$1:$FF$1,0)-1))*IF(G192="Rame",1,0)</f>
        <v>0</v>
      </c>
      <c r="U192" s="255">
        <f ca="1">IF(ISERROR(OFFSET(Bronzo!$A$1,MATCH(J192,Bronzo!$A:$A,0)-1,MATCH(K192,Bronzo!$A$1:$AA$1,0)-1)=TRUE),0,OFFSET(Bronzo!$A$1,MATCH(J192,Bronzo!$A:$A,0)-1,MATCH(K192,Bronzo!$A$1:$AA$1,0)-1))</f>
        <v>0</v>
      </c>
      <c r="V192" s="255">
        <f t="shared" ca="1" si="100"/>
        <v>0</v>
      </c>
      <c r="W192" s="254"/>
      <c r="X192" s="255">
        <v>0</v>
      </c>
      <c r="Y192" s="256">
        <f t="shared" ca="1" si="101"/>
        <v>1.25</v>
      </c>
      <c r="Z192" s="257">
        <f t="shared" si="102"/>
        <v>75</v>
      </c>
      <c r="AA192" s="253">
        <v>14.55</v>
      </c>
      <c r="AB192" s="253">
        <f t="shared" ca="1" si="103"/>
        <v>2.3800000000000008</v>
      </c>
      <c r="AC192" s="258">
        <v>46141</v>
      </c>
      <c r="AH192" s="232">
        <f t="shared" ca="1" si="99"/>
        <v>46120</v>
      </c>
      <c r="AI192" s="232" t="b">
        <f t="shared" si="94"/>
        <v>0</v>
      </c>
      <c r="AJ192" s="259">
        <f t="shared" ca="1" si="104"/>
        <v>21</v>
      </c>
      <c r="AM192" s="223">
        <f t="shared" si="95"/>
        <v>18</v>
      </c>
      <c r="AN192" s="223">
        <f t="shared" si="96"/>
        <v>2026</v>
      </c>
      <c r="AU192" s="223">
        <f t="shared" si="97"/>
        <v>4</v>
      </c>
      <c r="AV192" s="223">
        <f t="shared" si="98"/>
        <v>2026</v>
      </c>
    </row>
    <row r="193" spans="4:48" ht="26.25" x14ac:dyDescent="0.4">
      <c r="D193" s="246" t="s">
        <v>572</v>
      </c>
      <c r="E193" s="262" t="s">
        <v>92</v>
      </c>
      <c r="F193" s="263">
        <v>437</v>
      </c>
      <c r="G193" s="249" t="s">
        <v>4</v>
      </c>
      <c r="H193" s="250">
        <v>2.6</v>
      </c>
      <c r="I193" s="251">
        <v>46063</v>
      </c>
      <c r="J193" s="252" t="s">
        <v>22</v>
      </c>
      <c r="K193" s="252"/>
      <c r="L193" s="253">
        <v>7.0000000000000007E-2</v>
      </c>
      <c r="M193" s="254">
        <f ca="1">IF(ISERROR(OFFSET(Tabella!$A$1,MATCH(J193,Tabella!$A:$A,0)-1,MATCH(L193,Tabella!$A$1:$AC$1,0)-1)=TRUE),0,+OFFSET(Tabella!$A$1,MATCH(J193,Tabella!$A:$A,0)-1,MATCH(L193,Tabella!$A$1:$AC$1,0)-1))</f>
        <v>1.25</v>
      </c>
      <c r="N193" s="255">
        <f ca="1">IF(ISERROR(OFFSET(Ottone!$A$1,MATCH(J193,Ottone!$A:$A,0)-1,MATCH(L193,Ottone!$A$1:$Z$1,0)-1)=TRUE),0,OFFSET(Ottone!$A$1,MATCH(J193,Ottone!$A:$A,0)-1,MATCH(L193,Ottone!$A$1:$Z$1,0)-1))*IF(G193="Ottone",1,0)</f>
        <v>0</v>
      </c>
      <c r="O193" s="255">
        <f ca="1">IF(ISERROR(OFFSET(Rame!$A$1,MATCH(J193,Rame!$A:$A,0)-1,MATCH(L193,Rame!$A$1:$AA$1,0)-1)=TRUE),0,OFFSET(Rame!$A$1,MATCH(J193,Rame!$A:$A,0)-1,MATCH(L193,Rame!$A$1:$AA$1,0)-1))*IF(G193="Rame",1,0)</f>
        <v>0</v>
      </c>
      <c r="P193" s="255">
        <v>0</v>
      </c>
      <c r="Q193" s="255">
        <f t="shared" ca="1" si="105"/>
        <v>1.25</v>
      </c>
      <c r="R193" s="255">
        <f ca="1">+IF(ISERROR(OFFSET(Tabella!$G$1,MATCH(J193,Tabella!$G:$G,0)-1,MATCH(K193,Tabella!$G$1:$FG$1,0)-1)=TRUE),0,OFFSET(Tabella!$G$1,MATCH(J193,Tabella!$G:$G,0)-1,MATCH(K193,Tabella!$G$1:$AB$1,0)-1))</f>
        <v>0</v>
      </c>
      <c r="S193" s="255">
        <f ca="1">IF(ISERROR(OFFSET(Ottone!$F$1,MATCH(J193,Ottone!$A:$A,0)-1,MATCH(K193,Ottone!$F$1:$FF$1,0)-1)=TRUE),0,OFFSET(Ottone!$F$1,MATCH(J193,Ottone!$A:$A,0)-1,MATCH(K193,Ottone!$F$1:$FF$1,0)-1))*IF(G193="Ottone",1,0)</f>
        <v>0</v>
      </c>
      <c r="T193" s="255">
        <f ca="1">IF(ISERROR(OFFSET(Rame!$F$1,MATCH(J193,Rame!$F:$F,0)-1,MATCH(K193,Rame!$F$1:$FF$1,0)-1)=TRUE),0,OFFSET(Rame!$F$1,MATCH(J193,Rame!$F:$F,0)-1,MATCH(K193,Rame!$F$1:$FF$1,0)-1))*IF(G193="Rame",1,0)</f>
        <v>0</v>
      </c>
      <c r="U193" s="255">
        <f ca="1">IF(ISERROR(OFFSET(Bronzo!$A$1,MATCH(J193,Bronzo!$A:$A,0)-1,MATCH(K193,Bronzo!$A$1:$AA$1,0)-1)=TRUE),0,OFFSET(Bronzo!$A$1,MATCH(J193,Bronzo!$A:$A,0)-1,MATCH(K193,Bronzo!$A$1:$AA$1,0)-1))</f>
        <v>0</v>
      </c>
      <c r="V193" s="255">
        <f t="shared" ca="1" si="100"/>
        <v>0</v>
      </c>
      <c r="W193" s="254"/>
      <c r="X193" s="255">
        <v>0</v>
      </c>
      <c r="Y193" s="256">
        <f t="shared" ca="1" si="101"/>
        <v>1.25</v>
      </c>
      <c r="Z193" s="269">
        <f t="shared" si="102"/>
        <v>30.590000000000003</v>
      </c>
      <c r="AA193" s="253">
        <v>4.0999999999999996</v>
      </c>
      <c r="AB193" s="253">
        <f t="shared" ca="1" si="103"/>
        <v>0.24999999999999956</v>
      </c>
      <c r="AC193" s="258"/>
      <c r="AF193" s="223" t="s">
        <v>405</v>
      </c>
      <c r="AH193" s="232">
        <f t="shared" ca="1" si="99"/>
        <v>46120</v>
      </c>
      <c r="AI193" s="232" t="b">
        <f t="shared" si="94"/>
        <v>1</v>
      </c>
      <c r="AJ193" s="259" t="str">
        <f t="shared" si="104"/>
        <v/>
      </c>
      <c r="AM193" s="223">
        <f t="shared" si="95"/>
        <v>0</v>
      </c>
      <c r="AN193" s="223">
        <f t="shared" si="96"/>
        <v>1900</v>
      </c>
      <c r="AU193" s="223">
        <f t="shared" si="97"/>
        <v>0</v>
      </c>
      <c r="AV193" s="223">
        <f t="shared" si="98"/>
        <v>0</v>
      </c>
    </row>
    <row r="194" spans="4:48" ht="26.25" x14ac:dyDescent="0.4">
      <c r="D194" s="246" t="s">
        <v>731</v>
      </c>
      <c r="E194" s="262" t="s">
        <v>92</v>
      </c>
      <c r="F194" s="263">
        <v>1784</v>
      </c>
      <c r="G194" s="249" t="s">
        <v>4</v>
      </c>
      <c r="H194" s="250">
        <v>2.6</v>
      </c>
      <c r="I194" s="251">
        <v>46063</v>
      </c>
      <c r="J194" s="252" t="s">
        <v>24</v>
      </c>
      <c r="K194" s="252"/>
      <c r="L194" s="253">
        <v>7.0000000000000007E-2</v>
      </c>
      <c r="M194" s="254">
        <f ca="1">IF(ISERROR(OFFSET(Tabella!$A$1,MATCH(J194,Tabella!$A:$A,0)-1,MATCH(L194,Tabella!$A$1:$AC$1,0)-1)=TRUE),0,+OFFSET(Tabella!$A$1,MATCH(J194,Tabella!$A:$A,0)-1,MATCH(L194,Tabella!$A$1:$AC$1,0)-1))</f>
        <v>1.25</v>
      </c>
      <c r="N194" s="255">
        <f ca="1">IF(ISERROR(OFFSET(Ottone!$A$1,MATCH(J194,Ottone!$A:$A,0)-1,MATCH(L194,Ottone!$A$1:$Z$1,0)-1)=TRUE),0,OFFSET(Ottone!$A$1,MATCH(J194,Ottone!$A:$A,0)-1,MATCH(L194,Ottone!$A$1:$Z$1,0)-1))*IF(G194="Ottone",1,0)</f>
        <v>0</v>
      </c>
      <c r="O194" s="255">
        <f ca="1">IF(ISERROR(OFFSET(Rame!$A$1,MATCH(J194,Rame!$A:$A,0)-1,MATCH(L194,Rame!$A$1:$AA$1,0)-1)=TRUE),0,OFFSET(Rame!$A$1,MATCH(J194,Rame!$A:$A,0)-1,MATCH(L194,Rame!$A$1:$AA$1,0)-1))*IF(G194="Rame",1,0)</f>
        <v>0</v>
      </c>
      <c r="P194" s="255">
        <v>0</v>
      </c>
      <c r="Q194" s="255">
        <f t="shared" ca="1" si="105"/>
        <v>1.25</v>
      </c>
      <c r="R194" s="255">
        <f ca="1">+IF(ISERROR(OFFSET(Tabella!$G$1,MATCH(J194,Tabella!$G:$G,0)-1,MATCH(K194,Tabella!$G$1:$FG$1,0)-1)=TRUE),0,OFFSET(Tabella!$G$1,MATCH(J194,Tabella!$G:$G,0)-1,MATCH(K194,Tabella!$G$1:$AB$1,0)-1))</f>
        <v>0</v>
      </c>
      <c r="S194" s="255">
        <f ca="1">IF(ISERROR(OFFSET(Ottone!$F$1,MATCH(J194,Ottone!$A:$A,0)-1,MATCH(K194,Ottone!$F$1:$FF$1,0)-1)=TRUE),0,OFFSET(Ottone!$F$1,MATCH(J194,Ottone!$A:$A,0)-1,MATCH(K194,Ottone!$F$1:$FF$1,0)-1))*IF(G194="Ottone",1,0)</f>
        <v>0</v>
      </c>
      <c r="T194" s="255">
        <f ca="1">IF(ISERROR(OFFSET(Rame!$F$1,MATCH(J194,Rame!$F:$F,0)-1,MATCH(K194,Rame!$F$1:$FF$1,0)-1)=TRUE),0,OFFSET(Rame!$F$1,MATCH(J194,Rame!$F:$F,0)-1,MATCH(K194,Rame!$F$1:$FF$1,0)-1))*IF(G194="Rame",1,0)</f>
        <v>0</v>
      </c>
      <c r="U194" s="255">
        <f ca="1">IF(ISERROR(OFFSET(Bronzo!$A$1,MATCH(J194,Bronzo!$A:$A,0)-1,MATCH(K194,Bronzo!$A$1:$AA$1,0)-1)=TRUE),0,OFFSET(Bronzo!$A$1,MATCH(J194,Bronzo!$A:$A,0)-1,MATCH(K194,Bronzo!$A$1:$AA$1,0)-1))</f>
        <v>0</v>
      </c>
      <c r="V194" s="255">
        <f t="shared" ca="1" si="100"/>
        <v>0</v>
      </c>
      <c r="W194" s="254"/>
      <c r="X194" s="255">
        <v>0</v>
      </c>
      <c r="Y194" s="256">
        <f t="shared" ca="1" si="101"/>
        <v>1.25</v>
      </c>
      <c r="Z194" s="269">
        <f t="shared" si="102"/>
        <v>124.88000000000001</v>
      </c>
      <c r="AA194" s="253">
        <v>4.0999999999999996</v>
      </c>
      <c r="AB194" s="253">
        <f t="shared" ca="1" si="103"/>
        <v>0.24999999999999956</v>
      </c>
      <c r="AC194" s="258"/>
      <c r="AF194" s="223" t="s">
        <v>405</v>
      </c>
      <c r="AH194" s="232">
        <f t="shared" ca="1" si="99"/>
        <v>46120</v>
      </c>
      <c r="AI194" s="232" t="b">
        <f t="shared" si="94"/>
        <v>1</v>
      </c>
      <c r="AJ194" s="259" t="str">
        <f t="shared" si="104"/>
        <v/>
      </c>
      <c r="AM194" s="223">
        <f t="shared" si="95"/>
        <v>0</v>
      </c>
      <c r="AN194" s="223">
        <f t="shared" si="96"/>
        <v>1900</v>
      </c>
      <c r="AU194" s="223">
        <f t="shared" si="97"/>
        <v>0</v>
      </c>
      <c r="AV194" s="223">
        <f t="shared" si="98"/>
        <v>0</v>
      </c>
    </row>
    <row r="195" spans="4:48" ht="26.25" x14ac:dyDescent="0.4">
      <c r="D195" s="246" t="s">
        <v>731</v>
      </c>
      <c r="E195" s="262" t="s">
        <v>92</v>
      </c>
      <c r="F195" s="263">
        <v>1332</v>
      </c>
      <c r="G195" s="249" t="s">
        <v>4</v>
      </c>
      <c r="H195" s="250">
        <v>2.6</v>
      </c>
      <c r="I195" s="251">
        <v>46063</v>
      </c>
      <c r="J195" s="252" t="s">
        <v>315</v>
      </c>
      <c r="K195" s="252"/>
      <c r="L195" s="253">
        <v>7.0000000000000007E-2</v>
      </c>
      <c r="M195" s="254">
        <f ca="1">IF(ISERROR(OFFSET(Tabella!$A$1,MATCH(J195,Tabella!$A:$A,0)-1,MATCH(L195,Tabella!$A$1:$AC$1,0)-1)=TRUE),0,+OFFSET(Tabella!$A$1,MATCH(J195,Tabella!$A:$A,0)-1,MATCH(L195,Tabella!$A$1:$AC$1,0)-1))</f>
        <v>1.25</v>
      </c>
      <c r="N195" s="255">
        <f ca="1">IF(ISERROR(OFFSET(Ottone!$A$1,MATCH(J195,Ottone!$A:$A,0)-1,MATCH(L195,Ottone!$A$1:$Z$1,0)-1)=TRUE),0,OFFSET(Ottone!$A$1,MATCH(J195,Ottone!$A:$A,0)-1,MATCH(L195,Ottone!$A$1:$Z$1,0)-1))*IF(G195="Ottone",1,0)</f>
        <v>0</v>
      </c>
      <c r="O195" s="255">
        <f ca="1">IF(ISERROR(OFFSET(Rame!$A$1,MATCH(J195,Rame!$A:$A,0)-1,MATCH(L195,Rame!$A$1:$AA$1,0)-1)=TRUE),0,OFFSET(Rame!$A$1,MATCH(J195,Rame!$A:$A,0)-1,MATCH(L195,Rame!$A$1:$AA$1,0)-1))*IF(G195="Rame",1,0)</f>
        <v>0</v>
      </c>
      <c r="P195" s="255">
        <v>0</v>
      </c>
      <c r="Q195" s="255">
        <f t="shared" ca="1" si="105"/>
        <v>1.25</v>
      </c>
      <c r="R195" s="255">
        <f ca="1">+IF(ISERROR(OFFSET(Tabella!$G$1,MATCH(J195,Tabella!$G:$G,0)-1,MATCH(K195,Tabella!$G$1:$FG$1,0)-1)=TRUE),0,OFFSET(Tabella!$G$1,MATCH(J195,Tabella!$G:$G,0)-1,MATCH(K195,Tabella!$G$1:$AB$1,0)-1))</f>
        <v>0</v>
      </c>
      <c r="S195" s="255">
        <f ca="1">IF(ISERROR(OFFSET(Ottone!$F$1,MATCH(J195,Ottone!$A:$A,0)-1,MATCH(K195,Ottone!$F$1:$FF$1,0)-1)=TRUE),0,OFFSET(Ottone!$F$1,MATCH(J195,Ottone!$A:$A,0)-1,MATCH(K195,Ottone!$F$1:$FF$1,0)-1))*IF(G195="Ottone",1,0)</f>
        <v>0</v>
      </c>
      <c r="T195" s="255">
        <f ca="1">IF(ISERROR(OFFSET(Rame!$F$1,MATCH(J195,Rame!$F:$F,0)-1,MATCH(K195,Rame!$F$1:$FF$1,0)-1)=TRUE),0,OFFSET(Rame!$F$1,MATCH(J195,Rame!$F:$F,0)-1,MATCH(K195,Rame!$F$1:$FF$1,0)-1))*IF(G195="Rame",1,0)</f>
        <v>0</v>
      </c>
      <c r="U195" s="255">
        <f ca="1">IF(ISERROR(OFFSET(Bronzo!$A$1,MATCH(J195,Bronzo!$A:$A,0)-1,MATCH(K195,Bronzo!$A$1:$AA$1,0)-1)=TRUE),0,OFFSET(Bronzo!$A$1,MATCH(J195,Bronzo!$A:$A,0)-1,MATCH(K195,Bronzo!$A$1:$AA$1,0)-1))</f>
        <v>0</v>
      </c>
      <c r="V195" s="255">
        <f t="shared" ca="1" si="100"/>
        <v>0</v>
      </c>
      <c r="W195" s="254"/>
      <c r="X195" s="255">
        <v>0</v>
      </c>
      <c r="Y195" s="256">
        <f t="shared" ca="1" si="101"/>
        <v>1.25</v>
      </c>
      <c r="Z195" s="269">
        <f t="shared" si="102"/>
        <v>93.240000000000009</v>
      </c>
      <c r="AA195" s="253">
        <v>4.0999999999999996</v>
      </c>
      <c r="AB195" s="253">
        <f t="shared" ca="1" si="103"/>
        <v>0.24999999999999956</v>
      </c>
      <c r="AC195" s="258"/>
      <c r="AF195" s="223" t="s">
        <v>405</v>
      </c>
      <c r="AG195" s="223" t="s">
        <v>732</v>
      </c>
      <c r="AH195" s="232">
        <f t="shared" ca="1" si="99"/>
        <v>46120</v>
      </c>
      <c r="AI195" s="232" t="b">
        <f t="shared" si="94"/>
        <v>1</v>
      </c>
      <c r="AJ195" s="259" t="str">
        <f t="shared" si="104"/>
        <v/>
      </c>
      <c r="AM195" s="223">
        <f t="shared" si="95"/>
        <v>0</v>
      </c>
      <c r="AN195" s="223">
        <f t="shared" si="96"/>
        <v>1900</v>
      </c>
      <c r="AU195" s="223">
        <f t="shared" si="97"/>
        <v>0</v>
      </c>
      <c r="AV195" s="223">
        <f t="shared" si="98"/>
        <v>0</v>
      </c>
    </row>
    <row r="196" spans="4:48" ht="26.25" x14ac:dyDescent="0.4">
      <c r="D196" s="246" t="s">
        <v>731</v>
      </c>
      <c r="E196" s="262" t="s">
        <v>92</v>
      </c>
      <c r="F196" s="263">
        <v>1515</v>
      </c>
      <c r="G196" s="249" t="s">
        <v>4</v>
      </c>
      <c r="H196" s="250">
        <v>2.6</v>
      </c>
      <c r="I196" s="251">
        <v>46063</v>
      </c>
      <c r="J196" s="252" t="s">
        <v>28</v>
      </c>
      <c r="K196" s="252"/>
      <c r="L196" s="253">
        <v>7.0000000000000007E-2</v>
      </c>
      <c r="M196" s="254">
        <f ca="1">IF(ISERROR(OFFSET(Tabella!$A$1,MATCH(J196,Tabella!$A:$A,0)-1,MATCH(L196,Tabella!$A$1:$AC$1,0)-1)=TRUE),0,+OFFSET(Tabella!$A$1,MATCH(J196,Tabella!$A:$A,0)-1,MATCH(L196,Tabella!$A$1:$AC$1,0)-1))</f>
        <v>1.25</v>
      </c>
      <c r="N196" s="255">
        <f ca="1">IF(ISERROR(OFFSET(Ottone!$A$1,MATCH(J196,Ottone!$A:$A,0)-1,MATCH(L196,Ottone!$A$1:$Z$1,0)-1)=TRUE),0,OFFSET(Ottone!$A$1,MATCH(J196,Ottone!$A:$A,0)-1,MATCH(L196,Ottone!$A$1:$Z$1,0)-1))*IF(G196="Ottone",1,0)</f>
        <v>0</v>
      </c>
      <c r="O196" s="255">
        <f ca="1">IF(ISERROR(OFFSET(Rame!$A$1,MATCH(J196,Rame!$A:$A,0)-1,MATCH(L196,Rame!$A$1:$AA$1,0)-1)=TRUE),0,OFFSET(Rame!$A$1,MATCH(J196,Rame!$A:$A,0)-1,MATCH(L196,Rame!$A$1:$AA$1,0)-1))*IF(G196="Rame",1,0)</f>
        <v>0</v>
      </c>
      <c r="P196" s="255">
        <v>0</v>
      </c>
      <c r="Q196" s="255">
        <f t="shared" ca="1" si="105"/>
        <v>1.25</v>
      </c>
      <c r="R196" s="255">
        <f ca="1">+IF(ISERROR(OFFSET(Tabella!$G$1,MATCH(J196,Tabella!$G:$G,0)-1,MATCH(K196,Tabella!$G$1:$FG$1,0)-1)=TRUE),0,OFFSET(Tabella!$G$1,MATCH(J196,Tabella!$G:$G,0)-1,MATCH(K196,Tabella!$G$1:$AB$1,0)-1))</f>
        <v>0</v>
      </c>
      <c r="S196" s="255">
        <f ca="1">IF(ISERROR(OFFSET(Ottone!$F$1,MATCH(J196,Ottone!$A:$A,0)-1,MATCH(K196,Ottone!$F$1:$FF$1,0)-1)=TRUE),0,OFFSET(Ottone!$F$1,MATCH(J196,Ottone!$A:$A,0)-1,MATCH(K196,Ottone!$F$1:$FF$1,0)-1))*IF(G196="Ottone",1,0)</f>
        <v>0</v>
      </c>
      <c r="T196" s="255">
        <f ca="1">IF(ISERROR(OFFSET(Rame!$F$1,MATCH(J196,Rame!$F:$F,0)-1,MATCH(K196,Rame!$F$1:$FF$1,0)-1)=TRUE),0,OFFSET(Rame!$F$1,MATCH(J196,Rame!$F:$F,0)-1,MATCH(K196,Rame!$F$1:$FF$1,0)-1))*IF(G196="Rame",1,0)</f>
        <v>0</v>
      </c>
      <c r="U196" s="255">
        <f ca="1">IF(ISERROR(OFFSET(Bronzo!$A$1,MATCH(J196,Bronzo!$A:$A,0)-1,MATCH(K196,Bronzo!$A$1:$AA$1,0)-1)=TRUE),0,OFFSET(Bronzo!$A$1,MATCH(J196,Bronzo!$A:$A,0)-1,MATCH(K196,Bronzo!$A$1:$AA$1,0)-1))</f>
        <v>0</v>
      </c>
      <c r="V196" s="255">
        <f t="shared" ca="1" si="100"/>
        <v>0</v>
      </c>
      <c r="W196" s="254"/>
      <c r="X196" s="255">
        <v>0</v>
      </c>
      <c r="Y196" s="256">
        <f t="shared" ca="1" si="101"/>
        <v>1.25</v>
      </c>
      <c r="Z196" s="269">
        <f t="shared" si="102"/>
        <v>106.05000000000001</v>
      </c>
      <c r="AA196" s="253">
        <v>4.0999999999999996</v>
      </c>
      <c r="AB196" s="253">
        <f t="shared" ca="1" si="103"/>
        <v>0.24999999999999956</v>
      </c>
      <c r="AC196" s="258"/>
      <c r="AF196" s="223" t="s">
        <v>405</v>
      </c>
      <c r="AH196" s="232">
        <f t="shared" ca="1" si="99"/>
        <v>46120</v>
      </c>
      <c r="AI196" s="232" t="b">
        <f t="shared" si="94"/>
        <v>1</v>
      </c>
      <c r="AJ196" s="259" t="str">
        <f t="shared" si="104"/>
        <v/>
      </c>
      <c r="AM196" s="223">
        <f t="shared" si="95"/>
        <v>0</v>
      </c>
      <c r="AN196" s="223">
        <f t="shared" si="96"/>
        <v>1900</v>
      </c>
      <c r="AU196" s="223">
        <f t="shared" si="97"/>
        <v>0</v>
      </c>
      <c r="AV196" s="223">
        <f t="shared" si="98"/>
        <v>0</v>
      </c>
    </row>
    <row r="197" spans="4:48" ht="26.25" x14ac:dyDescent="0.4">
      <c r="D197" s="246" t="s">
        <v>589</v>
      </c>
      <c r="E197" s="262" t="s">
        <v>219</v>
      </c>
      <c r="F197" s="263">
        <v>523</v>
      </c>
      <c r="G197" s="249" t="s">
        <v>4</v>
      </c>
      <c r="H197" s="250">
        <v>2.6</v>
      </c>
      <c r="I197" s="251">
        <v>46063</v>
      </c>
      <c r="J197" s="252" t="s">
        <v>23</v>
      </c>
      <c r="K197" s="252"/>
      <c r="L197" s="253">
        <v>7.0000000000000007E-2</v>
      </c>
      <c r="M197" s="254">
        <f ca="1">IF(ISERROR(OFFSET(Tabella!$A$1,MATCH(J197,Tabella!$A:$A,0)-1,MATCH(L197,Tabella!$A$1:$AC$1,0)-1)=TRUE),0,+OFFSET(Tabella!$A$1,MATCH(J197,Tabella!$A:$A,0)-1,MATCH(L197,Tabella!$A$1:$AC$1,0)-1))</f>
        <v>1.25</v>
      </c>
      <c r="N197" s="255">
        <f ca="1">IF(ISERROR(OFFSET(Ottone!$A$1,MATCH(J197,Ottone!$A:$A,0)-1,MATCH(L197,Ottone!$A$1:$Z$1,0)-1)=TRUE),0,OFFSET(Ottone!$A$1,MATCH(J197,Ottone!$A:$A,0)-1,MATCH(L197,Ottone!$A$1:$Z$1,0)-1))*IF(G197="Ottone",1,0)</f>
        <v>0</v>
      </c>
      <c r="O197" s="255">
        <f ca="1">IF(ISERROR(OFFSET(Rame!$A$1,MATCH(J197,Rame!$A:$A,0)-1,MATCH(L197,Rame!$A$1:$AA$1,0)-1)=TRUE),0,OFFSET(Rame!$A$1,MATCH(J197,Rame!$A:$A,0)-1,MATCH(L197,Rame!$A$1:$AA$1,0)-1))*IF(G197="Rame",1,0)</f>
        <v>0</v>
      </c>
      <c r="P197" s="255">
        <v>0</v>
      </c>
      <c r="Q197" s="255">
        <v>1.5</v>
      </c>
      <c r="R197" s="255">
        <f ca="1">+IF(ISERROR(OFFSET(Tabella!$G$1,MATCH(J197,Tabella!$G:$G,0)-1,MATCH(K197,Tabella!$G$1:$FG$1,0)-1)=TRUE),0,OFFSET(Tabella!$G$1,MATCH(J197,Tabella!$G:$G,0)-1,MATCH(K197,Tabella!$G$1:$AB$1,0)-1))</f>
        <v>0</v>
      </c>
      <c r="S197" s="255">
        <f ca="1">IF(ISERROR(OFFSET(Ottone!$F$1,MATCH(J197,Ottone!$A:$A,0)-1,MATCH(K197,Ottone!$F$1:$FF$1,0)-1)=TRUE),0,OFFSET(Ottone!$F$1,MATCH(J197,Ottone!$A:$A,0)-1,MATCH(K197,Ottone!$F$1:$FF$1,0)-1))*IF(G197="Ottone",1,0)</f>
        <v>0</v>
      </c>
      <c r="T197" s="255">
        <f ca="1">IF(ISERROR(OFFSET(Rame!$F$1,MATCH(J197,Rame!$F:$F,0)-1,MATCH(K197,Rame!$F$1:$FF$1,0)-1)=TRUE),0,OFFSET(Rame!$F$1,MATCH(J197,Rame!$F:$F,0)-1,MATCH(K197,Rame!$F$1:$FF$1,0)-1))*IF(G197="Rame",1,0)</f>
        <v>0</v>
      </c>
      <c r="U197" s="255">
        <f ca="1">IF(ISERROR(OFFSET(Bronzo!$A$1,MATCH(J197,Bronzo!$A:$A,0)-1,MATCH(K197,Bronzo!$A$1:$AA$1,0)-1)=TRUE),0,OFFSET(Bronzo!$A$1,MATCH(J197,Bronzo!$A:$A,0)-1,MATCH(K197,Bronzo!$A$1:$AA$1,0)-1))</f>
        <v>0</v>
      </c>
      <c r="V197" s="255">
        <f t="shared" ca="1" si="100"/>
        <v>0</v>
      </c>
      <c r="W197" s="254"/>
      <c r="X197" s="255">
        <v>0</v>
      </c>
      <c r="Y197" s="256">
        <f t="shared" ca="1" si="101"/>
        <v>1.5</v>
      </c>
      <c r="Z197" s="269">
        <f t="shared" si="102"/>
        <v>36.610000000000007</v>
      </c>
      <c r="AA197" s="253">
        <v>4.07</v>
      </c>
      <c r="AB197" s="253">
        <f t="shared" ca="1" si="103"/>
        <v>-2.9999999999999805E-2</v>
      </c>
      <c r="AC197" s="258"/>
      <c r="AF197" s="223" t="s">
        <v>405</v>
      </c>
      <c r="AH197" s="232">
        <f t="shared" ca="1" si="99"/>
        <v>46120</v>
      </c>
      <c r="AI197" s="232" t="b">
        <f t="shared" si="94"/>
        <v>1</v>
      </c>
      <c r="AJ197" s="259" t="str">
        <f t="shared" si="104"/>
        <v/>
      </c>
      <c r="AM197" s="223">
        <f t="shared" si="95"/>
        <v>0</v>
      </c>
      <c r="AN197" s="223">
        <f t="shared" si="96"/>
        <v>1900</v>
      </c>
      <c r="AU197" s="223">
        <f t="shared" si="97"/>
        <v>0</v>
      </c>
      <c r="AV197" s="223">
        <f t="shared" si="98"/>
        <v>0</v>
      </c>
    </row>
    <row r="198" spans="4:48" ht="26.25" x14ac:dyDescent="0.4">
      <c r="D198" s="246" t="s">
        <v>678</v>
      </c>
      <c r="E198" s="262" t="s">
        <v>219</v>
      </c>
      <c r="F198" s="263">
        <v>544</v>
      </c>
      <c r="G198" s="249" t="s">
        <v>4</v>
      </c>
      <c r="H198" s="250">
        <v>2.6</v>
      </c>
      <c r="I198" s="251">
        <v>46063</v>
      </c>
      <c r="J198" s="252" t="s">
        <v>23</v>
      </c>
      <c r="K198" s="252"/>
      <c r="L198" s="253">
        <v>7.0000000000000007E-2</v>
      </c>
      <c r="M198" s="254">
        <f ca="1">IF(ISERROR(OFFSET(Tabella!$A$1,MATCH(J198,Tabella!$A:$A,0)-1,MATCH(L198,Tabella!$A$1:$AC$1,0)-1)=TRUE),0,+OFFSET(Tabella!$A$1,MATCH(J198,Tabella!$A:$A,0)-1,MATCH(L198,Tabella!$A$1:$AC$1,0)-1))</f>
        <v>1.25</v>
      </c>
      <c r="N198" s="255">
        <f ca="1">IF(ISERROR(OFFSET(Ottone!$A$1,MATCH(J198,Ottone!$A:$A,0)-1,MATCH(L198,Ottone!$A$1:$Z$1,0)-1)=TRUE),0,OFFSET(Ottone!$A$1,MATCH(J198,Ottone!$A:$A,0)-1,MATCH(L198,Ottone!$A$1:$Z$1,0)-1))*IF(G198="Ottone",1,0)</f>
        <v>0</v>
      </c>
      <c r="O198" s="255">
        <f ca="1">IF(ISERROR(OFFSET(Rame!$A$1,MATCH(J198,Rame!$A:$A,0)-1,MATCH(L198,Rame!$A$1:$AA$1,0)-1)=TRUE),0,OFFSET(Rame!$A$1,MATCH(J198,Rame!$A:$A,0)-1,MATCH(L198,Rame!$A$1:$AA$1,0)-1))*IF(G198="Rame",1,0)</f>
        <v>0</v>
      </c>
      <c r="P198" s="255">
        <v>0</v>
      </c>
      <c r="Q198" s="255">
        <v>1.5</v>
      </c>
      <c r="R198" s="255">
        <f ca="1">+IF(ISERROR(OFFSET(Tabella!$G$1,MATCH(J198,Tabella!$G:$G,0)-1,MATCH(K198,Tabella!$G$1:$FG$1,0)-1)=TRUE),0,OFFSET(Tabella!$G$1,MATCH(J198,Tabella!$G:$G,0)-1,MATCH(K198,Tabella!$G$1:$AB$1,0)-1))</f>
        <v>0</v>
      </c>
      <c r="S198" s="255">
        <f ca="1">IF(ISERROR(OFFSET(Ottone!$F$1,MATCH(J198,Ottone!$A:$A,0)-1,MATCH(K198,Ottone!$F$1:$FF$1,0)-1)=TRUE),0,OFFSET(Ottone!$F$1,MATCH(J198,Ottone!$A:$A,0)-1,MATCH(K198,Ottone!$F$1:$FF$1,0)-1))*IF(G198="Ottone",1,0)</f>
        <v>0</v>
      </c>
      <c r="T198" s="255">
        <f ca="1">IF(ISERROR(OFFSET(Rame!$F$1,MATCH(J198,Rame!$F:$F,0)-1,MATCH(K198,Rame!$F$1:$FF$1,0)-1)=TRUE),0,OFFSET(Rame!$F$1,MATCH(J198,Rame!$F:$F,0)-1,MATCH(K198,Rame!$F$1:$FF$1,0)-1))*IF(G198="Rame",1,0)</f>
        <v>0</v>
      </c>
      <c r="U198" s="255">
        <f ca="1">IF(ISERROR(OFFSET(Bronzo!$A$1,MATCH(J198,Bronzo!$A:$A,0)-1,MATCH(K198,Bronzo!$A$1:$AA$1,0)-1)=TRUE),0,OFFSET(Bronzo!$A$1,MATCH(J198,Bronzo!$A:$A,0)-1,MATCH(K198,Bronzo!$A$1:$AA$1,0)-1))</f>
        <v>0</v>
      </c>
      <c r="V198" s="255">
        <f t="shared" ca="1" si="100"/>
        <v>0</v>
      </c>
      <c r="W198" s="254"/>
      <c r="X198" s="255">
        <v>0</v>
      </c>
      <c r="Y198" s="256">
        <f t="shared" ca="1" si="101"/>
        <v>1.5</v>
      </c>
      <c r="Z198" s="269">
        <f t="shared" si="102"/>
        <v>38.080000000000005</v>
      </c>
      <c r="AA198" s="253">
        <v>4.07</v>
      </c>
      <c r="AB198" s="253">
        <f t="shared" ca="1" si="103"/>
        <v>-2.9999999999999805E-2</v>
      </c>
      <c r="AC198" s="258"/>
      <c r="AF198" s="223" t="s">
        <v>405</v>
      </c>
      <c r="AH198" s="232">
        <f t="shared" ca="1" si="99"/>
        <v>46120</v>
      </c>
      <c r="AI198" s="232" t="b">
        <f t="shared" si="94"/>
        <v>1</v>
      </c>
      <c r="AJ198" s="259" t="str">
        <f t="shared" si="104"/>
        <v/>
      </c>
      <c r="AM198" s="223">
        <f t="shared" si="95"/>
        <v>0</v>
      </c>
      <c r="AN198" s="223">
        <f t="shared" si="96"/>
        <v>1900</v>
      </c>
      <c r="AU198" s="223">
        <f t="shared" si="97"/>
        <v>0</v>
      </c>
      <c r="AV198" s="223">
        <f t="shared" si="98"/>
        <v>0</v>
      </c>
    </row>
    <row r="199" spans="4:48" ht="26.25" x14ac:dyDescent="0.4">
      <c r="D199" s="246" t="s">
        <v>590</v>
      </c>
      <c r="E199" s="262" t="s">
        <v>219</v>
      </c>
      <c r="F199" s="263">
        <v>685</v>
      </c>
      <c r="G199" s="249" t="s">
        <v>4</v>
      </c>
      <c r="H199" s="250">
        <v>2.6</v>
      </c>
      <c r="I199" s="251">
        <v>46063</v>
      </c>
      <c r="J199" s="252" t="s">
        <v>23</v>
      </c>
      <c r="K199" s="252"/>
      <c r="L199" s="253">
        <v>7.0000000000000007E-2</v>
      </c>
      <c r="M199" s="254">
        <f ca="1">IF(ISERROR(OFFSET(Tabella!$A$1,MATCH(J199,Tabella!$A:$A,0)-1,MATCH(L199,Tabella!$A$1:$AC$1,0)-1)=TRUE),0,+OFFSET(Tabella!$A$1,MATCH(J199,Tabella!$A:$A,0)-1,MATCH(L199,Tabella!$A$1:$AC$1,0)-1))</f>
        <v>1.25</v>
      </c>
      <c r="N199" s="255">
        <f ca="1">IF(ISERROR(OFFSET(Ottone!$A$1,MATCH(J199,Ottone!$A:$A,0)-1,MATCH(L199,Ottone!$A$1:$Z$1,0)-1)=TRUE),0,OFFSET(Ottone!$A$1,MATCH(J199,Ottone!$A:$A,0)-1,MATCH(L199,Ottone!$A$1:$Z$1,0)-1))*IF(G199="Ottone",1,0)</f>
        <v>0</v>
      </c>
      <c r="O199" s="255">
        <f ca="1">IF(ISERROR(OFFSET(Rame!$A$1,MATCH(J199,Rame!$A:$A,0)-1,MATCH(L199,Rame!$A$1:$AA$1,0)-1)=TRUE),0,OFFSET(Rame!$A$1,MATCH(J199,Rame!$A:$A,0)-1,MATCH(L199,Rame!$A$1:$AA$1,0)-1))*IF(G199="Rame",1,0)</f>
        <v>0</v>
      </c>
      <c r="P199" s="255">
        <v>0</v>
      </c>
      <c r="Q199" s="255">
        <v>1.5</v>
      </c>
      <c r="R199" s="255">
        <f ca="1">+IF(ISERROR(OFFSET(Tabella!$G$1,MATCH(J199,Tabella!$G:$G,0)-1,MATCH(K199,Tabella!$G$1:$FG$1,0)-1)=TRUE),0,OFFSET(Tabella!$G$1,MATCH(J199,Tabella!$G:$G,0)-1,MATCH(K199,Tabella!$G$1:$AB$1,0)-1))</f>
        <v>0</v>
      </c>
      <c r="S199" s="255">
        <f ca="1">IF(ISERROR(OFFSET(Ottone!$F$1,MATCH(J199,Ottone!$A:$A,0)-1,MATCH(K199,Ottone!$F$1:$FF$1,0)-1)=TRUE),0,OFFSET(Ottone!$F$1,MATCH(J199,Ottone!$A:$A,0)-1,MATCH(K199,Ottone!$F$1:$FF$1,0)-1))*IF(G199="Ottone",1,0)</f>
        <v>0</v>
      </c>
      <c r="T199" s="255">
        <f ca="1">IF(ISERROR(OFFSET(Rame!$F$1,MATCH(J199,Rame!$F:$F,0)-1,MATCH(K199,Rame!$F$1:$FF$1,0)-1)=TRUE),0,OFFSET(Rame!$F$1,MATCH(J199,Rame!$F:$F,0)-1,MATCH(K199,Rame!$F$1:$FF$1,0)-1))*IF(G199="Rame",1,0)</f>
        <v>0</v>
      </c>
      <c r="U199" s="255">
        <f ca="1">IF(ISERROR(OFFSET(Bronzo!$A$1,MATCH(J199,Bronzo!$A:$A,0)-1,MATCH(K199,Bronzo!$A$1:$AA$1,0)-1)=TRUE),0,OFFSET(Bronzo!$A$1,MATCH(J199,Bronzo!$A:$A,0)-1,MATCH(K199,Bronzo!$A$1:$AA$1,0)-1))</f>
        <v>0</v>
      </c>
      <c r="V199" s="255">
        <f t="shared" ca="1" si="100"/>
        <v>0</v>
      </c>
      <c r="W199" s="254"/>
      <c r="X199" s="255">
        <v>0</v>
      </c>
      <c r="Y199" s="256">
        <f t="shared" ca="1" si="101"/>
        <v>1.5</v>
      </c>
      <c r="Z199" s="269">
        <f t="shared" si="102"/>
        <v>47.95</v>
      </c>
      <c r="AA199" s="253">
        <v>4.07</v>
      </c>
      <c r="AB199" s="253">
        <f t="shared" ca="1" si="103"/>
        <v>-2.9999999999999805E-2</v>
      </c>
      <c r="AC199" s="258"/>
      <c r="AF199" s="223" t="s">
        <v>405</v>
      </c>
      <c r="AH199" s="232">
        <f t="shared" ca="1" si="99"/>
        <v>46120</v>
      </c>
      <c r="AI199" s="232" t="b">
        <f t="shared" si="94"/>
        <v>1</v>
      </c>
      <c r="AJ199" s="259" t="str">
        <f t="shared" si="104"/>
        <v/>
      </c>
      <c r="AM199" s="223">
        <f t="shared" si="95"/>
        <v>0</v>
      </c>
      <c r="AN199" s="223">
        <f t="shared" si="96"/>
        <v>1900</v>
      </c>
      <c r="AU199" s="223">
        <f t="shared" si="97"/>
        <v>0</v>
      </c>
      <c r="AV199" s="223">
        <f t="shared" si="98"/>
        <v>0</v>
      </c>
    </row>
    <row r="200" spans="4:48" ht="26.25" x14ac:dyDescent="0.4">
      <c r="D200" s="246" t="s">
        <v>771</v>
      </c>
      <c r="E200" s="262" t="s">
        <v>219</v>
      </c>
      <c r="F200" s="263">
        <v>671</v>
      </c>
      <c r="G200" s="249" t="s">
        <v>4</v>
      </c>
      <c r="H200" s="250">
        <v>2.6</v>
      </c>
      <c r="I200" s="251">
        <v>46063</v>
      </c>
      <c r="J200" s="252" t="s">
        <v>25</v>
      </c>
      <c r="K200" s="252"/>
      <c r="L200" s="253">
        <v>7.0000000000000007E-2</v>
      </c>
      <c r="M200" s="254">
        <f ca="1">IF(ISERROR(OFFSET(Tabella!$A$1,MATCH(J200,Tabella!$A:$A,0)-1,MATCH(L200,Tabella!$A$1:$AC$1,0)-1)=TRUE),0,+OFFSET(Tabella!$A$1,MATCH(J200,Tabella!$A:$A,0)-1,MATCH(L200,Tabella!$A$1:$AC$1,0)-1))</f>
        <v>1.25</v>
      </c>
      <c r="N200" s="255">
        <f ca="1">IF(ISERROR(OFFSET(Ottone!$A$1,MATCH(J200,Ottone!$A:$A,0)-1,MATCH(L200,Ottone!$A$1:$Z$1,0)-1)=TRUE),0,OFFSET(Ottone!$A$1,MATCH(J200,Ottone!$A:$A,0)-1,MATCH(L200,Ottone!$A$1:$Z$1,0)-1))*IF(G200="Ottone",1,0)</f>
        <v>0</v>
      </c>
      <c r="O200" s="255">
        <f ca="1">IF(ISERROR(OFFSET(Rame!$A$1,MATCH(J200,Rame!$A:$A,0)-1,MATCH(L200,Rame!$A$1:$AA$1,0)-1)=TRUE),0,OFFSET(Rame!$A$1,MATCH(J200,Rame!$A:$A,0)-1,MATCH(L200,Rame!$A$1:$AA$1,0)-1))*IF(G200="Rame",1,0)</f>
        <v>0</v>
      </c>
      <c r="P200" s="255">
        <v>0</v>
      </c>
      <c r="Q200" s="255">
        <v>1.5</v>
      </c>
      <c r="R200" s="255">
        <f ca="1">+IF(ISERROR(OFFSET(Tabella!$G$1,MATCH(J200,Tabella!$G:$G,0)-1,MATCH(K200,Tabella!$G$1:$FG$1,0)-1)=TRUE),0,OFFSET(Tabella!$G$1,MATCH(J200,Tabella!$G:$G,0)-1,MATCH(K200,Tabella!$G$1:$AB$1,0)-1))</f>
        <v>0</v>
      </c>
      <c r="S200" s="255">
        <f ca="1">IF(ISERROR(OFFSET(Ottone!$F$1,MATCH(J200,Ottone!$A:$A,0)-1,MATCH(K200,Ottone!$F$1:$FF$1,0)-1)=TRUE),0,OFFSET(Ottone!$F$1,MATCH(J200,Ottone!$A:$A,0)-1,MATCH(K200,Ottone!$F$1:$FF$1,0)-1))*IF(G200="Ottone",1,0)</f>
        <v>0</v>
      </c>
      <c r="T200" s="255">
        <f ca="1">IF(ISERROR(OFFSET(Rame!$F$1,MATCH(J200,Rame!$F:$F,0)-1,MATCH(K200,Rame!$F$1:$FF$1,0)-1)=TRUE),0,OFFSET(Rame!$F$1,MATCH(J200,Rame!$F:$F,0)-1,MATCH(K200,Rame!$F$1:$FF$1,0)-1))*IF(G200="Rame",1,0)</f>
        <v>0</v>
      </c>
      <c r="U200" s="255">
        <f ca="1">IF(ISERROR(OFFSET(Bronzo!$A$1,MATCH(J200,Bronzo!$A:$A,0)-1,MATCH(K200,Bronzo!$A$1:$AA$1,0)-1)=TRUE),0,OFFSET(Bronzo!$A$1,MATCH(J200,Bronzo!$A:$A,0)-1,MATCH(K200,Bronzo!$A$1:$AA$1,0)-1))</f>
        <v>0</v>
      </c>
      <c r="V200" s="255">
        <f t="shared" ca="1" si="100"/>
        <v>0</v>
      </c>
      <c r="W200" s="254"/>
      <c r="X200" s="255">
        <v>0</v>
      </c>
      <c r="Y200" s="256">
        <f t="shared" ca="1" si="101"/>
        <v>1.5</v>
      </c>
      <c r="Z200" s="269">
        <f t="shared" si="102"/>
        <v>46.970000000000006</v>
      </c>
      <c r="AA200" s="253">
        <v>4.07</v>
      </c>
      <c r="AB200" s="253">
        <f t="shared" ca="1" si="103"/>
        <v>-2.9999999999999805E-2</v>
      </c>
      <c r="AC200" s="258"/>
      <c r="AF200" s="223" t="s">
        <v>405</v>
      </c>
      <c r="AH200" s="232">
        <f t="shared" ca="1" si="99"/>
        <v>46120</v>
      </c>
      <c r="AI200" s="232" t="b">
        <f t="shared" si="94"/>
        <v>1</v>
      </c>
      <c r="AJ200" s="259" t="str">
        <f t="shared" si="104"/>
        <v/>
      </c>
      <c r="AM200" s="223">
        <f t="shared" si="95"/>
        <v>0</v>
      </c>
      <c r="AN200" s="223">
        <f t="shared" si="96"/>
        <v>1900</v>
      </c>
      <c r="AU200" s="223">
        <f t="shared" si="97"/>
        <v>0</v>
      </c>
      <c r="AV200" s="223">
        <f t="shared" si="98"/>
        <v>0</v>
      </c>
    </row>
    <row r="201" spans="4:48" ht="26.25" x14ac:dyDescent="0.4">
      <c r="D201" s="246" t="s">
        <v>699</v>
      </c>
      <c r="E201" s="262" t="s">
        <v>219</v>
      </c>
      <c r="F201" s="263">
        <v>742</v>
      </c>
      <c r="G201" s="249" t="s">
        <v>4</v>
      </c>
      <c r="H201" s="250">
        <v>2.6</v>
      </c>
      <c r="I201" s="251">
        <v>46063</v>
      </c>
      <c r="J201" s="252" t="s">
        <v>26</v>
      </c>
      <c r="K201" s="252"/>
      <c r="L201" s="253">
        <v>7.0000000000000007E-2</v>
      </c>
      <c r="M201" s="254">
        <f ca="1">IF(ISERROR(OFFSET(Tabella!$A$1,MATCH(J201,Tabella!$A:$A,0)-1,MATCH(L201,Tabella!$A$1:$AC$1,0)-1)=TRUE),0,+OFFSET(Tabella!$A$1,MATCH(J201,Tabella!$A:$A,0)-1,MATCH(L201,Tabella!$A$1:$AC$1,0)-1))</f>
        <v>1.25</v>
      </c>
      <c r="N201" s="255">
        <f ca="1">IF(ISERROR(OFFSET(Ottone!$A$1,MATCH(J201,Ottone!$A:$A,0)-1,MATCH(L201,Ottone!$A$1:$Z$1,0)-1)=TRUE),0,OFFSET(Ottone!$A$1,MATCH(J201,Ottone!$A:$A,0)-1,MATCH(L201,Ottone!$A$1:$Z$1,0)-1))*IF(G201="Ottone",1,0)</f>
        <v>0</v>
      </c>
      <c r="O201" s="255">
        <f ca="1">IF(ISERROR(OFFSET(Rame!$A$1,MATCH(J201,Rame!$A:$A,0)-1,MATCH(L201,Rame!$A$1:$AA$1,0)-1)=TRUE),0,OFFSET(Rame!$A$1,MATCH(J201,Rame!$A:$A,0)-1,MATCH(L201,Rame!$A$1:$AA$1,0)-1))*IF(G201="Rame",1,0)</f>
        <v>0</v>
      </c>
      <c r="P201" s="255">
        <v>0</v>
      </c>
      <c r="Q201" s="255">
        <v>1.5</v>
      </c>
      <c r="R201" s="255">
        <f ca="1">+IF(ISERROR(OFFSET(Tabella!$G$1,MATCH(J201,Tabella!$G:$G,0)-1,MATCH(K201,Tabella!$G$1:$FG$1,0)-1)=TRUE),0,OFFSET(Tabella!$G$1,MATCH(J201,Tabella!$G:$G,0)-1,MATCH(K201,Tabella!$G$1:$AB$1,0)-1))</f>
        <v>0</v>
      </c>
      <c r="S201" s="255">
        <f ca="1">IF(ISERROR(OFFSET(Ottone!$F$1,MATCH(J201,Ottone!$A:$A,0)-1,MATCH(K201,Ottone!$F$1:$FF$1,0)-1)=TRUE),0,OFFSET(Ottone!$F$1,MATCH(J201,Ottone!$A:$A,0)-1,MATCH(K201,Ottone!$F$1:$FF$1,0)-1))*IF(G201="Ottone",1,0)</f>
        <v>0</v>
      </c>
      <c r="T201" s="255">
        <f ca="1">IF(ISERROR(OFFSET(Rame!$F$1,MATCH(J201,Rame!$F:$F,0)-1,MATCH(K201,Rame!$F$1:$FF$1,0)-1)=TRUE),0,OFFSET(Rame!$F$1,MATCH(J201,Rame!$F:$F,0)-1,MATCH(K201,Rame!$F$1:$FF$1,0)-1))*IF(G201="Rame",1,0)</f>
        <v>0</v>
      </c>
      <c r="U201" s="255">
        <f ca="1">IF(ISERROR(OFFSET(Bronzo!$A$1,MATCH(J201,Bronzo!$A:$A,0)-1,MATCH(K201,Bronzo!$A$1:$AA$1,0)-1)=TRUE),0,OFFSET(Bronzo!$A$1,MATCH(J201,Bronzo!$A:$A,0)-1,MATCH(K201,Bronzo!$A$1:$AA$1,0)-1))</f>
        <v>0</v>
      </c>
      <c r="V201" s="255">
        <f t="shared" ca="1" si="100"/>
        <v>0</v>
      </c>
      <c r="W201" s="254"/>
      <c r="X201" s="255">
        <v>0</v>
      </c>
      <c r="Y201" s="256">
        <f t="shared" ca="1" si="101"/>
        <v>1.5</v>
      </c>
      <c r="Z201" s="269">
        <f t="shared" si="102"/>
        <v>51.940000000000005</v>
      </c>
      <c r="AA201" s="253">
        <v>4.07</v>
      </c>
      <c r="AB201" s="253">
        <f t="shared" ca="1" si="103"/>
        <v>-2.9999999999999805E-2</v>
      </c>
      <c r="AC201" s="258"/>
      <c r="AF201" s="223" t="s">
        <v>405</v>
      </c>
      <c r="AH201" s="232">
        <f t="shared" ca="1" si="99"/>
        <v>46120</v>
      </c>
      <c r="AI201" s="232" t="b">
        <f t="shared" si="94"/>
        <v>1</v>
      </c>
      <c r="AJ201" s="259" t="str">
        <f t="shared" si="104"/>
        <v/>
      </c>
      <c r="AM201" s="223">
        <f t="shared" si="95"/>
        <v>0</v>
      </c>
      <c r="AN201" s="223">
        <f t="shared" si="96"/>
        <v>1900</v>
      </c>
      <c r="AU201" s="223">
        <f t="shared" si="97"/>
        <v>0</v>
      </c>
      <c r="AV201" s="223">
        <f t="shared" si="98"/>
        <v>0</v>
      </c>
    </row>
    <row r="202" spans="4:48" ht="26.25" x14ac:dyDescent="0.4">
      <c r="D202" s="246" t="s">
        <v>678</v>
      </c>
      <c r="E202" s="262" t="s">
        <v>219</v>
      </c>
      <c r="F202" s="263">
        <v>800</v>
      </c>
      <c r="G202" s="249" t="s">
        <v>4</v>
      </c>
      <c r="H202" s="250">
        <v>2.6</v>
      </c>
      <c r="I202" s="251">
        <v>46063</v>
      </c>
      <c r="J202" s="252" t="s">
        <v>308</v>
      </c>
      <c r="K202" s="252"/>
      <c r="L202" s="253">
        <v>7.0000000000000007E-2</v>
      </c>
      <c r="M202" s="254">
        <f ca="1">IF(ISERROR(OFFSET(Tabella!$A$1,MATCH(J202,Tabella!$A:$A,0)-1,MATCH(L202,Tabella!$A$1:$AC$1,0)-1)=TRUE),0,+OFFSET(Tabella!$A$1,MATCH(J202,Tabella!$A:$A,0)-1,MATCH(L202,Tabella!$A$1:$AC$1,0)-1))</f>
        <v>1.25</v>
      </c>
      <c r="N202" s="255">
        <f ca="1">IF(ISERROR(OFFSET(Ottone!$A$1,MATCH(J202,Ottone!$A:$A,0)-1,MATCH(L202,Ottone!$A$1:$Z$1,0)-1)=TRUE),0,OFFSET(Ottone!$A$1,MATCH(J202,Ottone!$A:$A,0)-1,MATCH(L202,Ottone!$A$1:$Z$1,0)-1))*IF(G202="Ottone",1,0)</f>
        <v>0</v>
      </c>
      <c r="O202" s="255">
        <f ca="1">IF(ISERROR(OFFSET(Rame!$A$1,MATCH(J202,Rame!$A:$A,0)-1,MATCH(L202,Rame!$A$1:$AA$1,0)-1)=TRUE),0,OFFSET(Rame!$A$1,MATCH(J202,Rame!$A:$A,0)-1,MATCH(L202,Rame!$A$1:$AA$1,0)-1))*IF(G202="Rame",1,0)</f>
        <v>0</v>
      </c>
      <c r="P202" s="255">
        <v>0</v>
      </c>
      <c r="Q202" s="255">
        <v>1.5</v>
      </c>
      <c r="R202" s="255">
        <f ca="1">+IF(ISERROR(OFFSET(Tabella!$G$1,MATCH(J202,Tabella!$G:$G,0)-1,MATCH(K202,Tabella!$G$1:$FG$1,0)-1)=TRUE),0,OFFSET(Tabella!$G$1,MATCH(J202,Tabella!$G:$G,0)-1,MATCH(K202,Tabella!$G$1:$AB$1,0)-1))</f>
        <v>0</v>
      </c>
      <c r="S202" s="255">
        <f ca="1">IF(ISERROR(OFFSET(Ottone!$F$1,MATCH(J202,Ottone!$A:$A,0)-1,MATCH(K202,Ottone!$F$1:$FF$1,0)-1)=TRUE),0,OFFSET(Ottone!$F$1,MATCH(J202,Ottone!$A:$A,0)-1,MATCH(K202,Ottone!$F$1:$FF$1,0)-1))*IF(G202="Ottone",1,0)</f>
        <v>0</v>
      </c>
      <c r="T202" s="255">
        <f ca="1">IF(ISERROR(OFFSET(Rame!$F$1,MATCH(J202,Rame!$F:$F,0)-1,MATCH(K202,Rame!$F$1:$FF$1,0)-1)=TRUE),0,OFFSET(Rame!$F$1,MATCH(J202,Rame!$F:$F,0)-1,MATCH(K202,Rame!$F$1:$FF$1,0)-1))*IF(G202="Rame",1,0)</f>
        <v>0</v>
      </c>
      <c r="U202" s="255">
        <f ca="1">IF(ISERROR(OFFSET(Bronzo!$A$1,MATCH(J202,Bronzo!$A:$A,0)-1,MATCH(K202,Bronzo!$A$1:$AA$1,0)-1)=TRUE),0,OFFSET(Bronzo!$A$1,MATCH(J202,Bronzo!$A:$A,0)-1,MATCH(K202,Bronzo!$A$1:$AA$1,0)-1))</f>
        <v>0</v>
      </c>
      <c r="V202" s="255">
        <f t="shared" ca="1" si="100"/>
        <v>0</v>
      </c>
      <c r="W202" s="254"/>
      <c r="X202" s="255">
        <v>0</v>
      </c>
      <c r="Y202" s="256">
        <f t="shared" ca="1" si="101"/>
        <v>1.5</v>
      </c>
      <c r="Z202" s="269">
        <f t="shared" si="102"/>
        <v>56.000000000000007</v>
      </c>
      <c r="AA202" s="253">
        <v>4.07</v>
      </c>
      <c r="AB202" s="253">
        <f t="shared" ca="1" si="103"/>
        <v>-2.9999999999999805E-2</v>
      </c>
      <c r="AC202" s="258"/>
      <c r="AF202" s="223" t="s">
        <v>405</v>
      </c>
      <c r="AH202" s="232">
        <f t="shared" ca="1" si="99"/>
        <v>46120</v>
      </c>
      <c r="AI202" s="232" t="b">
        <f t="shared" si="94"/>
        <v>1</v>
      </c>
      <c r="AJ202" s="259" t="str">
        <f t="shared" si="104"/>
        <v/>
      </c>
      <c r="AM202" s="223">
        <f t="shared" si="95"/>
        <v>0</v>
      </c>
      <c r="AN202" s="223">
        <f t="shared" si="96"/>
        <v>1900</v>
      </c>
      <c r="AU202" s="223">
        <f t="shared" si="97"/>
        <v>0</v>
      </c>
      <c r="AV202" s="223">
        <f t="shared" si="98"/>
        <v>0</v>
      </c>
    </row>
    <row r="203" spans="4:48" ht="26.25" x14ac:dyDescent="0.4">
      <c r="D203" s="246" t="s">
        <v>503</v>
      </c>
      <c r="E203" s="252" t="s">
        <v>219</v>
      </c>
      <c r="F203" s="276">
        <v>1100</v>
      </c>
      <c r="G203" s="249" t="s">
        <v>4</v>
      </c>
      <c r="H203" s="250">
        <v>2.6</v>
      </c>
      <c r="I203" s="251">
        <v>46063</v>
      </c>
      <c r="J203" s="252" t="s">
        <v>314</v>
      </c>
      <c r="K203" s="252"/>
      <c r="L203" s="253">
        <v>7.0000000000000007E-2</v>
      </c>
      <c r="M203" s="254">
        <f ca="1">IF(ISERROR(OFFSET(Tabella!$A$1,MATCH(J203,Tabella!$A:$A,0)-1,MATCH(L203,Tabella!$A$1:$AC$1,0)-1)=TRUE),0,+OFFSET(Tabella!$A$1,MATCH(J203,Tabella!$A:$A,0)-1,MATCH(L203,Tabella!$A$1:$AC$1,0)-1))</f>
        <v>1.25</v>
      </c>
      <c r="N203" s="255">
        <f ca="1">IF(ISERROR(OFFSET(Ottone!$A$1,MATCH(J203,Ottone!$A:$A,0)-1,MATCH(L203,Ottone!$A$1:$Z$1,0)-1)=TRUE),0,OFFSET(Ottone!$A$1,MATCH(J203,Ottone!$A:$A,0)-1,MATCH(L203,Ottone!$A$1:$Z$1,0)-1))*IF(G203="Ottone",1,0)</f>
        <v>0</v>
      </c>
      <c r="O203" s="255">
        <f ca="1">IF(ISERROR(OFFSET(Rame!$A$1,MATCH(J203,Rame!$A:$A,0)-1,MATCH(L203,Rame!$A$1:$AA$1,0)-1)=TRUE),0,OFFSET(Rame!$A$1,MATCH(J203,Rame!$A:$A,0)-1,MATCH(L203,Rame!$A$1:$AA$1,0)-1))*IF(G203="Rame",1,0)</f>
        <v>0</v>
      </c>
      <c r="P203" s="255">
        <v>0</v>
      </c>
      <c r="Q203" s="255">
        <v>1.5</v>
      </c>
      <c r="R203" s="255">
        <f ca="1">+IF(ISERROR(OFFSET(Tabella!$G$1,MATCH(J203,Tabella!$G:$G,0)-1,MATCH(K203,Tabella!$G$1:$FG$1,0)-1)=TRUE),0,OFFSET(Tabella!$G$1,MATCH(J203,Tabella!$G:$G,0)-1,MATCH(K203,Tabella!$G$1:$AB$1,0)-1))</f>
        <v>0</v>
      </c>
      <c r="S203" s="255">
        <f ca="1">IF(ISERROR(OFFSET(Ottone!$F$1,MATCH(J203,Ottone!$A:$A,0)-1,MATCH(K203,Ottone!$F$1:$FF$1,0)-1)=TRUE),0,OFFSET(Ottone!$F$1,MATCH(J203,Ottone!$A:$A,0)-1,MATCH(K203,Ottone!$F$1:$FF$1,0)-1))*IF(G203="Ottone",1,0)</f>
        <v>0</v>
      </c>
      <c r="T203" s="255">
        <f ca="1">IF(ISERROR(OFFSET(Rame!$F$1,MATCH(J203,Rame!$F:$F,0)-1,MATCH(K203,Rame!$F$1:$FF$1,0)-1)=TRUE),0,OFFSET(Rame!$F$1,MATCH(J203,Rame!$F:$F,0)-1,MATCH(K203,Rame!$F$1:$FF$1,0)-1))*IF(G203="Rame",1,0)</f>
        <v>0</v>
      </c>
      <c r="U203" s="255">
        <f ca="1">IF(ISERROR(OFFSET(Bronzo!$A$1,MATCH(J203,Bronzo!$A:$A,0)-1,MATCH(K203,Bronzo!$A$1:$AA$1,0)-1)=TRUE),0,OFFSET(Bronzo!$A$1,MATCH(J203,Bronzo!$A:$A,0)-1,MATCH(K203,Bronzo!$A$1:$AA$1,0)-1))</f>
        <v>0</v>
      </c>
      <c r="V203" s="255">
        <f t="shared" ca="1" si="100"/>
        <v>0</v>
      </c>
      <c r="W203" s="254"/>
      <c r="X203" s="255">
        <v>0</v>
      </c>
      <c r="Y203" s="256">
        <f t="shared" ca="1" si="101"/>
        <v>1.5</v>
      </c>
      <c r="Z203" s="257">
        <f t="shared" si="102"/>
        <v>77.000000000000014</v>
      </c>
      <c r="AA203" s="253">
        <v>4.07</v>
      </c>
      <c r="AB203" s="253">
        <f t="shared" ca="1" si="103"/>
        <v>-2.9999999999999805E-2</v>
      </c>
      <c r="AC203" s="258">
        <v>46114</v>
      </c>
      <c r="AH203" s="232">
        <f t="shared" ca="1" si="99"/>
        <v>46120</v>
      </c>
      <c r="AI203" s="232" t="b">
        <f t="shared" si="94"/>
        <v>0</v>
      </c>
      <c r="AJ203" s="259">
        <f t="shared" ca="1" si="104"/>
        <v>-6</v>
      </c>
      <c r="AM203" s="223">
        <f t="shared" si="95"/>
        <v>14</v>
      </c>
      <c r="AN203" s="223">
        <f t="shared" si="96"/>
        <v>2026</v>
      </c>
      <c r="AU203" s="223">
        <f t="shared" si="97"/>
        <v>4</v>
      </c>
      <c r="AV203" s="223">
        <f t="shared" si="98"/>
        <v>2026</v>
      </c>
    </row>
    <row r="204" spans="4:48" ht="26.25" x14ac:dyDescent="0.4">
      <c r="D204" s="246" t="s">
        <v>679</v>
      </c>
      <c r="E204" s="262" t="s">
        <v>219</v>
      </c>
      <c r="F204" s="263">
        <v>574</v>
      </c>
      <c r="G204" s="249" t="s">
        <v>4</v>
      </c>
      <c r="H204" s="250">
        <v>2.6</v>
      </c>
      <c r="I204" s="251">
        <v>46063</v>
      </c>
      <c r="J204" s="252" t="s">
        <v>308</v>
      </c>
      <c r="K204" s="252"/>
      <c r="L204" s="253">
        <v>7.0000000000000007E-2</v>
      </c>
      <c r="M204" s="254">
        <f ca="1">IF(ISERROR(OFFSET(Tabella!$A$1,MATCH(J204,Tabella!$A:$A,0)-1,MATCH(L204,Tabella!$A$1:$AC$1,0)-1)=TRUE),0,+OFFSET(Tabella!$A$1,MATCH(J204,Tabella!$A:$A,0)-1,MATCH(L204,Tabella!$A$1:$AC$1,0)-1))</f>
        <v>1.25</v>
      </c>
      <c r="N204" s="255">
        <f ca="1">IF(ISERROR(OFFSET(Ottone!$A$1,MATCH(J204,Ottone!$A:$A,0)-1,MATCH(L204,Ottone!$A$1:$Z$1,0)-1)=TRUE),0,OFFSET(Ottone!$A$1,MATCH(J204,Ottone!$A:$A,0)-1,MATCH(L204,Ottone!$A$1:$Z$1,0)-1))*IF(G204="Ottone",1,0)</f>
        <v>0</v>
      </c>
      <c r="O204" s="255">
        <f ca="1">IF(ISERROR(OFFSET(Rame!$A$1,MATCH(J204,Rame!$A:$A,0)-1,MATCH(L204,Rame!$A$1:$AA$1,0)-1)=TRUE),0,OFFSET(Rame!$A$1,MATCH(J204,Rame!$A:$A,0)-1,MATCH(L204,Rame!$A$1:$AA$1,0)-1))*IF(G204="Rame",1,0)</f>
        <v>0</v>
      </c>
      <c r="P204" s="255">
        <v>0</v>
      </c>
      <c r="Q204" s="255">
        <v>1.5</v>
      </c>
      <c r="R204" s="255">
        <f ca="1">+IF(ISERROR(OFFSET(Tabella!$G$1,MATCH(J204,Tabella!$G:$G,0)-1,MATCH(K204,Tabella!$G$1:$FG$1,0)-1)=TRUE),0,OFFSET(Tabella!$G$1,MATCH(J204,Tabella!$G:$G,0)-1,MATCH(K204,Tabella!$G$1:$AB$1,0)-1))</f>
        <v>0</v>
      </c>
      <c r="S204" s="255">
        <f ca="1">IF(ISERROR(OFFSET(Ottone!$F$1,MATCH(J204,Ottone!$A:$A,0)-1,MATCH(K204,Ottone!$F$1:$FF$1,0)-1)=TRUE),0,OFFSET(Ottone!$F$1,MATCH(J204,Ottone!$A:$A,0)-1,MATCH(K204,Ottone!$F$1:$FF$1,0)-1))*IF(G204="Ottone",1,0)</f>
        <v>0</v>
      </c>
      <c r="T204" s="255">
        <f ca="1">IF(ISERROR(OFFSET(Rame!$F$1,MATCH(J204,Rame!$F:$F,0)-1,MATCH(K204,Rame!$F$1:$FF$1,0)-1)=TRUE),0,OFFSET(Rame!$F$1,MATCH(J204,Rame!$F:$F,0)-1,MATCH(K204,Rame!$F$1:$FF$1,0)-1))*IF(G204="Rame",1,0)</f>
        <v>0</v>
      </c>
      <c r="U204" s="255">
        <f ca="1">IF(ISERROR(OFFSET(Bronzo!$A$1,MATCH(J204,Bronzo!$A:$A,0)-1,MATCH(K204,Bronzo!$A$1:$AA$1,0)-1)=TRUE),0,OFFSET(Bronzo!$A$1,MATCH(J204,Bronzo!$A:$A,0)-1,MATCH(K204,Bronzo!$A$1:$AA$1,0)-1))</f>
        <v>0</v>
      </c>
      <c r="V204" s="255">
        <f t="shared" ca="1" si="100"/>
        <v>0</v>
      </c>
      <c r="W204" s="254"/>
      <c r="X204" s="255">
        <v>0</v>
      </c>
      <c r="Y204" s="256">
        <f t="shared" ca="1" si="101"/>
        <v>1.5</v>
      </c>
      <c r="Z204" s="269">
        <f t="shared" si="102"/>
        <v>40.180000000000007</v>
      </c>
      <c r="AA204" s="253">
        <v>4.07</v>
      </c>
      <c r="AB204" s="253">
        <f t="shared" ca="1" si="103"/>
        <v>-2.9999999999999805E-2</v>
      </c>
      <c r="AC204" s="258"/>
      <c r="AF204" s="223" t="s">
        <v>405</v>
      </c>
      <c r="AH204" s="232">
        <f t="shared" ca="1" si="99"/>
        <v>46120</v>
      </c>
      <c r="AI204" s="232" t="b">
        <f t="shared" si="94"/>
        <v>1</v>
      </c>
      <c r="AJ204" s="259" t="str">
        <f t="shared" si="104"/>
        <v/>
      </c>
      <c r="AM204" s="223">
        <f t="shared" si="95"/>
        <v>0</v>
      </c>
      <c r="AN204" s="223">
        <f t="shared" si="96"/>
        <v>1900</v>
      </c>
      <c r="AU204" s="223">
        <f t="shared" si="97"/>
        <v>0</v>
      </c>
      <c r="AV204" s="223">
        <f t="shared" si="98"/>
        <v>0</v>
      </c>
    </row>
    <row r="205" spans="4:48" ht="26.25" x14ac:dyDescent="0.4">
      <c r="D205" s="246" t="s">
        <v>559</v>
      </c>
      <c r="E205" s="262" t="s">
        <v>447</v>
      </c>
      <c r="F205" s="263">
        <v>212</v>
      </c>
      <c r="G205" s="249" t="s">
        <v>4</v>
      </c>
      <c r="H205" s="250">
        <v>2.6</v>
      </c>
      <c r="I205" s="251">
        <v>46064</v>
      </c>
      <c r="J205" s="252" t="s">
        <v>325</v>
      </c>
      <c r="K205" s="252"/>
      <c r="L205" s="253">
        <v>7.0000000000000007E-2</v>
      </c>
      <c r="M205" s="254">
        <f ca="1">IF(ISERROR(OFFSET(Tabella!$A$1,MATCH(J205,Tabella!$A:$A,0)-1,MATCH(L205,Tabella!$A$1:$AC$1,0)-1)=TRUE),0,+OFFSET(Tabella!$A$1,MATCH(J205,Tabella!$A:$A,0)-1,MATCH(L205,Tabella!$A$1:$AC$1,0)-1))</f>
        <v>1.25</v>
      </c>
      <c r="N205" s="255">
        <f ca="1">IF(ISERROR(OFFSET(Ottone!$A$1,MATCH(J205,Ottone!$A:$A,0)-1,MATCH(L205,Ottone!$A$1:$Z$1,0)-1)=TRUE),0,OFFSET(Ottone!$A$1,MATCH(J205,Ottone!$A:$A,0)-1,MATCH(L205,Ottone!$A$1:$Z$1,0)-1))*IF(G205="Ottone",1,0)</f>
        <v>0</v>
      </c>
      <c r="O205" s="255">
        <f ca="1">IF(ISERROR(OFFSET(Rame!$A$1,MATCH(J205,Rame!$A:$A,0)-1,MATCH(L205,Rame!$A$1:$AA$1,0)-1)=TRUE),0,OFFSET(Rame!$A$1,MATCH(J205,Rame!$A:$A,0)-1,MATCH(L205,Rame!$A$1:$AA$1,0)-1))*IF(G205="Rame",1,0)</f>
        <v>0</v>
      </c>
      <c r="P205" s="255">
        <v>0</v>
      </c>
      <c r="Q205" s="255">
        <f t="shared" ca="1" si="105"/>
        <v>1.25</v>
      </c>
      <c r="R205" s="255">
        <f ca="1">+IF(ISERROR(OFFSET(Tabella!$G$1,MATCH(J205,Tabella!$G:$G,0)-1,MATCH(K205,Tabella!$G$1:$FG$1,0)-1)=TRUE),0,OFFSET(Tabella!$G$1,MATCH(J205,Tabella!$G:$G,0)-1,MATCH(K205,Tabella!$G$1:$AB$1,0)-1))</f>
        <v>0</v>
      </c>
      <c r="S205" s="255">
        <f ca="1">IF(ISERROR(OFFSET(Ottone!$F$1,MATCH(J205,Ottone!$A:$A,0)-1,MATCH(K205,Ottone!$F$1:$FF$1,0)-1)=TRUE),0,OFFSET(Ottone!$F$1,MATCH(J205,Ottone!$A:$A,0)-1,MATCH(K205,Ottone!$F$1:$FF$1,0)-1))*IF(G205="Ottone",1,0)</f>
        <v>0</v>
      </c>
      <c r="T205" s="255">
        <f ca="1">IF(ISERROR(OFFSET(Rame!$F$1,MATCH(J205,Rame!$F:$F,0)-1,MATCH(K205,Rame!$F$1:$FF$1,0)-1)=TRUE),0,OFFSET(Rame!$F$1,MATCH(J205,Rame!$F:$F,0)-1,MATCH(K205,Rame!$F$1:$FF$1,0)-1))*IF(G205="Rame",1,0)</f>
        <v>0</v>
      </c>
      <c r="U205" s="255">
        <f ca="1">IF(ISERROR(OFFSET(Bronzo!$A$1,MATCH(J205,Bronzo!$A:$A,0)-1,MATCH(K205,Bronzo!$A$1:$AA$1,0)-1)=TRUE),0,OFFSET(Bronzo!$A$1,MATCH(J205,Bronzo!$A:$A,0)-1,MATCH(K205,Bronzo!$A$1:$AA$1,0)-1))</f>
        <v>0</v>
      </c>
      <c r="V205" s="255">
        <f t="shared" ca="1" si="100"/>
        <v>0</v>
      </c>
      <c r="W205" s="254"/>
      <c r="X205" s="255">
        <v>0</v>
      </c>
      <c r="Y205" s="256">
        <f t="shared" ca="1" si="101"/>
        <v>1.25</v>
      </c>
      <c r="Z205" s="269">
        <f t="shared" si="102"/>
        <v>14.840000000000002</v>
      </c>
      <c r="AA205" s="253">
        <v>4.3</v>
      </c>
      <c r="AB205" s="253">
        <f t="shared" ca="1" si="103"/>
        <v>0.44999999999999973</v>
      </c>
      <c r="AC205" s="258"/>
      <c r="AF205" s="223" t="s">
        <v>405</v>
      </c>
      <c r="AH205" s="232">
        <f t="shared" ca="1" si="99"/>
        <v>46120</v>
      </c>
      <c r="AI205" s="232" t="b">
        <f t="shared" si="94"/>
        <v>1</v>
      </c>
      <c r="AJ205" s="259" t="str">
        <f t="shared" si="104"/>
        <v/>
      </c>
      <c r="AM205" s="223">
        <f t="shared" si="95"/>
        <v>0</v>
      </c>
      <c r="AN205" s="223">
        <f t="shared" si="96"/>
        <v>1900</v>
      </c>
      <c r="AU205" s="223">
        <f t="shared" si="97"/>
        <v>0</v>
      </c>
      <c r="AV205" s="223">
        <f t="shared" si="98"/>
        <v>0</v>
      </c>
    </row>
    <row r="206" spans="4:48" ht="26.25" x14ac:dyDescent="0.4">
      <c r="D206" s="246" t="s">
        <v>611</v>
      </c>
      <c r="E206" s="292" t="s">
        <v>212</v>
      </c>
      <c r="F206" s="293">
        <v>282</v>
      </c>
      <c r="G206" s="249" t="s">
        <v>4</v>
      </c>
      <c r="H206" s="250">
        <v>2.69</v>
      </c>
      <c r="I206" s="251">
        <v>46064</v>
      </c>
      <c r="J206" s="252" t="s">
        <v>25</v>
      </c>
      <c r="K206" s="252"/>
      <c r="L206" s="253">
        <v>0.05</v>
      </c>
      <c r="M206" s="254">
        <f ca="1">IF(ISERROR(OFFSET(Tabella!$A$1,MATCH(J206,Tabella!$A:$A,0)-1,MATCH(L206,Tabella!$A$1:$AC$1,0)-1)=TRUE),0,+OFFSET(Tabella!$A$1,MATCH(J206,Tabella!$A:$A,0)-1,MATCH(L206,Tabella!$A$1:$AC$1,0)-1))</f>
        <v>0</v>
      </c>
      <c r="N206" s="255">
        <f ca="1">IF(ISERROR(OFFSET(Ottone!$A$1,MATCH(J206,Ottone!$A:$A,0)-1,MATCH(L206,Ottone!$A$1:$Z$1,0)-1)=TRUE),0,OFFSET(Ottone!$A$1,MATCH(J206,Ottone!$A:$A,0)-1,MATCH(L206,Ottone!$A$1:$Z$1,0)-1))*IF(G206="Ottone",1,0)</f>
        <v>0</v>
      </c>
      <c r="O206" s="255">
        <f ca="1">IF(ISERROR(OFFSET(Rame!$A$1,MATCH(J206,Rame!$A:$A,0)-1,MATCH(L206,Rame!$A$1:$AA$1,0)-1)=TRUE),0,OFFSET(Rame!$A$1,MATCH(J206,Rame!$A:$A,0)-1,MATCH(L206,Rame!$A$1:$AA$1,0)-1))*IF(G206="Rame",1,0)</f>
        <v>0</v>
      </c>
      <c r="P206" s="255">
        <v>0</v>
      </c>
      <c r="Q206" s="255">
        <v>1.47</v>
      </c>
      <c r="R206" s="255">
        <f ca="1">+IF(ISERROR(OFFSET(Tabella!$G$1,MATCH(J206,Tabella!$G:$G,0)-1,MATCH(K206,Tabella!$G$1:$FG$1,0)-1)=TRUE),0,OFFSET(Tabella!$G$1,MATCH(J206,Tabella!$G:$G,0)-1,MATCH(K206,Tabella!$G$1:$AB$1,0)-1))</f>
        <v>0</v>
      </c>
      <c r="S206" s="255">
        <f ca="1">IF(ISERROR(OFFSET(Ottone!$F$1,MATCH(J206,Ottone!$A:$A,0)-1,MATCH(K206,Ottone!$F$1:$FF$1,0)-1)=TRUE),0,OFFSET(Ottone!$F$1,MATCH(J206,Ottone!$A:$A,0)-1,MATCH(K206,Ottone!$F$1:$FF$1,0)-1))*IF(G206="Ottone",1,0)</f>
        <v>0</v>
      </c>
      <c r="T206" s="255">
        <f ca="1">IF(ISERROR(OFFSET(Rame!$F$1,MATCH(J206,Rame!$F:$F,0)-1,MATCH(K206,Rame!$F$1:$FF$1,0)-1)=TRUE),0,OFFSET(Rame!$F$1,MATCH(J206,Rame!$F:$F,0)-1,MATCH(K206,Rame!$F$1:$FF$1,0)-1))*IF(G206="Rame",1,0)</f>
        <v>0</v>
      </c>
      <c r="U206" s="255">
        <f ca="1">IF(ISERROR(OFFSET(Bronzo!$A$1,MATCH(J206,Bronzo!$A:$A,0)-1,MATCH(K206,Bronzo!$A$1:$AA$1,0)-1)=TRUE),0,OFFSET(Bronzo!$A$1,MATCH(J206,Bronzo!$A:$A,0)-1,MATCH(K206,Bronzo!$A$1:$AA$1,0)-1))</f>
        <v>0</v>
      </c>
      <c r="V206" s="255">
        <f t="shared" ca="1" si="100"/>
        <v>0</v>
      </c>
      <c r="W206" s="254"/>
      <c r="X206" s="255">
        <v>0</v>
      </c>
      <c r="Y206" s="256">
        <f t="shared" ca="1" si="101"/>
        <v>1.47</v>
      </c>
      <c r="Z206" s="291">
        <f t="shared" si="102"/>
        <v>14.100000000000001</v>
      </c>
      <c r="AA206" s="253">
        <v>4.16</v>
      </c>
      <c r="AB206" s="253">
        <f t="shared" ca="1" si="103"/>
        <v>0</v>
      </c>
      <c r="AC206" s="258"/>
      <c r="AH206" s="232">
        <f t="shared" ca="1" si="99"/>
        <v>46120</v>
      </c>
      <c r="AI206" s="232" t="b">
        <f t="shared" si="94"/>
        <v>1</v>
      </c>
      <c r="AJ206" s="259" t="str">
        <f t="shared" si="104"/>
        <v/>
      </c>
      <c r="AM206" s="223">
        <f t="shared" si="95"/>
        <v>0</v>
      </c>
      <c r="AN206" s="223">
        <f t="shared" si="96"/>
        <v>1900</v>
      </c>
      <c r="AU206" s="223">
        <f t="shared" si="97"/>
        <v>0</v>
      </c>
      <c r="AV206" s="223">
        <f t="shared" si="98"/>
        <v>0</v>
      </c>
    </row>
    <row r="207" spans="4:48" ht="26.25" x14ac:dyDescent="0.4">
      <c r="D207" s="246" t="s">
        <v>720</v>
      </c>
      <c r="E207" s="292" t="s">
        <v>212</v>
      </c>
      <c r="F207" s="293">
        <v>602</v>
      </c>
      <c r="G207" s="249" t="s">
        <v>4</v>
      </c>
      <c r="H207" s="250">
        <v>2.69</v>
      </c>
      <c r="I207" s="251">
        <v>46064</v>
      </c>
      <c r="J207" s="252" t="s">
        <v>25</v>
      </c>
      <c r="K207" s="252"/>
      <c r="L207" s="253">
        <v>0.05</v>
      </c>
      <c r="M207" s="254">
        <f ca="1">IF(ISERROR(OFFSET(Tabella!$A$1,MATCH(J207,Tabella!$A:$A,0)-1,MATCH(L207,Tabella!$A$1:$AC$1,0)-1)=TRUE),0,+OFFSET(Tabella!$A$1,MATCH(J207,Tabella!$A:$A,0)-1,MATCH(L207,Tabella!$A$1:$AC$1,0)-1))</f>
        <v>0</v>
      </c>
      <c r="N207" s="255">
        <f ca="1">IF(ISERROR(OFFSET(Ottone!$A$1,MATCH(J207,Ottone!$A:$A,0)-1,MATCH(L207,Ottone!$A$1:$Z$1,0)-1)=TRUE),0,OFFSET(Ottone!$A$1,MATCH(J207,Ottone!$A:$A,0)-1,MATCH(L207,Ottone!$A$1:$Z$1,0)-1))*IF(G207="Ottone",1,0)</f>
        <v>0</v>
      </c>
      <c r="O207" s="255">
        <f ca="1">IF(ISERROR(OFFSET(Rame!$A$1,MATCH(J207,Rame!$A:$A,0)-1,MATCH(L207,Rame!$A$1:$AA$1,0)-1)=TRUE),0,OFFSET(Rame!$A$1,MATCH(J207,Rame!$A:$A,0)-1,MATCH(L207,Rame!$A$1:$AA$1,0)-1))*IF(G207="Rame",1,0)</f>
        <v>0</v>
      </c>
      <c r="P207" s="255">
        <v>0</v>
      </c>
      <c r="Q207" s="255">
        <v>1.47</v>
      </c>
      <c r="R207" s="255">
        <f ca="1">+IF(ISERROR(OFFSET(Tabella!$G$1,MATCH(J207,Tabella!$G:$G,0)-1,MATCH(K207,Tabella!$G$1:$FG$1,0)-1)=TRUE),0,OFFSET(Tabella!$G$1,MATCH(J207,Tabella!$G:$G,0)-1,MATCH(K207,Tabella!$G$1:$AB$1,0)-1))</f>
        <v>0</v>
      </c>
      <c r="S207" s="255">
        <f ca="1">IF(ISERROR(OFFSET(Ottone!$F$1,MATCH(J207,Ottone!$A:$A,0)-1,MATCH(K207,Ottone!$F$1:$FF$1,0)-1)=TRUE),0,OFFSET(Ottone!$F$1,MATCH(J207,Ottone!$A:$A,0)-1,MATCH(K207,Ottone!$F$1:$FF$1,0)-1))*IF(G207="Ottone",1,0)</f>
        <v>0</v>
      </c>
      <c r="T207" s="255">
        <f ca="1">IF(ISERROR(OFFSET(Rame!$F$1,MATCH(J207,Rame!$F:$F,0)-1,MATCH(K207,Rame!$F$1:$FF$1,0)-1)=TRUE),0,OFFSET(Rame!$F$1,MATCH(J207,Rame!$F:$F,0)-1,MATCH(K207,Rame!$F$1:$FF$1,0)-1))*IF(G207="Rame",1,0)</f>
        <v>0</v>
      </c>
      <c r="U207" s="255">
        <f ca="1">IF(ISERROR(OFFSET(Bronzo!$A$1,MATCH(J207,Bronzo!$A:$A,0)-1,MATCH(K207,Bronzo!$A$1:$AA$1,0)-1)=TRUE),0,OFFSET(Bronzo!$A$1,MATCH(J207,Bronzo!$A:$A,0)-1,MATCH(K207,Bronzo!$A$1:$AA$1,0)-1))</f>
        <v>0</v>
      </c>
      <c r="V207" s="255">
        <f t="shared" ca="1" si="100"/>
        <v>0</v>
      </c>
      <c r="W207" s="254"/>
      <c r="X207" s="255">
        <v>0</v>
      </c>
      <c r="Y207" s="256">
        <f t="shared" ca="1" si="101"/>
        <v>1.47</v>
      </c>
      <c r="Z207" s="291">
        <f t="shared" si="102"/>
        <v>30.1</v>
      </c>
      <c r="AA207" s="253">
        <v>4.16</v>
      </c>
      <c r="AB207" s="253">
        <f t="shared" ca="1" si="103"/>
        <v>0</v>
      </c>
      <c r="AC207" s="258"/>
      <c r="AH207" s="232">
        <f t="shared" ca="1" si="99"/>
        <v>46120</v>
      </c>
      <c r="AI207" s="232" t="b">
        <f t="shared" si="94"/>
        <v>1</v>
      </c>
      <c r="AJ207" s="259" t="str">
        <f t="shared" si="104"/>
        <v/>
      </c>
      <c r="AM207" s="223">
        <f t="shared" si="95"/>
        <v>0</v>
      </c>
      <c r="AN207" s="223">
        <f t="shared" si="96"/>
        <v>1900</v>
      </c>
      <c r="AU207" s="223">
        <f t="shared" si="97"/>
        <v>0</v>
      </c>
      <c r="AV207" s="223">
        <f t="shared" si="98"/>
        <v>0</v>
      </c>
    </row>
    <row r="208" spans="4:48" ht="26.25" x14ac:dyDescent="0.4">
      <c r="D208" s="246" t="s">
        <v>690</v>
      </c>
      <c r="E208" s="292" t="s">
        <v>212</v>
      </c>
      <c r="F208" s="293">
        <v>805</v>
      </c>
      <c r="G208" s="249" t="s">
        <v>4</v>
      </c>
      <c r="H208" s="250">
        <v>2.69</v>
      </c>
      <c r="I208" s="251">
        <v>46064</v>
      </c>
      <c r="J208" s="252" t="s">
        <v>25</v>
      </c>
      <c r="K208" s="252"/>
      <c r="L208" s="253">
        <v>0.05</v>
      </c>
      <c r="M208" s="254">
        <f ca="1">IF(ISERROR(OFFSET(Tabella!$A$1,MATCH(J208,Tabella!$A:$A,0)-1,MATCH(L208,Tabella!$A$1:$AC$1,0)-1)=TRUE),0,+OFFSET(Tabella!$A$1,MATCH(J208,Tabella!$A:$A,0)-1,MATCH(L208,Tabella!$A$1:$AC$1,0)-1))</f>
        <v>0</v>
      </c>
      <c r="N208" s="255">
        <f ca="1">IF(ISERROR(OFFSET(Ottone!$A$1,MATCH(J208,Ottone!$A:$A,0)-1,MATCH(L208,Ottone!$A$1:$Z$1,0)-1)=TRUE),0,OFFSET(Ottone!$A$1,MATCH(J208,Ottone!$A:$A,0)-1,MATCH(L208,Ottone!$A$1:$Z$1,0)-1))*IF(G208="Ottone",1,0)</f>
        <v>0</v>
      </c>
      <c r="O208" s="255">
        <f ca="1">IF(ISERROR(OFFSET(Rame!$A$1,MATCH(J208,Rame!$A:$A,0)-1,MATCH(L208,Rame!$A$1:$AA$1,0)-1)=TRUE),0,OFFSET(Rame!$A$1,MATCH(J208,Rame!$A:$A,0)-1,MATCH(L208,Rame!$A$1:$AA$1,0)-1))*IF(G208="Rame",1,0)</f>
        <v>0</v>
      </c>
      <c r="P208" s="255">
        <v>0</v>
      </c>
      <c r="Q208" s="255">
        <v>1.47</v>
      </c>
      <c r="R208" s="255">
        <f ca="1">+IF(ISERROR(OFFSET(Tabella!$G$1,MATCH(J208,Tabella!$G:$G,0)-1,MATCH(K208,Tabella!$G$1:$FG$1,0)-1)=TRUE),0,OFFSET(Tabella!$G$1,MATCH(J208,Tabella!$G:$G,0)-1,MATCH(K208,Tabella!$G$1:$AB$1,0)-1))</f>
        <v>0</v>
      </c>
      <c r="S208" s="255">
        <f ca="1">IF(ISERROR(OFFSET(Ottone!$F$1,MATCH(J208,Ottone!$A:$A,0)-1,MATCH(K208,Ottone!$F$1:$FF$1,0)-1)=TRUE),0,OFFSET(Ottone!$F$1,MATCH(J208,Ottone!$A:$A,0)-1,MATCH(K208,Ottone!$F$1:$FF$1,0)-1))*IF(G208="Ottone",1,0)</f>
        <v>0</v>
      </c>
      <c r="T208" s="255">
        <f ca="1">IF(ISERROR(OFFSET(Rame!$F$1,MATCH(J208,Rame!$F:$F,0)-1,MATCH(K208,Rame!$F$1:$FF$1,0)-1)=TRUE),0,OFFSET(Rame!$F$1,MATCH(J208,Rame!$F:$F,0)-1,MATCH(K208,Rame!$F$1:$FF$1,0)-1))*IF(G208="Rame",1,0)</f>
        <v>0</v>
      </c>
      <c r="U208" s="255">
        <f ca="1">IF(ISERROR(OFFSET(Bronzo!$A$1,MATCH(J208,Bronzo!$A:$A,0)-1,MATCH(K208,Bronzo!$A$1:$AA$1,0)-1)=TRUE),0,OFFSET(Bronzo!$A$1,MATCH(J208,Bronzo!$A:$A,0)-1,MATCH(K208,Bronzo!$A$1:$AA$1,0)-1))</f>
        <v>0</v>
      </c>
      <c r="V208" s="255">
        <f t="shared" ca="1" si="100"/>
        <v>0</v>
      </c>
      <c r="W208" s="254"/>
      <c r="X208" s="255">
        <v>0</v>
      </c>
      <c r="Y208" s="256">
        <f t="shared" ca="1" si="101"/>
        <v>1.47</v>
      </c>
      <c r="Z208" s="291">
        <f t="shared" si="102"/>
        <v>40.25</v>
      </c>
      <c r="AA208" s="253">
        <v>4.16</v>
      </c>
      <c r="AB208" s="253">
        <f t="shared" ca="1" si="103"/>
        <v>0</v>
      </c>
      <c r="AC208" s="258"/>
      <c r="AH208" s="232">
        <f t="shared" ca="1" si="99"/>
        <v>46120</v>
      </c>
      <c r="AI208" s="232" t="b">
        <f t="shared" si="94"/>
        <v>1</v>
      </c>
      <c r="AJ208" s="259" t="str">
        <f t="shared" si="104"/>
        <v/>
      </c>
      <c r="AM208" s="223">
        <f t="shared" si="95"/>
        <v>0</v>
      </c>
      <c r="AN208" s="223">
        <f t="shared" si="96"/>
        <v>1900</v>
      </c>
      <c r="AU208" s="223">
        <f t="shared" si="97"/>
        <v>0</v>
      </c>
      <c r="AV208" s="223">
        <f t="shared" si="98"/>
        <v>0</v>
      </c>
    </row>
    <row r="209" spans="4:48" ht="26.25" x14ac:dyDescent="0.4">
      <c r="D209" s="246" t="s">
        <v>611</v>
      </c>
      <c r="E209" s="292" t="s">
        <v>212</v>
      </c>
      <c r="F209" s="293">
        <v>1718</v>
      </c>
      <c r="G209" s="249" t="s">
        <v>4</v>
      </c>
      <c r="H209" s="250">
        <v>2.69</v>
      </c>
      <c r="I209" s="251">
        <v>46064</v>
      </c>
      <c r="J209" s="252" t="s">
        <v>25</v>
      </c>
      <c r="K209" s="252"/>
      <c r="L209" s="253">
        <v>0.05</v>
      </c>
      <c r="M209" s="254">
        <f ca="1">IF(ISERROR(OFFSET(Tabella!$A$1,MATCH(J209,Tabella!$A:$A,0)-1,MATCH(L209,Tabella!$A$1:$AC$1,0)-1)=TRUE),0,+OFFSET(Tabella!$A$1,MATCH(J209,Tabella!$A:$A,0)-1,MATCH(L209,Tabella!$A$1:$AC$1,0)-1))</f>
        <v>0</v>
      </c>
      <c r="N209" s="255">
        <f ca="1">IF(ISERROR(OFFSET(Ottone!$A$1,MATCH(J209,Ottone!$A:$A,0)-1,MATCH(L209,Ottone!$A$1:$Z$1,0)-1)=TRUE),0,OFFSET(Ottone!$A$1,MATCH(J209,Ottone!$A:$A,0)-1,MATCH(L209,Ottone!$A$1:$Z$1,0)-1))*IF(G209="Ottone",1,0)</f>
        <v>0</v>
      </c>
      <c r="O209" s="255">
        <f ca="1">IF(ISERROR(OFFSET(Rame!$A$1,MATCH(J209,Rame!$A:$A,0)-1,MATCH(L209,Rame!$A$1:$AA$1,0)-1)=TRUE),0,OFFSET(Rame!$A$1,MATCH(J209,Rame!$A:$A,0)-1,MATCH(L209,Rame!$A$1:$AA$1,0)-1))*IF(G209="Rame",1,0)</f>
        <v>0</v>
      </c>
      <c r="P209" s="255">
        <v>0</v>
      </c>
      <c r="Q209" s="255">
        <v>1.47</v>
      </c>
      <c r="R209" s="255">
        <f ca="1">+IF(ISERROR(OFFSET(Tabella!$G$1,MATCH(J209,Tabella!$G:$G,0)-1,MATCH(K209,Tabella!$G$1:$FG$1,0)-1)=TRUE),0,OFFSET(Tabella!$G$1,MATCH(J209,Tabella!$G:$G,0)-1,MATCH(K209,Tabella!$G$1:$AB$1,0)-1))</f>
        <v>0</v>
      </c>
      <c r="S209" s="255">
        <f ca="1">IF(ISERROR(OFFSET(Ottone!$F$1,MATCH(J209,Ottone!$A:$A,0)-1,MATCH(K209,Ottone!$F$1:$FF$1,0)-1)=TRUE),0,OFFSET(Ottone!$F$1,MATCH(J209,Ottone!$A:$A,0)-1,MATCH(K209,Ottone!$F$1:$FF$1,0)-1))*IF(G209="Ottone",1,0)</f>
        <v>0</v>
      </c>
      <c r="T209" s="255">
        <f ca="1">IF(ISERROR(OFFSET(Rame!$F$1,MATCH(J209,Rame!$F:$F,0)-1,MATCH(K209,Rame!$F$1:$FF$1,0)-1)=TRUE),0,OFFSET(Rame!$F$1,MATCH(J209,Rame!$F:$F,0)-1,MATCH(K209,Rame!$F$1:$FF$1,0)-1))*IF(G209="Rame",1,0)</f>
        <v>0</v>
      </c>
      <c r="U209" s="255">
        <f ca="1">IF(ISERROR(OFFSET(Bronzo!$A$1,MATCH(J209,Bronzo!$A:$A,0)-1,MATCH(K209,Bronzo!$A$1:$AA$1,0)-1)=TRUE),0,OFFSET(Bronzo!$A$1,MATCH(J209,Bronzo!$A:$A,0)-1,MATCH(K209,Bronzo!$A$1:$AA$1,0)-1))</f>
        <v>0</v>
      </c>
      <c r="V209" s="255">
        <f t="shared" ca="1" si="100"/>
        <v>0</v>
      </c>
      <c r="W209" s="254"/>
      <c r="X209" s="255">
        <v>0</v>
      </c>
      <c r="Y209" s="256">
        <f t="shared" ca="1" si="101"/>
        <v>1.47</v>
      </c>
      <c r="Z209" s="291">
        <f t="shared" si="102"/>
        <v>85.9</v>
      </c>
      <c r="AA209" s="253">
        <v>4.16</v>
      </c>
      <c r="AB209" s="253">
        <f t="shared" ca="1" si="103"/>
        <v>0</v>
      </c>
      <c r="AC209" s="258"/>
      <c r="AH209" s="232">
        <f t="shared" ca="1" si="99"/>
        <v>46120</v>
      </c>
      <c r="AI209" s="232" t="b">
        <f t="shared" si="94"/>
        <v>1</v>
      </c>
      <c r="AJ209" s="259" t="str">
        <f t="shared" si="104"/>
        <v/>
      </c>
      <c r="AM209" s="223">
        <f t="shared" si="95"/>
        <v>0</v>
      </c>
      <c r="AN209" s="223">
        <f t="shared" si="96"/>
        <v>1900</v>
      </c>
      <c r="AU209" s="223">
        <f t="shared" si="97"/>
        <v>0</v>
      </c>
      <c r="AV209" s="223">
        <f t="shared" si="98"/>
        <v>0</v>
      </c>
    </row>
    <row r="210" spans="4:48" ht="26.25" x14ac:dyDescent="0.4">
      <c r="D210" s="246" t="s">
        <v>690</v>
      </c>
      <c r="E210" s="292" t="s">
        <v>212</v>
      </c>
      <c r="F210" s="293">
        <v>477</v>
      </c>
      <c r="G210" s="249" t="s">
        <v>4</v>
      </c>
      <c r="H210" s="250">
        <v>2.69</v>
      </c>
      <c r="I210" s="251">
        <v>46064</v>
      </c>
      <c r="J210" s="252" t="s">
        <v>25</v>
      </c>
      <c r="K210" s="252"/>
      <c r="L210" s="253">
        <v>0.05</v>
      </c>
      <c r="M210" s="254">
        <f ca="1">IF(ISERROR(OFFSET(Tabella!$A$1,MATCH(J210,Tabella!$A:$A,0)-1,MATCH(L210,Tabella!$A$1:$AC$1,0)-1)=TRUE),0,+OFFSET(Tabella!$A$1,MATCH(J210,Tabella!$A:$A,0)-1,MATCH(L210,Tabella!$A$1:$AC$1,0)-1))</f>
        <v>0</v>
      </c>
      <c r="N210" s="255">
        <f ca="1">IF(ISERROR(OFFSET(Ottone!$A$1,MATCH(J210,Ottone!$A:$A,0)-1,MATCH(L210,Ottone!$A$1:$Z$1,0)-1)=TRUE),0,OFFSET(Ottone!$A$1,MATCH(J210,Ottone!$A:$A,0)-1,MATCH(L210,Ottone!$A$1:$Z$1,0)-1))*IF(G210="Ottone",1,0)</f>
        <v>0</v>
      </c>
      <c r="O210" s="255">
        <f ca="1">IF(ISERROR(OFFSET(Rame!$A$1,MATCH(J210,Rame!$A:$A,0)-1,MATCH(L210,Rame!$A$1:$AA$1,0)-1)=TRUE),0,OFFSET(Rame!$A$1,MATCH(J210,Rame!$A:$A,0)-1,MATCH(L210,Rame!$A$1:$AA$1,0)-1))*IF(G210="Rame",1,0)</f>
        <v>0</v>
      </c>
      <c r="P210" s="255">
        <v>0</v>
      </c>
      <c r="Q210" s="255">
        <v>1.47</v>
      </c>
      <c r="R210" s="255">
        <f ca="1">+IF(ISERROR(OFFSET(Tabella!$G$1,MATCH(J210,Tabella!$G:$G,0)-1,MATCH(K210,Tabella!$G$1:$FG$1,0)-1)=TRUE),0,OFFSET(Tabella!$G$1,MATCH(J210,Tabella!$G:$G,0)-1,MATCH(K210,Tabella!$G$1:$AB$1,0)-1))</f>
        <v>0</v>
      </c>
      <c r="S210" s="255">
        <f ca="1">IF(ISERROR(OFFSET(Ottone!$F$1,MATCH(J210,Ottone!$A:$A,0)-1,MATCH(K210,Ottone!$F$1:$FF$1,0)-1)=TRUE),0,OFFSET(Ottone!$F$1,MATCH(J210,Ottone!$A:$A,0)-1,MATCH(K210,Ottone!$F$1:$FF$1,0)-1))*IF(G210="Ottone",1,0)</f>
        <v>0</v>
      </c>
      <c r="T210" s="255">
        <f ca="1">IF(ISERROR(OFFSET(Rame!$F$1,MATCH(J210,Rame!$F:$F,0)-1,MATCH(K210,Rame!$F$1:$FF$1,0)-1)=TRUE),0,OFFSET(Rame!$F$1,MATCH(J210,Rame!$F:$F,0)-1,MATCH(K210,Rame!$F$1:$FF$1,0)-1))*IF(G210="Rame",1,0)</f>
        <v>0</v>
      </c>
      <c r="U210" s="255">
        <f ca="1">IF(ISERROR(OFFSET(Bronzo!$A$1,MATCH(J210,Bronzo!$A:$A,0)-1,MATCH(K210,Bronzo!$A$1:$AA$1,0)-1)=TRUE),0,OFFSET(Bronzo!$A$1,MATCH(J210,Bronzo!$A:$A,0)-1,MATCH(K210,Bronzo!$A$1:$AA$1,0)-1))</f>
        <v>0</v>
      </c>
      <c r="V210" s="255">
        <f t="shared" ca="1" si="100"/>
        <v>0</v>
      </c>
      <c r="W210" s="254"/>
      <c r="X210" s="255">
        <v>0</v>
      </c>
      <c r="Y210" s="256">
        <f t="shared" ca="1" si="101"/>
        <v>1.47</v>
      </c>
      <c r="Z210" s="291">
        <f t="shared" si="102"/>
        <v>23.85</v>
      </c>
      <c r="AA210" s="253">
        <v>4.16</v>
      </c>
      <c r="AB210" s="253">
        <f t="shared" ca="1" si="103"/>
        <v>0</v>
      </c>
      <c r="AC210" s="258"/>
      <c r="AH210" s="232">
        <f t="shared" ca="1" si="99"/>
        <v>46120</v>
      </c>
      <c r="AI210" s="232" t="b">
        <f t="shared" si="94"/>
        <v>1</v>
      </c>
      <c r="AJ210" s="259" t="str">
        <f t="shared" si="104"/>
        <v/>
      </c>
      <c r="AM210" s="223">
        <f t="shared" si="95"/>
        <v>0</v>
      </c>
      <c r="AN210" s="223">
        <f t="shared" si="96"/>
        <v>1900</v>
      </c>
      <c r="AU210" s="223">
        <f t="shared" si="97"/>
        <v>0</v>
      </c>
      <c r="AV210" s="223">
        <f t="shared" si="98"/>
        <v>0</v>
      </c>
    </row>
    <row r="211" spans="4:48" ht="26.25" x14ac:dyDescent="0.4">
      <c r="D211" s="246" t="s">
        <v>610</v>
      </c>
      <c r="E211" s="292" t="s">
        <v>212</v>
      </c>
      <c r="F211" s="293">
        <v>1135</v>
      </c>
      <c r="G211" s="249" t="s">
        <v>4</v>
      </c>
      <c r="H211" s="250">
        <v>2.69</v>
      </c>
      <c r="I211" s="251">
        <v>46064</v>
      </c>
      <c r="J211" s="252" t="s">
        <v>28</v>
      </c>
      <c r="K211" s="252"/>
      <c r="L211" s="253">
        <v>0.05</v>
      </c>
      <c r="M211" s="254">
        <f ca="1">IF(ISERROR(OFFSET(Tabella!$A$1,MATCH(J211,Tabella!$A:$A,0)-1,MATCH(L211,Tabella!$A$1:$AC$1,0)-1)=TRUE),0,+OFFSET(Tabella!$A$1,MATCH(J211,Tabella!$A:$A,0)-1,MATCH(L211,Tabella!$A$1:$AC$1,0)-1))</f>
        <v>0</v>
      </c>
      <c r="N211" s="255">
        <f ca="1">IF(ISERROR(OFFSET(Ottone!$A$1,MATCH(J211,Ottone!$A:$A,0)-1,MATCH(L211,Ottone!$A$1:$Z$1,0)-1)=TRUE),0,OFFSET(Ottone!$A$1,MATCH(J211,Ottone!$A:$A,0)-1,MATCH(L211,Ottone!$A$1:$Z$1,0)-1))*IF(G211="Ottone",1,0)</f>
        <v>0</v>
      </c>
      <c r="O211" s="255">
        <f ca="1">IF(ISERROR(OFFSET(Rame!$A$1,MATCH(J211,Rame!$A:$A,0)-1,MATCH(L211,Rame!$A$1:$AA$1,0)-1)=TRUE),0,OFFSET(Rame!$A$1,MATCH(J211,Rame!$A:$A,0)-1,MATCH(L211,Rame!$A$1:$AA$1,0)-1))*IF(G211="Rame",1,0)</f>
        <v>0</v>
      </c>
      <c r="P211" s="255">
        <v>0</v>
      </c>
      <c r="Q211" s="255">
        <v>1.47</v>
      </c>
      <c r="R211" s="255">
        <f ca="1">+IF(ISERROR(OFFSET(Tabella!$G$1,MATCH(J211,Tabella!$G:$G,0)-1,MATCH(K211,Tabella!$G$1:$FG$1,0)-1)=TRUE),0,OFFSET(Tabella!$G$1,MATCH(J211,Tabella!$G:$G,0)-1,MATCH(K211,Tabella!$G$1:$AB$1,0)-1))</f>
        <v>0</v>
      </c>
      <c r="S211" s="255">
        <f ca="1">IF(ISERROR(OFFSET(Ottone!$F$1,MATCH(J211,Ottone!$A:$A,0)-1,MATCH(K211,Ottone!$F$1:$FF$1,0)-1)=TRUE),0,OFFSET(Ottone!$F$1,MATCH(J211,Ottone!$A:$A,0)-1,MATCH(K211,Ottone!$F$1:$FF$1,0)-1))*IF(G211="Ottone",1,0)</f>
        <v>0</v>
      </c>
      <c r="T211" s="255">
        <f ca="1">IF(ISERROR(OFFSET(Rame!$F$1,MATCH(J211,Rame!$F:$F,0)-1,MATCH(K211,Rame!$F$1:$FF$1,0)-1)=TRUE),0,OFFSET(Rame!$F$1,MATCH(J211,Rame!$F:$F,0)-1,MATCH(K211,Rame!$F$1:$FF$1,0)-1))*IF(G211="Rame",1,0)</f>
        <v>0</v>
      </c>
      <c r="U211" s="255">
        <f ca="1">IF(ISERROR(OFFSET(Bronzo!$A$1,MATCH(J211,Bronzo!$A:$A,0)-1,MATCH(K211,Bronzo!$A$1:$AA$1,0)-1)=TRUE),0,OFFSET(Bronzo!$A$1,MATCH(J211,Bronzo!$A:$A,0)-1,MATCH(K211,Bronzo!$A$1:$AA$1,0)-1))</f>
        <v>0</v>
      </c>
      <c r="V211" s="255">
        <f t="shared" ca="1" si="100"/>
        <v>0</v>
      </c>
      <c r="W211" s="254"/>
      <c r="X211" s="255">
        <v>0</v>
      </c>
      <c r="Y211" s="256">
        <f t="shared" ca="1" si="101"/>
        <v>1.47</v>
      </c>
      <c r="Z211" s="291">
        <f t="shared" si="102"/>
        <v>56.75</v>
      </c>
      <c r="AA211" s="253">
        <v>4.16</v>
      </c>
      <c r="AB211" s="253">
        <f t="shared" ca="1" si="103"/>
        <v>0</v>
      </c>
      <c r="AC211" s="258"/>
      <c r="AH211" s="232">
        <f t="shared" ca="1" si="99"/>
        <v>46120</v>
      </c>
      <c r="AI211" s="232" t="b">
        <f t="shared" si="94"/>
        <v>1</v>
      </c>
      <c r="AJ211" s="259" t="str">
        <f t="shared" ref="AJ211:AJ242" si="106">IF(AI211=FALSE,_xlfn.DAYS(AC211,AH211),"")</f>
        <v/>
      </c>
      <c r="AM211" s="223">
        <f t="shared" si="95"/>
        <v>0</v>
      </c>
      <c r="AN211" s="223">
        <f t="shared" si="96"/>
        <v>1900</v>
      </c>
      <c r="AU211" s="223">
        <f t="shared" si="97"/>
        <v>0</v>
      </c>
      <c r="AV211" s="223">
        <f t="shared" si="98"/>
        <v>0</v>
      </c>
    </row>
    <row r="212" spans="4:48" ht="26.25" x14ac:dyDescent="0.4">
      <c r="D212" s="246" t="s">
        <v>610</v>
      </c>
      <c r="E212" s="292" t="s">
        <v>212</v>
      </c>
      <c r="F212" s="293">
        <v>1923</v>
      </c>
      <c r="G212" s="249" t="s">
        <v>4</v>
      </c>
      <c r="H212" s="250">
        <v>2.69</v>
      </c>
      <c r="I212" s="251">
        <v>46064</v>
      </c>
      <c r="J212" s="252" t="s">
        <v>314</v>
      </c>
      <c r="K212" s="252"/>
      <c r="L212" s="253">
        <v>0.05</v>
      </c>
      <c r="M212" s="254">
        <f ca="1">IF(ISERROR(OFFSET(Tabella!$A$1,MATCH(J212,Tabella!$A:$A,0)-1,MATCH(L212,Tabella!$A$1:$AC$1,0)-1)=TRUE),0,+OFFSET(Tabella!$A$1,MATCH(J212,Tabella!$A:$A,0)-1,MATCH(L212,Tabella!$A$1:$AC$1,0)-1))</f>
        <v>0</v>
      </c>
      <c r="N212" s="255">
        <f ca="1">IF(ISERROR(OFFSET(Ottone!$A$1,MATCH(J212,Ottone!$A:$A,0)-1,MATCH(L212,Ottone!$A$1:$Z$1,0)-1)=TRUE),0,OFFSET(Ottone!$A$1,MATCH(J212,Ottone!$A:$A,0)-1,MATCH(L212,Ottone!$A$1:$Z$1,0)-1))*IF(G212="Ottone",1,0)</f>
        <v>0</v>
      </c>
      <c r="O212" s="255">
        <f ca="1">IF(ISERROR(OFFSET(Rame!$A$1,MATCH(J212,Rame!$A:$A,0)-1,MATCH(L212,Rame!$A$1:$AA$1,0)-1)=TRUE),0,OFFSET(Rame!$A$1,MATCH(J212,Rame!$A:$A,0)-1,MATCH(L212,Rame!$A$1:$AA$1,0)-1))*IF(G212="Rame",1,0)</f>
        <v>0</v>
      </c>
      <c r="P212" s="255">
        <v>0</v>
      </c>
      <c r="Q212" s="255">
        <v>1.47</v>
      </c>
      <c r="R212" s="255">
        <f ca="1">+IF(ISERROR(OFFSET(Tabella!$G$1,MATCH(J212,Tabella!$G:$G,0)-1,MATCH(K212,Tabella!$G$1:$FG$1,0)-1)=TRUE),0,OFFSET(Tabella!$G$1,MATCH(J212,Tabella!$G:$G,0)-1,MATCH(K212,Tabella!$G$1:$AB$1,0)-1))</f>
        <v>0</v>
      </c>
      <c r="S212" s="255">
        <f ca="1">IF(ISERROR(OFFSET(Ottone!$F$1,MATCH(J212,Ottone!$A:$A,0)-1,MATCH(K212,Ottone!$F$1:$FF$1,0)-1)=TRUE),0,OFFSET(Ottone!$F$1,MATCH(J212,Ottone!$A:$A,0)-1,MATCH(K212,Ottone!$F$1:$FF$1,0)-1))*IF(G212="Ottone",1,0)</f>
        <v>0</v>
      </c>
      <c r="T212" s="255">
        <f ca="1">IF(ISERROR(OFFSET(Rame!$F$1,MATCH(J212,Rame!$F:$F,0)-1,MATCH(K212,Rame!$F$1:$FF$1,0)-1)=TRUE),0,OFFSET(Rame!$F$1,MATCH(J212,Rame!$F:$F,0)-1,MATCH(K212,Rame!$F$1:$FF$1,0)-1))*IF(G212="Rame",1,0)</f>
        <v>0</v>
      </c>
      <c r="U212" s="255">
        <f ca="1">IF(ISERROR(OFFSET(Bronzo!$A$1,MATCH(J212,Bronzo!$A:$A,0)-1,MATCH(K212,Bronzo!$A$1:$AA$1,0)-1)=TRUE),0,OFFSET(Bronzo!$A$1,MATCH(J212,Bronzo!$A:$A,0)-1,MATCH(K212,Bronzo!$A$1:$AA$1,0)-1))</f>
        <v>0</v>
      </c>
      <c r="V212" s="255">
        <f t="shared" ca="1" si="100"/>
        <v>0</v>
      </c>
      <c r="W212" s="254"/>
      <c r="X212" s="255">
        <v>0</v>
      </c>
      <c r="Y212" s="256">
        <f t="shared" ca="1" si="101"/>
        <v>1.47</v>
      </c>
      <c r="Z212" s="291">
        <f t="shared" si="102"/>
        <v>96.15</v>
      </c>
      <c r="AA212" s="253">
        <v>4.16</v>
      </c>
      <c r="AB212" s="253">
        <f t="shared" ca="1" si="103"/>
        <v>0</v>
      </c>
      <c r="AC212" s="258"/>
      <c r="AH212" s="232">
        <f t="shared" ca="1" si="99"/>
        <v>46120</v>
      </c>
      <c r="AI212" s="232" t="b">
        <f t="shared" si="94"/>
        <v>1</v>
      </c>
      <c r="AJ212" s="259" t="str">
        <f t="shared" si="106"/>
        <v/>
      </c>
      <c r="AM212" s="223">
        <f t="shared" si="95"/>
        <v>0</v>
      </c>
      <c r="AN212" s="223">
        <f t="shared" si="96"/>
        <v>1900</v>
      </c>
      <c r="AU212" s="223">
        <f t="shared" si="97"/>
        <v>0</v>
      </c>
      <c r="AV212" s="223">
        <f t="shared" si="98"/>
        <v>0</v>
      </c>
    </row>
    <row r="213" spans="4:48" ht="26.25" x14ac:dyDescent="0.4">
      <c r="D213" s="246" t="s">
        <v>689</v>
      </c>
      <c r="E213" s="292" t="s">
        <v>212</v>
      </c>
      <c r="F213" s="293">
        <v>1588</v>
      </c>
      <c r="G213" s="249" t="s">
        <v>4</v>
      </c>
      <c r="H213" s="250">
        <v>2.69</v>
      </c>
      <c r="I213" s="251">
        <v>46064</v>
      </c>
      <c r="J213" s="252" t="s">
        <v>23</v>
      </c>
      <c r="K213" s="252"/>
      <c r="L213" s="253">
        <v>0.05</v>
      </c>
      <c r="M213" s="254">
        <f ca="1">IF(ISERROR(OFFSET(Tabella!$A$1,MATCH(J213,Tabella!$A:$A,0)-1,MATCH(L213,Tabella!$A$1:$AC$1,0)-1)=TRUE),0,+OFFSET(Tabella!$A$1,MATCH(J213,Tabella!$A:$A,0)-1,MATCH(L213,Tabella!$A$1:$AC$1,0)-1))</f>
        <v>0</v>
      </c>
      <c r="N213" s="255">
        <f ca="1">IF(ISERROR(OFFSET(Ottone!$A$1,MATCH(J213,Ottone!$A:$A,0)-1,MATCH(L213,Ottone!$A$1:$Z$1,0)-1)=TRUE),0,OFFSET(Ottone!$A$1,MATCH(J213,Ottone!$A:$A,0)-1,MATCH(L213,Ottone!$A$1:$Z$1,0)-1))*IF(G213="Ottone",1,0)</f>
        <v>0</v>
      </c>
      <c r="O213" s="255">
        <f ca="1">IF(ISERROR(OFFSET(Rame!$A$1,MATCH(J213,Rame!$A:$A,0)-1,MATCH(L213,Rame!$A$1:$AA$1,0)-1)=TRUE),0,OFFSET(Rame!$A$1,MATCH(J213,Rame!$A:$A,0)-1,MATCH(L213,Rame!$A$1:$AA$1,0)-1))*IF(G213="Rame",1,0)</f>
        <v>0</v>
      </c>
      <c r="P213" s="255">
        <v>0</v>
      </c>
      <c r="Q213" s="255">
        <v>1.47</v>
      </c>
      <c r="R213" s="255">
        <f ca="1">+IF(ISERROR(OFFSET(Tabella!$G$1,MATCH(J213,Tabella!$G:$G,0)-1,MATCH(K213,Tabella!$G$1:$FG$1,0)-1)=TRUE),0,OFFSET(Tabella!$G$1,MATCH(J213,Tabella!$G:$G,0)-1,MATCH(K213,Tabella!$G$1:$AB$1,0)-1))</f>
        <v>0</v>
      </c>
      <c r="S213" s="255">
        <f ca="1">IF(ISERROR(OFFSET(Ottone!$F$1,MATCH(J213,Ottone!$A:$A,0)-1,MATCH(K213,Ottone!$F$1:$FF$1,0)-1)=TRUE),0,OFFSET(Ottone!$F$1,MATCH(J213,Ottone!$A:$A,0)-1,MATCH(K213,Ottone!$F$1:$FF$1,0)-1))*IF(G213="Ottone",1,0)</f>
        <v>0</v>
      </c>
      <c r="T213" s="255">
        <f ca="1">IF(ISERROR(OFFSET(Rame!$F$1,MATCH(J213,Rame!$F:$F,0)-1,MATCH(K213,Rame!$F$1:$FF$1,0)-1)=TRUE),0,OFFSET(Rame!$F$1,MATCH(J213,Rame!$F:$F,0)-1,MATCH(K213,Rame!$F$1:$FF$1,0)-1))*IF(G213="Rame",1,0)</f>
        <v>0</v>
      </c>
      <c r="U213" s="255">
        <f ca="1">IF(ISERROR(OFFSET(Bronzo!$A$1,MATCH(J213,Bronzo!$A:$A,0)-1,MATCH(K213,Bronzo!$A$1:$AA$1,0)-1)=TRUE),0,OFFSET(Bronzo!$A$1,MATCH(J213,Bronzo!$A:$A,0)-1,MATCH(K213,Bronzo!$A$1:$AA$1,0)-1))</f>
        <v>0</v>
      </c>
      <c r="V213" s="255">
        <f t="shared" ca="1" si="100"/>
        <v>0</v>
      </c>
      <c r="W213" s="254"/>
      <c r="X213" s="255">
        <v>0</v>
      </c>
      <c r="Y213" s="256">
        <f t="shared" ca="1" si="101"/>
        <v>1.47</v>
      </c>
      <c r="Z213" s="291">
        <f t="shared" si="102"/>
        <v>79.400000000000006</v>
      </c>
      <c r="AA213" s="253">
        <v>4.16</v>
      </c>
      <c r="AB213" s="253">
        <f t="shared" ca="1" si="103"/>
        <v>0</v>
      </c>
      <c r="AC213" s="258"/>
      <c r="AH213" s="232">
        <f t="shared" ca="1" si="99"/>
        <v>46120</v>
      </c>
      <c r="AI213" s="232" t="b">
        <f t="shared" si="94"/>
        <v>1</v>
      </c>
      <c r="AJ213" s="259" t="str">
        <f t="shared" si="106"/>
        <v/>
      </c>
      <c r="AM213" s="223">
        <f t="shared" si="95"/>
        <v>0</v>
      </c>
      <c r="AN213" s="223">
        <f t="shared" si="96"/>
        <v>1900</v>
      </c>
      <c r="AU213" s="223">
        <f t="shared" si="97"/>
        <v>0</v>
      </c>
      <c r="AV213" s="223">
        <f t="shared" si="98"/>
        <v>0</v>
      </c>
    </row>
    <row r="214" spans="4:48" ht="26.25" x14ac:dyDescent="0.4">
      <c r="D214" s="246" t="s">
        <v>689</v>
      </c>
      <c r="E214" s="292" t="s">
        <v>212</v>
      </c>
      <c r="F214" s="293">
        <v>1077</v>
      </c>
      <c r="G214" s="249" t="s">
        <v>4</v>
      </c>
      <c r="H214" s="250">
        <v>2.69</v>
      </c>
      <c r="I214" s="251">
        <v>46064</v>
      </c>
      <c r="J214" s="252" t="s">
        <v>322</v>
      </c>
      <c r="K214" s="252"/>
      <c r="L214" s="253">
        <v>0.05</v>
      </c>
      <c r="M214" s="254">
        <f ca="1">IF(ISERROR(OFFSET(Tabella!$A$1,MATCH(J214,Tabella!$A:$A,0)-1,MATCH(L214,Tabella!$A$1:$AC$1,0)-1)=TRUE),0,+OFFSET(Tabella!$A$1,MATCH(J214,Tabella!$A:$A,0)-1,MATCH(L214,Tabella!$A$1:$AC$1,0)-1))</f>
        <v>0</v>
      </c>
      <c r="N214" s="255">
        <f ca="1">IF(ISERROR(OFFSET(Ottone!$A$1,MATCH(J214,Ottone!$A:$A,0)-1,MATCH(L214,Ottone!$A$1:$Z$1,0)-1)=TRUE),0,OFFSET(Ottone!$A$1,MATCH(J214,Ottone!$A:$A,0)-1,MATCH(L214,Ottone!$A$1:$Z$1,0)-1))*IF(G214="Ottone",1,0)</f>
        <v>0</v>
      </c>
      <c r="O214" s="255">
        <f ca="1">IF(ISERROR(OFFSET(Rame!$A$1,MATCH(J214,Rame!$A:$A,0)-1,MATCH(L214,Rame!$A$1:$AA$1,0)-1)=TRUE),0,OFFSET(Rame!$A$1,MATCH(J214,Rame!$A:$A,0)-1,MATCH(L214,Rame!$A$1:$AA$1,0)-1))*IF(G214="Rame",1,0)</f>
        <v>0</v>
      </c>
      <c r="P214" s="255">
        <v>0</v>
      </c>
      <c r="Q214" s="255">
        <v>1.47</v>
      </c>
      <c r="R214" s="255">
        <f ca="1">+IF(ISERROR(OFFSET(Tabella!$G$1,MATCH(J214,Tabella!$G:$G,0)-1,MATCH(K214,Tabella!$G$1:$FG$1,0)-1)=TRUE),0,OFFSET(Tabella!$G$1,MATCH(J214,Tabella!$G:$G,0)-1,MATCH(K214,Tabella!$G$1:$AB$1,0)-1))</f>
        <v>0</v>
      </c>
      <c r="S214" s="255">
        <f ca="1">IF(ISERROR(OFFSET(Ottone!$F$1,MATCH(J214,Ottone!$A:$A,0)-1,MATCH(K214,Ottone!$F$1:$FF$1,0)-1)=TRUE),0,OFFSET(Ottone!$F$1,MATCH(J214,Ottone!$A:$A,0)-1,MATCH(K214,Ottone!$F$1:$FF$1,0)-1))*IF(G214="Ottone",1,0)</f>
        <v>0</v>
      </c>
      <c r="T214" s="255">
        <f ca="1">IF(ISERROR(OFFSET(Rame!$F$1,MATCH(J214,Rame!$F:$F,0)-1,MATCH(K214,Rame!$F$1:$FF$1,0)-1)=TRUE),0,OFFSET(Rame!$F$1,MATCH(J214,Rame!$F:$F,0)-1,MATCH(K214,Rame!$F$1:$FF$1,0)-1))*IF(G214="Rame",1,0)</f>
        <v>0</v>
      </c>
      <c r="U214" s="255">
        <f ca="1">IF(ISERROR(OFFSET(Bronzo!$A$1,MATCH(J214,Bronzo!$A:$A,0)-1,MATCH(K214,Bronzo!$A$1:$AA$1,0)-1)=TRUE),0,OFFSET(Bronzo!$A$1,MATCH(J214,Bronzo!$A:$A,0)-1,MATCH(K214,Bronzo!$A$1:$AA$1,0)-1))</f>
        <v>0</v>
      </c>
      <c r="V214" s="255">
        <f t="shared" ca="1" si="100"/>
        <v>0</v>
      </c>
      <c r="W214" s="254"/>
      <c r="X214" s="255">
        <v>0</v>
      </c>
      <c r="Y214" s="256">
        <f t="shared" ca="1" si="101"/>
        <v>1.47</v>
      </c>
      <c r="Z214" s="291">
        <f t="shared" si="102"/>
        <v>53.85</v>
      </c>
      <c r="AA214" s="253">
        <v>4.16</v>
      </c>
      <c r="AB214" s="253">
        <f t="shared" ca="1" si="103"/>
        <v>0</v>
      </c>
      <c r="AC214" s="258"/>
      <c r="AH214" s="232">
        <f t="shared" ca="1" si="99"/>
        <v>46120</v>
      </c>
      <c r="AI214" s="232" t="b">
        <f t="shared" si="94"/>
        <v>1</v>
      </c>
      <c r="AJ214" s="259" t="str">
        <f t="shared" si="106"/>
        <v/>
      </c>
      <c r="AM214" s="223">
        <f t="shared" si="95"/>
        <v>0</v>
      </c>
      <c r="AN214" s="223">
        <f t="shared" si="96"/>
        <v>1900</v>
      </c>
      <c r="AU214" s="223">
        <f t="shared" si="97"/>
        <v>0</v>
      </c>
      <c r="AV214" s="223">
        <f t="shared" si="98"/>
        <v>0</v>
      </c>
    </row>
    <row r="215" spans="4:48" ht="26.25" x14ac:dyDescent="0.4">
      <c r="D215" s="246" t="s">
        <v>689</v>
      </c>
      <c r="E215" s="292" t="s">
        <v>212</v>
      </c>
      <c r="F215" s="293">
        <v>607</v>
      </c>
      <c r="G215" s="249" t="s">
        <v>4</v>
      </c>
      <c r="H215" s="250">
        <v>2.69</v>
      </c>
      <c r="I215" s="251">
        <v>46064</v>
      </c>
      <c r="J215" s="252" t="s">
        <v>314</v>
      </c>
      <c r="K215" s="252"/>
      <c r="L215" s="253">
        <v>0.05</v>
      </c>
      <c r="M215" s="254">
        <f ca="1">IF(ISERROR(OFFSET(Tabella!$A$1,MATCH(J215,Tabella!$A:$A,0)-1,MATCH(L215,Tabella!$A$1:$AC$1,0)-1)=TRUE),0,+OFFSET(Tabella!$A$1,MATCH(J215,Tabella!$A:$A,0)-1,MATCH(L215,Tabella!$A$1:$AC$1,0)-1))</f>
        <v>0</v>
      </c>
      <c r="N215" s="255">
        <f ca="1">IF(ISERROR(OFFSET(Ottone!$A$1,MATCH(J215,Ottone!$A:$A,0)-1,MATCH(L215,Ottone!$A$1:$Z$1,0)-1)=TRUE),0,OFFSET(Ottone!$A$1,MATCH(J215,Ottone!$A:$A,0)-1,MATCH(L215,Ottone!$A$1:$Z$1,0)-1))*IF(G215="Ottone",1,0)</f>
        <v>0</v>
      </c>
      <c r="O215" s="255">
        <f ca="1">IF(ISERROR(OFFSET(Rame!$A$1,MATCH(J215,Rame!$A:$A,0)-1,MATCH(L215,Rame!$A$1:$AA$1,0)-1)=TRUE),0,OFFSET(Rame!$A$1,MATCH(J215,Rame!$A:$A,0)-1,MATCH(L215,Rame!$A$1:$AA$1,0)-1))*IF(G215="Rame",1,0)</f>
        <v>0</v>
      </c>
      <c r="P215" s="255">
        <v>0</v>
      </c>
      <c r="Q215" s="255">
        <v>1.47</v>
      </c>
      <c r="R215" s="255">
        <f ca="1">+IF(ISERROR(OFFSET(Tabella!$G$1,MATCH(J215,Tabella!$G:$G,0)-1,MATCH(K215,Tabella!$G$1:$FG$1,0)-1)=TRUE),0,OFFSET(Tabella!$G$1,MATCH(J215,Tabella!$G:$G,0)-1,MATCH(K215,Tabella!$G$1:$AB$1,0)-1))</f>
        <v>0</v>
      </c>
      <c r="S215" s="255">
        <f ca="1">IF(ISERROR(OFFSET(Ottone!$F$1,MATCH(J215,Ottone!$A:$A,0)-1,MATCH(K215,Ottone!$F$1:$FF$1,0)-1)=TRUE),0,OFFSET(Ottone!$F$1,MATCH(J215,Ottone!$A:$A,0)-1,MATCH(K215,Ottone!$F$1:$FF$1,0)-1))*IF(G215="Ottone",1,0)</f>
        <v>0</v>
      </c>
      <c r="T215" s="255">
        <f ca="1">IF(ISERROR(OFFSET(Rame!$F$1,MATCH(J215,Rame!$F:$F,0)-1,MATCH(K215,Rame!$F$1:$FF$1,0)-1)=TRUE),0,OFFSET(Rame!$F$1,MATCH(J215,Rame!$F:$F,0)-1,MATCH(K215,Rame!$F$1:$FF$1,0)-1))*IF(G215="Rame",1,0)</f>
        <v>0</v>
      </c>
      <c r="U215" s="255">
        <f ca="1">IF(ISERROR(OFFSET(Bronzo!$A$1,MATCH(J215,Bronzo!$A:$A,0)-1,MATCH(K215,Bronzo!$A$1:$AA$1,0)-1)=TRUE),0,OFFSET(Bronzo!$A$1,MATCH(J215,Bronzo!$A:$A,0)-1,MATCH(K215,Bronzo!$A$1:$AA$1,0)-1))</f>
        <v>0</v>
      </c>
      <c r="V215" s="255">
        <f t="shared" ca="1" si="100"/>
        <v>0</v>
      </c>
      <c r="W215" s="254"/>
      <c r="X215" s="255">
        <v>0</v>
      </c>
      <c r="Y215" s="256">
        <f t="shared" ca="1" si="101"/>
        <v>1.47</v>
      </c>
      <c r="Z215" s="291">
        <f t="shared" si="102"/>
        <v>30.35</v>
      </c>
      <c r="AA215" s="253">
        <v>4.16</v>
      </c>
      <c r="AB215" s="253">
        <f t="shared" ca="1" si="103"/>
        <v>0</v>
      </c>
      <c r="AC215" s="258"/>
      <c r="AH215" s="232">
        <f t="shared" ca="1" si="99"/>
        <v>46120</v>
      </c>
      <c r="AI215" s="232" t="b">
        <f t="shared" si="94"/>
        <v>1</v>
      </c>
      <c r="AJ215" s="259" t="str">
        <f t="shared" si="106"/>
        <v/>
      </c>
      <c r="AM215" s="223">
        <f t="shared" si="95"/>
        <v>0</v>
      </c>
      <c r="AN215" s="223">
        <f t="shared" si="96"/>
        <v>1900</v>
      </c>
      <c r="AU215" s="223">
        <f t="shared" si="97"/>
        <v>0</v>
      </c>
      <c r="AV215" s="223">
        <f t="shared" si="98"/>
        <v>0</v>
      </c>
    </row>
    <row r="216" spans="4:48" ht="26.25" x14ac:dyDescent="0.4">
      <c r="D216" s="246" t="s">
        <v>675</v>
      </c>
      <c r="E216" s="292" t="s">
        <v>212</v>
      </c>
      <c r="F216" s="293">
        <v>860</v>
      </c>
      <c r="G216" s="249" t="s">
        <v>4</v>
      </c>
      <c r="H216" s="250">
        <v>2.69</v>
      </c>
      <c r="I216" s="251">
        <v>46064</v>
      </c>
      <c r="J216" s="252" t="s">
        <v>26</v>
      </c>
      <c r="K216" s="252"/>
      <c r="L216" s="253">
        <v>0.05</v>
      </c>
      <c r="M216" s="254">
        <f ca="1">IF(ISERROR(OFFSET(Tabella!$A$1,MATCH(J216,Tabella!$A:$A,0)-1,MATCH(L216,Tabella!$A$1:$AC$1,0)-1)=TRUE),0,+OFFSET(Tabella!$A$1,MATCH(J216,Tabella!$A:$A,0)-1,MATCH(L216,Tabella!$A$1:$AC$1,0)-1))</f>
        <v>0</v>
      </c>
      <c r="N216" s="255">
        <f ca="1">IF(ISERROR(OFFSET(Ottone!$A$1,MATCH(J216,Ottone!$A:$A,0)-1,MATCH(L216,Ottone!$A$1:$Z$1,0)-1)=TRUE),0,OFFSET(Ottone!$A$1,MATCH(J216,Ottone!$A:$A,0)-1,MATCH(L216,Ottone!$A$1:$Z$1,0)-1))*IF(G216="Ottone",1,0)</f>
        <v>0</v>
      </c>
      <c r="O216" s="255">
        <f ca="1">IF(ISERROR(OFFSET(Rame!$A$1,MATCH(J216,Rame!$A:$A,0)-1,MATCH(L216,Rame!$A$1:$AA$1,0)-1)=TRUE),0,OFFSET(Rame!$A$1,MATCH(J216,Rame!$A:$A,0)-1,MATCH(L216,Rame!$A$1:$AA$1,0)-1))*IF(G216="Rame",1,0)</f>
        <v>0</v>
      </c>
      <c r="P216" s="255">
        <v>0</v>
      </c>
      <c r="Q216" s="255">
        <v>1.47</v>
      </c>
      <c r="R216" s="255">
        <f ca="1">+IF(ISERROR(OFFSET(Tabella!$G$1,MATCH(J216,Tabella!$G:$G,0)-1,MATCH(K216,Tabella!$G$1:$FG$1,0)-1)=TRUE),0,OFFSET(Tabella!$G$1,MATCH(J216,Tabella!$G:$G,0)-1,MATCH(K216,Tabella!$G$1:$AB$1,0)-1))</f>
        <v>0</v>
      </c>
      <c r="S216" s="255">
        <f ca="1">IF(ISERROR(OFFSET(Ottone!$F$1,MATCH(J216,Ottone!$A:$A,0)-1,MATCH(K216,Ottone!$F$1:$FF$1,0)-1)=TRUE),0,OFFSET(Ottone!$F$1,MATCH(J216,Ottone!$A:$A,0)-1,MATCH(K216,Ottone!$F$1:$FF$1,0)-1))*IF(G216="Ottone",1,0)</f>
        <v>0</v>
      </c>
      <c r="T216" s="255">
        <f ca="1">IF(ISERROR(OFFSET(Rame!$F$1,MATCH(J216,Rame!$F:$F,0)-1,MATCH(K216,Rame!$F$1:$FF$1,0)-1)=TRUE),0,OFFSET(Rame!$F$1,MATCH(J216,Rame!$F:$F,0)-1,MATCH(K216,Rame!$F$1:$FF$1,0)-1))*IF(G216="Rame",1,0)</f>
        <v>0</v>
      </c>
      <c r="U216" s="255">
        <f ca="1">IF(ISERROR(OFFSET(Bronzo!$A$1,MATCH(J216,Bronzo!$A:$A,0)-1,MATCH(K216,Bronzo!$A$1:$AA$1,0)-1)=TRUE),0,OFFSET(Bronzo!$A$1,MATCH(J216,Bronzo!$A:$A,0)-1,MATCH(K216,Bronzo!$A$1:$AA$1,0)-1))</f>
        <v>0</v>
      </c>
      <c r="V216" s="255">
        <f t="shared" ca="1" si="100"/>
        <v>0</v>
      </c>
      <c r="W216" s="254"/>
      <c r="X216" s="255">
        <v>0</v>
      </c>
      <c r="Y216" s="256">
        <f t="shared" ca="1" si="101"/>
        <v>1.47</v>
      </c>
      <c r="Z216" s="291">
        <f t="shared" si="102"/>
        <v>43</v>
      </c>
      <c r="AA216" s="253">
        <v>4.16</v>
      </c>
      <c r="AB216" s="253">
        <f t="shared" ca="1" si="103"/>
        <v>0</v>
      </c>
      <c r="AC216" s="258"/>
      <c r="AH216" s="232">
        <f t="shared" ca="1" si="99"/>
        <v>46120</v>
      </c>
      <c r="AI216" s="232" t="b">
        <f t="shared" si="94"/>
        <v>1</v>
      </c>
      <c r="AJ216" s="259" t="str">
        <f t="shared" si="106"/>
        <v/>
      </c>
      <c r="AM216" s="223">
        <f t="shared" si="95"/>
        <v>0</v>
      </c>
      <c r="AN216" s="223">
        <f t="shared" si="96"/>
        <v>1900</v>
      </c>
      <c r="AU216" s="223">
        <f t="shared" si="97"/>
        <v>0</v>
      </c>
      <c r="AV216" s="223">
        <f t="shared" si="98"/>
        <v>0</v>
      </c>
    </row>
    <row r="217" spans="4:48" ht="26.25" x14ac:dyDescent="0.4">
      <c r="D217" s="246" t="s">
        <v>610</v>
      </c>
      <c r="E217" s="292" t="s">
        <v>212</v>
      </c>
      <c r="F217" s="293">
        <v>1684</v>
      </c>
      <c r="G217" s="249" t="s">
        <v>4</v>
      </c>
      <c r="H217" s="250">
        <v>2.69</v>
      </c>
      <c r="I217" s="251">
        <v>46064</v>
      </c>
      <c r="J217" s="252" t="s">
        <v>21</v>
      </c>
      <c r="K217" s="252"/>
      <c r="L217" s="253">
        <v>0.05</v>
      </c>
      <c r="M217" s="254">
        <f ca="1">IF(ISERROR(OFFSET(Tabella!$A$1,MATCH(J217,Tabella!$A:$A,0)-1,MATCH(L217,Tabella!$A$1:$AC$1,0)-1)=TRUE),0,+OFFSET(Tabella!$A$1,MATCH(J217,Tabella!$A:$A,0)-1,MATCH(L217,Tabella!$A$1:$AC$1,0)-1))</f>
        <v>0</v>
      </c>
      <c r="N217" s="255">
        <f ca="1">IF(ISERROR(OFFSET(Ottone!$A$1,MATCH(J217,Ottone!$A:$A,0)-1,MATCH(L217,Ottone!$A$1:$Z$1,0)-1)=TRUE),0,OFFSET(Ottone!$A$1,MATCH(J217,Ottone!$A:$A,0)-1,MATCH(L217,Ottone!$A$1:$Z$1,0)-1))*IF(G217="Ottone",1,0)</f>
        <v>0</v>
      </c>
      <c r="O217" s="255">
        <f ca="1">IF(ISERROR(OFFSET(Rame!$A$1,MATCH(J217,Rame!$A:$A,0)-1,MATCH(L217,Rame!$A$1:$AA$1,0)-1)=TRUE),0,OFFSET(Rame!$A$1,MATCH(J217,Rame!$A:$A,0)-1,MATCH(L217,Rame!$A$1:$AA$1,0)-1))*IF(G217="Rame",1,0)</f>
        <v>0</v>
      </c>
      <c r="P217" s="255">
        <v>0</v>
      </c>
      <c r="Q217" s="255">
        <v>1.47</v>
      </c>
      <c r="R217" s="255">
        <f ca="1">+IF(ISERROR(OFFSET(Tabella!$G$1,MATCH(J217,Tabella!$G:$G,0)-1,MATCH(K217,Tabella!$G$1:$FG$1,0)-1)=TRUE),0,OFFSET(Tabella!$G$1,MATCH(J217,Tabella!$G:$G,0)-1,MATCH(K217,Tabella!$G$1:$AB$1,0)-1))</f>
        <v>0</v>
      </c>
      <c r="S217" s="255">
        <f ca="1">IF(ISERROR(OFFSET(Ottone!$F$1,MATCH(J217,Ottone!$A:$A,0)-1,MATCH(K217,Ottone!$F$1:$FF$1,0)-1)=TRUE),0,OFFSET(Ottone!$F$1,MATCH(J217,Ottone!$A:$A,0)-1,MATCH(K217,Ottone!$F$1:$FF$1,0)-1))*IF(G217="Ottone",1,0)</f>
        <v>0</v>
      </c>
      <c r="T217" s="255">
        <f ca="1">IF(ISERROR(OFFSET(Rame!$F$1,MATCH(J217,Rame!$F:$F,0)-1,MATCH(K217,Rame!$F$1:$FF$1,0)-1)=TRUE),0,OFFSET(Rame!$F$1,MATCH(J217,Rame!$F:$F,0)-1,MATCH(K217,Rame!$F$1:$FF$1,0)-1))*IF(G217="Rame",1,0)</f>
        <v>0</v>
      </c>
      <c r="U217" s="255">
        <f ca="1">IF(ISERROR(OFFSET(Bronzo!$A$1,MATCH(J217,Bronzo!$A:$A,0)-1,MATCH(K217,Bronzo!$A$1:$AA$1,0)-1)=TRUE),0,OFFSET(Bronzo!$A$1,MATCH(J217,Bronzo!$A:$A,0)-1,MATCH(K217,Bronzo!$A$1:$AA$1,0)-1))</f>
        <v>0</v>
      </c>
      <c r="V217" s="255">
        <f t="shared" ca="1" si="100"/>
        <v>0</v>
      </c>
      <c r="W217" s="254"/>
      <c r="X217" s="255">
        <v>0</v>
      </c>
      <c r="Y217" s="256">
        <f t="shared" ca="1" si="101"/>
        <v>1.47</v>
      </c>
      <c r="Z217" s="291">
        <f t="shared" si="102"/>
        <v>84.2</v>
      </c>
      <c r="AA217" s="253">
        <v>4.16</v>
      </c>
      <c r="AB217" s="253">
        <f t="shared" ca="1" si="103"/>
        <v>0</v>
      </c>
      <c r="AC217" s="258"/>
      <c r="AH217" s="232">
        <f t="shared" ca="1" si="99"/>
        <v>46120</v>
      </c>
      <c r="AI217" s="232" t="b">
        <f t="shared" si="94"/>
        <v>1</v>
      </c>
      <c r="AJ217" s="259" t="str">
        <f t="shared" si="106"/>
        <v/>
      </c>
      <c r="AM217" s="223">
        <f t="shared" si="95"/>
        <v>0</v>
      </c>
      <c r="AN217" s="223">
        <f t="shared" si="96"/>
        <v>1900</v>
      </c>
      <c r="AU217" s="223">
        <f t="shared" si="97"/>
        <v>0</v>
      </c>
      <c r="AV217" s="223">
        <f t="shared" si="98"/>
        <v>0</v>
      </c>
    </row>
    <row r="218" spans="4:48" ht="26.25" x14ac:dyDescent="0.4">
      <c r="D218" s="246" t="s">
        <v>689</v>
      </c>
      <c r="E218" s="292" t="s">
        <v>212</v>
      </c>
      <c r="F218" s="293">
        <v>682</v>
      </c>
      <c r="G218" s="249" t="s">
        <v>4</v>
      </c>
      <c r="H218" s="250">
        <v>2.69</v>
      </c>
      <c r="I218" s="251">
        <v>46064</v>
      </c>
      <c r="J218" s="252" t="s">
        <v>28</v>
      </c>
      <c r="K218" s="252"/>
      <c r="L218" s="253">
        <v>0.05</v>
      </c>
      <c r="M218" s="254">
        <f ca="1">IF(ISERROR(OFFSET(Tabella!$A$1,MATCH(J218,Tabella!$A:$A,0)-1,MATCH(L218,Tabella!$A$1:$AC$1,0)-1)=TRUE),0,+OFFSET(Tabella!$A$1,MATCH(J218,Tabella!$A:$A,0)-1,MATCH(L218,Tabella!$A$1:$AC$1,0)-1))</f>
        <v>0</v>
      </c>
      <c r="N218" s="255">
        <f ca="1">IF(ISERROR(OFFSET(Ottone!$A$1,MATCH(J218,Ottone!$A:$A,0)-1,MATCH(L218,Ottone!$A$1:$Z$1,0)-1)=TRUE),0,OFFSET(Ottone!$A$1,MATCH(J218,Ottone!$A:$A,0)-1,MATCH(L218,Ottone!$A$1:$Z$1,0)-1))*IF(G218="Ottone",1,0)</f>
        <v>0</v>
      </c>
      <c r="O218" s="255">
        <f ca="1">IF(ISERROR(OFFSET(Rame!$A$1,MATCH(J218,Rame!$A:$A,0)-1,MATCH(L218,Rame!$A$1:$AA$1,0)-1)=TRUE),0,OFFSET(Rame!$A$1,MATCH(J218,Rame!$A:$A,0)-1,MATCH(L218,Rame!$A$1:$AA$1,0)-1))*IF(G218="Rame",1,0)</f>
        <v>0</v>
      </c>
      <c r="P218" s="255">
        <v>0</v>
      </c>
      <c r="Q218" s="255">
        <v>1.47</v>
      </c>
      <c r="R218" s="255">
        <f ca="1">+IF(ISERROR(OFFSET(Tabella!$G$1,MATCH(J218,Tabella!$G:$G,0)-1,MATCH(K218,Tabella!$G$1:$FG$1,0)-1)=TRUE),0,OFFSET(Tabella!$G$1,MATCH(J218,Tabella!$G:$G,0)-1,MATCH(K218,Tabella!$G$1:$AB$1,0)-1))</f>
        <v>0</v>
      </c>
      <c r="S218" s="255">
        <f ca="1">IF(ISERROR(OFFSET(Ottone!$F$1,MATCH(J218,Ottone!$A:$A,0)-1,MATCH(K218,Ottone!$F$1:$FF$1,0)-1)=TRUE),0,OFFSET(Ottone!$F$1,MATCH(J218,Ottone!$A:$A,0)-1,MATCH(K218,Ottone!$F$1:$FF$1,0)-1))*IF(G218="Ottone",1,0)</f>
        <v>0</v>
      </c>
      <c r="T218" s="255">
        <f ca="1">IF(ISERROR(OFFSET(Rame!$F$1,MATCH(J218,Rame!$F:$F,0)-1,MATCH(K218,Rame!$F$1:$FF$1,0)-1)=TRUE),0,OFFSET(Rame!$F$1,MATCH(J218,Rame!$F:$F,0)-1,MATCH(K218,Rame!$F$1:$FF$1,0)-1))*IF(G218="Rame",1,0)</f>
        <v>0</v>
      </c>
      <c r="U218" s="255">
        <f ca="1">IF(ISERROR(OFFSET(Bronzo!$A$1,MATCH(J218,Bronzo!$A:$A,0)-1,MATCH(K218,Bronzo!$A$1:$AA$1,0)-1)=TRUE),0,OFFSET(Bronzo!$A$1,MATCH(J218,Bronzo!$A:$A,0)-1,MATCH(K218,Bronzo!$A$1:$AA$1,0)-1))</f>
        <v>0</v>
      </c>
      <c r="V218" s="255">
        <f t="shared" ca="1" si="100"/>
        <v>0</v>
      </c>
      <c r="W218" s="254"/>
      <c r="X218" s="255">
        <v>0</v>
      </c>
      <c r="Y218" s="256">
        <f t="shared" ca="1" si="101"/>
        <v>1.47</v>
      </c>
      <c r="Z218" s="291">
        <f t="shared" si="102"/>
        <v>34.1</v>
      </c>
      <c r="AA218" s="253">
        <v>4.16</v>
      </c>
      <c r="AB218" s="253">
        <f t="shared" ca="1" si="103"/>
        <v>0</v>
      </c>
      <c r="AC218" s="258"/>
      <c r="AH218" s="232">
        <f t="shared" ref="AH218:AH275" ca="1" si="107">TODAY()</f>
        <v>46120</v>
      </c>
      <c r="AI218" s="232" t="b">
        <f t="shared" si="94"/>
        <v>1</v>
      </c>
      <c r="AJ218" s="259" t="str">
        <f t="shared" si="106"/>
        <v/>
      </c>
      <c r="AM218" s="223">
        <f t="shared" si="95"/>
        <v>0</v>
      </c>
      <c r="AN218" s="223">
        <f t="shared" si="96"/>
        <v>1900</v>
      </c>
      <c r="AU218" s="223">
        <f t="shared" si="97"/>
        <v>0</v>
      </c>
      <c r="AV218" s="223">
        <f t="shared" si="98"/>
        <v>0</v>
      </c>
    </row>
    <row r="219" spans="4:48" ht="26.25" x14ac:dyDescent="0.4">
      <c r="D219" s="246" t="s">
        <v>691</v>
      </c>
      <c r="E219" s="292" t="s">
        <v>212</v>
      </c>
      <c r="F219" s="293">
        <v>3392</v>
      </c>
      <c r="G219" s="249" t="s">
        <v>4</v>
      </c>
      <c r="H219" s="250">
        <v>2.69</v>
      </c>
      <c r="I219" s="251">
        <v>46064</v>
      </c>
      <c r="J219" s="252" t="s">
        <v>26</v>
      </c>
      <c r="K219" s="252"/>
      <c r="L219" s="253">
        <v>0.05</v>
      </c>
      <c r="M219" s="254">
        <f ca="1">IF(ISERROR(OFFSET(Tabella!$A$1,MATCH(J219,Tabella!$A:$A,0)-1,MATCH(L219,Tabella!$A$1:$AC$1,0)-1)=TRUE),0,+OFFSET(Tabella!$A$1,MATCH(J219,Tabella!$A:$A,0)-1,MATCH(L219,Tabella!$A$1:$AC$1,0)-1))</f>
        <v>0</v>
      </c>
      <c r="N219" s="255">
        <f ca="1">IF(ISERROR(OFFSET(Ottone!$A$1,MATCH(J219,Ottone!$A:$A,0)-1,MATCH(L219,Ottone!$A$1:$Z$1,0)-1)=TRUE),0,OFFSET(Ottone!$A$1,MATCH(J219,Ottone!$A:$A,0)-1,MATCH(L219,Ottone!$A$1:$Z$1,0)-1))*IF(G219="Ottone",1,0)</f>
        <v>0</v>
      </c>
      <c r="O219" s="255">
        <f ca="1">IF(ISERROR(OFFSET(Rame!$A$1,MATCH(J219,Rame!$A:$A,0)-1,MATCH(L219,Rame!$A$1:$AA$1,0)-1)=TRUE),0,OFFSET(Rame!$A$1,MATCH(J219,Rame!$A:$A,0)-1,MATCH(L219,Rame!$A$1:$AA$1,0)-1))*IF(G219="Rame",1,0)</f>
        <v>0</v>
      </c>
      <c r="P219" s="255">
        <v>0</v>
      </c>
      <c r="Q219" s="255">
        <v>1.47</v>
      </c>
      <c r="R219" s="255">
        <f ca="1">+IF(ISERROR(OFFSET(Tabella!$G$1,MATCH(J219,Tabella!$G:$G,0)-1,MATCH(K219,Tabella!$G$1:$FG$1,0)-1)=TRUE),0,OFFSET(Tabella!$G$1,MATCH(J219,Tabella!$G:$G,0)-1,MATCH(K219,Tabella!$G$1:$AB$1,0)-1))</f>
        <v>0</v>
      </c>
      <c r="S219" s="255">
        <f ca="1">IF(ISERROR(OFFSET(Ottone!$F$1,MATCH(J219,Ottone!$A:$A,0)-1,MATCH(K219,Ottone!$F$1:$FF$1,0)-1)=TRUE),0,OFFSET(Ottone!$F$1,MATCH(J219,Ottone!$A:$A,0)-1,MATCH(K219,Ottone!$F$1:$FF$1,0)-1))*IF(G219="Ottone",1,0)</f>
        <v>0</v>
      </c>
      <c r="T219" s="255">
        <f ca="1">IF(ISERROR(OFFSET(Rame!$F$1,MATCH(J219,Rame!$F:$F,0)-1,MATCH(K219,Rame!$F$1:$FF$1,0)-1)=TRUE),0,OFFSET(Rame!$F$1,MATCH(J219,Rame!$F:$F,0)-1,MATCH(K219,Rame!$F$1:$FF$1,0)-1))*IF(G219="Rame",1,0)</f>
        <v>0</v>
      </c>
      <c r="U219" s="255">
        <f ca="1">IF(ISERROR(OFFSET(Bronzo!$A$1,MATCH(J219,Bronzo!$A:$A,0)-1,MATCH(K219,Bronzo!$A$1:$AA$1,0)-1)=TRUE),0,OFFSET(Bronzo!$A$1,MATCH(J219,Bronzo!$A:$A,0)-1,MATCH(K219,Bronzo!$A$1:$AA$1,0)-1))</f>
        <v>0</v>
      </c>
      <c r="V219" s="255">
        <f t="shared" ca="1" si="100"/>
        <v>0</v>
      </c>
      <c r="W219" s="254"/>
      <c r="X219" s="255">
        <v>0</v>
      </c>
      <c r="Y219" s="256">
        <f t="shared" ca="1" si="101"/>
        <v>1.47</v>
      </c>
      <c r="Z219" s="291">
        <f t="shared" si="102"/>
        <v>169.60000000000002</v>
      </c>
      <c r="AA219" s="253">
        <v>4.16</v>
      </c>
      <c r="AB219" s="253">
        <f t="shared" ca="1" si="103"/>
        <v>0</v>
      </c>
      <c r="AC219" s="258"/>
      <c r="AH219" s="232">
        <f t="shared" ca="1" si="107"/>
        <v>46120</v>
      </c>
      <c r="AI219" s="232" t="b">
        <f t="shared" si="94"/>
        <v>1</v>
      </c>
      <c r="AJ219" s="259" t="str">
        <f t="shared" si="106"/>
        <v/>
      </c>
      <c r="AM219" s="223">
        <f t="shared" si="95"/>
        <v>0</v>
      </c>
      <c r="AN219" s="223">
        <f t="shared" si="96"/>
        <v>1900</v>
      </c>
      <c r="AU219" s="223">
        <f t="shared" si="97"/>
        <v>0</v>
      </c>
      <c r="AV219" s="223">
        <f t="shared" si="98"/>
        <v>0</v>
      </c>
    </row>
    <row r="220" spans="4:48" ht="26.25" x14ac:dyDescent="0.4">
      <c r="D220" s="246" t="s">
        <v>494</v>
      </c>
      <c r="E220" s="252" t="s">
        <v>259</v>
      </c>
      <c r="F220" s="276">
        <v>500</v>
      </c>
      <c r="G220" s="249" t="s">
        <v>6</v>
      </c>
      <c r="H220" s="250">
        <v>10.93</v>
      </c>
      <c r="I220" s="251">
        <v>46064</v>
      </c>
      <c r="J220" s="252" t="s">
        <v>18</v>
      </c>
      <c r="K220" s="252"/>
      <c r="L220" s="253">
        <v>0.15</v>
      </c>
      <c r="M220" s="254">
        <f ca="1">IF(ISERROR(OFFSET(Tabella!$A$1,MATCH(J220,Tabella!$A:$A,0)-1,MATCH(L220,Tabella!$A$1:$AC$1,0)-1)=TRUE),0,+OFFSET(Tabella!$A$1,MATCH(J220,Tabella!$A:$A,0)-1,MATCH(L220,Tabella!$A$1:$AC$1,0)-1))</f>
        <v>0</v>
      </c>
      <c r="N220" s="255">
        <f ca="1">IF(ISERROR(OFFSET(Ottone!$A$1,MATCH(J220,Ottone!$A:$A,0)-1,MATCH(L220,Ottone!$A$1:$Z$1,0)-1)=TRUE),0,OFFSET(Ottone!$A$1,MATCH(J220,Ottone!$A:$A,0)-1,MATCH(L220,Ottone!$A$1:$Z$1,0)-1))*IF(G220="Ottone",1,0)</f>
        <v>0</v>
      </c>
      <c r="O220" s="255">
        <f ca="1">IF(ISERROR(OFFSET(Rame!$A$1,MATCH(J220,Rame!$A:$A,0)-1,MATCH(L220,Rame!$A$1:$AA$1,0)-1)=TRUE),0,OFFSET(Rame!$A$1,MATCH(J220,Rame!$A:$A,0)-1,MATCH(L220,Rame!$A$1:$AA$1,0)-1))*IF(G220="Rame",1,0)</f>
        <v>0.82</v>
      </c>
      <c r="P220" s="255">
        <v>0</v>
      </c>
      <c r="Q220" s="255">
        <v>1.47</v>
      </c>
      <c r="R220" s="255">
        <f ca="1">+IF(ISERROR(OFFSET(Tabella!$G$1,MATCH(J220,Tabella!$G:$G,0)-1,MATCH(K220,Tabella!$G$1:$FG$1,0)-1)=TRUE),0,OFFSET(Tabella!$G$1,MATCH(J220,Tabella!$G:$G,0)-1,MATCH(K220,Tabella!$G$1:$AB$1,0)-1))</f>
        <v>0</v>
      </c>
      <c r="S220" s="255">
        <f ca="1">IF(ISERROR(OFFSET(Ottone!$F$1,MATCH(J220,Ottone!$A:$A,0)-1,MATCH(K220,Ottone!$F$1:$FF$1,0)-1)=TRUE),0,OFFSET(Ottone!$F$1,MATCH(J220,Ottone!$A:$A,0)-1,MATCH(K220,Ottone!$F$1:$FF$1,0)-1))*IF(G220="Ottone",1,0)</f>
        <v>0</v>
      </c>
      <c r="T220" s="255">
        <f ca="1">IF(ISERROR(OFFSET(Rame!$F$1,MATCH(J220,Rame!$F:$F,0)-1,MATCH(K220,Rame!$F$1:$FF$1,0)-1)=TRUE),0,OFFSET(Rame!$F$1,MATCH(J220,Rame!$F:$F,0)-1,MATCH(K220,Rame!$F$1:$FF$1,0)-1))*IF(G220="Rame",1,0)</f>
        <v>0</v>
      </c>
      <c r="U220" s="255">
        <f ca="1">IF(ISERROR(OFFSET(Bronzo!$A$1,MATCH(J220,Bronzo!$A:$A,0)-1,MATCH(K220,Bronzo!$A$1:$AA$1,0)-1)=TRUE),0,OFFSET(Bronzo!$A$1,MATCH(J220,Bronzo!$A:$A,0)-1,MATCH(K220,Bronzo!$A$1:$AA$1,0)-1))</f>
        <v>0</v>
      </c>
      <c r="V220" s="255">
        <f t="shared" ca="1" si="100"/>
        <v>0</v>
      </c>
      <c r="W220" s="254"/>
      <c r="X220" s="255">
        <v>0</v>
      </c>
      <c r="Y220" s="256">
        <f t="shared" ca="1" si="101"/>
        <v>1.47</v>
      </c>
      <c r="Z220" s="257">
        <f t="shared" si="102"/>
        <v>75</v>
      </c>
      <c r="AA220" s="253">
        <v>14.85</v>
      </c>
      <c r="AB220" s="253">
        <f t="shared" ca="1" si="103"/>
        <v>2.4499999999999993</v>
      </c>
      <c r="AC220" s="258">
        <v>46091</v>
      </c>
      <c r="AH220" s="232">
        <f t="shared" ca="1" si="107"/>
        <v>46120</v>
      </c>
      <c r="AI220" s="232" t="b">
        <f t="shared" si="94"/>
        <v>0</v>
      </c>
      <c r="AJ220" s="259">
        <f t="shared" ca="1" si="106"/>
        <v>-29</v>
      </c>
      <c r="AM220" s="223">
        <f t="shared" si="95"/>
        <v>11</v>
      </c>
      <c r="AN220" s="223">
        <f t="shared" si="96"/>
        <v>2026</v>
      </c>
      <c r="AU220" s="223">
        <f t="shared" si="97"/>
        <v>3</v>
      </c>
      <c r="AV220" s="223">
        <f t="shared" si="98"/>
        <v>2026</v>
      </c>
    </row>
    <row r="221" spans="4:48" ht="26.25" x14ac:dyDescent="0.4">
      <c r="D221" s="246" t="s">
        <v>495</v>
      </c>
      <c r="E221" s="252" t="s">
        <v>259</v>
      </c>
      <c r="F221" s="276">
        <v>300</v>
      </c>
      <c r="G221" s="249" t="s">
        <v>6</v>
      </c>
      <c r="H221" s="250">
        <v>11.2</v>
      </c>
      <c r="I221" s="251">
        <v>46065</v>
      </c>
      <c r="J221" s="252" t="s">
        <v>14</v>
      </c>
      <c r="K221" s="252"/>
      <c r="L221" s="253">
        <v>0.15</v>
      </c>
      <c r="M221" s="254">
        <f ca="1">IF(ISERROR(OFFSET(Tabella!$A$1,MATCH(J221,Tabella!$A:$A,0)-1,MATCH(L221,Tabella!$A$1:$AC$1,0)-1)=TRUE),0,+OFFSET(Tabella!$A$1,MATCH(J221,Tabella!$A:$A,0)-1,MATCH(L221,Tabella!$A$1:$AC$1,0)-1))</f>
        <v>0</v>
      </c>
      <c r="N221" s="255">
        <f ca="1">IF(ISERROR(OFFSET(Ottone!$A$1,MATCH(J221,Ottone!$A:$A,0)-1,MATCH(L221,Ottone!$A$1:$Z$1,0)-1)=TRUE),0,OFFSET(Ottone!$A$1,MATCH(J221,Ottone!$A:$A,0)-1,MATCH(L221,Ottone!$A$1:$Z$1,0)-1))*IF(G221="Ottone",1,0)</f>
        <v>0</v>
      </c>
      <c r="O221" s="255">
        <f ca="1">IF(ISERROR(OFFSET(Rame!$A$1,MATCH(J221,Rame!$A:$A,0)-1,MATCH(L221,Rame!$A$1:$AA$1,0)-1)=TRUE),0,OFFSET(Rame!$A$1,MATCH(J221,Rame!$A:$A,0)-1,MATCH(L221,Rame!$A$1:$AA$1,0)-1))*IF(G221="Rame",1,0)</f>
        <v>1</v>
      </c>
      <c r="P221" s="255">
        <v>0</v>
      </c>
      <c r="Q221" s="255">
        <f t="shared" ca="1" si="105"/>
        <v>1</v>
      </c>
      <c r="R221" s="255">
        <f ca="1">+IF(ISERROR(OFFSET(Tabella!$G$1,MATCH(J221,Tabella!$G:$G,0)-1,MATCH(K221,Tabella!$G$1:$FG$1,0)-1)=TRUE),0,OFFSET(Tabella!$G$1,MATCH(J221,Tabella!$G:$G,0)-1,MATCH(K221,Tabella!$G$1:$AB$1,0)-1))</f>
        <v>0</v>
      </c>
      <c r="S221" s="255">
        <f ca="1">IF(ISERROR(OFFSET(Ottone!$F$1,MATCH(J221,Ottone!$A:$A,0)-1,MATCH(K221,Ottone!$F$1:$FF$1,0)-1)=TRUE),0,OFFSET(Ottone!$F$1,MATCH(J221,Ottone!$A:$A,0)-1,MATCH(K221,Ottone!$F$1:$FF$1,0)-1))*IF(G221="Ottone",1,0)</f>
        <v>0</v>
      </c>
      <c r="T221" s="255">
        <f ca="1">IF(ISERROR(OFFSET(Rame!$F$1,MATCH(J221,Rame!$F:$F,0)-1,MATCH(K221,Rame!$F$1:$FF$1,0)-1)=TRUE),0,OFFSET(Rame!$F$1,MATCH(J221,Rame!$F:$F,0)-1,MATCH(K221,Rame!$F$1:$FF$1,0)-1))*IF(G221="Rame",1,0)</f>
        <v>0</v>
      </c>
      <c r="U221" s="255">
        <f ca="1">IF(ISERROR(OFFSET(Bronzo!$A$1,MATCH(J221,Bronzo!$A:$A,0)-1,MATCH(K221,Bronzo!$A$1:$AA$1,0)-1)=TRUE),0,OFFSET(Bronzo!$A$1,MATCH(J221,Bronzo!$A:$A,0)-1,MATCH(K221,Bronzo!$A$1:$AA$1,0)-1))</f>
        <v>0</v>
      </c>
      <c r="V221" s="255">
        <f t="shared" ca="1" si="100"/>
        <v>0</v>
      </c>
      <c r="W221" s="254"/>
      <c r="X221" s="255">
        <v>0</v>
      </c>
      <c r="Y221" s="256">
        <f t="shared" ca="1" si="101"/>
        <v>1</v>
      </c>
      <c r="Z221" s="257">
        <f t="shared" si="102"/>
        <v>45</v>
      </c>
      <c r="AA221" s="253">
        <v>14.9</v>
      </c>
      <c r="AB221" s="253">
        <f t="shared" ca="1" si="103"/>
        <v>2.7000000000000011</v>
      </c>
      <c r="AC221" s="258">
        <v>46091</v>
      </c>
      <c r="AH221" s="232">
        <f t="shared" ca="1" si="107"/>
        <v>46120</v>
      </c>
      <c r="AI221" s="232" t="b">
        <f t="shared" ref="AI221:AI284" si="108">ISBLANK(AC221)</f>
        <v>0</v>
      </c>
      <c r="AJ221" s="259">
        <f t="shared" ca="1" si="106"/>
        <v>-29</v>
      </c>
      <c r="AM221" s="223">
        <f t="shared" ref="AM221:AM284" si="109">WEEKNUM(AC221)</f>
        <v>11</v>
      </c>
      <c r="AN221" s="223">
        <f t="shared" ref="AN221:AN284" si="110">YEAR(AC221)</f>
        <v>2026</v>
      </c>
      <c r="AU221" s="223">
        <f t="shared" ref="AU221:AU284" si="111">IF(AC221="",0,MONTH(AC221))</f>
        <v>3</v>
      </c>
      <c r="AV221" s="223">
        <f t="shared" ref="AV221:AV284" si="112">IF(AC221="",0,YEAR(AC221))</f>
        <v>2026</v>
      </c>
    </row>
    <row r="222" spans="4:48" ht="26.25" x14ac:dyDescent="0.4">
      <c r="D222" s="246" t="s">
        <v>578</v>
      </c>
      <c r="E222" s="262" t="s">
        <v>420</v>
      </c>
      <c r="F222" s="263">
        <v>1170</v>
      </c>
      <c r="G222" s="249" t="s">
        <v>4</v>
      </c>
      <c r="H222" s="250">
        <v>2.66</v>
      </c>
      <c r="I222" s="251">
        <v>46044</v>
      </c>
      <c r="J222" s="252" t="s">
        <v>309</v>
      </c>
      <c r="K222" s="252"/>
      <c r="L222" s="253">
        <v>0.05</v>
      </c>
      <c r="M222" s="254">
        <f ca="1">IF(ISERROR(OFFSET(Tabella!$A$1,MATCH(J222,Tabella!$A:$A,0)-1,MATCH(L222,Tabella!$A$1:$AC$1,0)-1)=TRUE),0,+OFFSET(Tabella!$A$1,MATCH(J222,Tabella!$A:$A,0)-1,MATCH(L222,Tabella!$A$1:$AC$1,0)-1))</f>
        <v>0</v>
      </c>
      <c r="N222" s="255">
        <f ca="1">IF(ISERROR(OFFSET(Ottone!$A$1,MATCH(J222,Ottone!$A:$A,0)-1,MATCH(L222,Ottone!$A$1:$Z$1,0)-1)=TRUE),0,OFFSET(Ottone!$A$1,MATCH(J222,Ottone!$A:$A,0)-1,MATCH(L222,Ottone!$A$1:$Z$1,0)-1))*IF(G222="Ottone",1,0)</f>
        <v>0</v>
      </c>
      <c r="O222" s="255">
        <f ca="1">IF(ISERROR(OFFSET(Rame!$A$1,MATCH(J222,Rame!$A:$A,0)-1,MATCH(L222,Rame!$A$1:$AA$1,0)-1)=TRUE),0,OFFSET(Rame!$A$1,MATCH(J222,Rame!$A:$A,0)-1,MATCH(L222,Rame!$A$1:$AA$1,0)-1))*IF(G222="Rame",1,0)</f>
        <v>0</v>
      </c>
      <c r="P222" s="255">
        <v>0</v>
      </c>
      <c r="Q222" s="255">
        <v>1.5</v>
      </c>
      <c r="R222" s="255">
        <f ca="1">+IF(ISERROR(OFFSET(Tabella!$G$1,MATCH(J222,Tabella!$G:$G,0)-1,MATCH(K222,Tabella!$G$1:$FG$1,0)-1)=TRUE),0,OFFSET(Tabella!$G$1,MATCH(J222,Tabella!$G:$G,0)-1,MATCH(K222,Tabella!$G$1:$AB$1,0)-1))</f>
        <v>0</v>
      </c>
      <c r="S222" s="255">
        <f ca="1">IF(ISERROR(OFFSET(Ottone!$F$1,MATCH(J222,Ottone!$A:$A,0)-1,MATCH(K222,Ottone!$F$1:$FF$1,0)-1)=TRUE),0,OFFSET(Ottone!$F$1,MATCH(J222,Ottone!$A:$A,0)-1,MATCH(K222,Ottone!$F$1:$FF$1,0)-1))*IF(G222="Ottone",1,0)</f>
        <v>0</v>
      </c>
      <c r="T222" s="255">
        <f ca="1">IF(ISERROR(OFFSET(Rame!$F$1,MATCH(J222,Rame!$F:$F,0)-1,MATCH(K222,Rame!$F$1:$FF$1,0)-1)=TRUE),0,OFFSET(Rame!$F$1,MATCH(J222,Rame!$F:$F,0)-1,MATCH(K222,Rame!$F$1:$FF$1,0)-1))*IF(G222="Rame",1,0)</f>
        <v>0</v>
      </c>
      <c r="U222" s="255">
        <f ca="1">IF(ISERROR(OFFSET(Bronzo!$A$1,MATCH(J222,Bronzo!$A:$A,0)-1,MATCH(K222,Bronzo!$A$1:$AA$1,0)-1)=TRUE),0,OFFSET(Bronzo!$A$1,MATCH(J222,Bronzo!$A:$A,0)-1,MATCH(K222,Bronzo!$A$1:$AA$1,0)-1))</f>
        <v>0</v>
      </c>
      <c r="V222" s="255">
        <f t="shared" ca="1" si="100"/>
        <v>0</v>
      </c>
      <c r="W222" s="254"/>
      <c r="X222" s="255">
        <v>0</v>
      </c>
      <c r="Y222" s="256">
        <f t="shared" ca="1" si="101"/>
        <v>1.5</v>
      </c>
      <c r="Z222" s="269">
        <f t="shared" si="102"/>
        <v>58.5</v>
      </c>
      <c r="AA222" s="253">
        <v>4.0999999999999996</v>
      </c>
      <c r="AB222" s="253">
        <f t="shared" ca="1" si="103"/>
        <v>-6.0000000000000497E-2</v>
      </c>
      <c r="AC222" s="258"/>
      <c r="AF222" s="223" t="s">
        <v>405</v>
      </c>
      <c r="AH222" s="232">
        <f t="shared" ca="1" si="107"/>
        <v>46120</v>
      </c>
      <c r="AI222" s="232" t="b">
        <f t="shared" si="108"/>
        <v>1</v>
      </c>
      <c r="AJ222" s="259" t="str">
        <f t="shared" si="106"/>
        <v/>
      </c>
      <c r="AM222" s="223">
        <f t="shared" si="109"/>
        <v>0</v>
      </c>
      <c r="AN222" s="223">
        <f t="shared" si="110"/>
        <v>1900</v>
      </c>
      <c r="AU222" s="223">
        <f t="shared" si="111"/>
        <v>0</v>
      </c>
      <c r="AV222" s="223">
        <f t="shared" si="112"/>
        <v>0</v>
      </c>
    </row>
    <row r="223" spans="4:48" ht="26.25" x14ac:dyDescent="0.4">
      <c r="D223" s="246" t="s">
        <v>682</v>
      </c>
      <c r="E223" s="262" t="s">
        <v>420</v>
      </c>
      <c r="F223" s="263">
        <v>1000</v>
      </c>
      <c r="G223" s="249" t="s">
        <v>4</v>
      </c>
      <c r="H223" s="250">
        <v>2.66</v>
      </c>
      <c r="I223" s="251">
        <v>46044</v>
      </c>
      <c r="J223" s="252" t="s">
        <v>322</v>
      </c>
      <c r="K223" s="252"/>
      <c r="L223" s="253">
        <v>0.05</v>
      </c>
      <c r="M223" s="254">
        <f ca="1">IF(ISERROR(OFFSET(Tabella!$A$1,MATCH(J223,Tabella!$A:$A,0)-1,MATCH(L223,Tabella!$A$1:$AC$1,0)-1)=TRUE),0,+OFFSET(Tabella!$A$1,MATCH(J223,Tabella!$A:$A,0)-1,MATCH(L223,Tabella!$A$1:$AC$1,0)-1))</f>
        <v>0</v>
      </c>
      <c r="N223" s="255">
        <f ca="1">IF(ISERROR(OFFSET(Ottone!$A$1,MATCH(J223,Ottone!$A:$A,0)-1,MATCH(L223,Ottone!$A$1:$Z$1,0)-1)=TRUE),0,OFFSET(Ottone!$A$1,MATCH(J223,Ottone!$A:$A,0)-1,MATCH(L223,Ottone!$A$1:$Z$1,0)-1))*IF(G223="Ottone",1,0)</f>
        <v>0</v>
      </c>
      <c r="O223" s="255">
        <f ca="1">IF(ISERROR(OFFSET(Rame!$A$1,MATCH(J223,Rame!$A:$A,0)-1,MATCH(L223,Rame!$A$1:$AA$1,0)-1)=TRUE),0,OFFSET(Rame!$A$1,MATCH(J223,Rame!$A:$A,0)-1,MATCH(L223,Rame!$A$1:$AA$1,0)-1))*IF(G223="Rame",1,0)</f>
        <v>0</v>
      </c>
      <c r="P223" s="255">
        <v>0</v>
      </c>
      <c r="Q223" s="255">
        <v>1.5</v>
      </c>
      <c r="R223" s="255">
        <f ca="1">+IF(ISERROR(OFFSET(Tabella!$G$1,MATCH(J223,Tabella!$G:$G,0)-1,MATCH(K223,Tabella!$G$1:$FG$1,0)-1)=TRUE),0,OFFSET(Tabella!$G$1,MATCH(J223,Tabella!$G:$G,0)-1,MATCH(K223,Tabella!$G$1:$AB$1,0)-1))</f>
        <v>0</v>
      </c>
      <c r="S223" s="255">
        <f ca="1">IF(ISERROR(OFFSET(Ottone!$F$1,MATCH(J223,Ottone!$A:$A,0)-1,MATCH(K223,Ottone!$F$1:$FF$1,0)-1)=TRUE),0,OFFSET(Ottone!$F$1,MATCH(J223,Ottone!$A:$A,0)-1,MATCH(K223,Ottone!$F$1:$FF$1,0)-1))*IF(G223="Ottone",1,0)</f>
        <v>0</v>
      </c>
      <c r="T223" s="255">
        <f ca="1">IF(ISERROR(OFFSET(Rame!$F$1,MATCH(J223,Rame!$F:$F,0)-1,MATCH(K223,Rame!$F$1:$FF$1,0)-1)=TRUE),0,OFFSET(Rame!$F$1,MATCH(J223,Rame!$F:$F,0)-1,MATCH(K223,Rame!$F$1:$FF$1,0)-1))*IF(G223="Rame",1,0)</f>
        <v>0</v>
      </c>
      <c r="U223" s="255">
        <f ca="1">IF(ISERROR(OFFSET(Bronzo!$A$1,MATCH(J223,Bronzo!$A:$A,0)-1,MATCH(K223,Bronzo!$A$1:$AA$1,0)-1)=TRUE),0,OFFSET(Bronzo!$A$1,MATCH(J223,Bronzo!$A:$A,0)-1,MATCH(K223,Bronzo!$A$1:$AA$1,0)-1))</f>
        <v>0</v>
      </c>
      <c r="V223" s="255">
        <f t="shared" ca="1" si="100"/>
        <v>0</v>
      </c>
      <c r="W223" s="254"/>
      <c r="X223" s="255">
        <v>0</v>
      </c>
      <c r="Y223" s="256">
        <f t="shared" ca="1" si="101"/>
        <v>1.5</v>
      </c>
      <c r="Z223" s="269">
        <f t="shared" si="102"/>
        <v>50</v>
      </c>
      <c r="AA223" s="253">
        <v>4.0999999999999996</v>
      </c>
      <c r="AB223" s="253">
        <f t="shared" ca="1" si="103"/>
        <v>-6.0000000000000497E-2</v>
      </c>
      <c r="AC223" s="258"/>
      <c r="AF223" s="223" t="s">
        <v>405</v>
      </c>
      <c r="AH223" s="232">
        <f t="shared" ca="1" si="107"/>
        <v>46120</v>
      </c>
      <c r="AI223" s="232" t="b">
        <f t="shared" si="108"/>
        <v>1</v>
      </c>
      <c r="AJ223" s="259" t="str">
        <f t="shared" si="106"/>
        <v/>
      </c>
      <c r="AM223" s="223">
        <f t="shared" si="109"/>
        <v>0</v>
      </c>
      <c r="AN223" s="223">
        <f t="shared" si="110"/>
        <v>1900</v>
      </c>
      <c r="AU223" s="223">
        <f t="shared" si="111"/>
        <v>0</v>
      </c>
      <c r="AV223" s="223">
        <f t="shared" si="112"/>
        <v>0</v>
      </c>
    </row>
    <row r="224" spans="4:48" ht="26.25" x14ac:dyDescent="0.4">
      <c r="D224" s="246" t="s">
        <v>625</v>
      </c>
      <c r="E224" s="292" t="s">
        <v>263</v>
      </c>
      <c r="F224" s="293">
        <v>1400</v>
      </c>
      <c r="G224" s="249" t="s">
        <v>4</v>
      </c>
      <c r="H224" s="250">
        <v>2.69</v>
      </c>
      <c r="I224" s="251">
        <v>46065</v>
      </c>
      <c r="J224" s="252" t="s">
        <v>21</v>
      </c>
      <c r="K224" s="252"/>
      <c r="L224" s="253">
        <v>7.0000000000000007E-2</v>
      </c>
      <c r="M224" s="254">
        <f ca="1">IF(ISERROR(OFFSET(Tabella!$A$1,MATCH(J224,Tabella!$A:$A,0)-1,MATCH(L224,Tabella!$A$1:$AC$1,0)-1)=TRUE),0,+OFFSET(Tabella!$A$1,MATCH(J224,Tabella!$A:$A,0)-1,MATCH(L224,Tabella!$A$1:$AC$1,0)-1))</f>
        <v>1.25</v>
      </c>
      <c r="N224" s="255">
        <f ca="1">IF(ISERROR(OFFSET(Ottone!$A$1,MATCH(J224,Ottone!$A:$A,0)-1,MATCH(L224,Ottone!$A$1:$Z$1,0)-1)=TRUE),0,OFFSET(Ottone!$A$1,MATCH(J224,Ottone!$A:$A,0)-1,MATCH(L224,Ottone!$A$1:$Z$1,0)-1))*IF(G224="Ottone",1,0)</f>
        <v>0</v>
      </c>
      <c r="O224" s="255">
        <f ca="1">IF(ISERROR(OFFSET(Rame!$A$1,MATCH(J224,Rame!$A:$A,0)-1,MATCH(L224,Rame!$A$1:$AA$1,0)-1)=TRUE),0,OFFSET(Rame!$A$1,MATCH(J224,Rame!$A:$A,0)-1,MATCH(L224,Rame!$A$1:$AA$1,0)-1))*IF(G224="Rame",1,0)</f>
        <v>0</v>
      </c>
      <c r="P224" s="255">
        <v>0</v>
      </c>
      <c r="Q224" s="255">
        <v>1.57</v>
      </c>
      <c r="R224" s="255">
        <f ca="1">+IF(ISERROR(OFFSET(Tabella!$G$1,MATCH(J224,Tabella!$G:$G,0)-1,MATCH(K224,Tabella!$G$1:$FG$1,0)-1)=TRUE),0,OFFSET(Tabella!$G$1,MATCH(J224,Tabella!$G:$G,0)-1,MATCH(K224,Tabella!$G$1:$AB$1,0)-1))</f>
        <v>0</v>
      </c>
      <c r="S224" s="255">
        <f ca="1">IF(ISERROR(OFFSET(Ottone!$F$1,MATCH(J224,Ottone!$A:$A,0)-1,MATCH(K224,Ottone!$F$1:$FF$1,0)-1)=TRUE),0,OFFSET(Ottone!$F$1,MATCH(J224,Ottone!$A:$A,0)-1,MATCH(K224,Ottone!$F$1:$FF$1,0)-1))*IF(G224="Ottone",1,0)</f>
        <v>0</v>
      </c>
      <c r="T224" s="255">
        <f ca="1">IF(ISERROR(OFFSET(Rame!$F$1,MATCH(J224,Rame!$F:$F,0)-1,MATCH(K224,Rame!$F$1:$FF$1,0)-1)=TRUE),0,OFFSET(Rame!$F$1,MATCH(J224,Rame!$F:$F,0)-1,MATCH(K224,Rame!$F$1:$FF$1,0)-1))*IF(G224="Rame",1,0)</f>
        <v>0</v>
      </c>
      <c r="U224" s="255">
        <f ca="1">IF(ISERROR(OFFSET(Bronzo!$A$1,MATCH(J224,Bronzo!$A:$A,0)-1,MATCH(K224,Bronzo!$A$1:$AA$1,0)-1)=TRUE),0,OFFSET(Bronzo!$A$1,MATCH(J224,Bronzo!$A:$A,0)-1,MATCH(K224,Bronzo!$A$1:$AA$1,0)-1))</f>
        <v>0</v>
      </c>
      <c r="V224" s="255">
        <f t="shared" ca="1" si="100"/>
        <v>0</v>
      </c>
      <c r="W224" s="254"/>
      <c r="X224" s="255">
        <v>0</v>
      </c>
      <c r="Y224" s="256">
        <f t="shared" ca="1" si="101"/>
        <v>1.57</v>
      </c>
      <c r="Z224" s="291">
        <f t="shared" si="102"/>
        <v>98.000000000000014</v>
      </c>
      <c r="AA224" s="253">
        <v>4.26</v>
      </c>
      <c r="AB224" s="253">
        <f t="shared" ca="1" si="103"/>
        <v>0</v>
      </c>
      <c r="AC224" s="258"/>
      <c r="AH224" s="232">
        <f t="shared" ca="1" si="107"/>
        <v>46120</v>
      </c>
      <c r="AI224" s="232" t="b">
        <f t="shared" si="108"/>
        <v>1</v>
      </c>
      <c r="AJ224" s="259" t="str">
        <f t="shared" si="106"/>
        <v/>
      </c>
      <c r="AM224" s="223">
        <f t="shared" si="109"/>
        <v>0</v>
      </c>
      <c r="AN224" s="223">
        <f t="shared" si="110"/>
        <v>1900</v>
      </c>
      <c r="AU224" s="223">
        <f t="shared" si="111"/>
        <v>0</v>
      </c>
      <c r="AV224" s="223">
        <f t="shared" si="112"/>
        <v>0</v>
      </c>
    </row>
    <row r="225" spans="4:48" ht="26.25" x14ac:dyDescent="0.4">
      <c r="D225" s="246" t="s">
        <v>759</v>
      </c>
      <c r="E225" s="292" t="s">
        <v>263</v>
      </c>
      <c r="F225" s="293">
        <v>625</v>
      </c>
      <c r="G225" s="249" t="s">
        <v>4</v>
      </c>
      <c r="H225" s="250">
        <v>2.69</v>
      </c>
      <c r="I225" s="251">
        <v>46065</v>
      </c>
      <c r="J225" s="252" t="s">
        <v>322</v>
      </c>
      <c r="K225" s="252"/>
      <c r="L225" s="253">
        <v>7.0000000000000007E-2</v>
      </c>
      <c r="M225" s="254">
        <f ca="1">IF(ISERROR(OFFSET(Tabella!$A$1,MATCH(J225,Tabella!$A:$A,0)-1,MATCH(L225,Tabella!$A$1:$AC$1,0)-1)=TRUE),0,+OFFSET(Tabella!$A$1,MATCH(J225,Tabella!$A:$A,0)-1,MATCH(L225,Tabella!$A$1:$AC$1,0)-1))</f>
        <v>1.25</v>
      </c>
      <c r="N225" s="255">
        <f ca="1">IF(ISERROR(OFFSET(Ottone!$A$1,MATCH(J225,Ottone!$A:$A,0)-1,MATCH(L225,Ottone!$A$1:$Z$1,0)-1)=TRUE),0,OFFSET(Ottone!$A$1,MATCH(J225,Ottone!$A:$A,0)-1,MATCH(L225,Ottone!$A$1:$Z$1,0)-1))*IF(G225="Ottone",1,0)</f>
        <v>0</v>
      </c>
      <c r="O225" s="255">
        <f ca="1">IF(ISERROR(OFFSET(Rame!$A$1,MATCH(J225,Rame!$A:$A,0)-1,MATCH(L225,Rame!$A$1:$AA$1,0)-1)=TRUE),0,OFFSET(Rame!$A$1,MATCH(J225,Rame!$A:$A,0)-1,MATCH(L225,Rame!$A$1:$AA$1,0)-1))*IF(G225="Rame",1,0)</f>
        <v>0</v>
      </c>
      <c r="P225" s="255">
        <v>0</v>
      </c>
      <c r="Q225" s="255">
        <v>1.57</v>
      </c>
      <c r="R225" s="255">
        <f ca="1">+IF(ISERROR(OFFSET(Tabella!$G$1,MATCH(J225,Tabella!$G:$G,0)-1,MATCH(K225,Tabella!$G$1:$FG$1,0)-1)=TRUE),0,OFFSET(Tabella!$G$1,MATCH(J225,Tabella!$G:$G,0)-1,MATCH(K225,Tabella!$G$1:$AB$1,0)-1))</f>
        <v>0</v>
      </c>
      <c r="S225" s="255">
        <f ca="1">IF(ISERROR(OFFSET(Ottone!$F$1,MATCH(J225,Ottone!$A:$A,0)-1,MATCH(K225,Ottone!$F$1:$FF$1,0)-1)=TRUE),0,OFFSET(Ottone!$F$1,MATCH(J225,Ottone!$A:$A,0)-1,MATCH(K225,Ottone!$F$1:$FF$1,0)-1))*IF(G225="Ottone",1,0)</f>
        <v>0</v>
      </c>
      <c r="T225" s="255">
        <f ca="1">IF(ISERROR(OFFSET(Rame!$F$1,MATCH(J225,Rame!$F:$F,0)-1,MATCH(K225,Rame!$F$1:$FF$1,0)-1)=TRUE),0,OFFSET(Rame!$F$1,MATCH(J225,Rame!$F:$F,0)-1,MATCH(K225,Rame!$F$1:$FF$1,0)-1))*IF(G225="Rame",1,0)</f>
        <v>0</v>
      </c>
      <c r="U225" s="255">
        <f ca="1">IF(ISERROR(OFFSET(Bronzo!$A$1,MATCH(J225,Bronzo!$A:$A,0)-1,MATCH(K225,Bronzo!$A$1:$AA$1,0)-1)=TRUE),0,OFFSET(Bronzo!$A$1,MATCH(J225,Bronzo!$A:$A,0)-1,MATCH(K225,Bronzo!$A$1:$AA$1,0)-1))</f>
        <v>0</v>
      </c>
      <c r="V225" s="255">
        <f t="shared" ca="1" si="100"/>
        <v>0</v>
      </c>
      <c r="W225" s="254"/>
      <c r="X225" s="255">
        <v>0</v>
      </c>
      <c r="Y225" s="256">
        <f t="shared" ca="1" si="101"/>
        <v>1.57</v>
      </c>
      <c r="Z225" s="291">
        <f t="shared" si="102"/>
        <v>43.750000000000007</v>
      </c>
      <c r="AA225" s="253">
        <v>4.26</v>
      </c>
      <c r="AB225" s="253">
        <f t="shared" ca="1" si="103"/>
        <v>0</v>
      </c>
      <c r="AC225" s="258"/>
      <c r="AH225" s="232">
        <f t="shared" ca="1" si="107"/>
        <v>46120</v>
      </c>
      <c r="AI225" s="232" t="b">
        <f t="shared" si="108"/>
        <v>1</v>
      </c>
      <c r="AJ225" s="259" t="str">
        <f t="shared" si="106"/>
        <v/>
      </c>
      <c r="AM225" s="223">
        <f t="shared" si="109"/>
        <v>0</v>
      </c>
      <c r="AN225" s="223">
        <f t="shared" si="110"/>
        <v>1900</v>
      </c>
      <c r="AU225" s="223">
        <f t="shared" si="111"/>
        <v>0</v>
      </c>
      <c r="AV225" s="223">
        <f t="shared" si="112"/>
        <v>0</v>
      </c>
    </row>
    <row r="226" spans="4:48" ht="26.25" x14ac:dyDescent="0.4">
      <c r="D226" s="246" t="s">
        <v>759</v>
      </c>
      <c r="E226" s="292" t="s">
        <v>263</v>
      </c>
      <c r="F226" s="293">
        <v>779</v>
      </c>
      <c r="G226" s="249" t="s">
        <v>4</v>
      </c>
      <c r="H226" s="250">
        <v>2.69</v>
      </c>
      <c r="I226" s="251">
        <v>46065</v>
      </c>
      <c r="J226" s="252" t="s">
        <v>314</v>
      </c>
      <c r="K226" s="252"/>
      <c r="L226" s="253">
        <v>7.0000000000000007E-2</v>
      </c>
      <c r="M226" s="254">
        <f ca="1">IF(ISERROR(OFFSET(Tabella!$A$1,MATCH(J226,Tabella!$A:$A,0)-1,MATCH(L226,Tabella!$A$1:$AC$1,0)-1)=TRUE),0,+OFFSET(Tabella!$A$1,MATCH(J226,Tabella!$A:$A,0)-1,MATCH(L226,Tabella!$A$1:$AC$1,0)-1))</f>
        <v>1.25</v>
      </c>
      <c r="N226" s="255">
        <f ca="1">IF(ISERROR(OFFSET(Ottone!$A$1,MATCH(J226,Ottone!$A:$A,0)-1,MATCH(L226,Ottone!$A$1:$Z$1,0)-1)=TRUE),0,OFFSET(Ottone!$A$1,MATCH(J226,Ottone!$A:$A,0)-1,MATCH(L226,Ottone!$A$1:$Z$1,0)-1))*IF(G226="Ottone",1,0)</f>
        <v>0</v>
      </c>
      <c r="O226" s="255">
        <f ca="1">IF(ISERROR(OFFSET(Rame!$A$1,MATCH(J226,Rame!$A:$A,0)-1,MATCH(L226,Rame!$A$1:$AA$1,0)-1)=TRUE),0,OFFSET(Rame!$A$1,MATCH(J226,Rame!$A:$A,0)-1,MATCH(L226,Rame!$A$1:$AA$1,0)-1))*IF(G226="Rame",1,0)</f>
        <v>0</v>
      </c>
      <c r="P226" s="255">
        <v>0</v>
      </c>
      <c r="Q226" s="255">
        <v>1.57</v>
      </c>
      <c r="R226" s="255">
        <f ca="1">+IF(ISERROR(OFFSET(Tabella!$G$1,MATCH(J226,Tabella!$G:$G,0)-1,MATCH(K226,Tabella!$G$1:$FG$1,0)-1)=TRUE),0,OFFSET(Tabella!$G$1,MATCH(J226,Tabella!$G:$G,0)-1,MATCH(K226,Tabella!$G$1:$AB$1,0)-1))</f>
        <v>0</v>
      </c>
      <c r="S226" s="255">
        <f ca="1">IF(ISERROR(OFFSET(Ottone!$F$1,MATCH(J226,Ottone!$A:$A,0)-1,MATCH(K226,Ottone!$F$1:$FF$1,0)-1)=TRUE),0,OFFSET(Ottone!$F$1,MATCH(J226,Ottone!$A:$A,0)-1,MATCH(K226,Ottone!$F$1:$FF$1,0)-1))*IF(G226="Ottone",1,0)</f>
        <v>0</v>
      </c>
      <c r="T226" s="255">
        <f ca="1">IF(ISERROR(OFFSET(Rame!$F$1,MATCH(J226,Rame!$F:$F,0)-1,MATCH(K226,Rame!$F$1:$FF$1,0)-1)=TRUE),0,OFFSET(Rame!$F$1,MATCH(J226,Rame!$F:$F,0)-1,MATCH(K226,Rame!$F$1:$FF$1,0)-1))*IF(G226="Rame",1,0)</f>
        <v>0</v>
      </c>
      <c r="U226" s="255">
        <f ca="1">IF(ISERROR(OFFSET(Bronzo!$A$1,MATCH(J226,Bronzo!$A:$A,0)-1,MATCH(K226,Bronzo!$A$1:$AA$1,0)-1)=TRUE),0,OFFSET(Bronzo!$A$1,MATCH(J226,Bronzo!$A:$A,0)-1,MATCH(K226,Bronzo!$A$1:$AA$1,0)-1))</f>
        <v>0</v>
      </c>
      <c r="V226" s="255">
        <f t="shared" ca="1" si="100"/>
        <v>0</v>
      </c>
      <c r="W226" s="254"/>
      <c r="X226" s="255">
        <v>0</v>
      </c>
      <c r="Y226" s="256">
        <f t="shared" ca="1" si="101"/>
        <v>1.57</v>
      </c>
      <c r="Z226" s="291">
        <f t="shared" si="102"/>
        <v>54.530000000000008</v>
      </c>
      <c r="AA226" s="253">
        <v>4.26</v>
      </c>
      <c r="AB226" s="253">
        <f t="shared" ca="1" si="103"/>
        <v>0</v>
      </c>
      <c r="AC226" s="258"/>
      <c r="AH226" s="232">
        <f t="shared" ca="1" si="107"/>
        <v>46120</v>
      </c>
      <c r="AI226" s="232" t="b">
        <f t="shared" si="108"/>
        <v>1</v>
      </c>
      <c r="AJ226" s="259" t="str">
        <f t="shared" si="106"/>
        <v/>
      </c>
      <c r="AM226" s="223">
        <f t="shared" si="109"/>
        <v>0</v>
      </c>
      <c r="AN226" s="223">
        <f t="shared" si="110"/>
        <v>1900</v>
      </c>
      <c r="AU226" s="223">
        <f t="shared" si="111"/>
        <v>0</v>
      </c>
      <c r="AV226" s="223">
        <f t="shared" si="112"/>
        <v>0</v>
      </c>
    </row>
    <row r="227" spans="4:48" ht="26.25" x14ac:dyDescent="0.4">
      <c r="D227" s="296" t="s">
        <v>600</v>
      </c>
      <c r="E227" s="262" t="s">
        <v>297</v>
      </c>
      <c r="F227" s="263">
        <v>823</v>
      </c>
      <c r="G227" s="249" t="s">
        <v>4</v>
      </c>
      <c r="H227" s="250">
        <v>2.59</v>
      </c>
      <c r="I227" s="251">
        <v>46066</v>
      </c>
      <c r="J227" s="252" t="s">
        <v>309</v>
      </c>
      <c r="K227" s="252"/>
      <c r="L227" s="269">
        <v>7.0000000000000007E-2</v>
      </c>
      <c r="M227" s="254">
        <f ca="1">IF(ISERROR(OFFSET(Tabella!$A$1,MATCH(J227,Tabella!$A:$A,0)-1,MATCH(L227,Tabella!$A$1:$AC$1,0)-1)=TRUE),0,+OFFSET(Tabella!$A$1,MATCH(J227,Tabella!$A:$A,0)-1,MATCH(L227,Tabella!$A$1:$AC$1,0)-1))</f>
        <v>1.25</v>
      </c>
      <c r="N227" s="255">
        <f ca="1">IF(ISERROR(OFFSET(Ottone!$A$1,MATCH(J227,Ottone!$A:$A,0)-1,MATCH(L227,Ottone!$A$1:$Z$1,0)-1)=TRUE),0,OFFSET(Ottone!$A$1,MATCH(J227,Ottone!$A:$A,0)-1,MATCH(L227,Ottone!$A$1:$Z$1,0)-1))*IF(G227="Ottone",1,0)</f>
        <v>0</v>
      </c>
      <c r="O227" s="255">
        <f ca="1">IF(ISERROR(OFFSET(Rame!$A$1,MATCH(J227,Rame!$A:$A,0)-1,MATCH(L227,Rame!$A$1:$AA$1,0)-1)=TRUE),0,OFFSET(Rame!$A$1,MATCH(J227,Rame!$A:$A,0)-1,MATCH(L227,Rame!$A$1:$AA$1,0)-1))*IF(G227="Rame",1,0)</f>
        <v>0</v>
      </c>
      <c r="P227" s="255">
        <v>0</v>
      </c>
      <c r="Q227" s="255">
        <v>1.5</v>
      </c>
      <c r="R227" s="255">
        <f ca="1">+IF(ISERROR(OFFSET(Tabella!$G$1,MATCH(J227,Tabella!$G:$G,0)-1,MATCH(K227,Tabella!$G$1:$FG$1,0)-1)=TRUE),0,OFFSET(Tabella!$G$1,MATCH(J227,Tabella!$G:$G,0)-1,MATCH(K227,Tabella!$G$1:$AB$1,0)-1))</f>
        <v>0</v>
      </c>
      <c r="S227" s="255">
        <f ca="1">IF(ISERROR(OFFSET(Ottone!$F$1,MATCH(J227,Ottone!$A:$A,0)-1,MATCH(K227,Ottone!$F$1:$FF$1,0)-1)=TRUE),0,OFFSET(Ottone!$F$1,MATCH(J227,Ottone!$A:$A,0)-1,MATCH(K227,Ottone!$F$1:$FF$1,0)-1))*IF(G227="Ottone",1,0)</f>
        <v>0</v>
      </c>
      <c r="T227" s="255">
        <f ca="1">IF(ISERROR(OFFSET(Rame!$F$1,MATCH(J227,Rame!$F:$F,0)-1,MATCH(K227,Rame!$F$1:$FF$1,0)-1)=TRUE),0,OFFSET(Rame!$F$1,MATCH(J227,Rame!$F:$F,0)-1,MATCH(K227,Rame!$F$1:$FF$1,0)-1))*IF(G227="Rame",1,0)</f>
        <v>0</v>
      </c>
      <c r="U227" s="255">
        <f ca="1">IF(ISERROR(OFFSET(Bronzo!$A$1,MATCH(J227,Bronzo!$A:$A,0)-1,MATCH(K227,Bronzo!$A$1:$AA$1,0)-1)=TRUE),0,OFFSET(Bronzo!$A$1,MATCH(J227,Bronzo!$A:$A,0)-1,MATCH(K227,Bronzo!$A$1:$AA$1,0)-1))</f>
        <v>0</v>
      </c>
      <c r="V227" s="255">
        <f t="shared" ca="1" si="100"/>
        <v>0</v>
      </c>
      <c r="W227" s="254"/>
      <c r="X227" s="255">
        <v>0</v>
      </c>
      <c r="Y227" s="256">
        <f t="shared" ca="1" si="101"/>
        <v>1.5</v>
      </c>
      <c r="Z227" s="269">
        <f t="shared" si="102"/>
        <v>57.610000000000007</v>
      </c>
      <c r="AA227" s="253">
        <v>4.09</v>
      </c>
      <c r="AB227" s="253">
        <f t="shared" ca="1" si="103"/>
        <v>0</v>
      </c>
      <c r="AC227" s="258"/>
      <c r="AF227" s="223" t="s">
        <v>405</v>
      </c>
      <c r="AH227" s="232">
        <f t="shared" ca="1" si="107"/>
        <v>46120</v>
      </c>
      <c r="AI227" s="232" t="b">
        <f t="shared" si="108"/>
        <v>1</v>
      </c>
      <c r="AJ227" s="259" t="str">
        <f t="shared" si="106"/>
        <v/>
      </c>
      <c r="AM227" s="223">
        <f t="shared" si="109"/>
        <v>0</v>
      </c>
      <c r="AN227" s="223">
        <f t="shared" si="110"/>
        <v>1900</v>
      </c>
      <c r="AU227" s="223">
        <f t="shared" si="111"/>
        <v>0</v>
      </c>
      <c r="AV227" s="223">
        <f t="shared" si="112"/>
        <v>0</v>
      </c>
    </row>
    <row r="228" spans="4:48" ht="26.25" x14ac:dyDescent="0.4">
      <c r="D228" s="296" t="s">
        <v>673</v>
      </c>
      <c r="E228" s="262" t="s">
        <v>297</v>
      </c>
      <c r="F228" s="263">
        <v>765</v>
      </c>
      <c r="G228" s="249" t="s">
        <v>4</v>
      </c>
      <c r="H228" s="250">
        <v>2.59</v>
      </c>
      <c r="I228" s="251">
        <v>46066</v>
      </c>
      <c r="J228" s="252" t="s">
        <v>322</v>
      </c>
      <c r="K228" s="252"/>
      <c r="L228" s="269">
        <v>7.0000000000000007E-2</v>
      </c>
      <c r="M228" s="254">
        <f ca="1">IF(ISERROR(OFFSET(Tabella!$A$1,MATCH(J228,Tabella!$A:$A,0)-1,MATCH(L228,Tabella!$A$1:$AC$1,0)-1)=TRUE),0,+OFFSET(Tabella!$A$1,MATCH(J228,Tabella!$A:$A,0)-1,MATCH(L228,Tabella!$A$1:$AC$1,0)-1))</f>
        <v>1.25</v>
      </c>
      <c r="N228" s="255">
        <f ca="1">IF(ISERROR(OFFSET(Ottone!$A$1,MATCH(J228,Ottone!$A:$A,0)-1,MATCH(L228,Ottone!$A$1:$Z$1,0)-1)=TRUE),0,OFFSET(Ottone!$A$1,MATCH(J228,Ottone!$A:$A,0)-1,MATCH(L228,Ottone!$A$1:$Z$1,0)-1))*IF(G228="Ottone",1,0)</f>
        <v>0</v>
      </c>
      <c r="O228" s="255">
        <f ca="1">IF(ISERROR(OFFSET(Rame!$A$1,MATCH(J228,Rame!$A:$A,0)-1,MATCH(L228,Rame!$A$1:$AA$1,0)-1)=TRUE),0,OFFSET(Rame!$A$1,MATCH(J228,Rame!$A:$A,0)-1,MATCH(L228,Rame!$A$1:$AA$1,0)-1))*IF(G228="Rame",1,0)</f>
        <v>0</v>
      </c>
      <c r="P228" s="255">
        <v>0</v>
      </c>
      <c r="Q228" s="255">
        <v>1.5</v>
      </c>
      <c r="R228" s="255">
        <f ca="1">+IF(ISERROR(OFFSET(Tabella!$G$1,MATCH(J228,Tabella!$G:$G,0)-1,MATCH(K228,Tabella!$G$1:$FG$1,0)-1)=TRUE),0,OFFSET(Tabella!$G$1,MATCH(J228,Tabella!$G:$G,0)-1,MATCH(K228,Tabella!$G$1:$AB$1,0)-1))</f>
        <v>0</v>
      </c>
      <c r="S228" s="255">
        <f ca="1">IF(ISERROR(OFFSET(Ottone!$F$1,MATCH(J228,Ottone!$A:$A,0)-1,MATCH(K228,Ottone!$F$1:$FF$1,0)-1)=TRUE),0,OFFSET(Ottone!$F$1,MATCH(J228,Ottone!$A:$A,0)-1,MATCH(K228,Ottone!$F$1:$FF$1,0)-1))*IF(G228="Ottone",1,0)</f>
        <v>0</v>
      </c>
      <c r="T228" s="255">
        <f ca="1">IF(ISERROR(OFFSET(Rame!$F$1,MATCH(J228,Rame!$F:$F,0)-1,MATCH(K228,Rame!$F$1:$FF$1,0)-1)=TRUE),0,OFFSET(Rame!$F$1,MATCH(J228,Rame!$F:$F,0)-1,MATCH(K228,Rame!$F$1:$FF$1,0)-1))*IF(G228="Rame",1,0)</f>
        <v>0</v>
      </c>
      <c r="U228" s="255">
        <f ca="1">IF(ISERROR(OFFSET(Bronzo!$A$1,MATCH(J228,Bronzo!$A:$A,0)-1,MATCH(K228,Bronzo!$A$1:$AA$1,0)-1)=TRUE),0,OFFSET(Bronzo!$A$1,MATCH(J228,Bronzo!$A:$A,0)-1,MATCH(K228,Bronzo!$A$1:$AA$1,0)-1))</f>
        <v>0</v>
      </c>
      <c r="V228" s="255">
        <f t="shared" ca="1" si="100"/>
        <v>0</v>
      </c>
      <c r="W228" s="254"/>
      <c r="X228" s="255">
        <v>0</v>
      </c>
      <c r="Y228" s="256">
        <f t="shared" ca="1" si="101"/>
        <v>1.5</v>
      </c>
      <c r="Z228" s="269">
        <f t="shared" si="102"/>
        <v>53.550000000000004</v>
      </c>
      <c r="AA228" s="253">
        <v>4.09</v>
      </c>
      <c r="AB228" s="253">
        <f t="shared" ca="1" si="103"/>
        <v>0</v>
      </c>
      <c r="AC228" s="258"/>
      <c r="AF228" s="223" t="s">
        <v>405</v>
      </c>
      <c r="AH228" s="232">
        <f t="shared" ca="1" si="107"/>
        <v>46120</v>
      </c>
      <c r="AI228" s="232" t="b">
        <f t="shared" si="108"/>
        <v>1</v>
      </c>
      <c r="AJ228" s="259" t="str">
        <f t="shared" si="106"/>
        <v/>
      </c>
      <c r="AM228" s="223">
        <f t="shared" si="109"/>
        <v>0</v>
      </c>
      <c r="AN228" s="223">
        <f t="shared" si="110"/>
        <v>1900</v>
      </c>
      <c r="AU228" s="223">
        <f t="shared" si="111"/>
        <v>0</v>
      </c>
      <c r="AV228" s="223">
        <f t="shared" si="112"/>
        <v>0</v>
      </c>
    </row>
    <row r="229" spans="4:48" ht="26.25" x14ac:dyDescent="0.4">
      <c r="D229" s="296" t="s">
        <v>600</v>
      </c>
      <c r="E229" s="262" t="s">
        <v>297</v>
      </c>
      <c r="F229" s="263">
        <v>1864</v>
      </c>
      <c r="G229" s="249" t="s">
        <v>4</v>
      </c>
      <c r="H229" s="250">
        <v>2.59</v>
      </c>
      <c r="I229" s="251">
        <v>46066</v>
      </c>
      <c r="J229" s="252" t="s">
        <v>27</v>
      </c>
      <c r="K229" s="252"/>
      <c r="L229" s="269">
        <v>7.0000000000000007E-2</v>
      </c>
      <c r="M229" s="254">
        <f ca="1">IF(ISERROR(OFFSET(Tabella!$A$1,MATCH(J229,Tabella!$A:$A,0)-1,MATCH(L229,Tabella!$A$1:$AC$1,0)-1)=TRUE),0,+OFFSET(Tabella!$A$1,MATCH(J229,Tabella!$A:$A,0)-1,MATCH(L229,Tabella!$A$1:$AC$1,0)-1))</f>
        <v>1.25</v>
      </c>
      <c r="N229" s="255">
        <f ca="1">IF(ISERROR(OFFSET(Ottone!$A$1,MATCH(J229,Ottone!$A:$A,0)-1,MATCH(L229,Ottone!$A$1:$Z$1,0)-1)=TRUE),0,OFFSET(Ottone!$A$1,MATCH(J229,Ottone!$A:$A,0)-1,MATCH(L229,Ottone!$A$1:$Z$1,0)-1))*IF(G229="Ottone",1,0)</f>
        <v>0</v>
      </c>
      <c r="O229" s="255">
        <f ca="1">IF(ISERROR(OFFSET(Rame!$A$1,MATCH(J229,Rame!$A:$A,0)-1,MATCH(L229,Rame!$A$1:$AA$1,0)-1)=TRUE),0,OFFSET(Rame!$A$1,MATCH(J229,Rame!$A:$A,0)-1,MATCH(L229,Rame!$A$1:$AA$1,0)-1))*IF(G229="Rame",1,0)</f>
        <v>0</v>
      </c>
      <c r="P229" s="255">
        <v>0</v>
      </c>
      <c r="Q229" s="255">
        <v>1.5</v>
      </c>
      <c r="R229" s="255">
        <f ca="1">+IF(ISERROR(OFFSET(Tabella!$G$1,MATCH(J229,Tabella!$G:$G,0)-1,MATCH(K229,Tabella!$G$1:$FG$1,0)-1)=TRUE),0,OFFSET(Tabella!$G$1,MATCH(J229,Tabella!$G:$G,0)-1,MATCH(K229,Tabella!$G$1:$AB$1,0)-1))</f>
        <v>0</v>
      </c>
      <c r="S229" s="255">
        <f ca="1">IF(ISERROR(OFFSET(Ottone!$F$1,MATCH(J229,Ottone!$A:$A,0)-1,MATCH(K229,Ottone!$F$1:$FF$1,0)-1)=TRUE),0,OFFSET(Ottone!$F$1,MATCH(J229,Ottone!$A:$A,0)-1,MATCH(K229,Ottone!$F$1:$FF$1,0)-1))*IF(G229="Ottone",1,0)</f>
        <v>0</v>
      </c>
      <c r="T229" s="255">
        <f ca="1">IF(ISERROR(OFFSET(Rame!$F$1,MATCH(J229,Rame!$F:$F,0)-1,MATCH(K229,Rame!$F$1:$FF$1,0)-1)=TRUE),0,OFFSET(Rame!$F$1,MATCH(J229,Rame!$F:$F,0)-1,MATCH(K229,Rame!$F$1:$FF$1,0)-1))*IF(G229="Rame",1,0)</f>
        <v>0</v>
      </c>
      <c r="U229" s="255">
        <f ca="1">IF(ISERROR(OFFSET(Bronzo!$A$1,MATCH(J229,Bronzo!$A:$A,0)-1,MATCH(K229,Bronzo!$A$1:$AA$1,0)-1)=TRUE),0,OFFSET(Bronzo!$A$1,MATCH(J229,Bronzo!$A:$A,0)-1,MATCH(K229,Bronzo!$A$1:$AA$1,0)-1))</f>
        <v>0</v>
      </c>
      <c r="V229" s="255">
        <f t="shared" ca="1" si="100"/>
        <v>0</v>
      </c>
      <c r="W229" s="254"/>
      <c r="X229" s="255">
        <v>0</v>
      </c>
      <c r="Y229" s="256">
        <f t="shared" ca="1" si="101"/>
        <v>1.5</v>
      </c>
      <c r="Z229" s="269">
        <f t="shared" si="102"/>
        <v>130.48000000000002</v>
      </c>
      <c r="AA229" s="253">
        <v>4.09</v>
      </c>
      <c r="AB229" s="253">
        <f t="shared" ca="1" si="103"/>
        <v>0</v>
      </c>
      <c r="AC229" s="258"/>
      <c r="AF229" s="223" t="s">
        <v>405</v>
      </c>
      <c r="AH229" s="232">
        <f t="shared" ca="1" si="107"/>
        <v>46120</v>
      </c>
      <c r="AI229" s="232" t="b">
        <f t="shared" si="108"/>
        <v>1</v>
      </c>
      <c r="AJ229" s="259" t="str">
        <f t="shared" si="106"/>
        <v/>
      </c>
      <c r="AM229" s="223">
        <f t="shared" si="109"/>
        <v>0</v>
      </c>
      <c r="AN229" s="223">
        <f t="shared" si="110"/>
        <v>1900</v>
      </c>
      <c r="AU229" s="223">
        <f t="shared" si="111"/>
        <v>0</v>
      </c>
      <c r="AV229" s="223">
        <f t="shared" si="112"/>
        <v>0</v>
      </c>
    </row>
    <row r="230" spans="4:48" ht="26.25" x14ac:dyDescent="0.4">
      <c r="D230" s="296" t="s">
        <v>544</v>
      </c>
      <c r="E230" s="262" t="s">
        <v>297</v>
      </c>
      <c r="F230" s="263">
        <v>600</v>
      </c>
      <c r="G230" s="249" t="s">
        <v>4</v>
      </c>
      <c r="H230" s="250">
        <v>2.59</v>
      </c>
      <c r="I230" s="251">
        <v>46066</v>
      </c>
      <c r="J230" s="252" t="s">
        <v>17</v>
      </c>
      <c r="K230" s="252"/>
      <c r="L230" s="269">
        <v>7.0000000000000007E-2</v>
      </c>
      <c r="M230" s="254">
        <f ca="1">IF(ISERROR(OFFSET(Tabella!$A$1,MATCH(J230,Tabella!$A:$A,0)-1,MATCH(L230,Tabella!$A$1:$AC$1,0)-1)=TRUE),0,+OFFSET(Tabella!$A$1,MATCH(J230,Tabella!$A:$A,0)-1,MATCH(L230,Tabella!$A$1:$AC$1,0)-1))</f>
        <v>1.4</v>
      </c>
      <c r="N230" s="255">
        <f ca="1">IF(ISERROR(OFFSET(Ottone!$A$1,MATCH(J230,Ottone!$A:$A,0)-1,MATCH(L230,Ottone!$A$1:$Z$1,0)-1)=TRUE),0,OFFSET(Ottone!$A$1,MATCH(J230,Ottone!$A:$A,0)-1,MATCH(L230,Ottone!$A$1:$Z$1,0)-1))*IF(G230="Ottone",1,0)</f>
        <v>0</v>
      </c>
      <c r="O230" s="255">
        <f ca="1">IF(ISERROR(OFFSET(Rame!$A$1,MATCH(J230,Rame!$A:$A,0)-1,MATCH(L230,Rame!$A$1:$AA$1,0)-1)=TRUE),0,OFFSET(Rame!$A$1,MATCH(J230,Rame!$A:$A,0)-1,MATCH(L230,Rame!$A$1:$AA$1,0)-1))*IF(G230="Rame",1,0)</f>
        <v>0</v>
      </c>
      <c r="P230" s="255">
        <v>0</v>
      </c>
      <c r="Q230" s="255">
        <v>1.6</v>
      </c>
      <c r="R230" s="255">
        <f ca="1">+IF(ISERROR(OFFSET(Tabella!$G$1,MATCH(J230,Tabella!$G:$G,0)-1,MATCH(K230,Tabella!$G$1:$FG$1,0)-1)=TRUE),0,OFFSET(Tabella!$G$1,MATCH(J230,Tabella!$G:$G,0)-1,MATCH(K230,Tabella!$G$1:$AB$1,0)-1))</f>
        <v>0</v>
      </c>
      <c r="S230" s="255">
        <f ca="1">IF(ISERROR(OFFSET(Ottone!$F$1,MATCH(J230,Ottone!$A:$A,0)-1,MATCH(K230,Ottone!$F$1:$FF$1,0)-1)=TRUE),0,OFFSET(Ottone!$F$1,MATCH(J230,Ottone!$A:$A,0)-1,MATCH(K230,Ottone!$F$1:$FF$1,0)-1))*IF(G230="Ottone",1,0)</f>
        <v>0</v>
      </c>
      <c r="T230" s="255">
        <f ca="1">IF(ISERROR(OFFSET(Rame!$F$1,MATCH(J230,Rame!$F:$F,0)-1,MATCH(K230,Rame!$F$1:$FF$1,0)-1)=TRUE),0,OFFSET(Rame!$F$1,MATCH(J230,Rame!$F:$F,0)-1,MATCH(K230,Rame!$F$1:$FF$1,0)-1))*IF(G230="Rame",1,0)</f>
        <v>0</v>
      </c>
      <c r="U230" s="255">
        <f ca="1">IF(ISERROR(OFFSET(Bronzo!$A$1,MATCH(J230,Bronzo!$A:$A,0)-1,MATCH(K230,Bronzo!$A$1:$AA$1,0)-1)=TRUE),0,OFFSET(Bronzo!$A$1,MATCH(J230,Bronzo!$A:$A,0)-1,MATCH(K230,Bronzo!$A$1:$AA$1,0)-1))</f>
        <v>0</v>
      </c>
      <c r="V230" s="255">
        <f t="shared" ca="1" si="100"/>
        <v>0</v>
      </c>
      <c r="W230" s="254"/>
      <c r="X230" s="255">
        <v>0</v>
      </c>
      <c r="Y230" s="256">
        <f t="shared" ca="1" si="101"/>
        <v>1.6</v>
      </c>
      <c r="Z230" s="269">
        <f t="shared" si="102"/>
        <v>42.000000000000007</v>
      </c>
      <c r="AA230" s="253">
        <v>4.1900000000000004</v>
      </c>
      <c r="AB230" s="253">
        <f t="shared" ca="1" si="103"/>
        <v>0</v>
      </c>
      <c r="AC230" s="258"/>
      <c r="AF230" s="223" t="s">
        <v>405</v>
      </c>
      <c r="AH230" s="232">
        <f t="shared" ca="1" si="107"/>
        <v>46120</v>
      </c>
      <c r="AI230" s="232" t="b">
        <f t="shared" si="108"/>
        <v>1</v>
      </c>
      <c r="AJ230" s="259" t="str">
        <f t="shared" si="106"/>
        <v/>
      </c>
      <c r="AM230" s="223">
        <f t="shared" si="109"/>
        <v>0</v>
      </c>
      <c r="AN230" s="223">
        <f t="shared" si="110"/>
        <v>1900</v>
      </c>
      <c r="AU230" s="223">
        <f t="shared" si="111"/>
        <v>0</v>
      </c>
      <c r="AV230" s="223">
        <f t="shared" si="112"/>
        <v>0</v>
      </c>
    </row>
    <row r="231" spans="4:48" ht="26.25" x14ac:dyDescent="0.4">
      <c r="D231" s="296" t="s">
        <v>600</v>
      </c>
      <c r="E231" s="262" t="s">
        <v>297</v>
      </c>
      <c r="F231" s="263">
        <v>710</v>
      </c>
      <c r="G231" s="249" t="s">
        <v>4</v>
      </c>
      <c r="H231" s="250">
        <v>2.59</v>
      </c>
      <c r="I231" s="251">
        <v>46066</v>
      </c>
      <c r="J231" s="252" t="s">
        <v>17</v>
      </c>
      <c r="K231" s="252"/>
      <c r="L231" s="269">
        <v>7.0000000000000007E-2</v>
      </c>
      <c r="M231" s="254">
        <f ca="1">IF(ISERROR(OFFSET(Tabella!$A$1,MATCH(J231,Tabella!$A:$A,0)-1,MATCH(L231,Tabella!$A$1:$AC$1,0)-1)=TRUE),0,+OFFSET(Tabella!$A$1,MATCH(J231,Tabella!$A:$A,0)-1,MATCH(L231,Tabella!$A$1:$AC$1,0)-1))</f>
        <v>1.4</v>
      </c>
      <c r="N231" s="255">
        <f ca="1">IF(ISERROR(OFFSET(Ottone!$A$1,MATCH(J231,Ottone!$A:$A,0)-1,MATCH(L231,Ottone!$A$1:$Z$1,0)-1)=TRUE),0,OFFSET(Ottone!$A$1,MATCH(J231,Ottone!$A:$A,0)-1,MATCH(L231,Ottone!$A$1:$Z$1,0)-1))*IF(G231="Ottone",1,0)</f>
        <v>0</v>
      </c>
      <c r="O231" s="255">
        <f ca="1">IF(ISERROR(OFFSET(Rame!$A$1,MATCH(J231,Rame!$A:$A,0)-1,MATCH(L231,Rame!$A$1:$AA$1,0)-1)=TRUE),0,OFFSET(Rame!$A$1,MATCH(J231,Rame!$A:$A,0)-1,MATCH(L231,Rame!$A$1:$AA$1,0)-1))*IF(G231="Rame",1,0)</f>
        <v>0</v>
      </c>
      <c r="P231" s="255">
        <v>0</v>
      </c>
      <c r="Q231" s="255">
        <v>1.6</v>
      </c>
      <c r="R231" s="255">
        <f ca="1">+IF(ISERROR(OFFSET(Tabella!$G$1,MATCH(J231,Tabella!$G:$G,0)-1,MATCH(K231,Tabella!$G$1:$FG$1,0)-1)=TRUE),0,OFFSET(Tabella!$G$1,MATCH(J231,Tabella!$G:$G,0)-1,MATCH(K231,Tabella!$G$1:$AB$1,0)-1))</f>
        <v>0</v>
      </c>
      <c r="S231" s="255">
        <f ca="1">IF(ISERROR(OFFSET(Ottone!$F$1,MATCH(J231,Ottone!$A:$A,0)-1,MATCH(K231,Ottone!$F$1:$FF$1,0)-1)=TRUE),0,OFFSET(Ottone!$F$1,MATCH(J231,Ottone!$A:$A,0)-1,MATCH(K231,Ottone!$F$1:$FF$1,0)-1))*IF(G231="Ottone",1,0)</f>
        <v>0</v>
      </c>
      <c r="T231" s="255">
        <f ca="1">IF(ISERROR(OFFSET(Rame!$F$1,MATCH(J231,Rame!$F:$F,0)-1,MATCH(K231,Rame!$F$1:$FF$1,0)-1)=TRUE),0,OFFSET(Rame!$F$1,MATCH(J231,Rame!$F:$F,0)-1,MATCH(K231,Rame!$F$1:$FF$1,0)-1))*IF(G231="Rame",1,0)</f>
        <v>0</v>
      </c>
      <c r="U231" s="255">
        <f ca="1">IF(ISERROR(OFFSET(Bronzo!$A$1,MATCH(J231,Bronzo!$A:$A,0)-1,MATCH(K231,Bronzo!$A$1:$AA$1,0)-1)=TRUE),0,OFFSET(Bronzo!$A$1,MATCH(J231,Bronzo!$A:$A,0)-1,MATCH(K231,Bronzo!$A$1:$AA$1,0)-1))</f>
        <v>0</v>
      </c>
      <c r="V231" s="255">
        <f t="shared" ca="1" si="100"/>
        <v>0</v>
      </c>
      <c r="W231" s="254"/>
      <c r="X231" s="255">
        <v>0</v>
      </c>
      <c r="Y231" s="256">
        <f t="shared" ca="1" si="101"/>
        <v>1.6</v>
      </c>
      <c r="Z231" s="269">
        <f t="shared" si="102"/>
        <v>49.7</v>
      </c>
      <c r="AA231" s="253">
        <v>4.1900000000000004</v>
      </c>
      <c r="AB231" s="253">
        <f t="shared" ca="1" si="103"/>
        <v>0</v>
      </c>
      <c r="AC231" s="258"/>
      <c r="AF231" s="223" t="s">
        <v>405</v>
      </c>
      <c r="AH231" s="232">
        <f t="shared" ca="1" si="107"/>
        <v>46120</v>
      </c>
      <c r="AI231" s="232" t="b">
        <f t="shared" si="108"/>
        <v>1</v>
      </c>
      <c r="AJ231" s="259" t="str">
        <f t="shared" si="106"/>
        <v/>
      </c>
      <c r="AM231" s="223">
        <f t="shared" si="109"/>
        <v>0</v>
      </c>
      <c r="AN231" s="223">
        <f t="shared" si="110"/>
        <v>1900</v>
      </c>
      <c r="AU231" s="223">
        <f t="shared" si="111"/>
        <v>0</v>
      </c>
      <c r="AV231" s="223">
        <f t="shared" si="112"/>
        <v>0</v>
      </c>
    </row>
    <row r="232" spans="4:48" ht="26.25" x14ac:dyDescent="0.4">
      <c r="D232" s="296" t="s">
        <v>544</v>
      </c>
      <c r="E232" s="262" t="s">
        <v>297</v>
      </c>
      <c r="F232" s="263">
        <v>1603</v>
      </c>
      <c r="G232" s="249" t="s">
        <v>4</v>
      </c>
      <c r="H232" s="250">
        <v>2.59</v>
      </c>
      <c r="I232" s="251">
        <v>46066</v>
      </c>
      <c r="J232" s="252" t="s">
        <v>26</v>
      </c>
      <c r="K232" s="252"/>
      <c r="L232" s="269">
        <v>7.0000000000000007E-2</v>
      </c>
      <c r="M232" s="254">
        <f ca="1">IF(ISERROR(OFFSET(Tabella!$A$1,MATCH(J232,Tabella!$A:$A,0)-1,MATCH(L232,Tabella!$A$1:$AC$1,0)-1)=TRUE),0,+OFFSET(Tabella!$A$1,MATCH(J232,Tabella!$A:$A,0)-1,MATCH(L232,Tabella!$A$1:$AC$1,0)-1))</f>
        <v>1.25</v>
      </c>
      <c r="N232" s="255">
        <f ca="1">IF(ISERROR(OFFSET(Ottone!$A$1,MATCH(J232,Ottone!$A:$A,0)-1,MATCH(L232,Ottone!$A$1:$Z$1,0)-1)=TRUE),0,OFFSET(Ottone!$A$1,MATCH(J232,Ottone!$A:$A,0)-1,MATCH(L232,Ottone!$A$1:$Z$1,0)-1))*IF(G232="Ottone",1,0)</f>
        <v>0</v>
      </c>
      <c r="O232" s="255">
        <f ca="1">IF(ISERROR(OFFSET(Rame!$A$1,MATCH(J232,Rame!$A:$A,0)-1,MATCH(L232,Rame!$A$1:$AA$1,0)-1)=TRUE),0,OFFSET(Rame!$A$1,MATCH(J232,Rame!$A:$A,0)-1,MATCH(L232,Rame!$A$1:$AA$1,0)-1))*IF(G232="Rame",1,0)</f>
        <v>0</v>
      </c>
      <c r="P232" s="255">
        <v>0</v>
      </c>
      <c r="Q232" s="255">
        <v>1.5</v>
      </c>
      <c r="R232" s="255">
        <f ca="1">+IF(ISERROR(OFFSET(Tabella!$G$1,MATCH(J232,Tabella!$G:$G,0)-1,MATCH(K232,Tabella!$G$1:$FG$1,0)-1)=TRUE),0,OFFSET(Tabella!$G$1,MATCH(J232,Tabella!$G:$G,0)-1,MATCH(K232,Tabella!$G$1:$AB$1,0)-1))</f>
        <v>0</v>
      </c>
      <c r="S232" s="255">
        <f ca="1">IF(ISERROR(OFFSET(Ottone!$F$1,MATCH(J232,Ottone!$A:$A,0)-1,MATCH(K232,Ottone!$F$1:$FF$1,0)-1)=TRUE),0,OFFSET(Ottone!$F$1,MATCH(J232,Ottone!$A:$A,0)-1,MATCH(K232,Ottone!$F$1:$FF$1,0)-1))*IF(G232="Ottone",1,0)</f>
        <v>0</v>
      </c>
      <c r="T232" s="255">
        <f ca="1">IF(ISERROR(OFFSET(Rame!$F$1,MATCH(J232,Rame!$F:$F,0)-1,MATCH(K232,Rame!$F$1:$FF$1,0)-1)=TRUE),0,OFFSET(Rame!$F$1,MATCH(J232,Rame!$F:$F,0)-1,MATCH(K232,Rame!$F$1:$FF$1,0)-1))*IF(G232="Rame",1,0)</f>
        <v>0</v>
      </c>
      <c r="U232" s="255">
        <f ca="1">IF(ISERROR(OFFSET(Bronzo!$A$1,MATCH(J232,Bronzo!$A:$A,0)-1,MATCH(K232,Bronzo!$A$1:$AA$1,0)-1)=TRUE),0,OFFSET(Bronzo!$A$1,MATCH(J232,Bronzo!$A:$A,0)-1,MATCH(K232,Bronzo!$A$1:$AA$1,0)-1))</f>
        <v>0</v>
      </c>
      <c r="V232" s="255">
        <f t="shared" ca="1" si="100"/>
        <v>0</v>
      </c>
      <c r="W232" s="254"/>
      <c r="X232" s="255">
        <v>0</v>
      </c>
      <c r="Y232" s="256">
        <f t="shared" ca="1" si="101"/>
        <v>1.5</v>
      </c>
      <c r="Z232" s="269">
        <f t="shared" si="102"/>
        <v>112.21000000000001</v>
      </c>
      <c r="AA232" s="253">
        <v>4.09</v>
      </c>
      <c r="AB232" s="253">
        <f t="shared" ca="1" si="103"/>
        <v>0</v>
      </c>
      <c r="AC232" s="258"/>
      <c r="AF232" s="223" t="s">
        <v>405</v>
      </c>
      <c r="AH232" s="232">
        <f t="shared" ca="1" si="107"/>
        <v>46120</v>
      </c>
      <c r="AI232" s="232" t="b">
        <f t="shared" si="108"/>
        <v>1</v>
      </c>
      <c r="AJ232" s="259" t="str">
        <f t="shared" si="106"/>
        <v/>
      </c>
      <c r="AM232" s="223">
        <f t="shared" si="109"/>
        <v>0</v>
      </c>
      <c r="AN232" s="223">
        <f t="shared" si="110"/>
        <v>1900</v>
      </c>
      <c r="AU232" s="223">
        <f t="shared" si="111"/>
        <v>0</v>
      </c>
      <c r="AV232" s="223">
        <f t="shared" si="112"/>
        <v>0</v>
      </c>
    </row>
    <row r="233" spans="4:48" ht="26.25" x14ac:dyDescent="0.4">
      <c r="D233" s="246" t="s">
        <v>717</v>
      </c>
      <c r="E233" s="262" t="s">
        <v>208</v>
      </c>
      <c r="F233" s="263">
        <v>654</v>
      </c>
      <c r="G233" s="249" t="s">
        <v>6</v>
      </c>
      <c r="H233" s="250">
        <v>10.7</v>
      </c>
      <c r="I233" s="251">
        <v>46066</v>
      </c>
      <c r="J233" s="252" t="s">
        <v>16</v>
      </c>
      <c r="K233" s="252"/>
      <c r="L233" s="253">
        <v>0.15</v>
      </c>
      <c r="M233" s="254">
        <f ca="1">IF(ISERROR(OFFSET(Tabella!$A$1,MATCH(J233,Tabella!$A:$A,0)-1,MATCH(L233,Tabella!$A$1:$AC$1,0)-1)=TRUE),0,+OFFSET(Tabella!$A$1,MATCH(J233,Tabella!$A:$A,0)-1,MATCH(L233,Tabella!$A$1:$AC$1,0)-1))</f>
        <v>0</v>
      </c>
      <c r="N233" s="255">
        <f ca="1">IF(ISERROR(OFFSET(Ottone!$A$1,MATCH(J233,Ottone!$A:$A,0)-1,MATCH(L233,Ottone!$A$1:$Z$1,0)-1)=TRUE),0,OFFSET(Ottone!$A$1,MATCH(J233,Ottone!$A:$A,0)-1,MATCH(L233,Ottone!$A$1:$Z$1,0)-1))*IF(G233="Ottone",1,0)</f>
        <v>0</v>
      </c>
      <c r="O233" s="255">
        <f ca="1">IF(ISERROR(OFFSET(Rame!$A$1,MATCH(J233,Rame!$A:$A,0)-1,MATCH(L233,Rame!$A$1:$AA$1,0)-1)=TRUE),0,OFFSET(Rame!$A$1,MATCH(J233,Rame!$A:$A,0)-1,MATCH(L233,Rame!$A$1:$AA$1,0)-1))*IF(G233="Rame",1,0)</f>
        <v>0.85</v>
      </c>
      <c r="P233" s="255">
        <v>0</v>
      </c>
      <c r="Q233" s="255">
        <f t="shared" ref="Q233:Q289" ca="1" si="113">SUM(M233:P233)</f>
        <v>0.85</v>
      </c>
      <c r="R233" s="255">
        <f ca="1">+IF(ISERROR(OFFSET(Tabella!$G$1,MATCH(J233,Tabella!$G:$G,0)-1,MATCH(K233,Tabella!$G$1:$FG$1,0)-1)=TRUE),0,OFFSET(Tabella!$G$1,MATCH(J233,Tabella!$G:$G,0)-1,MATCH(K233,Tabella!$G$1:$AB$1,0)-1))</f>
        <v>0</v>
      </c>
      <c r="S233" s="255">
        <f ca="1">IF(ISERROR(OFFSET(Ottone!$F$1,MATCH(J233,Ottone!$A:$A,0)-1,MATCH(K233,Ottone!$F$1:$FF$1,0)-1)=TRUE),0,OFFSET(Ottone!$F$1,MATCH(J233,Ottone!$A:$A,0)-1,MATCH(K233,Ottone!$F$1:$FF$1,0)-1))*IF(G233="Ottone",1,0)</f>
        <v>0</v>
      </c>
      <c r="T233" s="255">
        <f ca="1">IF(ISERROR(OFFSET(Rame!$F$1,MATCH(J233,Rame!$F:$F,0)-1,MATCH(K233,Rame!$F$1:$FF$1,0)-1)=TRUE),0,OFFSET(Rame!$F$1,MATCH(J233,Rame!$F:$F,0)-1,MATCH(K233,Rame!$F$1:$FF$1,0)-1))*IF(G233="Rame",1,0)</f>
        <v>0</v>
      </c>
      <c r="U233" s="255">
        <f ca="1">IF(ISERROR(OFFSET(Bronzo!$A$1,MATCH(J233,Bronzo!$A:$A,0)-1,MATCH(K233,Bronzo!$A$1:$AA$1,0)-1)=TRUE),0,OFFSET(Bronzo!$A$1,MATCH(J233,Bronzo!$A:$A,0)-1,MATCH(K233,Bronzo!$A$1:$AA$1,0)-1))</f>
        <v>0</v>
      </c>
      <c r="V233" s="255">
        <f t="shared" ref="V233:V289" ca="1" si="114">SUM(R233:U233)</f>
        <v>0</v>
      </c>
      <c r="W233" s="254"/>
      <c r="X233" s="255">
        <v>0</v>
      </c>
      <c r="Y233" s="256">
        <f t="shared" ref="Y233:Y289" ca="1" si="115">+Q233+V233+W233+X233</f>
        <v>0.85</v>
      </c>
      <c r="Z233" s="269">
        <f t="shared" ref="Z233:Z289" si="116">+L233*F233</f>
        <v>98.1</v>
      </c>
      <c r="AA233" s="253">
        <v>14.4</v>
      </c>
      <c r="AB233" s="253">
        <f t="shared" ref="AB233:AB289" ca="1" si="117">+AA233-Y233-H233</f>
        <v>2.8500000000000014</v>
      </c>
      <c r="AC233" s="258"/>
      <c r="AF233" s="223" t="s">
        <v>405</v>
      </c>
      <c r="AH233" s="232">
        <f t="shared" ca="1" si="107"/>
        <v>46120</v>
      </c>
      <c r="AI233" s="232" t="b">
        <f t="shared" si="108"/>
        <v>1</v>
      </c>
      <c r="AJ233" s="259" t="str">
        <f t="shared" si="106"/>
        <v/>
      </c>
      <c r="AM233" s="223">
        <f t="shared" si="109"/>
        <v>0</v>
      </c>
      <c r="AN233" s="223">
        <f t="shared" si="110"/>
        <v>1900</v>
      </c>
      <c r="AU233" s="223">
        <f t="shared" si="111"/>
        <v>0</v>
      </c>
      <c r="AV233" s="223">
        <f t="shared" si="112"/>
        <v>0</v>
      </c>
    </row>
    <row r="234" spans="4:48" ht="26.25" x14ac:dyDescent="0.4">
      <c r="D234" s="296" t="s">
        <v>587</v>
      </c>
      <c r="E234" s="262" t="s">
        <v>297</v>
      </c>
      <c r="F234" s="263">
        <v>7888</v>
      </c>
      <c r="G234" s="249" t="s">
        <v>4</v>
      </c>
      <c r="H234" s="250">
        <v>2.58</v>
      </c>
      <c r="I234" s="251">
        <v>46071</v>
      </c>
      <c r="J234" s="252" t="s">
        <v>308</v>
      </c>
      <c r="K234" s="252"/>
      <c r="L234" s="269">
        <v>0.05</v>
      </c>
      <c r="M234" s="254">
        <f ca="1">IF(ISERROR(OFFSET(Tabella!$A$1,MATCH(J234,Tabella!$A:$A,0)-1,MATCH(L234,Tabella!$A$1:$AC$1,0)-1)=TRUE),0,+OFFSET(Tabella!$A$1,MATCH(J234,Tabella!$A:$A,0)-1,MATCH(L234,Tabella!$A$1:$AC$1,0)-1))</f>
        <v>0</v>
      </c>
      <c r="N234" s="255">
        <f ca="1">IF(ISERROR(OFFSET(Ottone!$A$1,MATCH(J234,Ottone!$A:$A,0)-1,MATCH(L234,Ottone!$A$1:$Z$1,0)-1)=TRUE),0,OFFSET(Ottone!$A$1,MATCH(J234,Ottone!$A:$A,0)-1,MATCH(L234,Ottone!$A$1:$Z$1,0)-1))*IF(G234="Ottone",1,0)</f>
        <v>0</v>
      </c>
      <c r="O234" s="255">
        <f ca="1">IF(ISERROR(OFFSET(Rame!$A$1,MATCH(J234,Rame!$A:$A,0)-1,MATCH(L234,Rame!$A$1:$AA$1,0)-1)=TRUE),0,OFFSET(Rame!$A$1,MATCH(J234,Rame!$A:$A,0)-1,MATCH(L234,Rame!$A$1:$AA$1,0)-1))*IF(G234="Rame",1,0)</f>
        <v>0</v>
      </c>
      <c r="P234" s="255">
        <v>0</v>
      </c>
      <c r="Q234" s="255">
        <v>1.5</v>
      </c>
      <c r="R234" s="255">
        <f ca="1">+IF(ISERROR(OFFSET(Tabella!$G$1,MATCH(J234,Tabella!$G:$G,0)-1,MATCH(K234,Tabella!$G$1:$FG$1,0)-1)=TRUE),0,OFFSET(Tabella!$G$1,MATCH(J234,Tabella!$G:$G,0)-1,MATCH(K234,Tabella!$G$1:$AB$1,0)-1))</f>
        <v>0</v>
      </c>
      <c r="S234" s="255">
        <f ca="1">IF(ISERROR(OFFSET(Ottone!$F$1,MATCH(J234,Ottone!$A:$A,0)-1,MATCH(K234,Ottone!$F$1:$FF$1,0)-1)=TRUE),0,OFFSET(Ottone!$F$1,MATCH(J234,Ottone!$A:$A,0)-1,MATCH(K234,Ottone!$F$1:$FF$1,0)-1))*IF(G234="Ottone",1,0)</f>
        <v>0</v>
      </c>
      <c r="T234" s="255">
        <f ca="1">IF(ISERROR(OFFSET(Rame!$F$1,MATCH(J234,Rame!$F:$F,0)-1,MATCH(K234,Rame!$F$1:$FF$1,0)-1)=TRUE),0,OFFSET(Rame!$F$1,MATCH(J234,Rame!$F:$F,0)-1,MATCH(K234,Rame!$F$1:$FF$1,0)-1))*IF(G234="Rame",1,0)</f>
        <v>0</v>
      </c>
      <c r="U234" s="255">
        <f ca="1">IF(ISERROR(OFFSET(Bronzo!$A$1,MATCH(J234,Bronzo!$A:$A,0)-1,MATCH(K234,Bronzo!$A$1:$AA$1,0)-1)=TRUE),0,OFFSET(Bronzo!$A$1,MATCH(J234,Bronzo!$A:$A,0)-1,MATCH(K234,Bronzo!$A$1:$AA$1,0)-1))</f>
        <v>0</v>
      </c>
      <c r="V234" s="255">
        <f t="shared" ca="1" si="114"/>
        <v>0</v>
      </c>
      <c r="W234" s="254"/>
      <c r="X234" s="255">
        <v>0</v>
      </c>
      <c r="Y234" s="256">
        <f t="shared" ca="1" si="115"/>
        <v>1.5</v>
      </c>
      <c r="Z234" s="269">
        <f t="shared" si="116"/>
        <v>394.40000000000003</v>
      </c>
      <c r="AA234" s="253">
        <v>3.99</v>
      </c>
      <c r="AB234" s="253">
        <f t="shared" ca="1" si="117"/>
        <v>-8.9999999999999858E-2</v>
      </c>
      <c r="AC234" s="258"/>
      <c r="AF234" s="223" t="s">
        <v>405</v>
      </c>
      <c r="AH234" s="232">
        <f t="shared" ca="1" si="107"/>
        <v>46120</v>
      </c>
      <c r="AI234" s="232" t="b">
        <f t="shared" si="108"/>
        <v>1</v>
      </c>
      <c r="AJ234" s="259" t="str">
        <f t="shared" si="106"/>
        <v/>
      </c>
      <c r="AM234" s="223">
        <f t="shared" si="109"/>
        <v>0</v>
      </c>
      <c r="AN234" s="223">
        <f t="shared" si="110"/>
        <v>1900</v>
      </c>
      <c r="AU234" s="223">
        <f t="shared" si="111"/>
        <v>0</v>
      </c>
      <c r="AV234" s="223">
        <f t="shared" si="112"/>
        <v>0</v>
      </c>
    </row>
    <row r="235" spans="4:48" ht="26.25" x14ac:dyDescent="0.4">
      <c r="D235" s="296" t="s">
        <v>607</v>
      </c>
      <c r="E235" s="262" t="s">
        <v>297</v>
      </c>
      <c r="F235" s="263">
        <v>17349</v>
      </c>
      <c r="G235" s="249" t="s">
        <v>4</v>
      </c>
      <c r="H235" s="250">
        <v>2.58</v>
      </c>
      <c r="I235" s="251">
        <v>46071</v>
      </c>
      <c r="J235" s="252" t="s">
        <v>25</v>
      </c>
      <c r="K235" s="252"/>
      <c r="L235" s="269">
        <v>0.05</v>
      </c>
      <c r="M235" s="254">
        <f ca="1">IF(ISERROR(OFFSET(Tabella!$A$1,MATCH(J235,Tabella!$A:$A,0)-1,MATCH(L235,Tabella!$A$1:$AC$1,0)-1)=TRUE),0,+OFFSET(Tabella!$A$1,MATCH(J235,Tabella!$A:$A,0)-1,MATCH(L235,Tabella!$A$1:$AC$1,0)-1))</f>
        <v>0</v>
      </c>
      <c r="N235" s="255">
        <f ca="1">IF(ISERROR(OFFSET(Ottone!$A$1,MATCH(J235,Ottone!$A:$A,0)-1,MATCH(L235,Ottone!$A$1:$Z$1,0)-1)=TRUE),0,OFFSET(Ottone!$A$1,MATCH(J235,Ottone!$A:$A,0)-1,MATCH(L235,Ottone!$A$1:$Z$1,0)-1))*IF(G235="Ottone",1,0)</f>
        <v>0</v>
      </c>
      <c r="O235" s="255">
        <f ca="1">IF(ISERROR(OFFSET(Rame!$A$1,MATCH(J235,Rame!$A:$A,0)-1,MATCH(L235,Rame!$A$1:$AA$1,0)-1)=TRUE),0,OFFSET(Rame!$A$1,MATCH(J235,Rame!$A:$A,0)-1,MATCH(L235,Rame!$A$1:$AA$1,0)-1))*IF(G235="Rame",1,0)</f>
        <v>0</v>
      </c>
      <c r="P235" s="255">
        <v>0</v>
      </c>
      <c r="Q235" s="255">
        <v>1.5</v>
      </c>
      <c r="R235" s="255">
        <f ca="1">+IF(ISERROR(OFFSET(Tabella!$G$1,MATCH(J235,Tabella!$G:$G,0)-1,MATCH(K235,Tabella!$G$1:$FG$1,0)-1)=TRUE),0,OFFSET(Tabella!$G$1,MATCH(J235,Tabella!$G:$G,0)-1,MATCH(K235,Tabella!$G$1:$AB$1,0)-1))</f>
        <v>0</v>
      </c>
      <c r="S235" s="255">
        <f ca="1">IF(ISERROR(OFFSET(Ottone!$F$1,MATCH(J235,Ottone!$A:$A,0)-1,MATCH(K235,Ottone!$F$1:$FF$1,0)-1)=TRUE),0,OFFSET(Ottone!$F$1,MATCH(J235,Ottone!$A:$A,0)-1,MATCH(K235,Ottone!$F$1:$FF$1,0)-1))*IF(G235="Ottone",1,0)</f>
        <v>0</v>
      </c>
      <c r="T235" s="255">
        <f ca="1">IF(ISERROR(OFFSET(Rame!$F$1,MATCH(J235,Rame!$F:$F,0)-1,MATCH(K235,Rame!$F$1:$FF$1,0)-1)=TRUE),0,OFFSET(Rame!$F$1,MATCH(J235,Rame!$F:$F,0)-1,MATCH(K235,Rame!$F$1:$FF$1,0)-1))*IF(G235="Rame",1,0)</f>
        <v>0</v>
      </c>
      <c r="U235" s="255">
        <f ca="1">IF(ISERROR(OFFSET(Bronzo!$A$1,MATCH(J235,Bronzo!$A:$A,0)-1,MATCH(K235,Bronzo!$A$1:$AA$1,0)-1)=TRUE),0,OFFSET(Bronzo!$A$1,MATCH(J235,Bronzo!$A:$A,0)-1,MATCH(K235,Bronzo!$A$1:$AA$1,0)-1))</f>
        <v>0</v>
      </c>
      <c r="V235" s="255">
        <f t="shared" ca="1" si="114"/>
        <v>0</v>
      </c>
      <c r="W235" s="254"/>
      <c r="X235" s="255">
        <v>0</v>
      </c>
      <c r="Y235" s="256">
        <f t="shared" ca="1" si="115"/>
        <v>1.5</v>
      </c>
      <c r="Z235" s="269">
        <f t="shared" si="116"/>
        <v>867.45</v>
      </c>
      <c r="AA235" s="253">
        <v>3.99</v>
      </c>
      <c r="AB235" s="253">
        <f t="shared" ca="1" si="117"/>
        <v>-8.9999999999999858E-2</v>
      </c>
      <c r="AC235" s="258"/>
      <c r="AF235" s="223" t="s">
        <v>405</v>
      </c>
      <c r="AH235" s="232">
        <f t="shared" ca="1" si="107"/>
        <v>46120</v>
      </c>
      <c r="AI235" s="232" t="b">
        <f t="shared" si="108"/>
        <v>1</v>
      </c>
      <c r="AJ235" s="259" t="str">
        <f t="shared" si="106"/>
        <v/>
      </c>
      <c r="AM235" s="223">
        <f t="shared" si="109"/>
        <v>0</v>
      </c>
      <c r="AN235" s="223">
        <f t="shared" si="110"/>
        <v>1900</v>
      </c>
      <c r="AU235" s="223">
        <f t="shared" si="111"/>
        <v>0</v>
      </c>
      <c r="AV235" s="223">
        <f t="shared" si="112"/>
        <v>0</v>
      </c>
    </row>
    <row r="236" spans="4:48" ht="26.25" x14ac:dyDescent="0.4">
      <c r="D236" s="246" t="s">
        <v>511</v>
      </c>
      <c r="E236" s="252" t="s">
        <v>297</v>
      </c>
      <c r="F236" s="276">
        <v>8000</v>
      </c>
      <c r="G236" s="249" t="s">
        <v>4</v>
      </c>
      <c r="H236" s="250">
        <v>2.58</v>
      </c>
      <c r="I236" s="251">
        <v>46071</v>
      </c>
      <c r="J236" s="252" t="s">
        <v>308</v>
      </c>
      <c r="K236" s="252"/>
      <c r="L236" s="253">
        <v>0.05</v>
      </c>
      <c r="M236" s="254">
        <f ca="1">IF(ISERROR(OFFSET(Tabella!$A$1,MATCH(J236,Tabella!$A:$A,0)-1,MATCH(L236,Tabella!$A$1:$AC$1,0)-1)=TRUE),0,+OFFSET(Tabella!$A$1,MATCH(J236,Tabella!$A:$A,0)-1,MATCH(L236,Tabella!$A$1:$AC$1,0)-1))</f>
        <v>0</v>
      </c>
      <c r="N236" s="255">
        <f ca="1">IF(ISERROR(OFFSET(Ottone!$A$1,MATCH(J236,Ottone!$A:$A,0)-1,MATCH(L236,Ottone!$A$1:$Z$1,0)-1)=TRUE),0,OFFSET(Ottone!$A$1,MATCH(J236,Ottone!$A:$A,0)-1,MATCH(L236,Ottone!$A$1:$Z$1,0)-1))*IF(G236="Ottone",1,0)</f>
        <v>0</v>
      </c>
      <c r="O236" s="255">
        <f ca="1">IF(ISERROR(OFFSET(Rame!$A$1,MATCH(J236,Rame!$A:$A,0)-1,MATCH(L236,Rame!$A$1:$AA$1,0)-1)=TRUE),0,OFFSET(Rame!$A$1,MATCH(J236,Rame!$A:$A,0)-1,MATCH(L236,Rame!$A$1:$AA$1,0)-1))*IF(G236="Rame",1,0)</f>
        <v>0</v>
      </c>
      <c r="P236" s="255">
        <v>0</v>
      </c>
      <c r="Q236" s="255">
        <v>1.5</v>
      </c>
      <c r="R236" s="255">
        <f ca="1">+IF(ISERROR(OFFSET(Tabella!$G$1,MATCH(J236,Tabella!$G:$G,0)-1,MATCH(K236,Tabella!$G$1:$FG$1,0)-1)=TRUE),0,OFFSET(Tabella!$G$1,MATCH(J236,Tabella!$G:$G,0)-1,MATCH(K236,Tabella!$G$1:$AB$1,0)-1))</f>
        <v>0</v>
      </c>
      <c r="S236" s="255">
        <f ca="1">IF(ISERROR(OFFSET(Ottone!$F$1,MATCH(J236,Ottone!$A:$A,0)-1,MATCH(K236,Ottone!$F$1:$FF$1,0)-1)=TRUE),0,OFFSET(Ottone!$F$1,MATCH(J236,Ottone!$A:$A,0)-1,MATCH(K236,Ottone!$F$1:$FF$1,0)-1))*IF(G236="Ottone",1,0)</f>
        <v>0</v>
      </c>
      <c r="T236" s="255">
        <f ca="1">IF(ISERROR(OFFSET(Rame!$F$1,MATCH(J236,Rame!$F:$F,0)-1,MATCH(K236,Rame!$F$1:$FF$1,0)-1)=TRUE),0,OFFSET(Rame!$F$1,MATCH(J236,Rame!$F:$F,0)-1,MATCH(K236,Rame!$F$1:$FF$1,0)-1))*IF(G236="Rame",1,0)</f>
        <v>0</v>
      </c>
      <c r="U236" s="255">
        <f ca="1">IF(ISERROR(OFFSET(Bronzo!$A$1,MATCH(J236,Bronzo!$A:$A,0)-1,MATCH(K236,Bronzo!$A$1:$AA$1,0)-1)=TRUE),0,OFFSET(Bronzo!$A$1,MATCH(J236,Bronzo!$A:$A,0)-1,MATCH(K236,Bronzo!$A$1:$AA$1,0)-1))</f>
        <v>0</v>
      </c>
      <c r="V236" s="255">
        <f t="shared" ca="1" si="114"/>
        <v>0</v>
      </c>
      <c r="W236" s="254"/>
      <c r="X236" s="255">
        <v>0</v>
      </c>
      <c r="Y236" s="256">
        <f t="shared" ca="1" si="115"/>
        <v>1.5</v>
      </c>
      <c r="Z236" s="257">
        <f t="shared" si="116"/>
        <v>400</v>
      </c>
      <c r="AA236" s="253">
        <v>3.99</v>
      </c>
      <c r="AB236" s="253">
        <f t="shared" ca="1" si="117"/>
        <v>-8.9999999999999858E-2</v>
      </c>
      <c r="AC236" s="258">
        <v>46122</v>
      </c>
      <c r="AH236" s="232">
        <f t="shared" ca="1" si="107"/>
        <v>46120</v>
      </c>
      <c r="AI236" s="232" t="b">
        <f t="shared" si="108"/>
        <v>0</v>
      </c>
      <c r="AJ236" s="259">
        <f t="shared" ca="1" si="106"/>
        <v>2</v>
      </c>
      <c r="AM236" s="223">
        <f t="shared" si="109"/>
        <v>15</v>
      </c>
      <c r="AN236" s="223">
        <f t="shared" si="110"/>
        <v>2026</v>
      </c>
      <c r="AU236" s="223">
        <f t="shared" si="111"/>
        <v>4</v>
      </c>
      <c r="AV236" s="223">
        <f t="shared" si="112"/>
        <v>2026</v>
      </c>
    </row>
    <row r="237" spans="4:48" ht="26.25" x14ac:dyDescent="0.4">
      <c r="D237" s="246" t="s">
        <v>511</v>
      </c>
      <c r="E237" s="252" t="s">
        <v>297</v>
      </c>
      <c r="F237" s="276">
        <v>17000</v>
      </c>
      <c r="G237" s="249" t="s">
        <v>4</v>
      </c>
      <c r="H237" s="250">
        <v>2.58</v>
      </c>
      <c r="I237" s="251">
        <v>46071</v>
      </c>
      <c r="J237" s="252" t="s">
        <v>25</v>
      </c>
      <c r="K237" s="252"/>
      <c r="L237" s="253">
        <v>0.05</v>
      </c>
      <c r="M237" s="254">
        <f ca="1">IF(ISERROR(OFFSET(Tabella!$A$1,MATCH(J237,Tabella!$A:$A,0)-1,MATCH(L237,Tabella!$A$1:$AC$1,0)-1)=TRUE),0,+OFFSET(Tabella!$A$1,MATCH(J237,Tabella!$A:$A,0)-1,MATCH(L237,Tabella!$A$1:$AC$1,0)-1))</f>
        <v>0</v>
      </c>
      <c r="N237" s="255">
        <f ca="1">IF(ISERROR(OFFSET(Ottone!$A$1,MATCH(J237,Ottone!$A:$A,0)-1,MATCH(L237,Ottone!$A$1:$Z$1,0)-1)=TRUE),0,OFFSET(Ottone!$A$1,MATCH(J237,Ottone!$A:$A,0)-1,MATCH(L237,Ottone!$A$1:$Z$1,0)-1))*IF(G237="Ottone",1,0)</f>
        <v>0</v>
      </c>
      <c r="O237" s="255">
        <f ca="1">IF(ISERROR(OFFSET(Rame!$A$1,MATCH(J237,Rame!$A:$A,0)-1,MATCH(L237,Rame!$A$1:$AA$1,0)-1)=TRUE),0,OFFSET(Rame!$A$1,MATCH(J237,Rame!$A:$A,0)-1,MATCH(L237,Rame!$A$1:$AA$1,0)-1))*IF(G237="Rame",1,0)</f>
        <v>0</v>
      </c>
      <c r="P237" s="255">
        <v>0</v>
      </c>
      <c r="Q237" s="255">
        <v>1.5</v>
      </c>
      <c r="R237" s="255">
        <f ca="1">+IF(ISERROR(OFFSET(Tabella!$G$1,MATCH(J237,Tabella!$G:$G,0)-1,MATCH(K237,Tabella!$G$1:$FG$1,0)-1)=TRUE),0,OFFSET(Tabella!$G$1,MATCH(J237,Tabella!$G:$G,0)-1,MATCH(K237,Tabella!$G$1:$AB$1,0)-1))</f>
        <v>0</v>
      </c>
      <c r="S237" s="255">
        <f ca="1">IF(ISERROR(OFFSET(Ottone!$F$1,MATCH(J237,Ottone!$A:$A,0)-1,MATCH(K237,Ottone!$F$1:$FF$1,0)-1)=TRUE),0,OFFSET(Ottone!$F$1,MATCH(J237,Ottone!$A:$A,0)-1,MATCH(K237,Ottone!$F$1:$FF$1,0)-1))*IF(G237="Ottone",1,0)</f>
        <v>0</v>
      </c>
      <c r="T237" s="255">
        <f ca="1">IF(ISERROR(OFFSET(Rame!$F$1,MATCH(J237,Rame!$F:$F,0)-1,MATCH(K237,Rame!$F$1:$FF$1,0)-1)=TRUE),0,OFFSET(Rame!$F$1,MATCH(J237,Rame!$F:$F,0)-1,MATCH(K237,Rame!$F$1:$FF$1,0)-1))*IF(G237="Rame",1,0)</f>
        <v>0</v>
      </c>
      <c r="U237" s="255">
        <f ca="1">IF(ISERROR(OFFSET(Bronzo!$A$1,MATCH(J237,Bronzo!$A:$A,0)-1,MATCH(K237,Bronzo!$A$1:$AA$1,0)-1)=TRUE),0,OFFSET(Bronzo!$A$1,MATCH(J237,Bronzo!$A:$A,0)-1,MATCH(K237,Bronzo!$A$1:$AA$1,0)-1))</f>
        <v>0</v>
      </c>
      <c r="V237" s="255">
        <f t="shared" ca="1" si="114"/>
        <v>0</v>
      </c>
      <c r="W237" s="254"/>
      <c r="X237" s="255">
        <v>0</v>
      </c>
      <c r="Y237" s="256">
        <f t="shared" ca="1" si="115"/>
        <v>1.5</v>
      </c>
      <c r="Z237" s="257">
        <f t="shared" si="116"/>
        <v>850</v>
      </c>
      <c r="AA237" s="253">
        <v>3.99</v>
      </c>
      <c r="AB237" s="253">
        <f t="shared" ca="1" si="117"/>
        <v>-8.9999999999999858E-2</v>
      </c>
      <c r="AC237" s="258">
        <v>46122</v>
      </c>
      <c r="AH237" s="232">
        <f t="shared" ca="1" si="107"/>
        <v>46120</v>
      </c>
      <c r="AI237" s="232" t="b">
        <f t="shared" si="108"/>
        <v>0</v>
      </c>
      <c r="AJ237" s="259">
        <f t="shared" ca="1" si="106"/>
        <v>2</v>
      </c>
      <c r="AM237" s="223">
        <f t="shared" si="109"/>
        <v>15</v>
      </c>
      <c r="AN237" s="223">
        <f t="shared" si="110"/>
        <v>2026</v>
      </c>
      <c r="AU237" s="223">
        <f t="shared" si="111"/>
        <v>4</v>
      </c>
      <c r="AV237" s="223">
        <f t="shared" si="112"/>
        <v>2026</v>
      </c>
    </row>
    <row r="238" spans="4:48" ht="26.25" x14ac:dyDescent="0.4">
      <c r="D238" s="246" t="s">
        <v>701</v>
      </c>
      <c r="E238" s="262" t="s">
        <v>208</v>
      </c>
      <c r="F238" s="263">
        <v>672</v>
      </c>
      <c r="G238" s="249" t="s">
        <v>4</v>
      </c>
      <c r="H238" s="250">
        <v>2.4900000000000002</v>
      </c>
      <c r="I238" s="251">
        <v>46071</v>
      </c>
      <c r="J238" s="252" t="s">
        <v>308</v>
      </c>
      <c r="K238" s="252"/>
      <c r="L238" s="253">
        <v>0.05</v>
      </c>
      <c r="M238" s="254">
        <f ca="1">IF(ISERROR(OFFSET(Tabella!$A$1,MATCH(J238,Tabella!$A:$A,0)-1,MATCH(L238,Tabella!$A$1:$AC$1,0)-1)=TRUE),0,+OFFSET(Tabella!$A$1,MATCH(J238,Tabella!$A:$A,0)-1,MATCH(L238,Tabella!$A$1:$AC$1,0)-1))</f>
        <v>0</v>
      </c>
      <c r="N238" s="255">
        <f ca="1">IF(ISERROR(OFFSET(Ottone!$A$1,MATCH(J238,Ottone!$A:$A,0)-1,MATCH(L238,Ottone!$A$1:$Z$1,0)-1)=TRUE),0,OFFSET(Ottone!$A$1,MATCH(J238,Ottone!$A:$A,0)-1,MATCH(L238,Ottone!$A$1:$Z$1,0)-1))*IF(G238="Ottone",1,0)</f>
        <v>0</v>
      </c>
      <c r="O238" s="255">
        <f ca="1">IF(ISERROR(OFFSET(Rame!$A$1,MATCH(J238,Rame!$A:$A,0)-1,MATCH(L238,Rame!$A$1:$AA$1,0)-1)=TRUE),0,OFFSET(Rame!$A$1,MATCH(J238,Rame!$A:$A,0)-1,MATCH(L238,Rame!$A$1:$AA$1,0)-1))*IF(G238="Rame",1,0)</f>
        <v>0</v>
      </c>
      <c r="P238" s="255">
        <v>0</v>
      </c>
      <c r="Q238" s="255">
        <v>1.5</v>
      </c>
      <c r="R238" s="255">
        <f ca="1">+IF(ISERROR(OFFSET(Tabella!$G$1,MATCH(J238,Tabella!$G:$G,0)-1,MATCH(K238,Tabella!$G$1:$FG$1,0)-1)=TRUE),0,OFFSET(Tabella!$G$1,MATCH(J238,Tabella!$G:$G,0)-1,MATCH(K238,Tabella!$G$1:$AB$1,0)-1))</f>
        <v>0</v>
      </c>
      <c r="S238" s="255">
        <f ca="1">IF(ISERROR(OFFSET(Ottone!$F$1,MATCH(J238,Ottone!$A:$A,0)-1,MATCH(K238,Ottone!$F$1:$FF$1,0)-1)=TRUE),0,OFFSET(Ottone!$F$1,MATCH(J238,Ottone!$A:$A,0)-1,MATCH(K238,Ottone!$F$1:$FF$1,0)-1))*IF(G238="Ottone",1,0)</f>
        <v>0</v>
      </c>
      <c r="T238" s="255">
        <f ca="1">IF(ISERROR(OFFSET(Rame!$F$1,MATCH(J238,Rame!$F:$F,0)-1,MATCH(K238,Rame!$F$1:$FF$1,0)-1)=TRUE),0,OFFSET(Rame!$F$1,MATCH(J238,Rame!$F:$F,0)-1,MATCH(K238,Rame!$F$1:$FF$1,0)-1))*IF(G238="Rame",1,0)</f>
        <v>0</v>
      </c>
      <c r="U238" s="255">
        <f ca="1">IF(ISERROR(OFFSET(Bronzo!$A$1,MATCH(J238,Bronzo!$A:$A,0)-1,MATCH(K238,Bronzo!$A$1:$AA$1,0)-1)=TRUE),0,OFFSET(Bronzo!$A$1,MATCH(J238,Bronzo!$A:$A,0)-1,MATCH(K238,Bronzo!$A$1:$AA$1,0)-1))</f>
        <v>0</v>
      </c>
      <c r="V238" s="255">
        <f t="shared" ca="1" si="114"/>
        <v>0</v>
      </c>
      <c r="W238" s="254"/>
      <c r="X238" s="255">
        <v>0</v>
      </c>
      <c r="Y238" s="256">
        <f t="shared" ca="1" si="115"/>
        <v>1.5</v>
      </c>
      <c r="Z238" s="269">
        <f t="shared" si="116"/>
        <v>33.6</v>
      </c>
      <c r="AA238" s="253">
        <v>4.0999999999999996</v>
      </c>
      <c r="AB238" s="253">
        <f t="shared" ca="1" si="117"/>
        <v>0.10999999999999943</v>
      </c>
      <c r="AC238" s="258"/>
      <c r="AF238" s="223" t="s">
        <v>405</v>
      </c>
      <c r="AH238" s="232">
        <f t="shared" ca="1" si="107"/>
        <v>46120</v>
      </c>
      <c r="AI238" s="232" t="b">
        <f t="shared" si="108"/>
        <v>1</v>
      </c>
      <c r="AJ238" s="259" t="str">
        <f t="shared" si="106"/>
        <v/>
      </c>
      <c r="AM238" s="223">
        <f t="shared" si="109"/>
        <v>0</v>
      </c>
      <c r="AN238" s="223">
        <f t="shared" si="110"/>
        <v>1900</v>
      </c>
      <c r="AU238" s="223">
        <f t="shared" si="111"/>
        <v>0</v>
      </c>
      <c r="AV238" s="223">
        <f t="shared" si="112"/>
        <v>0</v>
      </c>
    </row>
    <row r="239" spans="4:48" ht="26.25" x14ac:dyDescent="0.4">
      <c r="D239" s="246" t="s">
        <v>670</v>
      </c>
      <c r="E239" s="262" t="s">
        <v>208</v>
      </c>
      <c r="F239" s="263">
        <v>970</v>
      </c>
      <c r="G239" s="249" t="s">
        <v>4</v>
      </c>
      <c r="H239" s="250">
        <v>2.4900000000000002</v>
      </c>
      <c r="I239" s="251">
        <v>46071</v>
      </c>
      <c r="J239" s="252" t="s">
        <v>314</v>
      </c>
      <c r="K239" s="252"/>
      <c r="L239" s="253">
        <v>0.05</v>
      </c>
      <c r="M239" s="254">
        <f ca="1">IF(ISERROR(OFFSET(Tabella!$A$1,MATCH(J239,Tabella!$A:$A,0)-1,MATCH(L239,Tabella!$A$1:$AC$1,0)-1)=TRUE),0,+OFFSET(Tabella!$A$1,MATCH(J239,Tabella!$A:$A,0)-1,MATCH(L239,Tabella!$A$1:$AC$1,0)-1))</f>
        <v>0</v>
      </c>
      <c r="N239" s="255">
        <f ca="1">IF(ISERROR(OFFSET(Ottone!$A$1,MATCH(J239,Ottone!$A:$A,0)-1,MATCH(L239,Ottone!$A$1:$Z$1,0)-1)=TRUE),0,OFFSET(Ottone!$A$1,MATCH(J239,Ottone!$A:$A,0)-1,MATCH(L239,Ottone!$A$1:$Z$1,0)-1))*IF(G239="Ottone",1,0)</f>
        <v>0</v>
      </c>
      <c r="O239" s="255">
        <f ca="1">IF(ISERROR(OFFSET(Rame!$A$1,MATCH(J239,Rame!$A:$A,0)-1,MATCH(L239,Rame!$A$1:$AA$1,0)-1)=TRUE),0,OFFSET(Rame!$A$1,MATCH(J239,Rame!$A:$A,0)-1,MATCH(L239,Rame!$A$1:$AA$1,0)-1))*IF(G239="Rame",1,0)</f>
        <v>0</v>
      </c>
      <c r="P239" s="255">
        <v>0</v>
      </c>
      <c r="Q239" s="255">
        <v>1.5</v>
      </c>
      <c r="R239" s="255">
        <f ca="1">+IF(ISERROR(OFFSET(Tabella!$G$1,MATCH(J239,Tabella!$G:$G,0)-1,MATCH(K239,Tabella!$G$1:$FG$1,0)-1)=TRUE),0,OFFSET(Tabella!$G$1,MATCH(J239,Tabella!$G:$G,0)-1,MATCH(K239,Tabella!$G$1:$AB$1,0)-1))</f>
        <v>0</v>
      </c>
      <c r="S239" s="255">
        <f ca="1">IF(ISERROR(OFFSET(Ottone!$F$1,MATCH(J239,Ottone!$A:$A,0)-1,MATCH(K239,Ottone!$F$1:$FF$1,0)-1)=TRUE),0,OFFSET(Ottone!$F$1,MATCH(J239,Ottone!$A:$A,0)-1,MATCH(K239,Ottone!$F$1:$FF$1,0)-1))*IF(G239="Ottone",1,0)</f>
        <v>0</v>
      </c>
      <c r="T239" s="255">
        <f ca="1">IF(ISERROR(OFFSET(Rame!$F$1,MATCH(J239,Rame!$F:$F,0)-1,MATCH(K239,Rame!$F$1:$FF$1,0)-1)=TRUE),0,OFFSET(Rame!$F$1,MATCH(J239,Rame!$F:$F,0)-1,MATCH(K239,Rame!$F$1:$FF$1,0)-1))*IF(G239="Rame",1,0)</f>
        <v>0</v>
      </c>
      <c r="U239" s="255">
        <f ca="1">IF(ISERROR(OFFSET(Bronzo!$A$1,MATCH(J239,Bronzo!$A:$A,0)-1,MATCH(K239,Bronzo!$A$1:$AA$1,0)-1)=TRUE),0,OFFSET(Bronzo!$A$1,MATCH(J239,Bronzo!$A:$A,0)-1,MATCH(K239,Bronzo!$A$1:$AA$1,0)-1))</f>
        <v>0</v>
      </c>
      <c r="V239" s="255">
        <f t="shared" ca="1" si="114"/>
        <v>0</v>
      </c>
      <c r="W239" s="254"/>
      <c r="X239" s="255">
        <v>0</v>
      </c>
      <c r="Y239" s="256">
        <f t="shared" ca="1" si="115"/>
        <v>1.5</v>
      </c>
      <c r="Z239" s="269">
        <f t="shared" si="116"/>
        <v>48.5</v>
      </c>
      <c r="AA239" s="253">
        <v>4.0999999999999996</v>
      </c>
      <c r="AB239" s="253">
        <f t="shared" ca="1" si="117"/>
        <v>0.10999999999999943</v>
      </c>
      <c r="AC239" s="258"/>
      <c r="AF239" s="223" t="s">
        <v>405</v>
      </c>
      <c r="AH239" s="232">
        <f t="shared" ca="1" si="107"/>
        <v>46120</v>
      </c>
      <c r="AI239" s="232" t="b">
        <f t="shared" si="108"/>
        <v>1</v>
      </c>
      <c r="AJ239" s="259" t="str">
        <f t="shared" si="106"/>
        <v/>
      </c>
      <c r="AM239" s="223">
        <f t="shared" si="109"/>
        <v>0</v>
      </c>
      <c r="AN239" s="223">
        <f t="shared" si="110"/>
        <v>1900</v>
      </c>
      <c r="AU239" s="223">
        <f t="shared" si="111"/>
        <v>0</v>
      </c>
      <c r="AV239" s="223">
        <f t="shared" si="112"/>
        <v>0</v>
      </c>
    </row>
    <row r="240" spans="4:48" ht="26.25" x14ac:dyDescent="0.4">
      <c r="D240" s="246" t="s">
        <v>563</v>
      </c>
      <c r="E240" s="262" t="s">
        <v>208</v>
      </c>
      <c r="F240" s="263">
        <v>2002</v>
      </c>
      <c r="G240" s="249" t="s">
        <v>4</v>
      </c>
      <c r="H240" s="250">
        <v>2.4900000000000002</v>
      </c>
      <c r="I240" s="251">
        <v>46071</v>
      </c>
      <c r="J240" s="252" t="s">
        <v>25</v>
      </c>
      <c r="K240" s="252"/>
      <c r="L240" s="253">
        <v>0.05</v>
      </c>
      <c r="M240" s="254">
        <f ca="1">IF(ISERROR(OFFSET(Tabella!$A$1,MATCH(J240,Tabella!$A:$A,0)-1,MATCH(L240,Tabella!$A$1:$AC$1,0)-1)=TRUE),0,+OFFSET(Tabella!$A$1,MATCH(J240,Tabella!$A:$A,0)-1,MATCH(L240,Tabella!$A$1:$AC$1,0)-1))</f>
        <v>0</v>
      </c>
      <c r="N240" s="255">
        <f ca="1">IF(ISERROR(OFFSET(Ottone!$A$1,MATCH(J240,Ottone!$A:$A,0)-1,MATCH(L240,Ottone!$A$1:$Z$1,0)-1)=TRUE),0,OFFSET(Ottone!$A$1,MATCH(J240,Ottone!$A:$A,0)-1,MATCH(L240,Ottone!$A$1:$Z$1,0)-1))*IF(G240="Ottone",1,0)</f>
        <v>0</v>
      </c>
      <c r="O240" s="255">
        <f ca="1">IF(ISERROR(OFFSET(Rame!$A$1,MATCH(J240,Rame!$A:$A,0)-1,MATCH(L240,Rame!$A$1:$AA$1,0)-1)=TRUE),0,OFFSET(Rame!$A$1,MATCH(J240,Rame!$A:$A,0)-1,MATCH(L240,Rame!$A$1:$AA$1,0)-1))*IF(G240="Rame",1,0)</f>
        <v>0</v>
      </c>
      <c r="P240" s="255">
        <v>0</v>
      </c>
      <c r="Q240" s="255">
        <v>1.5</v>
      </c>
      <c r="R240" s="255">
        <f ca="1">+IF(ISERROR(OFFSET(Tabella!$G$1,MATCH(J240,Tabella!$G:$G,0)-1,MATCH(K240,Tabella!$G$1:$FG$1,0)-1)=TRUE),0,OFFSET(Tabella!$G$1,MATCH(J240,Tabella!$G:$G,0)-1,MATCH(K240,Tabella!$G$1:$AB$1,0)-1))</f>
        <v>0</v>
      </c>
      <c r="S240" s="255">
        <f ca="1">IF(ISERROR(OFFSET(Ottone!$F$1,MATCH(J240,Ottone!$A:$A,0)-1,MATCH(K240,Ottone!$F$1:$FF$1,0)-1)=TRUE),0,OFFSET(Ottone!$F$1,MATCH(J240,Ottone!$A:$A,0)-1,MATCH(K240,Ottone!$F$1:$FF$1,0)-1))*IF(G240="Ottone",1,0)</f>
        <v>0</v>
      </c>
      <c r="T240" s="255">
        <f ca="1">IF(ISERROR(OFFSET(Rame!$F$1,MATCH(J240,Rame!$F:$F,0)-1,MATCH(K240,Rame!$F$1:$FF$1,0)-1)=TRUE),0,OFFSET(Rame!$F$1,MATCH(J240,Rame!$F:$F,0)-1,MATCH(K240,Rame!$F$1:$FF$1,0)-1))*IF(G240="Rame",1,0)</f>
        <v>0</v>
      </c>
      <c r="U240" s="255">
        <f ca="1">IF(ISERROR(OFFSET(Bronzo!$A$1,MATCH(J240,Bronzo!$A:$A,0)-1,MATCH(K240,Bronzo!$A$1:$AA$1,0)-1)=TRUE),0,OFFSET(Bronzo!$A$1,MATCH(J240,Bronzo!$A:$A,0)-1,MATCH(K240,Bronzo!$A$1:$AA$1,0)-1))</f>
        <v>0</v>
      </c>
      <c r="V240" s="255">
        <f t="shared" ca="1" si="114"/>
        <v>0</v>
      </c>
      <c r="W240" s="254"/>
      <c r="X240" s="255">
        <v>0</v>
      </c>
      <c r="Y240" s="256">
        <f t="shared" ca="1" si="115"/>
        <v>1.5</v>
      </c>
      <c r="Z240" s="269">
        <f t="shared" si="116"/>
        <v>100.10000000000001</v>
      </c>
      <c r="AA240" s="253">
        <v>4.0999999999999996</v>
      </c>
      <c r="AB240" s="253">
        <f t="shared" ca="1" si="117"/>
        <v>0.10999999999999943</v>
      </c>
      <c r="AC240" s="258"/>
      <c r="AF240" s="223" t="s">
        <v>405</v>
      </c>
      <c r="AH240" s="232">
        <f t="shared" ca="1" si="107"/>
        <v>46120</v>
      </c>
      <c r="AI240" s="232" t="b">
        <f t="shared" si="108"/>
        <v>1</v>
      </c>
      <c r="AJ240" s="259" t="str">
        <f t="shared" si="106"/>
        <v/>
      </c>
      <c r="AM240" s="223">
        <f t="shared" si="109"/>
        <v>0</v>
      </c>
      <c r="AN240" s="223">
        <f t="shared" si="110"/>
        <v>1900</v>
      </c>
      <c r="AU240" s="223">
        <f t="shared" si="111"/>
        <v>0</v>
      </c>
      <c r="AV240" s="223">
        <f t="shared" si="112"/>
        <v>0</v>
      </c>
    </row>
    <row r="241" spans="4:48" ht="26.25" x14ac:dyDescent="0.4">
      <c r="D241" s="246" t="s">
        <v>563</v>
      </c>
      <c r="E241" s="262" t="s">
        <v>208</v>
      </c>
      <c r="F241" s="263">
        <v>1978</v>
      </c>
      <c r="G241" s="249" t="s">
        <v>4</v>
      </c>
      <c r="H241" s="250">
        <v>2.4900000000000002</v>
      </c>
      <c r="I241" s="251">
        <v>46071</v>
      </c>
      <c r="J241" s="252" t="s">
        <v>25</v>
      </c>
      <c r="K241" s="252"/>
      <c r="L241" s="253">
        <v>0.05</v>
      </c>
      <c r="M241" s="254">
        <f ca="1">IF(ISERROR(OFFSET(Tabella!$A$1,MATCH(J241,Tabella!$A:$A,0)-1,MATCH(L241,Tabella!$A$1:$AC$1,0)-1)=TRUE),0,+OFFSET(Tabella!$A$1,MATCH(J241,Tabella!$A:$A,0)-1,MATCH(L241,Tabella!$A$1:$AC$1,0)-1))</f>
        <v>0</v>
      </c>
      <c r="N241" s="255">
        <f ca="1">IF(ISERROR(OFFSET(Ottone!$A$1,MATCH(J241,Ottone!$A:$A,0)-1,MATCH(L241,Ottone!$A$1:$Z$1,0)-1)=TRUE),0,OFFSET(Ottone!$A$1,MATCH(J241,Ottone!$A:$A,0)-1,MATCH(L241,Ottone!$A$1:$Z$1,0)-1))*IF(G241="Ottone",1,0)</f>
        <v>0</v>
      </c>
      <c r="O241" s="255">
        <f ca="1">IF(ISERROR(OFFSET(Rame!$A$1,MATCH(J241,Rame!$A:$A,0)-1,MATCH(L241,Rame!$A$1:$AA$1,0)-1)=TRUE),0,OFFSET(Rame!$A$1,MATCH(J241,Rame!$A:$A,0)-1,MATCH(L241,Rame!$A$1:$AA$1,0)-1))*IF(G241="Rame",1,0)</f>
        <v>0</v>
      </c>
      <c r="P241" s="255">
        <v>0</v>
      </c>
      <c r="Q241" s="255">
        <v>1.5</v>
      </c>
      <c r="R241" s="255">
        <f ca="1">+IF(ISERROR(OFFSET(Tabella!$G$1,MATCH(J241,Tabella!$G:$G,0)-1,MATCH(K241,Tabella!$G$1:$FG$1,0)-1)=TRUE),0,OFFSET(Tabella!$G$1,MATCH(J241,Tabella!$G:$G,0)-1,MATCH(K241,Tabella!$G$1:$AB$1,0)-1))</f>
        <v>0</v>
      </c>
      <c r="S241" s="255">
        <f ca="1">IF(ISERROR(OFFSET(Ottone!$F$1,MATCH(J241,Ottone!$A:$A,0)-1,MATCH(K241,Ottone!$F$1:$FF$1,0)-1)=TRUE),0,OFFSET(Ottone!$F$1,MATCH(J241,Ottone!$A:$A,0)-1,MATCH(K241,Ottone!$F$1:$FF$1,0)-1))*IF(G241="Ottone",1,0)</f>
        <v>0</v>
      </c>
      <c r="T241" s="255">
        <f ca="1">IF(ISERROR(OFFSET(Rame!$F$1,MATCH(J241,Rame!$F:$F,0)-1,MATCH(K241,Rame!$F$1:$FF$1,0)-1)=TRUE),0,OFFSET(Rame!$F$1,MATCH(J241,Rame!$F:$F,0)-1,MATCH(K241,Rame!$F$1:$FF$1,0)-1))*IF(G241="Rame",1,0)</f>
        <v>0</v>
      </c>
      <c r="U241" s="255">
        <f ca="1">IF(ISERROR(OFFSET(Bronzo!$A$1,MATCH(J241,Bronzo!$A:$A,0)-1,MATCH(K241,Bronzo!$A$1:$AA$1,0)-1)=TRUE),0,OFFSET(Bronzo!$A$1,MATCH(J241,Bronzo!$A:$A,0)-1,MATCH(K241,Bronzo!$A$1:$AA$1,0)-1))</f>
        <v>0</v>
      </c>
      <c r="V241" s="255">
        <f t="shared" ca="1" si="114"/>
        <v>0</v>
      </c>
      <c r="W241" s="254"/>
      <c r="X241" s="255">
        <v>0</v>
      </c>
      <c r="Y241" s="256">
        <f t="shared" ca="1" si="115"/>
        <v>1.5</v>
      </c>
      <c r="Z241" s="269">
        <f t="shared" si="116"/>
        <v>98.9</v>
      </c>
      <c r="AA241" s="253">
        <v>4.0999999999999996</v>
      </c>
      <c r="AB241" s="253">
        <f t="shared" ca="1" si="117"/>
        <v>0.10999999999999943</v>
      </c>
      <c r="AC241" s="258"/>
      <c r="AF241" s="223" t="s">
        <v>405</v>
      </c>
      <c r="AH241" s="232">
        <f t="shared" ca="1" si="107"/>
        <v>46120</v>
      </c>
      <c r="AI241" s="232" t="b">
        <f t="shared" si="108"/>
        <v>1</v>
      </c>
      <c r="AJ241" s="259" t="str">
        <f t="shared" si="106"/>
        <v/>
      </c>
      <c r="AM241" s="223">
        <f t="shared" si="109"/>
        <v>0</v>
      </c>
      <c r="AN241" s="223">
        <f t="shared" si="110"/>
        <v>1900</v>
      </c>
      <c r="AU241" s="223">
        <f t="shared" si="111"/>
        <v>0</v>
      </c>
      <c r="AV241" s="223">
        <f t="shared" si="112"/>
        <v>0</v>
      </c>
    </row>
    <row r="242" spans="4:48" ht="26.25" x14ac:dyDescent="0.4">
      <c r="D242" s="246" t="s">
        <v>512</v>
      </c>
      <c r="E242" s="252" t="s">
        <v>208</v>
      </c>
      <c r="F242" s="276">
        <v>700</v>
      </c>
      <c r="G242" s="249" t="s">
        <v>4</v>
      </c>
      <c r="H242" s="250">
        <v>2.4900000000000002</v>
      </c>
      <c r="I242" s="251">
        <v>46071</v>
      </c>
      <c r="J242" s="252" t="s">
        <v>310</v>
      </c>
      <c r="K242" s="252"/>
      <c r="L242" s="253">
        <v>0.05</v>
      </c>
      <c r="M242" s="254">
        <f ca="1">IF(ISERROR(OFFSET(Tabella!$A$1,MATCH(J242,Tabella!$A:$A,0)-1,MATCH(L242,Tabella!$A$1:$AC$1,0)-1)=TRUE),0,+OFFSET(Tabella!$A$1,MATCH(J242,Tabella!$A:$A,0)-1,MATCH(L242,Tabella!$A$1:$AC$1,0)-1))</f>
        <v>0</v>
      </c>
      <c r="N242" s="255">
        <f ca="1">IF(ISERROR(OFFSET(Ottone!$A$1,MATCH(J242,Ottone!$A:$A,0)-1,MATCH(L242,Ottone!$A$1:$Z$1,0)-1)=TRUE),0,OFFSET(Ottone!$A$1,MATCH(J242,Ottone!$A:$A,0)-1,MATCH(L242,Ottone!$A$1:$Z$1,0)-1))*IF(G242="Ottone",1,0)</f>
        <v>0</v>
      </c>
      <c r="O242" s="255">
        <f ca="1">IF(ISERROR(OFFSET(Rame!$A$1,MATCH(J242,Rame!$A:$A,0)-1,MATCH(L242,Rame!$A$1:$AA$1,0)-1)=TRUE),0,OFFSET(Rame!$A$1,MATCH(J242,Rame!$A:$A,0)-1,MATCH(L242,Rame!$A$1:$AA$1,0)-1))*IF(G242="Rame",1,0)</f>
        <v>0</v>
      </c>
      <c r="P242" s="255">
        <v>0</v>
      </c>
      <c r="Q242" s="255">
        <v>1.5</v>
      </c>
      <c r="R242" s="255">
        <f ca="1">+IF(ISERROR(OFFSET(Tabella!$G$1,MATCH(J242,Tabella!$G:$G,0)-1,MATCH(K242,Tabella!$G$1:$FG$1,0)-1)=TRUE),0,OFFSET(Tabella!$G$1,MATCH(J242,Tabella!$G:$G,0)-1,MATCH(K242,Tabella!$G$1:$AB$1,0)-1))</f>
        <v>0</v>
      </c>
      <c r="S242" s="255">
        <f ca="1">IF(ISERROR(OFFSET(Ottone!$F$1,MATCH(J242,Ottone!$A:$A,0)-1,MATCH(K242,Ottone!$F$1:$FF$1,0)-1)=TRUE),0,OFFSET(Ottone!$F$1,MATCH(J242,Ottone!$A:$A,0)-1,MATCH(K242,Ottone!$F$1:$FF$1,0)-1))*IF(G242="Ottone",1,0)</f>
        <v>0</v>
      </c>
      <c r="T242" s="255">
        <f ca="1">IF(ISERROR(OFFSET(Rame!$F$1,MATCH(J242,Rame!$F:$F,0)-1,MATCH(K242,Rame!$F$1:$FF$1,0)-1)=TRUE),0,OFFSET(Rame!$F$1,MATCH(J242,Rame!$F:$F,0)-1,MATCH(K242,Rame!$F$1:$FF$1,0)-1))*IF(G242="Rame",1,0)</f>
        <v>0</v>
      </c>
      <c r="U242" s="255">
        <f ca="1">IF(ISERROR(OFFSET(Bronzo!$A$1,MATCH(J242,Bronzo!$A:$A,0)-1,MATCH(K242,Bronzo!$A$1:$AA$1,0)-1)=TRUE),0,OFFSET(Bronzo!$A$1,MATCH(J242,Bronzo!$A:$A,0)-1,MATCH(K242,Bronzo!$A$1:$AA$1,0)-1))</f>
        <v>0</v>
      </c>
      <c r="V242" s="255">
        <f t="shared" ca="1" si="114"/>
        <v>0</v>
      </c>
      <c r="W242" s="254"/>
      <c r="X242" s="255">
        <v>0</v>
      </c>
      <c r="Y242" s="256">
        <f t="shared" ca="1" si="115"/>
        <v>1.5</v>
      </c>
      <c r="Z242" s="257">
        <f t="shared" si="116"/>
        <v>35</v>
      </c>
      <c r="AA242" s="253">
        <v>4.0999999999999996</v>
      </c>
      <c r="AB242" s="253">
        <f t="shared" ca="1" si="117"/>
        <v>0.10999999999999943</v>
      </c>
      <c r="AC242" s="258">
        <v>46094</v>
      </c>
      <c r="AH242" s="232">
        <f t="shared" ca="1" si="107"/>
        <v>46120</v>
      </c>
      <c r="AI242" s="232" t="b">
        <f t="shared" si="108"/>
        <v>0</v>
      </c>
      <c r="AJ242" s="259">
        <f t="shared" ca="1" si="106"/>
        <v>-26</v>
      </c>
      <c r="AM242" s="223">
        <f t="shared" si="109"/>
        <v>11</v>
      </c>
      <c r="AN242" s="223">
        <f t="shared" si="110"/>
        <v>2026</v>
      </c>
      <c r="AU242" s="223">
        <f t="shared" si="111"/>
        <v>3</v>
      </c>
      <c r="AV242" s="223">
        <f t="shared" si="112"/>
        <v>2026</v>
      </c>
    </row>
    <row r="243" spans="4:48" ht="26.25" x14ac:dyDescent="0.4">
      <c r="D243" s="246" t="s">
        <v>718</v>
      </c>
      <c r="E243" s="262" t="s">
        <v>208</v>
      </c>
      <c r="F243" s="263">
        <v>755</v>
      </c>
      <c r="G243" s="249" t="s">
        <v>4</v>
      </c>
      <c r="H243" s="250">
        <v>2.4900000000000002</v>
      </c>
      <c r="I243" s="251">
        <v>46071</v>
      </c>
      <c r="J243" s="252" t="s">
        <v>15</v>
      </c>
      <c r="K243" s="252"/>
      <c r="L243" s="253">
        <v>0.05</v>
      </c>
      <c r="M243" s="254">
        <f ca="1">IF(ISERROR(OFFSET(Tabella!$A$1,MATCH(J243,Tabella!$A:$A,0)-1,MATCH(L243,Tabella!$A$1:$AC$1,0)-1)=TRUE),0,+OFFSET(Tabella!$A$1,MATCH(J243,Tabella!$A:$A,0)-1,MATCH(L243,Tabella!$A$1:$AC$1,0)-1))</f>
        <v>0</v>
      </c>
      <c r="N243" s="255">
        <f ca="1">IF(ISERROR(OFFSET(Ottone!$A$1,MATCH(J243,Ottone!$A:$A,0)-1,MATCH(L243,Ottone!$A$1:$Z$1,0)-1)=TRUE),0,OFFSET(Ottone!$A$1,MATCH(J243,Ottone!$A:$A,0)-1,MATCH(L243,Ottone!$A$1:$Z$1,0)-1))*IF(G243="Ottone",1,0)</f>
        <v>0</v>
      </c>
      <c r="O243" s="255">
        <f ca="1">IF(ISERROR(OFFSET(Rame!$A$1,MATCH(J243,Rame!$A:$A,0)-1,MATCH(L243,Rame!$A$1:$AA$1,0)-1)=TRUE),0,OFFSET(Rame!$A$1,MATCH(J243,Rame!$A:$A,0)-1,MATCH(L243,Rame!$A$1:$AA$1,0)-1))*IF(G243="Rame",1,0)</f>
        <v>0</v>
      </c>
      <c r="P243" s="255">
        <v>0</v>
      </c>
      <c r="Q243" s="255">
        <v>1.65</v>
      </c>
      <c r="R243" s="255">
        <f ca="1">+IF(ISERROR(OFFSET(Tabella!$G$1,MATCH(J243,Tabella!$G:$G,0)-1,MATCH(K243,Tabella!$G$1:$FG$1,0)-1)=TRUE),0,OFFSET(Tabella!$G$1,MATCH(J243,Tabella!$G:$G,0)-1,MATCH(K243,Tabella!$G$1:$AB$1,0)-1))</f>
        <v>0</v>
      </c>
      <c r="S243" s="255">
        <f ca="1">IF(ISERROR(OFFSET(Ottone!$F$1,MATCH(J243,Ottone!$A:$A,0)-1,MATCH(K243,Ottone!$F$1:$FF$1,0)-1)=TRUE),0,OFFSET(Ottone!$F$1,MATCH(J243,Ottone!$A:$A,0)-1,MATCH(K243,Ottone!$F$1:$FF$1,0)-1))*IF(G243="Ottone",1,0)</f>
        <v>0</v>
      </c>
      <c r="T243" s="255">
        <f ca="1">IF(ISERROR(OFFSET(Rame!$F$1,MATCH(J243,Rame!$F:$F,0)-1,MATCH(K243,Rame!$F$1:$FF$1,0)-1)=TRUE),0,OFFSET(Rame!$F$1,MATCH(J243,Rame!$F:$F,0)-1,MATCH(K243,Rame!$F$1:$FF$1,0)-1))*IF(G243="Rame",1,0)</f>
        <v>0</v>
      </c>
      <c r="U243" s="255">
        <f ca="1">IF(ISERROR(OFFSET(Bronzo!$A$1,MATCH(J243,Bronzo!$A:$A,0)-1,MATCH(K243,Bronzo!$A$1:$AA$1,0)-1)=TRUE),0,OFFSET(Bronzo!$A$1,MATCH(J243,Bronzo!$A:$A,0)-1,MATCH(K243,Bronzo!$A$1:$AA$1,0)-1))</f>
        <v>0</v>
      </c>
      <c r="V243" s="255">
        <f t="shared" ca="1" si="114"/>
        <v>0</v>
      </c>
      <c r="W243" s="254"/>
      <c r="X243" s="255">
        <v>0</v>
      </c>
      <c r="Y243" s="256">
        <f t="shared" ca="1" si="115"/>
        <v>1.65</v>
      </c>
      <c r="Z243" s="269">
        <f t="shared" si="116"/>
        <v>37.75</v>
      </c>
      <c r="AA243" s="253">
        <v>4.25</v>
      </c>
      <c r="AB243" s="253">
        <f t="shared" ca="1" si="117"/>
        <v>0.10999999999999988</v>
      </c>
      <c r="AC243" s="258"/>
      <c r="AF243" s="223" t="s">
        <v>405</v>
      </c>
      <c r="AG243" s="223" t="s">
        <v>598</v>
      </c>
      <c r="AH243" s="232">
        <f t="shared" ca="1" si="107"/>
        <v>46120</v>
      </c>
      <c r="AI243" s="232" t="b">
        <f t="shared" si="108"/>
        <v>1</v>
      </c>
      <c r="AJ243" s="259" t="str">
        <f t="shared" ref="AJ243:AJ274" si="118">IF(AI243=FALSE,_xlfn.DAYS(AC243,AH243),"")</f>
        <v/>
      </c>
      <c r="AM243" s="223">
        <f t="shared" si="109"/>
        <v>0</v>
      </c>
      <c r="AN243" s="223">
        <f t="shared" si="110"/>
        <v>1900</v>
      </c>
      <c r="AU243" s="223">
        <f t="shared" si="111"/>
        <v>0</v>
      </c>
      <c r="AV243" s="223">
        <f t="shared" si="112"/>
        <v>0</v>
      </c>
    </row>
    <row r="244" spans="4:48" ht="26.25" x14ac:dyDescent="0.4">
      <c r="D244" s="246" t="s">
        <v>603</v>
      </c>
      <c r="E244" s="262" t="s">
        <v>208</v>
      </c>
      <c r="F244" s="263">
        <v>2033</v>
      </c>
      <c r="G244" s="249" t="s">
        <v>4</v>
      </c>
      <c r="H244" s="250">
        <v>2.4900000000000002</v>
      </c>
      <c r="I244" s="251">
        <v>46071</v>
      </c>
      <c r="J244" s="252" t="s">
        <v>13</v>
      </c>
      <c r="K244" s="252"/>
      <c r="L244" s="253">
        <v>0.05</v>
      </c>
      <c r="M244" s="254">
        <f ca="1">IF(ISERROR(OFFSET(Tabella!$A$1,MATCH(J244,Tabella!$A:$A,0)-1,MATCH(L244,Tabella!$A$1:$AC$1,0)-1)=TRUE),0,+OFFSET(Tabella!$A$1,MATCH(J244,Tabella!$A:$A,0)-1,MATCH(L244,Tabella!$A$1:$AC$1,0)-1))</f>
        <v>0</v>
      </c>
      <c r="N244" s="255">
        <f ca="1">IF(ISERROR(OFFSET(Ottone!$A$1,MATCH(J244,Ottone!$A:$A,0)-1,MATCH(L244,Ottone!$A$1:$Z$1,0)-1)=TRUE),0,OFFSET(Ottone!$A$1,MATCH(J244,Ottone!$A:$A,0)-1,MATCH(L244,Ottone!$A$1:$Z$1,0)-1))*IF(G244="Ottone",1,0)</f>
        <v>0</v>
      </c>
      <c r="O244" s="255">
        <f ca="1">IF(ISERROR(OFFSET(Rame!$A$1,MATCH(J244,Rame!$A:$A,0)-1,MATCH(L244,Rame!$A$1:$AA$1,0)-1)=TRUE),0,OFFSET(Rame!$A$1,MATCH(J244,Rame!$A:$A,0)-1,MATCH(L244,Rame!$A$1:$AA$1,0)-1))*IF(G244="Rame",1,0)</f>
        <v>0</v>
      </c>
      <c r="P244" s="255">
        <v>0</v>
      </c>
      <c r="Q244" s="255">
        <v>1.65</v>
      </c>
      <c r="R244" s="255">
        <f ca="1">+IF(ISERROR(OFFSET(Tabella!$G$1,MATCH(J244,Tabella!$G:$G,0)-1,MATCH(K244,Tabella!$G$1:$FG$1,0)-1)=TRUE),0,OFFSET(Tabella!$G$1,MATCH(J244,Tabella!$G:$G,0)-1,MATCH(K244,Tabella!$G$1:$AB$1,0)-1))</f>
        <v>0</v>
      </c>
      <c r="S244" s="255">
        <f ca="1">IF(ISERROR(OFFSET(Ottone!$F$1,MATCH(J244,Ottone!$A:$A,0)-1,MATCH(K244,Ottone!$F$1:$FF$1,0)-1)=TRUE),0,OFFSET(Ottone!$F$1,MATCH(J244,Ottone!$A:$A,0)-1,MATCH(K244,Ottone!$F$1:$FF$1,0)-1))*IF(G244="Ottone",1,0)</f>
        <v>0</v>
      </c>
      <c r="T244" s="255">
        <f ca="1">IF(ISERROR(OFFSET(Rame!$F$1,MATCH(J244,Rame!$F:$F,0)-1,MATCH(K244,Rame!$F$1:$FF$1,0)-1)=TRUE),0,OFFSET(Rame!$F$1,MATCH(J244,Rame!$F:$F,0)-1,MATCH(K244,Rame!$F$1:$FF$1,0)-1))*IF(G244="Rame",1,0)</f>
        <v>0</v>
      </c>
      <c r="U244" s="255">
        <f ca="1">IF(ISERROR(OFFSET(Bronzo!$A$1,MATCH(J244,Bronzo!$A:$A,0)-1,MATCH(K244,Bronzo!$A$1:$AA$1,0)-1)=TRUE),0,OFFSET(Bronzo!$A$1,MATCH(J244,Bronzo!$A:$A,0)-1,MATCH(K244,Bronzo!$A$1:$AA$1,0)-1))</f>
        <v>0</v>
      </c>
      <c r="V244" s="255">
        <f t="shared" ca="1" si="114"/>
        <v>0</v>
      </c>
      <c r="W244" s="254"/>
      <c r="X244" s="255">
        <v>0</v>
      </c>
      <c r="Y244" s="256">
        <f t="shared" ca="1" si="115"/>
        <v>1.65</v>
      </c>
      <c r="Z244" s="269">
        <f t="shared" si="116"/>
        <v>101.65</v>
      </c>
      <c r="AA244" s="253">
        <v>4.25</v>
      </c>
      <c r="AB244" s="253">
        <f t="shared" ca="1" si="117"/>
        <v>0.10999999999999988</v>
      </c>
      <c r="AC244" s="258"/>
      <c r="AF244" s="223" t="s">
        <v>405</v>
      </c>
      <c r="AH244" s="232">
        <f t="shared" ca="1" si="107"/>
        <v>46120</v>
      </c>
      <c r="AI244" s="232" t="b">
        <f t="shared" si="108"/>
        <v>1</v>
      </c>
      <c r="AJ244" s="259" t="str">
        <f t="shared" si="118"/>
        <v/>
      </c>
      <c r="AM244" s="223">
        <f t="shared" si="109"/>
        <v>0</v>
      </c>
      <c r="AN244" s="223">
        <f t="shared" si="110"/>
        <v>1900</v>
      </c>
      <c r="AU244" s="223">
        <f t="shared" si="111"/>
        <v>0</v>
      </c>
      <c r="AV244" s="223">
        <f t="shared" si="112"/>
        <v>0</v>
      </c>
    </row>
    <row r="245" spans="4:48" ht="26.25" x14ac:dyDescent="0.4">
      <c r="D245" s="246" t="s">
        <v>546</v>
      </c>
      <c r="E245" s="262" t="s">
        <v>208</v>
      </c>
      <c r="F245" s="263">
        <v>1040</v>
      </c>
      <c r="G245" s="249" t="s">
        <v>4</v>
      </c>
      <c r="H245" s="250">
        <v>2.4900000000000002</v>
      </c>
      <c r="I245" s="251">
        <v>46071</v>
      </c>
      <c r="J245" s="252" t="s">
        <v>243</v>
      </c>
      <c r="K245" s="252"/>
      <c r="L245" s="253">
        <v>0.05</v>
      </c>
      <c r="M245" s="254">
        <f ca="1">IF(ISERROR(OFFSET(Tabella!$A$1,MATCH(J245,Tabella!$A:$A,0)-1,MATCH(L245,Tabella!$A$1:$AC$1,0)-1)=TRUE),0,+OFFSET(Tabella!$A$1,MATCH(J245,Tabella!$A:$A,0)-1,MATCH(L245,Tabella!$A$1:$AC$1,0)-1))</f>
        <v>0</v>
      </c>
      <c r="N245" s="255">
        <f ca="1">IF(ISERROR(OFFSET(Ottone!$A$1,MATCH(J245,Ottone!$A:$A,0)-1,MATCH(L245,Ottone!$A$1:$Z$1,0)-1)=TRUE),0,OFFSET(Ottone!$A$1,MATCH(J245,Ottone!$A:$A,0)-1,MATCH(L245,Ottone!$A$1:$Z$1,0)-1))*IF(G245="Ottone",1,0)</f>
        <v>0</v>
      </c>
      <c r="O245" s="255">
        <f ca="1">IF(ISERROR(OFFSET(Rame!$A$1,MATCH(J245,Rame!$A:$A,0)-1,MATCH(L245,Rame!$A$1:$AA$1,0)-1)=TRUE),0,OFFSET(Rame!$A$1,MATCH(J245,Rame!$A:$A,0)-1,MATCH(L245,Rame!$A$1:$AA$1,0)-1))*IF(G245="Rame",1,0)</f>
        <v>0</v>
      </c>
      <c r="P245" s="255">
        <v>0</v>
      </c>
      <c r="Q245" s="255">
        <v>1.6</v>
      </c>
      <c r="R245" s="255">
        <f ca="1">+IF(ISERROR(OFFSET(Tabella!$G$1,MATCH(J245,Tabella!$G:$G,0)-1,MATCH(K245,Tabella!$G$1:$FG$1,0)-1)=TRUE),0,OFFSET(Tabella!$G$1,MATCH(J245,Tabella!$G:$G,0)-1,MATCH(K245,Tabella!$G$1:$AB$1,0)-1))</f>
        <v>0</v>
      </c>
      <c r="S245" s="255">
        <f ca="1">IF(ISERROR(OFFSET(Ottone!$F$1,MATCH(J245,Ottone!$A:$A,0)-1,MATCH(K245,Ottone!$F$1:$FF$1,0)-1)=TRUE),0,OFFSET(Ottone!$F$1,MATCH(J245,Ottone!$A:$A,0)-1,MATCH(K245,Ottone!$F$1:$FF$1,0)-1))*IF(G245="Ottone",1,0)</f>
        <v>0</v>
      </c>
      <c r="T245" s="255">
        <f ca="1">IF(ISERROR(OFFSET(Rame!$F$1,MATCH(J245,Rame!$F:$F,0)-1,MATCH(K245,Rame!$F$1:$FF$1,0)-1)=TRUE),0,OFFSET(Rame!$F$1,MATCH(J245,Rame!$F:$F,0)-1,MATCH(K245,Rame!$F$1:$FF$1,0)-1))*IF(G245="Rame",1,0)</f>
        <v>0</v>
      </c>
      <c r="U245" s="255">
        <f ca="1">IF(ISERROR(OFFSET(Bronzo!$A$1,MATCH(J245,Bronzo!$A:$A,0)-1,MATCH(K245,Bronzo!$A$1:$AA$1,0)-1)=TRUE),0,OFFSET(Bronzo!$A$1,MATCH(J245,Bronzo!$A:$A,0)-1,MATCH(K245,Bronzo!$A$1:$AA$1,0)-1))</f>
        <v>0</v>
      </c>
      <c r="V245" s="255">
        <f t="shared" ca="1" si="114"/>
        <v>0</v>
      </c>
      <c r="W245" s="254"/>
      <c r="X245" s="255">
        <v>0</v>
      </c>
      <c r="Y245" s="256">
        <f t="shared" ca="1" si="115"/>
        <v>1.6</v>
      </c>
      <c r="Z245" s="269">
        <f t="shared" si="116"/>
        <v>52</v>
      </c>
      <c r="AA245" s="253">
        <v>4.2</v>
      </c>
      <c r="AB245" s="253">
        <f t="shared" ca="1" si="117"/>
        <v>0.10999999999999988</v>
      </c>
      <c r="AC245" s="258"/>
      <c r="AF245" s="223" t="s">
        <v>405</v>
      </c>
      <c r="AH245" s="232">
        <f t="shared" ca="1" si="107"/>
        <v>46120</v>
      </c>
      <c r="AI245" s="232" t="b">
        <f t="shared" si="108"/>
        <v>1</v>
      </c>
      <c r="AJ245" s="259" t="str">
        <f t="shared" si="118"/>
        <v/>
      </c>
      <c r="AM245" s="223">
        <f t="shared" si="109"/>
        <v>0</v>
      </c>
      <c r="AN245" s="223">
        <f t="shared" si="110"/>
        <v>1900</v>
      </c>
      <c r="AU245" s="223">
        <f t="shared" si="111"/>
        <v>0</v>
      </c>
      <c r="AV245" s="223">
        <f t="shared" si="112"/>
        <v>0</v>
      </c>
    </row>
    <row r="246" spans="4:48" ht="26.25" x14ac:dyDescent="0.4">
      <c r="D246" s="246" t="s">
        <v>508</v>
      </c>
      <c r="E246" s="252" t="s">
        <v>238</v>
      </c>
      <c r="F246" s="276">
        <v>400</v>
      </c>
      <c r="G246" s="249" t="s">
        <v>4</v>
      </c>
      <c r="H246" s="250">
        <v>2.4500000000000002</v>
      </c>
      <c r="I246" s="251">
        <v>46071</v>
      </c>
      <c r="J246" s="252" t="s">
        <v>19</v>
      </c>
      <c r="K246" s="252"/>
      <c r="L246" s="253">
        <v>7.0000000000000007E-2</v>
      </c>
      <c r="M246" s="254">
        <f ca="1">IF(ISERROR(OFFSET(Tabella!$A$1,MATCH(J246,Tabella!$A:$A,0)-1,MATCH(L246,Tabella!$A$1:$AC$1,0)-1)=TRUE),0,+OFFSET(Tabella!$A$1,MATCH(J246,Tabella!$A:$A,0)-1,MATCH(L246,Tabella!$A$1:$AC$1,0)-1))</f>
        <v>1.35</v>
      </c>
      <c r="N246" s="255">
        <f ca="1">IF(ISERROR(OFFSET(Ottone!$A$1,MATCH(J246,Ottone!$A:$A,0)-1,MATCH(L246,Ottone!$A$1:$Z$1,0)-1)=TRUE),0,OFFSET(Ottone!$A$1,MATCH(J246,Ottone!$A:$A,0)-1,MATCH(L246,Ottone!$A$1:$Z$1,0)-1))*IF(G246="Ottone",1,0)</f>
        <v>0</v>
      </c>
      <c r="O246" s="255">
        <f ca="1">IF(ISERROR(OFFSET(Rame!$A$1,MATCH(J246,Rame!$A:$A,0)-1,MATCH(L246,Rame!$A$1:$AA$1,0)-1)=TRUE),0,OFFSET(Rame!$A$1,MATCH(J246,Rame!$A:$A,0)-1,MATCH(L246,Rame!$A$1:$AA$1,0)-1))*IF(G246="Rame",1,0)</f>
        <v>0</v>
      </c>
      <c r="P246" s="255">
        <v>0</v>
      </c>
      <c r="Q246" s="255">
        <v>1.5</v>
      </c>
      <c r="R246" s="255">
        <f ca="1">+IF(ISERROR(OFFSET(Tabella!$G$1,MATCH(J246,Tabella!$G:$G,0)-1,MATCH(K246,Tabella!$G$1:$FG$1,0)-1)=TRUE),0,OFFSET(Tabella!$G$1,MATCH(J246,Tabella!$G:$G,0)-1,MATCH(K246,Tabella!$G$1:$AB$1,0)-1))</f>
        <v>0</v>
      </c>
      <c r="S246" s="255">
        <f ca="1">IF(ISERROR(OFFSET(Ottone!$F$1,MATCH(J246,Ottone!$A:$A,0)-1,MATCH(K246,Ottone!$F$1:$FF$1,0)-1)=TRUE),0,OFFSET(Ottone!$F$1,MATCH(J246,Ottone!$A:$A,0)-1,MATCH(K246,Ottone!$F$1:$FF$1,0)-1))*IF(G246="Ottone",1,0)</f>
        <v>0</v>
      </c>
      <c r="T246" s="255">
        <f ca="1">IF(ISERROR(OFFSET(Rame!$F$1,MATCH(J246,Rame!$F:$F,0)-1,MATCH(K246,Rame!$F$1:$FF$1,0)-1)=TRUE),0,OFFSET(Rame!$F$1,MATCH(J246,Rame!$F:$F,0)-1,MATCH(K246,Rame!$F$1:$FF$1,0)-1))*IF(G246="Rame",1,0)</f>
        <v>0</v>
      </c>
      <c r="U246" s="255">
        <f ca="1">IF(ISERROR(OFFSET(Bronzo!$A$1,MATCH(J246,Bronzo!$A:$A,0)-1,MATCH(K246,Bronzo!$A$1:$AA$1,0)-1)=TRUE),0,OFFSET(Bronzo!$A$1,MATCH(J246,Bronzo!$A:$A,0)-1,MATCH(K246,Bronzo!$A$1:$AA$1,0)-1))</f>
        <v>0</v>
      </c>
      <c r="V246" s="255">
        <f t="shared" ca="1" si="114"/>
        <v>0</v>
      </c>
      <c r="W246" s="254"/>
      <c r="X246" s="255">
        <v>0</v>
      </c>
      <c r="Y246" s="256">
        <f t="shared" ca="1" si="115"/>
        <v>1.5</v>
      </c>
      <c r="Z246" s="257">
        <f t="shared" si="116"/>
        <v>28.000000000000004</v>
      </c>
      <c r="AA246" s="253">
        <v>4.05</v>
      </c>
      <c r="AB246" s="253">
        <f t="shared" ca="1" si="117"/>
        <v>9.9999999999999645E-2</v>
      </c>
      <c r="AC246" s="258">
        <v>46120</v>
      </c>
      <c r="AH246" s="232">
        <f t="shared" ca="1" si="107"/>
        <v>46120</v>
      </c>
      <c r="AI246" s="232" t="b">
        <f t="shared" si="108"/>
        <v>0</v>
      </c>
      <c r="AJ246" s="259">
        <f t="shared" ca="1" si="118"/>
        <v>0</v>
      </c>
      <c r="AM246" s="223">
        <f t="shared" si="109"/>
        <v>15</v>
      </c>
      <c r="AN246" s="223">
        <f t="shared" si="110"/>
        <v>2026</v>
      </c>
      <c r="AU246" s="223">
        <f t="shared" si="111"/>
        <v>4</v>
      </c>
      <c r="AV246" s="223">
        <f t="shared" si="112"/>
        <v>2026</v>
      </c>
    </row>
    <row r="247" spans="4:48" ht="26.25" x14ac:dyDescent="0.4">
      <c r="D247" s="246" t="s">
        <v>620</v>
      </c>
      <c r="E247" s="262" t="s">
        <v>377</v>
      </c>
      <c r="F247" s="263">
        <v>297</v>
      </c>
      <c r="G247" s="249" t="s">
        <v>4</v>
      </c>
      <c r="H247" s="250">
        <v>2.58</v>
      </c>
      <c r="I247" s="251">
        <v>46071</v>
      </c>
      <c r="J247" s="252" t="s">
        <v>21</v>
      </c>
      <c r="K247" s="252"/>
      <c r="L247" s="253">
        <v>7.0000000000000007E-2</v>
      </c>
      <c r="M247" s="254">
        <f ca="1">IF(ISERROR(OFFSET(Tabella!$A$1,MATCH(J247,Tabella!$A:$A,0)-1,MATCH(L247,Tabella!$A$1:$AC$1,0)-1)=TRUE),0,+OFFSET(Tabella!$A$1,MATCH(J247,Tabella!$A:$A,0)-1,MATCH(L247,Tabella!$A$1:$AC$1,0)-1))</f>
        <v>1.25</v>
      </c>
      <c r="N247" s="255">
        <f ca="1">IF(ISERROR(OFFSET(Ottone!$A$1,MATCH(J247,Ottone!$A:$A,0)-1,MATCH(L247,Ottone!$A$1:$Z$1,0)-1)=TRUE),0,OFFSET(Ottone!$A$1,MATCH(J247,Ottone!$A:$A,0)-1,MATCH(L247,Ottone!$A$1:$Z$1,0)-1))*IF(G247="Ottone",1,0)</f>
        <v>0</v>
      </c>
      <c r="O247" s="255">
        <f ca="1">IF(ISERROR(OFFSET(Rame!$A$1,MATCH(J247,Rame!$A:$A,0)-1,MATCH(L247,Rame!$A$1:$AA$1,0)-1)=TRUE),0,OFFSET(Rame!$A$1,MATCH(J247,Rame!$A:$A,0)-1,MATCH(L247,Rame!$A$1:$AA$1,0)-1))*IF(G247="Rame",1,0)</f>
        <v>0</v>
      </c>
      <c r="P247" s="255">
        <v>0</v>
      </c>
      <c r="Q247" s="255">
        <v>1.5</v>
      </c>
      <c r="R247" s="255">
        <f ca="1">+IF(ISERROR(OFFSET(Tabella!$G$1,MATCH(J247,Tabella!$G:$G,0)-1,MATCH(K247,Tabella!$G$1:$FG$1,0)-1)=TRUE),0,OFFSET(Tabella!$G$1,MATCH(J247,Tabella!$G:$G,0)-1,MATCH(K247,Tabella!$G$1:$AB$1,0)-1))</f>
        <v>0</v>
      </c>
      <c r="S247" s="255">
        <f ca="1">IF(ISERROR(OFFSET(Ottone!$F$1,MATCH(J247,Ottone!$A:$A,0)-1,MATCH(K247,Ottone!$F$1:$FF$1,0)-1)=TRUE),0,OFFSET(Ottone!$F$1,MATCH(J247,Ottone!$A:$A,0)-1,MATCH(K247,Ottone!$F$1:$FF$1,0)-1))*IF(G247="Ottone",1,0)</f>
        <v>0</v>
      </c>
      <c r="T247" s="255">
        <f ca="1">IF(ISERROR(OFFSET(Rame!$F$1,MATCH(J247,Rame!$F:$F,0)-1,MATCH(K247,Rame!$F$1:$FF$1,0)-1)=TRUE),0,OFFSET(Rame!$F$1,MATCH(J247,Rame!$F:$F,0)-1,MATCH(K247,Rame!$F$1:$FF$1,0)-1))*IF(G247="Rame",1,0)</f>
        <v>0</v>
      </c>
      <c r="U247" s="255">
        <f ca="1">IF(ISERROR(OFFSET(Bronzo!$A$1,MATCH(J247,Bronzo!$A:$A,0)-1,MATCH(K247,Bronzo!$A$1:$AA$1,0)-1)=TRUE),0,OFFSET(Bronzo!$A$1,MATCH(J247,Bronzo!$A:$A,0)-1,MATCH(K247,Bronzo!$A$1:$AA$1,0)-1))</f>
        <v>0</v>
      </c>
      <c r="V247" s="255">
        <f t="shared" ca="1" si="114"/>
        <v>0</v>
      </c>
      <c r="W247" s="254"/>
      <c r="X247" s="255">
        <v>0</v>
      </c>
      <c r="Y247" s="256">
        <f t="shared" ca="1" si="115"/>
        <v>1.5</v>
      </c>
      <c r="Z247" s="269">
        <f t="shared" si="116"/>
        <v>20.790000000000003</v>
      </c>
      <c r="AA247" s="253">
        <v>4.0999999999999996</v>
      </c>
      <c r="AB247" s="253">
        <f t="shared" ca="1" si="117"/>
        <v>1.9999999999999574E-2</v>
      </c>
      <c r="AC247" s="258"/>
      <c r="AF247" s="223" t="s">
        <v>405</v>
      </c>
      <c r="AH247" s="232">
        <f t="shared" ca="1" si="107"/>
        <v>46120</v>
      </c>
      <c r="AI247" s="232" t="b">
        <f t="shared" si="108"/>
        <v>1</v>
      </c>
      <c r="AJ247" s="259" t="str">
        <f t="shared" si="118"/>
        <v/>
      </c>
      <c r="AM247" s="223">
        <f t="shared" si="109"/>
        <v>0</v>
      </c>
      <c r="AN247" s="223">
        <f t="shared" si="110"/>
        <v>1900</v>
      </c>
      <c r="AU247" s="223">
        <f t="shared" si="111"/>
        <v>0</v>
      </c>
      <c r="AV247" s="223">
        <f t="shared" si="112"/>
        <v>0</v>
      </c>
    </row>
    <row r="248" spans="4:48" ht="26.25" x14ac:dyDescent="0.4">
      <c r="D248" s="246" t="s">
        <v>620</v>
      </c>
      <c r="E248" s="262" t="s">
        <v>377</v>
      </c>
      <c r="F248" s="263">
        <v>298</v>
      </c>
      <c r="G248" s="249" t="s">
        <v>4</v>
      </c>
      <c r="H248" s="250">
        <v>2.58</v>
      </c>
      <c r="I248" s="251">
        <v>46071</v>
      </c>
      <c r="J248" s="252" t="s">
        <v>23</v>
      </c>
      <c r="K248" s="252"/>
      <c r="L248" s="253">
        <v>7.0000000000000007E-2</v>
      </c>
      <c r="M248" s="254">
        <f ca="1">IF(ISERROR(OFFSET(Tabella!$A$1,MATCH(J248,Tabella!$A:$A,0)-1,MATCH(L248,Tabella!$A$1:$AC$1,0)-1)=TRUE),0,+OFFSET(Tabella!$A$1,MATCH(J248,Tabella!$A:$A,0)-1,MATCH(L248,Tabella!$A$1:$AC$1,0)-1))</f>
        <v>1.25</v>
      </c>
      <c r="N248" s="255">
        <f ca="1">IF(ISERROR(OFFSET(Ottone!$A$1,MATCH(J248,Ottone!$A:$A,0)-1,MATCH(L248,Ottone!$A$1:$Z$1,0)-1)=TRUE),0,OFFSET(Ottone!$A$1,MATCH(J248,Ottone!$A:$A,0)-1,MATCH(L248,Ottone!$A$1:$Z$1,0)-1))*IF(G248="Ottone",1,0)</f>
        <v>0</v>
      </c>
      <c r="O248" s="255">
        <f ca="1">IF(ISERROR(OFFSET(Rame!$A$1,MATCH(J248,Rame!$A:$A,0)-1,MATCH(L248,Rame!$A$1:$AA$1,0)-1)=TRUE),0,OFFSET(Rame!$A$1,MATCH(J248,Rame!$A:$A,0)-1,MATCH(L248,Rame!$A$1:$AA$1,0)-1))*IF(G248="Rame",1,0)</f>
        <v>0</v>
      </c>
      <c r="P248" s="255">
        <v>0</v>
      </c>
      <c r="Q248" s="255">
        <v>1.5</v>
      </c>
      <c r="R248" s="255">
        <f ca="1">+IF(ISERROR(OFFSET(Tabella!$G$1,MATCH(J248,Tabella!$G:$G,0)-1,MATCH(K248,Tabella!$G$1:$FG$1,0)-1)=TRUE),0,OFFSET(Tabella!$G$1,MATCH(J248,Tabella!$G:$G,0)-1,MATCH(K248,Tabella!$G$1:$AB$1,0)-1))</f>
        <v>0</v>
      </c>
      <c r="S248" s="255">
        <f ca="1">IF(ISERROR(OFFSET(Ottone!$F$1,MATCH(J248,Ottone!$A:$A,0)-1,MATCH(K248,Ottone!$F$1:$FF$1,0)-1)=TRUE),0,OFFSET(Ottone!$F$1,MATCH(J248,Ottone!$A:$A,0)-1,MATCH(K248,Ottone!$F$1:$FF$1,0)-1))*IF(G248="Ottone",1,0)</f>
        <v>0</v>
      </c>
      <c r="T248" s="255">
        <f ca="1">IF(ISERROR(OFFSET(Rame!$F$1,MATCH(J248,Rame!$F:$F,0)-1,MATCH(K248,Rame!$F$1:$FF$1,0)-1)=TRUE),0,OFFSET(Rame!$F$1,MATCH(J248,Rame!$F:$F,0)-1,MATCH(K248,Rame!$F$1:$FF$1,0)-1))*IF(G248="Rame",1,0)</f>
        <v>0</v>
      </c>
      <c r="U248" s="255">
        <f ca="1">IF(ISERROR(OFFSET(Bronzo!$A$1,MATCH(J248,Bronzo!$A:$A,0)-1,MATCH(K248,Bronzo!$A$1:$AA$1,0)-1)=TRUE),0,OFFSET(Bronzo!$A$1,MATCH(J248,Bronzo!$A:$A,0)-1,MATCH(K248,Bronzo!$A$1:$AA$1,0)-1))</f>
        <v>0</v>
      </c>
      <c r="V248" s="255">
        <f t="shared" ca="1" si="114"/>
        <v>0</v>
      </c>
      <c r="W248" s="254"/>
      <c r="X248" s="255">
        <v>0</v>
      </c>
      <c r="Y248" s="256">
        <f t="shared" ca="1" si="115"/>
        <v>1.5</v>
      </c>
      <c r="Z248" s="269">
        <f t="shared" si="116"/>
        <v>20.860000000000003</v>
      </c>
      <c r="AA248" s="253">
        <v>4.0999999999999996</v>
      </c>
      <c r="AB248" s="253">
        <f t="shared" ca="1" si="117"/>
        <v>1.9999999999999574E-2</v>
      </c>
      <c r="AC248" s="258"/>
      <c r="AF248" s="223" t="s">
        <v>405</v>
      </c>
      <c r="AH248" s="232">
        <f t="shared" ca="1" si="107"/>
        <v>46120</v>
      </c>
      <c r="AI248" s="232" t="b">
        <f t="shared" si="108"/>
        <v>1</v>
      </c>
      <c r="AJ248" s="259" t="str">
        <f t="shared" si="118"/>
        <v/>
      </c>
      <c r="AM248" s="223">
        <f t="shared" si="109"/>
        <v>0</v>
      </c>
      <c r="AN248" s="223">
        <f t="shared" si="110"/>
        <v>1900</v>
      </c>
      <c r="AU248" s="223">
        <f t="shared" si="111"/>
        <v>0</v>
      </c>
      <c r="AV248" s="223">
        <f t="shared" si="112"/>
        <v>0</v>
      </c>
    </row>
    <row r="249" spans="4:48" ht="26.25" x14ac:dyDescent="0.4">
      <c r="D249" s="246" t="s">
        <v>620</v>
      </c>
      <c r="E249" s="262" t="s">
        <v>377</v>
      </c>
      <c r="F249" s="263">
        <v>397</v>
      </c>
      <c r="G249" s="249" t="s">
        <v>6</v>
      </c>
      <c r="H249" s="250">
        <v>10.62</v>
      </c>
      <c r="I249" s="251">
        <v>46071</v>
      </c>
      <c r="J249" s="252" t="s">
        <v>14</v>
      </c>
      <c r="K249" s="252"/>
      <c r="L249" s="253">
        <v>0.15</v>
      </c>
      <c r="M249" s="254">
        <f ca="1">IF(ISERROR(OFFSET(Tabella!$A$1,MATCH(J249,Tabella!$A:$A,0)-1,MATCH(L249,Tabella!$A$1:$AC$1,0)-1)=TRUE),0,+OFFSET(Tabella!$A$1,MATCH(J249,Tabella!$A:$A,0)-1,MATCH(L249,Tabella!$A$1:$AC$1,0)-1))</f>
        <v>0</v>
      </c>
      <c r="N249" s="255">
        <f ca="1">IF(ISERROR(OFFSET(Ottone!$A$1,MATCH(J249,Ottone!$A:$A,0)-1,MATCH(L249,Ottone!$A$1:$Z$1,0)-1)=TRUE),0,OFFSET(Ottone!$A$1,MATCH(J249,Ottone!$A:$A,0)-1,MATCH(L249,Ottone!$A$1:$Z$1,0)-1))*IF(G249="Ottone",1,0)</f>
        <v>0</v>
      </c>
      <c r="O249" s="255">
        <f ca="1">IF(ISERROR(OFFSET(Rame!$A$1,MATCH(J249,Rame!$A:$A,0)-1,MATCH(L249,Rame!$A$1:$AA$1,0)-1)=TRUE),0,OFFSET(Rame!$A$1,MATCH(J249,Rame!$A:$A,0)-1,MATCH(L249,Rame!$A$1:$AA$1,0)-1))*IF(G249="Rame",1,0)</f>
        <v>1</v>
      </c>
      <c r="P249" s="255">
        <v>0</v>
      </c>
      <c r="Q249" s="255">
        <f t="shared" ca="1" si="113"/>
        <v>1</v>
      </c>
      <c r="R249" s="255">
        <f ca="1">+IF(ISERROR(OFFSET(Tabella!$G$1,MATCH(J249,Tabella!$G:$G,0)-1,MATCH(K249,Tabella!$G$1:$FG$1,0)-1)=TRUE),0,OFFSET(Tabella!$G$1,MATCH(J249,Tabella!$G:$G,0)-1,MATCH(K249,Tabella!$G$1:$AB$1,0)-1))</f>
        <v>0</v>
      </c>
      <c r="S249" s="255">
        <f ca="1">IF(ISERROR(OFFSET(Ottone!$F$1,MATCH(J249,Ottone!$A:$A,0)-1,MATCH(K249,Ottone!$F$1:$FF$1,0)-1)=TRUE),0,OFFSET(Ottone!$F$1,MATCH(J249,Ottone!$A:$A,0)-1,MATCH(K249,Ottone!$F$1:$FF$1,0)-1))*IF(G249="Ottone",1,0)</f>
        <v>0</v>
      </c>
      <c r="T249" s="255">
        <f ca="1">IF(ISERROR(OFFSET(Rame!$F$1,MATCH(J249,Rame!$F:$F,0)-1,MATCH(K249,Rame!$F$1:$FF$1,0)-1)=TRUE),0,OFFSET(Rame!$F$1,MATCH(J249,Rame!$F:$F,0)-1,MATCH(K249,Rame!$F$1:$FF$1,0)-1))*IF(G249="Rame",1,0)</f>
        <v>0</v>
      </c>
      <c r="U249" s="255">
        <f ca="1">IF(ISERROR(OFFSET(Bronzo!$A$1,MATCH(J249,Bronzo!$A:$A,0)-1,MATCH(K249,Bronzo!$A$1:$AA$1,0)-1)=TRUE),0,OFFSET(Bronzo!$A$1,MATCH(J249,Bronzo!$A:$A,0)-1,MATCH(K249,Bronzo!$A$1:$AA$1,0)-1))</f>
        <v>0</v>
      </c>
      <c r="V249" s="255">
        <f t="shared" ca="1" si="114"/>
        <v>0</v>
      </c>
      <c r="W249" s="254"/>
      <c r="X249" s="255">
        <v>0</v>
      </c>
      <c r="Y249" s="256">
        <f t="shared" ca="1" si="115"/>
        <v>1</v>
      </c>
      <c r="Z249" s="269">
        <f t="shared" si="116"/>
        <v>59.55</v>
      </c>
      <c r="AA249" s="253">
        <v>14.3</v>
      </c>
      <c r="AB249" s="253">
        <f t="shared" ca="1" si="117"/>
        <v>2.6800000000000015</v>
      </c>
      <c r="AC249" s="258"/>
      <c r="AF249" s="223" t="s">
        <v>405</v>
      </c>
      <c r="AH249" s="232">
        <f t="shared" ca="1" si="107"/>
        <v>46120</v>
      </c>
      <c r="AI249" s="232" t="b">
        <f t="shared" si="108"/>
        <v>1</v>
      </c>
      <c r="AJ249" s="259" t="str">
        <f t="shared" si="118"/>
        <v/>
      </c>
      <c r="AM249" s="223">
        <f t="shared" si="109"/>
        <v>0</v>
      </c>
      <c r="AN249" s="223">
        <f t="shared" si="110"/>
        <v>1900</v>
      </c>
      <c r="AU249" s="223">
        <f t="shared" si="111"/>
        <v>0</v>
      </c>
      <c r="AV249" s="223">
        <f t="shared" si="112"/>
        <v>0</v>
      </c>
    </row>
    <row r="250" spans="4:48" ht="26.25" x14ac:dyDescent="0.4">
      <c r="D250" s="246" t="s">
        <v>620</v>
      </c>
      <c r="E250" s="262" t="s">
        <v>377</v>
      </c>
      <c r="F250" s="263">
        <v>338</v>
      </c>
      <c r="G250" s="249" t="s">
        <v>6</v>
      </c>
      <c r="H250" s="250">
        <v>10.62</v>
      </c>
      <c r="I250" s="251">
        <v>46071</v>
      </c>
      <c r="J250" s="252" t="s">
        <v>16</v>
      </c>
      <c r="K250" s="252"/>
      <c r="L250" s="253">
        <v>0.15</v>
      </c>
      <c r="M250" s="254">
        <f ca="1">IF(ISERROR(OFFSET(Tabella!$A$1,MATCH(J250,Tabella!$A:$A,0)-1,MATCH(L250,Tabella!$A$1:$AC$1,0)-1)=TRUE),0,+OFFSET(Tabella!$A$1,MATCH(J250,Tabella!$A:$A,0)-1,MATCH(L250,Tabella!$A$1:$AC$1,0)-1))</f>
        <v>0</v>
      </c>
      <c r="N250" s="255">
        <f ca="1">IF(ISERROR(OFFSET(Ottone!$A$1,MATCH(J250,Ottone!$A:$A,0)-1,MATCH(L250,Ottone!$A$1:$Z$1,0)-1)=TRUE),0,OFFSET(Ottone!$A$1,MATCH(J250,Ottone!$A:$A,0)-1,MATCH(L250,Ottone!$A$1:$Z$1,0)-1))*IF(G250="Ottone",1,0)</f>
        <v>0</v>
      </c>
      <c r="O250" s="255">
        <f ca="1">IF(ISERROR(OFFSET(Rame!$A$1,MATCH(J250,Rame!$A:$A,0)-1,MATCH(L250,Rame!$A$1:$AA$1,0)-1)=TRUE),0,OFFSET(Rame!$A$1,MATCH(J250,Rame!$A:$A,0)-1,MATCH(L250,Rame!$A$1:$AA$1,0)-1))*IF(G250="Rame",1,0)</f>
        <v>0.85</v>
      </c>
      <c r="P250" s="255">
        <v>0</v>
      </c>
      <c r="Q250" s="255">
        <f t="shared" ca="1" si="113"/>
        <v>0.85</v>
      </c>
      <c r="R250" s="255">
        <f ca="1">+IF(ISERROR(OFFSET(Tabella!$G$1,MATCH(J250,Tabella!$G:$G,0)-1,MATCH(K250,Tabella!$G$1:$FG$1,0)-1)=TRUE),0,OFFSET(Tabella!$G$1,MATCH(J250,Tabella!$G:$G,0)-1,MATCH(K250,Tabella!$G$1:$AB$1,0)-1))</f>
        <v>0</v>
      </c>
      <c r="S250" s="255">
        <f ca="1">IF(ISERROR(OFFSET(Ottone!$F$1,MATCH(J250,Ottone!$A:$A,0)-1,MATCH(K250,Ottone!$F$1:$FF$1,0)-1)=TRUE),0,OFFSET(Ottone!$F$1,MATCH(J250,Ottone!$A:$A,0)-1,MATCH(K250,Ottone!$F$1:$FF$1,0)-1))*IF(G250="Ottone",1,0)</f>
        <v>0</v>
      </c>
      <c r="T250" s="255">
        <f ca="1">IF(ISERROR(OFFSET(Rame!$F$1,MATCH(J250,Rame!$F:$F,0)-1,MATCH(K250,Rame!$F$1:$FF$1,0)-1)=TRUE),0,OFFSET(Rame!$F$1,MATCH(J250,Rame!$F:$F,0)-1,MATCH(K250,Rame!$F$1:$FF$1,0)-1))*IF(G250="Rame",1,0)</f>
        <v>0</v>
      </c>
      <c r="U250" s="255">
        <f ca="1">IF(ISERROR(OFFSET(Bronzo!$A$1,MATCH(J250,Bronzo!$A:$A,0)-1,MATCH(K250,Bronzo!$A$1:$AA$1,0)-1)=TRUE),0,OFFSET(Bronzo!$A$1,MATCH(J250,Bronzo!$A:$A,0)-1,MATCH(K250,Bronzo!$A$1:$AA$1,0)-1))</f>
        <v>0</v>
      </c>
      <c r="V250" s="255">
        <f t="shared" ca="1" si="114"/>
        <v>0</v>
      </c>
      <c r="W250" s="254"/>
      <c r="X250" s="255">
        <v>0</v>
      </c>
      <c r="Y250" s="256">
        <f t="shared" ca="1" si="115"/>
        <v>0.85</v>
      </c>
      <c r="Z250" s="269">
        <f t="shared" si="116"/>
        <v>50.699999999999996</v>
      </c>
      <c r="AA250" s="253">
        <v>14.2</v>
      </c>
      <c r="AB250" s="253">
        <f t="shared" ca="1" si="117"/>
        <v>2.7300000000000004</v>
      </c>
      <c r="AC250" s="258"/>
      <c r="AF250" s="223" t="s">
        <v>405</v>
      </c>
      <c r="AH250" s="232">
        <f t="shared" ca="1" si="107"/>
        <v>46120</v>
      </c>
      <c r="AI250" s="232" t="b">
        <f t="shared" si="108"/>
        <v>1</v>
      </c>
      <c r="AJ250" s="259" t="str">
        <f t="shared" si="118"/>
        <v/>
      </c>
      <c r="AM250" s="223">
        <f t="shared" si="109"/>
        <v>0</v>
      </c>
      <c r="AN250" s="223">
        <f t="shared" si="110"/>
        <v>1900</v>
      </c>
      <c r="AU250" s="223">
        <f t="shared" si="111"/>
        <v>0</v>
      </c>
      <c r="AV250" s="223">
        <f t="shared" si="112"/>
        <v>0</v>
      </c>
    </row>
    <row r="251" spans="4:48" ht="26.25" x14ac:dyDescent="0.4">
      <c r="D251" s="246" t="s">
        <v>573</v>
      </c>
      <c r="E251" s="262" t="s">
        <v>92</v>
      </c>
      <c r="F251" s="263">
        <v>1348</v>
      </c>
      <c r="G251" s="249" t="s">
        <v>4</v>
      </c>
      <c r="H251" s="250">
        <v>2.58</v>
      </c>
      <c r="I251" s="251">
        <v>46071</v>
      </c>
      <c r="J251" s="252" t="s">
        <v>28</v>
      </c>
      <c r="K251" s="252"/>
      <c r="L251" s="253">
        <v>7.0000000000000007E-2</v>
      </c>
      <c r="M251" s="254">
        <f ca="1">IF(ISERROR(OFFSET(Tabella!$A$1,MATCH(J251,Tabella!$A:$A,0)-1,MATCH(L251,Tabella!$A$1:$AC$1,0)-1)=TRUE),0,+OFFSET(Tabella!$A$1,MATCH(J251,Tabella!$A:$A,0)-1,MATCH(L251,Tabella!$A$1:$AC$1,0)-1))</f>
        <v>1.25</v>
      </c>
      <c r="N251" s="255">
        <f ca="1">IF(ISERROR(OFFSET(Ottone!$A$1,MATCH(J251,Ottone!$A:$A,0)-1,MATCH(L251,Ottone!$A$1:$Z$1,0)-1)=TRUE),0,OFFSET(Ottone!$A$1,MATCH(J251,Ottone!$A:$A,0)-1,MATCH(L251,Ottone!$A$1:$Z$1,0)-1))*IF(G251="Ottone",1,0)</f>
        <v>0</v>
      </c>
      <c r="O251" s="255">
        <f ca="1">IF(ISERROR(OFFSET(Rame!$A$1,MATCH(J251,Rame!$A:$A,0)-1,MATCH(L251,Rame!$A$1:$AA$1,0)-1)=TRUE),0,OFFSET(Rame!$A$1,MATCH(J251,Rame!$A:$A,0)-1,MATCH(L251,Rame!$A$1:$AA$1,0)-1))*IF(G251="Rame",1,0)</f>
        <v>0</v>
      </c>
      <c r="P251" s="255">
        <v>0</v>
      </c>
      <c r="Q251" s="255">
        <f t="shared" ca="1" si="113"/>
        <v>1.25</v>
      </c>
      <c r="R251" s="255">
        <f ca="1">+IF(ISERROR(OFFSET(Tabella!$G$1,MATCH(J251,Tabella!$G:$G,0)-1,MATCH(K251,Tabella!$G$1:$FG$1,0)-1)=TRUE),0,OFFSET(Tabella!$G$1,MATCH(J251,Tabella!$G:$G,0)-1,MATCH(K251,Tabella!$G$1:$AB$1,0)-1))</f>
        <v>0</v>
      </c>
      <c r="S251" s="255">
        <f ca="1">IF(ISERROR(OFFSET(Ottone!$F$1,MATCH(J251,Ottone!$A:$A,0)-1,MATCH(K251,Ottone!$F$1:$FF$1,0)-1)=TRUE),0,OFFSET(Ottone!$F$1,MATCH(J251,Ottone!$A:$A,0)-1,MATCH(K251,Ottone!$F$1:$FF$1,0)-1))*IF(G251="Ottone",1,0)</f>
        <v>0</v>
      </c>
      <c r="T251" s="255">
        <f ca="1">IF(ISERROR(OFFSET(Rame!$F$1,MATCH(J251,Rame!$F:$F,0)-1,MATCH(K251,Rame!$F$1:$FF$1,0)-1)=TRUE),0,OFFSET(Rame!$F$1,MATCH(J251,Rame!$F:$F,0)-1,MATCH(K251,Rame!$F$1:$FF$1,0)-1))*IF(G251="Rame",1,0)</f>
        <v>0</v>
      </c>
      <c r="U251" s="255">
        <f ca="1">IF(ISERROR(OFFSET(Bronzo!$A$1,MATCH(J251,Bronzo!$A:$A,0)-1,MATCH(K251,Bronzo!$A$1:$AA$1,0)-1)=TRUE),0,OFFSET(Bronzo!$A$1,MATCH(J251,Bronzo!$A:$A,0)-1,MATCH(K251,Bronzo!$A$1:$AA$1,0)-1))</f>
        <v>0</v>
      </c>
      <c r="V251" s="255">
        <f t="shared" ca="1" si="114"/>
        <v>0</v>
      </c>
      <c r="W251" s="254"/>
      <c r="X251" s="255">
        <v>0</v>
      </c>
      <c r="Y251" s="256">
        <f t="shared" ca="1" si="115"/>
        <v>1.25</v>
      </c>
      <c r="Z251" s="269">
        <f t="shared" si="116"/>
        <v>94.360000000000014</v>
      </c>
      <c r="AA251" s="253">
        <v>4.08</v>
      </c>
      <c r="AB251" s="253">
        <f t="shared" ca="1" si="117"/>
        <v>0.25</v>
      </c>
      <c r="AC251" s="258"/>
      <c r="AF251" s="223" t="s">
        <v>405</v>
      </c>
      <c r="AH251" s="232">
        <f t="shared" ca="1" si="107"/>
        <v>46120</v>
      </c>
      <c r="AI251" s="232" t="b">
        <f t="shared" si="108"/>
        <v>1</v>
      </c>
      <c r="AJ251" s="259" t="str">
        <f t="shared" si="118"/>
        <v/>
      </c>
      <c r="AM251" s="223">
        <f t="shared" si="109"/>
        <v>0</v>
      </c>
      <c r="AN251" s="223">
        <f t="shared" si="110"/>
        <v>1900</v>
      </c>
      <c r="AU251" s="223">
        <f t="shared" si="111"/>
        <v>0</v>
      </c>
      <c r="AV251" s="223">
        <f t="shared" si="112"/>
        <v>0</v>
      </c>
    </row>
    <row r="252" spans="4:48" ht="26.25" x14ac:dyDescent="0.4">
      <c r="D252" s="246" t="s">
        <v>671</v>
      </c>
      <c r="E252" s="262" t="s">
        <v>207</v>
      </c>
      <c r="F252" s="263">
        <v>162</v>
      </c>
      <c r="G252" s="249" t="s">
        <v>6</v>
      </c>
      <c r="H252" s="250">
        <v>10.62</v>
      </c>
      <c r="I252" s="251">
        <v>46071</v>
      </c>
      <c r="J252" s="252" t="s">
        <v>12</v>
      </c>
      <c r="K252" s="252"/>
      <c r="L252" s="253">
        <v>0.15</v>
      </c>
      <c r="M252" s="254">
        <f ca="1">IF(ISERROR(OFFSET(Tabella!$A$1,MATCH(J252,Tabella!$A:$A,0)-1,MATCH(L252,Tabella!$A$1:$AC$1,0)-1)=TRUE),0,+OFFSET(Tabella!$A$1,MATCH(J252,Tabella!$A:$A,0)-1,MATCH(L252,Tabella!$A$1:$AC$1,0)-1))</f>
        <v>0</v>
      </c>
      <c r="N252" s="255">
        <f ca="1">IF(ISERROR(OFFSET(Ottone!$A$1,MATCH(J252,Ottone!$A:$A,0)-1,MATCH(L252,Ottone!$A$1:$Z$1,0)-1)=TRUE),0,OFFSET(Ottone!$A$1,MATCH(J252,Ottone!$A:$A,0)-1,MATCH(L252,Ottone!$A$1:$Z$1,0)-1))*IF(G252="Ottone",1,0)</f>
        <v>0</v>
      </c>
      <c r="O252" s="255">
        <f ca="1">IF(ISERROR(OFFSET(Rame!$A$1,MATCH(J252,Rame!$A:$A,0)-1,MATCH(L252,Rame!$A$1:$AA$1,0)-1)=TRUE),0,OFFSET(Rame!$A$1,MATCH(J252,Rame!$A:$A,0)-1,MATCH(L252,Rame!$A$1:$AA$1,0)-1))*IF(G252="Rame",1,0)</f>
        <v>1.25</v>
      </c>
      <c r="P252" s="255">
        <v>0</v>
      </c>
      <c r="Q252" s="255">
        <f t="shared" ca="1" si="113"/>
        <v>1.25</v>
      </c>
      <c r="R252" s="255">
        <f ca="1">+IF(ISERROR(OFFSET(Tabella!$G$1,MATCH(J252,Tabella!$G:$G,0)-1,MATCH(K252,Tabella!$G$1:$FG$1,0)-1)=TRUE),0,OFFSET(Tabella!$G$1,MATCH(J252,Tabella!$G:$G,0)-1,MATCH(K252,Tabella!$G$1:$AB$1,0)-1))</f>
        <v>0</v>
      </c>
      <c r="S252" s="255">
        <f ca="1">IF(ISERROR(OFFSET(Ottone!$F$1,MATCH(J252,Ottone!$A:$A,0)-1,MATCH(K252,Ottone!$F$1:$FF$1,0)-1)=TRUE),0,OFFSET(Ottone!$F$1,MATCH(J252,Ottone!$A:$A,0)-1,MATCH(K252,Ottone!$F$1:$FF$1,0)-1))*IF(G252="Ottone",1,0)</f>
        <v>0</v>
      </c>
      <c r="T252" s="255">
        <f ca="1">IF(ISERROR(OFFSET(Rame!$F$1,MATCH(J252,Rame!$F:$F,0)-1,MATCH(K252,Rame!$F$1:$FF$1,0)-1)=TRUE),0,OFFSET(Rame!$F$1,MATCH(J252,Rame!$F:$F,0)-1,MATCH(K252,Rame!$F$1:$FF$1,0)-1))*IF(G252="Rame",1,0)</f>
        <v>0</v>
      </c>
      <c r="U252" s="255">
        <f ca="1">IF(ISERROR(OFFSET(Bronzo!$A$1,MATCH(J252,Bronzo!$A:$A,0)-1,MATCH(K252,Bronzo!$A$1:$AA$1,0)-1)=TRUE),0,OFFSET(Bronzo!$A$1,MATCH(J252,Bronzo!$A:$A,0)-1,MATCH(K252,Bronzo!$A$1:$AA$1,0)-1))</f>
        <v>0</v>
      </c>
      <c r="V252" s="255">
        <f t="shared" ca="1" si="114"/>
        <v>0</v>
      </c>
      <c r="W252" s="254"/>
      <c r="X252" s="255">
        <v>0</v>
      </c>
      <c r="Y252" s="256">
        <f t="shared" ca="1" si="115"/>
        <v>1.25</v>
      </c>
      <c r="Z252" s="269">
        <f t="shared" si="116"/>
        <v>24.3</v>
      </c>
      <c r="AA252" s="253">
        <v>14.7</v>
      </c>
      <c r="AB252" s="253">
        <f t="shared" ca="1" si="117"/>
        <v>2.83</v>
      </c>
      <c r="AC252" s="258"/>
      <c r="AF252" s="223" t="s">
        <v>405</v>
      </c>
      <c r="AH252" s="232">
        <f t="shared" ca="1" si="107"/>
        <v>46120</v>
      </c>
      <c r="AI252" s="232" t="b">
        <f t="shared" si="108"/>
        <v>1</v>
      </c>
      <c r="AJ252" s="259" t="str">
        <f t="shared" si="118"/>
        <v/>
      </c>
      <c r="AM252" s="223">
        <f t="shared" si="109"/>
        <v>0</v>
      </c>
      <c r="AN252" s="223">
        <f t="shared" si="110"/>
        <v>1900</v>
      </c>
      <c r="AU252" s="223">
        <f t="shared" si="111"/>
        <v>0</v>
      </c>
      <c r="AV252" s="223">
        <f t="shared" si="112"/>
        <v>0</v>
      </c>
    </row>
    <row r="253" spans="4:48" ht="26.25" x14ac:dyDescent="0.4">
      <c r="D253" s="246" t="s">
        <v>671</v>
      </c>
      <c r="E253" s="262" t="s">
        <v>207</v>
      </c>
      <c r="F253" s="263">
        <v>168</v>
      </c>
      <c r="G253" s="249" t="s">
        <v>6</v>
      </c>
      <c r="H253" s="250">
        <v>10.62</v>
      </c>
      <c r="I253" s="251">
        <v>46071</v>
      </c>
      <c r="J253" s="252" t="s">
        <v>14</v>
      </c>
      <c r="K253" s="252"/>
      <c r="L253" s="253">
        <v>0.15</v>
      </c>
      <c r="M253" s="254">
        <f ca="1">IF(ISERROR(OFFSET(Tabella!$A$1,MATCH(J253,Tabella!$A:$A,0)-1,MATCH(L253,Tabella!$A$1:$AC$1,0)-1)=TRUE),0,+OFFSET(Tabella!$A$1,MATCH(J253,Tabella!$A:$A,0)-1,MATCH(L253,Tabella!$A$1:$AC$1,0)-1))</f>
        <v>0</v>
      </c>
      <c r="N253" s="255">
        <f ca="1">IF(ISERROR(OFFSET(Ottone!$A$1,MATCH(J253,Ottone!$A:$A,0)-1,MATCH(L253,Ottone!$A$1:$Z$1,0)-1)=TRUE),0,OFFSET(Ottone!$A$1,MATCH(J253,Ottone!$A:$A,0)-1,MATCH(L253,Ottone!$A$1:$Z$1,0)-1))*IF(G253="Ottone",1,0)</f>
        <v>0</v>
      </c>
      <c r="O253" s="255">
        <f ca="1">IF(ISERROR(OFFSET(Rame!$A$1,MATCH(J253,Rame!$A:$A,0)-1,MATCH(L253,Rame!$A$1:$AA$1,0)-1)=TRUE),0,OFFSET(Rame!$A$1,MATCH(J253,Rame!$A:$A,0)-1,MATCH(L253,Rame!$A$1:$AA$1,0)-1))*IF(G253="Rame",1,0)</f>
        <v>1</v>
      </c>
      <c r="P253" s="255">
        <v>0</v>
      </c>
      <c r="Q253" s="255">
        <f t="shared" ca="1" si="113"/>
        <v>1</v>
      </c>
      <c r="R253" s="255">
        <f ca="1">+IF(ISERROR(OFFSET(Tabella!$G$1,MATCH(J253,Tabella!$G:$G,0)-1,MATCH(K253,Tabella!$G$1:$FG$1,0)-1)=TRUE),0,OFFSET(Tabella!$G$1,MATCH(J253,Tabella!$G:$G,0)-1,MATCH(K253,Tabella!$G$1:$AB$1,0)-1))</f>
        <v>0</v>
      </c>
      <c r="S253" s="255">
        <f ca="1">IF(ISERROR(OFFSET(Ottone!$F$1,MATCH(J253,Ottone!$A:$A,0)-1,MATCH(K253,Ottone!$F$1:$FF$1,0)-1)=TRUE),0,OFFSET(Ottone!$F$1,MATCH(J253,Ottone!$A:$A,0)-1,MATCH(K253,Ottone!$F$1:$FF$1,0)-1))*IF(G253="Ottone",1,0)</f>
        <v>0</v>
      </c>
      <c r="T253" s="255">
        <f ca="1">IF(ISERROR(OFFSET(Rame!$F$1,MATCH(J253,Rame!$F:$F,0)-1,MATCH(K253,Rame!$F$1:$FF$1,0)-1)=TRUE),0,OFFSET(Rame!$F$1,MATCH(J253,Rame!$F:$F,0)-1,MATCH(K253,Rame!$F$1:$FF$1,0)-1))*IF(G253="Rame",1,0)</f>
        <v>0</v>
      </c>
      <c r="U253" s="255">
        <f ca="1">IF(ISERROR(OFFSET(Bronzo!$A$1,MATCH(J253,Bronzo!$A:$A,0)-1,MATCH(K253,Bronzo!$A$1:$AA$1,0)-1)=TRUE),0,OFFSET(Bronzo!$A$1,MATCH(J253,Bronzo!$A:$A,0)-1,MATCH(K253,Bronzo!$A$1:$AA$1,0)-1))</f>
        <v>0</v>
      </c>
      <c r="V253" s="255">
        <f t="shared" ca="1" si="114"/>
        <v>0</v>
      </c>
      <c r="W253" s="254"/>
      <c r="X253" s="255">
        <v>0</v>
      </c>
      <c r="Y253" s="256">
        <f t="shared" ca="1" si="115"/>
        <v>1</v>
      </c>
      <c r="Z253" s="269">
        <f t="shared" si="116"/>
        <v>25.2</v>
      </c>
      <c r="AA253" s="253">
        <v>14.6</v>
      </c>
      <c r="AB253" s="253">
        <f t="shared" ca="1" si="117"/>
        <v>2.9800000000000004</v>
      </c>
      <c r="AC253" s="258"/>
      <c r="AF253" s="223" t="s">
        <v>405</v>
      </c>
      <c r="AH253" s="232">
        <f t="shared" ca="1" si="107"/>
        <v>46120</v>
      </c>
      <c r="AI253" s="232" t="b">
        <f t="shared" si="108"/>
        <v>1</v>
      </c>
      <c r="AJ253" s="259" t="str">
        <f t="shared" si="118"/>
        <v/>
      </c>
      <c r="AM253" s="223">
        <f t="shared" si="109"/>
        <v>0</v>
      </c>
      <c r="AN253" s="223">
        <f t="shared" si="110"/>
        <v>1900</v>
      </c>
      <c r="AU253" s="223">
        <f t="shared" si="111"/>
        <v>0</v>
      </c>
      <c r="AV253" s="223">
        <f t="shared" si="112"/>
        <v>0</v>
      </c>
    </row>
    <row r="254" spans="4:48" ht="26.25" x14ac:dyDescent="0.4">
      <c r="D254" s="246" t="s">
        <v>735</v>
      </c>
      <c r="E254" s="262" t="s">
        <v>269</v>
      </c>
      <c r="F254" s="263">
        <v>996</v>
      </c>
      <c r="G254" s="249" t="s">
        <v>4</v>
      </c>
      <c r="H254" s="250">
        <v>2.58</v>
      </c>
      <c r="I254" s="251">
        <v>46071</v>
      </c>
      <c r="J254" s="252" t="s">
        <v>26</v>
      </c>
      <c r="K254" s="252"/>
      <c r="L254" s="253">
        <v>0.13</v>
      </c>
      <c r="M254" s="254">
        <f ca="1">IF(ISERROR(OFFSET(Tabella!$A$1,MATCH(J254,Tabella!$A:$A,0)-1,MATCH(L254,Tabella!$A$1:$AC$1,0)-1)=TRUE),0,+OFFSET(Tabella!$A$1,MATCH(J254,Tabella!$A:$A,0)-1,MATCH(L254,Tabella!$A$1:$AC$1,0)-1))</f>
        <v>0</v>
      </c>
      <c r="N254" s="255">
        <f ca="1">IF(ISERROR(OFFSET(Ottone!$A$1,MATCH(J254,Ottone!$A:$A,0)-1,MATCH(L254,Ottone!$A$1:$Z$1,0)-1)=TRUE),0,OFFSET(Ottone!$A$1,MATCH(J254,Ottone!$A:$A,0)-1,MATCH(L254,Ottone!$A$1:$Z$1,0)-1))*IF(G254="Ottone",1,0)</f>
        <v>0</v>
      </c>
      <c r="O254" s="255">
        <f ca="1">IF(ISERROR(OFFSET(Rame!$A$1,MATCH(J254,Rame!$A:$A,0)-1,MATCH(L254,Rame!$A$1:$AA$1,0)-1)=TRUE),0,OFFSET(Rame!$A$1,MATCH(J254,Rame!$A:$A,0)-1,MATCH(L254,Rame!$A$1:$AA$1,0)-1))*IF(G254="Rame",1,0)</f>
        <v>0</v>
      </c>
      <c r="P254" s="255">
        <v>0</v>
      </c>
      <c r="Q254" s="255">
        <v>1.79</v>
      </c>
      <c r="R254" s="255">
        <f ca="1">+IF(ISERROR(OFFSET(Tabella!$G$1,MATCH(J254,Tabella!$G:$G,0)-1,MATCH(K254,Tabella!$G$1:$FG$1,0)-1)=TRUE),0,OFFSET(Tabella!$G$1,MATCH(J254,Tabella!$G:$G,0)-1,MATCH(K254,Tabella!$G$1:$AB$1,0)-1))</f>
        <v>0</v>
      </c>
      <c r="S254" s="255">
        <f ca="1">IF(ISERROR(OFFSET(Ottone!$F$1,MATCH(J254,Ottone!$A:$A,0)-1,MATCH(K254,Ottone!$F$1:$FF$1,0)-1)=TRUE),0,OFFSET(Ottone!$F$1,MATCH(J254,Ottone!$A:$A,0)-1,MATCH(K254,Ottone!$F$1:$FF$1,0)-1))*IF(G254="Ottone",1,0)</f>
        <v>0</v>
      </c>
      <c r="T254" s="255">
        <f ca="1">IF(ISERROR(OFFSET(Rame!$F$1,MATCH(J254,Rame!$F:$F,0)-1,MATCH(K254,Rame!$F$1:$FF$1,0)-1)=TRUE),0,OFFSET(Rame!$F$1,MATCH(J254,Rame!$F:$F,0)-1,MATCH(K254,Rame!$F$1:$FF$1,0)-1))*IF(G254="Rame",1,0)</f>
        <v>0</v>
      </c>
      <c r="U254" s="255">
        <f ca="1">IF(ISERROR(OFFSET(Bronzo!$A$1,MATCH(J254,Bronzo!$A:$A,0)-1,MATCH(K254,Bronzo!$A$1:$AA$1,0)-1)=TRUE),0,OFFSET(Bronzo!$A$1,MATCH(J254,Bronzo!$A:$A,0)-1,MATCH(K254,Bronzo!$A$1:$AA$1,0)-1))</f>
        <v>0</v>
      </c>
      <c r="V254" s="255">
        <f t="shared" ca="1" si="114"/>
        <v>0</v>
      </c>
      <c r="W254" s="254"/>
      <c r="X254" s="255">
        <v>0</v>
      </c>
      <c r="Y254" s="256">
        <f t="shared" ca="1" si="115"/>
        <v>1.79</v>
      </c>
      <c r="Z254" s="269">
        <f t="shared" si="116"/>
        <v>129.48000000000002</v>
      </c>
      <c r="AA254" s="253">
        <v>4.3</v>
      </c>
      <c r="AB254" s="253">
        <f t="shared" ca="1" si="117"/>
        <v>-7.0000000000000284E-2</v>
      </c>
      <c r="AC254" s="258"/>
      <c r="AF254" s="223" t="s">
        <v>405</v>
      </c>
      <c r="AH254" s="232">
        <f t="shared" ca="1" si="107"/>
        <v>46120</v>
      </c>
      <c r="AI254" s="232" t="b">
        <f t="shared" si="108"/>
        <v>1</v>
      </c>
      <c r="AJ254" s="259" t="str">
        <f t="shared" si="118"/>
        <v/>
      </c>
      <c r="AM254" s="223">
        <f t="shared" si="109"/>
        <v>0</v>
      </c>
      <c r="AN254" s="223">
        <f t="shared" si="110"/>
        <v>1900</v>
      </c>
      <c r="AU254" s="223">
        <f t="shared" si="111"/>
        <v>0</v>
      </c>
      <c r="AV254" s="223">
        <f t="shared" si="112"/>
        <v>0</v>
      </c>
    </row>
    <row r="255" spans="4:48" ht="26.25" x14ac:dyDescent="0.4">
      <c r="D255" s="246" t="s">
        <v>509</v>
      </c>
      <c r="E255" s="252" t="s">
        <v>269</v>
      </c>
      <c r="F255" s="276">
        <v>1000</v>
      </c>
      <c r="G255" s="249" t="s">
        <v>4</v>
      </c>
      <c r="H255" s="250">
        <v>2.58</v>
      </c>
      <c r="I255" s="251">
        <v>46071</v>
      </c>
      <c r="J255" s="252" t="s">
        <v>26</v>
      </c>
      <c r="K255" s="252"/>
      <c r="L255" s="253">
        <v>0.13</v>
      </c>
      <c r="M255" s="254">
        <f ca="1">IF(ISERROR(OFFSET(Tabella!$A$1,MATCH(J255,Tabella!$A:$A,0)-1,MATCH(L255,Tabella!$A$1:$AC$1,0)-1)=TRUE),0,+OFFSET(Tabella!$A$1,MATCH(J255,Tabella!$A:$A,0)-1,MATCH(L255,Tabella!$A$1:$AC$1,0)-1))</f>
        <v>0</v>
      </c>
      <c r="N255" s="255">
        <f ca="1">IF(ISERROR(OFFSET(Ottone!$A$1,MATCH(J255,Ottone!$A:$A,0)-1,MATCH(L255,Ottone!$A$1:$Z$1,0)-1)=TRUE),0,OFFSET(Ottone!$A$1,MATCH(J255,Ottone!$A:$A,0)-1,MATCH(L255,Ottone!$A$1:$Z$1,0)-1))*IF(G255="Ottone",1,0)</f>
        <v>0</v>
      </c>
      <c r="O255" s="255">
        <f ca="1">IF(ISERROR(OFFSET(Rame!$A$1,MATCH(J255,Rame!$A:$A,0)-1,MATCH(L255,Rame!$A$1:$AA$1,0)-1)=TRUE),0,OFFSET(Rame!$A$1,MATCH(J255,Rame!$A:$A,0)-1,MATCH(L255,Rame!$A$1:$AA$1,0)-1))*IF(G255="Rame",1,0)</f>
        <v>0</v>
      </c>
      <c r="P255" s="255">
        <v>0</v>
      </c>
      <c r="Q255" s="255">
        <v>1.79</v>
      </c>
      <c r="R255" s="255">
        <f ca="1">+IF(ISERROR(OFFSET(Tabella!$G$1,MATCH(J255,Tabella!$G:$G,0)-1,MATCH(K255,Tabella!$G$1:$FG$1,0)-1)=TRUE),0,OFFSET(Tabella!$G$1,MATCH(J255,Tabella!$G:$G,0)-1,MATCH(K255,Tabella!$G$1:$AB$1,0)-1))</f>
        <v>0</v>
      </c>
      <c r="S255" s="255">
        <f ca="1">IF(ISERROR(OFFSET(Ottone!$F$1,MATCH(J255,Ottone!$A:$A,0)-1,MATCH(K255,Ottone!$F$1:$FF$1,0)-1)=TRUE),0,OFFSET(Ottone!$F$1,MATCH(J255,Ottone!$A:$A,0)-1,MATCH(K255,Ottone!$F$1:$FF$1,0)-1))*IF(G255="Ottone",1,0)</f>
        <v>0</v>
      </c>
      <c r="T255" s="255">
        <f ca="1">IF(ISERROR(OFFSET(Rame!$F$1,MATCH(J255,Rame!$F:$F,0)-1,MATCH(K255,Rame!$F$1:$FF$1,0)-1)=TRUE),0,OFFSET(Rame!$F$1,MATCH(J255,Rame!$F:$F,0)-1,MATCH(K255,Rame!$F$1:$FF$1,0)-1))*IF(G255="Rame",1,0)</f>
        <v>0</v>
      </c>
      <c r="U255" s="255">
        <f ca="1">IF(ISERROR(OFFSET(Bronzo!$A$1,MATCH(J255,Bronzo!$A:$A,0)-1,MATCH(K255,Bronzo!$A$1:$AA$1,0)-1)=TRUE),0,OFFSET(Bronzo!$A$1,MATCH(J255,Bronzo!$A:$A,0)-1,MATCH(K255,Bronzo!$A$1:$AA$1,0)-1))</f>
        <v>0</v>
      </c>
      <c r="V255" s="255">
        <f t="shared" ca="1" si="114"/>
        <v>0</v>
      </c>
      <c r="W255" s="254"/>
      <c r="X255" s="255">
        <v>0</v>
      </c>
      <c r="Y255" s="256">
        <f t="shared" ca="1" si="115"/>
        <v>1.79</v>
      </c>
      <c r="Z255" s="257">
        <f t="shared" si="116"/>
        <v>130</v>
      </c>
      <c r="AA255" s="253">
        <v>4.3</v>
      </c>
      <c r="AB255" s="253">
        <f t="shared" ca="1" si="117"/>
        <v>-7.0000000000000284E-2</v>
      </c>
      <c r="AC255" s="258">
        <v>46122</v>
      </c>
      <c r="AH255" s="232">
        <f t="shared" ca="1" si="107"/>
        <v>46120</v>
      </c>
      <c r="AI255" s="232" t="b">
        <f t="shared" si="108"/>
        <v>0</v>
      </c>
      <c r="AJ255" s="259">
        <f t="shared" ca="1" si="118"/>
        <v>2</v>
      </c>
      <c r="AM255" s="223">
        <f t="shared" si="109"/>
        <v>15</v>
      </c>
      <c r="AN255" s="223">
        <f t="shared" si="110"/>
        <v>2026</v>
      </c>
      <c r="AU255" s="223">
        <f t="shared" si="111"/>
        <v>4</v>
      </c>
      <c r="AV255" s="223">
        <f t="shared" si="112"/>
        <v>2026</v>
      </c>
    </row>
    <row r="256" spans="4:48" ht="26.25" x14ac:dyDescent="0.4">
      <c r="D256" s="246" t="s">
        <v>504</v>
      </c>
      <c r="E256" s="252" t="s">
        <v>260</v>
      </c>
      <c r="F256" s="276">
        <v>800</v>
      </c>
      <c r="G256" s="249" t="s">
        <v>4</v>
      </c>
      <c r="H256" s="250">
        <v>2.58</v>
      </c>
      <c r="I256" s="251">
        <v>46071</v>
      </c>
      <c r="J256" s="252" t="s">
        <v>24</v>
      </c>
      <c r="K256" s="252"/>
      <c r="L256" s="253">
        <v>7.0000000000000007E-2</v>
      </c>
      <c r="M256" s="254">
        <f ca="1">IF(ISERROR(OFFSET(Tabella!$A$1,MATCH(J256,Tabella!$A:$A,0)-1,MATCH(L256,Tabella!$A$1:$AC$1,0)-1)=TRUE),0,+OFFSET(Tabella!$A$1,MATCH(J256,Tabella!$A:$A,0)-1,MATCH(L256,Tabella!$A$1:$AC$1,0)-1))</f>
        <v>1.25</v>
      </c>
      <c r="N256" s="255">
        <f ca="1">IF(ISERROR(OFFSET(Ottone!$A$1,MATCH(J256,Ottone!$A:$A,0)-1,MATCH(L256,Ottone!$A$1:$Z$1,0)-1)=TRUE),0,OFFSET(Ottone!$A$1,MATCH(J256,Ottone!$A:$A,0)-1,MATCH(L256,Ottone!$A$1:$Z$1,0)-1))*IF(G256="Ottone",1,0)</f>
        <v>0</v>
      </c>
      <c r="O256" s="255">
        <f ca="1">IF(ISERROR(OFFSET(Rame!$A$1,MATCH(J256,Rame!$A:$A,0)-1,MATCH(L256,Rame!$A$1:$AA$1,0)-1)=TRUE),0,OFFSET(Rame!$A$1,MATCH(J256,Rame!$A:$A,0)-1,MATCH(L256,Rame!$A$1:$AA$1,0)-1))*IF(G256="Rame",1,0)</f>
        <v>0</v>
      </c>
      <c r="P256" s="255">
        <v>0</v>
      </c>
      <c r="Q256" s="255">
        <f t="shared" ca="1" si="113"/>
        <v>1.25</v>
      </c>
      <c r="R256" s="255">
        <f ca="1">+IF(ISERROR(OFFSET(Tabella!$G$1,MATCH(J256,Tabella!$G:$G,0)-1,MATCH(K256,Tabella!$G$1:$FG$1,0)-1)=TRUE),0,OFFSET(Tabella!$G$1,MATCH(J256,Tabella!$G:$G,0)-1,MATCH(K256,Tabella!$G$1:$AB$1,0)-1))</f>
        <v>0</v>
      </c>
      <c r="S256" s="255">
        <f ca="1">IF(ISERROR(OFFSET(Ottone!$F$1,MATCH(J256,Ottone!$A:$A,0)-1,MATCH(K256,Ottone!$F$1:$FF$1,0)-1)=TRUE),0,OFFSET(Ottone!$F$1,MATCH(J256,Ottone!$A:$A,0)-1,MATCH(K256,Ottone!$F$1:$FF$1,0)-1))*IF(G256="Ottone",1,0)</f>
        <v>0</v>
      </c>
      <c r="T256" s="255">
        <f ca="1">IF(ISERROR(OFFSET(Rame!$F$1,MATCH(J256,Rame!$F:$F,0)-1,MATCH(K256,Rame!$F$1:$FF$1,0)-1)=TRUE),0,OFFSET(Rame!$F$1,MATCH(J256,Rame!$F:$F,0)-1,MATCH(K256,Rame!$F$1:$FF$1,0)-1))*IF(G256="Rame",1,0)</f>
        <v>0</v>
      </c>
      <c r="U256" s="255">
        <f ca="1">IF(ISERROR(OFFSET(Bronzo!$A$1,MATCH(J256,Bronzo!$A:$A,0)-1,MATCH(K256,Bronzo!$A$1:$AA$1,0)-1)=TRUE),0,OFFSET(Bronzo!$A$1,MATCH(J256,Bronzo!$A:$A,0)-1,MATCH(K256,Bronzo!$A$1:$AA$1,0)-1))</f>
        <v>0</v>
      </c>
      <c r="V256" s="255">
        <f t="shared" ca="1" si="114"/>
        <v>0</v>
      </c>
      <c r="W256" s="254"/>
      <c r="X256" s="255">
        <v>0</v>
      </c>
      <c r="Y256" s="256">
        <f t="shared" ca="1" si="115"/>
        <v>1.25</v>
      </c>
      <c r="Z256" s="257">
        <f t="shared" si="116"/>
        <v>56.000000000000007</v>
      </c>
      <c r="AA256" s="253">
        <v>4.0999999999999996</v>
      </c>
      <c r="AB256" s="253">
        <f t="shared" ca="1" si="117"/>
        <v>0.26999999999999957</v>
      </c>
      <c r="AC256" s="258"/>
      <c r="AH256" s="232">
        <f t="shared" ca="1" si="107"/>
        <v>46120</v>
      </c>
      <c r="AI256" s="232" t="b">
        <f t="shared" si="108"/>
        <v>1</v>
      </c>
      <c r="AJ256" s="259" t="str">
        <f t="shared" si="118"/>
        <v/>
      </c>
      <c r="AM256" s="223">
        <f t="shared" si="109"/>
        <v>0</v>
      </c>
      <c r="AN256" s="223">
        <f t="shared" si="110"/>
        <v>1900</v>
      </c>
      <c r="AU256" s="223">
        <f t="shared" si="111"/>
        <v>0</v>
      </c>
      <c r="AV256" s="223">
        <f t="shared" si="112"/>
        <v>0</v>
      </c>
    </row>
    <row r="257" spans="4:48" ht="26.25" x14ac:dyDescent="0.4">
      <c r="D257" s="246" t="s">
        <v>694</v>
      </c>
      <c r="E257" s="262" t="s">
        <v>422</v>
      </c>
      <c r="F257" s="263">
        <v>1196</v>
      </c>
      <c r="G257" s="249" t="s">
        <v>4</v>
      </c>
      <c r="H257" s="250">
        <v>2.58</v>
      </c>
      <c r="I257" s="251">
        <v>46071</v>
      </c>
      <c r="J257" s="252" t="s">
        <v>25</v>
      </c>
      <c r="K257" s="252"/>
      <c r="L257" s="253">
        <v>7.0000000000000007E-2</v>
      </c>
      <c r="M257" s="254">
        <f ca="1">IF(ISERROR(OFFSET(Tabella!$A$1,MATCH(J257,Tabella!$A:$A,0)-1,MATCH(L257,Tabella!$A$1:$AC$1,0)-1)=TRUE),0,+OFFSET(Tabella!$A$1,MATCH(J257,Tabella!$A:$A,0)-1,MATCH(L257,Tabella!$A$1:$AC$1,0)-1))</f>
        <v>1.25</v>
      </c>
      <c r="N257" s="255">
        <f ca="1">IF(ISERROR(OFFSET(Ottone!$A$1,MATCH(J257,Ottone!$A:$A,0)-1,MATCH(L257,Ottone!$A$1:$Z$1,0)-1)=TRUE),0,OFFSET(Ottone!$A$1,MATCH(J257,Ottone!$A:$A,0)-1,MATCH(L257,Ottone!$A$1:$Z$1,0)-1))*IF(G257="Ottone",1,0)</f>
        <v>0</v>
      </c>
      <c r="O257" s="255">
        <f ca="1">IF(ISERROR(OFFSET(Rame!$A$1,MATCH(J257,Rame!$A:$A,0)-1,MATCH(L257,Rame!$A$1:$AA$1,0)-1)=TRUE),0,OFFSET(Rame!$A$1,MATCH(J257,Rame!$A:$A,0)-1,MATCH(L257,Rame!$A$1:$AA$1,0)-1))*IF(G257="Rame",1,0)</f>
        <v>0</v>
      </c>
      <c r="P257" s="255">
        <v>0</v>
      </c>
      <c r="Q257" s="255">
        <v>1.5</v>
      </c>
      <c r="R257" s="255">
        <f ca="1">+IF(ISERROR(OFFSET(Tabella!$G$1,MATCH(J257,Tabella!$G:$G,0)-1,MATCH(K257,Tabella!$G$1:$FG$1,0)-1)=TRUE),0,OFFSET(Tabella!$G$1,MATCH(J257,Tabella!$G:$G,0)-1,MATCH(K257,Tabella!$G$1:$AB$1,0)-1))</f>
        <v>0</v>
      </c>
      <c r="S257" s="255">
        <f ca="1">IF(ISERROR(OFFSET(Ottone!$F$1,MATCH(J257,Ottone!$A:$A,0)-1,MATCH(K257,Ottone!$F$1:$FF$1,0)-1)=TRUE),0,OFFSET(Ottone!$F$1,MATCH(J257,Ottone!$A:$A,0)-1,MATCH(K257,Ottone!$F$1:$FF$1,0)-1))*IF(G257="Ottone",1,0)</f>
        <v>0</v>
      </c>
      <c r="T257" s="255">
        <f ca="1">IF(ISERROR(OFFSET(Rame!$F$1,MATCH(J257,Rame!$F:$F,0)-1,MATCH(K257,Rame!$F$1:$FF$1,0)-1)=TRUE),0,OFFSET(Rame!$F$1,MATCH(J257,Rame!$F:$F,0)-1,MATCH(K257,Rame!$F$1:$FF$1,0)-1))*IF(G257="Rame",1,0)</f>
        <v>0</v>
      </c>
      <c r="U257" s="255">
        <f ca="1">IF(ISERROR(OFFSET(Bronzo!$A$1,MATCH(J257,Bronzo!$A:$A,0)-1,MATCH(K257,Bronzo!$A$1:$AA$1,0)-1)=TRUE),0,OFFSET(Bronzo!$A$1,MATCH(J257,Bronzo!$A:$A,0)-1,MATCH(K257,Bronzo!$A$1:$AA$1,0)-1))</f>
        <v>0</v>
      </c>
      <c r="V257" s="255">
        <f t="shared" ca="1" si="114"/>
        <v>0</v>
      </c>
      <c r="W257" s="254"/>
      <c r="X257" s="255">
        <v>0</v>
      </c>
      <c r="Y257" s="256">
        <f t="shared" ca="1" si="115"/>
        <v>1.5</v>
      </c>
      <c r="Z257" s="269">
        <f t="shared" si="116"/>
        <v>83.720000000000013</v>
      </c>
      <c r="AA257" s="253">
        <v>4.08</v>
      </c>
      <c r="AB257" s="253">
        <f t="shared" ca="1" si="117"/>
        <v>0</v>
      </c>
      <c r="AC257" s="258"/>
      <c r="AF257" s="223" t="s">
        <v>405</v>
      </c>
      <c r="AH257" s="232">
        <f t="shared" ca="1" si="107"/>
        <v>46120</v>
      </c>
      <c r="AI257" s="232" t="b">
        <f t="shared" si="108"/>
        <v>1</v>
      </c>
      <c r="AJ257" s="259" t="str">
        <f t="shared" si="118"/>
        <v/>
      </c>
      <c r="AM257" s="223">
        <f t="shared" si="109"/>
        <v>0</v>
      </c>
      <c r="AN257" s="223">
        <f t="shared" si="110"/>
        <v>1900</v>
      </c>
      <c r="AU257" s="223">
        <f t="shared" si="111"/>
        <v>0</v>
      </c>
      <c r="AV257" s="223">
        <f t="shared" si="112"/>
        <v>0</v>
      </c>
    </row>
    <row r="258" spans="4:48" ht="26.25" x14ac:dyDescent="0.4">
      <c r="D258" s="246" t="s">
        <v>694</v>
      </c>
      <c r="E258" s="262" t="s">
        <v>422</v>
      </c>
      <c r="F258" s="263">
        <v>1194</v>
      </c>
      <c r="G258" s="249" t="s">
        <v>4</v>
      </c>
      <c r="H258" s="250">
        <v>2.58</v>
      </c>
      <c r="I258" s="251">
        <v>46071</v>
      </c>
      <c r="J258" s="252" t="s">
        <v>307</v>
      </c>
      <c r="K258" s="252"/>
      <c r="L258" s="253">
        <v>7.0000000000000007E-2</v>
      </c>
      <c r="M258" s="254">
        <f ca="1">IF(ISERROR(OFFSET(Tabella!$A$1,MATCH(J258,Tabella!$A:$A,0)-1,MATCH(L258,Tabella!$A$1:$AC$1,0)-1)=TRUE),0,+OFFSET(Tabella!$A$1,MATCH(J258,Tabella!$A:$A,0)-1,MATCH(L258,Tabella!$A$1:$AC$1,0)-1))</f>
        <v>1.25</v>
      </c>
      <c r="N258" s="255">
        <f ca="1">IF(ISERROR(OFFSET(Ottone!$A$1,MATCH(J258,Ottone!$A:$A,0)-1,MATCH(L258,Ottone!$A$1:$Z$1,0)-1)=TRUE),0,OFFSET(Ottone!$A$1,MATCH(J258,Ottone!$A:$A,0)-1,MATCH(L258,Ottone!$A$1:$Z$1,0)-1))*IF(G258="Ottone",1,0)</f>
        <v>0</v>
      </c>
      <c r="O258" s="255">
        <f ca="1">IF(ISERROR(OFFSET(Rame!$A$1,MATCH(J258,Rame!$A:$A,0)-1,MATCH(L258,Rame!$A$1:$AA$1,0)-1)=TRUE),0,OFFSET(Rame!$A$1,MATCH(J258,Rame!$A:$A,0)-1,MATCH(L258,Rame!$A$1:$AA$1,0)-1))*IF(G258="Rame",1,0)</f>
        <v>0</v>
      </c>
      <c r="P258" s="255">
        <v>0</v>
      </c>
      <c r="Q258" s="255">
        <v>1.5</v>
      </c>
      <c r="R258" s="255">
        <f ca="1">+IF(ISERROR(OFFSET(Tabella!$G$1,MATCH(J258,Tabella!$G:$G,0)-1,MATCH(K258,Tabella!$G$1:$FG$1,0)-1)=TRUE),0,OFFSET(Tabella!$G$1,MATCH(J258,Tabella!$G:$G,0)-1,MATCH(K258,Tabella!$G$1:$AB$1,0)-1))</f>
        <v>0</v>
      </c>
      <c r="S258" s="255">
        <f ca="1">IF(ISERROR(OFFSET(Ottone!$F$1,MATCH(J258,Ottone!$A:$A,0)-1,MATCH(K258,Ottone!$F$1:$FF$1,0)-1)=TRUE),0,OFFSET(Ottone!$F$1,MATCH(J258,Ottone!$A:$A,0)-1,MATCH(K258,Ottone!$F$1:$FF$1,0)-1))*IF(G258="Ottone",1,0)</f>
        <v>0</v>
      </c>
      <c r="T258" s="255">
        <f ca="1">IF(ISERROR(OFFSET(Rame!$F$1,MATCH(J258,Rame!$F:$F,0)-1,MATCH(K258,Rame!$F$1:$FF$1,0)-1)=TRUE),0,OFFSET(Rame!$F$1,MATCH(J258,Rame!$F:$F,0)-1,MATCH(K258,Rame!$F$1:$FF$1,0)-1))*IF(G258="Rame",1,0)</f>
        <v>0</v>
      </c>
      <c r="U258" s="255">
        <f ca="1">IF(ISERROR(OFFSET(Bronzo!$A$1,MATCH(J258,Bronzo!$A:$A,0)-1,MATCH(K258,Bronzo!$A$1:$AA$1,0)-1)=TRUE),0,OFFSET(Bronzo!$A$1,MATCH(J258,Bronzo!$A:$A,0)-1,MATCH(K258,Bronzo!$A$1:$AA$1,0)-1))</f>
        <v>0</v>
      </c>
      <c r="V258" s="255">
        <f t="shared" ca="1" si="114"/>
        <v>0</v>
      </c>
      <c r="W258" s="254"/>
      <c r="X258" s="255">
        <v>0</v>
      </c>
      <c r="Y258" s="256">
        <f t="shared" ca="1" si="115"/>
        <v>1.5</v>
      </c>
      <c r="Z258" s="269">
        <f t="shared" si="116"/>
        <v>83.580000000000013</v>
      </c>
      <c r="AA258" s="253">
        <v>4.08</v>
      </c>
      <c r="AB258" s="253">
        <f t="shared" ca="1" si="117"/>
        <v>0</v>
      </c>
      <c r="AC258" s="258"/>
      <c r="AF258" s="223" t="s">
        <v>405</v>
      </c>
      <c r="AH258" s="232">
        <f t="shared" ca="1" si="107"/>
        <v>46120</v>
      </c>
      <c r="AI258" s="232" t="b">
        <f t="shared" si="108"/>
        <v>1</v>
      </c>
      <c r="AJ258" s="259" t="str">
        <f t="shared" si="118"/>
        <v/>
      </c>
      <c r="AM258" s="223">
        <f t="shared" si="109"/>
        <v>0</v>
      </c>
      <c r="AN258" s="223">
        <f t="shared" si="110"/>
        <v>1900</v>
      </c>
      <c r="AU258" s="223">
        <f t="shared" si="111"/>
        <v>0</v>
      </c>
      <c r="AV258" s="223">
        <f t="shared" si="112"/>
        <v>0</v>
      </c>
    </row>
    <row r="259" spans="4:48" ht="26.25" x14ac:dyDescent="0.4">
      <c r="D259" s="246" t="s">
        <v>696</v>
      </c>
      <c r="E259" s="262" t="s">
        <v>422</v>
      </c>
      <c r="F259" s="263">
        <v>541</v>
      </c>
      <c r="G259" s="249" t="s">
        <v>4</v>
      </c>
      <c r="H259" s="250">
        <v>2.58</v>
      </c>
      <c r="I259" s="251">
        <v>46071</v>
      </c>
      <c r="J259" s="252" t="s">
        <v>25</v>
      </c>
      <c r="K259" s="252"/>
      <c r="L259" s="253">
        <v>7.0000000000000007E-2</v>
      </c>
      <c r="M259" s="254">
        <f ca="1">IF(ISERROR(OFFSET(Tabella!$A$1,MATCH(J259,Tabella!$A:$A,0)-1,MATCH(L259,Tabella!$A$1:$AC$1,0)-1)=TRUE),0,+OFFSET(Tabella!$A$1,MATCH(J259,Tabella!$A:$A,0)-1,MATCH(L259,Tabella!$A$1:$AC$1,0)-1))</f>
        <v>1.25</v>
      </c>
      <c r="N259" s="255">
        <f ca="1">IF(ISERROR(OFFSET(Ottone!$A$1,MATCH(J259,Ottone!$A:$A,0)-1,MATCH(L259,Ottone!$A$1:$Z$1,0)-1)=TRUE),0,OFFSET(Ottone!$A$1,MATCH(J259,Ottone!$A:$A,0)-1,MATCH(L259,Ottone!$A$1:$Z$1,0)-1))*IF(G259="Ottone",1,0)</f>
        <v>0</v>
      </c>
      <c r="O259" s="255">
        <f ca="1">IF(ISERROR(OFFSET(Rame!$A$1,MATCH(J259,Rame!$A:$A,0)-1,MATCH(L259,Rame!$A$1:$AA$1,0)-1)=TRUE),0,OFFSET(Rame!$A$1,MATCH(J259,Rame!$A:$A,0)-1,MATCH(L259,Rame!$A$1:$AA$1,0)-1))*IF(G259="Rame",1,0)</f>
        <v>0</v>
      </c>
      <c r="P259" s="255">
        <v>0</v>
      </c>
      <c r="Q259" s="255">
        <v>1.5</v>
      </c>
      <c r="R259" s="255">
        <f ca="1">+IF(ISERROR(OFFSET(Tabella!$G$1,MATCH(J259,Tabella!$G:$G,0)-1,MATCH(K259,Tabella!$G$1:$FG$1,0)-1)=TRUE),0,OFFSET(Tabella!$G$1,MATCH(J259,Tabella!$G:$G,0)-1,MATCH(K259,Tabella!$G$1:$AB$1,0)-1))</f>
        <v>0</v>
      </c>
      <c r="S259" s="255">
        <f ca="1">IF(ISERROR(OFFSET(Ottone!$F$1,MATCH(J259,Ottone!$A:$A,0)-1,MATCH(K259,Ottone!$F$1:$FF$1,0)-1)=TRUE),0,OFFSET(Ottone!$F$1,MATCH(J259,Ottone!$A:$A,0)-1,MATCH(K259,Ottone!$F$1:$FF$1,0)-1))*IF(G259="Ottone",1,0)</f>
        <v>0</v>
      </c>
      <c r="T259" s="255">
        <f ca="1">IF(ISERROR(OFFSET(Rame!$F$1,MATCH(J259,Rame!$F:$F,0)-1,MATCH(K259,Rame!$F$1:$FF$1,0)-1)=TRUE),0,OFFSET(Rame!$F$1,MATCH(J259,Rame!$F:$F,0)-1,MATCH(K259,Rame!$F$1:$FF$1,0)-1))*IF(G259="Rame",1,0)</f>
        <v>0</v>
      </c>
      <c r="U259" s="255">
        <f ca="1">IF(ISERROR(OFFSET(Bronzo!$A$1,MATCH(J259,Bronzo!$A:$A,0)-1,MATCH(K259,Bronzo!$A$1:$AA$1,0)-1)=TRUE),0,OFFSET(Bronzo!$A$1,MATCH(J259,Bronzo!$A:$A,0)-1,MATCH(K259,Bronzo!$A$1:$AA$1,0)-1))</f>
        <v>0</v>
      </c>
      <c r="V259" s="255">
        <f t="shared" ca="1" si="114"/>
        <v>0</v>
      </c>
      <c r="W259" s="254"/>
      <c r="X259" s="255">
        <v>0</v>
      </c>
      <c r="Y259" s="256">
        <f t="shared" ca="1" si="115"/>
        <v>1.5</v>
      </c>
      <c r="Z259" s="269">
        <f t="shared" si="116"/>
        <v>37.870000000000005</v>
      </c>
      <c r="AA259" s="253">
        <v>4.08</v>
      </c>
      <c r="AB259" s="253">
        <f t="shared" ca="1" si="117"/>
        <v>0</v>
      </c>
      <c r="AC259" s="258"/>
      <c r="AF259" s="223" t="s">
        <v>405</v>
      </c>
      <c r="AH259" s="232">
        <f t="shared" ca="1" si="107"/>
        <v>46120</v>
      </c>
      <c r="AI259" s="232" t="b">
        <f t="shared" si="108"/>
        <v>1</v>
      </c>
      <c r="AJ259" s="259" t="str">
        <f t="shared" si="118"/>
        <v/>
      </c>
      <c r="AM259" s="223">
        <f t="shared" si="109"/>
        <v>0</v>
      </c>
      <c r="AN259" s="223">
        <f t="shared" si="110"/>
        <v>1900</v>
      </c>
      <c r="AU259" s="223">
        <f t="shared" si="111"/>
        <v>0</v>
      </c>
      <c r="AV259" s="223">
        <f t="shared" si="112"/>
        <v>0</v>
      </c>
    </row>
    <row r="260" spans="4:48" ht="26.25" x14ac:dyDescent="0.4">
      <c r="D260" s="246" t="s">
        <v>696</v>
      </c>
      <c r="E260" s="262" t="s">
        <v>422</v>
      </c>
      <c r="F260" s="263">
        <v>1295</v>
      </c>
      <c r="G260" s="249" t="s">
        <v>4</v>
      </c>
      <c r="H260" s="250">
        <v>2.58</v>
      </c>
      <c r="I260" s="251">
        <v>46071</v>
      </c>
      <c r="J260" s="252" t="s">
        <v>307</v>
      </c>
      <c r="K260" s="252"/>
      <c r="L260" s="253">
        <v>7.0000000000000007E-2</v>
      </c>
      <c r="M260" s="254">
        <f ca="1">IF(ISERROR(OFFSET(Tabella!$A$1,MATCH(J260,Tabella!$A:$A,0)-1,MATCH(L260,Tabella!$A$1:$AC$1,0)-1)=TRUE),0,+OFFSET(Tabella!$A$1,MATCH(J260,Tabella!$A:$A,0)-1,MATCH(L260,Tabella!$A$1:$AC$1,0)-1))</f>
        <v>1.25</v>
      </c>
      <c r="N260" s="255">
        <f ca="1">IF(ISERROR(OFFSET(Ottone!$A$1,MATCH(J260,Ottone!$A:$A,0)-1,MATCH(L260,Ottone!$A$1:$Z$1,0)-1)=TRUE),0,OFFSET(Ottone!$A$1,MATCH(J260,Ottone!$A:$A,0)-1,MATCH(L260,Ottone!$A$1:$Z$1,0)-1))*IF(G260="Ottone",1,0)</f>
        <v>0</v>
      </c>
      <c r="O260" s="255">
        <f ca="1">IF(ISERROR(OFFSET(Rame!$A$1,MATCH(J260,Rame!$A:$A,0)-1,MATCH(L260,Rame!$A$1:$AA$1,0)-1)=TRUE),0,OFFSET(Rame!$A$1,MATCH(J260,Rame!$A:$A,0)-1,MATCH(L260,Rame!$A$1:$AA$1,0)-1))*IF(G260="Rame",1,0)</f>
        <v>0</v>
      </c>
      <c r="P260" s="255">
        <v>0</v>
      </c>
      <c r="Q260" s="255">
        <v>1.5</v>
      </c>
      <c r="R260" s="255">
        <f ca="1">+IF(ISERROR(OFFSET(Tabella!$G$1,MATCH(J260,Tabella!$G:$G,0)-1,MATCH(K260,Tabella!$G$1:$FG$1,0)-1)=TRUE),0,OFFSET(Tabella!$G$1,MATCH(J260,Tabella!$G:$G,0)-1,MATCH(K260,Tabella!$G$1:$AB$1,0)-1))</f>
        <v>0</v>
      </c>
      <c r="S260" s="255">
        <f ca="1">IF(ISERROR(OFFSET(Ottone!$F$1,MATCH(J260,Ottone!$A:$A,0)-1,MATCH(K260,Ottone!$F$1:$FF$1,0)-1)=TRUE),0,OFFSET(Ottone!$F$1,MATCH(J260,Ottone!$A:$A,0)-1,MATCH(K260,Ottone!$F$1:$FF$1,0)-1))*IF(G260="Ottone",1,0)</f>
        <v>0</v>
      </c>
      <c r="T260" s="255">
        <f ca="1">IF(ISERROR(OFFSET(Rame!$F$1,MATCH(J260,Rame!$F:$F,0)-1,MATCH(K260,Rame!$F$1:$FF$1,0)-1)=TRUE),0,OFFSET(Rame!$F$1,MATCH(J260,Rame!$F:$F,0)-1,MATCH(K260,Rame!$F$1:$FF$1,0)-1))*IF(G260="Rame",1,0)</f>
        <v>0</v>
      </c>
      <c r="U260" s="255">
        <f ca="1">IF(ISERROR(OFFSET(Bronzo!$A$1,MATCH(J260,Bronzo!$A:$A,0)-1,MATCH(K260,Bronzo!$A$1:$AA$1,0)-1)=TRUE),0,OFFSET(Bronzo!$A$1,MATCH(J260,Bronzo!$A:$A,0)-1,MATCH(K260,Bronzo!$A$1:$AA$1,0)-1))</f>
        <v>0</v>
      </c>
      <c r="V260" s="255">
        <f t="shared" ca="1" si="114"/>
        <v>0</v>
      </c>
      <c r="W260" s="254"/>
      <c r="X260" s="255">
        <v>0</v>
      </c>
      <c r="Y260" s="256">
        <f t="shared" ca="1" si="115"/>
        <v>1.5</v>
      </c>
      <c r="Z260" s="269">
        <f t="shared" si="116"/>
        <v>90.65</v>
      </c>
      <c r="AA260" s="253">
        <v>4.08</v>
      </c>
      <c r="AB260" s="253">
        <f t="shared" ca="1" si="117"/>
        <v>0</v>
      </c>
      <c r="AC260" s="258"/>
      <c r="AF260" s="223" t="s">
        <v>405</v>
      </c>
      <c r="AH260" s="232">
        <f t="shared" ca="1" si="107"/>
        <v>46120</v>
      </c>
      <c r="AI260" s="232" t="b">
        <f t="shared" si="108"/>
        <v>1</v>
      </c>
      <c r="AJ260" s="259" t="str">
        <f t="shared" si="118"/>
        <v/>
      </c>
      <c r="AM260" s="223">
        <f t="shared" si="109"/>
        <v>0</v>
      </c>
      <c r="AN260" s="223">
        <f t="shared" si="110"/>
        <v>1900</v>
      </c>
      <c r="AU260" s="223">
        <f t="shared" si="111"/>
        <v>0</v>
      </c>
      <c r="AV260" s="223">
        <f t="shared" si="112"/>
        <v>0</v>
      </c>
    </row>
    <row r="261" spans="4:48" ht="26.25" x14ac:dyDescent="0.4">
      <c r="D261" s="246" t="s">
        <v>696</v>
      </c>
      <c r="E261" s="262" t="s">
        <v>422</v>
      </c>
      <c r="F261" s="263">
        <v>880</v>
      </c>
      <c r="G261" s="249" t="s">
        <v>4</v>
      </c>
      <c r="H261" s="250">
        <v>2.58</v>
      </c>
      <c r="I261" s="251">
        <v>46071</v>
      </c>
      <c r="J261" s="252" t="s">
        <v>307</v>
      </c>
      <c r="K261" s="252"/>
      <c r="L261" s="253">
        <v>7.0000000000000007E-2</v>
      </c>
      <c r="M261" s="254">
        <f ca="1">IF(ISERROR(OFFSET(Tabella!$A$1,MATCH(J261,Tabella!$A:$A,0)-1,MATCH(L261,Tabella!$A$1:$AC$1,0)-1)=TRUE),0,+OFFSET(Tabella!$A$1,MATCH(J261,Tabella!$A:$A,0)-1,MATCH(L261,Tabella!$A$1:$AC$1,0)-1))</f>
        <v>1.25</v>
      </c>
      <c r="N261" s="255">
        <f ca="1">IF(ISERROR(OFFSET(Ottone!$A$1,MATCH(J261,Ottone!$A:$A,0)-1,MATCH(L261,Ottone!$A$1:$Z$1,0)-1)=TRUE),0,OFFSET(Ottone!$A$1,MATCH(J261,Ottone!$A:$A,0)-1,MATCH(L261,Ottone!$A$1:$Z$1,0)-1))*IF(G261="Ottone",1,0)</f>
        <v>0</v>
      </c>
      <c r="O261" s="255">
        <f ca="1">IF(ISERROR(OFFSET(Rame!$A$1,MATCH(J261,Rame!$A:$A,0)-1,MATCH(L261,Rame!$A$1:$AA$1,0)-1)=TRUE),0,OFFSET(Rame!$A$1,MATCH(J261,Rame!$A:$A,0)-1,MATCH(L261,Rame!$A$1:$AA$1,0)-1))*IF(G261="Rame",1,0)</f>
        <v>0</v>
      </c>
      <c r="P261" s="255">
        <v>0</v>
      </c>
      <c r="Q261" s="255">
        <v>1.5</v>
      </c>
      <c r="R261" s="255">
        <f ca="1">+IF(ISERROR(OFFSET(Tabella!$G$1,MATCH(J261,Tabella!$G:$G,0)-1,MATCH(K261,Tabella!$G$1:$FG$1,0)-1)=TRUE),0,OFFSET(Tabella!$G$1,MATCH(J261,Tabella!$G:$G,0)-1,MATCH(K261,Tabella!$G$1:$AB$1,0)-1))</f>
        <v>0</v>
      </c>
      <c r="S261" s="255">
        <f ca="1">IF(ISERROR(OFFSET(Ottone!$F$1,MATCH(J261,Ottone!$A:$A,0)-1,MATCH(K261,Ottone!$F$1:$FF$1,0)-1)=TRUE),0,OFFSET(Ottone!$F$1,MATCH(J261,Ottone!$A:$A,0)-1,MATCH(K261,Ottone!$F$1:$FF$1,0)-1))*IF(G261="Ottone",1,0)</f>
        <v>0</v>
      </c>
      <c r="T261" s="255">
        <f ca="1">IF(ISERROR(OFFSET(Rame!$F$1,MATCH(J261,Rame!$F:$F,0)-1,MATCH(K261,Rame!$F$1:$FF$1,0)-1)=TRUE),0,OFFSET(Rame!$F$1,MATCH(J261,Rame!$F:$F,0)-1,MATCH(K261,Rame!$F$1:$FF$1,0)-1))*IF(G261="Rame",1,0)</f>
        <v>0</v>
      </c>
      <c r="U261" s="255">
        <f ca="1">IF(ISERROR(OFFSET(Bronzo!$A$1,MATCH(J261,Bronzo!$A:$A,0)-1,MATCH(K261,Bronzo!$A$1:$AA$1,0)-1)=TRUE),0,OFFSET(Bronzo!$A$1,MATCH(J261,Bronzo!$A:$A,0)-1,MATCH(K261,Bronzo!$A$1:$AA$1,0)-1))</f>
        <v>0</v>
      </c>
      <c r="V261" s="255">
        <f t="shared" ca="1" si="114"/>
        <v>0</v>
      </c>
      <c r="W261" s="254"/>
      <c r="X261" s="255">
        <v>0</v>
      </c>
      <c r="Y261" s="256">
        <f t="shared" ca="1" si="115"/>
        <v>1.5</v>
      </c>
      <c r="Z261" s="269">
        <f t="shared" si="116"/>
        <v>61.600000000000009</v>
      </c>
      <c r="AA261" s="253">
        <v>4.08</v>
      </c>
      <c r="AB261" s="253">
        <f t="shared" ca="1" si="117"/>
        <v>0</v>
      </c>
      <c r="AC261" s="258"/>
      <c r="AF261" s="223" t="s">
        <v>405</v>
      </c>
      <c r="AH261" s="232">
        <f t="shared" ca="1" si="107"/>
        <v>46120</v>
      </c>
      <c r="AI261" s="232" t="b">
        <f t="shared" si="108"/>
        <v>1</v>
      </c>
      <c r="AJ261" s="259" t="str">
        <f t="shared" si="118"/>
        <v/>
      </c>
      <c r="AM261" s="223">
        <f t="shared" si="109"/>
        <v>0</v>
      </c>
      <c r="AN261" s="223">
        <f t="shared" si="110"/>
        <v>1900</v>
      </c>
      <c r="AU261" s="223">
        <f t="shared" si="111"/>
        <v>0</v>
      </c>
      <c r="AV261" s="223">
        <f t="shared" si="112"/>
        <v>0</v>
      </c>
    </row>
    <row r="262" spans="4:48" ht="26.25" x14ac:dyDescent="0.4">
      <c r="D262" s="246" t="s">
        <v>694</v>
      </c>
      <c r="E262" s="262" t="s">
        <v>422</v>
      </c>
      <c r="F262" s="263">
        <v>652</v>
      </c>
      <c r="G262" s="249" t="s">
        <v>4</v>
      </c>
      <c r="H262" s="250">
        <v>2.58</v>
      </c>
      <c r="I262" s="251">
        <v>46071</v>
      </c>
      <c r="J262" s="252" t="s">
        <v>25</v>
      </c>
      <c r="K262" s="252"/>
      <c r="L262" s="253">
        <v>7.0000000000000007E-2</v>
      </c>
      <c r="M262" s="254">
        <f ca="1">IF(ISERROR(OFFSET(Tabella!$A$1,MATCH(J262,Tabella!$A:$A,0)-1,MATCH(L262,Tabella!$A$1:$AC$1,0)-1)=TRUE),0,+OFFSET(Tabella!$A$1,MATCH(J262,Tabella!$A:$A,0)-1,MATCH(L262,Tabella!$A$1:$AC$1,0)-1))</f>
        <v>1.25</v>
      </c>
      <c r="N262" s="255">
        <f ca="1">IF(ISERROR(OFFSET(Ottone!$A$1,MATCH(J262,Ottone!$A:$A,0)-1,MATCH(L262,Ottone!$A$1:$Z$1,0)-1)=TRUE),0,OFFSET(Ottone!$A$1,MATCH(J262,Ottone!$A:$A,0)-1,MATCH(L262,Ottone!$A$1:$Z$1,0)-1))*IF(G262="Ottone",1,0)</f>
        <v>0</v>
      </c>
      <c r="O262" s="255">
        <f ca="1">IF(ISERROR(OFFSET(Rame!$A$1,MATCH(J262,Rame!$A:$A,0)-1,MATCH(L262,Rame!$A$1:$AA$1,0)-1)=TRUE),0,OFFSET(Rame!$A$1,MATCH(J262,Rame!$A:$A,0)-1,MATCH(L262,Rame!$A$1:$AA$1,0)-1))*IF(G262="Rame",1,0)</f>
        <v>0</v>
      </c>
      <c r="P262" s="255">
        <v>0</v>
      </c>
      <c r="Q262" s="255">
        <v>1.5</v>
      </c>
      <c r="R262" s="255">
        <f ca="1">+IF(ISERROR(OFFSET(Tabella!$G$1,MATCH(J262,Tabella!$G:$G,0)-1,MATCH(K262,Tabella!$G$1:$FG$1,0)-1)=TRUE),0,OFFSET(Tabella!$G$1,MATCH(J262,Tabella!$G:$G,0)-1,MATCH(K262,Tabella!$G$1:$AB$1,0)-1))</f>
        <v>0</v>
      </c>
      <c r="S262" s="255">
        <f ca="1">IF(ISERROR(OFFSET(Ottone!$F$1,MATCH(J262,Ottone!$A:$A,0)-1,MATCH(K262,Ottone!$F$1:$FF$1,0)-1)=TRUE),0,OFFSET(Ottone!$F$1,MATCH(J262,Ottone!$A:$A,0)-1,MATCH(K262,Ottone!$F$1:$FF$1,0)-1))*IF(G262="Ottone",1,0)</f>
        <v>0</v>
      </c>
      <c r="T262" s="255">
        <f ca="1">IF(ISERROR(OFFSET(Rame!$F$1,MATCH(J262,Rame!$F:$F,0)-1,MATCH(K262,Rame!$F$1:$FF$1,0)-1)=TRUE),0,OFFSET(Rame!$F$1,MATCH(J262,Rame!$F:$F,0)-1,MATCH(K262,Rame!$F$1:$FF$1,0)-1))*IF(G262="Rame",1,0)</f>
        <v>0</v>
      </c>
      <c r="U262" s="255">
        <f ca="1">IF(ISERROR(OFFSET(Bronzo!$A$1,MATCH(J262,Bronzo!$A:$A,0)-1,MATCH(K262,Bronzo!$A$1:$AA$1,0)-1)=TRUE),0,OFFSET(Bronzo!$A$1,MATCH(J262,Bronzo!$A:$A,0)-1,MATCH(K262,Bronzo!$A$1:$AA$1,0)-1))</f>
        <v>0</v>
      </c>
      <c r="V262" s="255">
        <f t="shared" ca="1" si="114"/>
        <v>0</v>
      </c>
      <c r="W262" s="254"/>
      <c r="X262" s="255">
        <v>0</v>
      </c>
      <c r="Y262" s="256">
        <f t="shared" ca="1" si="115"/>
        <v>1.5</v>
      </c>
      <c r="Z262" s="269">
        <f t="shared" si="116"/>
        <v>45.640000000000008</v>
      </c>
      <c r="AA262" s="253">
        <v>4.08</v>
      </c>
      <c r="AB262" s="253">
        <f t="shared" ca="1" si="117"/>
        <v>0</v>
      </c>
      <c r="AC262" s="258"/>
      <c r="AF262" s="223" t="s">
        <v>405</v>
      </c>
      <c r="AH262" s="232">
        <f t="shared" ca="1" si="107"/>
        <v>46120</v>
      </c>
      <c r="AI262" s="232" t="b">
        <f t="shared" si="108"/>
        <v>1</v>
      </c>
      <c r="AJ262" s="259" t="str">
        <f t="shared" si="118"/>
        <v/>
      </c>
      <c r="AM262" s="223">
        <f t="shared" si="109"/>
        <v>0</v>
      </c>
      <c r="AN262" s="223">
        <f t="shared" si="110"/>
        <v>1900</v>
      </c>
      <c r="AU262" s="223">
        <f t="shared" si="111"/>
        <v>0</v>
      </c>
      <c r="AV262" s="223">
        <f t="shared" si="112"/>
        <v>0</v>
      </c>
    </row>
    <row r="263" spans="4:48" ht="26.25" x14ac:dyDescent="0.4">
      <c r="D263" s="296" t="s">
        <v>608</v>
      </c>
      <c r="E263" s="262" t="s">
        <v>297</v>
      </c>
      <c r="F263" s="263">
        <v>1010</v>
      </c>
      <c r="G263" s="249" t="s">
        <v>4</v>
      </c>
      <c r="H263" s="250">
        <v>2.58</v>
      </c>
      <c r="I263" s="251">
        <v>46072</v>
      </c>
      <c r="J263" s="252" t="s">
        <v>25</v>
      </c>
      <c r="K263" s="252"/>
      <c r="L263" s="269">
        <v>7.0000000000000007E-2</v>
      </c>
      <c r="M263" s="254">
        <f ca="1">IF(ISERROR(OFFSET(Tabella!$A$1,MATCH(J263,Tabella!$A:$A,0)-1,MATCH(L263,Tabella!$A$1:$AC$1,0)-1)=TRUE),0,+OFFSET(Tabella!$A$1,MATCH(J263,Tabella!$A:$A,0)-1,MATCH(L263,Tabella!$A$1:$AC$1,0)-1))</f>
        <v>1.25</v>
      </c>
      <c r="N263" s="255">
        <f ca="1">IF(ISERROR(OFFSET(Ottone!$A$1,MATCH(J263,Ottone!$A:$A,0)-1,MATCH(L263,Ottone!$A$1:$Z$1,0)-1)=TRUE),0,OFFSET(Ottone!$A$1,MATCH(J263,Ottone!$A:$A,0)-1,MATCH(L263,Ottone!$A$1:$Z$1,0)-1))*IF(G263="Ottone",1,0)</f>
        <v>0</v>
      </c>
      <c r="O263" s="255">
        <f ca="1">IF(ISERROR(OFFSET(Rame!$A$1,MATCH(J263,Rame!$A:$A,0)-1,MATCH(L263,Rame!$A$1:$AA$1,0)-1)=TRUE),0,OFFSET(Rame!$A$1,MATCH(J263,Rame!$A:$A,0)-1,MATCH(L263,Rame!$A$1:$AA$1,0)-1))*IF(G263="Rame",1,0)</f>
        <v>0</v>
      </c>
      <c r="P263" s="255">
        <v>0</v>
      </c>
      <c r="Q263" s="255">
        <v>1.5</v>
      </c>
      <c r="R263" s="255">
        <f ca="1">+IF(ISERROR(OFFSET(Tabella!$G$1,MATCH(J263,Tabella!$G:$G,0)-1,MATCH(K263,Tabella!$G$1:$FG$1,0)-1)=TRUE),0,OFFSET(Tabella!$G$1,MATCH(J263,Tabella!$G:$G,0)-1,MATCH(K263,Tabella!$G$1:$AB$1,0)-1))</f>
        <v>0</v>
      </c>
      <c r="S263" s="255">
        <f ca="1">IF(ISERROR(OFFSET(Ottone!$F$1,MATCH(J263,Ottone!$A:$A,0)-1,MATCH(K263,Ottone!$F$1:$FF$1,0)-1)=TRUE),0,OFFSET(Ottone!$F$1,MATCH(J263,Ottone!$A:$A,0)-1,MATCH(K263,Ottone!$F$1:$FF$1,0)-1))*IF(G263="Ottone",1,0)</f>
        <v>0</v>
      </c>
      <c r="T263" s="255">
        <f ca="1">IF(ISERROR(OFFSET(Rame!$F$1,MATCH(J263,Rame!$F:$F,0)-1,MATCH(K263,Rame!$F$1:$FF$1,0)-1)=TRUE),0,OFFSET(Rame!$F$1,MATCH(J263,Rame!$F:$F,0)-1,MATCH(K263,Rame!$F$1:$FF$1,0)-1))*IF(G263="Rame",1,0)</f>
        <v>0</v>
      </c>
      <c r="U263" s="255">
        <f ca="1">IF(ISERROR(OFFSET(Bronzo!$A$1,MATCH(J263,Bronzo!$A:$A,0)-1,MATCH(K263,Bronzo!$A$1:$AA$1,0)-1)=TRUE),0,OFFSET(Bronzo!$A$1,MATCH(J263,Bronzo!$A:$A,0)-1,MATCH(K263,Bronzo!$A$1:$AA$1,0)-1))</f>
        <v>0</v>
      </c>
      <c r="V263" s="255">
        <f t="shared" ca="1" si="114"/>
        <v>0</v>
      </c>
      <c r="W263" s="254"/>
      <c r="X263" s="255">
        <v>0</v>
      </c>
      <c r="Y263" s="256">
        <f t="shared" ca="1" si="115"/>
        <v>1.5</v>
      </c>
      <c r="Z263" s="269">
        <f t="shared" si="116"/>
        <v>70.7</v>
      </c>
      <c r="AA263" s="253">
        <v>4.05</v>
      </c>
      <c r="AB263" s="253">
        <f t="shared" ca="1" si="117"/>
        <v>-3.0000000000000249E-2</v>
      </c>
      <c r="AC263" s="258"/>
      <c r="AF263" s="223" t="s">
        <v>405</v>
      </c>
      <c r="AH263" s="232">
        <f t="shared" ca="1" si="107"/>
        <v>46120</v>
      </c>
      <c r="AI263" s="232" t="b">
        <f t="shared" si="108"/>
        <v>1</v>
      </c>
      <c r="AJ263" s="259" t="str">
        <f t="shared" si="118"/>
        <v/>
      </c>
      <c r="AM263" s="223">
        <f t="shared" si="109"/>
        <v>0</v>
      </c>
      <c r="AN263" s="223">
        <f t="shared" si="110"/>
        <v>1900</v>
      </c>
      <c r="AU263" s="223">
        <f t="shared" si="111"/>
        <v>0</v>
      </c>
      <c r="AV263" s="223">
        <f t="shared" si="112"/>
        <v>0</v>
      </c>
    </row>
    <row r="264" spans="4:48" ht="26.25" x14ac:dyDescent="0.4">
      <c r="D264" s="296" t="s">
        <v>564</v>
      </c>
      <c r="E264" s="262" t="s">
        <v>297</v>
      </c>
      <c r="F264" s="263">
        <v>1048</v>
      </c>
      <c r="G264" s="249" t="s">
        <v>4</v>
      </c>
      <c r="H264" s="250">
        <v>2.58</v>
      </c>
      <c r="I264" s="251">
        <v>46072</v>
      </c>
      <c r="J264" s="252" t="s">
        <v>28</v>
      </c>
      <c r="K264" s="252"/>
      <c r="L264" s="269">
        <v>7.0000000000000007E-2</v>
      </c>
      <c r="M264" s="254">
        <f ca="1">IF(ISERROR(OFFSET(Tabella!$A$1,MATCH(J264,Tabella!$A:$A,0)-1,MATCH(L264,Tabella!$A$1:$AC$1,0)-1)=TRUE),0,+OFFSET(Tabella!$A$1,MATCH(J264,Tabella!$A:$A,0)-1,MATCH(L264,Tabella!$A$1:$AC$1,0)-1))</f>
        <v>1.25</v>
      </c>
      <c r="N264" s="255">
        <f ca="1">IF(ISERROR(OFFSET(Ottone!$A$1,MATCH(J264,Ottone!$A:$A,0)-1,MATCH(L264,Ottone!$A$1:$Z$1,0)-1)=TRUE),0,OFFSET(Ottone!$A$1,MATCH(J264,Ottone!$A:$A,0)-1,MATCH(L264,Ottone!$A$1:$Z$1,0)-1))*IF(G264="Ottone",1,0)</f>
        <v>0</v>
      </c>
      <c r="O264" s="255">
        <f ca="1">IF(ISERROR(OFFSET(Rame!$A$1,MATCH(J264,Rame!$A:$A,0)-1,MATCH(L264,Rame!$A$1:$AA$1,0)-1)=TRUE),0,OFFSET(Rame!$A$1,MATCH(J264,Rame!$A:$A,0)-1,MATCH(L264,Rame!$A$1:$AA$1,0)-1))*IF(G264="Rame",1,0)</f>
        <v>0</v>
      </c>
      <c r="P264" s="255">
        <v>0</v>
      </c>
      <c r="Q264" s="255">
        <v>1.5</v>
      </c>
      <c r="R264" s="255">
        <f ca="1">+IF(ISERROR(OFFSET(Tabella!$G$1,MATCH(J264,Tabella!$G:$G,0)-1,MATCH(K264,Tabella!$G$1:$FG$1,0)-1)=TRUE),0,OFFSET(Tabella!$G$1,MATCH(J264,Tabella!$G:$G,0)-1,MATCH(K264,Tabella!$G$1:$AB$1,0)-1))</f>
        <v>0</v>
      </c>
      <c r="S264" s="255">
        <f ca="1">IF(ISERROR(OFFSET(Ottone!$F$1,MATCH(J264,Ottone!$A:$A,0)-1,MATCH(K264,Ottone!$F$1:$FF$1,0)-1)=TRUE),0,OFFSET(Ottone!$F$1,MATCH(J264,Ottone!$A:$A,0)-1,MATCH(K264,Ottone!$F$1:$FF$1,0)-1))*IF(G264="Ottone",1,0)</f>
        <v>0</v>
      </c>
      <c r="T264" s="255">
        <f ca="1">IF(ISERROR(OFFSET(Rame!$F$1,MATCH(J264,Rame!$F:$F,0)-1,MATCH(K264,Rame!$F$1:$FF$1,0)-1)=TRUE),0,OFFSET(Rame!$F$1,MATCH(J264,Rame!$F:$F,0)-1,MATCH(K264,Rame!$F$1:$FF$1,0)-1))*IF(G264="Rame",1,0)</f>
        <v>0</v>
      </c>
      <c r="U264" s="255">
        <f ca="1">IF(ISERROR(OFFSET(Bronzo!$A$1,MATCH(J264,Bronzo!$A:$A,0)-1,MATCH(K264,Bronzo!$A$1:$AA$1,0)-1)=TRUE),0,OFFSET(Bronzo!$A$1,MATCH(J264,Bronzo!$A:$A,0)-1,MATCH(K264,Bronzo!$A$1:$AA$1,0)-1))</f>
        <v>0</v>
      </c>
      <c r="V264" s="255">
        <f t="shared" ca="1" si="114"/>
        <v>0</v>
      </c>
      <c r="W264" s="254"/>
      <c r="X264" s="255">
        <v>0</v>
      </c>
      <c r="Y264" s="256">
        <f t="shared" ca="1" si="115"/>
        <v>1.5</v>
      </c>
      <c r="Z264" s="269">
        <f t="shared" si="116"/>
        <v>73.360000000000014</v>
      </c>
      <c r="AA264" s="253">
        <v>4.05</v>
      </c>
      <c r="AB264" s="253">
        <f t="shared" ca="1" si="117"/>
        <v>-3.0000000000000249E-2</v>
      </c>
      <c r="AC264" s="258"/>
      <c r="AF264" s="223" t="s">
        <v>405</v>
      </c>
      <c r="AH264" s="232">
        <f t="shared" ca="1" si="107"/>
        <v>46120</v>
      </c>
      <c r="AI264" s="232" t="b">
        <f t="shared" si="108"/>
        <v>1</v>
      </c>
      <c r="AJ264" s="259" t="str">
        <f t="shared" si="118"/>
        <v/>
      </c>
      <c r="AM264" s="223">
        <f t="shared" si="109"/>
        <v>0</v>
      </c>
      <c r="AN264" s="223">
        <f t="shared" si="110"/>
        <v>1900</v>
      </c>
      <c r="AU264" s="223">
        <f t="shared" si="111"/>
        <v>0</v>
      </c>
      <c r="AV264" s="223">
        <f t="shared" si="112"/>
        <v>0</v>
      </c>
    </row>
    <row r="265" spans="4:48" ht="26.25" x14ac:dyDescent="0.4">
      <c r="D265" s="296" t="s">
        <v>544</v>
      </c>
      <c r="E265" s="262" t="s">
        <v>297</v>
      </c>
      <c r="F265" s="263">
        <v>1082</v>
      </c>
      <c r="G265" s="249" t="s">
        <v>4</v>
      </c>
      <c r="H265" s="250">
        <v>2.58</v>
      </c>
      <c r="I265" s="251">
        <v>46072</v>
      </c>
      <c r="J265" s="252" t="s">
        <v>310</v>
      </c>
      <c r="K265" s="252"/>
      <c r="L265" s="269">
        <v>7.0000000000000007E-2</v>
      </c>
      <c r="M265" s="254">
        <f ca="1">IF(ISERROR(OFFSET(Tabella!$A$1,MATCH(J265,Tabella!$A:$A,0)-1,MATCH(L265,Tabella!$A$1:$AC$1,0)-1)=TRUE),0,+OFFSET(Tabella!$A$1,MATCH(J265,Tabella!$A:$A,0)-1,MATCH(L265,Tabella!$A$1:$AC$1,0)-1))</f>
        <v>1.25</v>
      </c>
      <c r="N265" s="255">
        <f ca="1">IF(ISERROR(OFFSET(Ottone!$A$1,MATCH(J265,Ottone!$A:$A,0)-1,MATCH(L265,Ottone!$A$1:$Z$1,0)-1)=TRUE),0,OFFSET(Ottone!$A$1,MATCH(J265,Ottone!$A:$A,0)-1,MATCH(L265,Ottone!$A$1:$Z$1,0)-1))*IF(G265="Ottone",1,0)</f>
        <v>0</v>
      </c>
      <c r="O265" s="255">
        <f ca="1">IF(ISERROR(OFFSET(Rame!$A$1,MATCH(J265,Rame!$A:$A,0)-1,MATCH(L265,Rame!$A$1:$AA$1,0)-1)=TRUE),0,OFFSET(Rame!$A$1,MATCH(J265,Rame!$A:$A,0)-1,MATCH(L265,Rame!$A$1:$AA$1,0)-1))*IF(G265="Rame",1,0)</f>
        <v>0</v>
      </c>
      <c r="P265" s="255">
        <v>0</v>
      </c>
      <c r="Q265" s="255">
        <v>1.5</v>
      </c>
      <c r="R265" s="255">
        <f ca="1">+IF(ISERROR(OFFSET(Tabella!$G$1,MATCH(J265,Tabella!$G:$G,0)-1,MATCH(K265,Tabella!$G$1:$FG$1,0)-1)=TRUE),0,OFFSET(Tabella!$G$1,MATCH(J265,Tabella!$G:$G,0)-1,MATCH(K265,Tabella!$G$1:$AB$1,0)-1))</f>
        <v>0</v>
      </c>
      <c r="S265" s="255">
        <f ca="1">IF(ISERROR(OFFSET(Ottone!$F$1,MATCH(J265,Ottone!$A:$A,0)-1,MATCH(K265,Ottone!$F$1:$FF$1,0)-1)=TRUE),0,OFFSET(Ottone!$F$1,MATCH(J265,Ottone!$A:$A,0)-1,MATCH(K265,Ottone!$F$1:$FF$1,0)-1))*IF(G265="Ottone",1,0)</f>
        <v>0</v>
      </c>
      <c r="T265" s="255">
        <f ca="1">IF(ISERROR(OFFSET(Rame!$F$1,MATCH(J265,Rame!$F:$F,0)-1,MATCH(K265,Rame!$F$1:$FF$1,0)-1)=TRUE),0,OFFSET(Rame!$F$1,MATCH(J265,Rame!$F:$F,0)-1,MATCH(K265,Rame!$F$1:$FF$1,0)-1))*IF(G265="Rame",1,0)</f>
        <v>0</v>
      </c>
      <c r="U265" s="255">
        <f ca="1">IF(ISERROR(OFFSET(Bronzo!$A$1,MATCH(J265,Bronzo!$A:$A,0)-1,MATCH(K265,Bronzo!$A$1:$AA$1,0)-1)=TRUE),0,OFFSET(Bronzo!$A$1,MATCH(J265,Bronzo!$A:$A,0)-1,MATCH(K265,Bronzo!$A$1:$AA$1,0)-1))</f>
        <v>0</v>
      </c>
      <c r="V265" s="255">
        <f t="shared" ca="1" si="114"/>
        <v>0</v>
      </c>
      <c r="W265" s="254"/>
      <c r="X265" s="255">
        <v>0</v>
      </c>
      <c r="Y265" s="256">
        <f t="shared" ca="1" si="115"/>
        <v>1.5</v>
      </c>
      <c r="Z265" s="269">
        <f t="shared" si="116"/>
        <v>75.740000000000009</v>
      </c>
      <c r="AA265" s="253">
        <v>4.05</v>
      </c>
      <c r="AB265" s="253">
        <f t="shared" ca="1" si="117"/>
        <v>-3.0000000000000249E-2</v>
      </c>
      <c r="AC265" s="258"/>
      <c r="AF265" s="223" t="s">
        <v>405</v>
      </c>
      <c r="AH265" s="232">
        <f t="shared" ca="1" si="107"/>
        <v>46120</v>
      </c>
      <c r="AI265" s="232" t="b">
        <f t="shared" si="108"/>
        <v>1</v>
      </c>
      <c r="AJ265" s="259" t="str">
        <f t="shared" si="118"/>
        <v/>
      </c>
      <c r="AM265" s="223">
        <f t="shared" si="109"/>
        <v>0</v>
      </c>
      <c r="AN265" s="223">
        <f t="shared" si="110"/>
        <v>1900</v>
      </c>
      <c r="AU265" s="223">
        <f t="shared" si="111"/>
        <v>0</v>
      </c>
      <c r="AV265" s="223">
        <f t="shared" si="112"/>
        <v>0</v>
      </c>
    </row>
    <row r="266" spans="4:48" ht="26.25" x14ac:dyDescent="0.4">
      <c r="D266" s="296" t="s">
        <v>601</v>
      </c>
      <c r="E266" s="262" t="s">
        <v>297</v>
      </c>
      <c r="F266" s="263">
        <v>1206</v>
      </c>
      <c r="G266" s="249" t="s">
        <v>4</v>
      </c>
      <c r="H266" s="250">
        <v>2.58</v>
      </c>
      <c r="I266" s="251">
        <v>46072</v>
      </c>
      <c r="J266" s="252" t="s">
        <v>26</v>
      </c>
      <c r="K266" s="252"/>
      <c r="L266" s="269">
        <v>7.0000000000000007E-2</v>
      </c>
      <c r="M266" s="254">
        <f ca="1">IF(ISERROR(OFFSET(Tabella!$A$1,MATCH(J266,Tabella!$A:$A,0)-1,MATCH(L266,Tabella!$A$1:$AC$1,0)-1)=TRUE),0,+OFFSET(Tabella!$A$1,MATCH(J266,Tabella!$A:$A,0)-1,MATCH(L266,Tabella!$A$1:$AC$1,0)-1))</f>
        <v>1.25</v>
      </c>
      <c r="N266" s="255">
        <f ca="1">IF(ISERROR(OFFSET(Ottone!$A$1,MATCH(J266,Ottone!$A:$A,0)-1,MATCH(L266,Ottone!$A$1:$Z$1,0)-1)=TRUE),0,OFFSET(Ottone!$A$1,MATCH(J266,Ottone!$A:$A,0)-1,MATCH(L266,Ottone!$A$1:$Z$1,0)-1))*IF(G266="Ottone",1,0)</f>
        <v>0</v>
      </c>
      <c r="O266" s="255">
        <f ca="1">IF(ISERROR(OFFSET(Rame!$A$1,MATCH(J266,Rame!$A:$A,0)-1,MATCH(L266,Rame!$A$1:$AA$1,0)-1)=TRUE),0,OFFSET(Rame!$A$1,MATCH(J266,Rame!$A:$A,0)-1,MATCH(L266,Rame!$A$1:$AA$1,0)-1))*IF(G266="Rame",1,0)</f>
        <v>0</v>
      </c>
      <c r="P266" s="255">
        <v>0</v>
      </c>
      <c r="Q266" s="255">
        <v>1.5</v>
      </c>
      <c r="R266" s="255">
        <f ca="1">+IF(ISERROR(OFFSET(Tabella!$G$1,MATCH(J266,Tabella!$G:$G,0)-1,MATCH(K266,Tabella!$G$1:$FG$1,0)-1)=TRUE),0,OFFSET(Tabella!$G$1,MATCH(J266,Tabella!$G:$G,0)-1,MATCH(K266,Tabella!$G$1:$AB$1,0)-1))</f>
        <v>0</v>
      </c>
      <c r="S266" s="255">
        <f ca="1">IF(ISERROR(OFFSET(Ottone!$F$1,MATCH(J266,Ottone!$A:$A,0)-1,MATCH(K266,Ottone!$F$1:$FF$1,0)-1)=TRUE),0,OFFSET(Ottone!$F$1,MATCH(J266,Ottone!$A:$A,0)-1,MATCH(K266,Ottone!$F$1:$FF$1,0)-1))*IF(G266="Ottone",1,0)</f>
        <v>0</v>
      </c>
      <c r="T266" s="255">
        <f ca="1">IF(ISERROR(OFFSET(Rame!$F$1,MATCH(J266,Rame!$F:$F,0)-1,MATCH(K266,Rame!$F$1:$FF$1,0)-1)=TRUE),0,OFFSET(Rame!$F$1,MATCH(J266,Rame!$F:$F,0)-1,MATCH(K266,Rame!$F$1:$FF$1,0)-1))*IF(G266="Rame",1,0)</f>
        <v>0</v>
      </c>
      <c r="U266" s="255">
        <f ca="1">IF(ISERROR(OFFSET(Bronzo!$A$1,MATCH(J266,Bronzo!$A:$A,0)-1,MATCH(K266,Bronzo!$A$1:$AA$1,0)-1)=TRUE),0,OFFSET(Bronzo!$A$1,MATCH(J266,Bronzo!$A:$A,0)-1,MATCH(K266,Bronzo!$A$1:$AA$1,0)-1))</f>
        <v>0</v>
      </c>
      <c r="V266" s="255">
        <f t="shared" ca="1" si="114"/>
        <v>0</v>
      </c>
      <c r="W266" s="254"/>
      <c r="X266" s="255">
        <v>0</v>
      </c>
      <c r="Y266" s="256">
        <f t="shared" ca="1" si="115"/>
        <v>1.5</v>
      </c>
      <c r="Z266" s="269">
        <f t="shared" si="116"/>
        <v>84.42</v>
      </c>
      <c r="AA266" s="253">
        <v>4.05</v>
      </c>
      <c r="AB266" s="253">
        <f t="shared" ca="1" si="117"/>
        <v>-3.0000000000000249E-2</v>
      </c>
      <c r="AC266" s="258"/>
      <c r="AF266" s="223" t="s">
        <v>405</v>
      </c>
      <c r="AH266" s="232">
        <f t="shared" ca="1" si="107"/>
        <v>46120</v>
      </c>
      <c r="AI266" s="232" t="b">
        <f t="shared" si="108"/>
        <v>1</v>
      </c>
      <c r="AJ266" s="259" t="str">
        <f t="shared" si="118"/>
        <v/>
      </c>
      <c r="AM266" s="223">
        <f t="shared" si="109"/>
        <v>0</v>
      </c>
      <c r="AN266" s="223">
        <f t="shared" si="110"/>
        <v>1900</v>
      </c>
      <c r="AU266" s="223">
        <f t="shared" si="111"/>
        <v>0</v>
      </c>
      <c r="AV266" s="223">
        <f t="shared" si="112"/>
        <v>0</v>
      </c>
    </row>
    <row r="267" spans="4:48" ht="26.25" x14ac:dyDescent="0.4">
      <c r="D267" s="296" t="s">
        <v>601</v>
      </c>
      <c r="E267" s="262" t="s">
        <v>297</v>
      </c>
      <c r="F267" s="263">
        <v>862</v>
      </c>
      <c r="G267" s="249" t="s">
        <v>4</v>
      </c>
      <c r="H267" s="250">
        <v>2.58</v>
      </c>
      <c r="I267" s="251">
        <v>46072</v>
      </c>
      <c r="J267" s="252" t="s">
        <v>26</v>
      </c>
      <c r="K267" s="252"/>
      <c r="L267" s="269">
        <v>7.0000000000000007E-2</v>
      </c>
      <c r="M267" s="254">
        <f ca="1">IF(ISERROR(OFFSET(Tabella!$A$1,MATCH(J267,Tabella!$A:$A,0)-1,MATCH(L267,Tabella!$A$1:$AC$1,0)-1)=TRUE),0,+OFFSET(Tabella!$A$1,MATCH(J267,Tabella!$A:$A,0)-1,MATCH(L267,Tabella!$A$1:$AC$1,0)-1))</f>
        <v>1.25</v>
      </c>
      <c r="N267" s="255">
        <f ca="1">IF(ISERROR(OFFSET(Ottone!$A$1,MATCH(J267,Ottone!$A:$A,0)-1,MATCH(L267,Ottone!$A$1:$Z$1,0)-1)=TRUE),0,OFFSET(Ottone!$A$1,MATCH(J267,Ottone!$A:$A,0)-1,MATCH(L267,Ottone!$A$1:$Z$1,0)-1))*IF(G267="Ottone",1,0)</f>
        <v>0</v>
      </c>
      <c r="O267" s="255">
        <f ca="1">IF(ISERROR(OFFSET(Rame!$A$1,MATCH(J267,Rame!$A:$A,0)-1,MATCH(L267,Rame!$A$1:$AA$1,0)-1)=TRUE),0,OFFSET(Rame!$A$1,MATCH(J267,Rame!$A:$A,0)-1,MATCH(L267,Rame!$A$1:$AA$1,0)-1))*IF(G267="Rame",1,0)</f>
        <v>0</v>
      </c>
      <c r="P267" s="255">
        <v>0</v>
      </c>
      <c r="Q267" s="255">
        <v>1.5</v>
      </c>
      <c r="R267" s="255">
        <f ca="1">+IF(ISERROR(OFFSET(Tabella!$G$1,MATCH(J267,Tabella!$G:$G,0)-1,MATCH(K267,Tabella!$G$1:$FG$1,0)-1)=TRUE),0,OFFSET(Tabella!$G$1,MATCH(J267,Tabella!$G:$G,0)-1,MATCH(K267,Tabella!$G$1:$AB$1,0)-1))</f>
        <v>0</v>
      </c>
      <c r="S267" s="255">
        <f ca="1">IF(ISERROR(OFFSET(Ottone!$F$1,MATCH(J267,Ottone!$A:$A,0)-1,MATCH(K267,Ottone!$F$1:$FF$1,0)-1)=TRUE),0,OFFSET(Ottone!$F$1,MATCH(J267,Ottone!$A:$A,0)-1,MATCH(K267,Ottone!$F$1:$FF$1,0)-1))*IF(G267="Ottone",1,0)</f>
        <v>0</v>
      </c>
      <c r="T267" s="255">
        <f ca="1">IF(ISERROR(OFFSET(Rame!$F$1,MATCH(J267,Rame!$F:$F,0)-1,MATCH(K267,Rame!$F$1:$FF$1,0)-1)=TRUE),0,OFFSET(Rame!$F$1,MATCH(J267,Rame!$F:$F,0)-1,MATCH(K267,Rame!$F$1:$FF$1,0)-1))*IF(G267="Rame",1,0)</f>
        <v>0</v>
      </c>
      <c r="U267" s="255">
        <f ca="1">IF(ISERROR(OFFSET(Bronzo!$A$1,MATCH(J267,Bronzo!$A:$A,0)-1,MATCH(K267,Bronzo!$A$1:$AA$1,0)-1)=TRUE),0,OFFSET(Bronzo!$A$1,MATCH(J267,Bronzo!$A:$A,0)-1,MATCH(K267,Bronzo!$A$1:$AA$1,0)-1))</f>
        <v>0</v>
      </c>
      <c r="V267" s="255">
        <f t="shared" ca="1" si="114"/>
        <v>0</v>
      </c>
      <c r="W267" s="254"/>
      <c r="X267" s="255">
        <v>0</v>
      </c>
      <c r="Y267" s="256">
        <f t="shared" ca="1" si="115"/>
        <v>1.5</v>
      </c>
      <c r="Z267" s="269">
        <f t="shared" si="116"/>
        <v>60.34</v>
      </c>
      <c r="AA267" s="253">
        <v>4.05</v>
      </c>
      <c r="AB267" s="253">
        <f t="shared" ca="1" si="117"/>
        <v>-3.0000000000000249E-2</v>
      </c>
      <c r="AC267" s="258"/>
      <c r="AF267" s="223" t="s">
        <v>405</v>
      </c>
      <c r="AH267" s="232">
        <f t="shared" ca="1" si="107"/>
        <v>46120</v>
      </c>
      <c r="AI267" s="232" t="b">
        <f t="shared" si="108"/>
        <v>1</v>
      </c>
      <c r="AJ267" s="259" t="str">
        <f t="shared" si="118"/>
        <v/>
      </c>
      <c r="AM267" s="223">
        <f t="shared" si="109"/>
        <v>0</v>
      </c>
      <c r="AN267" s="223">
        <f t="shared" si="110"/>
        <v>1900</v>
      </c>
      <c r="AU267" s="223">
        <f t="shared" si="111"/>
        <v>0</v>
      </c>
      <c r="AV267" s="223">
        <f t="shared" si="112"/>
        <v>0</v>
      </c>
    </row>
    <row r="268" spans="4:48" ht="26.25" x14ac:dyDescent="0.4">
      <c r="D268" s="296" t="s">
        <v>601</v>
      </c>
      <c r="E268" s="262" t="s">
        <v>297</v>
      </c>
      <c r="F268" s="263">
        <v>1099</v>
      </c>
      <c r="G268" s="249" t="s">
        <v>4</v>
      </c>
      <c r="H268" s="250">
        <v>2.58</v>
      </c>
      <c r="I268" s="251">
        <v>46072</v>
      </c>
      <c r="J268" s="252" t="s">
        <v>25</v>
      </c>
      <c r="K268" s="252"/>
      <c r="L268" s="269">
        <v>7.0000000000000007E-2</v>
      </c>
      <c r="M268" s="254">
        <f ca="1">IF(ISERROR(OFFSET(Tabella!$A$1,MATCH(J268,Tabella!$A:$A,0)-1,MATCH(L268,Tabella!$A$1:$AC$1,0)-1)=TRUE),0,+OFFSET(Tabella!$A$1,MATCH(J268,Tabella!$A:$A,0)-1,MATCH(L268,Tabella!$A$1:$AC$1,0)-1))</f>
        <v>1.25</v>
      </c>
      <c r="N268" s="255">
        <f ca="1">IF(ISERROR(OFFSET(Ottone!$A$1,MATCH(J268,Ottone!$A:$A,0)-1,MATCH(L268,Ottone!$A$1:$Z$1,0)-1)=TRUE),0,OFFSET(Ottone!$A$1,MATCH(J268,Ottone!$A:$A,0)-1,MATCH(L268,Ottone!$A$1:$Z$1,0)-1))*IF(G268="Ottone",1,0)</f>
        <v>0</v>
      </c>
      <c r="O268" s="255">
        <f ca="1">IF(ISERROR(OFFSET(Rame!$A$1,MATCH(J268,Rame!$A:$A,0)-1,MATCH(L268,Rame!$A$1:$AA$1,0)-1)=TRUE),0,OFFSET(Rame!$A$1,MATCH(J268,Rame!$A:$A,0)-1,MATCH(L268,Rame!$A$1:$AA$1,0)-1))*IF(G268="Rame",1,0)</f>
        <v>0</v>
      </c>
      <c r="P268" s="255">
        <v>0</v>
      </c>
      <c r="Q268" s="255">
        <v>1.5</v>
      </c>
      <c r="R268" s="255">
        <f ca="1">+IF(ISERROR(OFFSET(Tabella!$G$1,MATCH(J268,Tabella!$G:$G,0)-1,MATCH(K268,Tabella!$G$1:$FG$1,0)-1)=TRUE),0,OFFSET(Tabella!$G$1,MATCH(J268,Tabella!$G:$G,0)-1,MATCH(K268,Tabella!$G$1:$AB$1,0)-1))</f>
        <v>0</v>
      </c>
      <c r="S268" s="255">
        <f ca="1">IF(ISERROR(OFFSET(Ottone!$F$1,MATCH(J268,Ottone!$A:$A,0)-1,MATCH(K268,Ottone!$F$1:$FF$1,0)-1)=TRUE),0,OFFSET(Ottone!$F$1,MATCH(J268,Ottone!$A:$A,0)-1,MATCH(K268,Ottone!$F$1:$FF$1,0)-1))*IF(G268="Ottone",1,0)</f>
        <v>0</v>
      </c>
      <c r="T268" s="255">
        <f ca="1">IF(ISERROR(OFFSET(Rame!$F$1,MATCH(J268,Rame!$F:$F,0)-1,MATCH(K268,Rame!$F$1:$FF$1,0)-1)=TRUE),0,OFFSET(Rame!$F$1,MATCH(J268,Rame!$F:$F,0)-1,MATCH(K268,Rame!$F$1:$FF$1,0)-1))*IF(G268="Rame",1,0)</f>
        <v>0</v>
      </c>
      <c r="U268" s="255">
        <f ca="1">IF(ISERROR(OFFSET(Bronzo!$A$1,MATCH(J268,Bronzo!$A:$A,0)-1,MATCH(K268,Bronzo!$A$1:$AA$1,0)-1)=TRUE),0,OFFSET(Bronzo!$A$1,MATCH(J268,Bronzo!$A:$A,0)-1,MATCH(K268,Bronzo!$A$1:$AA$1,0)-1))</f>
        <v>0</v>
      </c>
      <c r="V268" s="255">
        <f t="shared" ca="1" si="114"/>
        <v>0</v>
      </c>
      <c r="W268" s="254"/>
      <c r="X268" s="255">
        <v>0</v>
      </c>
      <c r="Y268" s="256">
        <f t="shared" ca="1" si="115"/>
        <v>1.5</v>
      </c>
      <c r="Z268" s="269">
        <f t="shared" si="116"/>
        <v>76.930000000000007</v>
      </c>
      <c r="AA268" s="253">
        <v>4.05</v>
      </c>
      <c r="AB268" s="253">
        <f t="shared" ca="1" si="117"/>
        <v>-3.0000000000000249E-2</v>
      </c>
      <c r="AC268" s="258"/>
      <c r="AF268" s="223" t="s">
        <v>405</v>
      </c>
      <c r="AH268" s="232">
        <f t="shared" ca="1" si="107"/>
        <v>46120</v>
      </c>
      <c r="AI268" s="232" t="b">
        <f t="shared" si="108"/>
        <v>1</v>
      </c>
      <c r="AJ268" s="259" t="str">
        <f t="shared" si="118"/>
        <v/>
      </c>
      <c r="AM268" s="223">
        <f t="shared" si="109"/>
        <v>0</v>
      </c>
      <c r="AN268" s="223">
        <f t="shared" si="110"/>
        <v>1900</v>
      </c>
      <c r="AU268" s="223">
        <f t="shared" si="111"/>
        <v>0</v>
      </c>
      <c r="AV268" s="223">
        <f t="shared" si="112"/>
        <v>0</v>
      </c>
    </row>
    <row r="269" spans="4:48" ht="26.25" x14ac:dyDescent="0.4">
      <c r="D269" s="296" t="s">
        <v>601</v>
      </c>
      <c r="E269" s="262" t="s">
        <v>297</v>
      </c>
      <c r="F269" s="263">
        <v>806</v>
      </c>
      <c r="G269" s="249" t="s">
        <v>4</v>
      </c>
      <c r="H269" s="250">
        <v>2.58</v>
      </c>
      <c r="I269" s="251">
        <v>46072</v>
      </c>
      <c r="J269" s="252" t="s">
        <v>25</v>
      </c>
      <c r="K269" s="252"/>
      <c r="L269" s="269">
        <v>7.0000000000000007E-2</v>
      </c>
      <c r="M269" s="254">
        <f ca="1">IF(ISERROR(OFFSET(Tabella!$A$1,MATCH(J269,Tabella!$A:$A,0)-1,MATCH(L269,Tabella!$A$1:$AC$1,0)-1)=TRUE),0,+OFFSET(Tabella!$A$1,MATCH(J269,Tabella!$A:$A,0)-1,MATCH(L269,Tabella!$A$1:$AC$1,0)-1))</f>
        <v>1.25</v>
      </c>
      <c r="N269" s="255">
        <f ca="1">IF(ISERROR(OFFSET(Ottone!$A$1,MATCH(J269,Ottone!$A:$A,0)-1,MATCH(L269,Ottone!$A$1:$Z$1,0)-1)=TRUE),0,OFFSET(Ottone!$A$1,MATCH(J269,Ottone!$A:$A,0)-1,MATCH(L269,Ottone!$A$1:$Z$1,0)-1))*IF(G269="Ottone",1,0)</f>
        <v>0</v>
      </c>
      <c r="O269" s="255">
        <f ca="1">IF(ISERROR(OFFSET(Rame!$A$1,MATCH(J269,Rame!$A:$A,0)-1,MATCH(L269,Rame!$A$1:$AA$1,0)-1)=TRUE),0,OFFSET(Rame!$A$1,MATCH(J269,Rame!$A:$A,0)-1,MATCH(L269,Rame!$A$1:$AA$1,0)-1))*IF(G269="Rame",1,0)</f>
        <v>0</v>
      </c>
      <c r="P269" s="255">
        <v>0</v>
      </c>
      <c r="Q269" s="255">
        <v>1.5</v>
      </c>
      <c r="R269" s="255">
        <f ca="1">+IF(ISERROR(OFFSET(Tabella!$G$1,MATCH(J269,Tabella!$G:$G,0)-1,MATCH(K269,Tabella!$G$1:$FG$1,0)-1)=TRUE),0,OFFSET(Tabella!$G$1,MATCH(J269,Tabella!$G:$G,0)-1,MATCH(K269,Tabella!$G$1:$AB$1,0)-1))</f>
        <v>0</v>
      </c>
      <c r="S269" s="255">
        <f ca="1">IF(ISERROR(OFFSET(Ottone!$F$1,MATCH(J269,Ottone!$A:$A,0)-1,MATCH(K269,Ottone!$F$1:$FF$1,0)-1)=TRUE),0,OFFSET(Ottone!$F$1,MATCH(J269,Ottone!$A:$A,0)-1,MATCH(K269,Ottone!$F$1:$FF$1,0)-1))*IF(G269="Ottone",1,0)</f>
        <v>0</v>
      </c>
      <c r="T269" s="255">
        <f ca="1">IF(ISERROR(OFFSET(Rame!$F$1,MATCH(J269,Rame!$F:$F,0)-1,MATCH(K269,Rame!$F$1:$FF$1,0)-1)=TRUE),0,OFFSET(Rame!$F$1,MATCH(J269,Rame!$F:$F,0)-1,MATCH(K269,Rame!$F$1:$FF$1,0)-1))*IF(G269="Rame",1,0)</f>
        <v>0</v>
      </c>
      <c r="U269" s="255">
        <f ca="1">IF(ISERROR(OFFSET(Bronzo!$A$1,MATCH(J269,Bronzo!$A:$A,0)-1,MATCH(K269,Bronzo!$A$1:$AA$1,0)-1)=TRUE),0,OFFSET(Bronzo!$A$1,MATCH(J269,Bronzo!$A:$A,0)-1,MATCH(K269,Bronzo!$A$1:$AA$1,0)-1))</f>
        <v>0</v>
      </c>
      <c r="V269" s="255">
        <f t="shared" ca="1" si="114"/>
        <v>0</v>
      </c>
      <c r="W269" s="254"/>
      <c r="X269" s="255">
        <v>0</v>
      </c>
      <c r="Y269" s="256">
        <f t="shared" ca="1" si="115"/>
        <v>1.5</v>
      </c>
      <c r="Z269" s="269">
        <f t="shared" si="116"/>
        <v>56.420000000000009</v>
      </c>
      <c r="AA269" s="253">
        <v>4.05</v>
      </c>
      <c r="AB269" s="253">
        <f t="shared" ca="1" si="117"/>
        <v>-3.0000000000000249E-2</v>
      </c>
      <c r="AC269" s="258"/>
      <c r="AF269" s="223" t="s">
        <v>405</v>
      </c>
      <c r="AH269" s="232">
        <f t="shared" ca="1" si="107"/>
        <v>46120</v>
      </c>
      <c r="AI269" s="232" t="b">
        <f t="shared" si="108"/>
        <v>1</v>
      </c>
      <c r="AJ269" s="259" t="str">
        <f t="shared" si="118"/>
        <v/>
      </c>
      <c r="AM269" s="223">
        <f t="shared" si="109"/>
        <v>0</v>
      </c>
      <c r="AN269" s="223">
        <f t="shared" si="110"/>
        <v>1900</v>
      </c>
      <c r="AU269" s="223">
        <f t="shared" si="111"/>
        <v>0</v>
      </c>
      <c r="AV269" s="223">
        <f t="shared" si="112"/>
        <v>0</v>
      </c>
    </row>
    <row r="270" spans="4:48" ht="26.25" x14ac:dyDescent="0.4">
      <c r="D270" s="296" t="s">
        <v>680</v>
      </c>
      <c r="E270" s="262" t="s">
        <v>297</v>
      </c>
      <c r="F270" s="263">
        <v>780</v>
      </c>
      <c r="G270" s="249" t="s">
        <v>4</v>
      </c>
      <c r="H270" s="250">
        <v>2.58</v>
      </c>
      <c r="I270" s="251">
        <v>46072</v>
      </c>
      <c r="J270" s="252" t="s">
        <v>26</v>
      </c>
      <c r="K270" s="252"/>
      <c r="L270" s="269">
        <v>7.0000000000000007E-2</v>
      </c>
      <c r="M270" s="254">
        <f ca="1">IF(ISERROR(OFFSET(Tabella!$A$1,MATCH(J270,Tabella!$A:$A,0)-1,MATCH(L270,Tabella!$A$1:$AC$1,0)-1)=TRUE),0,+OFFSET(Tabella!$A$1,MATCH(J270,Tabella!$A:$A,0)-1,MATCH(L270,Tabella!$A$1:$AC$1,0)-1))</f>
        <v>1.25</v>
      </c>
      <c r="N270" s="255">
        <f ca="1">IF(ISERROR(OFFSET(Ottone!$A$1,MATCH(J270,Ottone!$A:$A,0)-1,MATCH(L270,Ottone!$A$1:$Z$1,0)-1)=TRUE),0,OFFSET(Ottone!$A$1,MATCH(J270,Ottone!$A:$A,0)-1,MATCH(L270,Ottone!$A$1:$Z$1,0)-1))*IF(G270="Ottone",1,0)</f>
        <v>0</v>
      </c>
      <c r="O270" s="255">
        <f ca="1">IF(ISERROR(OFFSET(Rame!$A$1,MATCH(J270,Rame!$A:$A,0)-1,MATCH(L270,Rame!$A$1:$AA$1,0)-1)=TRUE),0,OFFSET(Rame!$A$1,MATCH(J270,Rame!$A:$A,0)-1,MATCH(L270,Rame!$A$1:$AA$1,0)-1))*IF(G270="Rame",1,0)</f>
        <v>0</v>
      </c>
      <c r="P270" s="255">
        <v>0</v>
      </c>
      <c r="Q270" s="255">
        <v>1.5</v>
      </c>
      <c r="R270" s="255">
        <f ca="1">+IF(ISERROR(OFFSET(Tabella!$G$1,MATCH(J270,Tabella!$G:$G,0)-1,MATCH(K270,Tabella!$G$1:$FG$1,0)-1)=TRUE),0,OFFSET(Tabella!$G$1,MATCH(J270,Tabella!$G:$G,0)-1,MATCH(K270,Tabella!$G$1:$AB$1,0)-1))</f>
        <v>0</v>
      </c>
      <c r="S270" s="255">
        <f ca="1">IF(ISERROR(OFFSET(Ottone!$F$1,MATCH(J270,Ottone!$A:$A,0)-1,MATCH(K270,Ottone!$F$1:$FF$1,0)-1)=TRUE),0,OFFSET(Ottone!$F$1,MATCH(J270,Ottone!$A:$A,0)-1,MATCH(K270,Ottone!$F$1:$FF$1,0)-1))*IF(G270="Ottone",1,0)</f>
        <v>0</v>
      </c>
      <c r="T270" s="255">
        <f ca="1">IF(ISERROR(OFFSET(Rame!$F$1,MATCH(J270,Rame!$F:$F,0)-1,MATCH(K270,Rame!$F$1:$FF$1,0)-1)=TRUE),0,OFFSET(Rame!$F$1,MATCH(J270,Rame!$F:$F,0)-1,MATCH(K270,Rame!$F$1:$FF$1,0)-1))*IF(G270="Rame",1,0)</f>
        <v>0</v>
      </c>
      <c r="U270" s="255">
        <f ca="1">IF(ISERROR(OFFSET(Bronzo!$A$1,MATCH(J270,Bronzo!$A:$A,0)-1,MATCH(K270,Bronzo!$A$1:$AA$1,0)-1)=TRUE),0,OFFSET(Bronzo!$A$1,MATCH(J270,Bronzo!$A:$A,0)-1,MATCH(K270,Bronzo!$A$1:$AA$1,0)-1))</f>
        <v>0</v>
      </c>
      <c r="V270" s="255">
        <f t="shared" ca="1" si="114"/>
        <v>0</v>
      </c>
      <c r="W270" s="254"/>
      <c r="X270" s="255">
        <v>0</v>
      </c>
      <c r="Y270" s="256">
        <f t="shared" ca="1" si="115"/>
        <v>1.5</v>
      </c>
      <c r="Z270" s="269">
        <f t="shared" si="116"/>
        <v>54.600000000000009</v>
      </c>
      <c r="AA270" s="253">
        <v>4.05</v>
      </c>
      <c r="AB270" s="253">
        <f t="shared" ca="1" si="117"/>
        <v>-3.0000000000000249E-2</v>
      </c>
      <c r="AC270" s="258"/>
      <c r="AF270" s="223" t="s">
        <v>405</v>
      </c>
      <c r="AH270" s="232">
        <f t="shared" ca="1" si="107"/>
        <v>46120</v>
      </c>
      <c r="AI270" s="232" t="b">
        <f t="shared" si="108"/>
        <v>1</v>
      </c>
      <c r="AJ270" s="259" t="str">
        <f t="shared" si="118"/>
        <v/>
      </c>
      <c r="AM270" s="223">
        <f t="shared" si="109"/>
        <v>0</v>
      </c>
      <c r="AN270" s="223">
        <f t="shared" si="110"/>
        <v>1900</v>
      </c>
      <c r="AU270" s="223">
        <f t="shared" si="111"/>
        <v>0</v>
      </c>
      <c r="AV270" s="223">
        <f t="shared" si="112"/>
        <v>0</v>
      </c>
    </row>
    <row r="271" spans="4:48" ht="26.25" x14ac:dyDescent="0.4">
      <c r="D271" s="246" t="s">
        <v>588</v>
      </c>
      <c r="E271" s="262" t="s">
        <v>257</v>
      </c>
      <c r="F271" s="263">
        <v>468</v>
      </c>
      <c r="G271" s="249" t="s">
        <v>4</v>
      </c>
      <c r="H271" s="250">
        <v>2.59</v>
      </c>
      <c r="I271" s="251">
        <v>46072</v>
      </c>
      <c r="J271" s="252" t="s">
        <v>23</v>
      </c>
      <c r="K271" s="252"/>
      <c r="L271" s="253">
        <v>7.0000000000000007E-2</v>
      </c>
      <c r="M271" s="254">
        <f ca="1">IF(ISERROR(OFFSET(Tabella!$A$1,MATCH(J271,Tabella!$A:$A,0)-1,MATCH(L271,Tabella!$A$1:$AC$1,0)-1)=TRUE),0,+OFFSET(Tabella!$A$1,MATCH(J271,Tabella!$A:$A,0)-1,MATCH(L271,Tabella!$A$1:$AC$1,0)-1))</f>
        <v>1.25</v>
      </c>
      <c r="N271" s="255">
        <f ca="1">IF(ISERROR(OFFSET(Ottone!$A$1,MATCH(J271,Ottone!$A:$A,0)-1,MATCH(L271,Ottone!$A$1:$Z$1,0)-1)=TRUE),0,OFFSET(Ottone!$A$1,MATCH(J271,Ottone!$A:$A,0)-1,MATCH(L271,Ottone!$A$1:$Z$1,0)-1))*IF(G271="Ottone",1,0)</f>
        <v>0</v>
      </c>
      <c r="O271" s="255">
        <f ca="1">IF(ISERROR(OFFSET(Rame!$A$1,MATCH(J271,Rame!$A:$A,0)-1,MATCH(L271,Rame!$A$1:$AA$1,0)-1)=TRUE),0,OFFSET(Rame!$A$1,MATCH(J271,Rame!$A:$A,0)-1,MATCH(L271,Rame!$A$1:$AA$1,0)-1))*IF(G271="Rame",1,0)</f>
        <v>0</v>
      </c>
      <c r="P271" s="255">
        <v>0</v>
      </c>
      <c r="Q271" s="255">
        <f t="shared" ca="1" si="113"/>
        <v>1.25</v>
      </c>
      <c r="R271" s="255">
        <f ca="1">+IF(ISERROR(OFFSET(Tabella!$G$1,MATCH(J271,Tabella!$G:$G,0)-1,MATCH(K271,Tabella!$G$1:$FG$1,0)-1)=TRUE),0,OFFSET(Tabella!$G$1,MATCH(J271,Tabella!$G:$G,0)-1,MATCH(K271,Tabella!$G$1:$AB$1,0)-1))</f>
        <v>0</v>
      </c>
      <c r="S271" s="255">
        <f ca="1">IF(ISERROR(OFFSET(Ottone!$F$1,MATCH(J271,Ottone!$A:$A,0)-1,MATCH(K271,Ottone!$F$1:$FF$1,0)-1)=TRUE),0,OFFSET(Ottone!$F$1,MATCH(J271,Ottone!$A:$A,0)-1,MATCH(K271,Ottone!$F$1:$FF$1,0)-1))*IF(G271="Ottone",1,0)</f>
        <v>0</v>
      </c>
      <c r="T271" s="255">
        <f ca="1">IF(ISERROR(OFFSET(Rame!$F$1,MATCH(J271,Rame!$F:$F,0)-1,MATCH(K271,Rame!$F$1:$FF$1,0)-1)=TRUE),0,OFFSET(Rame!$F$1,MATCH(J271,Rame!$F:$F,0)-1,MATCH(K271,Rame!$F$1:$FF$1,0)-1))*IF(G271="Rame",1,0)</f>
        <v>0</v>
      </c>
      <c r="U271" s="255">
        <f ca="1">IF(ISERROR(OFFSET(Bronzo!$A$1,MATCH(J271,Bronzo!$A:$A,0)-1,MATCH(K271,Bronzo!$A$1:$AA$1,0)-1)=TRUE),0,OFFSET(Bronzo!$A$1,MATCH(J271,Bronzo!$A:$A,0)-1,MATCH(K271,Bronzo!$A$1:$AA$1,0)-1))</f>
        <v>0</v>
      </c>
      <c r="V271" s="255">
        <f t="shared" ca="1" si="114"/>
        <v>0</v>
      </c>
      <c r="W271" s="254"/>
      <c r="X271" s="255">
        <v>0</v>
      </c>
      <c r="Y271" s="256">
        <f t="shared" ca="1" si="115"/>
        <v>1.25</v>
      </c>
      <c r="Z271" s="269">
        <f t="shared" si="116"/>
        <v>32.760000000000005</v>
      </c>
      <c r="AA271" s="253">
        <v>4.0999999999999996</v>
      </c>
      <c r="AB271" s="253">
        <f t="shared" ca="1" si="117"/>
        <v>0.25999999999999979</v>
      </c>
      <c r="AC271" s="258"/>
      <c r="AF271" s="223" t="s">
        <v>405</v>
      </c>
      <c r="AH271" s="232">
        <f t="shared" ca="1" si="107"/>
        <v>46120</v>
      </c>
      <c r="AI271" s="232" t="b">
        <f t="shared" si="108"/>
        <v>1</v>
      </c>
      <c r="AJ271" s="259" t="str">
        <f t="shared" si="118"/>
        <v/>
      </c>
      <c r="AM271" s="223">
        <f t="shared" si="109"/>
        <v>0</v>
      </c>
      <c r="AN271" s="223">
        <f t="shared" si="110"/>
        <v>1900</v>
      </c>
      <c r="AU271" s="223">
        <f t="shared" si="111"/>
        <v>0</v>
      </c>
      <c r="AV271" s="223">
        <f t="shared" si="112"/>
        <v>0</v>
      </c>
    </row>
    <row r="272" spans="4:48" ht="26.25" x14ac:dyDescent="0.4">
      <c r="D272" s="246" t="s">
        <v>760</v>
      </c>
      <c r="E272" s="292" t="s">
        <v>263</v>
      </c>
      <c r="F272" s="293">
        <v>761</v>
      </c>
      <c r="G272" s="249" t="s">
        <v>4</v>
      </c>
      <c r="H272" s="250">
        <v>2.69</v>
      </c>
      <c r="I272" s="251">
        <v>46073</v>
      </c>
      <c r="J272" s="252" t="s">
        <v>314</v>
      </c>
      <c r="K272" s="252"/>
      <c r="L272" s="253">
        <v>7.0000000000000007E-2</v>
      </c>
      <c r="M272" s="254">
        <f ca="1">IF(ISERROR(OFFSET(Tabella!$A$1,MATCH(J272,Tabella!$A:$A,0)-1,MATCH(L272,Tabella!$A$1:$AC$1,0)-1)=TRUE),0,+OFFSET(Tabella!$A$1,MATCH(J272,Tabella!$A:$A,0)-1,MATCH(L272,Tabella!$A$1:$AC$1,0)-1))</f>
        <v>1.25</v>
      </c>
      <c r="N272" s="255">
        <f ca="1">IF(ISERROR(OFFSET(Ottone!$A$1,MATCH(J272,Ottone!$A:$A,0)-1,MATCH(L272,Ottone!$A$1:$Z$1,0)-1)=TRUE),0,OFFSET(Ottone!$A$1,MATCH(J272,Ottone!$A:$A,0)-1,MATCH(L272,Ottone!$A$1:$Z$1,0)-1))*IF(G272="Ottone",1,0)</f>
        <v>0</v>
      </c>
      <c r="O272" s="255">
        <f ca="1">IF(ISERROR(OFFSET(Rame!$A$1,MATCH(J272,Rame!$A:$A,0)-1,MATCH(L272,Rame!$A$1:$AA$1,0)-1)=TRUE),0,OFFSET(Rame!$A$1,MATCH(J272,Rame!$A:$A,0)-1,MATCH(L272,Rame!$A$1:$AA$1,0)-1))*IF(G272="Rame",1,0)</f>
        <v>0</v>
      </c>
      <c r="P272" s="255">
        <v>0</v>
      </c>
      <c r="Q272" s="255">
        <f t="shared" ca="1" si="113"/>
        <v>1.25</v>
      </c>
      <c r="R272" s="255">
        <f ca="1">+IF(ISERROR(OFFSET(Tabella!$G$1,MATCH(J272,Tabella!$G:$G,0)-1,MATCH(K272,Tabella!$G$1:$FG$1,0)-1)=TRUE),0,OFFSET(Tabella!$G$1,MATCH(J272,Tabella!$G:$G,0)-1,MATCH(K272,Tabella!$G$1:$AB$1,0)-1))</f>
        <v>0</v>
      </c>
      <c r="S272" s="255">
        <f ca="1">IF(ISERROR(OFFSET(Ottone!$F$1,MATCH(J272,Ottone!$A:$A,0)-1,MATCH(K272,Ottone!$F$1:$FF$1,0)-1)=TRUE),0,OFFSET(Ottone!$F$1,MATCH(J272,Ottone!$A:$A,0)-1,MATCH(K272,Ottone!$F$1:$FF$1,0)-1))*IF(G272="Ottone",1,0)</f>
        <v>0</v>
      </c>
      <c r="T272" s="255">
        <f ca="1">IF(ISERROR(OFFSET(Rame!$F$1,MATCH(J272,Rame!$F:$F,0)-1,MATCH(K272,Rame!$F$1:$FF$1,0)-1)=TRUE),0,OFFSET(Rame!$F$1,MATCH(J272,Rame!$F:$F,0)-1,MATCH(K272,Rame!$F$1:$FF$1,0)-1))*IF(G272="Rame",1,0)</f>
        <v>0</v>
      </c>
      <c r="U272" s="255">
        <f ca="1">IF(ISERROR(OFFSET(Bronzo!$A$1,MATCH(J272,Bronzo!$A:$A,0)-1,MATCH(K272,Bronzo!$A$1:$AA$1,0)-1)=TRUE),0,OFFSET(Bronzo!$A$1,MATCH(J272,Bronzo!$A:$A,0)-1,MATCH(K272,Bronzo!$A$1:$AA$1,0)-1))</f>
        <v>0</v>
      </c>
      <c r="V272" s="255">
        <f t="shared" ca="1" si="114"/>
        <v>0</v>
      </c>
      <c r="W272" s="254"/>
      <c r="X272" s="255">
        <v>0</v>
      </c>
      <c r="Y272" s="256">
        <f t="shared" ca="1" si="115"/>
        <v>1.25</v>
      </c>
      <c r="Z272" s="291">
        <f t="shared" si="116"/>
        <v>53.27</v>
      </c>
      <c r="AA272" s="253">
        <v>4.26</v>
      </c>
      <c r="AB272" s="253">
        <f t="shared" ca="1" si="117"/>
        <v>0.31999999999999984</v>
      </c>
      <c r="AC272" s="258"/>
      <c r="AH272" s="232">
        <f t="shared" ca="1" si="107"/>
        <v>46120</v>
      </c>
      <c r="AI272" s="232" t="b">
        <f t="shared" si="108"/>
        <v>1</v>
      </c>
      <c r="AJ272" s="259" t="str">
        <f t="shared" si="118"/>
        <v/>
      </c>
      <c r="AM272" s="223">
        <f t="shared" si="109"/>
        <v>0</v>
      </c>
      <c r="AN272" s="223">
        <f t="shared" si="110"/>
        <v>1900</v>
      </c>
      <c r="AU272" s="223">
        <f t="shared" si="111"/>
        <v>0</v>
      </c>
      <c r="AV272" s="223">
        <f t="shared" si="112"/>
        <v>0</v>
      </c>
    </row>
    <row r="273" spans="4:48" ht="26.25" x14ac:dyDescent="0.4">
      <c r="D273" s="246" t="s">
        <v>754</v>
      </c>
      <c r="E273" s="292" t="s">
        <v>263</v>
      </c>
      <c r="F273" s="293">
        <v>1057</v>
      </c>
      <c r="G273" s="249" t="s">
        <v>4</v>
      </c>
      <c r="H273" s="250">
        <v>2.69</v>
      </c>
      <c r="I273" s="251">
        <v>46073</v>
      </c>
      <c r="J273" s="252" t="s">
        <v>15</v>
      </c>
      <c r="K273" s="252"/>
      <c r="L273" s="253">
        <v>7.0000000000000007E-2</v>
      </c>
      <c r="M273" s="254">
        <f ca="1">IF(ISERROR(OFFSET(Tabella!$A$1,MATCH(J273,Tabella!$A:$A,0)-1,MATCH(L273,Tabella!$A$1:$AC$1,0)-1)=TRUE),0,+OFFSET(Tabella!$A$1,MATCH(J273,Tabella!$A:$A,0)-1,MATCH(L273,Tabella!$A$1:$AC$1,0)-1))</f>
        <v>1.4</v>
      </c>
      <c r="N273" s="255">
        <f ca="1">IF(ISERROR(OFFSET(Ottone!$A$1,MATCH(J273,Ottone!$A:$A,0)-1,MATCH(L273,Ottone!$A$1:$Z$1,0)-1)=TRUE),0,OFFSET(Ottone!$A$1,MATCH(J273,Ottone!$A:$A,0)-1,MATCH(L273,Ottone!$A$1:$Z$1,0)-1))*IF(G273="Ottone",1,0)</f>
        <v>0</v>
      </c>
      <c r="O273" s="255">
        <f ca="1">IF(ISERROR(OFFSET(Rame!$A$1,MATCH(J273,Rame!$A:$A,0)-1,MATCH(L273,Rame!$A$1:$AA$1,0)-1)=TRUE),0,OFFSET(Rame!$A$1,MATCH(J273,Rame!$A:$A,0)-1,MATCH(L273,Rame!$A$1:$AA$1,0)-1))*IF(G273="Rame",1,0)</f>
        <v>0</v>
      </c>
      <c r="P273" s="255">
        <v>0</v>
      </c>
      <c r="Q273" s="255">
        <f t="shared" ca="1" si="113"/>
        <v>1.4</v>
      </c>
      <c r="R273" s="255">
        <f ca="1">+IF(ISERROR(OFFSET(Tabella!$G$1,MATCH(J273,Tabella!$G:$G,0)-1,MATCH(K273,Tabella!$G$1:$FG$1,0)-1)=TRUE),0,OFFSET(Tabella!$G$1,MATCH(J273,Tabella!$G:$G,0)-1,MATCH(K273,Tabella!$G$1:$AB$1,0)-1))</f>
        <v>0</v>
      </c>
      <c r="S273" s="255">
        <f ca="1">IF(ISERROR(OFFSET(Ottone!$F$1,MATCH(J273,Ottone!$A:$A,0)-1,MATCH(K273,Ottone!$F$1:$FF$1,0)-1)=TRUE),0,OFFSET(Ottone!$F$1,MATCH(J273,Ottone!$A:$A,0)-1,MATCH(K273,Ottone!$F$1:$FF$1,0)-1))*IF(G273="Ottone",1,0)</f>
        <v>0</v>
      </c>
      <c r="T273" s="255">
        <f ca="1">IF(ISERROR(OFFSET(Rame!$F$1,MATCH(J273,Rame!$F:$F,0)-1,MATCH(K273,Rame!$F$1:$FF$1,0)-1)=TRUE),0,OFFSET(Rame!$F$1,MATCH(J273,Rame!$F:$F,0)-1,MATCH(K273,Rame!$F$1:$FF$1,0)-1))*IF(G273="Rame",1,0)</f>
        <v>0</v>
      </c>
      <c r="U273" s="255">
        <f ca="1">IF(ISERROR(OFFSET(Bronzo!$A$1,MATCH(J273,Bronzo!$A:$A,0)-1,MATCH(K273,Bronzo!$A$1:$AA$1,0)-1)=TRUE),0,OFFSET(Bronzo!$A$1,MATCH(J273,Bronzo!$A:$A,0)-1,MATCH(K273,Bronzo!$A$1:$AA$1,0)-1))</f>
        <v>0</v>
      </c>
      <c r="V273" s="255">
        <f t="shared" ca="1" si="114"/>
        <v>0</v>
      </c>
      <c r="W273" s="254"/>
      <c r="X273" s="255">
        <v>0</v>
      </c>
      <c r="Y273" s="256">
        <f t="shared" ca="1" si="115"/>
        <v>1.4</v>
      </c>
      <c r="Z273" s="291">
        <f t="shared" si="116"/>
        <v>73.990000000000009</v>
      </c>
      <c r="AA273" s="253">
        <v>4.41</v>
      </c>
      <c r="AB273" s="253">
        <f t="shared" ca="1" si="117"/>
        <v>0.32000000000000028</v>
      </c>
      <c r="AC273" s="258"/>
      <c r="AH273" s="232">
        <f t="shared" ca="1" si="107"/>
        <v>46120</v>
      </c>
      <c r="AI273" s="232" t="b">
        <f t="shared" si="108"/>
        <v>1</v>
      </c>
      <c r="AJ273" s="259" t="str">
        <f t="shared" si="118"/>
        <v/>
      </c>
      <c r="AM273" s="223">
        <f t="shared" si="109"/>
        <v>0</v>
      </c>
      <c r="AN273" s="223">
        <f t="shared" si="110"/>
        <v>1900</v>
      </c>
      <c r="AU273" s="223">
        <f t="shared" si="111"/>
        <v>0</v>
      </c>
      <c r="AV273" s="223">
        <f t="shared" si="112"/>
        <v>0</v>
      </c>
    </row>
    <row r="274" spans="4:48" ht="26.25" x14ac:dyDescent="0.4">
      <c r="D274" s="246" t="s">
        <v>547</v>
      </c>
      <c r="E274" s="262" t="s">
        <v>304</v>
      </c>
      <c r="F274" s="263">
        <v>221</v>
      </c>
      <c r="G274" s="249" t="s">
        <v>6</v>
      </c>
      <c r="H274" s="250">
        <v>10.74</v>
      </c>
      <c r="I274" s="251">
        <v>46073</v>
      </c>
      <c r="J274" s="252" t="s">
        <v>14</v>
      </c>
      <c r="K274" s="252"/>
      <c r="L274" s="253">
        <v>0.15</v>
      </c>
      <c r="M274" s="254">
        <f ca="1">IF(ISERROR(OFFSET(Tabella!$A$1,MATCH(J274,Tabella!$A:$A,0)-1,MATCH(L274,Tabella!$A$1:$AC$1,0)-1)=TRUE),0,+OFFSET(Tabella!$A$1,MATCH(J274,Tabella!$A:$A,0)-1,MATCH(L274,Tabella!$A$1:$AC$1,0)-1))</f>
        <v>0</v>
      </c>
      <c r="N274" s="255">
        <f ca="1">IF(ISERROR(OFFSET(Ottone!$A$1,MATCH(J274,Ottone!$A:$A,0)-1,MATCH(L274,Ottone!$A$1:$Z$1,0)-1)=TRUE),0,OFFSET(Ottone!$A$1,MATCH(J274,Ottone!$A:$A,0)-1,MATCH(L274,Ottone!$A$1:$Z$1,0)-1))*IF(G274="Ottone",1,0)</f>
        <v>0</v>
      </c>
      <c r="O274" s="255">
        <f ca="1">IF(ISERROR(OFFSET(Rame!$A$1,MATCH(J274,Rame!$A:$A,0)-1,MATCH(L274,Rame!$A$1:$AA$1,0)-1)=TRUE),0,OFFSET(Rame!$A$1,MATCH(J274,Rame!$A:$A,0)-1,MATCH(L274,Rame!$A$1:$AA$1,0)-1))*IF(G274="Rame",1,0)</f>
        <v>1</v>
      </c>
      <c r="P274" s="255">
        <v>0</v>
      </c>
      <c r="Q274" s="255">
        <f t="shared" ca="1" si="113"/>
        <v>1</v>
      </c>
      <c r="R274" s="255">
        <f ca="1">+IF(ISERROR(OFFSET(Tabella!$G$1,MATCH(J274,Tabella!$G:$G,0)-1,MATCH(K274,Tabella!$G$1:$FG$1,0)-1)=TRUE),0,OFFSET(Tabella!$G$1,MATCH(J274,Tabella!$G:$G,0)-1,MATCH(K274,Tabella!$G$1:$AB$1,0)-1))</f>
        <v>0</v>
      </c>
      <c r="S274" s="255">
        <f ca="1">IF(ISERROR(OFFSET(Ottone!$F$1,MATCH(J274,Ottone!$A:$A,0)-1,MATCH(K274,Ottone!$F$1:$FF$1,0)-1)=TRUE),0,OFFSET(Ottone!$F$1,MATCH(J274,Ottone!$A:$A,0)-1,MATCH(K274,Ottone!$F$1:$FF$1,0)-1))*IF(G274="Ottone",1,0)</f>
        <v>0</v>
      </c>
      <c r="T274" s="255">
        <f ca="1">IF(ISERROR(OFFSET(Rame!$F$1,MATCH(J274,Rame!$F:$F,0)-1,MATCH(K274,Rame!$F$1:$FF$1,0)-1)=TRUE),0,OFFSET(Rame!$F$1,MATCH(J274,Rame!$F:$F,0)-1,MATCH(K274,Rame!$F$1:$FF$1,0)-1))*IF(G274="Rame",1,0)</f>
        <v>0</v>
      </c>
      <c r="U274" s="255">
        <f ca="1">IF(ISERROR(OFFSET(Bronzo!$A$1,MATCH(J274,Bronzo!$A:$A,0)-1,MATCH(K274,Bronzo!$A$1:$AA$1,0)-1)=TRUE),0,OFFSET(Bronzo!$A$1,MATCH(J274,Bronzo!$A:$A,0)-1,MATCH(K274,Bronzo!$A$1:$AA$1,0)-1))</f>
        <v>0</v>
      </c>
      <c r="V274" s="255">
        <f t="shared" ca="1" si="114"/>
        <v>0</v>
      </c>
      <c r="W274" s="254"/>
      <c r="X274" s="255">
        <v>0</v>
      </c>
      <c r="Y274" s="256">
        <f t="shared" ca="1" si="115"/>
        <v>1</v>
      </c>
      <c r="Z274" s="269">
        <f t="shared" si="116"/>
        <v>33.15</v>
      </c>
      <c r="AA274" s="253">
        <v>14.4</v>
      </c>
      <c r="AB274" s="253">
        <f t="shared" ca="1" si="117"/>
        <v>2.66</v>
      </c>
      <c r="AC274" s="258"/>
      <c r="AF274" s="223" t="s">
        <v>405</v>
      </c>
      <c r="AH274" s="232">
        <f t="shared" ca="1" si="107"/>
        <v>46120</v>
      </c>
      <c r="AI274" s="232" t="b">
        <f t="shared" si="108"/>
        <v>1</v>
      </c>
      <c r="AJ274" s="259" t="str">
        <f t="shared" si="118"/>
        <v/>
      </c>
      <c r="AM274" s="223">
        <f t="shared" si="109"/>
        <v>0</v>
      </c>
      <c r="AN274" s="223">
        <f t="shared" si="110"/>
        <v>1900</v>
      </c>
      <c r="AU274" s="223">
        <f t="shared" si="111"/>
        <v>0</v>
      </c>
      <c r="AV274" s="223">
        <f t="shared" si="112"/>
        <v>0</v>
      </c>
    </row>
    <row r="275" spans="4:48" ht="26.25" x14ac:dyDescent="0.4">
      <c r="D275" s="246" t="s">
        <v>579</v>
      </c>
      <c r="E275" s="262" t="s">
        <v>420</v>
      </c>
      <c r="F275" s="263">
        <v>1986</v>
      </c>
      <c r="G275" s="249" t="s">
        <v>4</v>
      </c>
      <c r="H275" s="250">
        <v>2.6</v>
      </c>
      <c r="I275" s="251">
        <v>46073</v>
      </c>
      <c r="J275" s="252" t="s">
        <v>24</v>
      </c>
      <c r="K275" s="252"/>
      <c r="L275" s="253">
        <v>7.0000000000000007E-2</v>
      </c>
      <c r="M275" s="254">
        <f ca="1">IF(ISERROR(OFFSET(Tabella!$A$1,MATCH(J275,Tabella!$A:$A,0)-1,MATCH(L275,Tabella!$A$1:$AC$1,0)-1)=TRUE),0,+OFFSET(Tabella!$A$1,MATCH(J275,Tabella!$A:$A,0)-1,MATCH(L275,Tabella!$A$1:$AC$1,0)-1))</f>
        <v>1.25</v>
      </c>
      <c r="N275" s="255">
        <f ca="1">IF(ISERROR(OFFSET(Ottone!$A$1,MATCH(J275,Ottone!$A:$A,0)-1,MATCH(L275,Ottone!$A$1:$Z$1,0)-1)=TRUE),0,OFFSET(Ottone!$A$1,MATCH(J275,Ottone!$A:$A,0)-1,MATCH(L275,Ottone!$A$1:$Z$1,0)-1))*IF(G275="Ottone",1,0)</f>
        <v>0</v>
      </c>
      <c r="O275" s="255">
        <f ca="1">IF(ISERROR(OFFSET(Rame!$A$1,MATCH(J275,Rame!$A:$A,0)-1,MATCH(L275,Rame!$A$1:$AA$1,0)-1)=TRUE),0,OFFSET(Rame!$A$1,MATCH(J275,Rame!$A:$A,0)-1,MATCH(L275,Rame!$A$1:$AA$1,0)-1))*IF(G275="Rame",1,0)</f>
        <v>0</v>
      </c>
      <c r="P275" s="255">
        <v>0</v>
      </c>
      <c r="Q275" s="255">
        <f t="shared" ca="1" si="113"/>
        <v>1.25</v>
      </c>
      <c r="R275" s="255">
        <f ca="1">+IF(ISERROR(OFFSET(Tabella!$G$1,MATCH(J275,Tabella!$G:$G,0)-1,MATCH(K275,Tabella!$G$1:$FG$1,0)-1)=TRUE),0,OFFSET(Tabella!$G$1,MATCH(J275,Tabella!$G:$G,0)-1,MATCH(K275,Tabella!$G$1:$AB$1,0)-1))</f>
        <v>0</v>
      </c>
      <c r="S275" s="255">
        <f ca="1">IF(ISERROR(OFFSET(Ottone!$F$1,MATCH(J275,Ottone!$A:$A,0)-1,MATCH(K275,Ottone!$F$1:$FF$1,0)-1)=TRUE),0,OFFSET(Ottone!$F$1,MATCH(J275,Ottone!$A:$A,0)-1,MATCH(K275,Ottone!$F$1:$FF$1,0)-1))*IF(G275="Ottone",1,0)</f>
        <v>0</v>
      </c>
      <c r="T275" s="255">
        <f ca="1">IF(ISERROR(OFFSET(Rame!$F$1,MATCH(J275,Rame!$F:$F,0)-1,MATCH(K275,Rame!$F$1:$FF$1,0)-1)=TRUE),0,OFFSET(Rame!$F$1,MATCH(J275,Rame!$F:$F,0)-1,MATCH(K275,Rame!$F$1:$FF$1,0)-1))*IF(G275="Rame",1,0)</f>
        <v>0</v>
      </c>
      <c r="U275" s="255">
        <f ca="1">IF(ISERROR(OFFSET(Bronzo!$A$1,MATCH(J275,Bronzo!$A:$A,0)-1,MATCH(K275,Bronzo!$A$1:$AA$1,0)-1)=TRUE),0,OFFSET(Bronzo!$A$1,MATCH(J275,Bronzo!$A:$A,0)-1,MATCH(K275,Bronzo!$A$1:$AA$1,0)-1))</f>
        <v>0</v>
      </c>
      <c r="V275" s="255">
        <f t="shared" ca="1" si="114"/>
        <v>0</v>
      </c>
      <c r="W275" s="254"/>
      <c r="X275" s="255">
        <v>0</v>
      </c>
      <c r="Y275" s="256">
        <f t="shared" ca="1" si="115"/>
        <v>1.25</v>
      </c>
      <c r="Z275" s="269">
        <f t="shared" si="116"/>
        <v>139.02000000000001</v>
      </c>
      <c r="AA275" s="253">
        <v>4.0999999999999996</v>
      </c>
      <c r="AB275" s="253">
        <f t="shared" ca="1" si="117"/>
        <v>0.24999999999999956</v>
      </c>
      <c r="AC275" s="258"/>
      <c r="AF275" s="223" t="s">
        <v>405</v>
      </c>
      <c r="AH275" s="232">
        <f t="shared" ca="1" si="107"/>
        <v>46120</v>
      </c>
      <c r="AI275" s="232" t="b">
        <f t="shared" si="108"/>
        <v>1</v>
      </c>
      <c r="AJ275" s="259" t="str">
        <f t="shared" ref="AJ275:AJ306" si="119">IF(AI275=FALSE,_xlfn.DAYS(AC275,AH275),"")</f>
        <v/>
      </c>
      <c r="AM275" s="223">
        <f t="shared" si="109"/>
        <v>0</v>
      </c>
      <c r="AN275" s="223">
        <f t="shared" si="110"/>
        <v>1900</v>
      </c>
      <c r="AU275" s="223">
        <f t="shared" si="111"/>
        <v>0</v>
      </c>
      <c r="AV275" s="223">
        <f t="shared" si="112"/>
        <v>0</v>
      </c>
    </row>
    <row r="276" spans="4:48" ht="26.25" x14ac:dyDescent="0.4">
      <c r="D276" s="246" t="s">
        <v>762</v>
      </c>
      <c r="E276" s="292" t="s">
        <v>263</v>
      </c>
      <c r="F276" s="293">
        <v>1450</v>
      </c>
      <c r="G276" s="249" t="s">
        <v>4</v>
      </c>
      <c r="H276" s="250">
        <v>2.69</v>
      </c>
      <c r="I276" s="251">
        <v>46073</v>
      </c>
      <c r="J276" s="252" t="s">
        <v>309</v>
      </c>
      <c r="K276" s="252"/>
      <c r="L276" s="253">
        <v>7.0000000000000007E-2</v>
      </c>
      <c r="M276" s="254">
        <f ca="1">IF(ISERROR(OFFSET(Tabella!$A$1,MATCH(J276,Tabella!$A:$A,0)-1,MATCH(L276,Tabella!$A$1:$AC$1,0)-1)=TRUE),0,+OFFSET(Tabella!$A$1,MATCH(J276,Tabella!$A:$A,0)-1,MATCH(L276,Tabella!$A$1:$AC$1,0)-1))</f>
        <v>1.25</v>
      </c>
      <c r="N276" s="255">
        <f ca="1">IF(ISERROR(OFFSET(Ottone!$A$1,MATCH(J276,Ottone!$A:$A,0)-1,MATCH(L276,Ottone!$A$1:$Z$1,0)-1)=TRUE),0,OFFSET(Ottone!$A$1,MATCH(J276,Ottone!$A:$A,0)-1,MATCH(L276,Ottone!$A$1:$Z$1,0)-1))*IF(G276="Ottone",1,0)</f>
        <v>0</v>
      </c>
      <c r="O276" s="255">
        <f ca="1">IF(ISERROR(OFFSET(Rame!$A$1,MATCH(J276,Rame!$A:$A,0)-1,MATCH(L276,Rame!$A$1:$AA$1,0)-1)=TRUE),0,OFFSET(Rame!$A$1,MATCH(J276,Rame!$A:$A,0)-1,MATCH(L276,Rame!$A$1:$AA$1,0)-1))*IF(G276="Rame",1,0)</f>
        <v>0</v>
      </c>
      <c r="P276" s="255">
        <v>0</v>
      </c>
      <c r="Q276" s="255">
        <f t="shared" ca="1" si="113"/>
        <v>1.25</v>
      </c>
      <c r="R276" s="255">
        <f ca="1">+IF(ISERROR(OFFSET(Tabella!$G$1,MATCH(J276,Tabella!$G:$G,0)-1,MATCH(K276,Tabella!$G$1:$FG$1,0)-1)=TRUE),0,OFFSET(Tabella!$G$1,MATCH(J276,Tabella!$G:$G,0)-1,MATCH(K276,Tabella!$G$1:$AB$1,0)-1))</f>
        <v>0</v>
      </c>
      <c r="S276" s="255">
        <f ca="1">IF(ISERROR(OFFSET(Ottone!$F$1,MATCH(J276,Ottone!$A:$A,0)-1,MATCH(K276,Ottone!$F$1:$FF$1,0)-1)=TRUE),0,OFFSET(Ottone!$F$1,MATCH(J276,Ottone!$A:$A,0)-1,MATCH(K276,Ottone!$F$1:$FF$1,0)-1))*IF(G276="Ottone",1,0)</f>
        <v>0</v>
      </c>
      <c r="T276" s="255">
        <f ca="1">IF(ISERROR(OFFSET(Rame!$F$1,MATCH(J276,Rame!$F:$F,0)-1,MATCH(K276,Rame!$F$1:$FF$1,0)-1)=TRUE),0,OFFSET(Rame!$F$1,MATCH(J276,Rame!$F:$F,0)-1,MATCH(K276,Rame!$F$1:$FF$1,0)-1))*IF(G276="Rame",1,0)</f>
        <v>0</v>
      </c>
      <c r="U276" s="255">
        <f ca="1">IF(ISERROR(OFFSET(Bronzo!$A$1,MATCH(J276,Bronzo!$A:$A,0)-1,MATCH(K276,Bronzo!$A$1:$AA$1,0)-1)=TRUE),0,OFFSET(Bronzo!$A$1,MATCH(J276,Bronzo!$A:$A,0)-1,MATCH(K276,Bronzo!$A$1:$AA$1,0)-1))</f>
        <v>0</v>
      </c>
      <c r="V276" s="255">
        <f t="shared" ca="1" si="114"/>
        <v>0</v>
      </c>
      <c r="W276" s="254"/>
      <c r="X276" s="255">
        <v>0</v>
      </c>
      <c r="Y276" s="256">
        <f t="shared" ca="1" si="115"/>
        <v>1.25</v>
      </c>
      <c r="Z276" s="291">
        <f t="shared" si="116"/>
        <v>101.50000000000001</v>
      </c>
      <c r="AA276" s="253">
        <v>4.26</v>
      </c>
      <c r="AB276" s="253">
        <f t="shared" ca="1" si="117"/>
        <v>0.31999999999999984</v>
      </c>
      <c r="AC276" s="258"/>
      <c r="AH276" s="232">
        <f t="shared" ref="AH276:AH337" ca="1" si="120">TODAY()</f>
        <v>46120</v>
      </c>
      <c r="AI276" s="232" t="b">
        <f t="shared" si="108"/>
        <v>1</v>
      </c>
      <c r="AJ276" s="259" t="str">
        <f t="shared" si="119"/>
        <v/>
      </c>
      <c r="AM276" s="223">
        <f t="shared" si="109"/>
        <v>0</v>
      </c>
      <c r="AN276" s="223">
        <f t="shared" si="110"/>
        <v>1900</v>
      </c>
      <c r="AU276" s="223">
        <f t="shared" si="111"/>
        <v>0</v>
      </c>
      <c r="AV276" s="223">
        <f t="shared" si="112"/>
        <v>0</v>
      </c>
    </row>
    <row r="277" spans="4:48" ht="26.25" x14ac:dyDescent="0.4">
      <c r="D277" s="246" t="s">
        <v>626</v>
      </c>
      <c r="E277" s="292" t="s">
        <v>263</v>
      </c>
      <c r="F277" s="293">
        <v>1582</v>
      </c>
      <c r="G277" s="249" t="s">
        <v>4</v>
      </c>
      <c r="H277" s="250">
        <v>2.69</v>
      </c>
      <c r="I277" s="251">
        <v>46073</v>
      </c>
      <c r="J277" s="252" t="s">
        <v>243</v>
      </c>
      <c r="K277" s="252"/>
      <c r="L277" s="253">
        <v>7.0000000000000007E-2</v>
      </c>
      <c r="M277" s="254">
        <f ca="1">IF(ISERROR(OFFSET(Tabella!$A$1,MATCH(J277,Tabella!$A:$A,0)-1,MATCH(L277,Tabella!$A$1:$AC$1,0)-1)=TRUE),0,+OFFSET(Tabella!$A$1,MATCH(J277,Tabella!$A:$A,0)-1,MATCH(L277,Tabella!$A$1:$AC$1,0)-1))</f>
        <v>1.4</v>
      </c>
      <c r="N277" s="255">
        <f ca="1">IF(ISERROR(OFFSET(Ottone!$A$1,MATCH(J277,Ottone!$A:$A,0)-1,MATCH(L277,Ottone!$A$1:$Z$1,0)-1)=TRUE),0,OFFSET(Ottone!$A$1,MATCH(J277,Ottone!$A:$A,0)-1,MATCH(L277,Ottone!$A$1:$Z$1,0)-1))*IF(G277="Ottone",1,0)</f>
        <v>0</v>
      </c>
      <c r="O277" s="255">
        <f ca="1">IF(ISERROR(OFFSET(Rame!$A$1,MATCH(J277,Rame!$A:$A,0)-1,MATCH(L277,Rame!$A$1:$AA$1,0)-1)=TRUE),0,OFFSET(Rame!$A$1,MATCH(J277,Rame!$A:$A,0)-1,MATCH(L277,Rame!$A$1:$AA$1,0)-1))*IF(G277="Rame",1,0)</f>
        <v>0</v>
      </c>
      <c r="P277" s="255">
        <v>0</v>
      </c>
      <c r="Q277" s="255">
        <f t="shared" ca="1" si="113"/>
        <v>1.4</v>
      </c>
      <c r="R277" s="255">
        <f ca="1">+IF(ISERROR(OFFSET(Tabella!$G$1,MATCH(J277,Tabella!$G:$G,0)-1,MATCH(K277,Tabella!$G$1:$FG$1,0)-1)=TRUE),0,OFFSET(Tabella!$G$1,MATCH(J277,Tabella!$G:$G,0)-1,MATCH(K277,Tabella!$G$1:$AB$1,0)-1))</f>
        <v>0</v>
      </c>
      <c r="S277" s="255">
        <f ca="1">IF(ISERROR(OFFSET(Ottone!$F$1,MATCH(J277,Ottone!$A:$A,0)-1,MATCH(K277,Ottone!$F$1:$FF$1,0)-1)=TRUE),0,OFFSET(Ottone!$F$1,MATCH(J277,Ottone!$A:$A,0)-1,MATCH(K277,Ottone!$F$1:$FF$1,0)-1))*IF(G277="Ottone",1,0)</f>
        <v>0</v>
      </c>
      <c r="T277" s="255">
        <f ca="1">IF(ISERROR(OFFSET(Rame!$F$1,MATCH(J277,Rame!$F:$F,0)-1,MATCH(K277,Rame!$F$1:$FF$1,0)-1)=TRUE),0,OFFSET(Rame!$F$1,MATCH(J277,Rame!$F:$F,0)-1,MATCH(K277,Rame!$F$1:$FF$1,0)-1))*IF(G277="Rame",1,0)</f>
        <v>0</v>
      </c>
      <c r="U277" s="255">
        <f ca="1">IF(ISERROR(OFFSET(Bronzo!$A$1,MATCH(J277,Bronzo!$A:$A,0)-1,MATCH(K277,Bronzo!$A$1:$AA$1,0)-1)=TRUE),0,OFFSET(Bronzo!$A$1,MATCH(J277,Bronzo!$A:$A,0)-1,MATCH(K277,Bronzo!$A$1:$AA$1,0)-1))</f>
        <v>0</v>
      </c>
      <c r="V277" s="255">
        <f t="shared" ca="1" si="114"/>
        <v>0</v>
      </c>
      <c r="W277" s="254"/>
      <c r="X277" s="255">
        <v>0</v>
      </c>
      <c r="Y277" s="256">
        <f t="shared" ca="1" si="115"/>
        <v>1.4</v>
      </c>
      <c r="Z277" s="291">
        <f t="shared" si="116"/>
        <v>110.74000000000001</v>
      </c>
      <c r="AA277" s="253">
        <v>4.3600000000000003</v>
      </c>
      <c r="AB277" s="253">
        <f t="shared" ca="1" si="117"/>
        <v>0.27000000000000046</v>
      </c>
      <c r="AC277" s="258"/>
      <c r="AH277" s="232">
        <f t="shared" ca="1" si="120"/>
        <v>46120</v>
      </c>
      <c r="AI277" s="232" t="b">
        <f t="shared" si="108"/>
        <v>1</v>
      </c>
      <c r="AJ277" s="259" t="str">
        <f t="shared" si="119"/>
        <v/>
      </c>
      <c r="AM277" s="223">
        <f t="shared" si="109"/>
        <v>0</v>
      </c>
      <c r="AN277" s="223">
        <f t="shared" si="110"/>
        <v>1900</v>
      </c>
      <c r="AU277" s="223">
        <f t="shared" si="111"/>
        <v>0</v>
      </c>
      <c r="AV277" s="223">
        <f t="shared" si="112"/>
        <v>0</v>
      </c>
    </row>
    <row r="278" spans="4:48" ht="26.25" x14ac:dyDescent="0.4">
      <c r="D278" s="246" t="s">
        <v>761</v>
      </c>
      <c r="E278" s="292" t="s">
        <v>263</v>
      </c>
      <c r="F278" s="293">
        <v>1346</v>
      </c>
      <c r="G278" s="249" t="s">
        <v>4</v>
      </c>
      <c r="H278" s="250">
        <v>2.69</v>
      </c>
      <c r="I278" s="251">
        <v>46073</v>
      </c>
      <c r="J278" s="252" t="s">
        <v>25</v>
      </c>
      <c r="K278" s="252"/>
      <c r="L278" s="253">
        <v>7.0000000000000007E-2</v>
      </c>
      <c r="M278" s="254">
        <f ca="1">IF(ISERROR(OFFSET(Tabella!$A$1,MATCH(J278,Tabella!$A:$A,0)-1,MATCH(L278,Tabella!$A$1:$AC$1,0)-1)=TRUE),0,+OFFSET(Tabella!$A$1,MATCH(J278,Tabella!$A:$A,0)-1,MATCH(L278,Tabella!$A$1:$AC$1,0)-1))</f>
        <v>1.25</v>
      </c>
      <c r="N278" s="255">
        <f ca="1">IF(ISERROR(OFFSET(Ottone!$A$1,MATCH(J278,Ottone!$A:$A,0)-1,MATCH(L278,Ottone!$A$1:$Z$1,0)-1)=TRUE),0,OFFSET(Ottone!$A$1,MATCH(J278,Ottone!$A:$A,0)-1,MATCH(L278,Ottone!$A$1:$Z$1,0)-1))*IF(G278="Ottone",1,0)</f>
        <v>0</v>
      </c>
      <c r="O278" s="255">
        <f ca="1">IF(ISERROR(OFFSET(Rame!$A$1,MATCH(J278,Rame!$A:$A,0)-1,MATCH(L278,Rame!$A$1:$AA$1,0)-1)=TRUE),0,OFFSET(Rame!$A$1,MATCH(J278,Rame!$A:$A,0)-1,MATCH(L278,Rame!$A$1:$AA$1,0)-1))*IF(G278="Rame",1,0)</f>
        <v>0</v>
      </c>
      <c r="P278" s="255">
        <v>0</v>
      </c>
      <c r="Q278" s="255">
        <v>1.5</v>
      </c>
      <c r="R278" s="255">
        <f ca="1">+IF(ISERROR(OFFSET(Tabella!$G$1,MATCH(J278,Tabella!$G:$G,0)-1,MATCH(K278,Tabella!$G$1:$FG$1,0)-1)=TRUE),0,OFFSET(Tabella!$G$1,MATCH(J278,Tabella!$G:$G,0)-1,MATCH(K278,Tabella!$G$1:$AB$1,0)-1))</f>
        <v>0</v>
      </c>
      <c r="S278" s="255">
        <f ca="1">IF(ISERROR(OFFSET(Ottone!$F$1,MATCH(J278,Ottone!$A:$A,0)-1,MATCH(K278,Ottone!$F$1:$FF$1,0)-1)=TRUE),0,OFFSET(Ottone!$F$1,MATCH(J278,Ottone!$A:$A,0)-1,MATCH(K278,Ottone!$F$1:$FF$1,0)-1))*IF(G278="Ottone",1,0)</f>
        <v>0</v>
      </c>
      <c r="T278" s="255">
        <f ca="1">IF(ISERROR(OFFSET(Rame!$F$1,MATCH(J278,Rame!$F:$F,0)-1,MATCH(K278,Rame!$F$1:$FF$1,0)-1)=TRUE),0,OFFSET(Rame!$F$1,MATCH(J278,Rame!$F:$F,0)-1,MATCH(K278,Rame!$F$1:$FF$1,0)-1))*IF(G278="Rame",1,0)</f>
        <v>0</v>
      </c>
      <c r="U278" s="255">
        <f ca="1">IF(ISERROR(OFFSET(Bronzo!$A$1,MATCH(J278,Bronzo!$A:$A,0)-1,MATCH(K278,Bronzo!$A$1:$AA$1,0)-1)=TRUE),0,OFFSET(Bronzo!$A$1,MATCH(J278,Bronzo!$A:$A,0)-1,MATCH(K278,Bronzo!$A$1:$AA$1,0)-1))</f>
        <v>0</v>
      </c>
      <c r="V278" s="255">
        <f t="shared" ca="1" si="114"/>
        <v>0</v>
      </c>
      <c r="W278" s="254"/>
      <c r="X278" s="255">
        <v>0</v>
      </c>
      <c r="Y278" s="256">
        <f t="shared" ca="1" si="115"/>
        <v>1.5</v>
      </c>
      <c r="Z278" s="291">
        <f t="shared" si="116"/>
        <v>94.220000000000013</v>
      </c>
      <c r="AA278" s="253">
        <v>4.26</v>
      </c>
      <c r="AB278" s="253">
        <f t="shared" ca="1" si="117"/>
        <v>6.999999999999984E-2</v>
      </c>
      <c r="AC278" s="258"/>
      <c r="AH278" s="232">
        <f t="shared" ca="1" si="120"/>
        <v>46120</v>
      </c>
      <c r="AI278" s="232" t="b">
        <f t="shared" si="108"/>
        <v>1</v>
      </c>
      <c r="AJ278" s="259" t="str">
        <f t="shared" si="119"/>
        <v/>
      </c>
      <c r="AM278" s="223">
        <f t="shared" si="109"/>
        <v>0</v>
      </c>
      <c r="AN278" s="223">
        <f t="shared" si="110"/>
        <v>1900</v>
      </c>
      <c r="AU278" s="223">
        <f t="shared" si="111"/>
        <v>0</v>
      </c>
      <c r="AV278" s="223">
        <f t="shared" si="112"/>
        <v>0</v>
      </c>
    </row>
    <row r="279" spans="4:48" ht="26.25" x14ac:dyDescent="0.4">
      <c r="D279" s="246" t="s">
        <v>761</v>
      </c>
      <c r="E279" s="292" t="s">
        <v>263</v>
      </c>
      <c r="F279" s="293">
        <v>741</v>
      </c>
      <c r="G279" s="249" t="s">
        <v>4</v>
      </c>
      <c r="H279" s="250">
        <v>2.69</v>
      </c>
      <c r="I279" s="251">
        <v>46073</v>
      </c>
      <c r="J279" s="252" t="s">
        <v>322</v>
      </c>
      <c r="K279" s="252"/>
      <c r="L279" s="253">
        <v>7.0000000000000007E-2</v>
      </c>
      <c r="M279" s="254">
        <f ca="1">IF(ISERROR(OFFSET(Tabella!$A$1,MATCH(J279,Tabella!$A:$A,0)-1,MATCH(L279,Tabella!$A$1:$AC$1,0)-1)=TRUE),0,+OFFSET(Tabella!$A$1,MATCH(J279,Tabella!$A:$A,0)-1,MATCH(L279,Tabella!$A$1:$AC$1,0)-1))</f>
        <v>1.25</v>
      </c>
      <c r="N279" s="255">
        <f ca="1">IF(ISERROR(OFFSET(Ottone!$A$1,MATCH(J279,Ottone!$A:$A,0)-1,MATCH(L279,Ottone!$A$1:$Z$1,0)-1)=TRUE),0,OFFSET(Ottone!$A$1,MATCH(J279,Ottone!$A:$A,0)-1,MATCH(L279,Ottone!$A$1:$Z$1,0)-1))*IF(G279="Ottone",1,0)</f>
        <v>0</v>
      </c>
      <c r="O279" s="255">
        <f ca="1">IF(ISERROR(OFFSET(Rame!$A$1,MATCH(J279,Rame!$A:$A,0)-1,MATCH(L279,Rame!$A$1:$AA$1,0)-1)=TRUE),0,OFFSET(Rame!$A$1,MATCH(J279,Rame!$A:$A,0)-1,MATCH(L279,Rame!$A$1:$AA$1,0)-1))*IF(G279="Rame",1,0)</f>
        <v>0</v>
      </c>
      <c r="P279" s="255">
        <v>0</v>
      </c>
      <c r="Q279" s="255">
        <v>1.5</v>
      </c>
      <c r="R279" s="255">
        <f ca="1">+IF(ISERROR(OFFSET(Tabella!$G$1,MATCH(J279,Tabella!$G:$G,0)-1,MATCH(K279,Tabella!$G$1:$FG$1,0)-1)=TRUE),0,OFFSET(Tabella!$G$1,MATCH(J279,Tabella!$G:$G,0)-1,MATCH(K279,Tabella!$G$1:$AB$1,0)-1))</f>
        <v>0</v>
      </c>
      <c r="S279" s="255">
        <f ca="1">IF(ISERROR(OFFSET(Ottone!$F$1,MATCH(J279,Ottone!$A:$A,0)-1,MATCH(K279,Ottone!$F$1:$FF$1,0)-1)=TRUE),0,OFFSET(Ottone!$F$1,MATCH(J279,Ottone!$A:$A,0)-1,MATCH(K279,Ottone!$F$1:$FF$1,0)-1))*IF(G279="Ottone",1,0)</f>
        <v>0</v>
      </c>
      <c r="T279" s="255">
        <f ca="1">IF(ISERROR(OFFSET(Rame!$F$1,MATCH(J279,Rame!$F:$F,0)-1,MATCH(K279,Rame!$F$1:$FF$1,0)-1)=TRUE),0,OFFSET(Rame!$F$1,MATCH(J279,Rame!$F:$F,0)-1,MATCH(K279,Rame!$F$1:$FF$1,0)-1))*IF(G279="Rame",1,0)</f>
        <v>0</v>
      </c>
      <c r="U279" s="255">
        <f ca="1">IF(ISERROR(OFFSET(Bronzo!$A$1,MATCH(J279,Bronzo!$A:$A,0)-1,MATCH(K279,Bronzo!$A$1:$AA$1,0)-1)=TRUE),0,OFFSET(Bronzo!$A$1,MATCH(J279,Bronzo!$A:$A,0)-1,MATCH(K279,Bronzo!$A$1:$AA$1,0)-1))</f>
        <v>0</v>
      </c>
      <c r="V279" s="255">
        <f t="shared" ca="1" si="114"/>
        <v>0</v>
      </c>
      <c r="W279" s="254"/>
      <c r="X279" s="255">
        <v>0</v>
      </c>
      <c r="Y279" s="256">
        <f t="shared" ca="1" si="115"/>
        <v>1.5</v>
      </c>
      <c r="Z279" s="291">
        <f t="shared" si="116"/>
        <v>51.870000000000005</v>
      </c>
      <c r="AA279" s="253">
        <v>4.26</v>
      </c>
      <c r="AB279" s="253">
        <f t="shared" ca="1" si="117"/>
        <v>6.999999999999984E-2</v>
      </c>
      <c r="AC279" s="258"/>
      <c r="AH279" s="232">
        <f t="shared" ca="1" si="120"/>
        <v>46120</v>
      </c>
      <c r="AI279" s="232" t="b">
        <f t="shared" si="108"/>
        <v>1</v>
      </c>
      <c r="AJ279" s="259" t="str">
        <f t="shared" si="119"/>
        <v/>
      </c>
      <c r="AM279" s="223">
        <f t="shared" si="109"/>
        <v>0</v>
      </c>
      <c r="AN279" s="223">
        <f t="shared" si="110"/>
        <v>1900</v>
      </c>
      <c r="AU279" s="223">
        <f t="shared" si="111"/>
        <v>0</v>
      </c>
      <c r="AV279" s="223">
        <f t="shared" si="112"/>
        <v>0</v>
      </c>
    </row>
    <row r="280" spans="4:48" ht="26.25" x14ac:dyDescent="0.4">
      <c r="D280" s="246" t="s">
        <v>755</v>
      </c>
      <c r="E280" s="292" t="s">
        <v>263</v>
      </c>
      <c r="F280" s="293">
        <v>1015</v>
      </c>
      <c r="G280" s="249" t="s">
        <v>4</v>
      </c>
      <c r="H280" s="250">
        <v>2.69</v>
      </c>
      <c r="I280" s="251">
        <v>46073</v>
      </c>
      <c r="J280" s="252" t="s">
        <v>15</v>
      </c>
      <c r="K280" s="252"/>
      <c r="L280" s="253">
        <v>7.0000000000000007E-2</v>
      </c>
      <c r="M280" s="254">
        <f ca="1">IF(ISERROR(OFFSET(Tabella!$A$1,MATCH(J280,Tabella!$A:$A,0)-1,MATCH(L280,Tabella!$A$1:$AC$1,0)-1)=TRUE),0,+OFFSET(Tabella!$A$1,MATCH(J280,Tabella!$A:$A,0)-1,MATCH(L280,Tabella!$A$1:$AC$1,0)-1))</f>
        <v>1.4</v>
      </c>
      <c r="N280" s="255">
        <f ca="1">IF(ISERROR(OFFSET(Ottone!$A$1,MATCH(J280,Ottone!$A:$A,0)-1,MATCH(L280,Ottone!$A$1:$Z$1,0)-1)=TRUE),0,OFFSET(Ottone!$A$1,MATCH(J280,Ottone!$A:$A,0)-1,MATCH(L280,Ottone!$A$1:$Z$1,0)-1))*IF(G280="Ottone",1,0)</f>
        <v>0</v>
      </c>
      <c r="O280" s="255">
        <f ca="1">IF(ISERROR(OFFSET(Rame!$A$1,MATCH(J280,Rame!$A:$A,0)-1,MATCH(L280,Rame!$A$1:$AA$1,0)-1)=TRUE),0,OFFSET(Rame!$A$1,MATCH(J280,Rame!$A:$A,0)-1,MATCH(L280,Rame!$A$1:$AA$1,0)-1))*IF(G280="Rame",1,0)</f>
        <v>0</v>
      </c>
      <c r="P280" s="255">
        <v>0</v>
      </c>
      <c r="Q280" s="255">
        <v>1.6</v>
      </c>
      <c r="R280" s="255">
        <f ca="1">+IF(ISERROR(OFFSET(Tabella!$G$1,MATCH(J280,Tabella!$G:$G,0)-1,MATCH(K280,Tabella!$G$1:$FG$1,0)-1)=TRUE),0,OFFSET(Tabella!$G$1,MATCH(J280,Tabella!$G:$G,0)-1,MATCH(K280,Tabella!$G$1:$AB$1,0)-1))</f>
        <v>0</v>
      </c>
      <c r="S280" s="255">
        <f ca="1">IF(ISERROR(OFFSET(Ottone!$F$1,MATCH(J280,Ottone!$A:$A,0)-1,MATCH(K280,Ottone!$F$1:$FF$1,0)-1)=TRUE),0,OFFSET(Ottone!$F$1,MATCH(J280,Ottone!$A:$A,0)-1,MATCH(K280,Ottone!$F$1:$FF$1,0)-1))*IF(G280="Ottone",1,0)</f>
        <v>0</v>
      </c>
      <c r="T280" s="255">
        <f ca="1">IF(ISERROR(OFFSET(Rame!$F$1,MATCH(J280,Rame!$F:$F,0)-1,MATCH(K280,Rame!$F$1:$FF$1,0)-1)=TRUE),0,OFFSET(Rame!$F$1,MATCH(J280,Rame!$F:$F,0)-1,MATCH(K280,Rame!$F$1:$FF$1,0)-1))*IF(G280="Rame",1,0)</f>
        <v>0</v>
      </c>
      <c r="U280" s="255">
        <f ca="1">IF(ISERROR(OFFSET(Bronzo!$A$1,MATCH(J280,Bronzo!$A:$A,0)-1,MATCH(K280,Bronzo!$A$1:$AA$1,0)-1)=TRUE),0,OFFSET(Bronzo!$A$1,MATCH(J280,Bronzo!$A:$A,0)-1,MATCH(K280,Bronzo!$A$1:$AA$1,0)-1))</f>
        <v>0</v>
      </c>
      <c r="V280" s="255">
        <f t="shared" ca="1" si="114"/>
        <v>0</v>
      </c>
      <c r="W280" s="254"/>
      <c r="X280" s="255">
        <v>0</v>
      </c>
      <c r="Y280" s="256">
        <f t="shared" ca="1" si="115"/>
        <v>1.6</v>
      </c>
      <c r="Z280" s="291">
        <f t="shared" si="116"/>
        <v>71.050000000000011</v>
      </c>
      <c r="AA280" s="253">
        <v>4.41</v>
      </c>
      <c r="AB280" s="253">
        <f t="shared" ca="1" si="117"/>
        <v>0.12000000000000011</v>
      </c>
      <c r="AC280" s="258"/>
      <c r="AH280" s="232">
        <f t="shared" ca="1" si="120"/>
        <v>46120</v>
      </c>
      <c r="AI280" s="232" t="b">
        <f t="shared" si="108"/>
        <v>1</v>
      </c>
      <c r="AJ280" s="259" t="str">
        <f t="shared" si="119"/>
        <v/>
      </c>
      <c r="AM280" s="223">
        <f t="shared" si="109"/>
        <v>0</v>
      </c>
      <c r="AN280" s="223">
        <f t="shared" si="110"/>
        <v>1900</v>
      </c>
      <c r="AU280" s="223">
        <f t="shared" si="111"/>
        <v>0</v>
      </c>
      <c r="AV280" s="223">
        <f t="shared" si="112"/>
        <v>0</v>
      </c>
    </row>
    <row r="281" spans="4:48" ht="26.25" x14ac:dyDescent="0.4">
      <c r="D281" s="246" t="s">
        <v>685</v>
      </c>
      <c r="E281" s="262" t="s">
        <v>108</v>
      </c>
      <c r="F281" s="263">
        <v>1006</v>
      </c>
      <c r="G281" s="249" t="s">
        <v>4</v>
      </c>
      <c r="H281" s="250">
        <v>2.6</v>
      </c>
      <c r="I281" s="251">
        <v>46058</v>
      </c>
      <c r="J281" s="252" t="s">
        <v>308</v>
      </c>
      <c r="K281" s="252"/>
      <c r="L281" s="253">
        <v>7.0000000000000007E-2</v>
      </c>
      <c r="M281" s="254">
        <f ca="1">IF(ISERROR(OFFSET(Tabella!$A$1,MATCH(J281,Tabella!$A:$A,0)-1,MATCH(L281,Tabella!$A$1:$AC$1,0)-1)=TRUE),0,+OFFSET(Tabella!$A$1,MATCH(J281,Tabella!$A:$A,0)-1,MATCH(L281,Tabella!$A$1:$AC$1,0)-1))</f>
        <v>1.25</v>
      </c>
      <c r="N281" s="255">
        <f ca="1">IF(ISERROR(OFFSET(Ottone!$A$1,MATCH(J281,Ottone!$A:$A,0)-1,MATCH(L281,Ottone!$A$1:$Z$1,0)-1)=TRUE),0,OFFSET(Ottone!$A$1,MATCH(J281,Ottone!$A:$A,0)-1,MATCH(L281,Ottone!$A$1:$Z$1,0)-1))*IF(G281="Ottone",1,0)</f>
        <v>0</v>
      </c>
      <c r="O281" s="255">
        <f ca="1">IF(ISERROR(OFFSET(Rame!$A$1,MATCH(J281,Rame!$A:$A,0)-1,MATCH(L281,Rame!$A$1:$AA$1,0)-1)=TRUE),0,OFFSET(Rame!$A$1,MATCH(J281,Rame!$A:$A,0)-1,MATCH(L281,Rame!$A$1:$AA$1,0)-1))*IF(G281="Rame",1,0)</f>
        <v>0</v>
      </c>
      <c r="P281" s="255">
        <v>0</v>
      </c>
      <c r="Q281" s="255">
        <v>1.5</v>
      </c>
      <c r="R281" s="255">
        <f ca="1">+IF(ISERROR(OFFSET(Tabella!$G$1,MATCH(J281,Tabella!$G:$G,0)-1,MATCH(K281,Tabella!$G$1:$FG$1,0)-1)=TRUE),0,OFFSET(Tabella!$G$1,MATCH(J281,Tabella!$G:$G,0)-1,MATCH(K281,Tabella!$G$1:$AB$1,0)-1))</f>
        <v>0</v>
      </c>
      <c r="S281" s="255">
        <f ca="1">IF(ISERROR(OFFSET(Ottone!$F$1,MATCH(J281,Ottone!$A:$A,0)-1,MATCH(K281,Ottone!$F$1:$FF$1,0)-1)=TRUE),0,OFFSET(Ottone!$F$1,MATCH(J281,Ottone!$A:$A,0)-1,MATCH(K281,Ottone!$F$1:$FF$1,0)-1))*IF(G281="Ottone",1,0)</f>
        <v>0</v>
      </c>
      <c r="T281" s="255">
        <f ca="1">IF(ISERROR(OFFSET(Rame!$F$1,MATCH(J281,Rame!$F:$F,0)-1,MATCH(K281,Rame!$F$1:$FF$1,0)-1)=TRUE),0,OFFSET(Rame!$F$1,MATCH(J281,Rame!$F:$F,0)-1,MATCH(K281,Rame!$F$1:$FF$1,0)-1))*IF(G281="Rame",1,0)</f>
        <v>0</v>
      </c>
      <c r="U281" s="255">
        <f ca="1">IF(ISERROR(OFFSET(Bronzo!$A$1,MATCH(J281,Bronzo!$A:$A,0)-1,MATCH(K281,Bronzo!$A$1:$AA$1,0)-1)=TRUE),0,OFFSET(Bronzo!$A$1,MATCH(J281,Bronzo!$A:$A,0)-1,MATCH(K281,Bronzo!$A$1:$AA$1,0)-1))</f>
        <v>0</v>
      </c>
      <c r="V281" s="255">
        <f t="shared" ca="1" si="114"/>
        <v>0</v>
      </c>
      <c r="W281" s="254"/>
      <c r="X281" s="255">
        <v>0</v>
      </c>
      <c r="Y281" s="256">
        <f t="shared" ca="1" si="115"/>
        <v>1.5</v>
      </c>
      <c r="Z281" s="269">
        <f t="shared" si="116"/>
        <v>70.42</v>
      </c>
      <c r="AA281" s="253">
        <v>4.4000000000000004</v>
      </c>
      <c r="AB281" s="253">
        <f t="shared" ca="1" si="117"/>
        <v>0.30000000000000027</v>
      </c>
      <c r="AC281" s="258"/>
      <c r="AF281" s="223" t="s">
        <v>405</v>
      </c>
      <c r="AH281" s="232">
        <f t="shared" ca="1" si="120"/>
        <v>46120</v>
      </c>
      <c r="AI281" s="232" t="b">
        <f t="shared" si="108"/>
        <v>1</v>
      </c>
      <c r="AJ281" s="259" t="str">
        <f t="shared" si="119"/>
        <v/>
      </c>
      <c r="AM281" s="223">
        <f t="shared" si="109"/>
        <v>0</v>
      </c>
      <c r="AN281" s="223">
        <f t="shared" si="110"/>
        <v>1900</v>
      </c>
      <c r="AU281" s="223">
        <f t="shared" si="111"/>
        <v>0</v>
      </c>
      <c r="AV281" s="223">
        <f t="shared" si="112"/>
        <v>0</v>
      </c>
    </row>
    <row r="282" spans="4:48" ht="26.25" x14ac:dyDescent="0.4">
      <c r="D282" s="246" t="s">
        <v>636</v>
      </c>
      <c r="E282" s="262" t="s">
        <v>108</v>
      </c>
      <c r="F282" s="263">
        <v>1079</v>
      </c>
      <c r="G282" s="249" t="s">
        <v>4</v>
      </c>
      <c r="H282" s="250">
        <v>2.6</v>
      </c>
      <c r="I282" s="251">
        <v>46058</v>
      </c>
      <c r="J282" s="252" t="s">
        <v>28</v>
      </c>
      <c r="K282" s="252"/>
      <c r="L282" s="253">
        <v>7.0000000000000007E-2</v>
      </c>
      <c r="M282" s="254">
        <f ca="1">IF(ISERROR(OFFSET(Tabella!$A$1,MATCH(J282,Tabella!$A:$A,0)-1,MATCH(L282,Tabella!$A$1:$AC$1,0)-1)=TRUE),0,+OFFSET(Tabella!$A$1,MATCH(J282,Tabella!$A:$A,0)-1,MATCH(L282,Tabella!$A$1:$AC$1,0)-1))</f>
        <v>1.25</v>
      </c>
      <c r="N282" s="255">
        <f ca="1">IF(ISERROR(OFFSET(Ottone!$A$1,MATCH(J282,Ottone!$A:$A,0)-1,MATCH(L282,Ottone!$A$1:$Z$1,0)-1)=TRUE),0,OFFSET(Ottone!$A$1,MATCH(J282,Ottone!$A:$A,0)-1,MATCH(L282,Ottone!$A$1:$Z$1,0)-1))*IF(G282="Ottone",1,0)</f>
        <v>0</v>
      </c>
      <c r="O282" s="255">
        <f ca="1">IF(ISERROR(OFFSET(Rame!$A$1,MATCH(J282,Rame!$A:$A,0)-1,MATCH(L282,Rame!$A$1:$AA$1,0)-1)=TRUE),0,OFFSET(Rame!$A$1,MATCH(J282,Rame!$A:$A,0)-1,MATCH(L282,Rame!$A$1:$AA$1,0)-1))*IF(G282="Rame",1,0)</f>
        <v>0</v>
      </c>
      <c r="P282" s="255">
        <v>0</v>
      </c>
      <c r="Q282" s="255">
        <v>1.5</v>
      </c>
      <c r="R282" s="255">
        <f ca="1">+IF(ISERROR(OFFSET(Tabella!$G$1,MATCH(J282,Tabella!$G:$G,0)-1,MATCH(K282,Tabella!$G$1:$FG$1,0)-1)=TRUE),0,OFFSET(Tabella!$G$1,MATCH(J282,Tabella!$G:$G,0)-1,MATCH(K282,Tabella!$G$1:$AB$1,0)-1))</f>
        <v>0</v>
      </c>
      <c r="S282" s="255">
        <f ca="1">IF(ISERROR(OFFSET(Ottone!$F$1,MATCH(J282,Ottone!$A:$A,0)-1,MATCH(K282,Ottone!$F$1:$FF$1,0)-1)=TRUE),0,OFFSET(Ottone!$F$1,MATCH(J282,Ottone!$A:$A,0)-1,MATCH(K282,Ottone!$F$1:$FF$1,0)-1))*IF(G282="Ottone",1,0)</f>
        <v>0</v>
      </c>
      <c r="T282" s="255">
        <f ca="1">IF(ISERROR(OFFSET(Rame!$F$1,MATCH(J282,Rame!$F:$F,0)-1,MATCH(K282,Rame!$F$1:$FF$1,0)-1)=TRUE),0,OFFSET(Rame!$F$1,MATCH(J282,Rame!$F:$F,0)-1,MATCH(K282,Rame!$F$1:$FF$1,0)-1))*IF(G282="Rame",1,0)</f>
        <v>0</v>
      </c>
      <c r="U282" s="255">
        <f ca="1">IF(ISERROR(OFFSET(Bronzo!$A$1,MATCH(J282,Bronzo!$A:$A,0)-1,MATCH(K282,Bronzo!$A$1:$AA$1,0)-1)=TRUE),0,OFFSET(Bronzo!$A$1,MATCH(J282,Bronzo!$A:$A,0)-1,MATCH(K282,Bronzo!$A$1:$AA$1,0)-1))</f>
        <v>0</v>
      </c>
      <c r="V282" s="255">
        <f t="shared" ca="1" si="114"/>
        <v>0</v>
      </c>
      <c r="W282" s="254"/>
      <c r="X282" s="255">
        <v>0</v>
      </c>
      <c r="Y282" s="256">
        <f t="shared" ca="1" si="115"/>
        <v>1.5</v>
      </c>
      <c r="Z282" s="269">
        <f t="shared" si="116"/>
        <v>75.53</v>
      </c>
      <c r="AA282" s="253">
        <v>4.0999999999999996</v>
      </c>
      <c r="AB282" s="253">
        <f t="shared" ca="1" si="117"/>
        <v>0</v>
      </c>
      <c r="AC282" s="258"/>
      <c r="AF282" s="223" t="s">
        <v>405</v>
      </c>
      <c r="AH282" s="232">
        <f t="shared" ca="1" si="120"/>
        <v>46120</v>
      </c>
      <c r="AI282" s="232" t="b">
        <f t="shared" si="108"/>
        <v>1</v>
      </c>
      <c r="AJ282" s="259" t="str">
        <f t="shared" si="119"/>
        <v/>
      </c>
      <c r="AM282" s="223">
        <f t="shared" si="109"/>
        <v>0</v>
      </c>
      <c r="AN282" s="223">
        <f t="shared" si="110"/>
        <v>1900</v>
      </c>
      <c r="AU282" s="223">
        <f t="shared" si="111"/>
        <v>0</v>
      </c>
      <c r="AV282" s="223">
        <f t="shared" si="112"/>
        <v>0</v>
      </c>
    </row>
    <row r="283" spans="4:48" ht="26.25" x14ac:dyDescent="0.4">
      <c r="D283" s="246" t="s">
        <v>685</v>
      </c>
      <c r="E283" s="262" t="s">
        <v>108</v>
      </c>
      <c r="F283" s="263">
        <v>971</v>
      </c>
      <c r="G283" s="249" t="s">
        <v>4</v>
      </c>
      <c r="H283" s="250">
        <v>2.6</v>
      </c>
      <c r="I283" s="251">
        <v>46058</v>
      </c>
      <c r="J283" s="252" t="s">
        <v>322</v>
      </c>
      <c r="K283" s="252"/>
      <c r="L283" s="253">
        <v>7.0000000000000007E-2</v>
      </c>
      <c r="M283" s="254">
        <f ca="1">IF(ISERROR(OFFSET(Tabella!$A$1,MATCH(J283,Tabella!$A:$A,0)-1,MATCH(L283,Tabella!$A$1:$AC$1,0)-1)=TRUE),0,+OFFSET(Tabella!$A$1,MATCH(J283,Tabella!$A:$A,0)-1,MATCH(L283,Tabella!$A$1:$AC$1,0)-1))</f>
        <v>1.25</v>
      </c>
      <c r="N283" s="255">
        <f ca="1">IF(ISERROR(OFFSET(Ottone!$A$1,MATCH(J283,Ottone!$A:$A,0)-1,MATCH(L283,Ottone!$A$1:$Z$1,0)-1)=TRUE),0,OFFSET(Ottone!$A$1,MATCH(J283,Ottone!$A:$A,0)-1,MATCH(L283,Ottone!$A$1:$Z$1,0)-1))*IF(G283="Ottone",1,0)</f>
        <v>0</v>
      </c>
      <c r="O283" s="255">
        <f ca="1">IF(ISERROR(OFFSET(Rame!$A$1,MATCH(J283,Rame!$A:$A,0)-1,MATCH(L283,Rame!$A$1:$AA$1,0)-1)=TRUE),0,OFFSET(Rame!$A$1,MATCH(J283,Rame!$A:$A,0)-1,MATCH(L283,Rame!$A$1:$AA$1,0)-1))*IF(G283="Rame",1,0)</f>
        <v>0</v>
      </c>
      <c r="P283" s="255">
        <v>0</v>
      </c>
      <c r="Q283" s="255">
        <v>1.5</v>
      </c>
      <c r="R283" s="255">
        <f ca="1">+IF(ISERROR(OFFSET(Tabella!$G$1,MATCH(J283,Tabella!$G:$G,0)-1,MATCH(K283,Tabella!$G$1:$FG$1,0)-1)=TRUE),0,OFFSET(Tabella!$G$1,MATCH(J283,Tabella!$G:$G,0)-1,MATCH(K283,Tabella!$G$1:$AB$1,0)-1))</f>
        <v>0</v>
      </c>
      <c r="S283" s="255">
        <f ca="1">IF(ISERROR(OFFSET(Ottone!$F$1,MATCH(J283,Ottone!$A:$A,0)-1,MATCH(K283,Ottone!$F$1:$FF$1,0)-1)=TRUE),0,OFFSET(Ottone!$F$1,MATCH(J283,Ottone!$A:$A,0)-1,MATCH(K283,Ottone!$F$1:$FF$1,0)-1))*IF(G283="Ottone",1,0)</f>
        <v>0</v>
      </c>
      <c r="T283" s="255">
        <f ca="1">IF(ISERROR(OFFSET(Rame!$F$1,MATCH(J283,Rame!$F:$F,0)-1,MATCH(K283,Rame!$F$1:$FF$1,0)-1)=TRUE),0,OFFSET(Rame!$F$1,MATCH(J283,Rame!$F:$F,0)-1,MATCH(K283,Rame!$F$1:$FF$1,0)-1))*IF(G283="Rame",1,0)</f>
        <v>0</v>
      </c>
      <c r="U283" s="255">
        <f ca="1">IF(ISERROR(OFFSET(Bronzo!$A$1,MATCH(J283,Bronzo!$A:$A,0)-1,MATCH(K283,Bronzo!$A$1:$AA$1,0)-1)=TRUE),0,OFFSET(Bronzo!$A$1,MATCH(J283,Bronzo!$A:$A,0)-1,MATCH(K283,Bronzo!$A$1:$AA$1,0)-1))</f>
        <v>0</v>
      </c>
      <c r="V283" s="255">
        <f t="shared" ca="1" si="114"/>
        <v>0</v>
      </c>
      <c r="W283" s="254"/>
      <c r="X283" s="255">
        <v>0</v>
      </c>
      <c r="Y283" s="256">
        <f t="shared" ca="1" si="115"/>
        <v>1.5</v>
      </c>
      <c r="Z283" s="269">
        <f t="shared" si="116"/>
        <v>67.970000000000013</v>
      </c>
      <c r="AA283" s="253">
        <v>4.0999999999999996</v>
      </c>
      <c r="AB283" s="253">
        <f t="shared" ca="1" si="117"/>
        <v>0</v>
      </c>
      <c r="AC283" s="258"/>
      <c r="AF283" s="223" t="s">
        <v>405</v>
      </c>
      <c r="AH283" s="232">
        <f t="shared" ca="1" si="120"/>
        <v>46120</v>
      </c>
      <c r="AI283" s="232" t="b">
        <f t="shared" si="108"/>
        <v>1</v>
      </c>
      <c r="AJ283" s="259" t="str">
        <f t="shared" si="119"/>
        <v/>
      </c>
      <c r="AM283" s="223">
        <f t="shared" si="109"/>
        <v>0</v>
      </c>
      <c r="AN283" s="223">
        <f t="shared" si="110"/>
        <v>1900</v>
      </c>
      <c r="AU283" s="223">
        <f t="shared" si="111"/>
        <v>0</v>
      </c>
      <c r="AV283" s="223">
        <f t="shared" si="112"/>
        <v>0</v>
      </c>
    </row>
    <row r="284" spans="4:48" ht="26.25" x14ac:dyDescent="0.4">
      <c r="D284" s="246" t="s">
        <v>516</v>
      </c>
      <c r="E284" s="252" t="s">
        <v>397</v>
      </c>
      <c r="F284" s="276">
        <v>500</v>
      </c>
      <c r="G284" s="249" t="s">
        <v>4</v>
      </c>
      <c r="H284" s="250">
        <v>2.62</v>
      </c>
      <c r="I284" s="251">
        <v>46073</v>
      </c>
      <c r="J284" s="252" t="s">
        <v>28</v>
      </c>
      <c r="K284" s="252"/>
      <c r="L284" s="253">
        <v>7.0000000000000007E-2</v>
      </c>
      <c r="M284" s="254">
        <f ca="1">IF(ISERROR(OFFSET(Tabella!$A$1,MATCH(J284,Tabella!$A:$A,0)-1,MATCH(L284,Tabella!$A$1:$AC$1,0)-1)=TRUE),0,+OFFSET(Tabella!$A$1,MATCH(J284,Tabella!$A:$A,0)-1,MATCH(L284,Tabella!$A$1:$AC$1,0)-1))</f>
        <v>1.25</v>
      </c>
      <c r="N284" s="255">
        <f ca="1">IF(ISERROR(OFFSET(Ottone!$A$1,MATCH(J284,Ottone!$A:$A,0)-1,MATCH(L284,Ottone!$A$1:$Z$1,0)-1)=TRUE),0,OFFSET(Ottone!$A$1,MATCH(J284,Ottone!$A:$A,0)-1,MATCH(L284,Ottone!$A$1:$Z$1,0)-1))*IF(G284="Ottone",1,0)</f>
        <v>0</v>
      </c>
      <c r="O284" s="255">
        <f ca="1">IF(ISERROR(OFFSET(Rame!$A$1,MATCH(J284,Rame!$A:$A,0)-1,MATCH(L284,Rame!$A$1:$AA$1,0)-1)=TRUE),0,OFFSET(Rame!$A$1,MATCH(J284,Rame!$A:$A,0)-1,MATCH(L284,Rame!$A$1:$AA$1,0)-1))*IF(G284="Rame",1,0)</f>
        <v>0</v>
      </c>
      <c r="P284" s="255">
        <v>0</v>
      </c>
      <c r="Q284" s="255">
        <v>1.5</v>
      </c>
      <c r="R284" s="255">
        <f ca="1">+IF(ISERROR(OFFSET(Tabella!$G$1,MATCH(J284,Tabella!$G:$G,0)-1,MATCH(K284,Tabella!$G$1:$FG$1,0)-1)=TRUE),0,OFFSET(Tabella!$G$1,MATCH(J284,Tabella!$G:$G,0)-1,MATCH(K284,Tabella!$G$1:$AB$1,0)-1))</f>
        <v>0</v>
      </c>
      <c r="S284" s="255">
        <f ca="1">IF(ISERROR(OFFSET(Ottone!$F$1,MATCH(J284,Ottone!$A:$A,0)-1,MATCH(K284,Ottone!$F$1:$FF$1,0)-1)=TRUE),0,OFFSET(Ottone!$F$1,MATCH(J284,Ottone!$A:$A,0)-1,MATCH(K284,Ottone!$F$1:$FF$1,0)-1))*IF(G284="Ottone",1,0)</f>
        <v>0</v>
      </c>
      <c r="T284" s="255">
        <f ca="1">IF(ISERROR(OFFSET(Rame!$F$1,MATCH(J284,Rame!$F:$F,0)-1,MATCH(K284,Rame!$F$1:$FF$1,0)-1)=TRUE),0,OFFSET(Rame!$F$1,MATCH(J284,Rame!$F:$F,0)-1,MATCH(K284,Rame!$F$1:$FF$1,0)-1))*IF(G284="Rame",1,0)</f>
        <v>0</v>
      </c>
      <c r="U284" s="255">
        <f ca="1">IF(ISERROR(OFFSET(Bronzo!$A$1,MATCH(J284,Bronzo!$A:$A,0)-1,MATCH(K284,Bronzo!$A$1:$AA$1,0)-1)=TRUE),0,OFFSET(Bronzo!$A$1,MATCH(J284,Bronzo!$A:$A,0)-1,MATCH(K284,Bronzo!$A$1:$AA$1,0)-1))</f>
        <v>0</v>
      </c>
      <c r="V284" s="255">
        <f t="shared" ca="1" si="114"/>
        <v>0</v>
      </c>
      <c r="W284" s="254"/>
      <c r="X284" s="255">
        <v>0</v>
      </c>
      <c r="Y284" s="256">
        <f t="shared" ca="1" si="115"/>
        <v>1.5</v>
      </c>
      <c r="Z284" s="257">
        <f t="shared" si="116"/>
        <v>35</v>
      </c>
      <c r="AA284" s="253">
        <v>4.34</v>
      </c>
      <c r="AB284" s="253">
        <f t="shared" ca="1" si="117"/>
        <v>0.21999999999999975</v>
      </c>
      <c r="AC284" s="258">
        <v>46213</v>
      </c>
      <c r="AH284" s="232">
        <f t="shared" ca="1" si="120"/>
        <v>46120</v>
      </c>
      <c r="AI284" s="232" t="b">
        <f t="shared" si="108"/>
        <v>0</v>
      </c>
      <c r="AJ284" s="259">
        <f t="shared" ca="1" si="119"/>
        <v>93</v>
      </c>
      <c r="AM284" s="223">
        <f t="shared" si="109"/>
        <v>28</v>
      </c>
      <c r="AN284" s="223">
        <f t="shared" si="110"/>
        <v>2026</v>
      </c>
      <c r="AU284" s="223">
        <f t="shared" si="111"/>
        <v>7</v>
      </c>
      <c r="AV284" s="223">
        <f t="shared" si="112"/>
        <v>2026</v>
      </c>
    </row>
    <row r="285" spans="4:48" ht="26.25" x14ac:dyDescent="0.4">
      <c r="D285" s="246" t="s">
        <v>510</v>
      </c>
      <c r="E285" s="252" t="s">
        <v>397</v>
      </c>
      <c r="F285" s="276">
        <v>700</v>
      </c>
      <c r="G285" s="249" t="s">
        <v>4</v>
      </c>
      <c r="H285" s="250">
        <v>2.63</v>
      </c>
      <c r="I285" s="251">
        <v>46073</v>
      </c>
      <c r="J285" s="252" t="s">
        <v>308</v>
      </c>
      <c r="K285" s="252"/>
      <c r="L285" s="253">
        <v>7.0000000000000007E-2</v>
      </c>
      <c r="M285" s="254">
        <f ca="1">IF(ISERROR(OFFSET(Tabella!$A$1,MATCH(J285,Tabella!$A:$A,0)-1,MATCH(L285,Tabella!$A$1:$AC$1,0)-1)=TRUE),0,+OFFSET(Tabella!$A$1,MATCH(J285,Tabella!$A:$A,0)-1,MATCH(L285,Tabella!$A$1:$AC$1,0)-1))</f>
        <v>1.25</v>
      </c>
      <c r="N285" s="255">
        <f ca="1">IF(ISERROR(OFFSET(Ottone!$A$1,MATCH(J285,Ottone!$A:$A,0)-1,MATCH(L285,Ottone!$A$1:$Z$1,0)-1)=TRUE),0,OFFSET(Ottone!$A$1,MATCH(J285,Ottone!$A:$A,0)-1,MATCH(L285,Ottone!$A$1:$Z$1,0)-1))*IF(G285="Ottone",1,0)</f>
        <v>0</v>
      </c>
      <c r="O285" s="255">
        <f ca="1">IF(ISERROR(OFFSET(Rame!$A$1,MATCH(J285,Rame!$A:$A,0)-1,MATCH(L285,Rame!$A$1:$AA$1,0)-1)=TRUE),0,OFFSET(Rame!$A$1,MATCH(J285,Rame!$A:$A,0)-1,MATCH(L285,Rame!$A$1:$AA$1,0)-1))*IF(G285="Rame",1,0)</f>
        <v>0</v>
      </c>
      <c r="P285" s="255">
        <v>0</v>
      </c>
      <c r="Q285" s="255">
        <v>1.5</v>
      </c>
      <c r="R285" s="255">
        <f ca="1">+IF(ISERROR(OFFSET(Tabella!$G$1,MATCH(J285,Tabella!$G:$G,0)-1,MATCH(K285,Tabella!$G$1:$FG$1,0)-1)=TRUE),0,OFFSET(Tabella!$G$1,MATCH(J285,Tabella!$G:$G,0)-1,MATCH(K285,Tabella!$G$1:$AB$1,0)-1))</f>
        <v>0</v>
      </c>
      <c r="S285" s="255">
        <f ca="1">IF(ISERROR(OFFSET(Ottone!$F$1,MATCH(J285,Ottone!$A:$A,0)-1,MATCH(K285,Ottone!$F$1:$FF$1,0)-1)=TRUE),0,OFFSET(Ottone!$F$1,MATCH(J285,Ottone!$A:$A,0)-1,MATCH(K285,Ottone!$F$1:$FF$1,0)-1))*IF(G285="Ottone",1,0)</f>
        <v>0</v>
      </c>
      <c r="T285" s="255">
        <f ca="1">IF(ISERROR(OFFSET(Rame!$F$1,MATCH(J285,Rame!$F:$F,0)-1,MATCH(K285,Rame!$F$1:$FF$1,0)-1)=TRUE),0,OFFSET(Rame!$F$1,MATCH(J285,Rame!$F:$F,0)-1,MATCH(K285,Rame!$F$1:$FF$1,0)-1))*IF(G285="Rame",1,0)</f>
        <v>0</v>
      </c>
      <c r="U285" s="255">
        <f ca="1">IF(ISERROR(OFFSET(Bronzo!$A$1,MATCH(J285,Bronzo!$A:$A,0)-1,MATCH(K285,Bronzo!$A$1:$AA$1,0)-1)=TRUE),0,OFFSET(Bronzo!$A$1,MATCH(J285,Bronzo!$A:$A,0)-1,MATCH(K285,Bronzo!$A$1:$AA$1,0)-1))</f>
        <v>0</v>
      </c>
      <c r="V285" s="255">
        <f t="shared" ca="1" si="114"/>
        <v>0</v>
      </c>
      <c r="W285" s="254"/>
      <c r="X285" s="255">
        <v>0</v>
      </c>
      <c r="Y285" s="256">
        <f t="shared" ca="1" si="115"/>
        <v>1.5</v>
      </c>
      <c r="Z285" s="257">
        <f t="shared" si="116"/>
        <v>49.000000000000007</v>
      </c>
      <c r="AA285" s="253">
        <v>4.3499999999999996</v>
      </c>
      <c r="AB285" s="253">
        <f t="shared" ca="1" si="117"/>
        <v>0.21999999999999975</v>
      </c>
      <c r="AC285" s="258">
        <v>46127</v>
      </c>
      <c r="AH285" s="232">
        <f t="shared" ca="1" si="120"/>
        <v>46120</v>
      </c>
      <c r="AI285" s="232" t="b">
        <f t="shared" ref="AI285:AI335" si="121">ISBLANK(AC285)</f>
        <v>0</v>
      </c>
      <c r="AJ285" s="259">
        <f t="shared" ca="1" si="119"/>
        <v>7</v>
      </c>
      <c r="AM285" s="223">
        <f t="shared" ref="AM285:AM335" si="122">WEEKNUM(AC285)</f>
        <v>16</v>
      </c>
      <c r="AN285" s="223">
        <f t="shared" ref="AN285:AN335" si="123">YEAR(AC285)</f>
        <v>2026</v>
      </c>
      <c r="AU285" s="223">
        <f t="shared" ref="AU285:AU335" si="124">IF(AC285="",0,MONTH(AC285))</f>
        <v>4</v>
      </c>
      <c r="AV285" s="223">
        <f t="shared" ref="AV285:AV335" si="125">IF(AC285="",0,YEAR(AC285))</f>
        <v>2026</v>
      </c>
    </row>
    <row r="286" spans="4:48" ht="26.25" x14ac:dyDescent="0.4">
      <c r="D286" s="246" t="s">
        <v>510</v>
      </c>
      <c r="E286" s="252" t="s">
        <v>397</v>
      </c>
      <c r="F286" s="276">
        <v>700</v>
      </c>
      <c r="G286" s="249" t="s">
        <v>4</v>
      </c>
      <c r="H286" s="250">
        <v>2.63</v>
      </c>
      <c r="I286" s="251">
        <v>46073</v>
      </c>
      <c r="J286" s="252" t="s">
        <v>28</v>
      </c>
      <c r="K286" s="252"/>
      <c r="L286" s="253">
        <v>7.0000000000000007E-2</v>
      </c>
      <c r="M286" s="254">
        <f ca="1">IF(ISERROR(OFFSET(Tabella!$A$1,MATCH(J286,Tabella!$A:$A,0)-1,MATCH(L286,Tabella!$A$1:$AC$1,0)-1)=TRUE),0,+OFFSET(Tabella!$A$1,MATCH(J286,Tabella!$A:$A,0)-1,MATCH(L286,Tabella!$A$1:$AC$1,0)-1))</f>
        <v>1.25</v>
      </c>
      <c r="N286" s="255">
        <f ca="1">IF(ISERROR(OFFSET(Ottone!$A$1,MATCH(J286,Ottone!$A:$A,0)-1,MATCH(L286,Ottone!$A$1:$Z$1,0)-1)=TRUE),0,OFFSET(Ottone!$A$1,MATCH(J286,Ottone!$A:$A,0)-1,MATCH(L286,Ottone!$A$1:$Z$1,0)-1))*IF(G286="Ottone",1,0)</f>
        <v>0</v>
      </c>
      <c r="O286" s="255">
        <f ca="1">IF(ISERROR(OFFSET(Rame!$A$1,MATCH(J286,Rame!$A:$A,0)-1,MATCH(L286,Rame!$A$1:$AA$1,0)-1)=TRUE),0,OFFSET(Rame!$A$1,MATCH(J286,Rame!$A:$A,0)-1,MATCH(L286,Rame!$A$1:$AA$1,0)-1))*IF(G286="Rame",1,0)</f>
        <v>0</v>
      </c>
      <c r="P286" s="255">
        <v>0</v>
      </c>
      <c r="Q286" s="255">
        <v>1.5</v>
      </c>
      <c r="R286" s="255">
        <f ca="1">+IF(ISERROR(OFFSET(Tabella!$G$1,MATCH(J286,Tabella!$G:$G,0)-1,MATCH(K286,Tabella!$G$1:$FG$1,0)-1)=TRUE),0,OFFSET(Tabella!$G$1,MATCH(J286,Tabella!$G:$G,0)-1,MATCH(K286,Tabella!$G$1:$AB$1,0)-1))</f>
        <v>0</v>
      </c>
      <c r="S286" s="255">
        <f ca="1">IF(ISERROR(OFFSET(Ottone!$F$1,MATCH(J286,Ottone!$A:$A,0)-1,MATCH(K286,Ottone!$F$1:$FF$1,0)-1)=TRUE),0,OFFSET(Ottone!$F$1,MATCH(J286,Ottone!$A:$A,0)-1,MATCH(K286,Ottone!$F$1:$FF$1,0)-1))*IF(G286="Ottone",1,0)</f>
        <v>0</v>
      </c>
      <c r="T286" s="255">
        <f ca="1">IF(ISERROR(OFFSET(Rame!$F$1,MATCH(J286,Rame!$F:$F,0)-1,MATCH(K286,Rame!$F$1:$FF$1,0)-1)=TRUE),0,OFFSET(Rame!$F$1,MATCH(J286,Rame!$F:$F,0)-1,MATCH(K286,Rame!$F$1:$FF$1,0)-1))*IF(G286="Rame",1,0)</f>
        <v>0</v>
      </c>
      <c r="U286" s="255">
        <f ca="1">IF(ISERROR(OFFSET(Bronzo!$A$1,MATCH(J286,Bronzo!$A:$A,0)-1,MATCH(K286,Bronzo!$A$1:$AA$1,0)-1)=TRUE),0,OFFSET(Bronzo!$A$1,MATCH(J286,Bronzo!$A:$A,0)-1,MATCH(K286,Bronzo!$A$1:$AA$1,0)-1))</f>
        <v>0</v>
      </c>
      <c r="V286" s="255">
        <f t="shared" ca="1" si="114"/>
        <v>0</v>
      </c>
      <c r="W286" s="254"/>
      <c r="X286" s="255">
        <v>0</v>
      </c>
      <c r="Y286" s="256">
        <f t="shared" ca="1" si="115"/>
        <v>1.5</v>
      </c>
      <c r="Z286" s="257">
        <f t="shared" si="116"/>
        <v>49.000000000000007</v>
      </c>
      <c r="AA286" s="253">
        <v>4.3499999999999996</v>
      </c>
      <c r="AB286" s="253">
        <f t="shared" ca="1" si="117"/>
        <v>0.21999999999999975</v>
      </c>
      <c r="AC286" s="258">
        <v>46127</v>
      </c>
      <c r="AH286" s="232">
        <f t="shared" ca="1" si="120"/>
        <v>46120</v>
      </c>
      <c r="AI286" s="232" t="b">
        <f t="shared" si="121"/>
        <v>0</v>
      </c>
      <c r="AJ286" s="259">
        <f t="shared" ca="1" si="119"/>
        <v>7</v>
      </c>
      <c r="AM286" s="223">
        <f t="shared" si="122"/>
        <v>16</v>
      </c>
      <c r="AN286" s="223">
        <f t="shared" si="123"/>
        <v>2026</v>
      </c>
      <c r="AU286" s="223">
        <f t="shared" si="124"/>
        <v>4</v>
      </c>
      <c r="AV286" s="223">
        <f t="shared" si="125"/>
        <v>2026</v>
      </c>
    </row>
    <row r="287" spans="4:48" ht="26.25" x14ac:dyDescent="0.4">
      <c r="D287" s="246" t="s">
        <v>510</v>
      </c>
      <c r="E287" s="252" t="s">
        <v>397</v>
      </c>
      <c r="F287" s="276">
        <v>500</v>
      </c>
      <c r="G287" s="249" t="s">
        <v>4</v>
      </c>
      <c r="H287" s="250">
        <v>2.63</v>
      </c>
      <c r="I287" s="251">
        <v>46073</v>
      </c>
      <c r="J287" s="252" t="s">
        <v>21</v>
      </c>
      <c r="K287" s="252"/>
      <c r="L287" s="253">
        <v>7.0000000000000007E-2</v>
      </c>
      <c r="M287" s="254">
        <f ca="1">IF(ISERROR(OFFSET(Tabella!$A$1,MATCH(J287,Tabella!$A:$A,0)-1,MATCH(L287,Tabella!$A$1:$AC$1,0)-1)=TRUE),0,+OFFSET(Tabella!$A$1,MATCH(J287,Tabella!$A:$A,0)-1,MATCH(L287,Tabella!$A$1:$AC$1,0)-1))</f>
        <v>1.25</v>
      </c>
      <c r="N287" s="255">
        <f ca="1">IF(ISERROR(OFFSET(Ottone!$A$1,MATCH(J287,Ottone!$A:$A,0)-1,MATCH(L287,Ottone!$A$1:$Z$1,0)-1)=TRUE),0,OFFSET(Ottone!$A$1,MATCH(J287,Ottone!$A:$A,0)-1,MATCH(L287,Ottone!$A$1:$Z$1,0)-1))*IF(G287="Ottone",1,0)</f>
        <v>0</v>
      </c>
      <c r="O287" s="255">
        <f ca="1">IF(ISERROR(OFFSET(Rame!$A$1,MATCH(J287,Rame!$A:$A,0)-1,MATCH(L287,Rame!$A$1:$AA$1,0)-1)=TRUE),0,OFFSET(Rame!$A$1,MATCH(J287,Rame!$A:$A,0)-1,MATCH(L287,Rame!$A$1:$AA$1,0)-1))*IF(G287="Rame",1,0)</f>
        <v>0</v>
      </c>
      <c r="P287" s="255">
        <v>0</v>
      </c>
      <c r="Q287" s="255">
        <v>1.5</v>
      </c>
      <c r="R287" s="255">
        <f ca="1">+IF(ISERROR(OFFSET(Tabella!$G$1,MATCH(J287,Tabella!$G:$G,0)-1,MATCH(K287,Tabella!$G$1:$FG$1,0)-1)=TRUE),0,OFFSET(Tabella!$G$1,MATCH(J287,Tabella!$G:$G,0)-1,MATCH(K287,Tabella!$G$1:$AB$1,0)-1))</f>
        <v>0</v>
      </c>
      <c r="S287" s="255">
        <f ca="1">IF(ISERROR(OFFSET(Ottone!$F$1,MATCH(J287,Ottone!$A:$A,0)-1,MATCH(K287,Ottone!$F$1:$FF$1,0)-1)=TRUE),0,OFFSET(Ottone!$F$1,MATCH(J287,Ottone!$A:$A,0)-1,MATCH(K287,Ottone!$F$1:$FF$1,0)-1))*IF(G287="Ottone",1,0)</f>
        <v>0</v>
      </c>
      <c r="T287" s="255">
        <f ca="1">IF(ISERROR(OFFSET(Rame!$F$1,MATCH(J287,Rame!$F:$F,0)-1,MATCH(K287,Rame!$F$1:$FF$1,0)-1)=TRUE),0,OFFSET(Rame!$F$1,MATCH(J287,Rame!$F:$F,0)-1,MATCH(K287,Rame!$F$1:$FF$1,0)-1))*IF(G287="Rame",1,0)</f>
        <v>0</v>
      </c>
      <c r="U287" s="255">
        <f ca="1">IF(ISERROR(OFFSET(Bronzo!$A$1,MATCH(J287,Bronzo!$A:$A,0)-1,MATCH(K287,Bronzo!$A$1:$AA$1,0)-1)=TRUE),0,OFFSET(Bronzo!$A$1,MATCH(J287,Bronzo!$A:$A,0)-1,MATCH(K287,Bronzo!$A$1:$AA$1,0)-1))</f>
        <v>0</v>
      </c>
      <c r="V287" s="255">
        <f t="shared" ca="1" si="114"/>
        <v>0</v>
      </c>
      <c r="W287" s="254"/>
      <c r="X287" s="255">
        <v>0</v>
      </c>
      <c r="Y287" s="256">
        <f t="shared" ca="1" si="115"/>
        <v>1.5</v>
      </c>
      <c r="Z287" s="257">
        <f t="shared" si="116"/>
        <v>35</v>
      </c>
      <c r="AA287" s="253">
        <v>4.3499999999999996</v>
      </c>
      <c r="AB287" s="253">
        <f t="shared" ca="1" si="117"/>
        <v>0.21999999999999975</v>
      </c>
      <c r="AC287" s="258">
        <v>46127</v>
      </c>
      <c r="AH287" s="232">
        <f t="shared" ca="1" si="120"/>
        <v>46120</v>
      </c>
      <c r="AI287" s="232" t="b">
        <f t="shared" si="121"/>
        <v>0</v>
      </c>
      <c r="AJ287" s="259">
        <f t="shared" ca="1" si="119"/>
        <v>7</v>
      </c>
      <c r="AM287" s="223">
        <f t="shared" si="122"/>
        <v>16</v>
      </c>
      <c r="AN287" s="223">
        <f t="shared" si="123"/>
        <v>2026</v>
      </c>
      <c r="AU287" s="223">
        <f t="shared" si="124"/>
        <v>4</v>
      </c>
      <c r="AV287" s="223">
        <f t="shared" si="125"/>
        <v>2026</v>
      </c>
    </row>
    <row r="288" spans="4:48" ht="26.25" x14ac:dyDescent="0.4">
      <c r="D288" s="246" t="s">
        <v>546</v>
      </c>
      <c r="E288" s="262" t="s">
        <v>208</v>
      </c>
      <c r="F288" s="263">
        <v>995</v>
      </c>
      <c r="G288" s="249" t="s">
        <v>4</v>
      </c>
      <c r="H288" s="250">
        <v>2.4900000000000002</v>
      </c>
      <c r="I288" s="251">
        <v>46071</v>
      </c>
      <c r="J288" s="252" t="s">
        <v>13</v>
      </c>
      <c r="K288" s="252"/>
      <c r="L288" s="253">
        <v>0.05</v>
      </c>
      <c r="M288" s="254">
        <f ca="1">IF(ISERROR(OFFSET(Tabella!$A$1,MATCH(J288,Tabella!$A:$A,0)-1,MATCH(L288,Tabella!$A$1:$AC$1,0)-1)=TRUE),0,+OFFSET(Tabella!$A$1,MATCH(J288,Tabella!$A:$A,0)-1,MATCH(L288,Tabella!$A$1:$AC$1,0)-1))</f>
        <v>0</v>
      </c>
      <c r="N288" s="255">
        <f ca="1">IF(ISERROR(OFFSET(Ottone!$A$1,MATCH(J288,Ottone!$A:$A,0)-1,MATCH(L288,Ottone!$A$1:$Z$1,0)-1)=TRUE),0,OFFSET(Ottone!$A$1,MATCH(J288,Ottone!$A:$A,0)-1,MATCH(L288,Ottone!$A$1:$Z$1,0)-1))*IF(G288="Ottone",1,0)</f>
        <v>0</v>
      </c>
      <c r="O288" s="255">
        <f ca="1">IF(ISERROR(OFFSET(Rame!$A$1,MATCH(J288,Rame!$A:$A,0)-1,MATCH(L288,Rame!$A$1:$AA$1,0)-1)=TRUE),0,OFFSET(Rame!$A$1,MATCH(J288,Rame!$A:$A,0)-1,MATCH(L288,Rame!$A$1:$AA$1,0)-1))*IF(G288="Rame",1,0)</f>
        <v>0</v>
      </c>
      <c r="P288" s="255">
        <v>0</v>
      </c>
      <c r="Q288" s="255">
        <f t="shared" ca="1" si="113"/>
        <v>0</v>
      </c>
      <c r="R288" s="255">
        <f ca="1">+IF(ISERROR(OFFSET(Tabella!$G$1,MATCH(J288,Tabella!$G:$G,0)-1,MATCH(K288,Tabella!$G$1:$FG$1,0)-1)=TRUE),0,OFFSET(Tabella!$G$1,MATCH(J288,Tabella!$G:$G,0)-1,MATCH(K288,Tabella!$G$1:$AB$1,0)-1))</f>
        <v>0</v>
      </c>
      <c r="S288" s="255">
        <f ca="1">IF(ISERROR(OFFSET(Ottone!$F$1,MATCH(J288,Ottone!$A:$A,0)-1,MATCH(K288,Ottone!$F$1:$FF$1,0)-1)=TRUE),0,OFFSET(Ottone!$F$1,MATCH(J288,Ottone!$A:$A,0)-1,MATCH(K288,Ottone!$F$1:$FF$1,0)-1))*IF(G288="Ottone",1,0)</f>
        <v>0</v>
      </c>
      <c r="T288" s="255">
        <f ca="1">IF(ISERROR(OFFSET(Rame!$F$1,MATCH(J288,Rame!$F:$F,0)-1,MATCH(K288,Rame!$F$1:$FF$1,0)-1)=TRUE),0,OFFSET(Rame!$F$1,MATCH(J288,Rame!$F:$F,0)-1,MATCH(K288,Rame!$F$1:$FF$1,0)-1))*IF(G288="Rame",1,0)</f>
        <v>0</v>
      </c>
      <c r="U288" s="255">
        <f ca="1">IF(ISERROR(OFFSET(Bronzo!$A$1,MATCH(J288,Bronzo!$A:$A,0)-1,MATCH(K288,Bronzo!$A$1:$AA$1,0)-1)=TRUE),0,OFFSET(Bronzo!$A$1,MATCH(J288,Bronzo!$A:$A,0)-1,MATCH(K288,Bronzo!$A$1:$AA$1,0)-1))</f>
        <v>0</v>
      </c>
      <c r="V288" s="255">
        <f t="shared" ca="1" si="114"/>
        <v>0</v>
      </c>
      <c r="W288" s="254"/>
      <c r="X288" s="255">
        <v>0</v>
      </c>
      <c r="Y288" s="256">
        <f t="shared" ca="1" si="115"/>
        <v>0</v>
      </c>
      <c r="Z288" s="269">
        <f t="shared" si="116"/>
        <v>49.75</v>
      </c>
      <c r="AA288" s="253">
        <v>4.25</v>
      </c>
      <c r="AB288" s="253">
        <f t="shared" ca="1" si="117"/>
        <v>1.7599999999999998</v>
      </c>
      <c r="AC288" s="258"/>
      <c r="AF288" s="223" t="s">
        <v>405</v>
      </c>
      <c r="AH288" s="232">
        <f t="shared" ca="1" si="120"/>
        <v>46120</v>
      </c>
      <c r="AI288" s="232" t="b">
        <f t="shared" si="121"/>
        <v>1</v>
      </c>
      <c r="AJ288" s="259" t="str">
        <f t="shared" si="119"/>
        <v/>
      </c>
      <c r="AM288" s="223">
        <f t="shared" si="122"/>
        <v>0</v>
      </c>
      <c r="AN288" s="223">
        <f t="shared" si="123"/>
        <v>1900</v>
      </c>
      <c r="AU288" s="223">
        <f t="shared" si="124"/>
        <v>0</v>
      </c>
      <c r="AV288" s="223">
        <f t="shared" si="125"/>
        <v>0</v>
      </c>
    </row>
    <row r="289" spans="4:48" ht="26.25" x14ac:dyDescent="0.4">
      <c r="D289" s="246" t="s">
        <v>550</v>
      </c>
      <c r="E289" s="262" t="s">
        <v>400</v>
      </c>
      <c r="F289" s="263">
        <v>2880</v>
      </c>
      <c r="G289" s="249" t="s">
        <v>4</v>
      </c>
      <c r="H289" s="250">
        <v>2.42</v>
      </c>
      <c r="I289" s="251">
        <v>46345</v>
      </c>
      <c r="J289" s="252" t="s">
        <v>9</v>
      </c>
      <c r="K289" s="252"/>
      <c r="L289" s="253">
        <v>7.0000000000000007E-2</v>
      </c>
      <c r="M289" s="254">
        <f ca="1">IF(ISERROR(OFFSET(Tabella!$A$1,MATCH(J289,Tabella!$A:$A,0)-1,MATCH(L289,Tabella!$A$1:$AC$1,0)-1)=TRUE),0,+OFFSET(Tabella!$A$1,MATCH(J289,Tabella!$A:$A,0)-1,MATCH(L289,Tabella!$A$1:$AC$1,0)-1))</f>
        <v>1.6</v>
      </c>
      <c r="N289" s="255">
        <f ca="1">IF(ISERROR(OFFSET(Ottone!$A$1,MATCH(J289,Ottone!$A:$A,0)-1,MATCH(L289,Ottone!$A$1:$Z$1,0)-1)=TRUE),0,OFFSET(Ottone!$A$1,MATCH(J289,Ottone!$A:$A,0)-1,MATCH(L289,Ottone!$A$1:$Z$1,0)-1))*IF(G289="Ottone",1,0)</f>
        <v>0</v>
      </c>
      <c r="O289" s="255">
        <f ca="1">IF(ISERROR(OFFSET(Rame!$A$1,MATCH(J289,Rame!$A:$A,0)-1,MATCH(L289,Rame!$A$1:$AA$1,0)-1)=TRUE),0,OFFSET(Rame!$A$1,MATCH(J289,Rame!$A:$A,0)-1,MATCH(L289,Rame!$A$1:$AA$1,0)-1))*IF(G289="Rame",1,0)</f>
        <v>0</v>
      </c>
      <c r="P289" s="255">
        <v>0</v>
      </c>
      <c r="Q289" s="255">
        <f t="shared" ca="1" si="113"/>
        <v>1.6</v>
      </c>
      <c r="R289" s="255">
        <f ca="1">+IF(ISERROR(OFFSET(Tabella!$G$1,MATCH(J289,Tabella!$G:$G,0)-1,MATCH(K289,Tabella!$G$1:$FG$1,0)-1)=TRUE),0,OFFSET(Tabella!$G$1,MATCH(J289,Tabella!$G:$G,0)-1,MATCH(K289,Tabella!$G$1:$AB$1,0)-1))</f>
        <v>0</v>
      </c>
      <c r="S289" s="255">
        <f ca="1">IF(ISERROR(OFFSET(Ottone!$F$1,MATCH(J289,Ottone!$A:$A,0)-1,MATCH(K289,Ottone!$F$1:$FF$1,0)-1)=TRUE),0,OFFSET(Ottone!$F$1,MATCH(J289,Ottone!$A:$A,0)-1,MATCH(K289,Ottone!$F$1:$FF$1,0)-1))*IF(G289="Ottone",1,0)</f>
        <v>0</v>
      </c>
      <c r="T289" s="255">
        <f ca="1">IF(ISERROR(OFFSET(Rame!$F$1,MATCH(J289,Rame!$F:$F,0)-1,MATCH(K289,Rame!$F$1:$FF$1,0)-1)=TRUE),0,OFFSET(Rame!$F$1,MATCH(J289,Rame!$F:$F,0)-1,MATCH(K289,Rame!$F$1:$FF$1,0)-1))*IF(G289="Rame",1,0)</f>
        <v>0</v>
      </c>
      <c r="U289" s="255">
        <f ca="1">IF(ISERROR(OFFSET(Bronzo!$A$1,MATCH(J289,Bronzo!$A:$A,0)-1,MATCH(K289,Bronzo!$A$1:$AA$1,0)-1)=TRUE),0,OFFSET(Bronzo!$A$1,MATCH(J289,Bronzo!$A:$A,0)-1,MATCH(K289,Bronzo!$A$1:$AA$1,0)-1))</f>
        <v>0</v>
      </c>
      <c r="V289" s="255">
        <f t="shared" ca="1" si="114"/>
        <v>0</v>
      </c>
      <c r="W289" s="254"/>
      <c r="X289" s="255">
        <v>0</v>
      </c>
      <c r="Y289" s="256">
        <f t="shared" ca="1" si="115"/>
        <v>1.6</v>
      </c>
      <c r="Z289" s="269">
        <f t="shared" si="116"/>
        <v>201.60000000000002</v>
      </c>
      <c r="AA289" s="253">
        <v>4.12</v>
      </c>
      <c r="AB289" s="253">
        <f t="shared" ca="1" si="117"/>
        <v>0.10000000000000009</v>
      </c>
      <c r="AC289" s="258"/>
      <c r="AF289" s="223" t="s">
        <v>405</v>
      </c>
      <c r="AG289" s="223" t="s">
        <v>551</v>
      </c>
      <c r="AH289" s="232">
        <f t="shared" ca="1" si="120"/>
        <v>46120</v>
      </c>
      <c r="AI289" s="232" t="b">
        <f t="shared" si="121"/>
        <v>1</v>
      </c>
      <c r="AJ289" s="259" t="str">
        <f t="shared" si="119"/>
        <v/>
      </c>
      <c r="AM289" s="223">
        <f t="shared" si="122"/>
        <v>0</v>
      </c>
      <c r="AN289" s="223">
        <f t="shared" si="123"/>
        <v>1900</v>
      </c>
      <c r="AU289" s="223">
        <f t="shared" si="124"/>
        <v>0</v>
      </c>
      <c r="AV289" s="223">
        <f t="shared" si="125"/>
        <v>0</v>
      </c>
    </row>
    <row r="290" spans="4:48" ht="26.25" x14ac:dyDescent="0.4">
      <c r="D290" s="246" t="s">
        <v>550</v>
      </c>
      <c r="E290" s="262" t="s">
        <v>400</v>
      </c>
      <c r="F290" s="263">
        <v>1666</v>
      </c>
      <c r="G290" s="249" t="s">
        <v>4</v>
      </c>
      <c r="H290" s="250">
        <v>2.42</v>
      </c>
      <c r="I290" s="251">
        <v>46345</v>
      </c>
      <c r="J290" s="252" t="s">
        <v>11</v>
      </c>
      <c r="K290" s="252"/>
      <c r="L290" s="253">
        <v>7.0000000000000007E-2</v>
      </c>
      <c r="M290" s="254">
        <f ca="1">IF(ISERROR(OFFSET(Tabella!$A$1,MATCH(J290,Tabella!$A:$A,0)-1,MATCH(L290,Tabella!$A$1:$AC$1,0)-1)=TRUE),0,+OFFSET(Tabella!$A$1,MATCH(J290,Tabella!$A:$A,0)-1,MATCH(L290,Tabella!$A$1:$AC$1,0)-1))</f>
        <v>1.5</v>
      </c>
      <c r="N290" s="255">
        <f ca="1">IF(ISERROR(OFFSET(Ottone!$A$1,MATCH(J290,Ottone!$A:$A,0)-1,MATCH(L290,Ottone!$A$1:$Z$1,0)-1)=TRUE),0,OFFSET(Ottone!$A$1,MATCH(J290,Ottone!$A:$A,0)-1,MATCH(L290,Ottone!$A$1:$Z$1,0)-1))*IF(G290="Ottone",1,0)</f>
        <v>0</v>
      </c>
      <c r="O290" s="255">
        <f ca="1">IF(ISERROR(OFFSET(Rame!$A$1,MATCH(J290,Rame!$A:$A,0)-1,MATCH(L290,Rame!$A$1:$AA$1,0)-1)=TRUE),0,OFFSET(Rame!$A$1,MATCH(J290,Rame!$A:$A,0)-1,MATCH(L290,Rame!$A$1:$AA$1,0)-1))*IF(G290="Rame",1,0)</f>
        <v>0</v>
      </c>
      <c r="P290" s="255">
        <v>0</v>
      </c>
      <c r="Q290" s="255">
        <f t="shared" ref="Q290:Q353" ca="1" si="126">SUM(M290:P290)</f>
        <v>1.5</v>
      </c>
      <c r="R290" s="255">
        <f ca="1">+IF(ISERROR(OFFSET(Tabella!$G$1,MATCH(J290,Tabella!$G:$G,0)-1,MATCH(K290,Tabella!$G$1:$FG$1,0)-1)=TRUE),0,OFFSET(Tabella!$G$1,MATCH(J290,Tabella!$G:$G,0)-1,MATCH(K290,Tabella!$G$1:$AB$1,0)-1))</f>
        <v>0</v>
      </c>
      <c r="S290" s="255">
        <f ca="1">IF(ISERROR(OFFSET(Ottone!$F$1,MATCH(J290,Ottone!$A:$A,0)-1,MATCH(K290,Ottone!$F$1:$FF$1,0)-1)=TRUE),0,OFFSET(Ottone!$F$1,MATCH(J290,Ottone!$A:$A,0)-1,MATCH(K290,Ottone!$F$1:$FF$1,0)-1))*IF(G290="Ottone",1,0)</f>
        <v>0</v>
      </c>
      <c r="T290" s="255">
        <f ca="1">IF(ISERROR(OFFSET(Rame!$F$1,MATCH(J290,Rame!$F:$F,0)-1,MATCH(K290,Rame!$F$1:$FF$1,0)-1)=TRUE),0,OFFSET(Rame!$F$1,MATCH(J290,Rame!$F:$F,0)-1,MATCH(K290,Rame!$F$1:$FF$1,0)-1))*IF(G290="Rame",1,0)</f>
        <v>0</v>
      </c>
      <c r="U290" s="255">
        <f ca="1">IF(ISERROR(OFFSET(Bronzo!$A$1,MATCH(J290,Bronzo!$A:$A,0)-1,MATCH(K290,Bronzo!$A$1:$AA$1,0)-1)=TRUE),0,OFFSET(Bronzo!$A$1,MATCH(J290,Bronzo!$A:$A,0)-1,MATCH(K290,Bronzo!$A$1:$AA$1,0)-1))</f>
        <v>0</v>
      </c>
      <c r="V290" s="255">
        <f t="shared" ref="V290:V353" ca="1" si="127">SUM(R290:U290)</f>
        <v>0</v>
      </c>
      <c r="W290" s="254"/>
      <c r="X290" s="255">
        <v>0</v>
      </c>
      <c r="Y290" s="256">
        <f t="shared" ref="Y290:Y353" ca="1" si="128">+Q290+V290+W290+X290</f>
        <v>1.5</v>
      </c>
      <c r="Z290" s="269">
        <f t="shared" ref="Z290:Z353" si="129">+L290*F290</f>
        <v>116.62</v>
      </c>
      <c r="AA290" s="253">
        <v>4.07</v>
      </c>
      <c r="AB290" s="253">
        <f t="shared" ref="AB290:AB353" ca="1" si="130">+AA290-Y290-H290</f>
        <v>0.15000000000000036</v>
      </c>
      <c r="AC290" s="258"/>
      <c r="AF290" s="223" t="s">
        <v>405</v>
      </c>
      <c r="AH290" s="232">
        <f t="shared" ca="1" si="120"/>
        <v>46120</v>
      </c>
      <c r="AI290" s="232" t="b">
        <f t="shared" si="121"/>
        <v>1</v>
      </c>
      <c r="AJ290" s="259" t="str">
        <f t="shared" si="119"/>
        <v/>
      </c>
      <c r="AM290" s="223">
        <f t="shared" si="122"/>
        <v>0</v>
      </c>
      <c r="AN290" s="223">
        <f t="shared" si="123"/>
        <v>1900</v>
      </c>
      <c r="AU290" s="223">
        <f t="shared" si="124"/>
        <v>0</v>
      </c>
      <c r="AV290" s="223">
        <f t="shared" si="125"/>
        <v>0</v>
      </c>
    </row>
    <row r="291" spans="4:48" ht="26.25" x14ac:dyDescent="0.4">
      <c r="D291" s="246" t="s">
        <v>550</v>
      </c>
      <c r="E291" s="262" t="s">
        <v>400</v>
      </c>
      <c r="F291" s="263">
        <v>536</v>
      </c>
      <c r="G291" s="249" t="s">
        <v>4</v>
      </c>
      <c r="H291" s="250">
        <v>2.42</v>
      </c>
      <c r="I291" s="251">
        <v>46345</v>
      </c>
      <c r="J291" s="252" t="s">
        <v>11</v>
      </c>
      <c r="K291" s="252"/>
      <c r="L291" s="253">
        <v>7.0000000000000007E-2</v>
      </c>
      <c r="M291" s="254">
        <f ca="1">IF(ISERROR(OFFSET(Tabella!$A$1,MATCH(J291,Tabella!$A:$A,0)-1,MATCH(L291,Tabella!$A$1:$AC$1,0)-1)=TRUE),0,+OFFSET(Tabella!$A$1,MATCH(J291,Tabella!$A:$A,0)-1,MATCH(L291,Tabella!$A$1:$AC$1,0)-1))</f>
        <v>1.5</v>
      </c>
      <c r="N291" s="255">
        <f ca="1">IF(ISERROR(OFFSET(Ottone!$A$1,MATCH(J291,Ottone!$A:$A,0)-1,MATCH(L291,Ottone!$A$1:$Z$1,0)-1)=TRUE),0,OFFSET(Ottone!$A$1,MATCH(J291,Ottone!$A:$A,0)-1,MATCH(L291,Ottone!$A$1:$Z$1,0)-1))*IF(G291="Ottone",1,0)</f>
        <v>0</v>
      </c>
      <c r="O291" s="255">
        <f ca="1">IF(ISERROR(OFFSET(Rame!$A$1,MATCH(J291,Rame!$A:$A,0)-1,MATCH(L291,Rame!$A$1:$AA$1,0)-1)=TRUE),0,OFFSET(Rame!$A$1,MATCH(J291,Rame!$A:$A,0)-1,MATCH(L291,Rame!$A$1:$AA$1,0)-1))*IF(G291="Rame",1,0)</f>
        <v>0</v>
      </c>
      <c r="P291" s="255">
        <v>0</v>
      </c>
      <c r="Q291" s="255">
        <f t="shared" ca="1" si="126"/>
        <v>1.5</v>
      </c>
      <c r="R291" s="255">
        <f ca="1">+IF(ISERROR(OFFSET(Tabella!$G$1,MATCH(J291,Tabella!$G:$G,0)-1,MATCH(K291,Tabella!$G$1:$FG$1,0)-1)=TRUE),0,OFFSET(Tabella!$G$1,MATCH(J291,Tabella!$G:$G,0)-1,MATCH(K291,Tabella!$G$1:$AB$1,0)-1))</f>
        <v>0</v>
      </c>
      <c r="S291" s="255">
        <f ca="1">IF(ISERROR(OFFSET(Ottone!$F$1,MATCH(J291,Ottone!$A:$A,0)-1,MATCH(K291,Ottone!$F$1:$FF$1,0)-1)=TRUE),0,OFFSET(Ottone!$F$1,MATCH(J291,Ottone!$A:$A,0)-1,MATCH(K291,Ottone!$F$1:$FF$1,0)-1))*IF(G291="Ottone",1,0)</f>
        <v>0</v>
      </c>
      <c r="T291" s="255">
        <f ca="1">IF(ISERROR(OFFSET(Rame!$F$1,MATCH(J291,Rame!$F:$F,0)-1,MATCH(K291,Rame!$F$1:$FF$1,0)-1)=TRUE),0,OFFSET(Rame!$F$1,MATCH(J291,Rame!$F:$F,0)-1,MATCH(K291,Rame!$F$1:$FF$1,0)-1))*IF(G291="Rame",1,0)</f>
        <v>0</v>
      </c>
      <c r="U291" s="255">
        <f ca="1">IF(ISERROR(OFFSET(Bronzo!$A$1,MATCH(J291,Bronzo!$A:$A,0)-1,MATCH(K291,Bronzo!$A$1:$AA$1,0)-1)=TRUE),0,OFFSET(Bronzo!$A$1,MATCH(J291,Bronzo!$A:$A,0)-1,MATCH(K291,Bronzo!$A$1:$AA$1,0)-1))</f>
        <v>0</v>
      </c>
      <c r="V291" s="255">
        <f t="shared" ca="1" si="127"/>
        <v>0</v>
      </c>
      <c r="W291" s="254"/>
      <c r="X291" s="255">
        <v>0</v>
      </c>
      <c r="Y291" s="256">
        <f t="shared" ca="1" si="128"/>
        <v>1.5</v>
      </c>
      <c r="Z291" s="269">
        <f t="shared" si="129"/>
        <v>37.520000000000003</v>
      </c>
      <c r="AA291" s="253">
        <v>4.07</v>
      </c>
      <c r="AB291" s="253">
        <f t="shared" ca="1" si="130"/>
        <v>0.15000000000000036</v>
      </c>
      <c r="AC291" s="258"/>
      <c r="AF291" s="223" t="s">
        <v>405</v>
      </c>
      <c r="AH291" s="232">
        <f t="shared" ca="1" si="120"/>
        <v>46120</v>
      </c>
      <c r="AI291" s="232" t="b">
        <f t="shared" si="121"/>
        <v>1</v>
      </c>
      <c r="AJ291" s="259" t="str">
        <f t="shared" si="119"/>
        <v/>
      </c>
      <c r="AM291" s="223">
        <f t="shared" si="122"/>
        <v>0</v>
      </c>
      <c r="AN291" s="223">
        <f t="shared" si="123"/>
        <v>1900</v>
      </c>
      <c r="AU291" s="223">
        <f t="shared" si="124"/>
        <v>0</v>
      </c>
      <c r="AV291" s="223">
        <f t="shared" si="125"/>
        <v>0</v>
      </c>
    </row>
    <row r="292" spans="4:48" ht="26.25" x14ac:dyDescent="0.4">
      <c r="D292" s="246" t="s">
        <v>657</v>
      </c>
      <c r="E292" s="262" t="s">
        <v>400</v>
      </c>
      <c r="F292" s="263">
        <v>1540</v>
      </c>
      <c r="G292" s="249" t="s">
        <v>4</v>
      </c>
      <c r="H292" s="250">
        <v>2.42</v>
      </c>
      <c r="I292" s="251">
        <v>46345</v>
      </c>
      <c r="J292" s="252" t="s">
        <v>13</v>
      </c>
      <c r="K292" s="252"/>
      <c r="L292" s="253">
        <v>7.0000000000000007E-2</v>
      </c>
      <c r="M292" s="254">
        <f ca="1">IF(ISERROR(OFFSET(Tabella!$A$1,MATCH(J292,Tabella!$A:$A,0)-1,MATCH(L292,Tabella!$A$1:$AC$1,0)-1)=TRUE),0,+OFFSET(Tabella!$A$1,MATCH(J292,Tabella!$A:$A,0)-1,MATCH(L292,Tabella!$A$1:$AC$1,0)-1))</f>
        <v>1.4</v>
      </c>
      <c r="N292" s="255">
        <f ca="1">IF(ISERROR(OFFSET(Ottone!$A$1,MATCH(J292,Ottone!$A:$A,0)-1,MATCH(L292,Ottone!$A$1:$Z$1,0)-1)=TRUE),0,OFFSET(Ottone!$A$1,MATCH(J292,Ottone!$A:$A,0)-1,MATCH(L292,Ottone!$A$1:$Z$1,0)-1))*IF(G292="Ottone",1,0)</f>
        <v>0</v>
      </c>
      <c r="O292" s="255">
        <f ca="1">IF(ISERROR(OFFSET(Rame!$A$1,MATCH(J292,Rame!$A:$A,0)-1,MATCH(L292,Rame!$A$1:$AA$1,0)-1)=TRUE),0,OFFSET(Rame!$A$1,MATCH(J292,Rame!$A:$A,0)-1,MATCH(L292,Rame!$A$1:$AA$1,0)-1))*IF(G292="Rame",1,0)</f>
        <v>0</v>
      </c>
      <c r="P292" s="255">
        <v>0</v>
      </c>
      <c r="Q292" s="255">
        <f t="shared" ca="1" si="126"/>
        <v>1.4</v>
      </c>
      <c r="R292" s="255">
        <f ca="1">+IF(ISERROR(OFFSET(Tabella!$G$1,MATCH(J292,Tabella!$G:$G,0)-1,MATCH(K292,Tabella!$G$1:$FG$1,0)-1)=TRUE),0,OFFSET(Tabella!$G$1,MATCH(J292,Tabella!$G:$G,0)-1,MATCH(K292,Tabella!$G$1:$AB$1,0)-1))</f>
        <v>0</v>
      </c>
      <c r="S292" s="255">
        <f ca="1">IF(ISERROR(OFFSET(Ottone!$F$1,MATCH(J292,Ottone!$A:$A,0)-1,MATCH(K292,Ottone!$F$1:$FF$1,0)-1)=TRUE),0,OFFSET(Ottone!$F$1,MATCH(J292,Ottone!$A:$A,0)-1,MATCH(K292,Ottone!$F$1:$FF$1,0)-1))*IF(G292="Ottone",1,0)</f>
        <v>0</v>
      </c>
      <c r="T292" s="255">
        <f ca="1">IF(ISERROR(OFFSET(Rame!$F$1,MATCH(J292,Rame!$F:$F,0)-1,MATCH(K292,Rame!$F$1:$FF$1,0)-1)=TRUE),0,OFFSET(Rame!$F$1,MATCH(J292,Rame!$F:$F,0)-1,MATCH(K292,Rame!$F$1:$FF$1,0)-1))*IF(G292="Rame",1,0)</f>
        <v>0</v>
      </c>
      <c r="U292" s="255">
        <f ca="1">IF(ISERROR(OFFSET(Bronzo!$A$1,MATCH(J292,Bronzo!$A:$A,0)-1,MATCH(K292,Bronzo!$A$1:$AA$1,0)-1)=TRUE),0,OFFSET(Bronzo!$A$1,MATCH(J292,Bronzo!$A:$A,0)-1,MATCH(K292,Bronzo!$A$1:$AA$1,0)-1))</f>
        <v>0</v>
      </c>
      <c r="V292" s="255">
        <f t="shared" ca="1" si="127"/>
        <v>0</v>
      </c>
      <c r="W292" s="254"/>
      <c r="X292" s="255">
        <v>0</v>
      </c>
      <c r="Y292" s="256">
        <f t="shared" ca="1" si="128"/>
        <v>1.4</v>
      </c>
      <c r="Z292" s="269">
        <f t="shared" si="129"/>
        <v>107.80000000000001</v>
      </c>
      <c r="AA292" s="253">
        <v>4.07</v>
      </c>
      <c r="AB292" s="253">
        <f t="shared" ca="1" si="130"/>
        <v>0.25000000000000044</v>
      </c>
      <c r="AC292" s="258"/>
      <c r="AF292" s="223" t="s">
        <v>405</v>
      </c>
      <c r="AH292" s="232">
        <f t="shared" ca="1" si="120"/>
        <v>46120</v>
      </c>
      <c r="AI292" s="232" t="b">
        <f t="shared" si="121"/>
        <v>1</v>
      </c>
      <c r="AJ292" s="259" t="str">
        <f t="shared" si="119"/>
        <v/>
      </c>
      <c r="AM292" s="223">
        <f t="shared" si="122"/>
        <v>0</v>
      </c>
      <c r="AN292" s="223">
        <f t="shared" si="123"/>
        <v>1900</v>
      </c>
      <c r="AU292" s="223">
        <f t="shared" si="124"/>
        <v>0</v>
      </c>
      <c r="AV292" s="223">
        <f t="shared" si="125"/>
        <v>0</v>
      </c>
    </row>
    <row r="293" spans="4:48" ht="26.25" x14ac:dyDescent="0.4">
      <c r="D293" s="246" t="s">
        <v>552</v>
      </c>
      <c r="E293" s="262" t="s">
        <v>400</v>
      </c>
      <c r="F293" s="263">
        <v>722</v>
      </c>
      <c r="G293" s="249" t="s">
        <v>4</v>
      </c>
      <c r="H293" s="250">
        <v>2.42</v>
      </c>
      <c r="I293" s="251">
        <v>46345</v>
      </c>
      <c r="J293" s="252" t="s">
        <v>13</v>
      </c>
      <c r="K293" s="252"/>
      <c r="L293" s="253">
        <v>7.0000000000000007E-2</v>
      </c>
      <c r="M293" s="254">
        <f ca="1">IF(ISERROR(OFFSET(Tabella!$A$1,MATCH(J293,Tabella!$A:$A,0)-1,MATCH(L293,Tabella!$A$1:$AC$1,0)-1)=TRUE),0,+OFFSET(Tabella!$A$1,MATCH(J293,Tabella!$A:$A,0)-1,MATCH(L293,Tabella!$A$1:$AC$1,0)-1))</f>
        <v>1.4</v>
      </c>
      <c r="N293" s="255">
        <f ca="1">IF(ISERROR(OFFSET(Ottone!$A$1,MATCH(J293,Ottone!$A:$A,0)-1,MATCH(L293,Ottone!$A$1:$Z$1,0)-1)=TRUE),0,OFFSET(Ottone!$A$1,MATCH(J293,Ottone!$A:$A,0)-1,MATCH(L293,Ottone!$A$1:$Z$1,0)-1))*IF(G293="Ottone",1,0)</f>
        <v>0</v>
      </c>
      <c r="O293" s="255">
        <f ca="1">IF(ISERROR(OFFSET(Rame!$A$1,MATCH(J293,Rame!$A:$A,0)-1,MATCH(L293,Rame!$A$1:$AA$1,0)-1)=TRUE),0,OFFSET(Rame!$A$1,MATCH(J293,Rame!$A:$A,0)-1,MATCH(L293,Rame!$A$1:$AA$1,0)-1))*IF(G293="Rame",1,0)</f>
        <v>0</v>
      </c>
      <c r="P293" s="255">
        <v>0</v>
      </c>
      <c r="Q293" s="255">
        <f t="shared" ca="1" si="126"/>
        <v>1.4</v>
      </c>
      <c r="R293" s="255">
        <f ca="1">+IF(ISERROR(OFFSET(Tabella!$G$1,MATCH(J293,Tabella!$G:$G,0)-1,MATCH(K293,Tabella!$G$1:$FG$1,0)-1)=TRUE),0,OFFSET(Tabella!$G$1,MATCH(J293,Tabella!$G:$G,0)-1,MATCH(K293,Tabella!$G$1:$AB$1,0)-1))</f>
        <v>0</v>
      </c>
      <c r="S293" s="255">
        <f ca="1">IF(ISERROR(OFFSET(Ottone!$F$1,MATCH(J293,Ottone!$A:$A,0)-1,MATCH(K293,Ottone!$F$1:$FF$1,0)-1)=TRUE),0,OFFSET(Ottone!$F$1,MATCH(J293,Ottone!$A:$A,0)-1,MATCH(K293,Ottone!$F$1:$FF$1,0)-1))*IF(G293="Ottone",1,0)</f>
        <v>0</v>
      </c>
      <c r="T293" s="255">
        <f ca="1">IF(ISERROR(OFFSET(Rame!$F$1,MATCH(J293,Rame!$F:$F,0)-1,MATCH(K293,Rame!$F$1:$FF$1,0)-1)=TRUE),0,OFFSET(Rame!$F$1,MATCH(J293,Rame!$F:$F,0)-1,MATCH(K293,Rame!$F$1:$FF$1,0)-1))*IF(G293="Rame",1,0)</f>
        <v>0</v>
      </c>
      <c r="U293" s="255">
        <f ca="1">IF(ISERROR(OFFSET(Bronzo!$A$1,MATCH(J293,Bronzo!$A:$A,0)-1,MATCH(K293,Bronzo!$A$1:$AA$1,0)-1)=TRUE),0,OFFSET(Bronzo!$A$1,MATCH(J293,Bronzo!$A:$A,0)-1,MATCH(K293,Bronzo!$A$1:$AA$1,0)-1))</f>
        <v>0</v>
      </c>
      <c r="V293" s="255">
        <f t="shared" ca="1" si="127"/>
        <v>0</v>
      </c>
      <c r="W293" s="254"/>
      <c r="X293" s="255">
        <v>0</v>
      </c>
      <c r="Y293" s="256">
        <f t="shared" ca="1" si="128"/>
        <v>1.4</v>
      </c>
      <c r="Z293" s="269">
        <f t="shared" si="129"/>
        <v>50.540000000000006</v>
      </c>
      <c r="AA293" s="253">
        <v>4.07</v>
      </c>
      <c r="AB293" s="253">
        <f t="shared" ca="1" si="130"/>
        <v>0.25000000000000044</v>
      </c>
      <c r="AC293" s="258"/>
      <c r="AF293" s="223" t="s">
        <v>405</v>
      </c>
      <c r="AH293" s="232">
        <f t="shared" ca="1" si="120"/>
        <v>46120</v>
      </c>
      <c r="AI293" s="232" t="b">
        <f t="shared" si="121"/>
        <v>1</v>
      </c>
      <c r="AJ293" s="259" t="str">
        <f t="shared" si="119"/>
        <v/>
      </c>
      <c r="AM293" s="223">
        <f t="shared" si="122"/>
        <v>0</v>
      </c>
      <c r="AN293" s="223">
        <f t="shared" si="123"/>
        <v>1900</v>
      </c>
      <c r="AU293" s="223">
        <f t="shared" si="124"/>
        <v>0</v>
      </c>
      <c r="AV293" s="223">
        <f t="shared" si="125"/>
        <v>0</v>
      </c>
    </row>
    <row r="294" spans="4:48" ht="26.25" x14ac:dyDescent="0.4">
      <c r="D294" s="246" t="s">
        <v>595</v>
      </c>
      <c r="E294" s="262" t="s">
        <v>400</v>
      </c>
      <c r="F294" s="263">
        <v>3494</v>
      </c>
      <c r="G294" s="249" t="s">
        <v>4</v>
      </c>
      <c r="H294" s="250">
        <v>2.42</v>
      </c>
      <c r="I294" s="251">
        <v>46345</v>
      </c>
      <c r="J294" s="252" t="s">
        <v>15</v>
      </c>
      <c r="K294" s="252"/>
      <c r="L294" s="253">
        <v>7.0000000000000007E-2</v>
      </c>
      <c r="M294" s="254">
        <f ca="1">IF(ISERROR(OFFSET(Tabella!$A$1,MATCH(J294,Tabella!$A:$A,0)-1,MATCH(L294,Tabella!$A$1:$AC$1,0)-1)=TRUE),0,+OFFSET(Tabella!$A$1,MATCH(J294,Tabella!$A:$A,0)-1,MATCH(L294,Tabella!$A$1:$AC$1,0)-1))</f>
        <v>1.4</v>
      </c>
      <c r="N294" s="255">
        <f ca="1">IF(ISERROR(OFFSET(Ottone!$A$1,MATCH(J294,Ottone!$A:$A,0)-1,MATCH(L294,Ottone!$A$1:$Z$1,0)-1)=TRUE),0,OFFSET(Ottone!$A$1,MATCH(J294,Ottone!$A:$A,0)-1,MATCH(L294,Ottone!$A$1:$Z$1,0)-1))*IF(G294="Ottone",1,0)</f>
        <v>0</v>
      </c>
      <c r="O294" s="255">
        <f ca="1">IF(ISERROR(OFFSET(Rame!$A$1,MATCH(J294,Rame!$A:$A,0)-1,MATCH(L294,Rame!$A$1:$AA$1,0)-1)=TRUE),0,OFFSET(Rame!$A$1,MATCH(J294,Rame!$A:$A,0)-1,MATCH(L294,Rame!$A$1:$AA$1,0)-1))*IF(G294="Rame",1,0)</f>
        <v>0</v>
      </c>
      <c r="P294" s="255">
        <v>0</v>
      </c>
      <c r="Q294" s="255">
        <f t="shared" ca="1" si="126"/>
        <v>1.4</v>
      </c>
      <c r="R294" s="255">
        <f ca="1">+IF(ISERROR(OFFSET(Tabella!$G$1,MATCH(J294,Tabella!$G:$G,0)-1,MATCH(K294,Tabella!$G$1:$FG$1,0)-1)=TRUE),0,OFFSET(Tabella!$G$1,MATCH(J294,Tabella!$G:$G,0)-1,MATCH(K294,Tabella!$G$1:$AB$1,0)-1))</f>
        <v>0</v>
      </c>
      <c r="S294" s="255">
        <f ca="1">IF(ISERROR(OFFSET(Ottone!$F$1,MATCH(J294,Ottone!$A:$A,0)-1,MATCH(K294,Ottone!$F$1:$FF$1,0)-1)=TRUE),0,OFFSET(Ottone!$F$1,MATCH(J294,Ottone!$A:$A,0)-1,MATCH(K294,Ottone!$F$1:$FF$1,0)-1))*IF(G294="Ottone",1,0)</f>
        <v>0</v>
      </c>
      <c r="T294" s="255">
        <f ca="1">IF(ISERROR(OFFSET(Rame!$F$1,MATCH(J294,Rame!$F:$F,0)-1,MATCH(K294,Rame!$F$1:$FF$1,0)-1)=TRUE),0,OFFSET(Rame!$F$1,MATCH(J294,Rame!$F:$F,0)-1,MATCH(K294,Rame!$F$1:$FF$1,0)-1))*IF(G294="Rame",1,0)</f>
        <v>0</v>
      </c>
      <c r="U294" s="255">
        <f ca="1">IF(ISERROR(OFFSET(Bronzo!$A$1,MATCH(J294,Bronzo!$A:$A,0)-1,MATCH(K294,Bronzo!$A$1:$AA$1,0)-1)=TRUE),0,OFFSET(Bronzo!$A$1,MATCH(J294,Bronzo!$A:$A,0)-1,MATCH(K294,Bronzo!$A$1:$AA$1,0)-1))</f>
        <v>0</v>
      </c>
      <c r="V294" s="255">
        <f t="shared" ca="1" si="127"/>
        <v>0</v>
      </c>
      <c r="W294" s="254"/>
      <c r="X294" s="255">
        <v>0</v>
      </c>
      <c r="Y294" s="256">
        <f t="shared" ca="1" si="128"/>
        <v>1.4</v>
      </c>
      <c r="Z294" s="269">
        <f t="shared" si="129"/>
        <v>244.58</v>
      </c>
      <c r="AA294" s="253">
        <v>4.07</v>
      </c>
      <c r="AB294" s="253">
        <f t="shared" ca="1" si="130"/>
        <v>0.25000000000000044</v>
      </c>
      <c r="AC294" s="258"/>
      <c r="AF294" s="223" t="s">
        <v>405</v>
      </c>
      <c r="AH294" s="232">
        <f t="shared" ca="1" si="120"/>
        <v>46120</v>
      </c>
      <c r="AI294" s="232" t="b">
        <f t="shared" si="121"/>
        <v>1</v>
      </c>
      <c r="AJ294" s="259" t="str">
        <f t="shared" si="119"/>
        <v/>
      </c>
      <c r="AM294" s="223">
        <f t="shared" si="122"/>
        <v>0</v>
      </c>
      <c r="AN294" s="223">
        <f t="shared" si="123"/>
        <v>1900</v>
      </c>
      <c r="AU294" s="223">
        <f t="shared" si="124"/>
        <v>0</v>
      </c>
      <c r="AV294" s="223">
        <f t="shared" si="125"/>
        <v>0</v>
      </c>
    </row>
    <row r="295" spans="4:48" ht="26.25" x14ac:dyDescent="0.4">
      <c r="D295" s="246" t="s">
        <v>548</v>
      </c>
      <c r="E295" s="262" t="s">
        <v>400</v>
      </c>
      <c r="F295" s="263">
        <v>1332</v>
      </c>
      <c r="G295" s="249" t="s">
        <v>4</v>
      </c>
      <c r="H295" s="250">
        <v>2.42</v>
      </c>
      <c r="I295" s="251">
        <v>46345</v>
      </c>
      <c r="J295" s="252" t="s">
        <v>21</v>
      </c>
      <c r="K295" s="252"/>
      <c r="L295" s="253">
        <v>7.0000000000000007E-2</v>
      </c>
      <c r="M295" s="254">
        <f ca="1">IF(ISERROR(OFFSET(Tabella!$A$1,MATCH(J295,Tabella!$A:$A,0)-1,MATCH(L295,Tabella!$A$1:$AC$1,0)-1)=TRUE),0,+OFFSET(Tabella!$A$1,MATCH(J295,Tabella!$A:$A,0)-1,MATCH(L295,Tabella!$A$1:$AC$1,0)-1))</f>
        <v>1.25</v>
      </c>
      <c r="N295" s="255">
        <f ca="1">IF(ISERROR(OFFSET(Ottone!$A$1,MATCH(J295,Ottone!$A:$A,0)-1,MATCH(L295,Ottone!$A$1:$Z$1,0)-1)=TRUE),0,OFFSET(Ottone!$A$1,MATCH(J295,Ottone!$A:$A,0)-1,MATCH(L295,Ottone!$A$1:$Z$1,0)-1))*IF(G295="Ottone",1,0)</f>
        <v>0</v>
      </c>
      <c r="O295" s="255">
        <f ca="1">IF(ISERROR(OFFSET(Rame!$A$1,MATCH(J295,Rame!$A:$A,0)-1,MATCH(L295,Rame!$A$1:$AA$1,0)-1)=TRUE),0,OFFSET(Rame!$A$1,MATCH(J295,Rame!$A:$A,0)-1,MATCH(L295,Rame!$A$1:$AA$1,0)-1))*IF(G295="Rame",1,0)</f>
        <v>0</v>
      </c>
      <c r="P295" s="255">
        <v>0</v>
      </c>
      <c r="Q295" s="255">
        <f t="shared" ca="1" si="126"/>
        <v>1.25</v>
      </c>
      <c r="R295" s="255">
        <f ca="1">+IF(ISERROR(OFFSET(Tabella!$G$1,MATCH(J295,Tabella!$G:$G,0)-1,MATCH(K295,Tabella!$G$1:$FG$1,0)-1)=TRUE),0,OFFSET(Tabella!$G$1,MATCH(J295,Tabella!$G:$G,0)-1,MATCH(K295,Tabella!$G$1:$AB$1,0)-1))</f>
        <v>0</v>
      </c>
      <c r="S295" s="255">
        <f ca="1">IF(ISERROR(OFFSET(Ottone!$F$1,MATCH(J295,Ottone!$A:$A,0)-1,MATCH(K295,Ottone!$F$1:$FF$1,0)-1)=TRUE),0,OFFSET(Ottone!$F$1,MATCH(J295,Ottone!$A:$A,0)-1,MATCH(K295,Ottone!$F$1:$FF$1,0)-1))*IF(G295="Ottone",1,0)</f>
        <v>0</v>
      </c>
      <c r="T295" s="255">
        <f ca="1">IF(ISERROR(OFFSET(Rame!$F$1,MATCH(J295,Rame!$F:$F,0)-1,MATCH(K295,Rame!$F$1:$FF$1,0)-1)=TRUE),0,OFFSET(Rame!$F$1,MATCH(J295,Rame!$F:$F,0)-1,MATCH(K295,Rame!$F$1:$FF$1,0)-1))*IF(G295="Rame",1,0)</f>
        <v>0</v>
      </c>
      <c r="U295" s="255">
        <f ca="1">IF(ISERROR(OFFSET(Bronzo!$A$1,MATCH(J295,Bronzo!$A:$A,0)-1,MATCH(K295,Bronzo!$A$1:$AA$1,0)-1)=TRUE),0,OFFSET(Bronzo!$A$1,MATCH(J295,Bronzo!$A:$A,0)-1,MATCH(K295,Bronzo!$A$1:$AA$1,0)-1))</f>
        <v>0</v>
      </c>
      <c r="V295" s="255">
        <f t="shared" ca="1" si="127"/>
        <v>0</v>
      </c>
      <c r="W295" s="254"/>
      <c r="X295" s="255">
        <v>0</v>
      </c>
      <c r="Y295" s="256">
        <f t="shared" ca="1" si="128"/>
        <v>1.25</v>
      </c>
      <c r="Z295" s="269">
        <f t="shared" si="129"/>
        <v>93.240000000000009</v>
      </c>
      <c r="AA295" s="253">
        <v>3.92</v>
      </c>
      <c r="AB295" s="253">
        <f t="shared" ca="1" si="130"/>
        <v>0.25</v>
      </c>
      <c r="AC295" s="258"/>
      <c r="AF295" s="223" t="s">
        <v>405</v>
      </c>
      <c r="AH295" s="232">
        <f t="shared" ca="1" si="120"/>
        <v>46120</v>
      </c>
      <c r="AI295" s="232" t="b">
        <f t="shared" si="121"/>
        <v>1</v>
      </c>
      <c r="AJ295" s="259" t="str">
        <f t="shared" si="119"/>
        <v/>
      </c>
      <c r="AM295" s="223">
        <f t="shared" si="122"/>
        <v>0</v>
      </c>
      <c r="AN295" s="223">
        <f t="shared" si="123"/>
        <v>1900</v>
      </c>
      <c r="AU295" s="223">
        <f t="shared" si="124"/>
        <v>0</v>
      </c>
      <c r="AV295" s="223">
        <f t="shared" si="125"/>
        <v>0</v>
      </c>
    </row>
    <row r="296" spans="4:48" ht="26.25" x14ac:dyDescent="0.4">
      <c r="D296" s="246" t="s">
        <v>606</v>
      </c>
      <c r="E296" s="262" t="s">
        <v>400</v>
      </c>
      <c r="F296" s="263">
        <v>992</v>
      </c>
      <c r="G296" s="249" t="s">
        <v>4</v>
      </c>
      <c r="H296" s="250">
        <v>2.42</v>
      </c>
      <c r="I296" s="251">
        <v>46345</v>
      </c>
      <c r="J296" s="252" t="s">
        <v>28</v>
      </c>
      <c r="K296" s="252"/>
      <c r="L296" s="253">
        <v>7.0000000000000007E-2</v>
      </c>
      <c r="M296" s="254">
        <f ca="1">IF(ISERROR(OFFSET(Tabella!$A$1,MATCH(J296,Tabella!$A:$A,0)-1,MATCH(L296,Tabella!$A$1:$AC$1,0)-1)=TRUE),0,+OFFSET(Tabella!$A$1,MATCH(J296,Tabella!$A:$A,0)-1,MATCH(L296,Tabella!$A$1:$AC$1,0)-1))</f>
        <v>1.25</v>
      </c>
      <c r="N296" s="255">
        <f ca="1">IF(ISERROR(OFFSET(Ottone!$A$1,MATCH(J296,Ottone!$A:$A,0)-1,MATCH(L296,Ottone!$A$1:$Z$1,0)-1)=TRUE),0,OFFSET(Ottone!$A$1,MATCH(J296,Ottone!$A:$A,0)-1,MATCH(L296,Ottone!$A$1:$Z$1,0)-1))*IF(G296="Ottone",1,0)</f>
        <v>0</v>
      </c>
      <c r="O296" s="255">
        <f ca="1">IF(ISERROR(OFFSET(Rame!$A$1,MATCH(J296,Rame!$A:$A,0)-1,MATCH(L296,Rame!$A$1:$AA$1,0)-1)=TRUE),0,OFFSET(Rame!$A$1,MATCH(J296,Rame!$A:$A,0)-1,MATCH(L296,Rame!$A$1:$AA$1,0)-1))*IF(G296="Rame",1,0)</f>
        <v>0</v>
      </c>
      <c r="P296" s="255">
        <v>0</v>
      </c>
      <c r="Q296" s="255">
        <v>1.5</v>
      </c>
      <c r="R296" s="255">
        <f ca="1">+IF(ISERROR(OFFSET(Tabella!$G$1,MATCH(J296,Tabella!$G:$G,0)-1,MATCH(K296,Tabella!$G$1:$FG$1,0)-1)=TRUE),0,OFFSET(Tabella!$G$1,MATCH(J296,Tabella!$G:$G,0)-1,MATCH(K296,Tabella!$G$1:$AB$1,0)-1))</f>
        <v>0</v>
      </c>
      <c r="S296" s="255">
        <f ca="1">IF(ISERROR(OFFSET(Ottone!$F$1,MATCH(J296,Ottone!$A:$A,0)-1,MATCH(K296,Ottone!$F$1:$FF$1,0)-1)=TRUE),0,OFFSET(Ottone!$F$1,MATCH(J296,Ottone!$A:$A,0)-1,MATCH(K296,Ottone!$F$1:$FF$1,0)-1))*IF(G296="Ottone",1,0)</f>
        <v>0</v>
      </c>
      <c r="T296" s="255">
        <f ca="1">IF(ISERROR(OFFSET(Rame!$F$1,MATCH(J296,Rame!$F:$F,0)-1,MATCH(K296,Rame!$F$1:$FF$1,0)-1)=TRUE),0,OFFSET(Rame!$F$1,MATCH(J296,Rame!$F:$F,0)-1,MATCH(K296,Rame!$F$1:$FF$1,0)-1))*IF(G296="Rame",1,0)</f>
        <v>0</v>
      </c>
      <c r="U296" s="255">
        <f ca="1">IF(ISERROR(OFFSET(Bronzo!$A$1,MATCH(J296,Bronzo!$A:$A,0)-1,MATCH(K296,Bronzo!$A$1:$AA$1,0)-1)=TRUE),0,OFFSET(Bronzo!$A$1,MATCH(J296,Bronzo!$A:$A,0)-1,MATCH(K296,Bronzo!$A$1:$AA$1,0)-1))</f>
        <v>0</v>
      </c>
      <c r="V296" s="255">
        <f t="shared" ca="1" si="127"/>
        <v>0</v>
      </c>
      <c r="W296" s="254"/>
      <c r="X296" s="255">
        <v>0</v>
      </c>
      <c r="Y296" s="256">
        <f t="shared" ca="1" si="128"/>
        <v>1.5</v>
      </c>
      <c r="Z296" s="269">
        <f t="shared" si="129"/>
        <v>69.440000000000012</v>
      </c>
      <c r="AA296" s="253">
        <v>3.92</v>
      </c>
      <c r="AB296" s="253">
        <f t="shared" ca="1" si="130"/>
        <v>0</v>
      </c>
      <c r="AC296" s="258"/>
      <c r="AF296" s="223" t="s">
        <v>405</v>
      </c>
      <c r="AH296" s="232">
        <f t="shared" ca="1" si="120"/>
        <v>46120</v>
      </c>
      <c r="AI296" s="232" t="b">
        <f t="shared" si="121"/>
        <v>1</v>
      </c>
      <c r="AJ296" s="259" t="str">
        <f t="shared" si="119"/>
        <v/>
      </c>
      <c r="AM296" s="223">
        <f t="shared" si="122"/>
        <v>0</v>
      </c>
      <c r="AN296" s="223">
        <f t="shared" si="123"/>
        <v>1900</v>
      </c>
      <c r="AU296" s="223">
        <f t="shared" si="124"/>
        <v>0</v>
      </c>
      <c r="AV296" s="223">
        <f t="shared" si="125"/>
        <v>0</v>
      </c>
    </row>
    <row r="297" spans="4:48" ht="26.25" x14ac:dyDescent="0.4">
      <c r="D297" s="246" t="s">
        <v>596</v>
      </c>
      <c r="E297" s="262" t="s">
        <v>400</v>
      </c>
      <c r="F297" s="263">
        <v>910</v>
      </c>
      <c r="G297" s="249" t="s">
        <v>4</v>
      </c>
      <c r="H297" s="250">
        <v>2.42</v>
      </c>
      <c r="I297" s="251">
        <v>46345</v>
      </c>
      <c r="J297" s="252" t="s">
        <v>27</v>
      </c>
      <c r="K297" s="252"/>
      <c r="L297" s="253">
        <v>7.0000000000000007E-2</v>
      </c>
      <c r="M297" s="254">
        <f ca="1">IF(ISERROR(OFFSET(Tabella!$A$1,MATCH(J297,Tabella!$A:$A,0)-1,MATCH(L297,Tabella!$A$1:$AC$1,0)-1)=TRUE),0,+OFFSET(Tabella!$A$1,MATCH(J297,Tabella!$A:$A,0)-1,MATCH(L297,Tabella!$A$1:$AC$1,0)-1))</f>
        <v>1.25</v>
      </c>
      <c r="N297" s="255">
        <f ca="1">IF(ISERROR(OFFSET(Ottone!$A$1,MATCH(J297,Ottone!$A:$A,0)-1,MATCH(L297,Ottone!$A$1:$Z$1,0)-1)=TRUE),0,OFFSET(Ottone!$A$1,MATCH(J297,Ottone!$A:$A,0)-1,MATCH(L297,Ottone!$A$1:$Z$1,0)-1))*IF(G297="Ottone",1,0)</f>
        <v>0</v>
      </c>
      <c r="O297" s="255">
        <f ca="1">IF(ISERROR(OFFSET(Rame!$A$1,MATCH(J297,Rame!$A:$A,0)-1,MATCH(L297,Rame!$A$1:$AA$1,0)-1)=TRUE),0,OFFSET(Rame!$A$1,MATCH(J297,Rame!$A:$A,0)-1,MATCH(L297,Rame!$A$1:$AA$1,0)-1))*IF(G297="Rame",1,0)</f>
        <v>0</v>
      </c>
      <c r="P297" s="255">
        <v>0</v>
      </c>
      <c r="Q297" s="255">
        <v>1.5</v>
      </c>
      <c r="R297" s="255">
        <f ca="1">+IF(ISERROR(OFFSET(Tabella!$G$1,MATCH(J297,Tabella!$G:$G,0)-1,MATCH(K297,Tabella!$G$1:$FG$1,0)-1)=TRUE),0,OFFSET(Tabella!$G$1,MATCH(J297,Tabella!$G:$G,0)-1,MATCH(K297,Tabella!$G$1:$AB$1,0)-1))</f>
        <v>0</v>
      </c>
      <c r="S297" s="255">
        <f ca="1">IF(ISERROR(OFFSET(Ottone!$F$1,MATCH(J297,Ottone!$A:$A,0)-1,MATCH(K297,Ottone!$F$1:$FF$1,0)-1)=TRUE),0,OFFSET(Ottone!$F$1,MATCH(J297,Ottone!$A:$A,0)-1,MATCH(K297,Ottone!$F$1:$FF$1,0)-1))*IF(G297="Ottone",1,0)</f>
        <v>0</v>
      </c>
      <c r="T297" s="255">
        <f ca="1">IF(ISERROR(OFFSET(Rame!$F$1,MATCH(J297,Rame!$F:$F,0)-1,MATCH(K297,Rame!$F$1:$FF$1,0)-1)=TRUE),0,OFFSET(Rame!$F$1,MATCH(J297,Rame!$F:$F,0)-1,MATCH(K297,Rame!$F$1:$FF$1,0)-1))*IF(G297="Rame",1,0)</f>
        <v>0</v>
      </c>
      <c r="U297" s="255">
        <f ca="1">IF(ISERROR(OFFSET(Bronzo!$A$1,MATCH(J297,Bronzo!$A:$A,0)-1,MATCH(K297,Bronzo!$A$1:$AA$1,0)-1)=TRUE),0,OFFSET(Bronzo!$A$1,MATCH(J297,Bronzo!$A:$A,0)-1,MATCH(K297,Bronzo!$A$1:$AA$1,0)-1))</f>
        <v>0</v>
      </c>
      <c r="V297" s="255">
        <f t="shared" ca="1" si="127"/>
        <v>0</v>
      </c>
      <c r="W297" s="254"/>
      <c r="X297" s="255">
        <v>0</v>
      </c>
      <c r="Y297" s="256">
        <f t="shared" ca="1" si="128"/>
        <v>1.5</v>
      </c>
      <c r="Z297" s="269">
        <f t="shared" si="129"/>
        <v>63.7</v>
      </c>
      <c r="AA297" s="253">
        <v>3.92</v>
      </c>
      <c r="AB297" s="253">
        <f t="shared" ca="1" si="130"/>
        <v>0</v>
      </c>
      <c r="AC297" s="258"/>
      <c r="AF297" s="223" t="s">
        <v>405</v>
      </c>
      <c r="AH297" s="232">
        <f t="shared" ca="1" si="120"/>
        <v>46120</v>
      </c>
      <c r="AI297" s="232" t="b">
        <f t="shared" si="121"/>
        <v>1</v>
      </c>
      <c r="AJ297" s="259" t="str">
        <f t="shared" si="119"/>
        <v/>
      </c>
      <c r="AM297" s="223">
        <f t="shared" si="122"/>
        <v>0</v>
      </c>
      <c r="AN297" s="223">
        <f t="shared" si="123"/>
        <v>1900</v>
      </c>
      <c r="AU297" s="223">
        <f t="shared" si="124"/>
        <v>0</v>
      </c>
      <c r="AV297" s="223">
        <f t="shared" si="125"/>
        <v>0</v>
      </c>
    </row>
    <row r="298" spans="4:48" ht="26.25" x14ac:dyDescent="0.4">
      <c r="D298" s="246" t="s">
        <v>549</v>
      </c>
      <c r="E298" s="262" t="s">
        <v>400</v>
      </c>
      <c r="F298" s="263">
        <v>1852</v>
      </c>
      <c r="G298" s="249" t="s">
        <v>4</v>
      </c>
      <c r="H298" s="250">
        <v>2.42</v>
      </c>
      <c r="I298" s="251">
        <v>46345</v>
      </c>
      <c r="J298" s="252" t="s">
        <v>326</v>
      </c>
      <c r="K298" s="252"/>
      <c r="L298" s="253">
        <v>7.0000000000000007E-2</v>
      </c>
      <c r="M298" s="254">
        <f ca="1">IF(ISERROR(OFFSET(Tabella!$A$1,MATCH(J298,Tabella!$A:$A,0)-1,MATCH(L298,Tabella!$A$1:$AC$1,0)-1)=TRUE),0,+OFFSET(Tabella!$A$1,MATCH(J298,Tabella!$A:$A,0)-1,MATCH(L298,Tabella!$A$1:$AC$1,0)-1))</f>
        <v>1.25</v>
      </c>
      <c r="N298" s="255">
        <f ca="1">IF(ISERROR(OFFSET(Ottone!$A$1,MATCH(J298,Ottone!$A:$A,0)-1,MATCH(L298,Ottone!$A$1:$Z$1,0)-1)=TRUE),0,OFFSET(Ottone!$A$1,MATCH(J298,Ottone!$A:$A,0)-1,MATCH(L298,Ottone!$A$1:$Z$1,0)-1))*IF(G298="Ottone",1,0)</f>
        <v>0</v>
      </c>
      <c r="O298" s="255">
        <f ca="1">IF(ISERROR(OFFSET(Rame!$A$1,MATCH(J298,Rame!$A:$A,0)-1,MATCH(L298,Rame!$A$1:$AA$1,0)-1)=TRUE),0,OFFSET(Rame!$A$1,MATCH(J298,Rame!$A:$A,0)-1,MATCH(L298,Rame!$A$1:$AA$1,0)-1))*IF(G298="Rame",1,0)</f>
        <v>0</v>
      </c>
      <c r="P298" s="255">
        <v>0</v>
      </c>
      <c r="Q298" s="255">
        <v>1.5</v>
      </c>
      <c r="R298" s="255">
        <f ca="1">+IF(ISERROR(OFFSET(Tabella!$G$1,MATCH(J298,Tabella!$G:$G,0)-1,MATCH(K298,Tabella!$G$1:$FG$1,0)-1)=TRUE),0,OFFSET(Tabella!$G$1,MATCH(J298,Tabella!$G:$G,0)-1,MATCH(K298,Tabella!$G$1:$AB$1,0)-1))</f>
        <v>0</v>
      </c>
      <c r="S298" s="255">
        <f ca="1">IF(ISERROR(OFFSET(Ottone!$F$1,MATCH(J298,Ottone!$A:$A,0)-1,MATCH(K298,Ottone!$F$1:$FF$1,0)-1)=TRUE),0,OFFSET(Ottone!$F$1,MATCH(J298,Ottone!$A:$A,0)-1,MATCH(K298,Ottone!$F$1:$FF$1,0)-1))*IF(G298="Ottone",1,0)</f>
        <v>0</v>
      </c>
      <c r="T298" s="255">
        <f ca="1">IF(ISERROR(OFFSET(Rame!$F$1,MATCH(J298,Rame!$F:$F,0)-1,MATCH(K298,Rame!$F$1:$FF$1,0)-1)=TRUE),0,OFFSET(Rame!$F$1,MATCH(J298,Rame!$F:$F,0)-1,MATCH(K298,Rame!$F$1:$FF$1,0)-1))*IF(G298="Rame",1,0)</f>
        <v>0</v>
      </c>
      <c r="U298" s="255">
        <f ca="1">IF(ISERROR(OFFSET(Bronzo!$A$1,MATCH(J298,Bronzo!$A:$A,0)-1,MATCH(K298,Bronzo!$A$1:$AA$1,0)-1)=TRUE),0,OFFSET(Bronzo!$A$1,MATCH(J298,Bronzo!$A:$A,0)-1,MATCH(K298,Bronzo!$A$1:$AA$1,0)-1))</f>
        <v>0</v>
      </c>
      <c r="V298" s="255">
        <f t="shared" ca="1" si="127"/>
        <v>0</v>
      </c>
      <c r="W298" s="254"/>
      <c r="X298" s="255">
        <v>0</v>
      </c>
      <c r="Y298" s="256">
        <f t="shared" ca="1" si="128"/>
        <v>1.5</v>
      </c>
      <c r="Z298" s="269">
        <f t="shared" si="129"/>
        <v>129.64000000000001</v>
      </c>
      <c r="AA298" s="253">
        <v>3.92</v>
      </c>
      <c r="AB298" s="253">
        <f t="shared" ca="1" si="130"/>
        <v>0</v>
      </c>
      <c r="AC298" s="258"/>
      <c r="AF298" s="223" t="s">
        <v>405</v>
      </c>
      <c r="AH298" s="232">
        <f t="shared" ca="1" si="120"/>
        <v>46120</v>
      </c>
      <c r="AI298" s="232" t="b">
        <f t="shared" si="121"/>
        <v>1</v>
      </c>
      <c r="AJ298" s="259" t="str">
        <f t="shared" si="119"/>
        <v/>
      </c>
      <c r="AM298" s="223">
        <f t="shared" si="122"/>
        <v>0</v>
      </c>
      <c r="AN298" s="223">
        <f t="shared" si="123"/>
        <v>1900</v>
      </c>
      <c r="AU298" s="223">
        <f t="shared" si="124"/>
        <v>0</v>
      </c>
      <c r="AV298" s="223">
        <f t="shared" si="125"/>
        <v>0</v>
      </c>
    </row>
    <row r="299" spans="4:48" ht="26.25" x14ac:dyDescent="0.4">
      <c r="D299" s="246" t="s">
        <v>658</v>
      </c>
      <c r="E299" s="262" t="s">
        <v>400</v>
      </c>
      <c r="F299" s="263">
        <v>932</v>
      </c>
      <c r="G299" s="249" t="s">
        <v>4</v>
      </c>
      <c r="H299" s="250">
        <v>2.42</v>
      </c>
      <c r="I299" s="251">
        <v>46345</v>
      </c>
      <c r="J299" s="252" t="s">
        <v>21</v>
      </c>
      <c r="K299" s="252"/>
      <c r="L299" s="253">
        <v>7.0000000000000007E-2</v>
      </c>
      <c r="M299" s="254">
        <f ca="1">IF(ISERROR(OFFSET(Tabella!$A$1,MATCH(J299,Tabella!$A:$A,0)-1,MATCH(L299,Tabella!$A$1:$AC$1,0)-1)=TRUE),0,+OFFSET(Tabella!$A$1,MATCH(J299,Tabella!$A:$A,0)-1,MATCH(L299,Tabella!$A$1:$AC$1,0)-1))</f>
        <v>1.25</v>
      </c>
      <c r="N299" s="255">
        <f ca="1">IF(ISERROR(OFFSET(Ottone!$A$1,MATCH(J299,Ottone!$A:$A,0)-1,MATCH(L299,Ottone!$A$1:$Z$1,0)-1)=TRUE),0,OFFSET(Ottone!$A$1,MATCH(J299,Ottone!$A:$A,0)-1,MATCH(L299,Ottone!$A$1:$Z$1,0)-1))*IF(G299="Ottone",1,0)</f>
        <v>0</v>
      </c>
      <c r="O299" s="255">
        <f ca="1">IF(ISERROR(OFFSET(Rame!$A$1,MATCH(J299,Rame!$A:$A,0)-1,MATCH(L299,Rame!$A$1:$AA$1,0)-1)=TRUE),0,OFFSET(Rame!$A$1,MATCH(J299,Rame!$A:$A,0)-1,MATCH(L299,Rame!$A$1:$AA$1,0)-1))*IF(G299="Rame",1,0)</f>
        <v>0</v>
      </c>
      <c r="P299" s="255">
        <v>0</v>
      </c>
      <c r="Q299" s="255">
        <v>1.5</v>
      </c>
      <c r="R299" s="255">
        <f ca="1">+IF(ISERROR(OFFSET(Tabella!$G$1,MATCH(J299,Tabella!$G:$G,0)-1,MATCH(K299,Tabella!$G$1:$FG$1,0)-1)=TRUE),0,OFFSET(Tabella!$G$1,MATCH(J299,Tabella!$G:$G,0)-1,MATCH(K299,Tabella!$G$1:$AB$1,0)-1))</f>
        <v>0</v>
      </c>
      <c r="S299" s="255">
        <f ca="1">IF(ISERROR(OFFSET(Ottone!$F$1,MATCH(J299,Ottone!$A:$A,0)-1,MATCH(K299,Ottone!$F$1:$FF$1,0)-1)=TRUE),0,OFFSET(Ottone!$F$1,MATCH(J299,Ottone!$A:$A,0)-1,MATCH(K299,Ottone!$F$1:$FF$1,0)-1))*IF(G299="Ottone",1,0)</f>
        <v>0</v>
      </c>
      <c r="T299" s="255">
        <f ca="1">IF(ISERROR(OFFSET(Rame!$F$1,MATCH(J299,Rame!$F:$F,0)-1,MATCH(K299,Rame!$F$1:$FF$1,0)-1)=TRUE),0,OFFSET(Rame!$F$1,MATCH(J299,Rame!$F:$F,0)-1,MATCH(K299,Rame!$F$1:$FF$1,0)-1))*IF(G299="Rame",1,0)</f>
        <v>0</v>
      </c>
      <c r="U299" s="255">
        <f ca="1">IF(ISERROR(OFFSET(Bronzo!$A$1,MATCH(J299,Bronzo!$A:$A,0)-1,MATCH(K299,Bronzo!$A$1:$AA$1,0)-1)=TRUE),0,OFFSET(Bronzo!$A$1,MATCH(J299,Bronzo!$A:$A,0)-1,MATCH(K299,Bronzo!$A$1:$AA$1,0)-1))</f>
        <v>0</v>
      </c>
      <c r="V299" s="255">
        <f t="shared" ca="1" si="127"/>
        <v>0</v>
      </c>
      <c r="W299" s="254"/>
      <c r="X299" s="255">
        <v>0</v>
      </c>
      <c r="Y299" s="256">
        <f t="shared" ca="1" si="128"/>
        <v>1.5</v>
      </c>
      <c r="Z299" s="269">
        <f t="shared" si="129"/>
        <v>65.240000000000009</v>
      </c>
      <c r="AA299" s="253">
        <v>3.92</v>
      </c>
      <c r="AB299" s="253">
        <f t="shared" ca="1" si="130"/>
        <v>0</v>
      </c>
      <c r="AC299" s="258"/>
      <c r="AF299" s="223" t="s">
        <v>405</v>
      </c>
      <c r="AH299" s="232">
        <f t="shared" ca="1" si="120"/>
        <v>46120</v>
      </c>
      <c r="AI299" s="232" t="b">
        <f t="shared" si="121"/>
        <v>1</v>
      </c>
      <c r="AJ299" s="259" t="str">
        <f t="shared" si="119"/>
        <v/>
      </c>
      <c r="AM299" s="223">
        <f t="shared" si="122"/>
        <v>0</v>
      </c>
      <c r="AN299" s="223">
        <f t="shared" si="123"/>
        <v>1900</v>
      </c>
      <c r="AU299" s="223">
        <f t="shared" si="124"/>
        <v>0</v>
      </c>
      <c r="AV299" s="223">
        <f t="shared" si="125"/>
        <v>0</v>
      </c>
    </row>
    <row r="300" spans="4:48" ht="26.25" x14ac:dyDescent="0.4">
      <c r="D300" s="246" t="s">
        <v>658</v>
      </c>
      <c r="E300" s="262" t="s">
        <v>400</v>
      </c>
      <c r="F300" s="263">
        <v>1040</v>
      </c>
      <c r="G300" s="249" t="s">
        <v>4</v>
      </c>
      <c r="H300" s="250">
        <v>2.42</v>
      </c>
      <c r="I300" s="251">
        <v>46345</v>
      </c>
      <c r="J300" s="252" t="s">
        <v>17</v>
      </c>
      <c r="K300" s="252"/>
      <c r="L300" s="253">
        <v>7.0000000000000007E-2</v>
      </c>
      <c r="M300" s="254">
        <f ca="1">IF(ISERROR(OFFSET(Tabella!$A$1,MATCH(J300,Tabella!$A:$A,0)-1,MATCH(L300,Tabella!$A$1:$AC$1,0)-1)=TRUE),0,+OFFSET(Tabella!$A$1,MATCH(J300,Tabella!$A:$A,0)-1,MATCH(L300,Tabella!$A$1:$AC$1,0)-1))</f>
        <v>1.4</v>
      </c>
      <c r="N300" s="255">
        <f ca="1">IF(ISERROR(OFFSET(Ottone!$A$1,MATCH(J300,Ottone!$A:$A,0)-1,MATCH(L300,Ottone!$A$1:$Z$1,0)-1)=TRUE),0,OFFSET(Ottone!$A$1,MATCH(J300,Ottone!$A:$A,0)-1,MATCH(L300,Ottone!$A$1:$Z$1,0)-1))*IF(G300="Ottone",1,0)</f>
        <v>0</v>
      </c>
      <c r="O300" s="255">
        <f ca="1">IF(ISERROR(OFFSET(Rame!$A$1,MATCH(J300,Rame!$A:$A,0)-1,MATCH(L300,Rame!$A$1:$AA$1,0)-1)=TRUE),0,OFFSET(Rame!$A$1,MATCH(J300,Rame!$A:$A,0)-1,MATCH(L300,Rame!$A$1:$AA$1,0)-1))*IF(G300="Rame",1,0)</f>
        <v>0</v>
      </c>
      <c r="P300" s="255">
        <v>0</v>
      </c>
      <c r="Q300" s="255">
        <f t="shared" ca="1" si="126"/>
        <v>1.4</v>
      </c>
      <c r="R300" s="255">
        <f ca="1">+IF(ISERROR(OFFSET(Tabella!$G$1,MATCH(J300,Tabella!$G:$G,0)-1,MATCH(K300,Tabella!$G$1:$FG$1,0)-1)=TRUE),0,OFFSET(Tabella!$G$1,MATCH(J300,Tabella!$G:$G,0)-1,MATCH(K300,Tabella!$G$1:$AB$1,0)-1))</f>
        <v>0</v>
      </c>
      <c r="S300" s="255">
        <f ca="1">IF(ISERROR(OFFSET(Ottone!$F$1,MATCH(J300,Ottone!$A:$A,0)-1,MATCH(K300,Ottone!$F$1:$FF$1,0)-1)=TRUE),0,OFFSET(Ottone!$F$1,MATCH(J300,Ottone!$A:$A,0)-1,MATCH(K300,Ottone!$F$1:$FF$1,0)-1))*IF(G300="Ottone",1,0)</f>
        <v>0</v>
      </c>
      <c r="T300" s="255">
        <f ca="1">IF(ISERROR(OFFSET(Rame!$F$1,MATCH(J300,Rame!$F:$F,0)-1,MATCH(K300,Rame!$F$1:$FF$1,0)-1)=TRUE),0,OFFSET(Rame!$F$1,MATCH(J300,Rame!$F:$F,0)-1,MATCH(K300,Rame!$F$1:$FF$1,0)-1))*IF(G300="Rame",1,0)</f>
        <v>0</v>
      </c>
      <c r="U300" s="255">
        <f ca="1">IF(ISERROR(OFFSET(Bronzo!$A$1,MATCH(J300,Bronzo!$A:$A,0)-1,MATCH(K300,Bronzo!$A$1:$AA$1,0)-1)=TRUE),0,OFFSET(Bronzo!$A$1,MATCH(J300,Bronzo!$A:$A,0)-1,MATCH(K300,Bronzo!$A$1:$AA$1,0)-1))</f>
        <v>0</v>
      </c>
      <c r="V300" s="255">
        <f t="shared" ca="1" si="127"/>
        <v>0</v>
      </c>
      <c r="W300" s="254"/>
      <c r="X300" s="255">
        <v>0</v>
      </c>
      <c r="Y300" s="256">
        <f t="shared" ca="1" si="128"/>
        <v>1.4</v>
      </c>
      <c r="Z300" s="269">
        <f t="shared" si="129"/>
        <v>72.800000000000011</v>
      </c>
      <c r="AA300" s="253">
        <v>3.92</v>
      </c>
      <c r="AB300" s="253">
        <f t="shared" ca="1" si="130"/>
        <v>0.10000000000000009</v>
      </c>
      <c r="AC300" s="258"/>
      <c r="AF300" s="223" t="s">
        <v>405</v>
      </c>
      <c r="AH300" s="232">
        <f t="shared" ca="1" si="120"/>
        <v>46120</v>
      </c>
      <c r="AI300" s="232" t="b">
        <f t="shared" si="121"/>
        <v>1</v>
      </c>
      <c r="AJ300" s="259" t="str">
        <f t="shared" si="119"/>
        <v/>
      </c>
      <c r="AM300" s="223">
        <f t="shared" si="122"/>
        <v>0</v>
      </c>
      <c r="AN300" s="223">
        <f t="shared" si="123"/>
        <v>1900</v>
      </c>
      <c r="AU300" s="223">
        <f t="shared" si="124"/>
        <v>0</v>
      </c>
      <c r="AV300" s="223">
        <f t="shared" si="125"/>
        <v>0</v>
      </c>
    </row>
    <row r="301" spans="4:48" ht="26.25" x14ac:dyDescent="0.4">
      <c r="D301" s="246" t="s">
        <v>553</v>
      </c>
      <c r="E301" s="262" t="s">
        <v>400</v>
      </c>
      <c r="F301" s="263">
        <v>176</v>
      </c>
      <c r="G301" s="249" t="s">
        <v>4</v>
      </c>
      <c r="H301" s="250">
        <v>2.63</v>
      </c>
      <c r="I301" s="251">
        <v>46345</v>
      </c>
      <c r="J301" s="252" t="s">
        <v>322</v>
      </c>
      <c r="K301" s="252"/>
      <c r="L301" s="253">
        <v>7.0000000000000007E-2</v>
      </c>
      <c r="M301" s="254">
        <f ca="1">IF(ISERROR(OFFSET(Tabella!$A$1,MATCH(J301,Tabella!$A:$A,0)-1,MATCH(L301,Tabella!$A$1:$AC$1,0)-1)=TRUE),0,+OFFSET(Tabella!$A$1,MATCH(J301,Tabella!$A:$A,0)-1,MATCH(L301,Tabella!$A$1:$AC$1,0)-1))</f>
        <v>1.25</v>
      </c>
      <c r="N301" s="255">
        <f ca="1">IF(ISERROR(OFFSET(Ottone!$A$1,MATCH(J301,Ottone!$A:$A,0)-1,MATCH(L301,Ottone!$A$1:$Z$1,0)-1)=TRUE),0,OFFSET(Ottone!$A$1,MATCH(J301,Ottone!$A:$A,0)-1,MATCH(L301,Ottone!$A$1:$Z$1,0)-1))*IF(G301="Ottone",1,0)</f>
        <v>0</v>
      </c>
      <c r="O301" s="255">
        <f ca="1">IF(ISERROR(OFFSET(Rame!$A$1,MATCH(J301,Rame!$A:$A,0)-1,MATCH(L301,Rame!$A$1:$AA$1,0)-1)=TRUE),0,OFFSET(Rame!$A$1,MATCH(J301,Rame!$A:$A,0)-1,MATCH(L301,Rame!$A$1:$AA$1,0)-1))*IF(G301="Rame",1,0)</f>
        <v>0</v>
      </c>
      <c r="P301" s="255">
        <v>0</v>
      </c>
      <c r="Q301" s="255">
        <f t="shared" ca="1" si="126"/>
        <v>1.25</v>
      </c>
      <c r="R301" s="255">
        <f ca="1">+IF(ISERROR(OFFSET(Tabella!$G$1,MATCH(J301,Tabella!$G:$G,0)-1,MATCH(K301,Tabella!$G$1:$FG$1,0)-1)=TRUE),0,OFFSET(Tabella!$G$1,MATCH(J301,Tabella!$G:$G,0)-1,MATCH(K301,Tabella!$G$1:$AB$1,0)-1))</f>
        <v>0</v>
      </c>
      <c r="S301" s="255">
        <f ca="1">IF(ISERROR(OFFSET(Ottone!$F$1,MATCH(J301,Ottone!$A:$A,0)-1,MATCH(K301,Ottone!$F$1:$FF$1,0)-1)=TRUE),0,OFFSET(Ottone!$F$1,MATCH(J301,Ottone!$A:$A,0)-1,MATCH(K301,Ottone!$F$1:$FF$1,0)-1))*IF(G301="Ottone",1,0)</f>
        <v>0</v>
      </c>
      <c r="T301" s="255">
        <f ca="1">IF(ISERROR(OFFSET(Rame!$F$1,MATCH(J301,Rame!$F:$F,0)-1,MATCH(K301,Rame!$F$1:$FF$1,0)-1)=TRUE),0,OFFSET(Rame!$F$1,MATCH(J301,Rame!$F:$F,0)-1,MATCH(K301,Rame!$F$1:$FF$1,0)-1))*IF(G301="Rame",1,0)</f>
        <v>0</v>
      </c>
      <c r="U301" s="255">
        <f ca="1">IF(ISERROR(OFFSET(Bronzo!$A$1,MATCH(J301,Bronzo!$A:$A,0)-1,MATCH(K301,Bronzo!$A$1:$AA$1,0)-1)=TRUE),0,OFFSET(Bronzo!$A$1,MATCH(J301,Bronzo!$A:$A,0)-1,MATCH(K301,Bronzo!$A$1:$AA$1,0)-1))</f>
        <v>0</v>
      </c>
      <c r="V301" s="255">
        <f t="shared" ca="1" si="127"/>
        <v>0</v>
      </c>
      <c r="W301" s="254"/>
      <c r="X301" s="255">
        <v>0</v>
      </c>
      <c r="Y301" s="256">
        <f t="shared" ca="1" si="128"/>
        <v>1.25</v>
      </c>
      <c r="Z301" s="269">
        <f t="shared" si="129"/>
        <v>12.32</v>
      </c>
      <c r="AA301" s="253">
        <v>4.0999999999999996</v>
      </c>
      <c r="AB301" s="253">
        <f t="shared" ca="1" si="130"/>
        <v>0.21999999999999975</v>
      </c>
      <c r="AC301" s="258"/>
      <c r="AF301" s="223" t="s">
        <v>405</v>
      </c>
      <c r="AH301" s="232">
        <f t="shared" ca="1" si="120"/>
        <v>46120</v>
      </c>
      <c r="AI301" s="232" t="b">
        <f t="shared" si="121"/>
        <v>1</v>
      </c>
      <c r="AJ301" s="259" t="str">
        <f t="shared" si="119"/>
        <v/>
      </c>
      <c r="AM301" s="223">
        <f t="shared" si="122"/>
        <v>0</v>
      </c>
      <c r="AN301" s="223">
        <f t="shared" si="123"/>
        <v>1900</v>
      </c>
      <c r="AU301" s="223">
        <f t="shared" si="124"/>
        <v>0</v>
      </c>
      <c r="AV301" s="223">
        <f t="shared" si="125"/>
        <v>0</v>
      </c>
    </row>
    <row r="302" spans="4:48" ht="26.25" x14ac:dyDescent="0.4">
      <c r="D302" s="246" t="s">
        <v>660</v>
      </c>
      <c r="E302" s="262" t="s">
        <v>420</v>
      </c>
      <c r="F302" s="263">
        <v>1082</v>
      </c>
      <c r="G302" s="249" t="s">
        <v>4</v>
      </c>
      <c r="H302" s="250">
        <v>2.66</v>
      </c>
      <c r="I302" s="251">
        <v>46044</v>
      </c>
      <c r="J302" s="252" t="s">
        <v>326</v>
      </c>
      <c r="K302" s="252"/>
      <c r="L302" s="253">
        <v>0.05</v>
      </c>
      <c r="M302" s="254">
        <f ca="1">IF(ISERROR(OFFSET(Tabella!$A$1,MATCH(J302,Tabella!$A:$A,0)-1,MATCH(L302,Tabella!$A$1:$AC$1,0)-1)=TRUE),0,+OFFSET(Tabella!$A$1,MATCH(J302,Tabella!$A:$A,0)-1,MATCH(L302,Tabella!$A$1:$AC$1,0)-1))</f>
        <v>0</v>
      </c>
      <c r="N302" s="255">
        <f ca="1">IF(ISERROR(OFFSET(Ottone!$A$1,MATCH(J302,Ottone!$A:$A,0)-1,MATCH(L302,Ottone!$A$1:$Z$1,0)-1)=TRUE),0,OFFSET(Ottone!$A$1,MATCH(J302,Ottone!$A:$A,0)-1,MATCH(L302,Ottone!$A$1:$Z$1,0)-1))*IF(G302="Ottone",1,0)</f>
        <v>0</v>
      </c>
      <c r="O302" s="255">
        <f ca="1">IF(ISERROR(OFFSET(Rame!$A$1,MATCH(J302,Rame!$A:$A,0)-1,MATCH(L302,Rame!$A$1:$AA$1,0)-1)=TRUE),0,OFFSET(Rame!$A$1,MATCH(J302,Rame!$A:$A,0)-1,MATCH(L302,Rame!$A$1:$AA$1,0)-1))*IF(G302="Rame",1,0)</f>
        <v>0</v>
      </c>
      <c r="P302" s="255">
        <v>0</v>
      </c>
      <c r="Q302" s="255">
        <v>1.5</v>
      </c>
      <c r="R302" s="255">
        <f ca="1">+IF(ISERROR(OFFSET(Tabella!$G$1,MATCH(J302,Tabella!$G:$G,0)-1,MATCH(K302,Tabella!$G$1:$FG$1,0)-1)=TRUE),0,OFFSET(Tabella!$G$1,MATCH(J302,Tabella!$G:$G,0)-1,MATCH(K302,Tabella!$G$1:$AB$1,0)-1))</f>
        <v>0</v>
      </c>
      <c r="S302" s="255">
        <f ca="1">IF(ISERROR(OFFSET(Ottone!$F$1,MATCH(J302,Ottone!$A:$A,0)-1,MATCH(K302,Ottone!$F$1:$FF$1,0)-1)=TRUE),0,OFFSET(Ottone!$F$1,MATCH(J302,Ottone!$A:$A,0)-1,MATCH(K302,Ottone!$F$1:$FF$1,0)-1))*IF(G302="Ottone",1,0)</f>
        <v>0</v>
      </c>
      <c r="T302" s="255">
        <f ca="1">IF(ISERROR(OFFSET(Rame!$F$1,MATCH(J302,Rame!$F:$F,0)-1,MATCH(K302,Rame!$F$1:$FF$1,0)-1)=TRUE),0,OFFSET(Rame!$F$1,MATCH(J302,Rame!$F:$F,0)-1,MATCH(K302,Rame!$F$1:$FF$1,0)-1))*IF(G302="Rame",1,0)</f>
        <v>0</v>
      </c>
      <c r="U302" s="255">
        <f ca="1">IF(ISERROR(OFFSET(Bronzo!$A$1,MATCH(J302,Bronzo!$A:$A,0)-1,MATCH(K302,Bronzo!$A$1:$AA$1,0)-1)=TRUE),0,OFFSET(Bronzo!$A$1,MATCH(J302,Bronzo!$A:$A,0)-1,MATCH(K302,Bronzo!$A$1:$AA$1,0)-1))</f>
        <v>0</v>
      </c>
      <c r="V302" s="255">
        <f t="shared" ca="1" si="127"/>
        <v>0</v>
      </c>
      <c r="W302" s="254"/>
      <c r="X302" s="255">
        <v>0</v>
      </c>
      <c r="Y302" s="256">
        <f t="shared" ca="1" si="128"/>
        <v>1.5</v>
      </c>
      <c r="Z302" s="269">
        <f t="shared" si="129"/>
        <v>54.1</v>
      </c>
      <c r="AA302" s="253">
        <v>4.0999999999999996</v>
      </c>
      <c r="AB302" s="253">
        <f t="shared" ca="1" si="130"/>
        <v>-6.0000000000000497E-2</v>
      </c>
      <c r="AC302" s="258"/>
      <c r="AF302" s="223" t="s">
        <v>405</v>
      </c>
      <c r="AH302" s="232">
        <f t="shared" ca="1" si="120"/>
        <v>46120</v>
      </c>
      <c r="AI302" s="232" t="b">
        <f t="shared" si="121"/>
        <v>1</v>
      </c>
      <c r="AJ302" s="259" t="str">
        <f t="shared" si="119"/>
        <v/>
      </c>
      <c r="AM302" s="223">
        <f t="shared" si="122"/>
        <v>0</v>
      </c>
      <c r="AN302" s="223">
        <f t="shared" si="123"/>
        <v>1900</v>
      </c>
      <c r="AU302" s="223">
        <f t="shared" si="124"/>
        <v>0</v>
      </c>
      <c r="AV302" s="223">
        <f t="shared" si="125"/>
        <v>0</v>
      </c>
    </row>
    <row r="303" spans="4:48" ht="26.25" x14ac:dyDescent="0.4">
      <c r="D303" s="246" t="s">
        <v>683</v>
      </c>
      <c r="E303" s="262" t="s">
        <v>420</v>
      </c>
      <c r="F303" s="263">
        <v>957</v>
      </c>
      <c r="G303" s="249" t="s">
        <v>4</v>
      </c>
      <c r="H303" s="250">
        <v>2.66</v>
      </c>
      <c r="I303" s="251">
        <v>46044</v>
      </c>
      <c r="J303" s="252" t="s">
        <v>322</v>
      </c>
      <c r="K303" s="252"/>
      <c r="L303" s="253">
        <v>0.05</v>
      </c>
      <c r="M303" s="254">
        <f ca="1">IF(ISERROR(OFFSET(Tabella!$A$1,MATCH(J303,Tabella!$A:$A,0)-1,MATCH(L303,Tabella!$A$1:$AC$1,0)-1)=TRUE),0,+OFFSET(Tabella!$A$1,MATCH(J303,Tabella!$A:$A,0)-1,MATCH(L303,Tabella!$A$1:$AC$1,0)-1))</f>
        <v>0</v>
      </c>
      <c r="N303" s="255">
        <f ca="1">IF(ISERROR(OFFSET(Ottone!$A$1,MATCH(J303,Ottone!$A:$A,0)-1,MATCH(L303,Ottone!$A$1:$Z$1,0)-1)=TRUE),0,OFFSET(Ottone!$A$1,MATCH(J303,Ottone!$A:$A,0)-1,MATCH(L303,Ottone!$A$1:$Z$1,0)-1))*IF(G303="Ottone",1,0)</f>
        <v>0</v>
      </c>
      <c r="O303" s="255">
        <f ca="1">IF(ISERROR(OFFSET(Rame!$A$1,MATCH(J303,Rame!$A:$A,0)-1,MATCH(L303,Rame!$A$1:$AA$1,0)-1)=TRUE),0,OFFSET(Rame!$A$1,MATCH(J303,Rame!$A:$A,0)-1,MATCH(L303,Rame!$A$1:$AA$1,0)-1))*IF(G303="Rame",1,0)</f>
        <v>0</v>
      </c>
      <c r="P303" s="255">
        <v>0</v>
      </c>
      <c r="Q303" s="255">
        <v>1.5</v>
      </c>
      <c r="R303" s="255">
        <f ca="1">+IF(ISERROR(OFFSET(Tabella!$G$1,MATCH(J303,Tabella!$G:$G,0)-1,MATCH(K303,Tabella!$G$1:$FG$1,0)-1)=TRUE),0,OFFSET(Tabella!$G$1,MATCH(J303,Tabella!$G:$G,0)-1,MATCH(K303,Tabella!$G$1:$AB$1,0)-1))</f>
        <v>0</v>
      </c>
      <c r="S303" s="255">
        <f ca="1">IF(ISERROR(OFFSET(Ottone!$F$1,MATCH(J303,Ottone!$A:$A,0)-1,MATCH(K303,Ottone!$F$1:$FF$1,0)-1)=TRUE),0,OFFSET(Ottone!$F$1,MATCH(J303,Ottone!$A:$A,0)-1,MATCH(K303,Ottone!$F$1:$FF$1,0)-1))*IF(G303="Ottone",1,0)</f>
        <v>0</v>
      </c>
      <c r="T303" s="255">
        <f ca="1">IF(ISERROR(OFFSET(Rame!$F$1,MATCH(J303,Rame!$F:$F,0)-1,MATCH(K303,Rame!$F$1:$FF$1,0)-1)=TRUE),0,OFFSET(Rame!$F$1,MATCH(J303,Rame!$F:$F,0)-1,MATCH(K303,Rame!$F$1:$FF$1,0)-1))*IF(G303="Rame",1,0)</f>
        <v>0</v>
      </c>
      <c r="U303" s="255">
        <f ca="1">IF(ISERROR(OFFSET(Bronzo!$A$1,MATCH(J303,Bronzo!$A:$A,0)-1,MATCH(K303,Bronzo!$A$1:$AA$1,0)-1)=TRUE),0,OFFSET(Bronzo!$A$1,MATCH(J303,Bronzo!$A:$A,0)-1,MATCH(K303,Bronzo!$A$1:$AA$1,0)-1))</f>
        <v>0</v>
      </c>
      <c r="V303" s="255">
        <f t="shared" ca="1" si="127"/>
        <v>0</v>
      </c>
      <c r="W303" s="254"/>
      <c r="X303" s="255">
        <v>0</v>
      </c>
      <c r="Y303" s="256">
        <f t="shared" ca="1" si="128"/>
        <v>1.5</v>
      </c>
      <c r="Z303" s="269">
        <f t="shared" si="129"/>
        <v>47.85</v>
      </c>
      <c r="AA303" s="253">
        <v>4.0999999999999996</v>
      </c>
      <c r="AB303" s="253">
        <f t="shared" ca="1" si="130"/>
        <v>-6.0000000000000497E-2</v>
      </c>
      <c r="AC303" s="258"/>
      <c r="AF303" s="223" t="s">
        <v>405</v>
      </c>
      <c r="AH303" s="232">
        <f t="shared" ca="1" si="120"/>
        <v>46120</v>
      </c>
      <c r="AI303" s="232" t="b">
        <f t="shared" si="121"/>
        <v>1</v>
      </c>
      <c r="AJ303" s="259" t="str">
        <f t="shared" si="119"/>
        <v/>
      </c>
      <c r="AM303" s="223">
        <f t="shared" si="122"/>
        <v>0</v>
      </c>
      <c r="AN303" s="223">
        <f t="shared" si="123"/>
        <v>1900</v>
      </c>
      <c r="AU303" s="223">
        <f t="shared" si="124"/>
        <v>0</v>
      </c>
      <c r="AV303" s="223">
        <f t="shared" si="125"/>
        <v>0</v>
      </c>
    </row>
    <row r="304" spans="4:48" ht="26.25" x14ac:dyDescent="0.4">
      <c r="D304" s="246" t="s">
        <v>580</v>
      </c>
      <c r="E304" s="262" t="s">
        <v>420</v>
      </c>
      <c r="F304" s="263">
        <v>996</v>
      </c>
      <c r="G304" s="249" t="s">
        <v>4</v>
      </c>
      <c r="H304" s="250">
        <v>2.66</v>
      </c>
      <c r="I304" s="251">
        <v>46044</v>
      </c>
      <c r="J304" s="252" t="s">
        <v>24</v>
      </c>
      <c r="K304" s="252"/>
      <c r="L304" s="253">
        <v>0.05</v>
      </c>
      <c r="M304" s="254">
        <f ca="1">IF(ISERROR(OFFSET(Tabella!$A$1,MATCH(J304,Tabella!$A:$A,0)-1,MATCH(L304,Tabella!$A$1:$AC$1,0)-1)=TRUE),0,+OFFSET(Tabella!$A$1,MATCH(J304,Tabella!$A:$A,0)-1,MATCH(L304,Tabella!$A$1:$AC$1,0)-1))</f>
        <v>0</v>
      </c>
      <c r="N304" s="255">
        <f ca="1">IF(ISERROR(OFFSET(Ottone!$A$1,MATCH(J304,Ottone!$A:$A,0)-1,MATCH(L304,Ottone!$A$1:$Z$1,0)-1)=TRUE),0,OFFSET(Ottone!$A$1,MATCH(J304,Ottone!$A:$A,0)-1,MATCH(L304,Ottone!$A$1:$Z$1,0)-1))*IF(G304="Ottone",1,0)</f>
        <v>0</v>
      </c>
      <c r="O304" s="255">
        <f ca="1">IF(ISERROR(OFFSET(Rame!$A$1,MATCH(J304,Rame!$A:$A,0)-1,MATCH(L304,Rame!$A$1:$AA$1,0)-1)=TRUE),0,OFFSET(Rame!$A$1,MATCH(J304,Rame!$A:$A,0)-1,MATCH(L304,Rame!$A$1:$AA$1,0)-1))*IF(G304="Rame",1,0)</f>
        <v>0</v>
      </c>
      <c r="P304" s="255">
        <v>0</v>
      </c>
      <c r="Q304" s="255">
        <v>1.5</v>
      </c>
      <c r="R304" s="255">
        <f ca="1">+IF(ISERROR(OFFSET(Tabella!$G$1,MATCH(J304,Tabella!$G:$G,0)-1,MATCH(K304,Tabella!$G$1:$FG$1,0)-1)=TRUE),0,OFFSET(Tabella!$G$1,MATCH(J304,Tabella!$G:$G,0)-1,MATCH(K304,Tabella!$G$1:$AB$1,0)-1))</f>
        <v>0</v>
      </c>
      <c r="S304" s="255">
        <f ca="1">IF(ISERROR(OFFSET(Ottone!$F$1,MATCH(J304,Ottone!$A:$A,0)-1,MATCH(K304,Ottone!$F$1:$FF$1,0)-1)=TRUE),0,OFFSET(Ottone!$F$1,MATCH(J304,Ottone!$A:$A,0)-1,MATCH(K304,Ottone!$F$1:$FF$1,0)-1))*IF(G304="Ottone",1,0)</f>
        <v>0</v>
      </c>
      <c r="T304" s="255">
        <f ca="1">IF(ISERROR(OFFSET(Rame!$F$1,MATCH(J304,Rame!$F:$F,0)-1,MATCH(K304,Rame!$F$1:$FF$1,0)-1)=TRUE),0,OFFSET(Rame!$F$1,MATCH(J304,Rame!$F:$F,0)-1,MATCH(K304,Rame!$F$1:$FF$1,0)-1))*IF(G304="Rame",1,0)</f>
        <v>0</v>
      </c>
      <c r="U304" s="255">
        <f ca="1">IF(ISERROR(OFFSET(Bronzo!$A$1,MATCH(J304,Bronzo!$A:$A,0)-1,MATCH(K304,Bronzo!$A$1:$AA$1,0)-1)=TRUE),0,OFFSET(Bronzo!$A$1,MATCH(J304,Bronzo!$A:$A,0)-1,MATCH(K304,Bronzo!$A$1:$AA$1,0)-1))</f>
        <v>0</v>
      </c>
      <c r="V304" s="255">
        <f t="shared" ca="1" si="127"/>
        <v>0</v>
      </c>
      <c r="W304" s="254"/>
      <c r="X304" s="255">
        <v>0</v>
      </c>
      <c r="Y304" s="256">
        <f t="shared" ca="1" si="128"/>
        <v>1.5</v>
      </c>
      <c r="Z304" s="269">
        <f t="shared" si="129"/>
        <v>49.800000000000004</v>
      </c>
      <c r="AA304" s="253">
        <v>4.0999999999999996</v>
      </c>
      <c r="AB304" s="253">
        <f t="shared" ca="1" si="130"/>
        <v>-6.0000000000000497E-2</v>
      </c>
      <c r="AC304" s="258"/>
      <c r="AF304" s="223" t="s">
        <v>405</v>
      </c>
      <c r="AH304" s="232">
        <f t="shared" ca="1" si="120"/>
        <v>46120</v>
      </c>
      <c r="AI304" s="232" t="b">
        <f t="shared" si="121"/>
        <v>1</v>
      </c>
      <c r="AJ304" s="259" t="str">
        <f t="shared" si="119"/>
        <v/>
      </c>
      <c r="AM304" s="223">
        <f t="shared" si="122"/>
        <v>0</v>
      </c>
      <c r="AN304" s="223">
        <f t="shared" si="123"/>
        <v>1900</v>
      </c>
      <c r="AU304" s="223">
        <f t="shared" si="124"/>
        <v>0</v>
      </c>
      <c r="AV304" s="223">
        <f t="shared" si="125"/>
        <v>0</v>
      </c>
    </row>
    <row r="305" spans="4:48" ht="26.25" x14ac:dyDescent="0.4">
      <c r="D305" s="246" t="s">
        <v>597</v>
      </c>
      <c r="E305" s="262" t="s">
        <v>210</v>
      </c>
      <c r="F305" s="263">
        <v>229</v>
      </c>
      <c r="G305" s="249" t="s">
        <v>4</v>
      </c>
      <c r="H305" s="250">
        <v>2.69</v>
      </c>
      <c r="I305" s="251">
        <v>46076</v>
      </c>
      <c r="J305" s="252" t="s">
        <v>11</v>
      </c>
      <c r="K305" s="252"/>
      <c r="L305" s="253">
        <v>0.05</v>
      </c>
      <c r="M305" s="254">
        <f ca="1">IF(ISERROR(OFFSET(Tabella!$A$1,MATCH(J305,Tabella!$A:$A,0)-1,MATCH(L305,Tabella!$A$1:$AC$1,0)-1)=TRUE),0,+OFFSET(Tabella!$A$1,MATCH(J305,Tabella!$A:$A,0)-1,MATCH(L305,Tabella!$A$1:$AC$1,0)-1))</f>
        <v>0</v>
      </c>
      <c r="N305" s="255">
        <f ca="1">IF(ISERROR(OFFSET(Ottone!$A$1,MATCH(J305,Ottone!$A:$A,0)-1,MATCH(L305,Ottone!$A$1:$Z$1,0)-1)=TRUE),0,OFFSET(Ottone!$A$1,MATCH(J305,Ottone!$A:$A,0)-1,MATCH(L305,Ottone!$A$1:$Z$1,0)-1))*IF(G305="Ottone",1,0)</f>
        <v>0</v>
      </c>
      <c r="O305" s="255">
        <f ca="1">IF(ISERROR(OFFSET(Rame!$A$1,MATCH(J305,Rame!$A:$A,0)-1,MATCH(L305,Rame!$A$1:$AA$1,0)-1)=TRUE),0,OFFSET(Rame!$A$1,MATCH(J305,Rame!$A:$A,0)-1,MATCH(L305,Rame!$A$1:$AA$1,0)-1))*IF(G305="Rame",1,0)</f>
        <v>0</v>
      </c>
      <c r="P305" s="255">
        <v>0</v>
      </c>
      <c r="Q305" s="255">
        <v>1.75</v>
      </c>
      <c r="R305" s="255">
        <f ca="1">+IF(ISERROR(OFFSET(Tabella!$G$1,MATCH(J305,Tabella!$G:$G,0)-1,MATCH(K305,Tabella!$G$1:$FG$1,0)-1)=TRUE),0,OFFSET(Tabella!$G$1,MATCH(J305,Tabella!$G:$G,0)-1,MATCH(K305,Tabella!$G$1:$AB$1,0)-1))</f>
        <v>0</v>
      </c>
      <c r="S305" s="255">
        <f ca="1">IF(ISERROR(OFFSET(Ottone!$F$1,MATCH(J305,Ottone!$A:$A,0)-1,MATCH(K305,Ottone!$F$1:$FF$1,0)-1)=TRUE),0,OFFSET(Ottone!$F$1,MATCH(J305,Ottone!$A:$A,0)-1,MATCH(K305,Ottone!$F$1:$FF$1,0)-1))*IF(G305="Ottone",1,0)</f>
        <v>0</v>
      </c>
      <c r="T305" s="255">
        <f ca="1">IF(ISERROR(OFFSET(Rame!$F$1,MATCH(J305,Rame!$F:$F,0)-1,MATCH(K305,Rame!$F$1:$FF$1,0)-1)=TRUE),0,OFFSET(Rame!$F$1,MATCH(J305,Rame!$F:$F,0)-1,MATCH(K305,Rame!$F$1:$FF$1,0)-1))*IF(G305="Rame",1,0)</f>
        <v>0</v>
      </c>
      <c r="U305" s="255">
        <f ca="1">IF(ISERROR(OFFSET(Bronzo!$A$1,MATCH(J305,Bronzo!$A:$A,0)-1,MATCH(K305,Bronzo!$A$1:$AA$1,0)-1)=TRUE),0,OFFSET(Bronzo!$A$1,MATCH(J305,Bronzo!$A:$A,0)-1,MATCH(K305,Bronzo!$A$1:$AA$1,0)-1))</f>
        <v>0</v>
      </c>
      <c r="V305" s="255">
        <f t="shared" ca="1" si="127"/>
        <v>0</v>
      </c>
      <c r="W305" s="254"/>
      <c r="X305" s="255">
        <v>0</v>
      </c>
      <c r="Y305" s="256">
        <f t="shared" ca="1" si="128"/>
        <v>1.75</v>
      </c>
      <c r="Z305" s="269">
        <f t="shared" si="129"/>
        <v>11.450000000000001</v>
      </c>
      <c r="AA305" s="253">
        <v>4.3499999999999996</v>
      </c>
      <c r="AB305" s="253">
        <f t="shared" ca="1" si="130"/>
        <v>-9.0000000000000302E-2</v>
      </c>
      <c r="AC305" s="258"/>
      <c r="AF305" s="223" t="s">
        <v>405</v>
      </c>
      <c r="AH305" s="232">
        <f t="shared" ca="1" si="120"/>
        <v>46120</v>
      </c>
      <c r="AI305" s="232" t="b">
        <f t="shared" si="121"/>
        <v>1</v>
      </c>
      <c r="AJ305" s="259" t="str">
        <f t="shared" si="119"/>
        <v/>
      </c>
      <c r="AM305" s="223">
        <f t="shared" si="122"/>
        <v>0</v>
      </c>
      <c r="AN305" s="223">
        <f t="shared" si="123"/>
        <v>1900</v>
      </c>
      <c r="AU305" s="223">
        <f t="shared" si="124"/>
        <v>0</v>
      </c>
      <c r="AV305" s="223">
        <f t="shared" si="125"/>
        <v>0</v>
      </c>
    </row>
    <row r="306" spans="4:48" ht="26.25" x14ac:dyDescent="0.4">
      <c r="D306" s="246" t="s">
        <v>597</v>
      </c>
      <c r="E306" s="262" t="s">
        <v>210</v>
      </c>
      <c r="F306" s="263">
        <v>224</v>
      </c>
      <c r="G306" s="249" t="s">
        <v>4</v>
      </c>
      <c r="H306" s="250">
        <v>2.69</v>
      </c>
      <c r="I306" s="251">
        <v>46076</v>
      </c>
      <c r="J306" s="252" t="s">
        <v>21</v>
      </c>
      <c r="K306" s="252"/>
      <c r="L306" s="253">
        <v>0.05</v>
      </c>
      <c r="M306" s="254">
        <f ca="1">IF(ISERROR(OFFSET(Tabella!$A$1,MATCH(J306,Tabella!$A:$A,0)-1,MATCH(L306,Tabella!$A$1:$AC$1,0)-1)=TRUE),0,+OFFSET(Tabella!$A$1,MATCH(J306,Tabella!$A:$A,0)-1,MATCH(L306,Tabella!$A$1:$AC$1,0)-1))</f>
        <v>0</v>
      </c>
      <c r="N306" s="255">
        <f ca="1">IF(ISERROR(OFFSET(Ottone!$A$1,MATCH(J306,Ottone!$A:$A,0)-1,MATCH(L306,Ottone!$A$1:$Z$1,0)-1)=TRUE),0,OFFSET(Ottone!$A$1,MATCH(J306,Ottone!$A:$A,0)-1,MATCH(L306,Ottone!$A$1:$Z$1,0)-1))*IF(G306="Ottone",1,0)</f>
        <v>0</v>
      </c>
      <c r="O306" s="255">
        <f ca="1">IF(ISERROR(OFFSET(Rame!$A$1,MATCH(J306,Rame!$A:$A,0)-1,MATCH(L306,Rame!$A$1:$AA$1,0)-1)=TRUE),0,OFFSET(Rame!$A$1,MATCH(J306,Rame!$A:$A,0)-1,MATCH(L306,Rame!$A$1:$AA$1,0)-1))*IF(G306="Rame",1,0)</f>
        <v>0</v>
      </c>
      <c r="P306" s="255">
        <v>0</v>
      </c>
      <c r="Q306" s="255">
        <v>1.5</v>
      </c>
      <c r="R306" s="255">
        <f ca="1">+IF(ISERROR(OFFSET(Tabella!$G$1,MATCH(J306,Tabella!$G:$G,0)-1,MATCH(K306,Tabella!$G$1:$FG$1,0)-1)=TRUE),0,OFFSET(Tabella!$G$1,MATCH(J306,Tabella!$G:$G,0)-1,MATCH(K306,Tabella!$G$1:$AB$1,0)-1))</f>
        <v>0</v>
      </c>
      <c r="S306" s="255">
        <f ca="1">IF(ISERROR(OFFSET(Ottone!$F$1,MATCH(J306,Ottone!$A:$A,0)-1,MATCH(K306,Ottone!$F$1:$FF$1,0)-1)=TRUE),0,OFFSET(Ottone!$F$1,MATCH(J306,Ottone!$A:$A,0)-1,MATCH(K306,Ottone!$F$1:$FF$1,0)-1))*IF(G306="Ottone",1,0)</f>
        <v>0</v>
      </c>
      <c r="T306" s="255">
        <f ca="1">IF(ISERROR(OFFSET(Rame!$F$1,MATCH(J306,Rame!$F:$F,0)-1,MATCH(K306,Rame!$F$1:$FF$1,0)-1)=TRUE),0,OFFSET(Rame!$F$1,MATCH(J306,Rame!$F:$F,0)-1,MATCH(K306,Rame!$F$1:$FF$1,0)-1))*IF(G306="Rame",1,0)</f>
        <v>0</v>
      </c>
      <c r="U306" s="255">
        <f ca="1">IF(ISERROR(OFFSET(Bronzo!$A$1,MATCH(J306,Bronzo!$A:$A,0)-1,MATCH(K306,Bronzo!$A$1:$AA$1,0)-1)=TRUE),0,OFFSET(Bronzo!$A$1,MATCH(J306,Bronzo!$A:$A,0)-1,MATCH(K306,Bronzo!$A$1:$AA$1,0)-1))</f>
        <v>0</v>
      </c>
      <c r="V306" s="255">
        <f t="shared" ca="1" si="127"/>
        <v>0</v>
      </c>
      <c r="W306" s="254"/>
      <c r="X306" s="255">
        <v>0</v>
      </c>
      <c r="Y306" s="256">
        <f t="shared" ca="1" si="128"/>
        <v>1.5</v>
      </c>
      <c r="Z306" s="269">
        <f t="shared" si="129"/>
        <v>11.200000000000001</v>
      </c>
      <c r="AA306" s="253">
        <v>4.16</v>
      </c>
      <c r="AB306" s="253">
        <f t="shared" ca="1" si="130"/>
        <v>-2.9999999999999805E-2</v>
      </c>
      <c r="AC306" s="258"/>
      <c r="AF306" s="223" t="s">
        <v>405</v>
      </c>
      <c r="AH306" s="232">
        <f t="shared" ca="1" si="120"/>
        <v>46120</v>
      </c>
      <c r="AI306" s="232" t="b">
        <f t="shared" si="121"/>
        <v>1</v>
      </c>
      <c r="AJ306" s="259" t="str">
        <f t="shared" si="119"/>
        <v/>
      </c>
      <c r="AM306" s="223">
        <f t="shared" si="122"/>
        <v>0</v>
      </c>
      <c r="AN306" s="223">
        <f t="shared" si="123"/>
        <v>1900</v>
      </c>
      <c r="AU306" s="223">
        <f t="shared" si="124"/>
        <v>0</v>
      </c>
      <c r="AV306" s="223">
        <f t="shared" si="125"/>
        <v>0</v>
      </c>
    </row>
    <row r="307" spans="4:48" ht="26.25" x14ac:dyDescent="0.4">
      <c r="D307" s="246" t="s">
        <v>597</v>
      </c>
      <c r="E307" s="262" t="s">
        <v>210</v>
      </c>
      <c r="F307" s="263">
        <v>246</v>
      </c>
      <c r="G307" s="249" t="s">
        <v>4</v>
      </c>
      <c r="H307" s="250">
        <v>2.69</v>
      </c>
      <c r="I307" s="251">
        <v>46076</v>
      </c>
      <c r="J307" s="252" t="s">
        <v>23</v>
      </c>
      <c r="K307" s="252"/>
      <c r="L307" s="253">
        <v>0.05</v>
      </c>
      <c r="M307" s="254">
        <f ca="1">IF(ISERROR(OFFSET(Tabella!$A$1,MATCH(J307,Tabella!$A:$A,0)-1,MATCH(L307,Tabella!$A$1:$AC$1,0)-1)=TRUE),0,+OFFSET(Tabella!$A$1,MATCH(J307,Tabella!$A:$A,0)-1,MATCH(L307,Tabella!$A$1:$AC$1,0)-1))</f>
        <v>0</v>
      </c>
      <c r="N307" s="255">
        <f ca="1">IF(ISERROR(OFFSET(Ottone!$A$1,MATCH(J307,Ottone!$A:$A,0)-1,MATCH(L307,Ottone!$A$1:$Z$1,0)-1)=TRUE),0,OFFSET(Ottone!$A$1,MATCH(J307,Ottone!$A:$A,0)-1,MATCH(L307,Ottone!$A$1:$Z$1,0)-1))*IF(G307="Ottone",1,0)</f>
        <v>0</v>
      </c>
      <c r="O307" s="255">
        <f ca="1">IF(ISERROR(OFFSET(Rame!$A$1,MATCH(J307,Rame!$A:$A,0)-1,MATCH(L307,Rame!$A$1:$AA$1,0)-1)=TRUE),0,OFFSET(Rame!$A$1,MATCH(J307,Rame!$A:$A,0)-1,MATCH(L307,Rame!$A$1:$AA$1,0)-1))*IF(G307="Rame",1,0)</f>
        <v>0</v>
      </c>
      <c r="P307" s="255">
        <v>0</v>
      </c>
      <c r="Q307" s="255">
        <v>1.5</v>
      </c>
      <c r="R307" s="255">
        <f ca="1">+IF(ISERROR(OFFSET(Tabella!$G$1,MATCH(J307,Tabella!$G:$G,0)-1,MATCH(K307,Tabella!$G$1:$FG$1,0)-1)=TRUE),0,OFFSET(Tabella!$G$1,MATCH(J307,Tabella!$G:$G,0)-1,MATCH(K307,Tabella!$G$1:$AB$1,0)-1))</f>
        <v>0</v>
      </c>
      <c r="S307" s="255">
        <f ca="1">IF(ISERROR(OFFSET(Ottone!$F$1,MATCH(J307,Ottone!$A:$A,0)-1,MATCH(K307,Ottone!$F$1:$FF$1,0)-1)=TRUE),0,OFFSET(Ottone!$F$1,MATCH(J307,Ottone!$A:$A,0)-1,MATCH(K307,Ottone!$F$1:$FF$1,0)-1))*IF(G307="Ottone",1,0)</f>
        <v>0</v>
      </c>
      <c r="T307" s="255">
        <f ca="1">IF(ISERROR(OFFSET(Rame!$F$1,MATCH(J307,Rame!$F:$F,0)-1,MATCH(K307,Rame!$F$1:$FF$1,0)-1)=TRUE),0,OFFSET(Rame!$F$1,MATCH(J307,Rame!$F:$F,0)-1,MATCH(K307,Rame!$F$1:$FF$1,0)-1))*IF(G307="Rame",1,0)</f>
        <v>0</v>
      </c>
      <c r="U307" s="255">
        <f ca="1">IF(ISERROR(OFFSET(Bronzo!$A$1,MATCH(J307,Bronzo!$A:$A,0)-1,MATCH(K307,Bronzo!$A$1:$AA$1,0)-1)=TRUE),0,OFFSET(Bronzo!$A$1,MATCH(J307,Bronzo!$A:$A,0)-1,MATCH(K307,Bronzo!$A$1:$AA$1,0)-1))</f>
        <v>0</v>
      </c>
      <c r="V307" s="255">
        <f t="shared" ca="1" si="127"/>
        <v>0</v>
      </c>
      <c r="W307" s="254"/>
      <c r="X307" s="255">
        <v>0</v>
      </c>
      <c r="Y307" s="256">
        <f t="shared" ca="1" si="128"/>
        <v>1.5</v>
      </c>
      <c r="Z307" s="269">
        <f t="shared" si="129"/>
        <v>12.3</v>
      </c>
      <c r="AA307" s="253">
        <v>4.16</v>
      </c>
      <c r="AB307" s="253">
        <f t="shared" ca="1" si="130"/>
        <v>-2.9999999999999805E-2</v>
      </c>
      <c r="AC307" s="258"/>
      <c r="AF307" s="223" t="s">
        <v>405</v>
      </c>
      <c r="AH307" s="232">
        <f t="shared" ca="1" si="120"/>
        <v>46120</v>
      </c>
      <c r="AI307" s="232" t="b">
        <f t="shared" si="121"/>
        <v>1</v>
      </c>
      <c r="AJ307" s="259" t="str">
        <f t="shared" ref="AJ307:AJ335" si="131">IF(AI307=FALSE,_xlfn.DAYS(AC307,AH307),"")</f>
        <v/>
      </c>
      <c r="AM307" s="223">
        <f t="shared" si="122"/>
        <v>0</v>
      </c>
      <c r="AN307" s="223">
        <f t="shared" si="123"/>
        <v>1900</v>
      </c>
      <c r="AU307" s="223">
        <f t="shared" si="124"/>
        <v>0</v>
      </c>
      <c r="AV307" s="223">
        <f t="shared" si="125"/>
        <v>0</v>
      </c>
    </row>
    <row r="308" spans="4:48" ht="26.25" x14ac:dyDescent="0.4">
      <c r="D308" s="246" t="s">
        <v>569</v>
      </c>
      <c r="E308" s="282" t="s">
        <v>400</v>
      </c>
      <c r="F308" s="283">
        <v>26200</v>
      </c>
      <c r="G308" s="249" t="s">
        <v>4</v>
      </c>
      <c r="H308" s="250">
        <v>2.62</v>
      </c>
      <c r="I308" s="251">
        <v>46076</v>
      </c>
      <c r="J308" s="252" t="s">
        <v>21</v>
      </c>
      <c r="K308" s="252"/>
      <c r="L308" s="253">
        <v>7.0000000000000007E-2</v>
      </c>
      <c r="M308" s="254">
        <f ca="1">IF(ISERROR(OFFSET(Tabella!$A$1,MATCH(J308,Tabella!$A:$A,0)-1,MATCH(L308,Tabella!$A$1:$AC$1,0)-1)=TRUE),0,+OFFSET(Tabella!$A$1,MATCH(J308,Tabella!$A:$A,0)-1,MATCH(L308,Tabella!$A$1:$AC$1,0)-1))</f>
        <v>1.25</v>
      </c>
      <c r="N308" s="255">
        <f ca="1">IF(ISERROR(OFFSET(Ottone!$A$1,MATCH(J308,Ottone!$A:$A,0)-1,MATCH(L308,Ottone!$A$1:$Z$1,0)-1)=TRUE),0,OFFSET(Ottone!$A$1,MATCH(J308,Ottone!$A:$A,0)-1,MATCH(L308,Ottone!$A$1:$Z$1,0)-1))*IF(G308="Ottone",1,0)</f>
        <v>0</v>
      </c>
      <c r="O308" s="255">
        <f ca="1">IF(ISERROR(OFFSET(Rame!$A$1,MATCH(J308,Rame!$A:$A,0)-1,MATCH(L308,Rame!$A$1:$AA$1,0)-1)=TRUE),0,OFFSET(Rame!$A$1,MATCH(J308,Rame!$A:$A,0)-1,MATCH(L308,Rame!$A$1:$AA$1,0)-1))*IF(G308="Rame",1,0)</f>
        <v>0</v>
      </c>
      <c r="P308" s="255">
        <v>0</v>
      </c>
      <c r="Q308" s="255">
        <f t="shared" ca="1" si="126"/>
        <v>1.25</v>
      </c>
      <c r="R308" s="255">
        <f ca="1">+IF(ISERROR(OFFSET(Tabella!$G$1,MATCH(J308,Tabella!$G:$G,0)-1,MATCH(K308,Tabella!$G$1:$FG$1,0)-1)=TRUE),0,OFFSET(Tabella!$G$1,MATCH(J308,Tabella!$G:$G,0)-1,MATCH(K308,Tabella!$G$1:$AB$1,0)-1))</f>
        <v>0</v>
      </c>
      <c r="S308" s="255">
        <f ca="1">IF(ISERROR(OFFSET(Ottone!$F$1,MATCH(J308,Ottone!$A:$A,0)-1,MATCH(K308,Ottone!$F$1:$FF$1,0)-1)=TRUE),0,OFFSET(Ottone!$F$1,MATCH(J308,Ottone!$A:$A,0)-1,MATCH(K308,Ottone!$F$1:$FF$1,0)-1))*IF(G308="Ottone",1,0)</f>
        <v>0</v>
      </c>
      <c r="T308" s="255">
        <f ca="1">IF(ISERROR(OFFSET(Rame!$F$1,MATCH(J308,Rame!$F:$F,0)-1,MATCH(K308,Rame!$F$1:$FF$1,0)-1)=TRUE),0,OFFSET(Rame!$F$1,MATCH(J308,Rame!$F:$F,0)-1,MATCH(K308,Rame!$F$1:$FF$1,0)-1))*IF(G308="Rame",1,0)</f>
        <v>0</v>
      </c>
      <c r="U308" s="255">
        <f ca="1">IF(ISERROR(OFFSET(Bronzo!$A$1,MATCH(J308,Bronzo!$A:$A,0)-1,MATCH(K308,Bronzo!$A$1:$AA$1,0)-1)=TRUE),0,OFFSET(Bronzo!$A$1,MATCH(J308,Bronzo!$A:$A,0)-1,MATCH(K308,Bronzo!$A$1:$AA$1,0)-1))</f>
        <v>0</v>
      </c>
      <c r="V308" s="255">
        <f t="shared" ca="1" si="127"/>
        <v>0</v>
      </c>
      <c r="W308" s="254"/>
      <c r="X308" s="255">
        <v>0</v>
      </c>
      <c r="Y308" s="256">
        <f t="shared" ca="1" si="128"/>
        <v>1.25</v>
      </c>
      <c r="Z308" s="284">
        <f t="shared" si="129"/>
        <v>1834.0000000000002</v>
      </c>
      <c r="AA308" s="253">
        <v>4.0999999999999996</v>
      </c>
      <c r="AB308" s="253">
        <f t="shared" ca="1" si="130"/>
        <v>0.22999999999999954</v>
      </c>
      <c r="AC308" s="258">
        <v>46203</v>
      </c>
      <c r="AH308" s="232">
        <f t="shared" ca="1" si="120"/>
        <v>46120</v>
      </c>
      <c r="AI308" s="232" t="b">
        <f t="shared" si="121"/>
        <v>0</v>
      </c>
      <c r="AJ308" s="259">
        <f t="shared" ca="1" si="131"/>
        <v>83</v>
      </c>
      <c r="AM308" s="223">
        <f t="shared" si="122"/>
        <v>27</v>
      </c>
      <c r="AN308" s="223">
        <f t="shared" si="123"/>
        <v>2026</v>
      </c>
      <c r="AU308" s="223">
        <f t="shared" si="124"/>
        <v>6</v>
      </c>
      <c r="AV308" s="223">
        <f t="shared" si="125"/>
        <v>2026</v>
      </c>
    </row>
    <row r="309" spans="4:48" ht="26.25" x14ac:dyDescent="0.4">
      <c r="D309" s="246" t="s">
        <v>756</v>
      </c>
      <c r="E309" s="292" t="s">
        <v>263</v>
      </c>
      <c r="F309" s="293">
        <v>1472</v>
      </c>
      <c r="G309" s="249" t="s">
        <v>4</v>
      </c>
      <c r="H309" s="250">
        <v>2.9</v>
      </c>
      <c r="I309" s="251">
        <v>46076</v>
      </c>
      <c r="J309" s="252" t="s">
        <v>19</v>
      </c>
      <c r="K309" s="252"/>
      <c r="L309" s="253">
        <v>7.0000000000000007E-2</v>
      </c>
      <c r="M309" s="254">
        <f ca="1">IF(ISERROR(OFFSET(Tabella!$A$1,MATCH(J309,Tabella!$A:$A,0)-1,MATCH(L309,Tabella!$A$1:$AC$1,0)-1)=TRUE),0,+OFFSET(Tabella!$A$1,MATCH(J309,Tabella!$A:$A,0)-1,MATCH(L309,Tabella!$A$1:$AC$1,0)-1))</f>
        <v>1.35</v>
      </c>
      <c r="N309" s="255">
        <f ca="1">IF(ISERROR(OFFSET(Ottone!$A$1,MATCH(J309,Ottone!$A:$A,0)-1,MATCH(L309,Ottone!$A$1:$Z$1,0)-1)=TRUE),0,OFFSET(Ottone!$A$1,MATCH(J309,Ottone!$A:$A,0)-1,MATCH(L309,Ottone!$A$1:$Z$1,0)-1))*IF(G309="Ottone",1,0)</f>
        <v>0</v>
      </c>
      <c r="O309" s="255">
        <f ca="1">IF(ISERROR(OFFSET(Rame!$A$1,MATCH(J309,Rame!$A:$A,0)-1,MATCH(L309,Rame!$A$1:$AA$1,0)-1)=TRUE),0,OFFSET(Rame!$A$1,MATCH(J309,Rame!$A:$A,0)-1,MATCH(L309,Rame!$A$1:$AA$1,0)-1))*IF(G309="Rame",1,0)</f>
        <v>0</v>
      </c>
      <c r="P309" s="255">
        <v>0</v>
      </c>
      <c r="Q309" s="255">
        <f t="shared" ca="1" si="126"/>
        <v>1.35</v>
      </c>
      <c r="R309" s="255">
        <f ca="1">+IF(ISERROR(OFFSET(Tabella!$G$1,MATCH(J309,Tabella!$G:$G,0)-1,MATCH(K309,Tabella!$G$1:$FG$1,0)-1)=TRUE),0,OFFSET(Tabella!$G$1,MATCH(J309,Tabella!$G:$G,0)-1,MATCH(K309,Tabella!$G$1:$AB$1,0)-1))</f>
        <v>0</v>
      </c>
      <c r="S309" s="255">
        <f ca="1">IF(ISERROR(OFFSET(Ottone!$F$1,MATCH(J309,Ottone!$A:$A,0)-1,MATCH(K309,Ottone!$F$1:$FF$1,0)-1)=TRUE),0,OFFSET(Ottone!$F$1,MATCH(J309,Ottone!$A:$A,0)-1,MATCH(K309,Ottone!$F$1:$FF$1,0)-1))*IF(G309="Ottone",1,0)</f>
        <v>0</v>
      </c>
      <c r="T309" s="255">
        <f ca="1">IF(ISERROR(OFFSET(Rame!$F$1,MATCH(J309,Rame!$F:$F,0)-1,MATCH(K309,Rame!$F$1:$FF$1,0)-1)=TRUE),0,OFFSET(Rame!$F$1,MATCH(J309,Rame!$F:$F,0)-1,MATCH(K309,Rame!$F$1:$FF$1,0)-1))*IF(G309="Rame",1,0)</f>
        <v>0</v>
      </c>
      <c r="U309" s="255">
        <f ca="1">IF(ISERROR(OFFSET(Bronzo!$A$1,MATCH(J309,Bronzo!$A:$A,0)-1,MATCH(K309,Bronzo!$A$1:$AA$1,0)-1)=TRUE),0,OFFSET(Bronzo!$A$1,MATCH(J309,Bronzo!$A:$A,0)-1,MATCH(K309,Bronzo!$A$1:$AA$1,0)-1))</f>
        <v>0</v>
      </c>
      <c r="V309" s="255">
        <f t="shared" ca="1" si="127"/>
        <v>0</v>
      </c>
      <c r="W309" s="254"/>
      <c r="X309" s="255">
        <v>0</v>
      </c>
      <c r="Y309" s="256">
        <f t="shared" ca="1" si="128"/>
        <v>1.35</v>
      </c>
      <c r="Z309" s="291">
        <f t="shared" si="129"/>
        <v>103.04</v>
      </c>
      <c r="AA309" s="253">
        <v>4.26</v>
      </c>
      <c r="AB309" s="253">
        <f t="shared" ca="1" si="130"/>
        <v>9.9999999999997868E-3</v>
      </c>
      <c r="AC309" s="258"/>
      <c r="AH309" s="232">
        <f t="shared" ca="1" si="120"/>
        <v>46120</v>
      </c>
      <c r="AI309" s="232" t="b">
        <f t="shared" si="121"/>
        <v>1</v>
      </c>
      <c r="AJ309" s="259" t="str">
        <f t="shared" si="131"/>
        <v/>
      </c>
      <c r="AM309" s="223">
        <f t="shared" si="122"/>
        <v>0</v>
      </c>
      <c r="AN309" s="223">
        <f t="shared" si="123"/>
        <v>1900</v>
      </c>
      <c r="AU309" s="223">
        <f t="shared" si="124"/>
        <v>0</v>
      </c>
      <c r="AV309" s="223">
        <f t="shared" si="125"/>
        <v>0</v>
      </c>
    </row>
    <row r="310" spans="4:48" ht="26.25" x14ac:dyDescent="0.4">
      <c r="D310" s="246" t="s">
        <v>627</v>
      </c>
      <c r="E310" s="292" t="s">
        <v>263</v>
      </c>
      <c r="F310" s="293">
        <v>978</v>
      </c>
      <c r="G310" s="249" t="s">
        <v>4</v>
      </c>
      <c r="H310" s="250">
        <v>2.69</v>
      </c>
      <c r="I310" s="251">
        <v>46076</v>
      </c>
      <c r="J310" s="252" t="s">
        <v>13</v>
      </c>
      <c r="K310" s="252"/>
      <c r="L310" s="253">
        <v>7.0000000000000007E-2</v>
      </c>
      <c r="M310" s="254">
        <f ca="1">IF(ISERROR(OFFSET(Tabella!$A$1,MATCH(J310,Tabella!$A:$A,0)-1,MATCH(L310,Tabella!$A$1:$AC$1,0)-1)=TRUE),0,+OFFSET(Tabella!$A$1,MATCH(J310,Tabella!$A:$A,0)-1,MATCH(L310,Tabella!$A$1:$AC$1,0)-1))</f>
        <v>1.4</v>
      </c>
      <c r="N310" s="255">
        <f ca="1">IF(ISERROR(OFFSET(Ottone!$A$1,MATCH(J310,Ottone!$A:$A,0)-1,MATCH(L310,Ottone!$A$1:$Z$1,0)-1)=TRUE),0,OFFSET(Ottone!$A$1,MATCH(J310,Ottone!$A:$A,0)-1,MATCH(L310,Ottone!$A$1:$Z$1,0)-1))*IF(G310="Ottone",1,0)</f>
        <v>0</v>
      </c>
      <c r="O310" s="255">
        <f ca="1">IF(ISERROR(OFFSET(Rame!$A$1,MATCH(J310,Rame!$A:$A,0)-1,MATCH(L310,Rame!$A$1:$AA$1,0)-1)=TRUE),0,OFFSET(Rame!$A$1,MATCH(J310,Rame!$A:$A,0)-1,MATCH(L310,Rame!$A$1:$AA$1,0)-1))*IF(G310="Rame",1,0)</f>
        <v>0</v>
      </c>
      <c r="P310" s="255">
        <v>0</v>
      </c>
      <c r="Q310" s="255">
        <f t="shared" ca="1" si="126"/>
        <v>1.4</v>
      </c>
      <c r="R310" s="255">
        <f ca="1">+IF(ISERROR(OFFSET(Tabella!$G$1,MATCH(J310,Tabella!$G:$G,0)-1,MATCH(K310,Tabella!$G$1:$FG$1,0)-1)=TRUE),0,OFFSET(Tabella!$G$1,MATCH(J310,Tabella!$G:$G,0)-1,MATCH(K310,Tabella!$G$1:$AB$1,0)-1))</f>
        <v>0</v>
      </c>
      <c r="S310" s="255">
        <f ca="1">IF(ISERROR(OFFSET(Ottone!$F$1,MATCH(J310,Ottone!$A:$A,0)-1,MATCH(K310,Ottone!$F$1:$FF$1,0)-1)=TRUE),0,OFFSET(Ottone!$F$1,MATCH(J310,Ottone!$A:$A,0)-1,MATCH(K310,Ottone!$F$1:$FF$1,0)-1))*IF(G310="Ottone",1,0)</f>
        <v>0</v>
      </c>
      <c r="T310" s="255">
        <f ca="1">IF(ISERROR(OFFSET(Rame!$F$1,MATCH(J310,Rame!$F:$F,0)-1,MATCH(K310,Rame!$F$1:$FF$1,0)-1)=TRUE),0,OFFSET(Rame!$F$1,MATCH(J310,Rame!$F:$F,0)-1,MATCH(K310,Rame!$F$1:$FF$1,0)-1))*IF(G310="Rame",1,0)</f>
        <v>0</v>
      </c>
      <c r="U310" s="255">
        <f ca="1">IF(ISERROR(OFFSET(Bronzo!$A$1,MATCH(J310,Bronzo!$A:$A,0)-1,MATCH(K310,Bronzo!$A$1:$AA$1,0)-1)=TRUE),0,OFFSET(Bronzo!$A$1,MATCH(J310,Bronzo!$A:$A,0)-1,MATCH(K310,Bronzo!$A$1:$AA$1,0)-1))</f>
        <v>0</v>
      </c>
      <c r="V310" s="255">
        <f t="shared" ca="1" si="127"/>
        <v>0</v>
      </c>
      <c r="W310" s="254"/>
      <c r="X310" s="255">
        <v>0</v>
      </c>
      <c r="Y310" s="256">
        <f t="shared" ca="1" si="128"/>
        <v>1.4</v>
      </c>
      <c r="Z310" s="291">
        <f t="shared" si="129"/>
        <v>68.460000000000008</v>
      </c>
      <c r="AA310" s="253">
        <v>4.41</v>
      </c>
      <c r="AB310" s="253">
        <f t="shared" ca="1" si="130"/>
        <v>0.32000000000000028</v>
      </c>
      <c r="AC310" s="258"/>
      <c r="AH310" s="232">
        <f t="shared" ca="1" si="120"/>
        <v>46120</v>
      </c>
      <c r="AI310" s="232" t="b">
        <f t="shared" si="121"/>
        <v>1</v>
      </c>
      <c r="AJ310" s="259" t="str">
        <f t="shared" si="131"/>
        <v/>
      </c>
      <c r="AM310" s="223">
        <f t="shared" si="122"/>
        <v>0</v>
      </c>
      <c r="AN310" s="223">
        <f t="shared" si="123"/>
        <v>1900</v>
      </c>
      <c r="AU310" s="223">
        <f t="shared" si="124"/>
        <v>0</v>
      </c>
      <c r="AV310" s="223">
        <f t="shared" si="125"/>
        <v>0</v>
      </c>
    </row>
    <row r="311" spans="4:48" ht="26.25" x14ac:dyDescent="0.4">
      <c r="D311" s="246" t="s">
        <v>756</v>
      </c>
      <c r="E311" s="292" t="s">
        <v>263</v>
      </c>
      <c r="F311" s="293">
        <v>1158</v>
      </c>
      <c r="G311" s="249" t="s">
        <v>4</v>
      </c>
      <c r="H311" s="250">
        <v>2.69</v>
      </c>
      <c r="I311" s="251">
        <v>46076</v>
      </c>
      <c r="J311" s="252" t="s">
        <v>13</v>
      </c>
      <c r="K311" s="252"/>
      <c r="L311" s="253">
        <v>7.0000000000000007E-2</v>
      </c>
      <c r="M311" s="254">
        <f ca="1">IF(ISERROR(OFFSET(Tabella!$A$1,MATCH(J311,Tabella!$A:$A,0)-1,MATCH(L311,Tabella!$A$1:$AC$1,0)-1)=TRUE),0,+OFFSET(Tabella!$A$1,MATCH(J311,Tabella!$A:$A,0)-1,MATCH(L311,Tabella!$A$1:$AC$1,0)-1))</f>
        <v>1.4</v>
      </c>
      <c r="N311" s="255">
        <f ca="1">IF(ISERROR(OFFSET(Ottone!$A$1,MATCH(J311,Ottone!$A:$A,0)-1,MATCH(L311,Ottone!$A$1:$Z$1,0)-1)=TRUE),0,OFFSET(Ottone!$A$1,MATCH(J311,Ottone!$A:$A,0)-1,MATCH(L311,Ottone!$A$1:$Z$1,0)-1))*IF(G311="Ottone",1,0)</f>
        <v>0</v>
      </c>
      <c r="O311" s="255">
        <f ca="1">IF(ISERROR(OFFSET(Rame!$A$1,MATCH(J311,Rame!$A:$A,0)-1,MATCH(L311,Rame!$A$1:$AA$1,0)-1)=TRUE),0,OFFSET(Rame!$A$1,MATCH(J311,Rame!$A:$A,0)-1,MATCH(L311,Rame!$A$1:$AA$1,0)-1))*IF(G311="Rame",1,0)</f>
        <v>0</v>
      </c>
      <c r="P311" s="255">
        <v>0</v>
      </c>
      <c r="Q311" s="255">
        <f t="shared" ca="1" si="126"/>
        <v>1.4</v>
      </c>
      <c r="R311" s="255">
        <f ca="1">+IF(ISERROR(OFFSET(Tabella!$G$1,MATCH(J311,Tabella!$G:$G,0)-1,MATCH(K311,Tabella!$G$1:$FG$1,0)-1)=TRUE),0,OFFSET(Tabella!$G$1,MATCH(J311,Tabella!$G:$G,0)-1,MATCH(K311,Tabella!$G$1:$AB$1,0)-1))</f>
        <v>0</v>
      </c>
      <c r="S311" s="255">
        <f ca="1">IF(ISERROR(OFFSET(Ottone!$F$1,MATCH(J311,Ottone!$A:$A,0)-1,MATCH(K311,Ottone!$F$1:$FF$1,0)-1)=TRUE),0,OFFSET(Ottone!$F$1,MATCH(J311,Ottone!$A:$A,0)-1,MATCH(K311,Ottone!$F$1:$FF$1,0)-1))*IF(G311="Ottone",1,0)</f>
        <v>0</v>
      </c>
      <c r="T311" s="255">
        <f ca="1">IF(ISERROR(OFFSET(Rame!$F$1,MATCH(J311,Rame!$F:$F,0)-1,MATCH(K311,Rame!$F$1:$FF$1,0)-1)=TRUE),0,OFFSET(Rame!$F$1,MATCH(J311,Rame!$F:$F,0)-1,MATCH(K311,Rame!$F$1:$FF$1,0)-1))*IF(G311="Rame",1,0)</f>
        <v>0</v>
      </c>
      <c r="U311" s="255">
        <f ca="1">IF(ISERROR(OFFSET(Bronzo!$A$1,MATCH(J311,Bronzo!$A:$A,0)-1,MATCH(K311,Bronzo!$A$1:$AA$1,0)-1)=TRUE),0,OFFSET(Bronzo!$A$1,MATCH(J311,Bronzo!$A:$A,0)-1,MATCH(K311,Bronzo!$A$1:$AA$1,0)-1))</f>
        <v>0</v>
      </c>
      <c r="V311" s="255">
        <f t="shared" ca="1" si="127"/>
        <v>0</v>
      </c>
      <c r="W311" s="254"/>
      <c r="X311" s="255">
        <v>0</v>
      </c>
      <c r="Y311" s="256">
        <f t="shared" ca="1" si="128"/>
        <v>1.4</v>
      </c>
      <c r="Z311" s="291">
        <f t="shared" si="129"/>
        <v>81.06</v>
      </c>
      <c r="AA311" s="253">
        <v>4.41</v>
      </c>
      <c r="AB311" s="253">
        <f t="shared" ca="1" si="130"/>
        <v>0.32000000000000028</v>
      </c>
      <c r="AC311" s="258"/>
      <c r="AH311" s="232">
        <f t="shared" ca="1" si="120"/>
        <v>46120</v>
      </c>
      <c r="AI311" s="232" t="b">
        <f t="shared" si="121"/>
        <v>1</v>
      </c>
      <c r="AJ311" s="259" t="str">
        <f t="shared" si="131"/>
        <v/>
      </c>
      <c r="AM311" s="223">
        <f t="shared" si="122"/>
        <v>0</v>
      </c>
      <c r="AN311" s="223">
        <f t="shared" si="123"/>
        <v>1900</v>
      </c>
      <c r="AU311" s="223">
        <f t="shared" si="124"/>
        <v>0</v>
      </c>
      <c r="AV311" s="223">
        <f t="shared" si="125"/>
        <v>0</v>
      </c>
    </row>
    <row r="312" spans="4:48" ht="26.25" x14ac:dyDescent="0.4">
      <c r="D312" s="246" t="s">
        <v>763</v>
      </c>
      <c r="E312" s="292" t="s">
        <v>263</v>
      </c>
      <c r="F312" s="293">
        <v>631</v>
      </c>
      <c r="G312" s="249" t="s">
        <v>4</v>
      </c>
      <c r="H312" s="250">
        <v>2.69</v>
      </c>
      <c r="I312" s="251">
        <v>46076</v>
      </c>
      <c r="J312" s="252" t="s">
        <v>322</v>
      </c>
      <c r="K312" s="252"/>
      <c r="L312" s="253">
        <v>7.0000000000000007E-2</v>
      </c>
      <c r="M312" s="254">
        <f ca="1">IF(ISERROR(OFFSET(Tabella!$A$1,MATCH(J312,Tabella!$A:$A,0)-1,MATCH(L312,Tabella!$A$1:$AC$1,0)-1)=TRUE),0,+OFFSET(Tabella!$A$1,MATCH(J312,Tabella!$A:$A,0)-1,MATCH(L312,Tabella!$A$1:$AC$1,0)-1))</f>
        <v>1.25</v>
      </c>
      <c r="N312" s="255">
        <f ca="1">IF(ISERROR(OFFSET(Ottone!$A$1,MATCH(J312,Ottone!$A:$A,0)-1,MATCH(L312,Ottone!$A$1:$Z$1,0)-1)=TRUE),0,OFFSET(Ottone!$A$1,MATCH(J312,Ottone!$A:$A,0)-1,MATCH(L312,Ottone!$A$1:$Z$1,0)-1))*IF(G312="Ottone",1,0)</f>
        <v>0</v>
      </c>
      <c r="O312" s="255">
        <f ca="1">IF(ISERROR(OFFSET(Rame!$A$1,MATCH(J312,Rame!$A:$A,0)-1,MATCH(L312,Rame!$A$1:$AA$1,0)-1)=TRUE),0,OFFSET(Rame!$A$1,MATCH(J312,Rame!$A:$A,0)-1,MATCH(L312,Rame!$A$1:$AA$1,0)-1))*IF(G312="Rame",1,0)</f>
        <v>0</v>
      </c>
      <c r="P312" s="255">
        <v>0</v>
      </c>
      <c r="Q312" s="255">
        <f t="shared" ca="1" si="126"/>
        <v>1.25</v>
      </c>
      <c r="R312" s="255">
        <f ca="1">+IF(ISERROR(OFFSET(Tabella!$G$1,MATCH(J312,Tabella!$G:$G,0)-1,MATCH(K312,Tabella!$G$1:$FG$1,0)-1)=TRUE),0,OFFSET(Tabella!$G$1,MATCH(J312,Tabella!$G:$G,0)-1,MATCH(K312,Tabella!$G$1:$AB$1,0)-1))</f>
        <v>0</v>
      </c>
      <c r="S312" s="255">
        <f ca="1">IF(ISERROR(OFFSET(Ottone!$F$1,MATCH(J312,Ottone!$A:$A,0)-1,MATCH(K312,Ottone!$F$1:$FF$1,0)-1)=TRUE),0,OFFSET(Ottone!$F$1,MATCH(J312,Ottone!$A:$A,0)-1,MATCH(K312,Ottone!$F$1:$FF$1,0)-1))*IF(G312="Ottone",1,0)</f>
        <v>0</v>
      </c>
      <c r="T312" s="255">
        <f ca="1">IF(ISERROR(OFFSET(Rame!$F$1,MATCH(J312,Rame!$F:$F,0)-1,MATCH(K312,Rame!$F$1:$FF$1,0)-1)=TRUE),0,OFFSET(Rame!$F$1,MATCH(J312,Rame!$F:$F,0)-1,MATCH(K312,Rame!$F$1:$FF$1,0)-1))*IF(G312="Rame",1,0)</f>
        <v>0</v>
      </c>
      <c r="U312" s="255">
        <f ca="1">IF(ISERROR(OFFSET(Bronzo!$A$1,MATCH(J312,Bronzo!$A:$A,0)-1,MATCH(K312,Bronzo!$A$1:$AA$1,0)-1)=TRUE),0,OFFSET(Bronzo!$A$1,MATCH(J312,Bronzo!$A:$A,0)-1,MATCH(K312,Bronzo!$A$1:$AA$1,0)-1))</f>
        <v>0</v>
      </c>
      <c r="V312" s="255">
        <f t="shared" ca="1" si="127"/>
        <v>0</v>
      </c>
      <c r="W312" s="254"/>
      <c r="X312" s="255">
        <v>0</v>
      </c>
      <c r="Y312" s="256">
        <f t="shared" ca="1" si="128"/>
        <v>1.25</v>
      </c>
      <c r="Z312" s="291">
        <f t="shared" si="129"/>
        <v>44.17</v>
      </c>
      <c r="AA312" s="253">
        <v>4.26</v>
      </c>
      <c r="AB312" s="253">
        <f t="shared" ca="1" si="130"/>
        <v>0.31999999999999984</v>
      </c>
      <c r="AC312" s="258"/>
      <c r="AH312" s="232">
        <f t="shared" ca="1" si="120"/>
        <v>46120</v>
      </c>
      <c r="AI312" s="232" t="b">
        <f t="shared" si="121"/>
        <v>1</v>
      </c>
      <c r="AJ312" s="259" t="str">
        <f t="shared" si="131"/>
        <v/>
      </c>
      <c r="AM312" s="223">
        <f t="shared" si="122"/>
        <v>0</v>
      </c>
      <c r="AN312" s="223">
        <f t="shared" si="123"/>
        <v>1900</v>
      </c>
      <c r="AU312" s="223">
        <f t="shared" si="124"/>
        <v>0</v>
      </c>
      <c r="AV312" s="223">
        <f t="shared" si="125"/>
        <v>0</v>
      </c>
    </row>
    <row r="313" spans="4:48" ht="26.25" x14ac:dyDescent="0.4">
      <c r="D313" s="246" t="s">
        <v>592</v>
      </c>
      <c r="E313" s="262" t="s">
        <v>219</v>
      </c>
      <c r="F313" s="263">
        <v>544</v>
      </c>
      <c r="G313" s="249" t="s">
        <v>4</v>
      </c>
      <c r="H313" s="250">
        <v>2.62</v>
      </c>
      <c r="I313" s="251">
        <v>46076</v>
      </c>
      <c r="J313" s="252" t="s">
        <v>23</v>
      </c>
      <c r="K313" s="252"/>
      <c r="L313" s="253">
        <v>0.05</v>
      </c>
      <c r="M313" s="254">
        <f ca="1">IF(ISERROR(OFFSET(Tabella!$A$1,MATCH(J313,Tabella!$A:$A,0)-1,MATCH(L313,Tabella!$A$1:$AC$1,0)-1)=TRUE),0,+OFFSET(Tabella!$A$1,MATCH(J313,Tabella!$A:$A,0)-1,MATCH(L313,Tabella!$A$1:$AC$1,0)-1))</f>
        <v>0</v>
      </c>
      <c r="N313" s="255">
        <f ca="1">IF(ISERROR(OFFSET(Ottone!$A$1,MATCH(J313,Ottone!$A:$A,0)-1,MATCH(L313,Ottone!$A$1:$Z$1,0)-1)=TRUE),0,OFFSET(Ottone!$A$1,MATCH(J313,Ottone!$A:$A,0)-1,MATCH(L313,Ottone!$A$1:$Z$1,0)-1))*IF(G313="Ottone",1,0)</f>
        <v>0</v>
      </c>
      <c r="O313" s="255">
        <f ca="1">IF(ISERROR(OFFSET(Rame!$A$1,MATCH(J313,Rame!$A:$A,0)-1,MATCH(L313,Rame!$A$1:$AA$1,0)-1)=TRUE),0,OFFSET(Rame!$A$1,MATCH(J313,Rame!$A:$A,0)-1,MATCH(L313,Rame!$A$1:$AA$1,0)-1))*IF(G313="Rame",1,0)</f>
        <v>0</v>
      </c>
      <c r="P313" s="255">
        <v>0</v>
      </c>
      <c r="Q313" s="255">
        <v>1.5</v>
      </c>
      <c r="R313" s="255">
        <f ca="1">+IF(ISERROR(OFFSET(Tabella!$G$1,MATCH(J313,Tabella!$G:$G,0)-1,MATCH(K313,Tabella!$G$1:$FG$1,0)-1)=TRUE),0,OFFSET(Tabella!$G$1,MATCH(J313,Tabella!$G:$G,0)-1,MATCH(K313,Tabella!$G$1:$AB$1,0)-1))</f>
        <v>0</v>
      </c>
      <c r="S313" s="255">
        <f ca="1">IF(ISERROR(OFFSET(Ottone!$F$1,MATCH(J313,Ottone!$A:$A,0)-1,MATCH(K313,Ottone!$F$1:$FF$1,0)-1)=TRUE),0,OFFSET(Ottone!$F$1,MATCH(J313,Ottone!$A:$A,0)-1,MATCH(K313,Ottone!$F$1:$FF$1,0)-1))*IF(G313="Ottone",1,0)</f>
        <v>0</v>
      </c>
      <c r="T313" s="255">
        <f ca="1">IF(ISERROR(OFFSET(Rame!$F$1,MATCH(J313,Rame!$F:$F,0)-1,MATCH(K313,Rame!$F$1:$FF$1,0)-1)=TRUE),0,OFFSET(Rame!$F$1,MATCH(J313,Rame!$F:$F,0)-1,MATCH(K313,Rame!$F$1:$FF$1,0)-1))*IF(G313="Rame",1,0)</f>
        <v>0</v>
      </c>
      <c r="U313" s="255">
        <f ca="1">IF(ISERROR(OFFSET(Bronzo!$A$1,MATCH(J313,Bronzo!$A:$A,0)-1,MATCH(K313,Bronzo!$A$1:$AA$1,0)-1)=TRUE),0,OFFSET(Bronzo!$A$1,MATCH(J313,Bronzo!$A:$A,0)-1,MATCH(K313,Bronzo!$A$1:$AA$1,0)-1))</f>
        <v>0</v>
      </c>
      <c r="V313" s="255">
        <f t="shared" ca="1" si="127"/>
        <v>0</v>
      </c>
      <c r="W313" s="254"/>
      <c r="X313" s="255">
        <v>0</v>
      </c>
      <c r="Y313" s="256">
        <f t="shared" ca="1" si="128"/>
        <v>1.5</v>
      </c>
      <c r="Z313" s="269">
        <f t="shared" si="129"/>
        <v>27.200000000000003</v>
      </c>
      <c r="AA313" s="253">
        <v>4.07</v>
      </c>
      <c r="AB313" s="253">
        <f t="shared" ca="1" si="130"/>
        <v>-4.9999999999999822E-2</v>
      </c>
      <c r="AC313" s="258"/>
      <c r="AF313" s="223" t="s">
        <v>405</v>
      </c>
      <c r="AH313" s="232">
        <f t="shared" ca="1" si="120"/>
        <v>46120</v>
      </c>
      <c r="AI313" s="232" t="b">
        <f t="shared" si="121"/>
        <v>1</v>
      </c>
      <c r="AJ313" s="259" t="str">
        <f t="shared" si="131"/>
        <v/>
      </c>
      <c r="AM313" s="223">
        <f t="shared" si="122"/>
        <v>0</v>
      </c>
      <c r="AN313" s="223">
        <f t="shared" si="123"/>
        <v>1900</v>
      </c>
      <c r="AU313" s="223">
        <f t="shared" si="124"/>
        <v>0</v>
      </c>
      <c r="AV313" s="223">
        <f t="shared" si="125"/>
        <v>0</v>
      </c>
    </row>
    <row r="314" spans="4:48" ht="26.25" x14ac:dyDescent="0.4">
      <c r="D314" s="246" t="s">
        <v>591</v>
      </c>
      <c r="E314" s="262" t="s">
        <v>219</v>
      </c>
      <c r="F314" s="263">
        <v>612</v>
      </c>
      <c r="G314" s="249" t="s">
        <v>4</v>
      </c>
      <c r="H314" s="250">
        <v>2.62</v>
      </c>
      <c r="I314" s="251">
        <v>46076</v>
      </c>
      <c r="J314" s="252" t="s">
        <v>25</v>
      </c>
      <c r="K314" s="252"/>
      <c r="L314" s="253">
        <v>0.05</v>
      </c>
      <c r="M314" s="254">
        <f ca="1">IF(ISERROR(OFFSET(Tabella!$A$1,MATCH(J314,Tabella!$A:$A,0)-1,MATCH(L314,Tabella!$A$1:$AC$1,0)-1)=TRUE),0,+OFFSET(Tabella!$A$1,MATCH(J314,Tabella!$A:$A,0)-1,MATCH(L314,Tabella!$A$1:$AC$1,0)-1))</f>
        <v>0</v>
      </c>
      <c r="N314" s="255">
        <f ca="1">IF(ISERROR(OFFSET(Ottone!$A$1,MATCH(J314,Ottone!$A:$A,0)-1,MATCH(L314,Ottone!$A$1:$Z$1,0)-1)=TRUE),0,OFFSET(Ottone!$A$1,MATCH(J314,Ottone!$A:$A,0)-1,MATCH(L314,Ottone!$A$1:$Z$1,0)-1))*IF(G314="Ottone",1,0)</f>
        <v>0</v>
      </c>
      <c r="O314" s="255">
        <f ca="1">IF(ISERROR(OFFSET(Rame!$A$1,MATCH(J314,Rame!$A:$A,0)-1,MATCH(L314,Rame!$A$1:$AA$1,0)-1)=TRUE),0,OFFSET(Rame!$A$1,MATCH(J314,Rame!$A:$A,0)-1,MATCH(L314,Rame!$A$1:$AA$1,0)-1))*IF(G314="Rame",1,0)</f>
        <v>0</v>
      </c>
      <c r="P314" s="255">
        <v>0</v>
      </c>
      <c r="Q314" s="255">
        <v>1.5</v>
      </c>
      <c r="R314" s="255">
        <f ca="1">+IF(ISERROR(OFFSET(Tabella!$G$1,MATCH(J314,Tabella!$G:$G,0)-1,MATCH(K314,Tabella!$G$1:$FG$1,0)-1)=TRUE),0,OFFSET(Tabella!$G$1,MATCH(J314,Tabella!$G:$G,0)-1,MATCH(K314,Tabella!$G$1:$AB$1,0)-1))</f>
        <v>0</v>
      </c>
      <c r="S314" s="255">
        <f ca="1">IF(ISERROR(OFFSET(Ottone!$F$1,MATCH(J314,Ottone!$A:$A,0)-1,MATCH(K314,Ottone!$F$1:$FF$1,0)-1)=TRUE),0,OFFSET(Ottone!$F$1,MATCH(J314,Ottone!$A:$A,0)-1,MATCH(K314,Ottone!$F$1:$FF$1,0)-1))*IF(G314="Ottone",1,0)</f>
        <v>0</v>
      </c>
      <c r="T314" s="255">
        <f ca="1">IF(ISERROR(OFFSET(Rame!$F$1,MATCH(J314,Rame!$F:$F,0)-1,MATCH(K314,Rame!$F$1:$FF$1,0)-1)=TRUE),0,OFFSET(Rame!$F$1,MATCH(J314,Rame!$F:$F,0)-1,MATCH(K314,Rame!$F$1:$FF$1,0)-1))*IF(G314="Rame",1,0)</f>
        <v>0</v>
      </c>
      <c r="U314" s="255">
        <f ca="1">IF(ISERROR(OFFSET(Bronzo!$A$1,MATCH(J314,Bronzo!$A:$A,0)-1,MATCH(K314,Bronzo!$A$1:$AA$1,0)-1)=TRUE),0,OFFSET(Bronzo!$A$1,MATCH(J314,Bronzo!$A:$A,0)-1,MATCH(K314,Bronzo!$A$1:$AA$1,0)-1))</f>
        <v>0</v>
      </c>
      <c r="V314" s="255">
        <f t="shared" ca="1" si="127"/>
        <v>0</v>
      </c>
      <c r="W314" s="254"/>
      <c r="X314" s="255">
        <v>0</v>
      </c>
      <c r="Y314" s="256">
        <f t="shared" ca="1" si="128"/>
        <v>1.5</v>
      </c>
      <c r="Z314" s="269">
        <f t="shared" si="129"/>
        <v>30.6</v>
      </c>
      <c r="AA314" s="253">
        <v>4.07</v>
      </c>
      <c r="AB314" s="253">
        <f t="shared" ca="1" si="130"/>
        <v>-4.9999999999999822E-2</v>
      </c>
      <c r="AC314" s="258"/>
      <c r="AF314" s="223" t="s">
        <v>405</v>
      </c>
      <c r="AH314" s="232">
        <f t="shared" ca="1" si="120"/>
        <v>46120</v>
      </c>
      <c r="AI314" s="232" t="b">
        <f t="shared" si="121"/>
        <v>1</v>
      </c>
      <c r="AJ314" s="259" t="str">
        <f t="shared" si="131"/>
        <v/>
      </c>
      <c r="AM314" s="223">
        <f t="shared" si="122"/>
        <v>0</v>
      </c>
      <c r="AN314" s="223">
        <f t="shared" si="123"/>
        <v>1900</v>
      </c>
      <c r="AU314" s="223">
        <f t="shared" si="124"/>
        <v>0</v>
      </c>
      <c r="AV314" s="223">
        <f t="shared" si="125"/>
        <v>0</v>
      </c>
    </row>
    <row r="315" spans="4:48" ht="26.25" x14ac:dyDescent="0.4">
      <c r="D315" s="246" t="s">
        <v>700</v>
      </c>
      <c r="E315" s="262" t="s">
        <v>219</v>
      </c>
      <c r="F315" s="263">
        <v>974</v>
      </c>
      <c r="G315" s="249" t="s">
        <v>4</v>
      </c>
      <c r="H315" s="250">
        <v>2.62</v>
      </c>
      <c r="I315" s="251">
        <v>46076</v>
      </c>
      <c r="J315" s="252" t="s">
        <v>314</v>
      </c>
      <c r="K315" s="252"/>
      <c r="L315" s="253">
        <v>0.05</v>
      </c>
      <c r="M315" s="254">
        <f ca="1">IF(ISERROR(OFFSET(Tabella!$A$1,MATCH(J315,Tabella!$A:$A,0)-1,MATCH(L315,Tabella!$A$1:$AC$1,0)-1)=TRUE),0,+OFFSET(Tabella!$A$1,MATCH(J315,Tabella!$A:$A,0)-1,MATCH(L315,Tabella!$A$1:$AC$1,0)-1))</f>
        <v>0</v>
      </c>
      <c r="N315" s="255">
        <f ca="1">IF(ISERROR(OFFSET(Ottone!$A$1,MATCH(J315,Ottone!$A:$A,0)-1,MATCH(L315,Ottone!$A$1:$Z$1,0)-1)=TRUE),0,OFFSET(Ottone!$A$1,MATCH(J315,Ottone!$A:$A,0)-1,MATCH(L315,Ottone!$A$1:$Z$1,0)-1))*IF(G315="Ottone",1,0)</f>
        <v>0</v>
      </c>
      <c r="O315" s="255">
        <f ca="1">IF(ISERROR(OFFSET(Rame!$A$1,MATCH(J315,Rame!$A:$A,0)-1,MATCH(L315,Rame!$A$1:$AA$1,0)-1)=TRUE),0,OFFSET(Rame!$A$1,MATCH(J315,Rame!$A:$A,0)-1,MATCH(L315,Rame!$A$1:$AA$1,0)-1))*IF(G315="Rame",1,0)</f>
        <v>0</v>
      </c>
      <c r="P315" s="255">
        <v>0</v>
      </c>
      <c r="Q315" s="255">
        <v>1.5</v>
      </c>
      <c r="R315" s="255">
        <f ca="1">+IF(ISERROR(OFFSET(Tabella!$G$1,MATCH(J315,Tabella!$G:$G,0)-1,MATCH(K315,Tabella!$G$1:$FG$1,0)-1)=TRUE),0,OFFSET(Tabella!$G$1,MATCH(J315,Tabella!$G:$G,0)-1,MATCH(K315,Tabella!$G$1:$AB$1,0)-1))</f>
        <v>0</v>
      </c>
      <c r="S315" s="255">
        <f ca="1">IF(ISERROR(OFFSET(Ottone!$F$1,MATCH(J315,Ottone!$A:$A,0)-1,MATCH(K315,Ottone!$F$1:$FF$1,0)-1)=TRUE),0,OFFSET(Ottone!$F$1,MATCH(J315,Ottone!$A:$A,0)-1,MATCH(K315,Ottone!$F$1:$FF$1,0)-1))*IF(G315="Ottone",1,0)</f>
        <v>0</v>
      </c>
      <c r="T315" s="255">
        <f ca="1">IF(ISERROR(OFFSET(Rame!$F$1,MATCH(J315,Rame!$F:$F,0)-1,MATCH(K315,Rame!$F$1:$FF$1,0)-1)=TRUE),0,OFFSET(Rame!$F$1,MATCH(J315,Rame!$F:$F,0)-1,MATCH(K315,Rame!$F$1:$FF$1,0)-1))*IF(G315="Rame",1,0)</f>
        <v>0</v>
      </c>
      <c r="U315" s="255">
        <f ca="1">IF(ISERROR(OFFSET(Bronzo!$A$1,MATCH(J315,Bronzo!$A:$A,0)-1,MATCH(K315,Bronzo!$A$1:$AA$1,0)-1)=TRUE),0,OFFSET(Bronzo!$A$1,MATCH(J315,Bronzo!$A:$A,0)-1,MATCH(K315,Bronzo!$A$1:$AA$1,0)-1))</f>
        <v>0</v>
      </c>
      <c r="V315" s="255">
        <f t="shared" ca="1" si="127"/>
        <v>0</v>
      </c>
      <c r="W315" s="254"/>
      <c r="X315" s="255">
        <v>0</v>
      </c>
      <c r="Y315" s="256">
        <f t="shared" ca="1" si="128"/>
        <v>1.5</v>
      </c>
      <c r="Z315" s="269">
        <f t="shared" si="129"/>
        <v>48.7</v>
      </c>
      <c r="AA315" s="253">
        <v>4.07</v>
      </c>
      <c r="AB315" s="253">
        <f t="shared" ca="1" si="130"/>
        <v>-4.9999999999999822E-2</v>
      </c>
      <c r="AC315" s="258"/>
      <c r="AF315" s="223" t="s">
        <v>405</v>
      </c>
      <c r="AH315" s="232">
        <f t="shared" ca="1" si="120"/>
        <v>46120</v>
      </c>
      <c r="AI315" s="232" t="b">
        <f t="shared" si="121"/>
        <v>1</v>
      </c>
      <c r="AJ315" s="259" t="str">
        <f t="shared" si="131"/>
        <v/>
      </c>
      <c r="AM315" s="223">
        <f t="shared" si="122"/>
        <v>0</v>
      </c>
      <c r="AN315" s="223">
        <f t="shared" si="123"/>
        <v>1900</v>
      </c>
      <c r="AU315" s="223">
        <f t="shared" si="124"/>
        <v>0</v>
      </c>
      <c r="AV315" s="223">
        <f t="shared" si="125"/>
        <v>0</v>
      </c>
    </row>
    <row r="316" spans="4:48" ht="26.25" x14ac:dyDescent="0.4">
      <c r="D316" s="246" t="s">
        <v>700</v>
      </c>
      <c r="E316" s="262" t="s">
        <v>219</v>
      </c>
      <c r="F316" s="263">
        <v>686</v>
      </c>
      <c r="G316" s="249" t="s">
        <v>4</v>
      </c>
      <c r="H316" s="250">
        <v>2.62</v>
      </c>
      <c r="I316" s="251">
        <v>46076</v>
      </c>
      <c r="J316" s="252" t="s">
        <v>22</v>
      </c>
      <c r="K316" s="252"/>
      <c r="L316" s="253">
        <v>0.05</v>
      </c>
      <c r="M316" s="254">
        <f ca="1">IF(ISERROR(OFFSET(Tabella!$A$1,MATCH(J316,Tabella!$A:$A,0)-1,MATCH(L316,Tabella!$A$1:$AC$1,0)-1)=TRUE),0,+OFFSET(Tabella!$A$1,MATCH(J316,Tabella!$A:$A,0)-1,MATCH(L316,Tabella!$A$1:$AC$1,0)-1))</f>
        <v>0</v>
      </c>
      <c r="N316" s="255">
        <f ca="1">IF(ISERROR(OFFSET(Ottone!$A$1,MATCH(J316,Ottone!$A:$A,0)-1,MATCH(L316,Ottone!$A$1:$Z$1,0)-1)=TRUE),0,OFFSET(Ottone!$A$1,MATCH(J316,Ottone!$A:$A,0)-1,MATCH(L316,Ottone!$A$1:$Z$1,0)-1))*IF(G316="Ottone",1,0)</f>
        <v>0</v>
      </c>
      <c r="O316" s="255">
        <f ca="1">IF(ISERROR(OFFSET(Rame!$A$1,MATCH(J316,Rame!$A:$A,0)-1,MATCH(L316,Rame!$A$1:$AA$1,0)-1)=TRUE),0,OFFSET(Rame!$A$1,MATCH(J316,Rame!$A:$A,0)-1,MATCH(L316,Rame!$A$1:$AA$1,0)-1))*IF(G316="Rame",1,0)</f>
        <v>0</v>
      </c>
      <c r="P316" s="255">
        <v>0</v>
      </c>
      <c r="Q316" s="255">
        <v>1.5</v>
      </c>
      <c r="R316" s="255">
        <f ca="1">+IF(ISERROR(OFFSET(Tabella!$G$1,MATCH(J316,Tabella!$G:$G,0)-1,MATCH(K316,Tabella!$G$1:$FG$1,0)-1)=TRUE),0,OFFSET(Tabella!$G$1,MATCH(J316,Tabella!$G:$G,0)-1,MATCH(K316,Tabella!$G$1:$AB$1,0)-1))</f>
        <v>0</v>
      </c>
      <c r="S316" s="255">
        <f ca="1">IF(ISERROR(OFFSET(Ottone!$F$1,MATCH(J316,Ottone!$A:$A,0)-1,MATCH(K316,Ottone!$F$1:$FF$1,0)-1)=TRUE),0,OFFSET(Ottone!$F$1,MATCH(J316,Ottone!$A:$A,0)-1,MATCH(K316,Ottone!$F$1:$FF$1,0)-1))*IF(G316="Ottone",1,0)</f>
        <v>0</v>
      </c>
      <c r="T316" s="255">
        <f ca="1">IF(ISERROR(OFFSET(Rame!$F$1,MATCH(J316,Rame!$F:$F,0)-1,MATCH(K316,Rame!$F$1:$FF$1,0)-1)=TRUE),0,OFFSET(Rame!$F$1,MATCH(J316,Rame!$F:$F,0)-1,MATCH(K316,Rame!$F$1:$FF$1,0)-1))*IF(G316="Rame",1,0)</f>
        <v>0</v>
      </c>
      <c r="U316" s="255">
        <f ca="1">IF(ISERROR(OFFSET(Bronzo!$A$1,MATCH(J316,Bronzo!$A:$A,0)-1,MATCH(K316,Bronzo!$A$1:$AA$1,0)-1)=TRUE),0,OFFSET(Bronzo!$A$1,MATCH(J316,Bronzo!$A:$A,0)-1,MATCH(K316,Bronzo!$A$1:$AA$1,0)-1))</f>
        <v>0</v>
      </c>
      <c r="V316" s="255">
        <f t="shared" ca="1" si="127"/>
        <v>0</v>
      </c>
      <c r="W316" s="254"/>
      <c r="X316" s="255">
        <v>0</v>
      </c>
      <c r="Y316" s="256">
        <f t="shared" ca="1" si="128"/>
        <v>1.5</v>
      </c>
      <c r="Z316" s="269">
        <f t="shared" si="129"/>
        <v>34.300000000000004</v>
      </c>
      <c r="AA316" s="253">
        <v>4.07</v>
      </c>
      <c r="AB316" s="253">
        <f t="shared" ca="1" si="130"/>
        <v>-4.9999999999999822E-2</v>
      </c>
      <c r="AC316" s="258"/>
      <c r="AF316" s="223" t="s">
        <v>405</v>
      </c>
      <c r="AH316" s="232">
        <f t="shared" ca="1" si="120"/>
        <v>46120</v>
      </c>
      <c r="AI316" s="232" t="b">
        <f t="shared" si="121"/>
        <v>1</v>
      </c>
      <c r="AJ316" s="259" t="str">
        <f t="shared" si="131"/>
        <v/>
      </c>
      <c r="AM316" s="223">
        <f t="shared" si="122"/>
        <v>0</v>
      </c>
      <c r="AN316" s="223">
        <f t="shared" si="123"/>
        <v>1900</v>
      </c>
      <c r="AU316" s="223">
        <f t="shared" si="124"/>
        <v>0</v>
      </c>
      <c r="AV316" s="223">
        <f t="shared" si="125"/>
        <v>0</v>
      </c>
    </row>
    <row r="317" spans="4:48" ht="26.25" x14ac:dyDescent="0.4">
      <c r="D317" s="246" t="s">
        <v>634</v>
      </c>
      <c r="E317" s="262" t="s">
        <v>219</v>
      </c>
      <c r="F317" s="263">
        <v>1298</v>
      </c>
      <c r="G317" s="249" t="s">
        <v>4</v>
      </c>
      <c r="H317" s="250">
        <v>2.62</v>
      </c>
      <c r="I317" s="251">
        <v>46076</v>
      </c>
      <c r="J317" s="252" t="s">
        <v>25</v>
      </c>
      <c r="K317" s="252"/>
      <c r="L317" s="253">
        <v>0.05</v>
      </c>
      <c r="M317" s="254">
        <f ca="1">IF(ISERROR(OFFSET(Tabella!$A$1,MATCH(J317,Tabella!$A:$A,0)-1,MATCH(L317,Tabella!$A$1:$AC$1,0)-1)=TRUE),0,+OFFSET(Tabella!$A$1,MATCH(J317,Tabella!$A:$A,0)-1,MATCH(L317,Tabella!$A$1:$AC$1,0)-1))</f>
        <v>0</v>
      </c>
      <c r="N317" s="255">
        <f ca="1">IF(ISERROR(OFFSET(Ottone!$A$1,MATCH(J317,Ottone!$A:$A,0)-1,MATCH(L317,Ottone!$A$1:$Z$1,0)-1)=TRUE),0,OFFSET(Ottone!$A$1,MATCH(J317,Ottone!$A:$A,0)-1,MATCH(L317,Ottone!$A$1:$Z$1,0)-1))*IF(G317="Ottone",1,0)</f>
        <v>0</v>
      </c>
      <c r="O317" s="255">
        <f ca="1">IF(ISERROR(OFFSET(Rame!$A$1,MATCH(J317,Rame!$A:$A,0)-1,MATCH(L317,Rame!$A$1:$AA$1,0)-1)=TRUE),0,OFFSET(Rame!$A$1,MATCH(J317,Rame!$A:$A,0)-1,MATCH(L317,Rame!$A$1:$AA$1,0)-1))*IF(G317="Rame",1,0)</f>
        <v>0</v>
      </c>
      <c r="P317" s="255">
        <v>0</v>
      </c>
      <c r="Q317" s="255">
        <v>1.5</v>
      </c>
      <c r="R317" s="255">
        <f ca="1">+IF(ISERROR(OFFSET(Tabella!$G$1,MATCH(J317,Tabella!$G:$G,0)-1,MATCH(K317,Tabella!$G$1:$FG$1,0)-1)=TRUE),0,OFFSET(Tabella!$G$1,MATCH(J317,Tabella!$G:$G,0)-1,MATCH(K317,Tabella!$G$1:$AB$1,0)-1))</f>
        <v>0</v>
      </c>
      <c r="S317" s="255">
        <f ca="1">IF(ISERROR(OFFSET(Ottone!$F$1,MATCH(J317,Ottone!$A:$A,0)-1,MATCH(K317,Ottone!$F$1:$FF$1,0)-1)=TRUE),0,OFFSET(Ottone!$F$1,MATCH(J317,Ottone!$A:$A,0)-1,MATCH(K317,Ottone!$F$1:$FF$1,0)-1))*IF(G317="Ottone",1,0)</f>
        <v>0</v>
      </c>
      <c r="T317" s="255">
        <f ca="1">IF(ISERROR(OFFSET(Rame!$F$1,MATCH(J317,Rame!$F:$F,0)-1,MATCH(K317,Rame!$F$1:$FF$1,0)-1)=TRUE),0,OFFSET(Rame!$F$1,MATCH(J317,Rame!$F:$F,0)-1,MATCH(K317,Rame!$F$1:$FF$1,0)-1))*IF(G317="Rame",1,0)</f>
        <v>0</v>
      </c>
      <c r="U317" s="255">
        <f ca="1">IF(ISERROR(OFFSET(Bronzo!$A$1,MATCH(J317,Bronzo!$A:$A,0)-1,MATCH(K317,Bronzo!$A$1:$AA$1,0)-1)=TRUE),0,OFFSET(Bronzo!$A$1,MATCH(J317,Bronzo!$A:$A,0)-1,MATCH(K317,Bronzo!$A$1:$AA$1,0)-1))</f>
        <v>0</v>
      </c>
      <c r="V317" s="255">
        <f t="shared" ca="1" si="127"/>
        <v>0</v>
      </c>
      <c r="W317" s="254"/>
      <c r="X317" s="255">
        <v>0</v>
      </c>
      <c r="Y317" s="256">
        <f t="shared" ca="1" si="128"/>
        <v>1.5</v>
      </c>
      <c r="Z317" s="269">
        <f t="shared" si="129"/>
        <v>64.900000000000006</v>
      </c>
      <c r="AA317" s="253">
        <v>4.07</v>
      </c>
      <c r="AB317" s="253">
        <f t="shared" ca="1" si="130"/>
        <v>-4.9999999999999822E-2</v>
      </c>
      <c r="AC317" s="258"/>
      <c r="AF317" s="223" t="s">
        <v>405</v>
      </c>
      <c r="AH317" s="232">
        <f t="shared" ca="1" si="120"/>
        <v>46120</v>
      </c>
      <c r="AI317" s="232" t="b">
        <f t="shared" si="121"/>
        <v>1</v>
      </c>
      <c r="AJ317" s="259" t="str">
        <f t="shared" si="131"/>
        <v/>
      </c>
      <c r="AM317" s="223">
        <f t="shared" si="122"/>
        <v>0</v>
      </c>
      <c r="AN317" s="223">
        <f t="shared" si="123"/>
        <v>1900</v>
      </c>
      <c r="AU317" s="223">
        <f t="shared" si="124"/>
        <v>0</v>
      </c>
      <c r="AV317" s="223">
        <f t="shared" si="125"/>
        <v>0</v>
      </c>
    </row>
    <row r="318" spans="4:48" ht="26.25" x14ac:dyDescent="0.4">
      <c r="D318" s="246" t="s">
        <v>602</v>
      </c>
      <c r="E318" s="262" t="s">
        <v>219</v>
      </c>
      <c r="F318" s="263">
        <v>1451</v>
      </c>
      <c r="G318" s="249" t="s">
        <v>4</v>
      </c>
      <c r="H318" s="250">
        <v>2.62</v>
      </c>
      <c r="I318" s="251">
        <v>46076</v>
      </c>
      <c r="J318" s="252" t="s">
        <v>26</v>
      </c>
      <c r="K318" s="252"/>
      <c r="L318" s="253">
        <v>0.05</v>
      </c>
      <c r="M318" s="254">
        <f ca="1">IF(ISERROR(OFFSET(Tabella!$A$1,MATCH(J318,Tabella!$A:$A,0)-1,MATCH(L318,Tabella!$A$1:$AC$1,0)-1)=TRUE),0,+OFFSET(Tabella!$A$1,MATCH(J318,Tabella!$A:$A,0)-1,MATCH(L318,Tabella!$A$1:$AC$1,0)-1))</f>
        <v>0</v>
      </c>
      <c r="N318" s="255">
        <f ca="1">IF(ISERROR(OFFSET(Ottone!$A$1,MATCH(J318,Ottone!$A:$A,0)-1,MATCH(L318,Ottone!$A$1:$Z$1,0)-1)=TRUE),0,OFFSET(Ottone!$A$1,MATCH(J318,Ottone!$A:$A,0)-1,MATCH(L318,Ottone!$A$1:$Z$1,0)-1))*IF(G318="Ottone",1,0)</f>
        <v>0</v>
      </c>
      <c r="O318" s="255">
        <f ca="1">IF(ISERROR(OFFSET(Rame!$A$1,MATCH(J318,Rame!$A:$A,0)-1,MATCH(L318,Rame!$A$1:$AA$1,0)-1)=TRUE),0,OFFSET(Rame!$A$1,MATCH(J318,Rame!$A:$A,0)-1,MATCH(L318,Rame!$A$1:$AA$1,0)-1))*IF(G318="Rame",1,0)</f>
        <v>0</v>
      </c>
      <c r="P318" s="255">
        <v>0</v>
      </c>
      <c r="Q318" s="255">
        <v>1.5</v>
      </c>
      <c r="R318" s="255">
        <f ca="1">+IF(ISERROR(OFFSET(Tabella!$G$1,MATCH(J318,Tabella!$G:$G,0)-1,MATCH(K318,Tabella!$G$1:$FG$1,0)-1)=TRUE),0,OFFSET(Tabella!$G$1,MATCH(J318,Tabella!$G:$G,0)-1,MATCH(K318,Tabella!$G$1:$AB$1,0)-1))</f>
        <v>0</v>
      </c>
      <c r="S318" s="255">
        <f ca="1">IF(ISERROR(OFFSET(Ottone!$F$1,MATCH(J318,Ottone!$A:$A,0)-1,MATCH(K318,Ottone!$F$1:$FF$1,0)-1)=TRUE),0,OFFSET(Ottone!$F$1,MATCH(J318,Ottone!$A:$A,0)-1,MATCH(K318,Ottone!$F$1:$FF$1,0)-1))*IF(G318="Ottone",1,0)</f>
        <v>0</v>
      </c>
      <c r="T318" s="255">
        <f ca="1">IF(ISERROR(OFFSET(Rame!$F$1,MATCH(J318,Rame!$F:$F,0)-1,MATCH(K318,Rame!$F$1:$FF$1,0)-1)=TRUE),0,OFFSET(Rame!$F$1,MATCH(J318,Rame!$F:$F,0)-1,MATCH(K318,Rame!$F$1:$FF$1,0)-1))*IF(G318="Rame",1,0)</f>
        <v>0</v>
      </c>
      <c r="U318" s="255">
        <f ca="1">IF(ISERROR(OFFSET(Bronzo!$A$1,MATCH(J318,Bronzo!$A:$A,0)-1,MATCH(K318,Bronzo!$A$1:$AA$1,0)-1)=TRUE),0,OFFSET(Bronzo!$A$1,MATCH(J318,Bronzo!$A:$A,0)-1,MATCH(K318,Bronzo!$A$1:$AA$1,0)-1))</f>
        <v>0</v>
      </c>
      <c r="V318" s="255">
        <f t="shared" ca="1" si="127"/>
        <v>0</v>
      </c>
      <c r="W318" s="254"/>
      <c r="X318" s="255">
        <v>0</v>
      </c>
      <c r="Y318" s="256">
        <f t="shared" ca="1" si="128"/>
        <v>1.5</v>
      </c>
      <c r="Z318" s="269">
        <f t="shared" si="129"/>
        <v>72.55</v>
      </c>
      <c r="AA318" s="253">
        <v>4.07</v>
      </c>
      <c r="AB318" s="253">
        <f t="shared" ca="1" si="130"/>
        <v>-4.9999999999999822E-2</v>
      </c>
      <c r="AC318" s="258"/>
      <c r="AF318" s="223" t="s">
        <v>405</v>
      </c>
      <c r="AH318" s="232">
        <f t="shared" ca="1" si="120"/>
        <v>46120</v>
      </c>
      <c r="AI318" s="232" t="b">
        <f t="shared" si="121"/>
        <v>1</v>
      </c>
      <c r="AJ318" s="259" t="str">
        <f t="shared" si="131"/>
        <v/>
      </c>
      <c r="AM318" s="223">
        <f t="shared" si="122"/>
        <v>0</v>
      </c>
      <c r="AN318" s="223">
        <f t="shared" si="123"/>
        <v>1900</v>
      </c>
      <c r="AU318" s="223">
        <f t="shared" si="124"/>
        <v>0</v>
      </c>
      <c r="AV318" s="223">
        <f t="shared" si="125"/>
        <v>0</v>
      </c>
    </row>
    <row r="319" spans="4:48" ht="26.25" x14ac:dyDescent="0.4">
      <c r="D319" s="246" t="s">
        <v>518</v>
      </c>
      <c r="E319" s="252" t="s">
        <v>228</v>
      </c>
      <c r="F319" s="276">
        <v>850</v>
      </c>
      <c r="G319" s="249" t="s">
        <v>4</v>
      </c>
      <c r="H319" s="250">
        <v>2.62</v>
      </c>
      <c r="I319" s="251">
        <v>46078</v>
      </c>
      <c r="J319" s="252" t="s">
        <v>19</v>
      </c>
      <c r="K319" s="252"/>
      <c r="L319" s="253">
        <v>0.3</v>
      </c>
      <c r="M319" s="254">
        <f ca="1">IF(ISERROR(OFFSET(Tabella!$A$1,MATCH(J319,Tabella!$A:$A,0)-1,MATCH(L319,Tabella!$A$1:$AC$1,0)-1)=TRUE),0,+OFFSET(Tabella!$A$1,MATCH(J319,Tabella!$A:$A,0)-1,MATCH(L319,Tabella!$A$1:$AC$1,0)-1))</f>
        <v>0</v>
      </c>
      <c r="N319" s="255">
        <f ca="1">IF(ISERROR(OFFSET(Ottone!$A$1,MATCH(J319,Ottone!$A:$A,0)-1,MATCH(L319,Ottone!$A$1:$Z$1,0)-1)=TRUE),0,OFFSET(Ottone!$A$1,MATCH(J319,Ottone!$A:$A,0)-1,MATCH(L319,Ottone!$A$1:$Z$1,0)-1))*IF(G319="Ottone",1,0)</f>
        <v>0</v>
      </c>
      <c r="O319" s="255">
        <f ca="1">IF(ISERROR(OFFSET(Rame!$A$1,MATCH(J319,Rame!$A:$A,0)-1,MATCH(L319,Rame!$A$1:$AA$1,0)-1)=TRUE),0,OFFSET(Rame!$A$1,MATCH(J319,Rame!$A:$A,0)-1,MATCH(L319,Rame!$A$1:$AA$1,0)-1))*IF(G319="Rame",1,0)</f>
        <v>0</v>
      </c>
      <c r="P319" s="255">
        <v>0</v>
      </c>
      <c r="Q319" s="255">
        <v>1.5</v>
      </c>
      <c r="R319" s="255">
        <f ca="1">+IF(ISERROR(OFFSET(Tabella!$G$1,MATCH(J319,Tabella!$G:$G,0)-1,MATCH(K319,Tabella!$G$1:$FG$1,0)-1)=TRUE),0,OFFSET(Tabella!$G$1,MATCH(J319,Tabella!$G:$G,0)-1,MATCH(K319,Tabella!$G$1:$AB$1,0)-1))</f>
        <v>0</v>
      </c>
      <c r="S319" s="255">
        <f ca="1">IF(ISERROR(OFFSET(Ottone!$F$1,MATCH(J319,Ottone!$A:$A,0)-1,MATCH(K319,Ottone!$F$1:$FF$1,0)-1)=TRUE),0,OFFSET(Ottone!$F$1,MATCH(J319,Ottone!$A:$A,0)-1,MATCH(K319,Ottone!$F$1:$FF$1,0)-1))*IF(G319="Ottone",1,0)</f>
        <v>0</v>
      </c>
      <c r="T319" s="255">
        <f ca="1">IF(ISERROR(OFFSET(Rame!$F$1,MATCH(J319,Rame!$F:$F,0)-1,MATCH(K319,Rame!$F$1:$FF$1,0)-1)=TRUE),0,OFFSET(Rame!$F$1,MATCH(J319,Rame!$F:$F,0)-1,MATCH(K319,Rame!$F$1:$FF$1,0)-1))*IF(G319="Rame",1,0)</f>
        <v>0</v>
      </c>
      <c r="U319" s="255">
        <f ca="1">IF(ISERROR(OFFSET(Bronzo!$A$1,MATCH(J319,Bronzo!$A:$A,0)-1,MATCH(K319,Bronzo!$A$1:$AA$1,0)-1)=TRUE),0,OFFSET(Bronzo!$A$1,MATCH(J319,Bronzo!$A:$A,0)-1,MATCH(K319,Bronzo!$A$1:$AA$1,0)-1))</f>
        <v>0</v>
      </c>
      <c r="V319" s="255">
        <f t="shared" ca="1" si="127"/>
        <v>0</v>
      </c>
      <c r="W319" s="254"/>
      <c r="X319" s="255">
        <v>0</v>
      </c>
      <c r="Y319" s="256">
        <f t="shared" ca="1" si="128"/>
        <v>1.5</v>
      </c>
      <c r="Z319" s="257">
        <f t="shared" si="129"/>
        <v>255</v>
      </c>
      <c r="AA319" s="253">
        <v>4.7</v>
      </c>
      <c r="AB319" s="253">
        <f t="shared" ca="1" si="130"/>
        <v>0.58000000000000007</v>
      </c>
      <c r="AC319" s="258">
        <v>46127</v>
      </c>
      <c r="AH319" s="232">
        <f t="shared" ca="1" si="120"/>
        <v>46120</v>
      </c>
      <c r="AI319" s="232" t="b">
        <f t="shared" si="121"/>
        <v>0</v>
      </c>
      <c r="AJ319" s="259">
        <f t="shared" ca="1" si="131"/>
        <v>7</v>
      </c>
      <c r="AM319" s="223">
        <f t="shared" si="122"/>
        <v>16</v>
      </c>
      <c r="AN319" s="223">
        <f t="shared" si="123"/>
        <v>2026</v>
      </c>
      <c r="AU319" s="223">
        <f t="shared" si="124"/>
        <v>4</v>
      </c>
      <c r="AV319" s="223">
        <f t="shared" si="125"/>
        <v>2026</v>
      </c>
    </row>
    <row r="320" spans="4:48" ht="26.25" x14ac:dyDescent="0.4">
      <c r="D320" s="246" t="s">
        <v>593</v>
      </c>
      <c r="E320" s="262" t="s">
        <v>228</v>
      </c>
      <c r="F320" s="263">
        <v>280</v>
      </c>
      <c r="G320" s="249" t="s">
        <v>4</v>
      </c>
      <c r="H320" s="250">
        <v>2.62</v>
      </c>
      <c r="I320" s="251">
        <v>46078</v>
      </c>
      <c r="J320" s="252" t="s">
        <v>21</v>
      </c>
      <c r="K320" s="252"/>
      <c r="L320" s="253">
        <v>0.3</v>
      </c>
      <c r="M320" s="254">
        <f ca="1">IF(ISERROR(OFFSET(Tabella!$A$1,MATCH(J320,Tabella!$A:$A,0)-1,MATCH(L320,Tabella!$A$1:$AC$1,0)-1)=TRUE),0,+OFFSET(Tabella!$A$1,MATCH(J320,Tabella!$A:$A,0)-1,MATCH(L320,Tabella!$A$1:$AC$1,0)-1))</f>
        <v>0</v>
      </c>
      <c r="N320" s="255">
        <f ca="1">IF(ISERROR(OFFSET(Ottone!$A$1,MATCH(J320,Ottone!$A:$A,0)-1,MATCH(L320,Ottone!$A$1:$Z$1,0)-1)=TRUE),0,OFFSET(Ottone!$A$1,MATCH(J320,Ottone!$A:$A,0)-1,MATCH(L320,Ottone!$A$1:$Z$1,0)-1))*IF(G320="Ottone",1,0)</f>
        <v>0</v>
      </c>
      <c r="O320" s="255">
        <f ca="1">IF(ISERROR(OFFSET(Rame!$A$1,MATCH(J320,Rame!$A:$A,0)-1,MATCH(L320,Rame!$A$1:$AA$1,0)-1)=TRUE),0,OFFSET(Rame!$A$1,MATCH(J320,Rame!$A:$A,0)-1,MATCH(L320,Rame!$A$1:$AA$1,0)-1))*IF(G320="Rame",1,0)</f>
        <v>0</v>
      </c>
      <c r="P320" s="255">
        <v>0</v>
      </c>
      <c r="Q320" s="255">
        <v>1.5</v>
      </c>
      <c r="R320" s="255">
        <f ca="1">+IF(ISERROR(OFFSET(Tabella!$G$1,MATCH(J320,Tabella!$G:$G,0)-1,MATCH(K320,Tabella!$G$1:$FG$1,0)-1)=TRUE),0,OFFSET(Tabella!$G$1,MATCH(J320,Tabella!$G:$G,0)-1,MATCH(K320,Tabella!$G$1:$AB$1,0)-1))</f>
        <v>0</v>
      </c>
      <c r="S320" s="255">
        <f ca="1">IF(ISERROR(OFFSET(Ottone!$F$1,MATCH(J320,Ottone!$A:$A,0)-1,MATCH(K320,Ottone!$F$1:$FF$1,0)-1)=TRUE),0,OFFSET(Ottone!$F$1,MATCH(J320,Ottone!$A:$A,0)-1,MATCH(K320,Ottone!$F$1:$FF$1,0)-1))*IF(G320="Ottone",1,0)</f>
        <v>0</v>
      </c>
      <c r="T320" s="255">
        <f ca="1">IF(ISERROR(OFFSET(Rame!$F$1,MATCH(J320,Rame!$F:$F,0)-1,MATCH(K320,Rame!$F$1:$FF$1,0)-1)=TRUE),0,OFFSET(Rame!$F$1,MATCH(J320,Rame!$F:$F,0)-1,MATCH(K320,Rame!$F$1:$FF$1,0)-1))*IF(G320="Rame",1,0)</f>
        <v>0</v>
      </c>
      <c r="U320" s="255">
        <f ca="1">IF(ISERROR(OFFSET(Bronzo!$A$1,MATCH(J320,Bronzo!$A:$A,0)-1,MATCH(K320,Bronzo!$A$1:$AA$1,0)-1)=TRUE),0,OFFSET(Bronzo!$A$1,MATCH(J320,Bronzo!$A:$A,0)-1,MATCH(K320,Bronzo!$A$1:$AA$1,0)-1))</f>
        <v>0</v>
      </c>
      <c r="V320" s="255">
        <f t="shared" ca="1" si="127"/>
        <v>0</v>
      </c>
      <c r="W320" s="254"/>
      <c r="X320" s="255">
        <v>0</v>
      </c>
      <c r="Y320" s="256">
        <f t="shared" ca="1" si="128"/>
        <v>1.5</v>
      </c>
      <c r="Z320" s="269">
        <f t="shared" si="129"/>
        <v>84</v>
      </c>
      <c r="AA320" s="253">
        <v>4.7</v>
      </c>
      <c r="AB320" s="253">
        <f t="shared" ca="1" si="130"/>
        <v>0.58000000000000007</v>
      </c>
      <c r="AC320" s="258"/>
      <c r="AF320" s="223" t="s">
        <v>405</v>
      </c>
      <c r="AH320" s="232">
        <f t="shared" ca="1" si="120"/>
        <v>46120</v>
      </c>
      <c r="AI320" s="232" t="b">
        <f t="shared" si="121"/>
        <v>1</v>
      </c>
      <c r="AJ320" s="259" t="str">
        <f t="shared" si="131"/>
        <v/>
      </c>
      <c r="AM320" s="223">
        <f t="shared" si="122"/>
        <v>0</v>
      </c>
      <c r="AN320" s="223">
        <f t="shared" si="123"/>
        <v>1900</v>
      </c>
      <c r="AU320" s="223">
        <f t="shared" si="124"/>
        <v>0</v>
      </c>
      <c r="AV320" s="223">
        <f t="shared" si="125"/>
        <v>0</v>
      </c>
    </row>
    <row r="321" spans="4:48" ht="26.25" x14ac:dyDescent="0.4">
      <c r="D321" s="246" t="s">
        <v>593</v>
      </c>
      <c r="E321" s="262" t="s">
        <v>228</v>
      </c>
      <c r="F321" s="263">
        <v>176</v>
      </c>
      <c r="G321" s="249" t="s">
        <v>4</v>
      </c>
      <c r="H321" s="250">
        <v>2.62</v>
      </c>
      <c r="I321" s="251">
        <v>46078</v>
      </c>
      <c r="J321" s="252" t="s">
        <v>13</v>
      </c>
      <c r="K321" s="252"/>
      <c r="L321" s="253">
        <v>0.3</v>
      </c>
      <c r="M321" s="254">
        <f ca="1">IF(ISERROR(OFFSET(Tabella!$A$1,MATCH(J321,Tabella!$A:$A,0)-1,MATCH(L321,Tabella!$A$1:$AC$1,0)-1)=TRUE),0,+OFFSET(Tabella!$A$1,MATCH(J321,Tabella!$A:$A,0)-1,MATCH(L321,Tabella!$A$1:$AC$1,0)-1))</f>
        <v>0</v>
      </c>
      <c r="N321" s="255">
        <f ca="1">IF(ISERROR(OFFSET(Ottone!$A$1,MATCH(J321,Ottone!$A:$A,0)-1,MATCH(L321,Ottone!$A$1:$Z$1,0)-1)=TRUE),0,OFFSET(Ottone!$A$1,MATCH(J321,Ottone!$A:$A,0)-1,MATCH(L321,Ottone!$A$1:$Z$1,0)-1))*IF(G321="Ottone",1,0)</f>
        <v>0</v>
      </c>
      <c r="O321" s="255">
        <f ca="1">IF(ISERROR(OFFSET(Rame!$A$1,MATCH(J321,Rame!$A:$A,0)-1,MATCH(L321,Rame!$A$1:$AA$1,0)-1)=TRUE),0,OFFSET(Rame!$A$1,MATCH(J321,Rame!$A:$A,0)-1,MATCH(L321,Rame!$A$1:$AA$1,0)-1))*IF(G321="Rame",1,0)</f>
        <v>0</v>
      </c>
      <c r="P321" s="255">
        <v>0</v>
      </c>
      <c r="Q321" s="255">
        <v>1.65</v>
      </c>
      <c r="R321" s="255">
        <f ca="1">+IF(ISERROR(OFFSET(Tabella!$G$1,MATCH(J321,Tabella!$G:$G,0)-1,MATCH(K321,Tabella!$G$1:$FG$1,0)-1)=TRUE),0,OFFSET(Tabella!$G$1,MATCH(J321,Tabella!$G:$G,0)-1,MATCH(K321,Tabella!$G$1:$AB$1,0)-1))</f>
        <v>0</v>
      </c>
      <c r="S321" s="255">
        <f ca="1">IF(ISERROR(OFFSET(Ottone!$F$1,MATCH(J321,Ottone!$A:$A,0)-1,MATCH(K321,Ottone!$F$1:$FF$1,0)-1)=TRUE),0,OFFSET(Ottone!$F$1,MATCH(J321,Ottone!$A:$A,0)-1,MATCH(K321,Ottone!$F$1:$FF$1,0)-1))*IF(G321="Ottone",1,0)</f>
        <v>0</v>
      </c>
      <c r="T321" s="255">
        <f ca="1">IF(ISERROR(OFFSET(Rame!$F$1,MATCH(J321,Rame!$F:$F,0)-1,MATCH(K321,Rame!$F$1:$FF$1,0)-1)=TRUE),0,OFFSET(Rame!$F$1,MATCH(J321,Rame!$F:$F,0)-1,MATCH(K321,Rame!$F$1:$FF$1,0)-1))*IF(G321="Rame",1,0)</f>
        <v>0</v>
      </c>
      <c r="U321" s="255">
        <f ca="1">IF(ISERROR(OFFSET(Bronzo!$A$1,MATCH(J321,Bronzo!$A:$A,0)-1,MATCH(K321,Bronzo!$A$1:$AA$1,0)-1)=TRUE),0,OFFSET(Bronzo!$A$1,MATCH(J321,Bronzo!$A:$A,0)-1,MATCH(K321,Bronzo!$A$1:$AA$1,0)-1))</f>
        <v>0</v>
      </c>
      <c r="V321" s="255">
        <f t="shared" ca="1" si="127"/>
        <v>0</v>
      </c>
      <c r="W321" s="254"/>
      <c r="X321" s="255">
        <v>0</v>
      </c>
      <c r="Y321" s="256">
        <f t="shared" ca="1" si="128"/>
        <v>1.65</v>
      </c>
      <c r="Z321" s="269">
        <f t="shared" si="129"/>
        <v>52.8</v>
      </c>
      <c r="AA321" s="253">
        <v>5.8</v>
      </c>
      <c r="AB321" s="253">
        <f t="shared" ca="1" si="130"/>
        <v>1.5300000000000002</v>
      </c>
      <c r="AC321" s="258"/>
      <c r="AF321" s="223" t="s">
        <v>405</v>
      </c>
      <c r="AH321" s="232">
        <f t="shared" ca="1" si="120"/>
        <v>46120</v>
      </c>
      <c r="AI321" s="232" t="b">
        <f t="shared" si="121"/>
        <v>1</v>
      </c>
      <c r="AJ321" s="259" t="str">
        <f t="shared" si="131"/>
        <v/>
      </c>
      <c r="AM321" s="223">
        <f t="shared" si="122"/>
        <v>0</v>
      </c>
      <c r="AN321" s="223">
        <f t="shared" si="123"/>
        <v>1900</v>
      </c>
      <c r="AU321" s="223">
        <f t="shared" si="124"/>
        <v>0</v>
      </c>
      <c r="AV321" s="223">
        <f t="shared" si="125"/>
        <v>0</v>
      </c>
    </row>
    <row r="322" spans="4:48" ht="26.25" x14ac:dyDescent="0.4">
      <c r="D322" s="246" t="s">
        <v>593</v>
      </c>
      <c r="E322" s="262" t="s">
        <v>228</v>
      </c>
      <c r="F322" s="263">
        <v>195</v>
      </c>
      <c r="G322" s="249" t="s">
        <v>4</v>
      </c>
      <c r="H322" s="250">
        <v>2.62</v>
      </c>
      <c r="I322" s="251">
        <v>46078</v>
      </c>
      <c r="J322" s="252" t="s">
        <v>17</v>
      </c>
      <c r="K322" s="252"/>
      <c r="L322" s="253">
        <v>0.3</v>
      </c>
      <c r="M322" s="254">
        <f ca="1">IF(ISERROR(OFFSET(Tabella!$A$1,MATCH(J322,Tabella!$A:$A,0)-1,MATCH(L322,Tabella!$A$1:$AC$1,0)-1)=TRUE),0,+OFFSET(Tabella!$A$1,MATCH(J322,Tabella!$A:$A,0)-1,MATCH(L322,Tabella!$A$1:$AC$1,0)-1))</f>
        <v>0</v>
      </c>
      <c r="N322" s="255">
        <f ca="1">IF(ISERROR(OFFSET(Ottone!$A$1,MATCH(J322,Ottone!$A:$A,0)-1,MATCH(L322,Ottone!$A$1:$Z$1,0)-1)=TRUE),0,OFFSET(Ottone!$A$1,MATCH(J322,Ottone!$A:$A,0)-1,MATCH(L322,Ottone!$A$1:$Z$1,0)-1))*IF(G322="Ottone",1,0)</f>
        <v>0</v>
      </c>
      <c r="O322" s="255">
        <f ca="1">IF(ISERROR(OFFSET(Rame!$A$1,MATCH(J322,Rame!$A:$A,0)-1,MATCH(L322,Rame!$A$1:$AA$1,0)-1)=TRUE),0,OFFSET(Rame!$A$1,MATCH(J322,Rame!$A:$A,0)-1,MATCH(L322,Rame!$A$1:$AA$1,0)-1))*IF(G322="Rame",1,0)</f>
        <v>0</v>
      </c>
      <c r="P322" s="255">
        <v>0</v>
      </c>
      <c r="Q322" s="255">
        <v>1.6</v>
      </c>
      <c r="R322" s="255">
        <f ca="1">+IF(ISERROR(OFFSET(Tabella!$G$1,MATCH(J322,Tabella!$G:$G,0)-1,MATCH(K322,Tabella!$G$1:$FG$1,0)-1)=TRUE),0,OFFSET(Tabella!$G$1,MATCH(J322,Tabella!$G:$G,0)-1,MATCH(K322,Tabella!$G$1:$AB$1,0)-1))</f>
        <v>0</v>
      </c>
      <c r="S322" s="255">
        <f ca="1">IF(ISERROR(OFFSET(Ottone!$F$1,MATCH(J322,Ottone!$A:$A,0)-1,MATCH(K322,Ottone!$F$1:$FF$1,0)-1)=TRUE),0,OFFSET(Ottone!$F$1,MATCH(J322,Ottone!$A:$A,0)-1,MATCH(K322,Ottone!$F$1:$FF$1,0)-1))*IF(G322="Ottone",1,0)</f>
        <v>0</v>
      </c>
      <c r="T322" s="255">
        <f ca="1">IF(ISERROR(OFFSET(Rame!$F$1,MATCH(J322,Rame!$F:$F,0)-1,MATCH(K322,Rame!$F$1:$FF$1,0)-1)=TRUE),0,OFFSET(Rame!$F$1,MATCH(J322,Rame!$F:$F,0)-1,MATCH(K322,Rame!$F$1:$FF$1,0)-1))*IF(G322="Rame",1,0)</f>
        <v>0</v>
      </c>
      <c r="U322" s="255">
        <f ca="1">IF(ISERROR(OFFSET(Bronzo!$A$1,MATCH(J322,Bronzo!$A:$A,0)-1,MATCH(K322,Bronzo!$A$1:$AA$1,0)-1)=TRUE),0,OFFSET(Bronzo!$A$1,MATCH(J322,Bronzo!$A:$A,0)-1,MATCH(K322,Bronzo!$A$1:$AA$1,0)-1))</f>
        <v>0</v>
      </c>
      <c r="V322" s="255">
        <f t="shared" ca="1" si="127"/>
        <v>0</v>
      </c>
      <c r="W322" s="254"/>
      <c r="X322" s="255">
        <v>0</v>
      </c>
      <c r="Y322" s="256">
        <f t="shared" ca="1" si="128"/>
        <v>1.6</v>
      </c>
      <c r="Z322" s="269">
        <f t="shared" si="129"/>
        <v>58.5</v>
      </c>
      <c r="AA322" s="253">
        <v>5.8</v>
      </c>
      <c r="AB322" s="253">
        <f t="shared" ca="1" si="130"/>
        <v>1.5799999999999992</v>
      </c>
      <c r="AC322" s="258"/>
      <c r="AF322" s="223" t="s">
        <v>405</v>
      </c>
      <c r="AH322" s="232">
        <f t="shared" ca="1" si="120"/>
        <v>46120</v>
      </c>
      <c r="AI322" s="232" t="b">
        <f t="shared" si="121"/>
        <v>1</v>
      </c>
      <c r="AJ322" s="259" t="str">
        <f t="shared" si="131"/>
        <v/>
      </c>
      <c r="AM322" s="223">
        <f t="shared" si="122"/>
        <v>0</v>
      </c>
      <c r="AN322" s="223">
        <f t="shared" si="123"/>
        <v>1900</v>
      </c>
      <c r="AU322" s="223">
        <f t="shared" si="124"/>
        <v>0</v>
      </c>
      <c r="AV322" s="223">
        <f t="shared" si="125"/>
        <v>0</v>
      </c>
    </row>
    <row r="323" spans="4:48" ht="26.25" x14ac:dyDescent="0.4">
      <c r="D323" s="246" t="s">
        <v>593</v>
      </c>
      <c r="E323" s="262" t="s">
        <v>228</v>
      </c>
      <c r="F323" s="263">
        <v>280</v>
      </c>
      <c r="G323" s="249" t="s">
        <v>4</v>
      </c>
      <c r="H323" s="250">
        <v>2.62</v>
      </c>
      <c r="I323" s="251">
        <v>46078</v>
      </c>
      <c r="J323" s="252" t="s">
        <v>19</v>
      </c>
      <c r="K323" s="252"/>
      <c r="L323" s="253">
        <v>0.3</v>
      </c>
      <c r="M323" s="254">
        <f ca="1">IF(ISERROR(OFFSET(Tabella!$A$1,MATCH(J323,Tabella!$A:$A,0)-1,MATCH(L323,Tabella!$A$1:$AC$1,0)-1)=TRUE),0,+OFFSET(Tabella!$A$1,MATCH(J323,Tabella!$A:$A,0)-1,MATCH(L323,Tabella!$A$1:$AC$1,0)-1))</f>
        <v>0</v>
      </c>
      <c r="N323" s="255">
        <f ca="1">IF(ISERROR(OFFSET(Ottone!$A$1,MATCH(J323,Ottone!$A:$A,0)-1,MATCH(L323,Ottone!$A$1:$Z$1,0)-1)=TRUE),0,OFFSET(Ottone!$A$1,MATCH(J323,Ottone!$A:$A,0)-1,MATCH(L323,Ottone!$A$1:$Z$1,0)-1))*IF(G323="Ottone",1,0)</f>
        <v>0</v>
      </c>
      <c r="O323" s="255">
        <f ca="1">IF(ISERROR(OFFSET(Rame!$A$1,MATCH(J323,Rame!$A:$A,0)-1,MATCH(L323,Rame!$A$1:$AA$1,0)-1)=TRUE),0,OFFSET(Rame!$A$1,MATCH(J323,Rame!$A:$A,0)-1,MATCH(L323,Rame!$A$1:$AA$1,0)-1))*IF(G323="Rame",1,0)</f>
        <v>0</v>
      </c>
      <c r="P323" s="255">
        <v>0</v>
      </c>
      <c r="Q323" s="255">
        <v>1.5</v>
      </c>
      <c r="R323" s="255">
        <f ca="1">+IF(ISERROR(OFFSET(Tabella!$G$1,MATCH(J323,Tabella!$G:$G,0)-1,MATCH(K323,Tabella!$G$1:$FG$1,0)-1)=TRUE),0,OFFSET(Tabella!$G$1,MATCH(J323,Tabella!$G:$G,0)-1,MATCH(K323,Tabella!$G$1:$AB$1,0)-1))</f>
        <v>0</v>
      </c>
      <c r="S323" s="255">
        <f ca="1">IF(ISERROR(OFFSET(Ottone!$F$1,MATCH(J323,Ottone!$A:$A,0)-1,MATCH(K323,Ottone!$F$1:$FF$1,0)-1)=TRUE),0,OFFSET(Ottone!$F$1,MATCH(J323,Ottone!$A:$A,0)-1,MATCH(K323,Ottone!$F$1:$FF$1,0)-1))*IF(G323="Ottone",1,0)</f>
        <v>0</v>
      </c>
      <c r="T323" s="255">
        <f ca="1">IF(ISERROR(OFFSET(Rame!$F$1,MATCH(J323,Rame!$F:$F,0)-1,MATCH(K323,Rame!$F$1:$FF$1,0)-1)=TRUE),0,OFFSET(Rame!$F$1,MATCH(J323,Rame!$F:$F,0)-1,MATCH(K323,Rame!$F$1:$FF$1,0)-1))*IF(G323="Rame",1,0)</f>
        <v>0</v>
      </c>
      <c r="U323" s="255">
        <f ca="1">IF(ISERROR(OFFSET(Bronzo!$A$1,MATCH(J323,Bronzo!$A:$A,0)-1,MATCH(K323,Bronzo!$A$1:$AA$1,0)-1)=TRUE),0,OFFSET(Bronzo!$A$1,MATCH(J323,Bronzo!$A:$A,0)-1,MATCH(K323,Bronzo!$A$1:$AA$1,0)-1))</f>
        <v>0</v>
      </c>
      <c r="V323" s="255">
        <f t="shared" ca="1" si="127"/>
        <v>0</v>
      </c>
      <c r="W323" s="254"/>
      <c r="X323" s="255">
        <v>0</v>
      </c>
      <c r="Y323" s="256">
        <f t="shared" ca="1" si="128"/>
        <v>1.5</v>
      </c>
      <c r="Z323" s="269">
        <f t="shared" si="129"/>
        <v>84</v>
      </c>
      <c r="AA323" s="253">
        <v>5.8</v>
      </c>
      <c r="AB323" s="253">
        <f t="shared" ca="1" si="130"/>
        <v>1.6799999999999997</v>
      </c>
      <c r="AC323" s="258"/>
      <c r="AF323" s="223" t="s">
        <v>405</v>
      </c>
      <c r="AH323" s="232">
        <f t="shared" ca="1" si="120"/>
        <v>46120</v>
      </c>
      <c r="AI323" s="232" t="b">
        <f t="shared" si="121"/>
        <v>1</v>
      </c>
      <c r="AJ323" s="259" t="str">
        <f t="shared" si="131"/>
        <v/>
      </c>
      <c r="AM323" s="223">
        <f t="shared" si="122"/>
        <v>0</v>
      </c>
      <c r="AN323" s="223">
        <f t="shared" si="123"/>
        <v>1900</v>
      </c>
      <c r="AU323" s="223">
        <f t="shared" si="124"/>
        <v>0</v>
      </c>
      <c r="AV323" s="223">
        <f t="shared" si="125"/>
        <v>0</v>
      </c>
    </row>
    <row r="324" spans="4:48" ht="26.25" x14ac:dyDescent="0.4">
      <c r="D324" s="246" t="s">
        <v>593</v>
      </c>
      <c r="E324" s="262" t="s">
        <v>228</v>
      </c>
      <c r="F324" s="263">
        <v>292</v>
      </c>
      <c r="G324" s="249" t="s">
        <v>4</v>
      </c>
      <c r="H324" s="250">
        <v>2.62</v>
      </c>
      <c r="I324" s="251">
        <v>46078</v>
      </c>
      <c r="J324" s="252" t="s">
        <v>17</v>
      </c>
      <c r="K324" s="252"/>
      <c r="L324" s="253">
        <v>0.3</v>
      </c>
      <c r="M324" s="254">
        <f ca="1">IF(ISERROR(OFFSET(Tabella!$A$1,MATCH(J324,Tabella!$A:$A,0)-1,MATCH(L324,Tabella!$A$1:$AC$1,0)-1)=TRUE),0,+OFFSET(Tabella!$A$1,MATCH(J324,Tabella!$A:$A,0)-1,MATCH(L324,Tabella!$A$1:$AC$1,0)-1))</f>
        <v>0</v>
      </c>
      <c r="N324" s="255">
        <f ca="1">IF(ISERROR(OFFSET(Ottone!$A$1,MATCH(J324,Ottone!$A:$A,0)-1,MATCH(L324,Ottone!$A$1:$Z$1,0)-1)=TRUE),0,OFFSET(Ottone!$A$1,MATCH(J324,Ottone!$A:$A,0)-1,MATCH(L324,Ottone!$A$1:$Z$1,0)-1))*IF(G324="Ottone",1,0)</f>
        <v>0</v>
      </c>
      <c r="O324" s="255">
        <f ca="1">IF(ISERROR(OFFSET(Rame!$A$1,MATCH(J324,Rame!$A:$A,0)-1,MATCH(L324,Rame!$A$1:$AA$1,0)-1)=TRUE),0,OFFSET(Rame!$A$1,MATCH(J324,Rame!$A:$A,0)-1,MATCH(L324,Rame!$A$1:$AA$1,0)-1))*IF(G324="Rame",1,0)</f>
        <v>0</v>
      </c>
      <c r="P324" s="255">
        <v>0</v>
      </c>
      <c r="Q324" s="255">
        <v>1.6</v>
      </c>
      <c r="R324" s="255">
        <f ca="1">+IF(ISERROR(OFFSET(Tabella!$G$1,MATCH(J324,Tabella!$G:$G,0)-1,MATCH(K324,Tabella!$G$1:$FG$1,0)-1)=TRUE),0,OFFSET(Tabella!$G$1,MATCH(J324,Tabella!$G:$G,0)-1,MATCH(K324,Tabella!$G$1:$AB$1,0)-1))</f>
        <v>0</v>
      </c>
      <c r="S324" s="255">
        <f ca="1">IF(ISERROR(OFFSET(Ottone!$F$1,MATCH(J324,Ottone!$A:$A,0)-1,MATCH(K324,Ottone!$F$1:$FF$1,0)-1)=TRUE),0,OFFSET(Ottone!$F$1,MATCH(J324,Ottone!$A:$A,0)-1,MATCH(K324,Ottone!$F$1:$FF$1,0)-1))*IF(G324="Ottone",1,0)</f>
        <v>0</v>
      </c>
      <c r="T324" s="255">
        <f ca="1">IF(ISERROR(OFFSET(Rame!$F$1,MATCH(J324,Rame!$F:$F,0)-1,MATCH(K324,Rame!$F$1:$FF$1,0)-1)=TRUE),0,OFFSET(Rame!$F$1,MATCH(J324,Rame!$F:$F,0)-1,MATCH(K324,Rame!$F$1:$FF$1,0)-1))*IF(G324="Rame",1,0)</f>
        <v>0</v>
      </c>
      <c r="U324" s="255">
        <f ca="1">IF(ISERROR(OFFSET(Bronzo!$A$1,MATCH(J324,Bronzo!$A:$A,0)-1,MATCH(K324,Bronzo!$A$1:$AA$1,0)-1)=TRUE),0,OFFSET(Bronzo!$A$1,MATCH(J324,Bronzo!$A:$A,0)-1,MATCH(K324,Bronzo!$A$1:$AA$1,0)-1))</f>
        <v>0</v>
      </c>
      <c r="V324" s="255">
        <f t="shared" ca="1" si="127"/>
        <v>0</v>
      </c>
      <c r="W324" s="254"/>
      <c r="X324" s="255">
        <v>0</v>
      </c>
      <c r="Y324" s="256">
        <f t="shared" ca="1" si="128"/>
        <v>1.6</v>
      </c>
      <c r="Z324" s="269">
        <f t="shared" si="129"/>
        <v>87.6</v>
      </c>
      <c r="AA324" s="253">
        <v>5.8</v>
      </c>
      <c r="AB324" s="253">
        <f t="shared" ca="1" si="130"/>
        <v>1.5799999999999992</v>
      </c>
      <c r="AC324" s="258"/>
      <c r="AF324" s="223" t="s">
        <v>405</v>
      </c>
      <c r="AH324" s="232">
        <f t="shared" ca="1" si="120"/>
        <v>46120</v>
      </c>
      <c r="AI324" s="232" t="b">
        <f t="shared" si="121"/>
        <v>1</v>
      </c>
      <c r="AJ324" s="259" t="str">
        <f t="shared" si="131"/>
        <v/>
      </c>
      <c r="AM324" s="223">
        <f t="shared" si="122"/>
        <v>0</v>
      </c>
      <c r="AN324" s="223">
        <f t="shared" si="123"/>
        <v>1900</v>
      </c>
      <c r="AU324" s="223">
        <f t="shared" si="124"/>
        <v>0</v>
      </c>
      <c r="AV324" s="223">
        <f t="shared" si="125"/>
        <v>0</v>
      </c>
    </row>
    <row r="325" spans="4:48" ht="26.25" x14ac:dyDescent="0.4">
      <c r="D325" s="246" t="s">
        <v>524</v>
      </c>
      <c r="E325" s="252" t="s">
        <v>207</v>
      </c>
      <c r="F325" s="276">
        <v>340</v>
      </c>
      <c r="G325" s="249" t="s">
        <v>6</v>
      </c>
      <c r="H325" s="250">
        <v>10.8</v>
      </c>
      <c r="I325" s="251">
        <v>46076</v>
      </c>
      <c r="J325" s="252" t="s">
        <v>12</v>
      </c>
      <c r="K325" s="252"/>
      <c r="L325" s="253">
        <v>0.15</v>
      </c>
      <c r="M325" s="254">
        <f ca="1">IF(ISERROR(OFFSET(Tabella!$A$1,MATCH(J325,Tabella!$A:$A,0)-1,MATCH(L325,Tabella!$A$1:$AC$1,0)-1)=TRUE),0,+OFFSET(Tabella!$A$1,MATCH(J325,Tabella!$A:$A,0)-1,MATCH(L325,Tabella!$A$1:$AC$1,0)-1))</f>
        <v>0</v>
      </c>
      <c r="N325" s="255">
        <f ca="1">IF(ISERROR(OFFSET(Ottone!$A$1,MATCH(J325,Ottone!$A:$A,0)-1,MATCH(L325,Ottone!$A$1:$Z$1,0)-1)=TRUE),0,OFFSET(Ottone!$A$1,MATCH(J325,Ottone!$A:$A,0)-1,MATCH(L325,Ottone!$A$1:$Z$1,0)-1))*IF(G325="Ottone",1,0)</f>
        <v>0</v>
      </c>
      <c r="O325" s="255">
        <f ca="1">IF(ISERROR(OFFSET(Rame!$A$1,MATCH(J325,Rame!$A:$A,0)-1,MATCH(L325,Rame!$A$1:$AA$1,0)-1)=TRUE),0,OFFSET(Rame!$A$1,MATCH(J325,Rame!$A:$A,0)-1,MATCH(L325,Rame!$A$1:$AA$1,0)-1))*IF(G325="Rame",1,0)</f>
        <v>1.25</v>
      </c>
      <c r="P325" s="255">
        <v>0</v>
      </c>
      <c r="Q325" s="255">
        <f t="shared" ca="1" si="126"/>
        <v>1.25</v>
      </c>
      <c r="R325" s="255">
        <f ca="1">+IF(ISERROR(OFFSET(Tabella!$G$1,MATCH(J325,Tabella!$G:$G,0)-1,MATCH(K325,Tabella!$G$1:$FG$1,0)-1)=TRUE),0,OFFSET(Tabella!$G$1,MATCH(J325,Tabella!$G:$G,0)-1,MATCH(K325,Tabella!$G$1:$AB$1,0)-1))</f>
        <v>0</v>
      </c>
      <c r="S325" s="255">
        <f ca="1">IF(ISERROR(OFFSET(Ottone!$F$1,MATCH(J325,Ottone!$A:$A,0)-1,MATCH(K325,Ottone!$F$1:$FF$1,0)-1)=TRUE),0,OFFSET(Ottone!$F$1,MATCH(J325,Ottone!$A:$A,0)-1,MATCH(K325,Ottone!$F$1:$FF$1,0)-1))*IF(G325="Ottone",1,0)</f>
        <v>0</v>
      </c>
      <c r="T325" s="255">
        <f ca="1">IF(ISERROR(OFFSET(Rame!$F$1,MATCH(J325,Rame!$F:$F,0)-1,MATCH(K325,Rame!$F$1:$FF$1,0)-1)=TRUE),0,OFFSET(Rame!$F$1,MATCH(J325,Rame!$F:$F,0)-1,MATCH(K325,Rame!$F$1:$FF$1,0)-1))*IF(G325="Rame",1,0)</f>
        <v>0</v>
      </c>
      <c r="U325" s="255">
        <f ca="1">IF(ISERROR(OFFSET(Bronzo!$A$1,MATCH(J325,Bronzo!$A:$A,0)-1,MATCH(K325,Bronzo!$A$1:$AA$1,0)-1)=TRUE),0,OFFSET(Bronzo!$A$1,MATCH(J325,Bronzo!$A:$A,0)-1,MATCH(K325,Bronzo!$A$1:$AA$1,0)-1))</f>
        <v>0</v>
      </c>
      <c r="V325" s="255">
        <f t="shared" ca="1" si="127"/>
        <v>0</v>
      </c>
      <c r="W325" s="254"/>
      <c r="X325" s="255">
        <v>0</v>
      </c>
      <c r="Y325" s="256">
        <f t="shared" ca="1" si="128"/>
        <v>1.25</v>
      </c>
      <c r="Z325" s="257">
        <f t="shared" si="129"/>
        <v>51</v>
      </c>
      <c r="AA325" s="253">
        <v>14.7</v>
      </c>
      <c r="AB325" s="253">
        <f t="shared" ca="1" si="130"/>
        <v>2.6499999999999986</v>
      </c>
      <c r="AC325" s="258">
        <v>46115</v>
      </c>
      <c r="AH325" s="232">
        <f t="shared" ca="1" si="120"/>
        <v>46120</v>
      </c>
      <c r="AI325" s="232" t="b">
        <f t="shared" si="121"/>
        <v>0</v>
      </c>
      <c r="AJ325" s="259">
        <f t="shared" ca="1" si="131"/>
        <v>-5</v>
      </c>
      <c r="AM325" s="223">
        <f t="shared" si="122"/>
        <v>14</v>
      </c>
      <c r="AN325" s="223">
        <f t="shared" si="123"/>
        <v>2026</v>
      </c>
      <c r="AU325" s="223">
        <f t="shared" si="124"/>
        <v>4</v>
      </c>
      <c r="AV325" s="223">
        <f t="shared" si="125"/>
        <v>2026</v>
      </c>
    </row>
    <row r="326" spans="4:48" ht="26.25" x14ac:dyDescent="0.4">
      <c r="D326" s="246" t="s">
        <v>524</v>
      </c>
      <c r="E326" s="252" t="s">
        <v>207</v>
      </c>
      <c r="F326" s="276">
        <v>110</v>
      </c>
      <c r="G326" s="249" t="s">
        <v>6</v>
      </c>
      <c r="H326" s="250">
        <v>10.8</v>
      </c>
      <c r="I326" s="251">
        <v>46076</v>
      </c>
      <c r="J326" s="252" t="s">
        <v>12</v>
      </c>
      <c r="K326" s="252"/>
      <c r="L326" s="253">
        <v>0.15</v>
      </c>
      <c r="M326" s="254">
        <f ca="1">IF(ISERROR(OFFSET(Tabella!$A$1,MATCH(J326,Tabella!$A:$A,0)-1,MATCH(L326,Tabella!$A$1:$AC$1,0)-1)=TRUE),0,+OFFSET(Tabella!$A$1,MATCH(J326,Tabella!$A:$A,0)-1,MATCH(L326,Tabella!$A$1:$AC$1,0)-1))</f>
        <v>0</v>
      </c>
      <c r="N326" s="255">
        <f ca="1">IF(ISERROR(OFFSET(Ottone!$A$1,MATCH(J326,Ottone!$A:$A,0)-1,MATCH(L326,Ottone!$A$1:$Z$1,0)-1)=TRUE),0,OFFSET(Ottone!$A$1,MATCH(J326,Ottone!$A:$A,0)-1,MATCH(L326,Ottone!$A$1:$Z$1,0)-1))*IF(G326="Ottone",1,0)</f>
        <v>0</v>
      </c>
      <c r="O326" s="255">
        <f ca="1">IF(ISERROR(OFFSET(Rame!$A$1,MATCH(J326,Rame!$A:$A,0)-1,MATCH(L326,Rame!$A$1:$AA$1,0)-1)=TRUE),0,OFFSET(Rame!$A$1,MATCH(J326,Rame!$A:$A,0)-1,MATCH(L326,Rame!$A$1:$AA$1,0)-1))*IF(G326="Rame",1,0)</f>
        <v>1.25</v>
      </c>
      <c r="P326" s="255">
        <v>0</v>
      </c>
      <c r="Q326" s="255">
        <f t="shared" ca="1" si="126"/>
        <v>1.25</v>
      </c>
      <c r="R326" s="255">
        <f ca="1">+IF(ISERROR(OFFSET(Tabella!$G$1,MATCH(J326,Tabella!$G:$G,0)-1,MATCH(K326,Tabella!$G$1:$FG$1,0)-1)=TRUE),0,OFFSET(Tabella!$G$1,MATCH(J326,Tabella!$G:$G,0)-1,MATCH(K326,Tabella!$G$1:$AB$1,0)-1))</f>
        <v>0</v>
      </c>
      <c r="S326" s="255">
        <f ca="1">IF(ISERROR(OFFSET(Ottone!$F$1,MATCH(J326,Ottone!$A:$A,0)-1,MATCH(K326,Ottone!$F$1:$FF$1,0)-1)=TRUE),0,OFFSET(Ottone!$F$1,MATCH(J326,Ottone!$A:$A,0)-1,MATCH(K326,Ottone!$F$1:$FF$1,0)-1))*IF(G326="Ottone",1,0)</f>
        <v>0</v>
      </c>
      <c r="T326" s="255">
        <f ca="1">IF(ISERROR(OFFSET(Rame!$F$1,MATCH(J326,Rame!$F:$F,0)-1,MATCH(K326,Rame!$F$1:$FF$1,0)-1)=TRUE),0,OFFSET(Rame!$F$1,MATCH(J326,Rame!$F:$F,0)-1,MATCH(K326,Rame!$F$1:$FF$1,0)-1))*IF(G326="Rame",1,0)</f>
        <v>0</v>
      </c>
      <c r="U326" s="255">
        <f ca="1">IF(ISERROR(OFFSET(Bronzo!$A$1,MATCH(J326,Bronzo!$A:$A,0)-1,MATCH(K326,Bronzo!$A$1:$AA$1,0)-1)=TRUE),0,OFFSET(Bronzo!$A$1,MATCH(J326,Bronzo!$A:$A,0)-1,MATCH(K326,Bronzo!$A$1:$AA$1,0)-1))</f>
        <v>0</v>
      </c>
      <c r="V326" s="255">
        <f t="shared" ca="1" si="127"/>
        <v>0</v>
      </c>
      <c r="W326" s="254"/>
      <c r="X326" s="255">
        <v>0</v>
      </c>
      <c r="Y326" s="256">
        <f t="shared" ca="1" si="128"/>
        <v>1.25</v>
      </c>
      <c r="Z326" s="257">
        <f t="shared" si="129"/>
        <v>16.5</v>
      </c>
      <c r="AA326" s="253">
        <v>14.7</v>
      </c>
      <c r="AB326" s="253">
        <f t="shared" ca="1" si="130"/>
        <v>2.6499999999999986</v>
      </c>
      <c r="AC326" s="258">
        <v>46115</v>
      </c>
      <c r="AH326" s="232">
        <f t="shared" ca="1" si="120"/>
        <v>46120</v>
      </c>
      <c r="AI326" s="232" t="b">
        <f t="shared" si="121"/>
        <v>0</v>
      </c>
      <c r="AJ326" s="259">
        <f t="shared" ca="1" si="131"/>
        <v>-5</v>
      </c>
      <c r="AM326" s="223">
        <f t="shared" si="122"/>
        <v>14</v>
      </c>
      <c r="AN326" s="223">
        <f t="shared" si="123"/>
        <v>2026</v>
      </c>
      <c r="AU326" s="223">
        <f t="shared" si="124"/>
        <v>4</v>
      </c>
      <c r="AV326" s="223">
        <f t="shared" si="125"/>
        <v>2026</v>
      </c>
    </row>
    <row r="327" spans="4:48" ht="26.25" x14ac:dyDescent="0.4">
      <c r="D327" s="246" t="s">
        <v>524</v>
      </c>
      <c r="E327" s="252" t="s">
        <v>207</v>
      </c>
      <c r="F327" s="276">
        <v>270</v>
      </c>
      <c r="G327" s="249" t="s">
        <v>6</v>
      </c>
      <c r="H327" s="250">
        <v>10.8</v>
      </c>
      <c r="I327" s="251">
        <v>46076</v>
      </c>
      <c r="J327" s="252" t="s">
        <v>12</v>
      </c>
      <c r="K327" s="252"/>
      <c r="L327" s="253">
        <v>0.15</v>
      </c>
      <c r="M327" s="254">
        <f ca="1">IF(ISERROR(OFFSET(Tabella!$A$1,MATCH(J327,Tabella!$A:$A,0)-1,MATCH(L327,Tabella!$A$1:$AC$1,0)-1)=TRUE),0,+OFFSET(Tabella!$A$1,MATCH(J327,Tabella!$A:$A,0)-1,MATCH(L327,Tabella!$A$1:$AC$1,0)-1))</f>
        <v>0</v>
      </c>
      <c r="N327" s="255">
        <f ca="1">IF(ISERROR(OFFSET(Ottone!$A$1,MATCH(J327,Ottone!$A:$A,0)-1,MATCH(L327,Ottone!$A$1:$Z$1,0)-1)=TRUE),0,OFFSET(Ottone!$A$1,MATCH(J327,Ottone!$A:$A,0)-1,MATCH(L327,Ottone!$A$1:$Z$1,0)-1))*IF(G327="Ottone",1,0)</f>
        <v>0</v>
      </c>
      <c r="O327" s="255">
        <f ca="1">IF(ISERROR(OFFSET(Rame!$A$1,MATCH(J327,Rame!$A:$A,0)-1,MATCH(L327,Rame!$A$1:$AA$1,0)-1)=TRUE),0,OFFSET(Rame!$A$1,MATCH(J327,Rame!$A:$A,0)-1,MATCH(L327,Rame!$A$1:$AA$1,0)-1))*IF(G327="Rame",1,0)</f>
        <v>1.25</v>
      </c>
      <c r="P327" s="255">
        <v>0</v>
      </c>
      <c r="Q327" s="255">
        <f t="shared" ca="1" si="126"/>
        <v>1.25</v>
      </c>
      <c r="R327" s="255">
        <f ca="1">+IF(ISERROR(OFFSET(Tabella!$G$1,MATCH(J327,Tabella!$G:$G,0)-1,MATCH(K327,Tabella!$G$1:$FG$1,0)-1)=TRUE),0,OFFSET(Tabella!$G$1,MATCH(J327,Tabella!$G:$G,0)-1,MATCH(K327,Tabella!$G$1:$AB$1,0)-1))</f>
        <v>0</v>
      </c>
      <c r="S327" s="255">
        <f ca="1">IF(ISERROR(OFFSET(Ottone!$F$1,MATCH(J327,Ottone!$A:$A,0)-1,MATCH(K327,Ottone!$F$1:$FF$1,0)-1)=TRUE),0,OFFSET(Ottone!$F$1,MATCH(J327,Ottone!$A:$A,0)-1,MATCH(K327,Ottone!$F$1:$FF$1,0)-1))*IF(G327="Ottone",1,0)</f>
        <v>0</v>
      </c>
      <c r="T327" s="255">
        <f ca="1">IF(ISERROR(OFFSET(Rame!$F$1,MATCH(J327,Rame!$F:$F,0)-1,MATCH(K327,Rame!$F$1:$FF$1,0)-1)=TRUE),0,OFFSET(Rame!$F$1,MATCH(J327,Rame!$F:$F,0)-1,MATCH(K327,Rame!$F$1:$FF$1,0)-1))*IF(G327="Rame",1,0)</f>
        <v>0</v>
      </c>
      <c r="U327" s="255">
        <f ca="1">IF(ISERROR(OFFSET(Bronzo!$A$1,MATCH(J327,Bronzo!$A:$A,0)-1,MATCH(K327,Bronzo!$A$1:$AA$1,0)-1)=TRUE),0,OFFSET(Bronzo!$A$1,MATCH(J327,Bronzo!$A:$A,0)-1,MATCH(K327,Bronzo!$A$1:$AA$1,0)-1))</f>
        <v>0</v>
      </c>
      <c r="V327" s="255">
        <f t="shared" ca="1" si="127"/>
        <v>0</v>
      </c>
      <c r="W327" s="254"/>
      <c r="X327" s="255">
        <v>0</v>
      </c>
      <c r="Y327" s="256">
        <f t="shared" ca="1" si="128"/>
        <v>1.25</v>
      </c>
      <c r="Z327" s="257">
        <f t="shared" si="129"/>
        <v>40.5</v>
      </c>
      <c r="AA327" s="253">
        <v>14.7</v>
      </c>
      <c r="AB327" s="253">
        <f t="shared" ca="1" si="130"/>
        <v>2.6499999999999986</v>
      </c>
      <c r="AC327" s="258">
        <v>46115</v>
      </c>
      <c r="AH327" s="232">
        <f t="shared" ca="1" si="120"/>
        <v>46120</v>
      </c>
      <c r="AI327" s="232" t="b">
        <f t="shared" si="121"/>
        <v>0</v>
      </c>
      <c r="AJ327" s="259">
        <f t="shared" ca="1" si="131"/>
        <v>-5</v>
      </c>
      <c r="AM327" s="223">
        <f t="shared" si="122"/>
        <v>14</v>
      </c>
      <c r="AN327" s="223">
        <f t="shared" si="123"/>
        <v>2026</v>
      </c>
      <c r="AU327" s="223">
        <f t="shared" si="124"/>
        <v>4</v>
      </c>
      <c r="AV327" s="223">
        <f t="shared" si="125"/>
        <v>2026</v>
      </c>
    </row>
    <row r="328" spans="4:48" ht="26.25" x14ac:dyDescent="0.4">
      <c r="D328" s="246" t="s">
        <v>524</v>
      </c>
      <c r="E328" s="252" t="s">
        <v>207</v>
      </c>
      <c r="F328" s="276">
        <v>100</v>
      </c>
      <c r="G328" s="249" t="s">
        <v>6</v>
      </c>
      <c r="H328" s="250">
        <v>10.8</v>
      </c>
      <c r="I328" s="251">
        <v>46076</v>
      </c>
      <c r="J328" s="252" t="s">
        <v>12</v>
      </c>
      <c r="K328" s="252"/>
      <c r="L328" s="253">
        <v>0.15</v>
      </c>
      <c r="M328" s="254">
        <f ca="1">IF(ISERROR(OFFSET(Tabella!$A$1,MATCH(J328,Tabella!$A:$A,0)-1,MATCH(L328,Tabella!$A$1:$AC$1,0)-1)=TRUE),0,+OFFSET(Tabella!$A$1,MATCH(J328,Tabella!$A:$A,0)-1,MATCH(L328,Tabella!$A$1:$AC$1,0)-1))</f>
        <v>0</v>
      </c>
      <c r="N328" s="255">
        <f ca="1">IF(ISERROR(OFFSET(Ottone!$A$1,MATCH(J328,Ottone!$A:$A,0)-1,MATCH(L328,Ottone!$A$1:$Z$1,0)-1)=TRUE),0,OFFSET(Ottone!$A$1,MATCH(J328,Ottone!$A:$A,0)-1,MATCH(L328,Ottone!$A$1:$Z$1,0)-1))*IF(G328="Ottone",1,0)</f>
        <v>0</v>
      </c>
      <c r="O328" s="255">
        <f ca="1">IF(ISERROR(OFFSET(Rame!$A$1,MATCH(J328,Rame!$A:$A,0)-1,MATCH(L328,Rame!$A$1:$AA$1,0)-1)=TRUE),0,OFFSET(Rame!$A$1,MATCH(J328,Rame!$A:$A,0)-1,MATCH(L328,Rame!$A$1:$AA$1,0)-1))*IF(G328="Rame",1,0)</f>
        <v>1.25</v>
      </c>
      <c r="P328" s="255">
        <v>0</v>
      </c>
      <c r="Q328" s="255">
        <f t="shared" ca="1" si="126"/>
        <v>1.25</v>
      </c>
      <c r="R328" s="255">
        <f ca="1">+IF(ISERROR(OFFSET(Tabella!$G$1,MATCH(J328,Tabella!$G:$G,0)-1,MATCH(K328,Tabella!$G$1:$FG$1,0)-1)=TRUE),0,OFFSET(Tabella!$G$1,MATCH(J328,Tabella!$G:$G,0)-1,MATCH(K328,Tabella!$G$1:$AB$1,0)-1))</f>
        <v>0</v>
      </c>
      <c r="S328" s="255">
        <f ca="1">IF(ISERROR(OFFSET(Ottone!$F$1,MATCH(J328,Ottone!$A:$A,0)-1,MATCH(K328,Ottone!$F$1:$FF$1,0)-1)=TRUE),0,OFFSET(Ottone!$F$1,MATCH(J328,Ottone!$A:$A,0)-1,MATCH(K328,Ottone!$F$1:$FF$1,0)-1))*IF(G328="Ottone",1,0)</f>
        <v>0</v>
      </c>
      <c r="T328" s="255">
        <f ca="1">IF(ISERROR(OFFSET(Rame!$F$1,MATCH(J328,Rame!$F:$F,0)-1,MATCH(K328,Rame!$F$1:$FF$1,0)-1)=TRUE),0,OFFSET(Rame!$F$1,MATCH(J328,Rame!$F:$F,0)-1,MATCH(K328,Rame!$F$1:$FF$1,0)-1))*IF(G328="Rame",1,0)</f>
        <v>0</v>
      </c>
      <c r="U328" s="255">
        <f ca="1">IF(ISERROR(OFFSET(Bronzo!$A$1,MATCH(J328,Bronzo!$A:$A,0)-1,MATCH(K328,Bronzo!$A$1:$AA$1,0)-1)=TRUE),0,OFFSET(Bronzo!$A$1,MATCH(J328,Bronzo!$A:$A,0)-1,MATCH(K328,Bronzo!$A$1:$AA$1,0)-1))</f>
        <v>0</v>
      </c>
      <c r="V328" s="255">
        <f t="shared" ca="1" si="127"/>
        <v>0</v>
      </c>
      <c r="W328" s="254"/>
      <c r="X328" s="255">
        <v>0</v>
      </c>
      <c r="Y328" s="256">
        <f t="shared" ca="1" si="128"/>
        <v>1.25</v>
      </c>
      <c r="Z328" s="257">
        <f t="shared" si="129"/>
        <v>15</v>
      </c>
      <c r="AA328" s="253">
        <v>14.7</v>
      </c>
      <c r="AB328" s="253">
        <f t="shared" ca="1" si="130"/>
        <v>2.6499999999999986</v>
      </c>
      <c r="AC328" s="258">
        <v>46115</v>
      </c>
      <c r="AH328" s="232">
        <f t="shared" ca="1" si="120"/>
        <v>46120</v>
      </c>
      <c r="AI328" s="232" t="b">
        <f t="shared" si="121"/>
        <v>0</v>
      </c>
      <c r="AJ328" s="259">
        <f t="shared" ca="1" si="131"/>
        <v>-5</v>
      </c>
      <c r="AM328" s="223">
        <f t="shared" si="122"/>
        <v>14</v>
      </c>
      <c r="AN328" s="223">
        <f t="shared" si="123"/>
        <v>2026</v>
      </c>
      <c r="AU328" s="223">
        <f t="shared" si="124"/>
        <v>4</v>
      </c>
      <c r="AV328" s="223">
        <f t="shared" si="125"/>
        <v>2026</v>
      </c>
    </row>
    <row r="329" spans="4:48" ht="26.25" x14ac:dyDescent="0.4">
      <c r="D329" s="246" t="s">
        <v>791</v>
      </c>
      <c r="E329" s="299" t="s">
        <v>92</v>
      </c>
      <c r="F329" s="300">
        <v>1032</v>
      </c>
      <c r="G329" s="249" t="s">
        <v>4</v>
      </c>
      <c r="H329" s="250">
        <v>2.65</v>
      </c>
      <c r="I329" s="251">
        <v>46078</v>
      </c>
      <c r="J329" s="252" t="s">
        <v>28</v>
      </c>
      <c r="K329" s="252"/>
      <c r="L329" s="253">
        <v>7.0000000000000007E-2</v>
      </c>
      <c r="M329" s="254">
        <f ca="1">IF(ISERROR(OFFSET(Tabella!$A$1,MATCH(J329,Tabella!$A:$A,0)-1,MATCH(L329,Tabella!$A$1:$AC$1,0)-1)=TRUE),0,+OFFSET(Tabella!$A$1,MATCH(J329,Tabella!$A:$A,0)-1,MATCH(L329,Tabella!$A$1:$AC$1,0)-1))</f>
        <v>1.25</v>
      </c>
      <c r="N329" s="255">
        <f ca="1">IF(ISERROR(OFFSET(Ottone!$A$1,MATCH(J329,Ottone!$A:$A,0)-1,MATCH(L329,Ottone!$A$1:$Z$1,0)-1)=TRUE),0,OFFSET(Ottone!$A$1,MATCH(J329,Ottone!$A:$A,0)-1,MATCH(L329,Ottone!$A$1:$Z$1,0)-1))*IF(G329="Ottone",1,0)</f>
        <v>0</v>
      </c>
      <c r="O329" s="255">
        <f ca="1">IF(ISERROR(OFFSET(Rame!$A$1,MATCH(J329,Rame!$A:$A,0)-1,MATCH(L329,Rame!$A$1:$AA$1,0)-1)=TRUE),0,OFFSET(Rame!$A$1,MATCH(J329,Rame!$A:$A,0)-1,MATCH(L329,Rame!$A$1:$AA$1,0)-1))*IF(G329="Rame",1,0)</f>
        <v>0</v>
      </c>
      <c r="P329" s="255">
        <v>0</v>
      </c>
      <c r="Q329" s="255">
        <v>1.5</v>
      </c>
      <c r="R329" s="255">
        <f ca="1">+IF(ISERROR(OFFSET(Tabella!$G$1,MATCH(J329,Tabella!$G:$G,0)-1,MATCH(K329,Tabella!$G$1:$FG$1,0)-1)=TRUE),0,OFFSET(Tabella!$G$1,MATCH(J329,Tabella!$G:$G,0)-1,MATCH(K329,Tabella!$G$1:$AB$1,0)-1))</f>
        <v>0</v>
      </c>
      <c r="S329" s="255">
        <f ca="1">IF(ISERROR(OFFSET(Ottone!$F$1,MATCH(J329,Ottone!$A:$A,0)-1,MATCH(K329,Ottone!$F$1:$FF$1,0)-1)=TRUE),0,OFFSET(Ottone!$F$1,MATCH(J329,Ottone!$A:$A,0)-1,MATCH(K329,Ottone!$F$1:$FF$1,0)-1))*IF(G329="Ottone",1,0)</f>
        <v>0</v>
      </c>
      <c r="T329" s="255">
        <f ca="1">IF(ISERROR(OFFSET(Rame!$F$1,MATCH(J329,Rame!$F:$F,0)-1,MATCH(K329,Rame!$F$1:$FF$1,0)-1)=TRUE),0,OFFSET(Rame!$F$1,MATCH(J329,Rame!$F:$F,0)-1,MATCH(K329,Rame!$F$1:$FF$1,0)-1))*IF(G329="Rame",1,0)</f>
        <v>0</v>
      </c>
      <c r="U329" s="255">
        <f ca="1">IF(ISERROR(OFFSET(Bronzo!$A$1,MATCH(J329,Bronzo!$A:$A,0)-1,MATCH(K329,Bronzo!$A$1:$AA$1,0)-1)=TRUE),0,OFFSET(Bronzo!$A$1,MATCH(J329,Bronzo!$A:$A,0)-1,MATCH(K329,Bronzo!$A$1:$AA$1,0)-1))</f>
        <v>0</v>
      </c>
      <c r="V329" s="255">
        <f t="shared" ca="1" si="127"/>
        <v>0</v>
      </c>
      <c r="W329" s="254"/>
      <c r="X329" s="255">
        <v>0</v>
      </c>
      <c r="Y329" s="256">
        <f t="shared" ca="1" si="128"/>
        <v>1.5</v>
      </c>
      <c r="Z329" s="301">
        <f t="shared" si="129"/>
        <v>72.240000000000009</v>
      </c>
      <c r="AA329" s="253">
        <v>4.1500000000000004</v>
      </c>
      <c r="AB329" s="253">
        <f t="shared" ca="1" si="130"/>
        <v>0</v>
      </c>
      <c r="AC329" s="258">
        <v>46099</v>
      </c>
      <c r="AF329" s="223" t="s">
        <v>405</v>
      </c>
      <c r="AH329" s="232">
        <f t="shared" ca="1" si="120"/>
        <v>46120</v>
      </c>
      <c r="AI329" s="232" t="b">
        <f t="shared" si="121"/>
        <v>0</v>
      </c>
      <c r="AJ329" s="259">
        <f t="shared" ca="1" si="131"/>
        <v>-21</v>
      </c>
      <c r="AM329" s="223">
        <f t="shared" si="122"/>
        <v>12</v>
      </c>
      <c r="AN329" s="223">
        <f t="shared" si="123"/>
        <v>2026</v>
      </c>
      <c r="AU329" s="223">
        <f t="shared" si="124"/>
        <v>3</v>
      </c>
      <c r="AV329" s="223">
        <f t="shared" si="125"/>
        <v>2026</v>
      </c>
    </row>
    <row r="330" spans="4:48" ht="26.25" x14ac:dyDescent="0.4">
      <c r="D330" s="246" t="s">
        <v>536</v>
      </c>
      <c r="E330" s="252" t="s">
        <v>263</v>
      </c>
      <c r="F330" s="276">
        <v>1000</v>
      </c>
      <c r="G330" s="249" t="s">
        <v>4</v>
      </c>
      <c r="H330" s="250">
        <v>2.69</v>
      </c>
      <c r="I330" s="251">
        <v>46079</v>
      </c>
      <c r="J330" s="252" t="s">
        <v>19</v>
      </c>
      <c r="K330" s="252"/>
      <c r="L330" s="253">
        <v>7.0000000000000007E-2</v>
      </c>
      <c r="M330" s="254">
        <f ca="1">IF(ISERROR(OFFSET(Tabella!$A$1,MATCH(J330,Tabella!$A:$A,0)-1,MATCH(L330,Tabella!$A$1:$AC$1,0)-1)=TRUE),0,+OFFSET(Tabella!$A$1,MATCH(J330,Tabella!$A:$A,0)-1,MATCH(L330,Tabella!$A$1:$AC$1,0)-1))</f>
        <v>1.35</v>
      </c>
      <c r="N330" s="255">
        <f ca="1">IF(ISERROR(OFFSET(Ottone!$A$1,MATCH(J330,Ottone!$A:$A,0)-1,MATCH(L330,Ottone!$A$1:$Z$1,0)-1)=TRUE),0,OFFSET(Ottone!$A$1,MATCH(J330,Ottone!$A:$A,0)-1,MATCH(L330,Ottone!$A$1:$Z$1,0)-1))*IF(G330="Ottone",1,0)</f>
        <v>0</v>
      </c>
      <c r="O330" s="255">
        <f ca="1">IF(ISERROR(OFFSET(Rame!$A$1,MATCH(J330,Rame!$A:$A,0)-1,MATCH(L330,Rame!$A$1:$AA$1,0)-1)=TRUE),0,OFFSET(Rame!$A$1,MATCH(J330,Rame!$A:$A,0)-1,MATCH(L330,Rame!$A$1:$AA$1,0)-1))*IF(G330="Rame",1,0)</f>
        <v>0</v>
      </c>
      <c r="P330" s="255">
        <v>0</v>
      </c>
      <c r="Q330" s="255">
        <f t="shared" ca="1" si="126"/>
        <v>1.35</v>
      </c>
      <c r="R330" s="255">
        <f ca="1">+IF(ISERROR(OFFSET(Tabella!$G$1,MATCH(J330,Tabella!$G:$G,0)-1,MATCH(K330,Tabella!$G$1:$FG$1,0)-1)=TRUE),0,OFFSET(Tabella!$G$1,MATCH(J330,Tabella!$G:$G,0)-1,MATCH(K330,Tabella!$G$1:$AB$1,0)-1))</f>
        <v>0</v>
      </c>
      <c r="S330" s="255">
        <f ca="1">IF(ISERROR(OFFSET(Ottone!$F$1,MATCH(J330,Ottone!$A:$A,0)-1,MATCH(K330,Ottone!$F$1:$FF$1,0)-1)=TRUE),0,OFFSET(Ottone!$F$1,MATCH(J330,Ottone!$A:$A,0)-1,MATCH(K330,Ottone!$F$1:$FF$1,0)-1))*IF(G330="Ottone",1,0)</f>
        <v>0</v>
      </c>
      <c r="T330" s="255">
        <f ca="1">IF(ISERROR(OFFSET(Rame!$F$1,MATCH(J330,Rame!$F:$F,0)-1,MATCH(K330,Rame!$F$1:$FF$1,0)-1)=TRUE),0,OFFSET(Rame!$F$1,MATCH(J330,Rame!$F:$F,0)-1,MATCH(K330,Rame!$F$1:$FF$1,0)-1))*IF(G330="Rame",1,0)</f>
        <v>0</v>
      </c>
      <c r="U330" s="255">
        <f ca="1">IF(ISERROR(OFFSET(Bronzo!$A$1,MATCH(J330,Bronzo!$A:$A,0)-1,MATCH(K330,Bronzo!$A$1:$AA$1,0)-1)=TRUE),0,OFFSET(Bronzo!$A$1,MATCH(J330,Bronzo!$A:$A,0)-1,MATCH(K330,Bronzo!$A$1:$AA$1,0)-1))</f>
        <v>0</v>
      </c>
      <c r="V330" s="255">
        <f t="shared" ca="1" si="127"/>
        <v>0</v>
      </c>
      <c r="W330" s="254"/>
      <c r="X330" s="255">
        <v>0</v>
      </c>
      <c r="Y330" s="256">
        <f t="shared" ca="1" si="128"/>
        <v>1.35</v>
      </c>
      <c r="Z330" s="257">
        <f t="shared" si="129"/>
        <v>70</v>
      </c>
      <c r="AA330" s="253">
        <v>4.26</v>
      </c>
      <c r="AB330" s="253">
        <f t="shared" ca="1" si="130"/>
        <v>0.21999999999999975</v>
      </c>
      <c r="AC330" s="258">
        <v>46122</v>
      </c>
      <c r="AH330" s="232">
        <f t="shared" ca="1" si="120"/>
        <v>46120</v>
      </c>
      <c r="AI330" s="232" t="b">
        <f t="shared" si="121"/>
        <v>0</v>
      </c>
      <c r="AJ330" s="259">
        <f t="shared" ca="1" si="131"/>
        <v>2</v>
      </c>
      <c r="AM330" s="223">
        <f t="shared" si="122"/>
        <v>15</v>
      </c>
      <c r="AN330" s="223">
        <f t="shared" si="123"/>
        <v>2026</v>
      </c>
      <c r="AU330" s="223">
        <f t="shared" si="124"/>
        <v>4</v>
      </c>
      <c r="AV330" s="223">
        <f t="shared" si="125"/>
        <v>2026</v>
      </c>
    </row>
    <row r="331" spans="4:48" ht="26.25" x14ac:dyDescent="0.4">
      <c r="D331" s="246" t="s">
        <v>758</v>
      </c>
      <c r="E331" s="292" t="s">
        <v>263</v>
      </c>
      <c r="F331" s="293">
        <v>2077</v>
      </c>
      <c r="G331" s="249" t="s">
        <v>4</v>
      </c>
      <c r="H331" s="250">
        <v>2.69</v>
      </c>
      <c r="I331" s="251">
        <v>46079</v>
      </c>
      <c r="J331" s="252" t="s">
        <v>243</v>
      </c>
      <c r="K331" s="252"/>
      <c r="L331" s="253">
        <v>7.0000000000000007E-2</v>
      </c>
      <c r="M331" s="254">
        <f ca="1">IF(ISERROR(OFFSET(Tabella!$A$1,MATCH(J331,Tabella!$A:$A,0)-1,MATCH(L331,Tabella!$A$1:$AC$1,0)-1)=TRUE),0,+OFFSET(Tabella!$A$1,MATCH(J331,Tabella!$A:$A,0)-1,MATCH(L331,Tabella!$A$1:$AC$1,0)-1))</f>
        <v>1.4</v>
      </c>
      <c r="N331" s="255">
        <f ca="1">IF(ISERROR(OFFSET(Ottone!$A$1,MATCH(J331,Ottone!$A:$A,0)-1,MATCH(L331,Ottone!$A$1:$Z$1,0)-1)=TRUE),0,OFFSET(Ottone!$A$1,MATCH(J331,Ottone!$A:$A,0)-1,MATCH(L331,Ottone!$A$1:$Z$1,0)-1))*IF(G331="Ottone",1,0)</f>
        <v>0</v>
      </c>
      <c r="O331" s="255">
        <f ca="1">IF(ISERROR(OFFSET(Rame!$A$1,MATCH(J331,Rame!$A:$A,0)-1,MATCH(L331,Rame!$A$1:$AA$1,0)-1)=TRUE),0,OFFSET(Rame!$A$1,MATCH(J331,Rame!$A:$A,0)-1,MATCH(L331,Rame!$A$1:$AA$1,0)-1))*IF(G331="Rame",1,0)</f>
        <v>0</v>
      </c>
      <c r="P331" s="255">
        <v>0</v>
      </c>
      <c r="Q331" s="255">
        <f t="shared" ca="1" si="126"/>
        <v>1.4</v>
      </c>
      <c r="R331" s="255">
        <f ca="1">+IF(ISERROR(OFFSET(Tabella!$G$1,MATCH(J331,Tabella!$G:$G,0)-1,MATCH(K331,Tabella!$G$1:$FG$1,0)-1)=TRUE),0,OFFSET(Tabella!$G$1,MATCH(J331,Tabella!$G:$G,0)-1,MATCH(K331,Tabella!$G$1:$AB$1,0)-1))</f>
        <v>0</v>
      </c>
      <c r="S331" s="255">
        <f ca="1">IF(ISERROR(OFFSET(Ottone!$F$1,MATCH(J331,Ottone!$A:$A,0)-1,MATCH(K331,Ottone!$F$1:$FF$1,0)-1)=TRUE),0,OFFSET(Ottone!$F$1,MATCH(J331,Ottone!$A:$A,0)-1,MATCH(K331,Ottone!$F$1:$FF$1,0)-1))*IF(G331="Ottone",1,0)</f>
        <v>0</v>
      </c>
      <c r="T331" s="255">
        <f ca="1">IF(ISERROR(OFFSET(Rame!$F$1,MATCH(J331,Rame!$F:$F,0)-1,MATCH(K331,Rame!$F$1:$FF$1,0)-1)=TRUE),0,OFFSET(Rame!$F$1,MATCH(J331,Rame!$F:$F,0)-1,MATCH(K331,Rame!$F$1:$FF$1,0)-1))*IF(G331="Rame",1,0)</f>
        <v>0</v>
      </c>
      <c r="U331" s="255">
        <f ca="1">IF(ISERROR(OFFSET(Bronzo!$A$1,MATCH(J331,Bronzo!$A:$A,0)-1,MATCH(K331,Bronzo!$A$1:$AA$1,0)-1)=TRUE),0,OFFSET(Bronzo!$A$1,MATCH(J331,Bronzo!$A:$A,0)-1,MATCH(K331,Bronzo!$A$1:$AA$1,0)-1))</f>
        <v>0</v>
      </c>
      <c r="V331" s="255">
        <f t="shared" ca="1" si="127"/>
        <v>0</v>
      </c>
      <c r="W331" s="254"/>
      <c r="X331" s="255">
        <v>0</v>
      </c>
      <c r="Y331" s="256">
        <f t="shared" ca="1" si="128"/>
        <v>1.4</v>
      </c>
      <c r="Z331" s="291">
        <f t="shared" si="129"/>
        <v>145.39000000000001</v>
      </c>
      <c r="AA331" s="253">
        <v>4.26</v>
      </c>
      <c r="AB331" s="253">
        <f t="shared" ca="1" si="130"/>
        <v>0.16999999999999993</v>
      </c>
      <c r="AC331" s="258"/>
      <c r="AH331" s="232">
        <f t="shared" ca="1" si="120"/>
        <v>46120</v>
      </c>
      <c r="AI331" s="232" t="b">
        <f t="shared" si="121"/>
        <v>1</v>
      </c>
      <c r="AJ331" s="259" t="str">
        <f t="shared" si="131"/>
        <v/>
      </c>
      <c r="AM331" s="223">
        <f t="shared" si="122"/>
        <v>0</v>
      </c>
      <c r="AN331" s="223">
        <f t="shared" si="123"/>
        <v>1900</v>
      </c>
      <c r="AU331" s="223">
        <f t="shared" si="124"/>
        <v>0</v>
      </c>
      <c r="AV331" s="223">
        <f t="shared" si="125"/>
        <v>0</v>
      </c>
    </row>
    <row r="332" spans="4:48" ht="26.25" x14ac:dyDescent="0.4">
      <c r="D332" s="246" t="s">
        <v>628</v>
      </c>
      <c r="E332" s="292" t="s">
        <v>263</v>
      </c>
      <c r="F332" s="293">
        <v>701</v>
      </c>
      <c r="G332" s="249" t="s">
        <v>4</v>
      </c>
      <c r="H332" s="250">
        <v>2.39</v>
      </c>
      <c r="I332" s="251">
        <v>46079</v>
      </c>
      <c r="J332" s="252" t="s">
        <v>25</v>
      </c>
      <c r="K332" s="252"/>
      <c r="L332" s="253">
        <v>7.0000000000000007E-2</v>
      </c>
      <c r="M332" s="254">
        <f ca="1">IF(ISERROR(OFFSET(Tabella!$A$1,MATCH(J332,Tabella!$A:$A,0)-1,MATCH(L332,Tabella!$A$1:$AC$1,0)-1)=TRUE),0,+OFFSET(Tabella!$A$1,MATCH(J332,Tabella!$A:$A,0)-1,MATCH(L332,Tabella!$A$1:$AC$1,0)-1))</f>
        <v>1.25</v>
      </c>
      <c r="N332" s="255">
        <f ca="1">IF(ISERROR(OFFSET(Ottone!$A$1,MATCH(J332,Ottone!$A:$A,0)-1,MATCH(L332,Ottone!$A$1:$Z$1,0)-1)=TRUE),0,OFFSET(Ottone!$A$1,MATCH(J332,Ottone!$A:$A,0)-1,MATCH(L332,Ottone!$A$1:$Z$1,0)-1))*IF(G332="Ottone",1,0)</f>
        <v>0</v>
      </c>
      <c r="O332" s="255">
        <f ca="1">IF(ISERROR(OFFSET(Rame!$A$1,MATCH(J332,Rame!$A:$A,0)-1,MATCH(L332,Rame!$A$1:$AA$1,0)-1)=TRUE),0,OFFSET(Rame!$A$1,MATCH(J332,Rame!$A:$A,0)-1,MATCH(L332,Rame!$A$1:$AA$1,0)-1))*IF(G332="Rame",1,0)</f>
        <v>0</v>
      </c>
      <c r="P332" s="255">
        <v>0</v>
      </c>
      <c r="Q332" s="255">
        <f t="shared" ca="1" si="126"/>
        <v>1.25</v>
      </c>
      <c r="R332" s="255">
        <f ca="1">+IF(ISERROR(OFFSET(Tabella!$G$1,MATCH(J332,Tabella!$G:$G,0)-1,MATCH(K332,Tabella!$G$1:$FG$1,0)-1)=TRUE),0,OFFSET(Tabella!$G$1,MATCH(J332,Tabella!$G:$G,0)-1,MATCH(K332,Tabella!$G$1:$AB$1,0)-1))</f>
        <v>0</v>
      </c>
      <c r="S332" s="255">
        <f ca="1">IF(ISERROR(OFFSET(Ottone!$F$1,MATCH(J332,Ottone!$A:$A,0)-1,MATCH(K332,Ottone!$F$1:$FF$1,0)-1)=TRUE),0,OFFSET(Ottone!$F$1,MATCH(J332,Ottone!$A:$A,0)-1,MATCH(K332,Ottone!$F$1:$FF$1,0)-1))*IF(G332="Ottone",1,0)</f>
        <v>0</v>
      </c>
      <c r="T332" s="255">
        <f ca="1">IF(ISERROR(OFFSET(Rame!$F$1,MATCH(J332,Rame!$F:$F,0)-1,MATCH(K332,Rame!$F$1:$FF$1,0)-1)=TRUE),0,OFFSET(Rame!$F$1,MATCH(J332,Rame!$F:$F,0)-1,MATCH(K332,Rame!$F$1:$FF$1,0)-1))*IF(G332="Rame",1,0)</f>
        <v>0</v>
      </c>
      <c r="U332" s="255">
        <f ca="1">IF(ISERROR(OFFSET(Bronzo!$A$1,MATCH(J332,Bronzo!$A:$A,0)-1,MATCH(K332,Bronzo!$A$1:$AA$1,0)-1)=TRUE),0,OFFSET(Bronzo!$A$1,MATCH(J332,Bronzo!$A:$A,0)-1,MATCH(K332,Bronzo!$A$1:$AA$1,0)-1))</f>
        <v>0</v>
      </c>
      <c r="V332" s="255">
        <f t="shared" ca="1" si="127"/>
        <v>0</v>
      </c>
      <c r="W332" s="254"/>
      <c r="X332" s="255">
        <v>0</v>
      </c>
      <c r="Y332" s="256">
        <f t="shared" ca="1" si="128"/>
        <v>1.25</v>
      </c>
      <c r="Z332" s="291">
        <f t="shared" si="129"/>
        <v>49.070000000000007</v>
      </c>
      <c r="AA332" s="253">
        <v>4.26</v>
      </c>
      <c r="AB332" s="253">
        <f t="shared" ca="1" si="130"/>
        <v>0.61999999999999966</v>
      </c>
      <c r="AC332" s="258"/>
      <c r="AH332" s="232">
        <f t="shared" ca="1" si="120"/>
        <v>46120</v>
      </c>
      <c r="AI332" s="232" t="b">
        <f t="shared" si="121"/>
        <v>1</v>
      </c>
      <c r="AJ332" s="259" t="str">
        <f t="shared" si="131"/>
        <v/>
      </c>
      <c r="AM332" s="223">
        <f t="shared" si="122"/>
        <v>0</v>
      </c>
      <c r="AN332" s="223">
        <f t="shared" si="123"/>
        <v>1900</v>
      </c>
      <c r="AU332" s="223">
        <f t="shared" si="124"/>
        <v>0</v>
      </c>
      <c r="AV332" s="223">
        <f t="shared" si="125"/>
        <v>0</v>
      </c>
    </row>
    <row r="333" spans="4:48" ht="26.25" x14ac:dyDescent="0.4">
      <c r="D333" s="246" t="s">
        <v>764</v>
      </c>
      <c r="E333" s="292" t="s">
        <v>263</v>
      </c>
      <c r="F333" s="293">
        <v>958</v>
      </c>
      <c r="G333" s="249" t="s">
        <v>4</v>
      </c>
      <c r="H333" s="250">
        <v>2.69</v>
      </c>
      <c r="I333" s="251">
        <v>46079</v>
      </c>
      <c r="J333" s="252" t="s">
        <v>9</v>
      </c>
      <c r="K333" s="252"/>
      <c r="L333" s="253">
        <v>7.0000000000000007E-2</v>
      </c>
      <c r="M333" s="254">
        <f ca="1">IF(ISERROR(OFFSET(Tabella!$A$1,MATCH(J333,Tabella!$A:$A,0)-1,MATCH(L333,Tabella!$A$1:$AC$1,0)-1)=TRUE),0,+OFFSET(Tabella!$A$1,MATCH(J333,Tabella!$A:$A,0)-1,MATCH(L333,Tabella!$A$1:$AC$1,0)-1))</f>
        <v>1.6</v>
      </c>
      <c r="N333" s="255">
        <f ca="1">IF(ISERROR(OFFSET(Ottone!$A$1,MATCH(J333,Ottone!$A:$A,0)-1,MATCH(L333,Ottone!$A$1:$Z$1,0)-1)=TRUE),0,OFFSET(Ottone!$A$1,MATCH(J333,Ottone!$A:$A,0)-1,MATCH(L333,Ottone!$A$1:$Z$1,0)-1))*IF(G333="Ottone",1,0)</f>
        <v>0</v>
      </c>
      <c r="O333" s="255">
        <f ca="1">IF(ISERROR(OFFSET(Rame!$A$1,MATCH(J333,Rame!$A:$A,0)-1,MATCH(L333,Rame!$A$1:$AA$1,0)-1)=TRUE),0,OFFSET(Rame!$A$1,MATCH(J333,Rame!$A:$A,0)-1,MATCH(L333,Rame!$A$1:$AA$1,0)-1))*IF(G333="Rame",1,0)</f>
        <v>0</v>
      </c>
      <c r="P333" s="255">
        <v>0</v>
      </c>
      <c r="Q333" s="255">
        <f t="shared" ca="1" si="126"/>
        <v>1.6</v>
      </c>
      <c r="R333" s="255">
        <f ca="1">+IF(ISERROR(OFFSET(Tabella!$G$1,MATCH(J333,Tabella!$G:$G,0)-1,MATCH(K333,Tabella!$G$1:$FG$1,0)-1)=TRUE),0,OFFSET(Tabella!$G$1,MATCH(J333,Tabella!$G:$G,0)-1,MATCH(K333,Tabella!$G$1:$AB$1,0)-1))</f>
        <v>0</v>
      </c>
      <c r="S333" s="255">
        <f ca="1">IF(ISERROR(OFFSET(Ottone!$F$1,MATCH(J333,Ottone!$A:$A,0)-1,MATCH(K333,Ottone!$F$1:$FF$1,0)-1)=TRUE),0,OFFSET(Ottone!$F$1,MATCH(J333,Ottone!$A:$A,0)-1,MATCH(K333,Ottone!$F$1:$FF$1,0)-1))*IF(G333="Ottone",1,0)</f>
        <v>0</v>
      </c>
      <c r="T333" s="255">
        <f ca="1">IF(ISERROR(OFFSET(Rame!$F$1,MATCH(J333,Rame!$F:$F,0)-1,MATCH(K333,Rame!$F$1:$FF$1,0)-1)=TRUE),0,OFFSET(Rame!$F$1,MATCH(J333,Rame!$F:$F,0)-1,MATCH(K333,Rame!$F$1:$FF$1,0)-1))*IF(G333="Rame",1,0)</f>
        <v>0</v>
      </c>
      <c r="U333" s="255">
        <f ca="1">IF(ISERROR(OFFSET(Bronzo!$A$1,MATCH(J333,Bronzo!$A:$A,0)-1,MATCH(K333,Bronzo!$A$1:$AA$1,0)-1)=TRUE),0,OFFSET(Bronzo!$A$1,MATCH(J333,Bronzo!$A:$A,0)-1,MATCH(K333,Bronzo!$A$1:$AA$1,0)-1))</f>
        <v>0</v>
      </c>
      <c r="V333" s="255">
        <f t="shared" ca="1" si="127"/>
        <v>0</v>
      </c>
      <c r="W333" s="254"/>
      <c r="X333" s="255">
        <v>0</v>
      </c>
      <c r="Y333" s="256">
        <f t="shared" ca="1" si="128"/>
        <v>1.6</v>
      </c>
      <c r="Z333" s="291">
        <f t="shared" si="129"/>
        <v>67.06</v>
      </c>
      <c r="AA333" s="253">
        <v>4.5599999999999996</v>
      </c>
      <c r="AB333" s="253">
        <f t="shared" ca="1" si="130"/>
        <v>0.26999999999999957</v>
      </c>
      <c r="AC333" s="258"/>
      <c r="AH333" s="232">
        <f t="shared" ca="1" si="120"/>
        <v>46120</v>
      </c>
      <c r="AI333" s="232" t="b">
        <f t="shared" si="121"/>
        <v>1</v>
      </c>
      <c r="AJ333" s="259" t="str">
        <f t="shared" si="131"/>
        <v/>
      </c>
      <c r="AM333" s="223">
        <f t="shared" si="122"/>
        <v>0</v>
      </c>
      <c r="AN333" s="223">
        <f t="shared" si="123"/>
        <v>1900</v>
      </c>
      <c r="AU333" s="223">
        <f t="shared" si="124"/>
        <v>0</v>
      </c>
      <c r="AV333" s="223">
        <f t="shared" si="125"/>
        <v>0</v>
      </c>
    </row>
    <row r="334" spans="4:48" ht="26.25" x14ac:dyDescent="0.4">
      <c r="D334" s="246" t="s">
        <v>757</v>
      </c>
      <c r="E334" s="292" t="s">
        <v>263</v>
      </c>
      <c r="F334" s="293">
        <v>1037</v>
      </c>
      <c r="G334" s="249" t="s">
        <v>4</v>
      </c>
      <c r="H334" s="250">
        <v>2.69</v>
      </c>
      <c r="I334" s="251">
        <v>46079</v>
      </c>
      <c r="J334" s="252" t="s">
        <v>15</v>
      </c>
      <c r="K334" s="252"/>
      <c r="L334" s="253">
        <v>7.0000000000000007E-2</v>
      </c>
      <c r="M334" s="254">
        <f ca="1">IF(ISERROR(OFFSET(Tabella!$A$1,MATCH(J334,Tabella!$A:$A,0)-1,MATCH(L334,Tabella!$A$1:$AC$1,0)-1)=TRUE),0,+OFFSET(Tabella!$A$1,MATCH(J334,Tabella!$A:$A,0)-1,MATCH(L334,Tabella!$A$1:$AC$1,0)-1))</f>
        <v>1.4</v>
      </c>
      <c r="N334" s="255">
        <f ca="1">IF(ISERROR(OFFSET(Ottone!$A$1,MATCH(J334,Ottone!$A:$A,0)-1,MATCH(L334,Ottone!$A$1:$Z$1,0)-1)=TRUE),0,OFFSET(Ottone!$A$1,MATCH(J334,Ottone!$A:$A,0)-1,MATCH(L334,Ottone!$A$1:$Z$1,0)-1))*IF(G334="Ottone",1,0)</f>
        <v>0</v>
      </c>
      <c r="O334" s="255">
        <f ca="1">IF(ISERROR(OFFSET(Rame!$A$1,MATCH(J334,Rame!$A:$A,0)-1,MATCH(L334,Rame!$A$1:$AA$1,0)-1)=TRUE),0,OFFSET(Rame!$A$1,MATCH(J334,Rame!$A:$A,0)-1,MATCH(L334,Rame!$A$1:$AA$1,0)-1))*IF(G334="Rame",1,0)</f>
        <v>0</v>
      </c>
      <c r="P334" s="255">
        <v>0</v>
      </c>
      <c r="Q334" s="255">
        <f t="shared" ca="1" si="126"/>
        <v>1.4</v>
      </c>
      <c r="R334" s="255">
        <f ca="1">+IF(ISERROR(OFFSET(Tabella!$G$1,MATCH(J334,Tabella!$G:$G,0)-1,MATCH(K334,Tabella!$G$1:$FG$1,0)-1)=TRUE),0,OFFSET(Tabella!$G$1,MATCH(J334,Tabella!$G:$G,0)-1,MATCH(K334,Tabella!$G$1:$AB$1,0)-1))</f>
        <v>0</v>
      </c>
      <c r="S334" s="255">
        <f ca="1">IF(ISERROR(OFFSET(Ottone!$F$1,MATCH(J334,Ottone!$A:$A,0)-1,MATCH(K334,Ottone!$F$1:$FF$1,0)-1)=TRUE),0,OFFSET(Ottone!$F$1,MATCH(J334,Ottone!$A:$A,0)-1,MATCH(K334,Ottone!$F$1:$FF$1,0)-1))*IF(G334="Ottone",1,0)</f>
        <v>0</v>
      </c>
      <c r="T334" s="255">
        <f ca="1">IF(ISERROR(OFFSET(Rame!$F$1,MATCH(J334,Rame!$F:$F,0)-1,MATCH(K334,Rame!$F$1:$FF$1,0)-1)=TRUE),0,OFFSET(Rame!$F$1,MATCH(J334,Rame!$F:$F,0)-1,MATCH(K334,Rame!$F$1:$FF$1,0)-1))*IF(G334="Rame",1,0)</f>
        <v>0</v>
      </c>
      <c r="U334" s="255">
        <f ca="1">IF(ISERROR(OFFSET(Bronzo!$A$1,MATCH(J334,Bronzo!$A:$A,0)-1,MATCH(K334,Bronzo!$A$1:$AA$1,0)-1)=TRUE),0,OFFSET(Bronzo!$A$1,MATCH(J334,Bronzo!$A:$A,0)-1,MATCH(K334,Bronzo!$A$1:$AA$1,0)-1))</f>
        <v>0</v>
      </c>
      <c r="V334" s="255">
        <f t="shared" ca="1" si="127"/>
        <v>0</v>
      </c>
      <c r="W334" s="254"/>
      <c r="X334" s="255">
        <v>0</v>
      </c>
      <c r="Y334" s="256">
        <f t="shared" ca="1" si="128"/>
        <v>1.4</v>
      </c>
      <c r="Z334" s="291">
        <f t="shared" si="129"/>
        <v>72.59</v>
      </c>
      <c r="AA334" s="253">
        <v>4.41</v>
      </c>
      <c r="AB334" s="253">
        <f t="shared" ca="1" si="130"/>
        <v>0.32000000000000028</v>
      </c>
      <c r="AC334" s="258"/>
      <c r="AH334" s="232">
        <f t="shared" ca="1" si="120"/>
        <v>46120</v>
      </c>
      <c r="AI334" s="232" t="b">
        <f t="shared" si="121"/>
        <v>1</v>
      </c>
      <c r="AJ334" s="259" t="str">
        <f t="shared" si="131"/>
        <v/>
      </c>
      <c r="AM334" s="223">
        <f t="shared" si="122"/>
        <v>0</v>
      </c>
      <c r="AN334" s="223">
        <f t="shared" si="123"/>
        <v>1900</v>
      </c>
      <c r="AU334" s="223">
        <f t="shared" si="124"/>
        <v>0</v>
      </c>
      <c r="AV334" s="223">
        <f t="shared" si="125"/>
        <v>0</v>
      </c>
    </row>
    <row r="335" spans="4:48" ht="26.25" x14ac:dyDescent="0.4">
      <c r="D335" s="246" t="s">
        <v>535</v>
      </c>
      <c r="E335" s="252" t="s">
        <v>263</v>
      </c>
      <c r="F335" s="276">
        <v>1500</v>
      </c>
      <c r="G335" s="249" t="s">
        <v>4</v>
      </c>
      <c r="H335" s="250">
        <v>2.69</v>
      </c>
      <c r="I335" s="251">
        <v>46079</v>
      </c>
      <c r="J335" s="252" t="s">
        <v>243</v>
      </c>
      <c r="K335" s="252"/>
      <c r="L335" s="253">
        <v>7.0000000000000007E-2</v>
      </c>
      <c r="M335" s="254">
        <f ca="1">IF(ISERROR(OFFSET(Tabella!$A$1,MATCH(J335,Tabella!$A:$A,0)-1,MATCH(L335,Tabella!$A$1:$AC$1,0)-1)=TRUE),0,+OFFSET(Tabella!$A$1,MATCH(J335,Tabella!$A:$A,0)-1,MATCH(L335,Tabella!$A$1:$AC$1,0)-1))</f>
        <v>1.4</v>
      </c>
      <c r="N335" s="255">
        <f ca="1">IF(ISERROR(OFFSET(Ottone!$A$1,MATCH(J335,Ottone!$A:$A,0)-1,MATCH(L335,Ottone!$A$1:$Z$1,0)-1)=TRUE),0,OFFSET(Ottone!$A$1,MATCH(J335,Ottone!$A:$A,0)-1,MATCH(L335,Ottone!$A$1:$Z$1,0)-1))*IF(G335="Ottone",1,0)</f>
        <v>0</v>
      </c>
      <c r="O335" s="255">
        <f ca="1">IF(ISERROR(OFFSET(Rame!$A$1,MATCH(J335,Rame!$A:$A,0)-1,MATCH(L335,Rame!$A$1:$AA$1,0)-1)=TRUE),0,OFFSET(Rame!$A$1,MATCH(J335,Rame!$A:$A,0)-1,MATCH(L335,Rame!$A$1:$AA$1,0)-1))*IF(G335="Rame",1,0)</f>
        <v>0</v>
      </c>
      <c r="P335" s="255">
        <v>0</v>
      </c>
      <c r="Q335" s="255">
        <f t="shared" ca="1" si="126"/>
        <v>1.4</v>
      </c>
      <c r="R335" s="255">
        <f ca="1">+IF(ISERROR(OFFSET(Tabella!$G$1,MATCH(J335,Tabella!$G:$G,0)-1,MATCH(K335,Tabella!$G$1:$FG$1,0)-1)=TRUE),0,OFFSET(Tabella!$G$1,MATCH(J335,Tabella!$G:$G,0)-1,MATCH(K335,Tabella!$G$1:$AB$1,0)-1))</f>
        <v>0</v>
      </c>
      <c r="S335" s="255">
        <f ca="1">IF(ISERROR(OFFSET(Ottone!$F$1,MATCH(J335,Ottone!$A:$A,0)-1,MATCH(K335,Ottone!$F$1:$FF$1,0)-1)=TRUE),0,OFFSET(Ottone!$F$1,MATCH(J335,Ottone!$A:$A,0)-1,MATCH(K335,Ottone!$F$1:$FF$1,0)-1))*IF(G335="Ottone",1,0)</f>
        <v>0</v>
      </c>
      <c r="T335" s="255">
        <f ca="1">IF(ISERROR(OFFSET(Rame!$F$1,MATCH(J335,Rame!$F:$F,0)-1,MATCH(K335,Rame!$F$1:$FF$1,0)-1)=TRUE),0,OFFSET(Rame!$F$1,MATCH(J335,Rame!$F:$F,0)-1,MATCH(K335,Rame!$F$1:$FF$1,0)-1))*IF(G335="Rame",1,0)</f>
        <v>0</v>
      </c>
      <c r="U335" s="255">
        <f ca="1">IF(ISERROR(OFFSET(Bronzo!$A$1,MATCH(J335,Bronzo!$A:$A,0)-1,MATCH(K335,Bronzo!$A$1:$AA$1,0)-1)=TRUE),0,OFFSET(Bronzo!$A$1,MATCH(J335,Bronzo!$A:$A,0)-1,MATCH(K335,Bronzo!$A$1:$AA$1,0)-1))</f>
        <v>0</v>
      </c>
      <c r="V335" s="255">
        <f t="shared" ca="1" si="127"/>
        <v>0</v>
      </c>
      <c r="W335" s="254"/>
      <c r="X335" s="255">
        <v>0</v>
      </c>
      <c r="Y335" s="256">
        <f t="shared" ca="1" si="128"/>
        <v>1.4</v>
      </c>
      <c r="Z335" s="257">
        <f t="shared" si="129"/>
        <v>105.00000000000001</v>
      </c>
      <c r="AA335" s="253">
        <v>4.3600000000000003</v>
      </c>
      <c r="AB335" s="253">
        <f t="shared" ca="1" si="130"/>
        <v>0.27000000000000046</v>
      </c>
      <c r="AC335" s="258">
        <v>46122</v>
      </c>
      <c r="AH335" s="232">
        <f t="shared" ca="1" si="120"/>
        <v>46120</v>
      </c>
      <c r="AI335" s="232" t="b">
        <f t="shared" si="121"/>
        <v>0</v>
      </c>
      <c r="AJ335" s="259">
        <f t="shared" ca="1" si="131"/>
        <v>2</v>
      </c>
      <c r="AM335" s="223">
        <f t="shared" si="122"/>
        <v>15</v>
      </c>
      <c r="AN335" s="223">
        <f t="shared" si="123"/>
        <v>2026</v>
      </c>
      <c r="AU335" s="223">
        <f t="shared" si="124"/>
        <v>4</v>
      </c>
      <c r="AV335" s="223">
        <f t="shared" si="125"/>
        <v>2026</v>
      </c>
    </row>
    <row r="336" spans="4:48" ht="26.25" x14ac:dyDescent="0.4">
      <c r="D336" s="246" t="s">
        <v>696</v>
      </c>
      <c r="E336" s="262" t="s">
        <v>422</v>
      </c>
      <c r="F336" s="263">
        <v>2432</v>
      </c>
      <c r="G336" s="249" t="s">
        <v>4</v>
      </c>
      <c r="H336" s="250">
        <v>2.58</v>
      </c>
      <c r="I336" s="251">
        <v>46071</v>
      </c>
      <c r="J336" s="252" t="s">
        <v>307</v>
      </c>
      <c r="K336" s="252"/>
      <c r="L336" s="253">
        <v>7.0000000000000007E-2</v>
      </c>
      <c r="M336" s="254"/>
      <c r="N336" s="255"/>
      <c r="O336" s="255"/>
      <c r="P336" s="255"/>
      <c r="Q336" s="255">
        <v>1.5</v>
      </c>
      <c r="R336" s="255"/>
      <c r="S336" s="255"/>
      <c r="T336" s="255"/>
      <c r="U336" s="255"/>
      <c r="V336" s="255"/>
      <c r="W336" s="254"/>
      <c r="X336" s="255"/>
      <c r="Y336" s="256">
        <f t="shared" si="128"/>
        <v>1.5</v>
      </c>
      <c r="Z336" s="269">
        <f t="shared" si="129"/>
        <v>170.24</v>
      </c>
      <c r="AA336" s="253">
        <v>4.08</v>
      </c>
      <c r="AB336" s="253">
        <f t="shared" si="130"/>
        <v>0</v>
      </c>
      <c r="AC336" s="258"/>
      <c r="AF336" s="223" t="s">
        <v>405</v>
      </c>
      <c r="AJ336" s="259"/>
    </row>
    <row r="337" spans="4:48" ht="26.25" x14ac:dyDescent="0.4">
      <c r="D337" s="246" t="s">
        <v>695</v>
      </c>
      <c r="E337" s="262" t="s">
        <v>422</v>
      </c>
      <c r="F337" s="263">
        <v>695</v>
      </c>
      <c r="G337" s="249" t="s">
        <v>4</v>
      </c>
      <c r="H337" s="250">
        <v>2.69</v>
      </c>
      <c r="I337" s="251">
        <v>46079</v>
      </c>
      <c r="J337" s="252" t="s">
        <v>23</v>
      </c>
      <c r="K337" s="252"/>
      <c r="L337" s="253">
        <v>7.0000000000000007E-2</v>
      </c>
      <c r="M337" s="254">
        <f ca="1">IF(ISERROR(OFFSET(Tabella!$A$1,MATCH(J337,Tabella!$A:$A,0)-1,MATCH(L337,Tabella!$A$1:$AC$1,0)-1)=TRUE),0,+OFFSET(Tabella!$A$1,MATCH(J337,Tabella!$A:$A,0)-1,MATCH(L337,Tabella!$A$1:$AC$1,0)-1))</f>
        <v>1.25</v>
      </c>
      <c r="N337" s="255">
        <f ca="1">IF(ISERROR(OFFSET(Ottone!$A$1,MATCH(J337,Ottone!$A:$A,0)-1,MATCH(L337,Ottone!$A$1:$Z$1,0)-1)=TRUE),0,OFFSET(Ottone!$A$1,MATCH(J337,Ottone!$A:$A,0)-1,MATCH(L337,Ottone!$A$1:$Z$1,0)-1))*IF(G337="Ottone",1,0)</f>
        <v>0</v>
      </c>
      <c r="O337" s="255">
        <f ca="1">IF(ISERROR(OFFSET(Rame!$A$1,MATCH(J337,Rame!$A:$A,0)-1,MATCH(L337,Rame!$A$1:$AA$1,0)-1)=TRUE),0,OFFSET(Rame!$A$1,MATCH(J337,Rame!$A:$A,0)-1,MATCH(L337,Rame!$A$1:$AA$1,0)-1))*IF(G337="Rame",1,0)</f>
        <v>0</v>
      </c>
      <c r="P337" s="255">
        <v>0</v>
      </c>
      <c r="Q337" s="255">
        <f t="shared" ca="1" si="126"/>
        <v>1.25</v>
      </c>
      <c r="R337" s="255">
        <f ca="1">+IF(ISERROR(OFFSET(Tabella!$G$1,MATCH(J337,Tabella!$G:$G,0)-1,MATCH(K337,Tabella!$G$1:$FG$1,0)-1)=TRUE),0,OFFSET(Tabella!$G$1,MATCH(J337,Tabella!$G:$G,0)-1,MATCH(K337,Tabella!$G$1:$AB$1,0)-1))</f>
        <v>0</v>
      </c>
      <c r="S337" s="255">
        <f ca="1">IF(ISERROR(OFFSET(Ottone!$F$1,MATCH(J337,Ottone!$A:$A,0)-1,MATCH(K337,Ottone!$F$1:$FF$1,0)-1)=TRUE),0,OFFSET(Ottone!$F$1,MATCH(J337,Ottone!$A:$A,0)-1,MATCH(K337,Ottone!$F$1:$FF$1,0)-1))*IF(G337="Ottone",1,0)</f>
        <v>0</v>
      </c>
      <c r="T337" s="255">
        <f ca="1">IF(ISERROR(OFFSET(Rame!$F$1,MATCH(J337,Rame!$F:$F,0)-1,MATCH(K337,Rame!$F$1:$FF$1,0)-1)=TRUE),0,OFFSET(Rame!$F$1,MATCH(J337,Rame!$F:$F,0)-1,MATCH(K337,Rame!$F$1:$FF$1,0)-1))*IF(G337="Rame",1,0)</f>
        <v>0</v>
      </c>
      <c r="U337" s="255">
        <f ca="1">IF(ISERROR(OFFSET(Bronzo!$A$1,MATCH(J337,Bronzo!$A:$A,0)-1,MATCH(K337,Bronzo!$A$1:$AA$1,0)-1)=TRUE),0,OFFSET(Bronzo!$A$1,MATCH(J337,Bronzo!$A:$A,0)-1,MATCH(K337,Bronzo!$A$1:$AA$1,0)-1))</f>
        <v>0</v>
      </c>
      <c r="V337" s="255">
        <f t="shared" ca="1" si="127"/>
        <v>0</v>
      </c>
      <c r="W337" s="254"/>
      <c r="X337" s="255">
        <v>0</v>
      </c>
      <c r="Y337" s="256">
        <f t="shared" ca="1" si="128"/>
        <v>1.25</v>
      </c>
      <c r="Z337" s="269">
        <f t="shared" si="129"/>
        <v>48.650000000000006</v>
      </c>
      <c r="AA337" s="253">
        <v>4.16</v>
      </c>
      <c r="AB337" s="253">
        <f t="shared" ca="1" si="130"/>
        <v>0.2200000000000002</v>
      </c>
      <c r="AC337" s="258"/>
      <c r="AF337" s="223" t="s">
        <v>405</v>
      </c>
      <c r="AH337" s="232">
        <f t="shared" ca="1" si="120"/>
        <v>46120</v>
      </c>
      <c r="AI337" s="232" t="b">
        <f t="shared" ref="AI337:AI400" si="132">ISBLANK(AC337)</f>
        <v>1</v>
      </c>
      <c r="AJ337" s="259" t="str">
        <f>IF(AI337=FALSE,_xlfn.DAYS(AC337,AH337),"")</f>
        <v/>
      </c>
      <c r="AM337" s="223">
        <f t="shared" ref="AM337:AM400" si="133">WEEKNUM(AC337)</f>
        <v>0</v>
      </c>
      <c r="AN337" s="223">
        <f t="shared" ref="AN337:AN400" si="134">YEAR(AC337)</f>
        <v>1900</v>
      </c>
      <c r="AU337" s="223">
        <f t="shared" ref="AU337:AU400" si="135">IF(AC337="",0,MONTH(AC337))</f>
        <v>0</v>
      </c>
      <c r="AV337" s="223">
        <f t="shared" ref="AV337:AV400" si="136">IF(AC337="",0,YEAR(AC337))</f>
        <v>0</v>
      </c>
    </row>
    <row r="338" spans="4:48" ht="26.25" x14ac:dyDescent="0.4">
      <c r="D338" s="246" t="s">
        <v>605</v>
      </c>
      <c r="E338" s="262" t="s">
        <v>114</v>
      </c>
      <c r="F338" s="263">
        <v>952</v>
      </c>
      <c r="G338" s="249" t="s">
        <v>4</v>
      </c>
      <c r="H338" s="250">
        <v>2.66</v>
      </c>
      <c r="I338" s="251">
        <v>46079</v>
      </c>
      <c r="J338" s="252" t="s">
        <v>13</v>
      </c>
      <c r="K338" s="252"/>
      <c r="L338" s="253">
        <v>7.0000000000000007E-2</v>
      </c>
      <c r="M338" s="254">
        <f ca="1">IF(ISERROR(OFFSET(Tabella!$A$1,MATCH(J338,Tabella!$A:$A,0)-1,MATCH(L338,Tabella!$A$1:$AC$1,0)-1)=TRUE),0,+OFFSET(Tabella!$A$1,MATCH(J338,Tabella!$A:$A,0)-1,MATCH(L338,Tabella!$A$1:$AC$1,0)-1))</f>
        <v>1.4</v>
      </c>
      <c r="N338" s="255">
        <f ca="1">IF(ISERROR(OFFSET(Ottone!$A$1,MATCH(J338,Ottone!$A:$A,0)-1,MATCH(L338,Ottone!$A$1:$Z$1,0)-1)=TRUE),0,OFFSET(Ottone!$A$1,MATCH(J338,Ottone!$A:$A,0)-1,MATCH(L338,Ottone!$A$1:$Z$1,0)-1))*IF(G338="Ottone",1,0)</f>
        <v>0</v>
      </c>
      <c r="O338" s="255">
        <f ca="1">IF(ISERROR(OFFSET(Rame!$A$1,MATCH(J338,Rame!$A:$A,0)-1,MATCH(L338,Rame!$A$1:$AA$1,0)-1)=TRUE),0,OFFSET(Rame!$A$1,MATCH(J338,Rame!$A:$A,0)-1,MATCH(L338,Rame!$A$1:$AA$1,0)-1))*IF(G338="Rame",1,0)</f>
        <v>0</v>
      </c>
      <c r="P338" s="255">
        <v>0</v>
      </c>
      <c r="Q338" s="255">
        <f t="shared" ca="1" si="126"/>
        <v>1.4</v>
      </c>
      <c r="R338" s="255">
        <f ca="1">+IF(ISERROR(OFFSET(Tabella!$G$1,MATCH(J338,Tabella!$G:$G,0)-1,MATCH(K338,Tabella!$G$1:$FG$1,0)-1)=TRUE),0,OFFSET(Tabella!$G$1,MATCH(J338,Tabella!$G:$G,0)-1,MATCH(K338,Tabella!$G$1:$AB$1,0)-1))</f>
        <v>0</v>
      </c>
      <c r="S338" s="255">
        <f ca="1">IF(ISERROR(OFFSET(Ottone!$F$1,MATCH(J338,Ottone!$A:$A,0)-1,MATCH(K338,Ottone!$F$1:$FF$1,0)-1)=TRUE),0,OFFSET(Ottone!$F$1,MATCH(J338,Ottone!$A:$A,0)-1,MATCH(K338,Ottone!$F$1:$FF$1,0)-1))*IF(G338="Ottone",1,0)</f>
        <v>0</v>
      </c>
      <c r="T338" s="255">
        <f ca="1">IF(ISERROR(OFFSET(Rame!$F$1,MATCH(J338,Rame!$F:$F,0)-1,MATCH(K338,Rame!$F$1:$FF$1,0)-1)=TRUE),0,OFFSET(Rame!$F$1,MATCH(J338,Rame!$F:$F,0)-1,MATCH(K338,Rame!$F$1:$FF$1,0)-1))*IF(G338="Rame",1,0)</f>
        <v>0</v>
      </c>
      <c r="U338" s="255">
        <f ca="1">IF(ISERROR(OFFSET(Bronzo!$A$1,MATCH(J338,Bronzo!$A:$A,0)-1,MATCH(K338,Bronzo!$A$1:$AA$1,0)-1)=TRUE),0,OFFSET(Bronzo!$A$1,MATCH(J338,Bronzo!$A:$A,0)-1,MATCH(K338,Bronzo!$A$1:$AA$1,0)-1))</f>
        <v>0</v>
      </c>
      <c r="V338" s="255">
        <f t="shared" ca="1" si="127"/>
        <v>0</v>
      </c>
      <c r="W338" s="254"/>
      <c r="X338" s="255">
        <v>0</v>
      </c>
      <c r="Y338" s="256">
        <f t="shared" ca="1" si="128"/>
        <v>1.4</v>
      </c>
      <c r="Z338" s="269">
        <f t="shared" si="129"/>
        <v>66.64</v>
      </c>
      <c r="AA338" s="253">
        <v>4.3</v>
      </c>
      <c r="AB338" s="253">
        <f t="shared" ca="1" si="130"/>
        <v>0.23999999999999977</v>
      </c>
      <c r="AC338" s="258"/>
      <c r="AF338" s="223" t="s">
        <v>405</v>
      </c>
      <c r="AH338" s="232">
        <f t="shared" ref="AH338:AH402" ca="1" si="137">TODAY()</f>
        <v>46120</v>
      </c>
      <c r="AI338" s="232" t="b">
        <f t="shared" si="132"/>
        <v>1</v>
      </c>
      <c r="AJ338" s="259" t="str">
        <f>IF(AI338=FALSE,_xlfn.DAYS(AC338,AH338),"")</f>
        <v/>
      </c>
      <c r="AM338" s="223">
        <f t="shared" si="133"/>
        <v>0</v>
      </c>
      <c r="AN338" s="223">
        <f t="shared" si="134"/>
        <v>1900</v>
      </c>
      <c r="AU338" s="223">
        <f t="shared" si="135"/>
        <v>0</v>
      </c>
      <c r="AV338" s="223">
        <f t="shared" si="136"/>
        <v>0</v>
      </c>
    </row>
    <row r="339" spans="4:48" ht="26.25" x14ac:dyDescent="0.4">
      <c r="D339" s="246" t="s">
        <v>605</v>
      </c>
      <c r="E339" s="262" t="s">
        <v>114</v>
      </c>
      <c r="F339" s="263">
        <v>985</v>
      </c>
      <c r="G339" s="249" t="s">
        <v>4</v>
      </c>
      <c r="H339" s="250">
        <v>2.66</v>
      </c>
      <c r="I339" s="251">
        <v>46079</v>
      </c>
      <c r="J339" s="252" t="s">
        <v>13</v>
      </c>
      <c r="K339" s="252"/>
      <c r="L339" s="253">
        <v>7.0000000000000007E-2</v>
      </c>
      <c r="M339" s="254">
        <f ca="1">IF(ISERROR(OFFSET(Tabella!$A$1,MATCH(J339,Tabella!$A:$A,0)-1,MATCH(L339,Tabella!$A$1:$AC$1,0)-1)=TRUE),0,+OFFSET(Tabella!$A$1,MATCH(J339,Tabella!$A:$A,0)-1,MATCH(L339,Tabella!$A$1:$AC$1,0)-1))</f>
        <v>1.4</v>
      </c>
      <c r="N339" s="255">
        <f ca="1">IF(ISERROR(OFFSET(Ottone!$A$1,MATCH(J339,Ottone!$A:$A,0)-1,MATCH(L339,Ottone!$A$1:$Z$1,0)-1)=TRUE),0,OFFSET(Ottone!$A$1,MATCH(J339,Ottone!$A:$A,0)-1,MATCH(L339,Ottone!$A$1:$Z$1,0)-1))*IF(G339="Ottone",1,0)</f>
        <v>0</v>
      </c>
      <c r="O339" s="255">
        <f ca="1">IF(ISERROR(OFFSET(Rame!$A$1,MATCH(J339,Rame!$A:$A,0)-1,MATCH(L339,Rame!$A$1:$AA$1,0)-1)=TRUE),0,OFFSET(Rame!$A$1,MATCH(J339,Rame!$A:$A,0)-1,MATCH(L339,Rame!$A$1:$AA$1,0)-1))*IF(G339="Rame",1,0)</f>
        <v>0</v>
      </c>
      <c r="P339" s="255">
        <v>0</v>
      </c>
      <c r="Q339" s="255">
        <f t="shared" ca="1" si="126"/>
        <v>1.4</v>
      </c>
      <c r="R339" s="255">
        <f ca="1">+IF(ISERROR(OFFSET(Tabella!$G$1,MATCH(J339,Tabella!$G:$G,0)-1,MATCH(K339,Tabella!$G$1:$FG$1,0)-1)=TRUE),0,OFFSET(Tabella!$G$1,MATCH(J339,Tabella!$G:$G,0)-1,MATCH(K339,Tabella!$G$1:$AB$1,0)-1))</f>
        <v>0</v>
      </c>
      <c r="S339" s="255">
        <f ca="1">IF(ISERROR(OFFSET(Ottone!$F$1,MATCH(J339,Ottone!$A:$A,0)-1,MATCH(K339,Ottone!$F$1:$FF$1,0)-1)=TRUE),0,OFFSET(Ottone!$F$1,MATCH(J339,Ottone!$A:$A,0)-1,MATCH(K339,Ottone!$F$1:$FF$1,0)-1))*IF(G339="Ottone",1,0)</f>
        <v>0</v>
      </c>
      <c r="T339" s="255">
        <f ca="1">IF(ISERROR(OFFSET(Rame!$F$1,MATCH(J339,Rame!$F:$F,0)-1,MATCH(K339,Rame!$F$1:$FF$1,0)-1)=TRUE),0,OFFSET(Rame!$F$1,MATCH(J339,Rame!$F:$F,0)-1,MATCH(K339,Rame!$F$1:$FF$1,0)-1))*IF(G339="Rame",1,0)</f>
        <v>0</v>
      </c>
      <c r="U339" s="255">
        <f ca="1">IF(ISERROR(OFFSET(Bronzo!$A$1,MATCH(J339,Bronzo!$A:$A,0)-1,MATCH(K339,Bronzo!$A$1:$AA$1,0)-1)=TRUE),0,OFFSET(Bronzo!$A$1,MATCH(J339,Bronzo!$A:$A,0)-1,MATCH(K339,Bronzo!$A$1:$AA$1,0)-1))</f>
        <v>0</v>
      </c>
      <c r="V339" s="255">
        <f t="shared" ca="1" si="127"/>
        <v>0</v>
      </c>
      <c r="W339" s="254"/>
      <c r="X339" s="255">
        <v>0</v>
      </c>
      <c r="Y339" s="256">
        <f t="shared" ca="1" si="128"/>
        <v>1.4</v>
      </c>
      <c r="Z339" s="269">
        <f t="shared" si="129"/>
        <v>68.95</v>
      </c>
      <c r="AA339" s="253">
        <v>4.3</v>
      </c>
      <c r="AB339" s="253">
        <f t="shared" ca="1" si="130"/>
        <v>0.23999999999999977</v>
      </c>
      <c r="AC339" s="258"/>
      <c r="AF339" s="223" t="s">
        <v>405</v>
      </c>
      <c r="AH339" s="232">
        <f t="shared" ca="1" si="137"/>
        <v>46120</v>
      </c>
      <c r="AI339" s="232" t="b">
        <f t="shared" si="132"/>
        <v>1</v>
      </c>
      <c r="AJ339" s="259" t="str">
        <f>IF(AI339=FALSE,_xlfn.DAYS(AC339,AH339),"")</f>
        <v/>
      </c>
      <c r="AM339" s="223">
        <f t="shared" si="133"/>
        <v>0</v>
      </c>
      <c r="AN339" s="223">
        <f t="shared" si="134"/>
        <v>1900</v>
      </c>
      <c r="AU339" s="223">
        <f t="shared" si="135"/>
        <v>0</v>
      </c>
      <c r="AV339" s="223">
        <f t="shared" si="136"/>
        <v>0</v>
      </c>
    </row>
    <row r="340" spans="4:48" ht="26.25" x14ac:dyDescent="0.4">
      <c r="D340" s="246" t="s">
        <v>605</v>
      </c>
      <c r="E340" s="262" t="s">
        <v>114</v>
      </c>
      <c r="F340" s="263">
        <v>639</v>
      </c>
      <c r="G340" s="249" t="s">
        <v>4</v>
      </c>
      <c r="H340" s="250">
        <v>2.66</v>
      </c>
      <c r="I340" s="251">
        <v>46079</v>
      </c>
      <c r="J340" s="252" t="s">
        <v>13</v>
      </c>
      <c r="K340" s="252"/>
      <c r="L340" s="253">
        <v>7.0000000000000007E-2</v>
      </c>
      <c r="M340" s="254">
        <f ca="1">IF(ISERROR(OFFSET(Tabella!$A$1,MATCH(J340,Tabella!$A:$A,0)-1,MATCH(L340,Tabella!$A$1:$AC$1,0)-1)=TRUE),0,+OFFSET(Tabella!$A$1,MATCH(J340,Tabella!$A:$A,0)-1,MATCH(L340,Tabella!$A$1:$AC$1,0)-1))</f>
        <v>1.4</v>
      </c>
      <c r="N340" s="255">
        <f ca="1">IF(ISERROR(OFFSET(Ottone!$A$1,MATCH(J340,Ottone!$A:$A,0)-1,MATCH(L340,Ottone!$A$1:$Z$1,0)-1)=TRUE),0,OFFSET(Ottone!$A$1,MATCH(J340,Ottone!$A:$A,0)-1,MATCH(L340,Ottone!$A$1:$Z$1,0)-1))*IF(G340="Ottone",1,0)</f>
        <v>0</v>
      </c>
      <c r="O340" s="255">
        <f ca="1">IF(ISERROR(OFFSET(Rame!$A$1,MATCH(J340,Rame!$A:$A,0)-1,MATCH(L340,Rame!$A$1:$AA$1,0)-1)=TRUE),0,OFFSET(Rame!$A$1,MATCH(J340,Rame!$A:$A,0)-1,MATCH(L340,Rame!$A$1:$AA$1,0)-1))*IF(G340="Rame",1,0)</f>
        <v>0</v>
      </c>
      <c r="P340" s="255">
        <v>0</v>
      </c>
      <c r="Q340" s="255">
        <f t="shared" ca="1" si="126"/>
        <v>1.4</v>
      </c>
      <c r="R340" s="255">
        <f ca="1">+IF(ISERROR(OFFSET(Tabella!$G$1,MATCH(J340,Tabella!$G:$G,0)-1,MATCH(K340,Tabella!$G$1:$FG$1,0)-1)=TRUE),0,OFFSET(Tabella!$G$1,MATCH(J340,Tabella!$G:$G,0)-1,MATCH(K340,Tabella!$G$1:$AB$1,0)-1))</f>
        <v>0</v>
      </c>
      <c r="S340" s="255">
        <f ca="1">IF(ISERROR(OFFSET(Ottone!$F$1,MATCH(J340,Ottone!$A:$A,0)-1,MATCH(K340,Ottone!$F$1:$FF$1,0)-1)=TRUE),0,OFFSET(Ottone!$F$1,MATCH(J340,Ottone!$A:$A,0)-1,MATCH(K340,Ottone!$F$1:$FF$1,0)-1))*IF(G340="Ottone",1,0)</f>
        <v>0</v>
      </c>
      <c r="T340" s="255">
        <f ca="1">IF(ISERROR(OFFSET(Rame!$F$1,MATCH(J340,Rame!$F:$F,0)-1,MATCH(K340,Rame!$F$1:$FF$1,0)-1)=TRUE),0,OFFSET(Rame!$F$1,MATCH(J340,Rame!$F:$F,0)-1,MATCH(K340,Rame!$F$1:$FF$1,0)-1))*IF(G340="Rame",1,0)</f>
        <v>0</v>
      </c>
      <c r="U340" s="255">
        <f ca="1">IF(ISERROR(OFFSET(Bronzo!$A$1,MATCH(J340,Bronzo!$A:$A,0)-1,MATCH(K340,Bronzo!$A$1:$AA$1,0)-1)=TRUE),0,OFFSET(Bronzo!$A$1,MATCH(J340,Bronzo!$A:$A,0)-1,MATCH(K340,Bronzo!$A$1:$AA$1,0)-1))</f>
        <v>0</v>
      </c>
      <c r="V340" s="255">
        <f t="shared" ca="1" si="127"/>
        <v>0</v>
      </c>
      <c r="W340" s="254"/>
      <c r="X340" s="255">
        <v>0</v>
      </c>
      <c r="Y340" s="256">
        <f t="shared" ca="1" si="128"/>
        <v>1.4</v>
      </c>
      <c r="Z340" s="269">
        <f>+L340*F340</f>
        <v>44.730000000000004</v>
      </c>
      <c r="AA340" s="253">
        <v>4.3</v>
      </c>
      <c r="AB340" s="253">
        <f t="shared" ca="1" si="130"/>
        <v>0.23999999999999977</v>
      </c>
      <c r="AC340" s="258"/>
      <c r="AF340" s="223" t="s">
        <v>405</v>
      </c>
      <c r="AH340" s="232">
        <f t="shared" ca="1" si="137"/>
        <v>46120</v>
      </c>
      <c r="AI340" s="232" t="b">
        <f t="shared" si="132"/>
        <v>1</v>
      </c>
      <c r="AJ340" s="259" t="str">
        <f>IF(AI340=FALSE,_xlfn.DAYS(AC340,AH340),"")</f>
        <v/>
      </c>
      <c r="AM340" s="223">
        <f t="shared" si="133"/>
        <v>0</v>
      </c>
      <c r="AN340" s="223">
        <f t="shared" si="134"/>
        <v>1900</v>
      </c>
      <c r="AU340" s="223">
        <f t="shared" si="135"/>
        <v>0</v>
      </c>
      <c r="AV340" s="223">
        <f t="shared" si="136"/>
        <v>0</v>
      </c>
    </row>
    <row r="341" spans="4:48" ht="26.25" x14ac:dyDescent="0.4">
      <c r="D341" s="246" t="s">
        <v>605</v>
      </c>
      <c r="E341" s="262" t="s">
        <v>114</v>
      </c>
      <c r="F341" s="263">
        <v>508</v>
      </c>
      <c r="G341" s="249" t="s">
        <v>4</v>
      </c>
      <c r="H341" s="250">
        <v>2.66</v>
      </c>
      <c r="I341" s="251">
        <v>46079</v>
      </c>
      <c r="J341" s="252" t="s">
        <v>13</v>
      </c>
      <c r="K341" s="252"/>
      <c r="L341" s="253">
        <v>7.0000000000000007E-2</v>
      </c>
      <c r="M341" s="254"/>
      <c r="N341" s="255"/>
      <c r="O341" s="255"/>
      <c r="P341" s="255"/>
      <c r="Q341" s="255">
        <v>1.6</v>
      </c>
      <c r="R341" s="255"/>
      <c r="S341" s="255"/>
      <c r="T341" s="255"/>
      <c r="U341" s="255"/>
      <c r="V341" s="255"/>
      <c r="W341" s="254"/>
      <c r="X341" s="255"/>
      <c r="Y341" s="256">
        <v>1.6</v>
      </c>
      <c r="Z341" s="269">
        <f t="shared" si="129"/>
        <v>35.56</v>
      </c>
      <c r="AA341" s="253">
        <v>4.3</v>
      </c>
      <c r="AB341" s="253"/>
      <c r="AC341" s="258"/>
      <c r="AF341" s="223" t="s">
        <v>405</v>
      </c>
      <c r="AI341" s="232" t="b">
        <f t="shared" si="132"/>
        <v>1</v>
      </c>
      <c r="AJ341" s="259"/>
      <c r="AM341" s="223">
        <f t="shared" si="133"/>
        <v>0</v>
      </c>
      <c r="AN341" s="223">
        <f t="shared" si="134"/>
        <v>1900</v>
      </c>
      <c r="AU341" s="223">
        <f t="shared" si="135"/>
        <v>0</v>
      </c>
      <c r="AV341" s="223">
        <f t="shared" si="136"/>
        <v>0</v>
      </c>
    </row>
    <row r="342" spans="4:48" ht="26.25" x14ac:dyDescent="0.4">
      <c r="D342" s="246" t="s">
        <v>677</v>
      </c>
      <c r="E342" s="262" t="s">
        <v>114</v>
      </c>
      <c r="F342" s="263">
        <v>562</v>
      </c>
      <c r="G342" s="249" t="s">
        <v>4</v>
      </c>
      <c r="H342" s="250">
        <v>2.66</v>
      </c>
      <c r="I342" s="251">
        <v>46079</v>
      </c>
      <c r="J342" s="252" t="s">
        <v>19</v>
      </c>
      <c r="K342" s="252"/>
      <c r="L342" s="253">
        <v>7.0000000000000007E-2</v>
      </c>
      <c r="M342" s="254">
        <f ca="1">IF(ISERROR(OFFSET(Tabella!$A$1,MATCH(J342,Tabella!$A:$A,0)-1,MATCH(L342,Tabella!$A$1:$AC$1,0)-1)=TRUE),0,+OFFSET(Tabella!$A$1,MATCH(J342,Tabella!$A:$A,0)-1,MATCH(L342,Tabella!$A$1:$AC$1,0)-1))</f>
        <v>1.35</v>
      </c>
      <c r="N342" s="255">
        <f ca="1">IF(ISERROR(OFFSET(Ottone!$A$1,MATCH(J342,Ottone!$A:$A,0)-1,MATCH(L342,Ottone!$A$1:$Z$1,0)-1)=TRUE),0,OFFSET(Ottone!$A$1,MATCH(J342,Ottone!$A:$A,0)-1,MATCH(L342,Ottone!$A$1:$Z$1,0)-1))*IF(G342="Ottone",1,0)</f>
        <v>0</v>
      </c>
      <c r="O342" s="255">
        <f ca="1">IF(ISERROR(OFFSET(Rame!$A$1,MATCH(J342,Rame!$A:$A,0)-1,MATCH(L342,Rame!$A$1:$AA$1,0)-1)=TRUE),0,OFFSET(Rame!$A$1,MATCH(J342,Rame!$A:$A,0)-1,MATCH(L342,Rame!$A$1:$AA$1,0)-1))*IF(G342="Rame",1,0)</f>
        <v>0</v>
      </c>
      <c r="P342" s="255">
        <v>0</v>
      </c>
      <c r="Q342" s="255">
        <v>1.5</v>
      </c>
      <c r="R342" s="255">
        <f ca="1">+IF(ISERROR(OFFSET(Tabella!$G$1,MATCH(J342,Tabella!$G:$G,0)-1,MATCH(K342,Tabella!$G$1:$FG$1,0)-1)=TRUE),0,OFFSET(Tabella!$G$1,MATCH(J342,Tabella!$G:$G,0)-1,MATCH(K342,Tabella!$G$1:$AB$1,0)-1))</f>
        <v>0</v>
      </c>
      <c r="S342" s="255">
        <f ca="1">IF(ISERROR(OFFSET(Ottone!$F$1,MATCH(J342,Ottone!$A:$A,0)-1,MATCH(K342,Ottone!$F$1:$FF$1,0)-1)=TRUE),0,OFFSET(Ottone!$F$1,MATCH(J342,Ottone!$A:$A,0)-1,MATCH(K342,Ottone!$F$1:$FF$1,0)-1))*IF(G342="Ottone",1,0)</f>
        <v>0</v>
      </c>
      <c r="T342" s="255">
        <f ca="1">IF(ISERROR(OFFSET(Rame!$F$1,MATCH(J342,Rame!$F:$F,0)-1,MATCH(K342,Rame!$F$1:$FF$1,0)-1)=TRUE),0,OFFSET(Rame!$F$1,MATCH(J342,Rame!$F:$F,0)-1,MATCH(K342,Rame!$F$1:$FF$1,0)-1))*IF(G342="Rame",1,0)</f>
        <v>0</v>
      </c>
      <c r="U342" s="255">
        <f ca="1">IF(ISERROR(OFFSET(Bronzo!$A$1,MATCH(J342,Bronzo!$A:$A,0)-1,MATCH(K342,Bronzo!$A$1:$AA$1,0)-1)=TRUE),0,OFFSET(Bronzo!$A$1,MATCH(J342,Bronzo!$A:$A,0)-1,MATCH(K342,Bronzo!$A$1:$AA$1,0)-1))</f>
        <v>0</v>
      </c>
      <c r="V342" s="255">
        <f t="shared" ca="1" si="127"/>
        <v>0</v>
      </c>
      <c r="W342" s="254"/>
      <c r="X342" s="255">
        <v>0</v>
      </c>
      <c r="Y342" s="256">
        <f t="shared" ca="1" si="128"/>
        <v>1.5</v>
      </c>
      <c r="Z342" s="269">
        <f t="shared" si="129"/>
        <v>39.340000000000003</v>
      </c>
      <c r="AA342" s="253">
        <v>4.2</v>
      </c>
      <c r="AB342" s="253">
        <f t="shared" ca="1" si="130"/>
        <v>4.0000000000000036E-2</v>
      </c>
      <c r="AC342" s="258"/>
      <c r="AF342" s="223" t="s">
        <v>405</v>
      </c>
      <c r="AH342" s="232">
        <f t="shared" ca="1" si="137"/>
        <v>46120</v>
      </c>
      <c r="AI342" s="232" t="b">
        <f t="shared" si="132"/>
        <v>1</v>
      </c>
      <c r="AJ342" s="259" t="str">
        <f t="shared" ref="AJ342:AJ405" si="138">IF(AI342=FALSE,_xlfn.DAYS(AC342,AH342),"")</f>
        <v/>
      </c>
      <c r="AM342" s="223">
        <f t="shared" si="133"/>
        <v>0</v>
      </c>
      <c r="AN342" s="223">
        <f t="shared" si="134"/>
        <v>1900</v>
      </c>
      <c r="AU342" s="223">
        <f t="shared" si="135"/>
        <v>0</v>
      </c>
      <c r="AV342" s="223">
        <f t="shared" si="136"/>
        <v>0</v>
      </c>
    </row>
    <row r="343" spans="4:48" ht="26.25" x14ac:dyDescent="0.4">
      <c r="D343" s="246" t="s">
        <v>537</v>
      </c>
      <c r="E343" s="252" t="s">
        <v>397</v>
      </c>
      <c r="F343" s="276">
        <v>300</v>
      </c>
      <c r="G343" s="249" t="s">
        <v>4</v>
      </c>
      <c r="H343" s="250">
        <v>2.65</v>
      </c>
      <c r="I343" s="251">
        <v>46079</v>
      </c>
      <c r="J343" s="252" t="s">
        <v>9</v>
      </c>
      <c r="K343" s="252"/>
      <c r="L343" s="253">
        <v>7.0000000000000007E-2</v>
      </c>
      <c r="M343" s="254">
        <f ca="1">IF(ISERROR(OFFSET(Tabella!$A$1,MATCH(J343,Tabella!$A:$A,0)-1,MATCH(L343,Tabella!$A$1:$AC$1,0)-1)=TRUE),0,+OFFSET(Tabella!$A$1,MATCH(J343,Tabella!$A:$A,0)-1,MATCH(L343,Tabella!$A$1:$AC$1,0)-1))</f>
        <v>1.6</v>
      </c>
      <c r="N343" s="255">
        <f ca="1">IF(ISERROR(OFFSET(Ottone!$A$1,MATCH(J343,Ottone!$A:$A,0)-1,MATCH(L343,Ottone!$A$1:$Z$1,0)-1)=TRUE),0,OFFSET(Ottone!$A$1,MATCH(J343,Ottone!$A:$A,0)-1,MATCH(L343,Ottone!$A$1:$Z$1,0)-1))*IF(G343="Ottone",1,0)</f>
        <v>0</v>
      </c>
      <c r="O343" s="255">
        <f ca="1">IF(ISERROR(OFFSET(Rame!$A$1,MATCH(J343,Rame!$A:$A,0)-1,MATCH(L343,Rame!$A$1:$AA$1,0)-1)=TRUE),0,OFFSET(Rame!$A$1,MATCH(J343,Rame!$A:$A,0)-1,MATCH(L343,Rame!$A$1:$AA$1,0)-1))*IF(G343="Rame",1,0)</f>
        <v>0</v>
      </c>
      <c r="P343" s="255">
        <v>0</v>
      </c>
      <c r="Q343" s="255">
        <f t="shared" ca="1" si="126"/>
        <v>1.6</v>
      </c>
      <c r="R343" s="255">
        <f ca="1">+IF(ISERROR(OFFSET(Tabella!$G$1,MATCH(J343,Tabella!$G:$G,0)-1,MATCH(K343,Tabella!$G$1:$FG$1,0)-1)=TRUE),0,OFFSET(Tabella!$G$1,MATCH(J343,Tabella!$G:$G,0)-1,MATCH(K343,Tabella!$G$1:$AB$1,0)-1))</f>
        <v>0</v>
      </c>
      <c r="S343" s="255">
        <f ca="1">IF(ISERROR(OFFSET(Ottone!$F$1,MATCH(J343,Ottone!$A:$A,0)-1,MATCH(K343,Ottone!$F$1:$FF$1,0)-1)=TRUE),0,OFFSET(Ottone!$F$1,MATCH(J343,Ottone!$A:$A,0)-1,MATCH(K343,Ottone!$F$1:$FF$1,0)-1))*IF(G343="Ottone",1,0)</f>
        <v>0</v>
      </c>
      <c r="T343" s="255">
        <f ca="1">IF(ISERROR(OFFSET(Rame!$F$1,MATCH(J343,Rame!$F:$F,0)-1,MATCH(K343,Rame!$F$1:$FF$1,0)-1)=TRUE),0,OFFSET(Rame!$F$1,MATCH(J343,Rame!$F:$F,0)-1,MATCH(K343,Rame!$F$1:$FF$1,0)-1))*IF(G343="Rame",1,0)</f>
        <v>0</v>
      </c>
      <c r="U343" s="255">
        <f ca="1">IF(ISERROR(OFFSET(Bronzo!$A$1,MATCH(J343,Bronzo!$A:$A,0)-1,MATCH(K343,Bronzo!$A$1:$AA$1,0)-1)=TRUE),0,OFFSET(Bronzo!$A$1,MATCH(J343,Bronzo!$A:$A,0)-1,MATCH(K343,Bronzo!$A$1:$AA$1,0)-1))</f>
        <v>0</v>
      </c>
      <c r="V343" s="255">
        <f t="shared" ca="1" si="127"/>
        <v>0</v>
      </c>
      <c r="W343" s="254"/>
      <c r="X343" s="255">
        <v>0</v>
      </c>
      <c r="Y343" s="256">
        <f t="shared" ca="1" si="128"/>
        <v>1.6</v>
      </c>
      <c r="Z343" s="257">
        <f t="shared" si="129"/>
        <v>21.000000000000004</v>
      </c>
      <c r="AA343" s="253">
        <v>4.67</v>
      </c>
      <c r="AB343" s="253">
        <f t="shared" ca="1" si="130"/>
        <v>0.41999999999999993</v>
      </c>
      <c r="AC343" s="258">
        <v>46101</v>
      </c>
      <c r="AH343" s="232">
        <f t="shared" ca="1" si="137"/>
        <v>46120</v>
      </c>
      <c r="AI343" s="232" t="b">
        <f t="shared" si="132"/>
        <v>0</v>
      </c>
      <c r="AJ343" s="259">
        <f t="shared" ca="1" si="138"/>
        <v>-19</v>
      </c>
      <c r="AM343" s="223">
        <f t="shared" si="133"/>
        <v>12</v>
      </c>
      <c r="AN343" s="223">
        <f t="shared" si="134"/>
        <v>2026</v>
      </c>
      <c r="AU343" s="223">
        <f t="shared" si="135"/>
        <v>3</v>
      </c>
      <c r="AV343" s="223">
        <f t="shared" si="136"/>
        <v>2026</v>
      </c>
    </row>
    <row r="344" spans="4:48" ht="26.25" x14ac:dyDescent="0.4">
      <c r="D344" s="246" t="s">
        <v>785</v>
      </c>
      <c r="E344" s="252" t="s">
        <v>397</v>
      </c>
      <c r="F344" s="276">
        <v>700</v>
      </c>
      <c r="G344" s="249" t="s">
        <v>4</v>
      </c>
      <c r="H344" s="250">
        <v>2.65</v>
      </c>
      <c r="I344" s="251">
        <v>46079</v>
      </c>
      <c r="J344" s="252" t="s">
        <v>9</v>
      </c>
      <c r="K344" s="252"/>
      <c r="L344" s="253">
        <v>7.0000000000000007E-2</v>
      </c>
      <c r="M344" s="254">
        <f ca="1">IF(ISERROR(OFFSET(Tabella!$A$1,MATCH(J344,Tabella!$A:$A,0)-1,MATCH(L344,Tabella!$A$1:$AC$1,0)-1)=TRUE),0,+OFFSET(Tabella!$A$1,MATCH(J344,Tabella!$A:$A,0)-1,MATCH(L344,Tabella!$A$1:$AC$1,0)-1))</f>
        <v>1.6</v>
      </c>
      <c r="N344" s="255">
        <f ca="1">IF(ISERROR(OFFSET(Ottone!$A$1,MATCH(J344,Ottone!$A:$A,0)-1,MATCH(L344,Ottone!$A$1:$Z$1,0)-1)=TRUE),0,OFFSET(Ottone!$A$1,MATCH(J344,Ottone!$A:$A,0)-1,MATCH(L344,Ottone!$A$1:$Z$1,0)-1))*IF(G344="Ottone",1,0)</f>
        <v>0</v>
      </c>
      <c r="O344" s="255">
        <f ca="1">IF(ISERROR(OFFSET(Rame!$A$1,MATCH(J344,Rame!$A:$A,0)-1,MATCH(L344,Rame!$A$1:$AA$1,0)-1)=TRUE),0,OFFSET(Rame!$A$1,MATCH(J344,Rame!$A:$A,0)-1,MATCH(L344,Rame!$A$1:$AA$1,0)-1))*IF(G344="Rame",1,0)</f>
        <v>0</v>
      </c>
      <c r="P344" s="255">
        <v>0</v>
      </c>
      <c r="Q344" s="255">
        <f t="shared" ca="1" si="126"/>
        <v>1.6</v>
      </c>
      <c r="R344" s="255">
        <f ca="1">+IF(ISERROR(OFFSET(Tabella!$G$1,MATCH(J344,Tabella!$G:$G,0)-1,MATCH(K344,Tabella!$G$1:$FG$1,0)-1)=TRUE),0,OFFSET(Tabella!$G$1,MATCH(J344,Tabella!$G:$G,0)-1,MATCH(K344,Tabella!$G$1:$AB$1,0)-1))</f>
        <v>0</v>
      </c>
      <c r="S344" s="255">
        <f ca="1">IF(ISERROR(OFFSET(Ottone!$F$1,MATCH(J344,Ottone!$A:$A,0)-1,MATCH(K344,Ottone!$F$1:$FF$1,0)-1)=TRUE),0,OFFSET(Ottone!$F$1,MATCH(J344,Ottone!$A:$A,0)-1,MATCH(K344,Ottone!$F$1:$FF$1,0)-1))*IF(G344="Ottone",1,0)</f>
        <v>0</v>
      </c>
      <c r="T344" s="255">
        <f ca="1">IF(ISERROR(OFFSET(Rame!$F$1,MATCH(J344,Rame!$F:$F,0)-1,MATCH(K344,Rame!$F$1:$FF$1,0)-1)=TRUE),0,OFFSET(Rame!$F$1,MATCH(J344,Rame!$F:$F,0)-1,MATCH(K344,Rame!$F$1:$FF$1,0)-1))*IF(G344="Rame",1,0)</f>
        <v>0</v>
      </c>
      <c r="U344" s="255">
        <f ca="1">IF(ISERROR(OFFSET(Bronzo!$A$1,MATCH(J344,Bronzo!$A:$A,0)-1,MATCH(K344,Bronzo!$A$1:$AA$1,0)-1)=TRUE),0,OFFSET(Bronzo!$A$1,MATCH(J344,Bronzo!$A:$A,0)-1,MATCH(K344,Bronzo!$A$1:$AA$1,0)-1))</f>
        <v>0</v>
      </c>
      <c r="V344" s="255">
        <f t="shared" ca="1" si="127"/>
        <v>0</v>
      </c>
      <c r="W344" s="254"/>
      <c r="X344" s="255">
        <v>0</v>
      </c>
      <c r="Y344" s="256">
        <f t="shared" ca="1" si="128"/>
        <v>1.6</v>
      </c>
      <c r="Z344" s="257">
        <f t="shared" si="129"/>
        <v>49.000000000000007</v>
      </c>
      <c r="AA344" s="253">
        <v>4.67</v>
      </c>
      <c r="AB344" s="253">
        <f t="shared" ca="1" si="130"/>
        <v>0.41999999999999993</v>
      </c>
      <c r="AC344" s="258">
        <v>46192</v>
      </c>
      <c r="AH344" s="232">
        <f t="shared" ca="1" si="137"/>
        <v>46120</v>
      </c>
      <c r="AI344" s="232" t="b">
        <f t="shared" si="132"/>
        <v>0</v>
      </c>
      <c r="AJ344" s="259">
        <f t="shared" ca="1" si="138"/>
        <v>72</v>
      </c>
      <c r="AM344" s="223">
        <f t="shared" si="133"/>
        <v>25</v>
      </c>
      <c r="AN344" s="223">
        <f t="shared" si="134"/>
        <v>2026</v>
      </c>
      <c r="AU344" s="223">
        <f t="shared" si="135"/>
        <v>6</v>
      </c>
      <c r="AV344" s="223">
        <f t="shared" si="136"/>
        <v>2026</v>
      </c>
    </row>
    <row r="345" spans="4:48" ht="26.25" x14ac:dyDescent="0.4">
      <c r="D345" s="246" t="s">
        <v>538</v>
      </c>
      <c r="E345" s="252" t="s">
        <v>397</v>
      </c>
      <c r="F345" s="276">
        <v>700</v>
      </c>
      <c r="G345" s="249" t="s">
        <v>4</v>
      </c>
      <c r="H345" s="250">
        <v>2.65</v>
      </c>
      <c r="I345" s="251">
        <v>46079</v>
      </c>
      <c r="J345" s="252" t="s">
        <v>11</v>
      </c>
      <c r="K345" s="252"/>
      <c r="L345" s="253">
        <v>7.0000000000000007E-2</v>
      </c>
      <c r="M345" s="254">
        <f ca="1">IF(ISERROR(OFFSET(Tabella!$A$1,MATCH(J345,Tabella!$A:$A,0)-1,MATCH(L345,Tabella!$A$1:$AC$1,0)-1)=TRUE),0,+OFFSET(Tabella!$A$1,MATCH(J345,Tabella!$A:$A,0)-1,MATCH(L345,Tabella!$A$1:$AC$1,0)-1))</f>
        <v>1.5</v>
      </c>
      <c r="N345" s="255">
        <f ca="1">IF(ISERROR(OFFSET(Ottone!$A$1,MATCH(J345,Ottone!$A:$A,0)-1,MATCH(L345,Ottone!$A$1:$Z$1,0)-1)=TRUE),0,OFFSET(Ottone!$A$1,MATCH(J345,Ottone!$A:$A,0)-1,MATCH(L345,Ottone!$A$1:$Z$1,0)-1))*IF(G345="Ottone",1,0)</f>
        <v>0</v>
      </c>
      <c r="O345" s="255">
        <f ca="1">IF(ISERROR(OFFSET(Rame!$A$1,MATCH(J345,Rame!$A:$A,0)-1,MATCH(L345,Rame!$A$1:$AA$1,0)-1)=TRUE),0,OFFSET(Rame!$A$1,MATCH(J345,Rame!$A:$A,0)-1,MATCH(L345,Rame!$A$1:$AA$1,0)-1))*IF(G345="Rame",1,0)</f>
        <v>0</v>
      </c>
      <c r="P345" s="255">
        <v>0</v>
      </c>
      <c r="Q345" s="255">
        <f t="shared" ca="1" si="126"/>
        <v>1.5</v>
      </c>
      <c r="R345" s="255">
        <f ca="1">+IF(ISERROR(OFFSET(Tabella!$G$1,MATCH(J345,Tabella!$G:$G,0)-1,MATCH(K345,Tabella!$G$1:$FG$1,0)-1)=TRUE),0,OFFSET(Tabella!$G$1,MATCH(J345,Tabella!$G:$G,0)-1,MATCH(K345,Tabella!$G$1:$AB$1,0)-1))</f>
        <v>0</v>
      </c>
      <c r="S345" s="255">
        <f ca="1">IF(ISERROR(OFFSET(Ottone!$F$1,MATCH(J345,Ottone!$A:$A,0)-1,MATCH(K345,Ottone!$F$1:$FF$1,0)-1)=TRUE),0,OFFSET(Ottone!$F$1,MATCH(J345,Ottone!$A:$A,0)-1,MATCH(K345,Ottone!$F$1:$FF$1,0)-1))*IF(G345="Ottone",1,0)</f>
        <v>0</v>
      </c>
      <c r="T345" s="255">
        <f ca="1">IF(ISERROR(OFFSET(Rame!$F$1,MATCH(J345,Rame!$F:$F,0)-1,MATCH(K345,Rame!$F$1:$FF$1,0)-1)=TRUE),0,OFFSET(Rame!$F$1,MATCH(J345,Rame!$F:$F,0)-1,MATCH(K345,Rame!$F$1:$FF$1,0)-1))*IF(G345="Rame",1,0)</f>
        <v>0</v>
      </c>
      <c r="U345" s="255">
        <f ca="1">IF(ISERROR(OFFSET(Bronzo!$A$1,MATCH(J345,Bronzo!$A:$A,0)-1,MATCH(K345,Bronzo!$A$1:$AA$1,0)-1)=TRUE),0,OFFSET(Bronzo!$A$1,MATCH(J345,Bronzo!$A:$A,0)-1,MATCH(K345,Bronzo!$A$1:$AA$1,0)-1))</f>
        <v>0</v>
      </c>
      <c r="V345" s="255">
        <f t="shared" ca="1" si="127"/>
        <v>0</v>
      </c>
      <c r="W345" s="254"/>
      <c r="X345" s="255">
        <v>0</v>
      </c>
      <c r="Y345" s="256">
        <f t="shared" ca="1" si="128"/>
        <v>1.5</v>
      </c>
      <c r="Z345" s="257">
        <f t="shared" si="129"/>
        <v>49.000000000000007</v>
      </c>
      <c r="AA345" s="253">
        <v>4.67</v>
      </c>
      <c r="AB345" s="253">
        <f t="shared" ca="1" si="130"/>
        <v>0.52</v>
      </c>
      <c r="AC345" s="258">
        <v>46101</v>
      </c>
      <c r="AH345" s="232">
        <f t="shared" ca="1" si="137"/>
        <v>46120</v>
      </c>
      <c r="AI345" s="232" t="b">
        <f t="shared" si="132"/>
        <v>0</v>
      </c>
      <c r="AJ345" s="259">
        <f t="shared" ca="1" si="138"/>
        <v>-19</v>
      </c>
      <c r="AM345" s="223">
        <f t="shared" si="133"/>
        <v>12</v>
      </c>
      <c r="AN345" s="223">
        <f t="shared" si="134"/>
        <v>2026</v>
      </c>
      <c r="AU345" s="223">
        <f t="shared" si="135"/>
        <v>3</v>
      </c>
      <c r="AV345" s="223">
        <f t="shared" si="136"/>
        <v>2026</v>
      </c>
    </row>
    <row r="346" spans="4:48" ht="26.25" x14ac:dyDescent="0.4">
      <c r="D346" s="246" t="s">
        <v>783</v>
      </c>
      <c r="E346" s="262" t="s">
        <v>108</v>
      </c>
      <c r="F346" s="263">
        <v>1106</v>
      </c>
      <c r="G346" s="249" t="s">
        <v>4</v>
      </c>
      <c r="H346" s="250">
        <v>2.6</v>
      </c>
      <c r="I346" s="251">
        <v>46058</v>
      </c>
      <c r="J346" s="252" t="s">
        <v>322</v>
      </c>
      <c r="K346" s="252"/>
      <c r="L346" s="253">
        <v>7.0000000000000007E-2</v>
      </c>
      <c r="M346" s="254">
        <f ca="1">IF(ISERROR(OFFSET(Tabella!$A$1,MATCH(J346,Tabella!$A:$A,0)-1,MATCH(L346,Tabella!$A$1:$AC$1,0)-1)=TRUE),0,+OFFSET(Tabella!$A$1,MATCH(J346,Tabella!$A:$A,0)-1,MATCH(L346,Tabella!$A$1:$AC$1,0)-1))</f>
        <v>1.25</v>
      </c>
      <c r="N346" s="255">
        <f ca="1">IF(ISERROR(OFFSET(Ottone!$A$1,MATCH(J346,Ottone!$A:$A,0)-1,MATCH(L346,Ottone!$A$1:$Z$1,0)-1)=TRUE),0,OFFSET(Ottone!$A$1,MATCH(J346,Ottone!$A:$A,0)-1,MATCH(L346,Ottone!$A$1:$Z$1,0)-1))*IF(G346="Ottone",1,0)</f>
        <v>0</v>
      </c>
      <c r="O346" s="255">
        <f ca="1">IF(ISERROR(OFFSET(Rame!$A$1,MATCH(J346,Rame!$A:$A,0)-1,MATCH(L346,Rame!$A$1:$AA$1,0)-1)=TRUE),0,OFFSET(Rame!$A$1,MATCH(J346,Rame!$A:$A,0)-1,MATCH(L346,Rame!$A$1:$AA$1,0)-1))*IF(G346="Rame",1,0)</f>
        <v>0</v>
      </c>
      <c r="P346" s="255">
        <v>0</v>
      </c>
      <c r="Q346" s="255">
        <f t="shared" ca="1" si="126"/>
        <v>1.25</v>
      </c>
      <c r="R346" s="255">
        <f ca="1">+IF(ISERROR(OFFSET(Tabella!$G$1,MATCH(J346,Tabella!$G:$G,0)-1,MATCH(K346,Tabella!$G$1:$FG$1,0)-1)=TRUE),0,OFFSET(Tabella!$G$1,MATCH(J346,Tabella!$G:$G,0)-1,MATCH(K346,Tabella!$G$1:$AB$1,0)-1))</f>
        <v>0</v>
      </c>
      <c r="S346" s="255">
        <f ca="1">IF(ISERROR(OFFSET(Ottone!$F$1,MATCH(J346,Ottone!$A:$A,0)-1,MATCH(K346,Ottone!$F$1:$FF$1,0)-1)=TRUE),0,OFFSET(Ottone!$F$1,MATCH(J346,Ottone!$A:$A,0)-1,MATCH(K346,Ottone!$F$1:$FF$1,0)-1))*IF(G346="Ottone",1,0)</f>
        <v>0</v>
      </c>
      <c r="T346" s="255">
        <f ca="1">IF(ISERROR(OFFSET(Rame!$F$1,MATCH(J346,Rame!$F:$F,0)-1,MATCH(K346,Rame!$F$1:$FF$1,0)-1)=TRUE),0,OFFSET(Rame!$F$1,MATCH(J346,Rame!$F:$F,0)-1,MATCH(K346,Rame!$F$1:$FF$1,0)-1))*IF(G346="Rame",1,0)</f>
        <v>0</v>
      </c>
      <c r="U346" s="255">
        <f ca="1">IF(ISERROR(OFFSET(Bronzo!$A$1,MATCH(J346,Bronzo!$A:$A,0)-1,MATCH(K346,Bronzo!$A$1:$AA$1,0)-1)=TRUE),0,OFFSET(Bronzo!$A$1,MATCH(J346,Bronzo!$A:$A,0)-1,MATCH(K346,Bronzo!$A$1:$AA$1,0)-1))</f>
        <v>0</v>
      </c>
      <c r="V346" s="255">
        <f t="shared" ca="1" si="127"/>
        <v>0</v>
      </c>
      <c r="W346" s="254"/>
      <c r="X346" s="255">
        <v>0</v>
      </c>
      <c r="Y346" s="256">
        <f t="shared" ca="1" si="128"/>
        <v>1.25</v>
      </c>
      <c r="Z346" s="269">
        <f t="shared" si="129"/>
        <v>77.42</v>
      </c>
      <c r="AA346" s="253">
        <v>4.0999999999999996</v>
      </c>
      <c r="AB346" s="253">
        <f t="shared" ca="1" si="130"/>
        <v>0.24999999999999956</v>
      </c>
      <c r="AC346" s="258"/>
      <c r="AF346" s="223" t="s">
        <v>405</v>
      </c>
      <c r="AH346" s="232">
        <f t="shared" ca="1" si="137"/>
        <v>46120</v>
      </c>
      <c r="AI346" s="232" t="b">
        <f t="shared" si="132"/>
        <v>1</v>
      </c>
      <c r="AJ346" s="259" t="str">
        <f t="shared" si="138"/>
        <v/>
      </c>
      <c r="AM346" s="223">
        <f t="shared" si="133"/>
        <v>0</v>
      </c>
      <c r="AN346" s="223">
        <f t="shared" si="134"/>
        <v>1900</v>
      </c>
      <c r="AU346" s="223">
        <f t="shared" si="135"/>
        <v>0</v>
      </c>
      <c r="AV346" s="223">
        <f t="shared" si="136"/>
        <v>0</v>
      </c>
    </row>
    <row r="347" spans="4:48" ht="26.25" x14ac:dyDescent="0.4">
      <c r="D347" s="296" t="s">
        <v>681</v>
      </c>
      <c r="E347" s="262" t="s">
        <v>297</v>
      </c>
      <c r="F347" s="263">
        <v>532</v>
      </c>
      <c r="G347" s="249" t="s">
        <v>4</v>
      </c>
      <c r="H347" s="250">
        <v>2.66</v>
      </c>
      <c r="I347" s="251">
        <v>46080</v>
      </c>
      <c r="J347" s="252" t="s">
        <v>21</v>
      </c>
      <c r="K347" s="252"/>
      <c r="L347" s="269">
        <v>7.0000000000000007E-2</v>
      </c>
      <c r="M347" s="254">
        <f ca="1">IF(ISERROR(OFFSET(Tabella!$A$1,MATCH(J347,Tabella!$A:$A,0)-1,MATCH(L347,Tabella!$A$1:$AC$1,0)-1)=TRUE),0,+OFFSET(Tabella!$A$1,MATCH(J347,Tabella!$A:$A,0)-1,MATCH(L347,Tabella!$A$1:$AC$1,0)-1))</f>
        <v>1.25</v>
      </c>
      <c r="N347" s="255">
        <f ca="1">IF(ISERROR(OFFSET(Ottone!$A$1,MATCH(J347,Ottone!$A:$A,0)-1,MATCH(L347,Ottone!$A$1:$Z$1,0)-1)=TRUE),0,OFFSET(Ottone!$A$1,MATCH(J347,Ottone!$A:$A,0)-1,MATCH(L347,Ottone!$A$1:$Z$1,0)-1))*IF(G347="Ottone",1,0)</f>
        <v>0</v>
      </c>
      <c r="O347" s="255">
        <f ca="1">IF(ISERROR(OFFSET(Rame!$A$1,MATCH(J347,Rame!$A:$A,0)-1,MATCH(L347,Rame!$A$1:$AA$1,0)-1)=TRUE),0,OFFSET(Rame!$A$1,MATCH(J347,Rame!$A:$A,0)-1,MATCH(L347,Rame!$A$1:$AA$1,0)-1))*IF(G347="Rame",1,0)</f>
        <v>0</v>
      </c>
      <c r="P347" s="255">
        <v>0</v>
      </c>
      <c r="Q347" s="255">
        <f t="shared" ca="1" si="126"/>
        <v>1.25</v>
      </c>
      <c r="R347" s="255">
        <f ca="1">+IF(ISERROR(OFFSET(Tabella!$G$1,MATCH(J347,Tabella!$G:$G,0)-1,MATCH(K347,Tabella!$G$1:$FG$1,0)-1)=TRUE),0,OFFSET(Tabella!$G$1,MATCH(J347,Tabella!$G:$G,0)-1,MATCH(K347,Tabella!$G$1:$AB$1,0)-1))</f>
        <v>0</v>
      </c>
      <c r="S347" s="255">
        <f ca="1">IF(ISERROR(OFFSET(Ottone!$F$1,MATCH(J347,Ottone!$A:$A,0)-1,MATCH(K347,Ottone!$F$1:$FF$1,0)-1)=TRUE),0,OFFSET(Ottone!$F$1,MATCH(J347,Ottone!$A:$A,0)-1,MATCH(K347,Ottone!$F$1:$FF$1,0)-1))*IF(G347="Ottone",1,0)</f>
        <v>0</v>
      </c>
      <c r="T347" s="255">
        <f ca="1">IF(ISERROR(OFFSET(Rame!$F$1,MATCH(J347,Rame!$F:$F,0)-1,MATCH(K347,Rame!$F$1:$FF$1,0)-1)=TRUE),0,OFFSET(Rame!$F$1,MATCH(J347,Rame!$F:$F,0)-1,MATCH(K347,Rame!$F$1:$FF$1,0)-1))*IF(G347="Rame",1,0)</f>
        <v>0</v>
      </c>
      <c r="U347" s="255">
        <f ca="1">IF(ISERROR(OFFSET(Bronzo!$A$1,MATCH(J347,Bronzo!$A:$A,0)-1,MATCH(K347,Bronzo!$A$1:$AA$1,0)-1)=TRUE),0,OFFSET(Bronzo!$A$1,MATCH(J347,Bronzo!$A:$A,0)-1,MATCH(K347,Bronzo!$A$1:$AA$1,0)-1))</f>
        <v>0</v>
      </c>
      <c r="V347" s="255">
        <f t="shared" ca="1" si="127"/>
        <v>0</v>
      </c>
      <c r="W347" s="254"/>
      <c r="X347" s="255">
        <v>0</v>
      </c>
      <c r="Y347" s="256">
        <f t="shared" ca="1" si="128"/>
        <v>1.25</v>
      </c>
      <c r="Z347" s="269">
        <f t="shared" si="129"/>
        <v>37.24</v>
      </c>
      <c r="AA347" s="253">
        <v>4.1500000000000004</v>
      </c>
      <c r="AB347" s="253">
        <f t="shared" ca="1" si="130"/>
        <v>0.24000000000000021</v>
      </c>
      <c r="AC347" s="258"/>
      <c r="AF347" s="223" t="s">
        <v>405</v>
      </c>
      <c r="AH347" s="232">
        <f t="shared" ca="1" si="137"/>
        <v>46120</v>
      </c>
      <c r="AI347" s="232" t="b">
        <f t="shared" si="132"/>
        <v>1</v>
      </c>
      <c r="AJ347" s="259" t="str">
        <f t="shared" si="138"/>
        <v/>
      </c>
      <c r="AM347" s="223">
        <f t="shared" si="133"/>
        <v>0</v>
      </c>
      <c r="AN347" s="223">
        <f t="shared" si="134"/>
        <v>1900</v>
      </c>
      <c r="AU347" s="223">
        <f t="shared" si="135"/>
        <v>0</v>
      </c>
      <c r="AV347" s="223">
        <f t="shared" si="136"/>
        <v>0</v>
      </c>
    </row>
    <row r="348" spans="4:48" ht="26.25" x14ac:dyDescent="0.4">
      <c r="D348" s="296" t="s">
        <v>609</v>
      </c>
      <c r="E348" s="262" t="s">
        <v>297</v>
      </c>
      <c r="F348" s="263">
        <v>1010</v>
      </c>
      <c r="G348" s="249" t="s">
        <v>4</v>
      </c>
      <c r="H348" s="250">
        <v>2.66</v>
      </c>
      <c r="I348" s="251">
        <v>46080</v>
      </c>
      <c r="J348" s="252" t="s">
        <v>25</v>
      </c>
      <c r="K348" s="252"/>
      <c r="L348" s="269">
        <v>7.0000000000000007E-2</v>
      </c>
      <c r="M348" s="254">
        <f ca="1">IF(ISERROR(OFFSET(Tabella!$A$1,MATCH(J348,Tabella!$A:$A,0)-1,MATCH(L348,Tabella!$A$1:$AC$1,0)-1)=TRUE),0,+OFFSET(Tabella!$A$1,MATCH(J348,Tabella!$A:$A,0)-1,MATCH(L348,Tabella!$A$1:$AC$1,0)-1))</f>
        <v>1.25</v>
      </c>
      <c r="N348" s="255">
        <f ca="1">IF(ISERROR(OFFSET(Ottone!$A$1,MATCH(J348,Ottone!$A:$A,0)-1,MATCH(L348,Ottone!$A$1:$Z$1,0)-1)=TRUE),0,OFFSET(Ottone!$A$1,MATCH(J348,Ottone!$A:$A,0)-1,MATCH(L348,Ottone!$A$1:$Z$1,0)-1))*IF(G348="Ottone",1,0)</f>
        <v>0</v>
      </c>
      <c r="O348" s="255">
        <f ca="1">IF(ISERROR(OFFSET(Rame!$A$1,MATCH(J348,Rame!$A:$A,0)-1,MATCH(L348,Rame!$A$1:$AA$1,0)-1)=TRUE),0,OFFSET(Rame!$A$1,MATCH(J348,Rame!$A:$A,0)-1,MATCH(L348,Rame!$A$1:$AA$1,0)-1))*IF(G348="Rame",1,0)</f>
        <v>0</v>
      </c>
      <c r="P348" s="255">
        <v>0</v>
      </c>
      <c r="Q348" s="255">
        <f t="shared" ca="1" si="126"/>
        <v>1.25</v>
      </c>
      <c r="R348" s="255">
        <f ca="1">+IF(ISERROR(OFFSET(Tabella!$G$1,MATCH(J348,Tabella!$G:$G,0)-1,MATCH(K348,Tabella!$G$1:$FG$1,0)-1)=TRUE),0,OFFSET(Tabella!$G$1,MATCH(J348,Tabella!$G:$G,0)-1,MATCH(K348,Tabella!$G$1:$AB$1,0)-1))</f>
        <v>0</v>
      </c>
      <c r="S348" s="255">
        <f ca="1">IF(ISERROR(OFFSET(Ottone!$F$1,MATCH(J348,Ottone!$A:$A,0)-1,MATCH(K348,Ottone!$F$1:$FF$1,0)-1)=TRUE),0,OFFSET(Ottone!$F$1,MATCH(J348,Ottone!$A:$A,0)-1,MATCH(K348,Ottone!$F$1:$FF$1,0)-1))*IF(G348="Ottone",1,0)</f>
        <v>0</v>
      </c>
      <c r="T348" s="255">
        <f ca="1">IF(ISERROR(OFFSET(Rame!$F$1,MATCH(J348,Rame!$F:$F,0)-1,MATCH(K348,Rame!$F$1:$FF$1,0)-1)=TRUE),0,OFFSET(Rame!$F$1,MATCH(J348,Rame!$F:$F,0)-1,MATCH(K348,Rame!$F$1:$FF$1,0)-1))*IF(G348="Rame",1,0)</f>
        <v>0</v>
      </c>
      <c r="U348" s="255">
        <f ca="1">IF(ISERROR(OFFSET(Bronzo!$A$1,MATCH(J348,Bronzo!$A:$A,0)-1,MATCH(K348,Bronzo!$A$1:$AA$1,0)-1)=TRUE),0,OFFSET(Bronzo!$A$1,MATCH(J348,Bronzo!$A:$A,0)-1,MATCH(K348,Bronzo!$A$1:$AA$1,0)-1))</f>
        <v>0</v>
      </c>
      <c r="V348" s="255">
        <f t="shared" ca="1" si="127"/>
        <v>0</v>
      </c>
      <c r="W348" s="254"/>
      <c r="X348" s="255">
        <v>0</v>
      </c>
      <c r="Y348" s="256">
        <f t="shared" ca="1" si="128"/>
        <v>1.25</v>
      </c>
      <c r="Z348" s="269">
        <f t="shared" si="129"/>
        <v>70.7</v>
      </c>
      <c r="AA348" s="253">
        <v>4.1500000000000004</v>
      </c>
      <c r="AB348" s="253">
        <f t="shared" ca="1" si="130"/>
        <v>0.24000000000000021</v>
      </c>
      <c r="AC348" s="258"/>
      <c r="AF348" s="223" t="s">
        <v>405</v>
      </c>
      <c r="AH348" s="232">
        <f t="shared" ca="1" si="137"/>
        <v>46120</v>
      </c>
      <c r="AI348" s="232" t="b">
        <f t="shared" si="132"/>
        <v>1</v>
      </c>
      <c r="AJ348" s="259" t="str">
        <f t="shared" si="138"/>
        <v/>
      </c>
      <c r="AM348" s="223">
        <f t="shared" si="133"/>
        <v>0</v>
      </c>
      <c r="AN348" s="223">
        <f t="shared" si="134"/>
        <v>1900</v>
      </c>
      <c r="AU348" s="223">
        <f t="shared" si="135"/>
        <v>0</v>
      </c>
      <c r="AV348" s="223">
        <f t="shared" si="136"/>
        <v>0</v>
      </c>
    </row>
    <row r="349" spans="4:48" ht="26.25" x14ac:dyDescent="0.4">
      <c r="D349" s="296" t="s">
        <v>721</v>
      </c>
      <c r="E349" s="262" t="s">
        <v>297</v>
      </c>
      <c r="F349" s="263">
        <v>675</v>
      </c>
      <c r="G349" s="249" t="s">
        <v>4</v>
      </c>
      <c r="H349" s="250">
        <v>2.66</v>
      </c>
      <c r="I349" s="251">
        <v>46080</v>
      </c>
      <c r="J349" s="252" t="s">
        <v>19</v>
      </c>
      <c r="K349" s="252"/>
      <c r="L349" s="269">
        <v>7.0000000000000007E-2</v>
      </c>
      <c r="M349" s="254">
        <f ca="1">IF(ISERROR(OFFSET(Tabella!$A$1,MATCH(J349,Tabella!$A:$A,0)-1,MATCH(L349,Tabella!$A$1:$AC$1,0)-1)=TRUE),0,+OFFSET(Tabella!$A$1,MATCH(J349,Tabella!$A:$A,0)-1,MATCH(L349,Tabella!$A$1:$AC$1,0)-1))</f>
        <v>1.35</v>
      </c>
      <c r="N349" s="255">
        <f ca="1">IF(ISERROR(OFFSET(Ottone!$A$1,MATCH(J349,Ottone!$A:$A,0)-1,MATCH(L349,Ottone!$A$1:$Z$1,0)-1)=TRUE),0,OFFSET(Ottone!$A$1,MATCH(J349,Ottone!$A:$A,0)-1,MATCH(L349,Ottone!$A$1:$Z$1,0)-1))*IF(G349="Ottone",1,0)</f>
        <v>0</v>
      </c>
      <c r="O349" s="255">
        <f ca="1">IF(ISERROR(OFFSET(Rame!$A$1,MATCH(J349,Rame!$A:$A,0)-1,MATCH(L349,Rame!$A$1:$AA$1,0)-1)=TRUE),0,OFFSET(Rame!$A$1,MATCH(J349,Rame!$A:$A,0)-1,MATCH(L349,Rame!$A$1:$AA$1,0)-1))*IF(G349="Rame",1,0)</f>
        <v>0</v>
      </c>
      <c r="P349" s="255">
        <v>0</v>
      </c>
      <c r="Q349" s="255">
        <f t="shared" ca="1" si="126"/>
        <v>1.35</v>
      </c>
      <c r="R349" s="255">
        <f ca="1">+IF(ISERROR(OFFSET(Tabella!$G$1,MATCH(J349,Tabella!$G:$G,0)-1,MATCH(K349,Tabella!$G$1:$FG$1,0)-1)=TRUE),0,OFFSET(Tabella!$G$1,MATCH(J349,Tabella!$G:$G,0)-1,MATCH(K349,Tabella!$G$1:$AB$1,0)-1))</f>
        <v>0</v>
      </c>
      <c r="S349" s="255">
        <f ca="1">IF(ISERROR(OFFSET(Ottone!$F$1,MATCH(J349,Ottone!$A:$A,0)-1,MATCH(K349,Ottone!$F$1:$FF$1,0)-1)=TRUE),0,OFFSET(Ottone!$F$1,MATCH(J349,Ottone!$A:$A,0)-1,MATCH(K349,Ottone!$F$1:$FF$1,0)-1))*IF(G349="Ottone",1,0)</f>
        <v>0</v>
      </c>
      <c r="T349" s="255">
        <f ca="1">IF(ISERROR(OFFSET(Rame!$F$1,MATCH(J349,Rame!$F:$F,0)-1,MATCH(K349,Rame!$F$1:$FF$1,0)-1)=TRUE),0,OFFSET(Rame!$F$1,MATCH(J349,Rame!$F:$F,0)-1,MATCH(K349,Rame!$F$1:$FF$1,0)-1))*IF(G349="Rame",1,0)</f>
        <v>0</v>
      </c>
      <c r="U349" s="255">
        <f ca="1">IF(ISERROR(OFFSET(Bronzo!$A$1,MATCH(J349,Bronzo!$A:$A,0)-1,MATCH(K349,Bronzo!$A$1:$AA$1,0)-1)=TRUE),0,OFFSET(Bronzo!$A$1,MATCH(J349,Bronzo!$A:$A,0)-1,MATCH(K349,Bronzo!$A$1:$AA$1,0)-1))</f>
        <v>0</v>
      </c>
      <c r="V349" s="255">
        <f t="shared" ca="1" si="127"/>
        <v>0</v>
      </c>
      <c r="W349" s="254"/>
      <c r="X349" s="255">
        <v>0</v>
      </c>
      <c r="Y349" s="256">
        <f t="shared" ca="1" si="128"/>
        <v>1.35</v>
      </c>
      <c r="Z349" s="269">
        <f t="shared" si="129"/>
        <v>47.250000000000007</v>
      </c>
      <c r="AA349" s="253">
        <v>4.2</v>
      </c>
      <c r="AB349" s="253">
        <f t="shared" ca="1" si="130"/>
        <v>0.18999999999999995</v>
      </c>
      <c r="AC349" s="258"/>
      <c r="AF349" s="223" t="s">
        <v>405</v>
      </c>
      <c r="AH349" s="232">
        <f t="shared" ca="1" si="137"/>
        <v>46120</v>
      </c>
      <c r="AI349" s="232" t="b">
        <f t="shared" si="132"/>
        <v>1</v>
      </c>
      <c r="AJ349" s="259" t="str">
        <f t="shared" si="138"/>
        <v/>
      </c>
      <c r="AM349" s="223">
        <f t="shared" si="133"/>
        <v>0</v>
      </c>
      <c r="AN349" s="223">
        <f t="shared" si="134"/>
        <v>1900</v>
      </c>
      <c r="AU349" s="223">
        <f t="shared" si="135"/>
        <v>0</v>
      </c>
      <c r="AV349" s="223">
        <f t="shared" si="136"/>
        <v>0</v>
      </c>
    </row>
    <row r="350" spans="4:48" ht="26.25" x14ac:dyDescent="0.4">
      <c r="D350" s="246" t="s">
        <v>672</v>
      </c>
      <c r="E350" s="262" t="s">
        <v>207</v>
      </c>
      <c r="F350" s="263">
        <v>235</v>
      </c>
      <c r="G350" s="249" t="s">
        <v>6</v>
      </c>
      <c r="H350" s="250">
        <v>11.2</v>
      </c>
      <c r="I350" s="251">
        <v>46079</v>
      </c>
      <c r="J350" s="252" t="s">
        <v>12</v>
      </c>
      <c r="K350" s="252"/>
      <c r="L350" s="253">
        <v>0.15</v>
      </c>
      <c r="M350" s="254">
        <f ca="1">IF(ISERROR(OFFSET(Tabella!$A$1,MATCH(J350,Tabella!$A:$A,0)-1,MATCH(L350,Tabella!$A$1:$AC$1,0)-1)=TRUE),0,+OFFSET(Tabella!$A$1,MATCH(J350,Tabella!$A:$A,0)-1,MATCH(L350,Tabella!$A$1:$AC$1,0)-1))</f>
        <v>0</v>
      </c>
      <c r="N350" s="255">
        <f ca="1">IF(ISERROR(OFFSET(Ottone!$A$1,MATCH(J350,Ottone!$A:$A,0)-1,MATCH(L350,Ottone!$A$1:$Z$1,0)-1)=TRUE),0,OFFSET(Ottone!$A$1,MATCH(J350,Ottone!$A:$A,0)-1,MATCH(L350,Ottone!$A$1:$Z$1,0)-1))*IF(G350="Ottone",1,0)</f>
        <v>0</v>
      </c>
      <c r="O350" s="255">
        <f ca="1">IF(ISERROR(OFFSET(Rame!$A$1,MATCH(J350,Rame!$A:$A,0)-1,MATCH(L350,Rame!$A$1:$AA$1,0)-1)=TRUE),0,OFFSET(Rame!$A$1,MATCH(J350,Rame!$A:$A,0)-1,MATCH(L350,Rame!$A$1:$AA$1,0)-1))*IF(G350="Rame",1,0)</f>
        <v>1.25</v>
      </c>
      <c r="P350" s="255">
        <v>0</v>
      </c>
      <c r="Q350" s="255">
        <f t="shared" ca="1" si="126"/>
        <v>1.25</v>
      </c>
      <c r="R350" s="255">
        <f ca="1">+IF(ISERROR(OFFSET(Tabella!$G$1,MATCH(J350,Tabella!$G:$G,0)-1,MATCH(K350,Tabella!$G$1:$FG$1,0)-1)=TRUE),0,OFFSET(Tabella!$G$1,MATCH(J350,Tabella!$G:$G,0)-1,MATCH(K350,Tabella!$G$1:$AB$1,0)-1))</f>
        <v>0</v>
      </c>
      <c r="S350" s="255">
        <f ca="1">IF(ISERROR(OFFSET(Ottone!$F$1,MATCH(J350,Ottone!$A:$A,0)-1,MATCH(K350,Ottone!$F$1:$FF$1,0)-1)=TRUE),0,OFFSET(Ottone!$F$1,MATCH(J350,Ottone!$A:$A,0)-1,MATCH(K350,Ottone!$F$1:$FF$1,0)-1))*IF(G350="Ottone",1,0)</f>
        <v>0</v>
      </c>
      <c r="T350" s="255">
        <f ca="1">IF(ISERROR(OFFSET(Rame!$F$1,MATCH(J350,Rame!$F:$F,0)-1,MATCH(K350,Rame!$F$1:$FF$1,0)-1)=TRUE),0,OFFSET(Rame!$F$1,MATCH(J350,Rame!$F:$F,0)-1,MATCH(K350,Rame!$F$1:$FF$1,0)-1))*IF(G350="Rame",1,0)</f>
        <v>0</v>
      </c>
      <c r="U350" s="255">
        <f ca="1">IF(ISERROR(OFFSET(Bronzo!$A$1,MATCH(J350,Bronzo!$A:$A,0)-1,MATCH(K350,Bronzo!$A$1:$AA$1,0)-1)=TRUE),0,OFFSET(Bronzo!$A$1,MATCH(J350,Bronzo!$A:$A,0)-1,MATCH(K350,Bronzo!$A$1:$AA$1,0)-1))</f>
        <v>0</v>
      </c>
      <c r="V350" s="255">
        <f t="shared" ca="1" si="127"/>
        <v>0</v>
      </c>
      <c r="W350" s="254"/>
      <c r="X350" s="255">
        <v>0</v>
      </c>
      <c r="Y350" s="256">
        <f t="shared" ca="1" si="128"/>
        <v>1.25</v>
      </c>
      <c r="Z350" s="269">
        <f t="shared" si="129"/>
        <v>35.25</v>
      </c>
      <c r="AA350" s="253">
        <v>15.2</v>
      </c>
      <c r="AB350" s="253">
        <f t="shared" ca="1" si="130"/>
        <v>2.75</v>
      </c>
      <c r="AC350" s="258"/>
      <c r="AF350" s="223" t="s">
        <v>405</v>
      </c>
      <c r="AH350" s="232">
        <f t="shared" ca="1" si="137"/>
        <v>46120</v>
      </c>
      <c r="AI350" s="232" t="b">
        <f t="shared" si="132"/>
        <v>1</v>
      </c>
      <c r="AJ350" s="259" t="str">
        <f t="shared" si="138"/>
        <v/>
      </c>
      <c r="AM350" s="223">
        <f t="shared" si="133"/>
        <v>0</v>
      </c>
      <c r="AN350" s="223">
        <f t="shared" si="134"/>
        <v>1900</v>
      </c>
      <c r="AU350" s="223">
        <f t="shared" si="135"/>
        <v>0</v>
      </c>
      <c r="AV350" s="223">
        <f t="shared" si="136"/>
        <v>0</v>
      </c>
    </row>
    <row r="351" spans="4:48" ht="26.25" x14ac:dyDescent="0.4">
      <c r="D351" s="246" t="s">
        <v>568</v>
      </c>
      <c r="E351" s="252" t="s">
        <v>92</v>
      </c>
      <c r="F351" s="276">
        <v>2200</v>
      </c>
      <c r="G351" s="249" t="s">
        <v>4</v>
      </c>
      <c r="H351" s="250">
        <v>2.68</v>
      </c>
      <c r="I351" s="251">
        <v>46080</v>
      </c>
      <c r="J351" s="252" t="s">
        <v>21</v>
      </c>
      <c r="K351" s="252"/>
      <c r="L351" s="253">
        <v>7.0000000000000007E-2</v>
      </c>
      <c r="M351" s="254">
        <f ca="1">IF(ISERROR(OFFSET(Tabella!$A$1,MATCH(J351,Tabella!$A:$A,0)-1,MATCH(L351,Tabella!$A$1:$AC$1,0)-1)=TRUE),0,+OFFSET(Tabella!$A$1,MATCH(J351,Tabella!$A:$A,0)-1,MATCH(L351,Tabella!$A$1:$AC$1,0)-1))</f>
        <v>1.25</v>
      </c>
      <c r="N351" s="255">
        <f ca="1">IF(ISERROR(OFFSET(Ottone!$A$1,MATCH(J351,Ottone!$A:$A,0)-1,MATCH(L351,Ottone!$A$1:$Z$1,0)-1)=TRUE),0,OFFSET(Ottone!$A$1,MATCH(J351,Ottone!$A:$A,0)-1,MATCH(L351,Ottone!$A$1:$Z$1,0)-1))*IF(G351="Ottone",1,0)</f>
        <v>0</v>
      </c>
      <c r="O351" s="255">
        <f ca="1">IF(ISERROR(OFFSET(Rame!$A$1,MATCH(J351,Rame!$A:$A,0)-1,MATCH(L351,Rame!$A$1:$AA$1,0)-1)=TRUE),0,OFFSET(Rame!$A$1,MATCH(J351,Rame!$A:$A,0)-1,MATCH(L351,Rame!$A$1:$AA$1,0)-1))*IF(G351="Rame",1,0)</f>
        <v>0</v>
      </c>
      <c r="P351" s="255">
        <v>0</v>
      </c>
      <c r="Q351" s="255">
        <f t="shared" ca="1" si="126"/>
        <v>1.25</v>
      </c>
      <c r="R351" s="255">
        <f ca="1">+IF(ISERROR(OFFSET(Tabella!$G$1,MATCH(J351,Tabella!$G:$G,0)-1,MATCH(K351,Tabella!$G$1:$FG$1,0)-1)=TRUE),0,OFFSET(Tabella!$G$1,MATCH(J351,Tabella!$G:$G,0)-1,MATCH(K351,Tabella!$G$1:$AB$1,0)-1))</f>
        <v>0</v>
      </c>
      <c r="S351" s="255">
        <f ca="1">IF(ISERROR(OFFSET(Ottone!$F$1,MATCH(J351,Ottone!$A:$A,0)-1,MATCH(K351,Ottone!$F$1:$FF$1,0)-1)=TRUE),0,OFFSET(Ottone!$F$1,MATCH(J351,Ottone!$A:$A,0)-1,MATCH(K351,Ottone!$F$1:$FF$1,0)-1))*IF(G351="Ottone",1,0)</f>
        <v>0</v>
      </c>
      <c r="T351" s="255">
        <f ca="1">IF(ISERROR(OFFSET(Rame!$F$1,MATCH(J351,Rame!$F:$F,0)-1,MATCH(K351,Rame!$F$1:$FF$1,0)-1)=TRUE),0,OFFSET(Rame!$F$1,MATCH(J351,Rame!$F:$F,0)-1,MATCH(K351,Rame!$F$1:$FF$1,0)-1))*IF(G351="Rame",1,0)</f>
        <v>0</v>
      </c>
      <c r="U351" s="255">
        <f ca="1">IF(ISERROR(OFFSET(Bronzo!$A$1,MATCH(J351,Bronzo!$A:$A,0)-1,MATCH(K351,Bronzo!$A$1:$AA$1,0)-1)=TRUE),0,OFFSET(Bronzo!$A$1,MATCH(J351,Bronzo!$A:$A,0)-1,MATCH(K351,Bronzo!$A$1:$AA$1,0)-1))</f>
        <v>0</v>
      </c>
      <c r="V351" s="255">
        <f t="shared" ca="1" si="127"/>
        <v>0</v>
      </c>
      <c r="W351" s="254"/>
      <c r="X351" s="255">
        <v>0</v>
      </c>
      <c r="Y351" s="256">
        <f t="shared" ca="1" si="128"/>
        <v>1.25</v>
      </c>
      <c r="Z351" s="257">
        <f t="shared" si="129"/>
        <v>154.00000000000003</v>
      </c>
      <c r="AA351" s="253">
        <v>4.18</v>
      </c>
      <c r="AB351" s="253">
        <f t="shared" ca="1" si="130"/>
        <v>0.24999999999999956</v>
      </c>
      <c r="AC351" s="258">
        <v>46147</v>
      </c>
      <c r="AH351" s="232">
        <f t="shared" ca="1" si="137"/>
        <v>46120</v>
      </c>
      <c r="AI351" s="232" t="b">
        <f t="shared" si="132"/>
        <v>0</v>
      </c>
      <c r="AJ351" s="259">
        <f t="shared" ca="1" si="138"/>
        <v>27</v>
      </c>
      <c r="AM351" s="223">
        <f t="shared" si="133"/>
        <v>19</v>
      </c>
      <c r="AN351" s="223">
        <f t="shared" si="134"/>
        <v>2026</v>
      </c>
      <c r="AU351" s="223">
        <f t="shared" si="135"/>
        <v>5</v>
      </c>
      <c r="AV351" s="223">
        <f t="shared" si="136"/>
        <v>2026</v>
      </c>
    </row>
    <row r="352" spans="4:48" ht="26.25" x14ac:dyDescent="0.4">
      <c r="D352" s="246" t="s">
        <v>568</v>
      </c>
      <c r="E352" s="252" t="s">
        <v>92</v>
      </c>
      <c r="F352" s="276">
        <v>12000</v>
      </c>
      <c r="G352" s="249" t="s">
        <v>4</v>
      </c>
      <c r="H352" s="250">
        <v>2.68</v>
      </c>
      <c r="I352" s="251">
        <v>46080</v>
      </c>
      <c r="J352" s="252" t="s">
        <v>24</v>
      </c>
      <c r="K352" s="252"/>
      <c r="L352" s="253">
        <v>7.0000000000000007E-2</v>
      </c>
      <c r="M352" s="254">
        <f ca="1">IF(ISERROR(OFFSET(Tabella!$A$1,MATCH(J352,Tabella!$A:$A,0)-1,MATCH(L352,Tabella!$A$1:$AC$1,0)-1)=TRUE),0,+OFFSET(Tabella!$A$1,MATCH(J352,Tabella!$A:$A,0)-1,MATCH(L352,Tabella!$A$1:$AC$1,0)-1))</f>
        <v>1.25</v>
      </c>
      <c r="N352" s="255">
        <f ca="1">IF(ISERROR(OFFSET(Ottone!$A$1,MATCH(J352,Ottone!$A:$A,0)-1,MATCH(L352,Ottone!$A$1:$Z$1,0)-1)=TRUE),0,OFFSET(Ottone!$A$1,MATCH(J352,Ottone!$A:$A,0)-1,MATCH(L352,Ottone!$A$1:$Z$1,0)-1))*IF(G352="Ottone",1,0)</f>
        <v>0</v>
      </c>
      <c r="O352" s="255">
        <f ca="1">IF(ISERROR(OFFSET(Rame!$A$1,MATCH(J352,Rame!$A:$A,0)-1,MATCH(L352,Rame!$A$1:$AA$1,0)-1)=TRUE),0,OFFSET(Rame!$A$1,MATCH(J352,Rame!$A:$A,0)-1,MATCH(L352,Rame!$A$1:$AA$1,0)-1))*IF(G352="Rame",1,0)</f>
        <v>0</v>
      </c>
      <c r="P352" s="255">
        <v>0</v>
      </c>
      <c r="Q352" s="255">
        <f t="shared" ca="1" si="126"/>
        <v>1.25</v>
      </c>
      <c r="R352" s="255">
        <f ca="1">+IF(ISERROR(OFFSET(Tabella!$G$1,MATCH(J352,Tabella!$G:$G,0)-1,MATCH(K352,Tabella!$G$1:$FG$1,0)-1)=TRUE),0,OFFSET(Tabella!$G$1,MATCH(J352,Tabella!$G:$G,0)-1,MATCH(K352,Tabella!$G$1:$AB$1,0)-1))</f>
        <v>0</v>
      </c>
      <c r="S352" s="255">
        <f ca="1">IF(ISERROR(OFFSET(Ottone!$F$1,MATCH(J352,Ottone!$A:$A,0)-1,MATCH(K352,Ottone!$F$1:$FF$1,0)-1)=TRUE),0,OFFSET(Ottone!$F$1,MATCH(J352,Ottone!$A:$A,0)-1,MATCH(K352,Ottone!$F$1:$FF$1,0)-1))*IF(G352="Ottone",1,0)</f>
        <v>0</v>
      </c>
      <c r="T352" s="255">
        <f ca="1">IF(ISERROR(OFFSET(Rame!$F$1,MATCH(J352,Rame!$F:$F,0)-1,MATCH(K352,Rame!$F$1:$FF$1,0)-1)=TRUE),0,OFFSET(Rame!$F$1,MATCH(J352,Rame!$F:$F,0)-1,MATCH(K352,Rame!$F$1:$FF$1,0)-1))*IF(G352="Rame",1,0)</f>
        <v>0</v>
      </c>
      <c r="U352" s="255">
        <f ca="1">IF(ISERROR(OFFSET(Bronzo!$A$1,MATCH(J352,Bronzo!$A:$A,0)-1,MATCH(K352,Bronzo!$A$1:$AA$1,0)-1)=TRUE),0,OFFSET(Bronzo!$A$1,MATCH(J352,Bronzo!$A:$A,0)-1,MATCH(K352,Bronzo!$A$1:$AA$1,0)-1))</f>
        <v>0</v>
      </c>
      <c r="V352" s="255">
        <f t="shared" ca="1" si="127"/>
        <v>0</v>
      </c>
      <c r="W352" s="254"/>
      <c r="X352" s="255">
        <v>0</v>
      </c>
      <c r="Y352" s="256">
        <f t="shared" ca="1" si="128"/>
        <v>1.25</v>
      </c>
      <c r="Z352" s="257">
        <f t="shared" si="129"/>
        <v>840.00000000000011</v>
      </c>
      <c r="AA352" s="253">
        <v>4.18</v>
      </c>
      <c r="AB352" s="253">
        <f t="shared" ca="1" si="130"/>
        <v>0.24999999999999956</v>
      </c>
      <c r="AC352" s="258">
        <v>46147</v>
      </c>
      <c r="AH352" s="232">
        <f t="shared" ca="1" si="137"/>
        <v>46120</v>
      </c>
      <c r="AI352" s="232" t="b">
        <f t="shared" si="132"/>
        <v>0</v>
      </c>
      <c r="AJ352" s="259">
        <f t="shared" ca="1" si="138"/>
        <v>27</v>
      </c>
      <c r="AM352" s="223">
        <f t="shared" si="133"/>
        <v>19</v>
      </c>
      <c r="AN352" s="223">
        <f t="shared" si="134"/>
        <v>2026</v>
      </c>
      <c r="AU352" s="223">
        <f t="shared" si="135"/>
        <v>5</v>
      </c>
      <c r="AV352" s="223">
        <f t="shared" si="136"/>
        <v>2026</v>
      </c>
    </row>
    <row r="353" spans="4:48" ht="26.25" x14ac:dyDescent="0.4">
      <c r="D353" s="246" t="s">
        <v>568</v>
      </c>
      <c r="E353" s="252" t="s">
        <v>92</v>
      </c>
      <c r="F353" s="276">
        <v>1300</v>
      </c>
      <c r="G353" s="249" t="s">
        <v>4</v>
      </c>
      <c r="H353" s="250">
        <v>2.68</v>
      </c>
      <c r="I353" s="251">
        <v>46080</v>
      </c>
      <c r="J353" s="252" t="s">
        <v>315</v>
      </c>
      <c r="K353" s="252"/>
      <c r="L353" s="253">
        <v>7.0000000000000007E-2</v>
      </c>
      <c r="M353" s="254">
        <f ca="1">IF(ISERROR(OFFSET(Tabella!$A$1,MATCH(J353,Tabella!$A:$A,0)-1,MATCH(L353,Tabella!$A$1:$AC$1,0)-1)=TRUE),0,+OFFSET(Tabella!$A$1,MATCH(J353,Tabella!$A:$A,0)-1,MATCH(L353,Tabella!$A$1:$AC$1,0)-1))</f>
        <v>1.25</v>
      </c>
      <c r="N353" s="255">
        <f ca="1">IF(ISERROR(OFFSET(Ottone!$A$1,MATCH(J353,Ottone!$A:$A,0)-1,MATCH(L353,Ottone!$A$1:$Z$1,0)-1)=TRUE),0,OFFSET(Ottone!$A$1,MATCH(J353,Ottone!$A:$A,0)-1,MATCH(L353,Ottone!$A$1:$Z$1,0)-1))*IF(G353="Ottone",1,0)</f>
        <v>0</v>
      </c>
      <c r="O353" s="255">
        <f ca="1">IF(ISERROR(OFFSET(Rame!$A$1,MATCH(J353,Rame!$A:$A,0)-1,MATCH(L353,Rame!$A$1:$AA$1,0)-1)=TRUE),0,OFFSET(Rame!$A$1,MATCH(J353,Rame!$A:$A,0)-1,MATCH(L353,Rame!$A$1:$AA$1,0)-1))*IF(G353="Rame",1,0)</f>
        <v>0</v>
      </c>
      <c r="P353" s="255">
        <v>0</v>
      </c>
      <c r="Q353" s="255">
        <f t="shared" ca="1" si="126"/>
        <v>1.25</v>
      </c>
      <c r="R353" s="255">
        <f ca="1">+IF(ISERROR(OFFSET(Tabella!$G$1,MATCH(J353,Tabella!$G:$G,0)-1,MATCH(K353,Tabella!$G$1:$FG$1,0)-1)=TRUE),0,OFFSET(Tabella!$G$1,MATCH(J353,Tabella!$G:$G,0)-1,MATCH(K353,Tabella!$G$1:$AB$1,0)-1))</f>
        <v>0</v>
      </c>
      <c r="S353" s="255">
        <f ca="1">IF(ISERROR(OFFSET(Ottone!$F$1,MATCH(J353,Ottone!$A:$A,0)-1,MATCH(K353,Ottone!$F$1:$FF$1,0)-1)=TRUE),0,OFFSET(Ottone!$F$1,MATCH(J353,Ottone!$A:$A,0)-1,MATCH(K353,Ottone!$F$1:$FF$1,0)-1))*IF(G353="Ottone",1,0)</f>
        <v>0</v>
      </c>
      <c r="T353" s="255">
        <f ca="1">IF(ISERROR(OFFSET(Rame!$F$1,MATCH(J353,Rame!$F:$F,0)-1,MATCH(K353,Rame!$F$1:$FF$1,0)-1)=TRUE),0,OFFSET(Rame!$F$1,MATCH(J353,Rame!$F:$F,0)-1,MATCH(K353,Rame!$F$1:$FF$1,0)-1))*IF(G353="Rame",1,0)</f>
        <v>0</v>
      </c>
      <c r="U353" s="255">
        <f ca="1">IF(ISERROR(OFFSET(Bronzo!$A$1,MATCH(J353,Bronzo!$A:$A,0)-1,MATCH(K353,Bronzo!$A$1:$AA$1,0)-1)=TRUE),0,OFFSET(Bronzo!$A$1,MATCH(J353,Bronzo!$A:$A,0)-1,MATCH(K353,Bronzo!$A$1:$AA$1,0)-1))</f>
        <v>0</v>
      </c>
      <c r="V353" s="255">
        <f t="shared" ca="1" si="127"/>
        <v>0</v>
      </c>
      <c r="W353" s="254"/>
      <c r="X353" s="255">
        <v>0</v>
      </c>
      <c r="Y353" s="256">
        <f t="shared" ca="1" si="128"/>
        <v>1.25</v>
      </c>
      <c r="Z353" s="257">
        <f t="shared" si="129"/>
        <v>91.000000000000014</v>
      </c>
      <c r="AA353" s="253">
        <v>4.18</v>
      </c>
      <c r="AB353" s="253">
        <f t="shared" ca="1" si="130"/>
        <v>0.24999999999999956</v>
      </c>
      <c r="AC353" s="258">
        <v>46147</v>
      </c>
      <c r="AH353" s="232">
        <f t="shared" ca="1" si="137"/>
        <v>46120</v>
      </c>
      <c r="AI353" s="232" t="b">
        <f t="shared" si="132"/>
        <v>0</v>
      </c>
      <c r="AJ353" s="259">
        <f t="shared" ca="1" si="138"/>
        <v>27</v>
      </c>
      <c r="AM353" s="223">
        <f t="shared" si="133"/>
        <v>19</v>
      </c>
      <c r="AN353" s="223">
        <f t="shared" si="134"/>
        <v>2026</v>
      </c>
      <c r="AU353" s="223">
        <f t="shared" si="135"/>
        <v>5</v>
      </c>
      <c r="AV353" s="223">
        <f t="shared" si="136"/>
        <v>2026</v>
      </c>
    </row>
    <row r="354" spans="4:48" ht="26.25" x14ac:dyDescent="0.4">
      <c r="D354" s="246" t="s">
        <v>661</v>
      </c>
      <c r="E354" s="262" t="s">
        <v>420</v>
      </c>
      <c r="F354" s="263">
        <v>1518</v>
      </c>
      <c r="G354" s="249" t="s">
        <v>4</v>
      </c>
      <c r="H354" s="250">
        <v>2.66</v>
      </c>
      <c r="I354" s="251">
        <v>46044</v>
      </c>
      <c r="J354" s="252" t="s">
        <v>26</v>
      </c>
      <c r="K354" s="252"/>
      <c r="L354" s="253">
        <v>0.05</v>
      </c>
      <c r="M354" s="254">
        <f ca="1">IF(ISERROR(OFFSET(Tabella!$A$1,MATCH(J354,Tabella!$A:$A,0)-1,MATCH(L354,Tabella!$A$1:$AC$1,0)-1)=TRUE),0,+OFFSET(Tabella!$A$1,MATCH(J354,Tabella!$A:$A,0)-1,MATCH(L354,Tabella!$A$1:$AC$1,0)-1))</f>
        <v>0</v>
      </c>
      <c r="N354" s="255">
        <f ca="1">IF(ISERROR(OFFSET(Ottone!$A$1,MATCH(J354,Ottone!$A:$A,0)-1,MATCH(L354,Ottone!$A$1:$Z$1,0)-1)=TRUE),0,OFFSET(Ottone!$A$1,MATCH(J354,Ottone!$A:$A,0)-1,MATCH(L354,Ottone!$A$1:$Z$1,0)-1))*IF(G354="Ottone",1,0)</f>
        <v>0</v>
      </c>
      <c r="O354" s="255">
        <f ca="1">IF(ISERROR(OFFSET(Rame!$A$1,MATCH(J354,Rame!$A:$A,0)-1,MATCH(L354,Rame!$A$1:$AA$1,0)-1)=TRUE),0,OFFSET(Rame!$A$1,MATCH(J354,Rame!$A:$A,0)-1,MATCH(L354,Rame!$A$1:$AA$1,0)-1))*IF(G354="Rame",1,0)</f>
        <v>0</v>
      </c>
      <c r="P354" s="255">
        <v>0</v>
      </c>
      <c r="Q354" s="255">
        <v>1.5</v>
      </c>
      <c r="R354" s="255">
        <f ca="1">+IF(ISERROR(OFFSET(Tabella!$G$1,MATCH(J354,Tabella!$G:$G,0)-1,MATCH(K354,Tabella!$G$1:$FG$1,0)-1)=TRUE),0,OFFSET(Tabella!$G$1,MATCH(J354,Tabella!$G:$G,0)-1,MATCH(K354,Tabella!$G$1:$AB$1,0)-1))</f>
        <v>0</v>
      </c>
      <c r="S354" s="255">
        <f ca="1">IF(ISERROR(OFFSET(Ottone!$F$1,MATCH(J354,Ottone!$A:$A,0)-1,MATCH(K354,Ottone!$F$1:$FF$1,0)-1)=TRUE),0,OFFSET(Ottone!$F$1,MATCH(J354,Ottone!$A:$A,0)-1,MATCH(K354,Ottone!$F$1:$FF$1,0)-1))*IF(G354="Ottone",1,0)</f>
        <v>0</v>
      </c>
      <c r="T354" s="255">
        <f ca="1">IF(ISERROR(OFFSET(Rame!$F$1,MATCH(J354,Rame!$F:$F,0)-1,MATCH(K354,Rame!$F$1:$FF$1,0)-1)=TRUE),0,OFFSET(Rame!$F$1,MATCH(J354,Rame!$F:$F,0)-1,MATCH(K354,Rame!$F$1:$FF$1,0)-1))*IF(G354="Rame",1,0)</f>
        <v>0</v>
      </c>
      <c r="U354" s="255">
        <f ca="1">IF(ISERROR(OFFSET(Bronzo!$A$1,MATCH(J354,Bronzo!$A:$A,0)-1,MATCH(K354,Bronzo!$A$1:$AA$1,0)-1)=TRUE),0,OFFSET(Bronzo!$A$1,MATCH(J354,Bronzo!$A:$A,0)-1,MATCH(K354,Bronzo!$A$1:$AA$1,0)-1))</f>
        <v>0</v>
      </c>
      <c r="V354" s="255">
        <f t="shared" ref="V354:V417" ca="1" si="139">SUM(R354:U354)</f>
        <v>0</v>
      </c>
      <c r="W354" s="254"/>
      <c r="X354" s="255">
        <v>0</v>
      </c>
      <c r="Y354" s="256">
        <f t="shared" ref="Y354:Y417" ca="1" si="140">+Q354+V354+W354+X354</f>
        <v>1.5</v>
      </c>
      <c r="Z354" s="269">
        <f t="shared" ref="Z354:Z417" si="141">+L354*F354</f>
        <v>75.900000000000006</v>
      </c>
      <c r="AA354" s="253">
        <v>4.0999999999999996</v>
      </c>
      <c r="AB354" s="253">
        <f t="shared" ref="AB354:AB417" ca="1" si="142">+AA354-Y354-H354</f>
        <v>-6.0000000000000497E-2</v>
      </c>
      <c r="AC354" s="258"/>
      <c r="AF354" s="223" t="s">
        <v>405</v>
      </c>
      <c r="AH354" s="232">
        <f t="shared" ca="1" si="137"/>
        <v>46120</v>
      </c>
      <c r="AI354" s="232" t="b">
        <f t="shared" si="132"/>
        <v>1</v>
      </c>
      <c r="AJ354" s="259" t="str">
        <f t="shared" si="138"/>
        <v/>
      </c>
      <c r="AM354" s="223">
        <f t="shared" si="133"/>
        <v>0</v>
      </c>
      <c r="AN354" s="223">
        <f t="shared" si="134"/>
        <v>1900</v>
      </c>
      <c r="AU354" s="223">
        <f t="shared" si="135"/>
        <v>0</v>
      </c>
      <c r="AV354" s="223">
        <f t="shared" si="136"/>
        <v>0</v>
      </c>
    </row>
    <row r="355" spans="4:48" ht="26.25" x14ac:dyDescent="0.4">
      <c r="D355" s="246" t="s">
        <v>773</v>
      </c>
      <c r="E355" s="262" t="s">
        <v>397</v>
      </c>
      <c r="F355" s="263">
        <v>464</v>
      </c>
      <c r="G355" s="249" t="s">
        <v>4</v>
      </c>
      <c r="H355" s="250">
        <v>2.76</v>
      </c>
      <c r="I355" s="251">
        <v>46083</v>
      </c>
      <c r="J355" s="252" t="s">
        <v>25</v>
      </c>
      <c r="K355" s="252"/>
      <c r="L355" s="253">
        <v>7.0000000000000007E-2</v>
      </c>
      <c r="M355" s="254">
        <f ca="1">IF(ISERROR(OFFSET(Tabella!$A$1,MATCH(J355,Tabella!$A:$A,0)-1,MATCH(L355,Tabella!$A$1:$AC$1,0)-1)=TRUE),0,+OFFSET(Tabella!$A$1,MATCH(J355,Tabella!$A:$A,0)-1,MATCH(L355,Tabella!$A$1:$AC$1,0)-1))</f>
        <v>1.25</v>
      </c>
      <c r="N355" s="255">
        <f ca="1">IF(ISERROR(OFFSET(Ottone!$A$1,MATCH(J355,Ottone!$A:$A,0)-1,MATCH(L355,Ottone!$A$1:$Z$1,0)-1)=TRUE),0,OFFSET(Ottone!$A$1,MATCH(J355,Ottone!$A:$A,0)-1,MATCH(L355,Ottone!$A$1:$Z$1,0)-1))*IF(G355="Ottone",1,0)</f>
        <v>0</v>
      </c>
      <c r="O355" s="255">
        <f ca="1">IF(ISERROR(OFFSET(Rame!$A$1,MATCH(J355,Rame!$A:$A,0)-1,MATCH(L355,Rame!$A$1:$AA$1,0)-1)=TRUE),0,OFFSET(Rame!$A$1,MATCH(J355,Rame!$A:$A,0)-1,MATCH(L355,Rame!$A$1:$AA$1,0)-1))*IF(G355="Rame",1,0)</f>
        <v>0</v>
      </c>
      <c r="P355" s="255">
        <v>0</v>
      </c>
      <c r="Q355" s="255">
        <f t="shared" ref="Q355:Q417" ca="1" si="143">SUM(M355:P355)</f>
        <v>1.25</v>
      </c>
      <c r="R355" s="255">
        <f ca="1">+IF(ISERROR(OFFSET(Tabella!$G$1,MATCH(J355,Tabella!$G:$G,0)-1,MATCH(K355,Tabella!$G$1:$FG$1,0)-1)=TRUE),0,OFFSET(Tabella!$G$1,MATCH(J355,Tabella!$G:$G,0)-1,MATCH(K355,Tabella!$G$1:$AB$1,0)-1))</f>
        <v>0</v>
      </c>
      <c r="S355" s="255">
        <f ca="1">IF(ISERROR(OFFSET(Ottone!$F$1,MATCH(J355,Ottone!$A:$A,0)-1,MATCH(K355,Ottone!$F$1:$FF$1,0)-1)=TRUE),0,OFFSET(Ottone!$F$1,MATCH(J355,Ottone!$A:$A,0)-1,MATCH(K355,Ottone!$F$1:$FF$1,0)-1))*IF(G355="Ottone",1,0)</f>
        <v>0</v>
      </c>
      <c r="T355" s="255">
        <f ca="1">IF(ISERROR(OFFSET(Rame!$F$1,MATCH(J355,Rame!$F:$F,0)-1,MATCH(K355,Rame!$F$1:$FF$1,0)-1)=TRUE),0,OFFSET(Rame!$F$1,MATCH(J355,Rame!$F:$F,0)-1,MATCH(K355,Rame!$F$1:$FF$1,0)-1))*IF(G355="Rame",1,0)</f>
        <v>0</v>
      </c>
      <c r="U355" s="255">
        <f ca="1">IF(ISERROR(OFFSET(Bronzo!$A$1,MATCH(J355,Bronzo!$A:$A,0)-1,MATCH(K355,Bronzo!$A$1:$AA$1,0)-1)=TRUE),0,OFFSET(Bronzo!$A$1,MATCH(J355,Bronzo!$A:$A,0)-1,MATCH(K355,Bronzo!$A$1:$AA$1,0)-1))</f>
        <v>0</v>
      </c>
      <c r="V355" s="255">
        <f t="shared" ca="1" si="139"/>
        <v>0</v>
      </c>
      <c r="W355" s="254"/>
      <c r="X355" s="255">
        <v>0</v>
      </c>
      <c r="Y355" s="256">
        <f t="shared" ca="1" si="140"/>
        <v>1.25</v>
      </c>
      <c r="Z355" s="269">
        <f t="shared" si="141"/>
        <v>32.480000000000004</v>
      </c>
      <c r="AA355" s="253">
        <v>4.4800000000000004</v>
      </c>
      <c r="AB355" s="253">
        <f t="shared" ca="1" si="142"/>
        <v>0.47000000000000064</v>
      </c>
      <c r="AC355" s="258"/>
      <c r="AF355" s="223" t="s">
        <v>405</v>
      </c>
      <c r="AH355" s="232">
        <f t="shared" ca="1" si="137"/>
        <v>46120</v>
      </c>
      <c r="AI355" s="232" t="b">
        <f t="shared" si="132"/>
        <v>1</v>
      </c>
      <c r="AJ355" s="259" t="str">
        <f t="shared" si="138"/>
        <v/>
      </c>
      <c r="AM355" s="223">
        <f t="shared" si="133"/>
        <v>0</v>
      </c>
      <c r="AN355" s="223">
        <f t="shared" si="134"/>
        <v>1900</v>
      </c>
      <c r="AU355" s="223">
        <f t="shared" si="135"/>
        <v>0</v>
      </c>
      <c r="AV355" s="223">
        <f t="shared" si="136"/>
        <v>0</v>
      </c>
    </row>
    <row r="356" spans="4:48" ht="26.25" x14ac:dyDescent="0.4">
      <c r="D356" s="246" t="s">
        <v>567</v>
      </c>
      <c r="E356" s="252" t="s">
        <v>263</v>
      </c>
      <c r="F356" s="276">
        <v>2500</v>
      </c>
      <c r="G356" s="249" t="s">
        <v>4</v>
      </c>
      <c r="H356" s="250">
        <v>2.61</v>
      </c>
      <c r="I356" s="251">
        <v>46084</v>
      </c>
      <c r="J356" s="252" t="s">
        <v>15</v>
      </c>
      <c r="K356" s="252"/>
      <c r="L356" s="253">
        <v>7.0000000000000007E-2</v>
      </c>
      <c r="M356" s="254">
        <f ca="1">IF(ISERROR(OFFSET(Tabella!$A$1,MATCH(J356,Tabella!$A:$A,0)-1,MATCH(L356,Tabella!$A$1:$AC$1,0)-1)=TRUE),0,+OFFSET(Tabella!$A$1,MATCH(J356,Tabella!$A:$A,0)-1,MATCH(L356,Tabella!$A$1:$AC$1,0)-1))</f>
        <v>1.4</v>
      </c>
      <c r="N356" s="255">
        <f ca="1">IF(ISERROR(OFFSET(Ottone!$A$1,MATCH(J356,Ottone!$A:$A,0)-1,MATCH(L356,Ottone!$A$1:$Z$1,0)-1)=TRUE),0,OFFSET(Ottone!$A$1,MATCH(J356,Ottone!$A:$A,0)-1,MATCH(L356,Ottone!$A$1:$Z$1,0)-1))*IF(G356="Ottone",1,0)</f>
        <v>0</v>
      </c>
      <c r="O356" s="255">
        <f ca="1">IF(ISERROR(OFFSET(Rame!$A$1,MATCH(J356,Rame!$A:$A,0)-1,MATCH(L356,Rame!$A$1:$AA$1,0)-1)=TRUE),0,OFFSET(Rame!$A$1,MATCH(J356,Rame!$A:$A,0)-1,MATCH(L356,Rame!$A$1:$AA$1,0)-1))*IF(G356="Rame",1,0)</f>
        <v>0</v>
      </c>
      <c r="P356" s="255">
        <v>0</v>
      </c>
      <c r="Q356" s="255">
        <v>1.65</v>
      </c>
      <c r="R356" s="255">
        <f ca="1">+IF(ISERROR(OFFSET(Tabella!$G$1,MATCH(J356,Tabella!$G:$G,0)-1,MATCH(K356,Tabella!$G$1:$FG$1,0)-1)=TRUE),0,OFFSET(Tabella!$G$1,MATCH(J356,Tabella!$G:$G,0)-1,MATCH(K356,Tabella!$G$1:$AB$1,0)-1))</f>
        <v>0</v>
      </c>
      <c r="S356" s="255">
        <f ca="1">IF(ISERROR(OFFSET(Ottone!$F$1,MATCH(J356,Ottone!$A:$A,0)-1,MATCH(K356,Ottone!$F$1:$FF$1,0)-1)=TRUE),0,OFFSET(Ottone!$F$1,MATCH(J356,Ottone!$A:$A,0)-1,MATCH(K356,Ottone!$F$1:$FF$1,0)-1))*IF(G356="Ottone",1,0)</f>
        <v>0</v>
      </c>
      <c r="T356" s="255">
        <f ca="1">IF(ISERROR(OFFSET(Rame!$F$1,MATCH(J356,Rame!$F:$F,0)-1,MATCH(K356,Rame!$F$1:$FF$1,0)-1)=TRUE),0,OFFSET(Rame!$F$1,MATCH(J356,Rame!$F:$F,0)-1,MATCH(K356,Rame!$F$1:$FF$1,0)-1))*IF(G356="Rame",1,0)</f>
        <v>0</v>
      </c>
      <c r="U356" s="255">
        <f ca="1">IF(ISERROR(OFFSET(Bronzo!$A$1,MATCH(J356,Bronzo!$A:$A,0)-1,MATCH(K356,Bronzo!$A$1:$AA$1,0)-1)=TRUE),0,OFFSET(Bronzo!$A$1,MATCH(J356,Bronzo!$A:$A,0)-1,MATCH(K356,Bronzo!$A$1:$AA$1,0)-1))</f>
        <v>0</v>
      </c>
      <c r="V356" s="255">
        <f t="shared" ca="1" si="139"/>
        <v>0</v>
      </c>
      <c r="W356" s="254"/>
      <c r="X356" s="255">
        <v>0</v>
      </c>
      <c r="Y356" s="256">
        <f t="shared" ca="1" si="140"/>
        <v>1.65</v>
      </c>
      <c r="Z356" s="257">
        <f t="shared" si="141"/>
        <v>175.00000000000003</v>
      </c>
      <c r="AA356" s="253">
        <v>4.33</v>
      </c>
      <c r="AB356" s="253">
        <f t="shared" ca="1" si="142"/>
        <v>7.0000000000000284E-2</v>
      </c>
      <c r="AC356" s="258">
        <v>46122</v>
      </c>
      <c r="AH356" s="232">
        <f t="shared" ca="1" si="137"/>
        <v>46120</v>
      </c>
      <c r="AI356" s="232" t="b">
        <f t="shared" si="132"/>
        <v>0</v>
      </c>
      <c r="AJ356" s="259">
        <f t="shared" ca="1" si="138"/>
        <v>2</v>
      </c>
      <c r="AM356" s="223">
        <f t="shared" si="133"/>
        <v>15</v>
      </c>
      <c r="AN356" s="223">
        <f t="shared" si="134"/>
        <v>2026</v>
      </c>
      <c r="AU356" s="223">
        <f t="shared" si="135"/>
        <v>4</v>
      </c>
      <c r="AV356" s="223">
        <f t="shared" si="136"/>
        <v>2026</v>
      </c>
    </row>
    <row r="357" spans="4:48" ht="26.25" x14ac:dyDescent="0.4">
      <c r="D357" s="246" t="s">
        <v>567</v>
      </c>
      <c r="E357" s="252" t="s">
        <v>263</v>
      </c>
      <c r="F357" s="276">
        <v>1000</v>
      </c>
      <c r="G357" s="249" t="s">
        <v>4</v>
      </c>
      <c r="H357" s="250">
        <v>2.61</v>
      </c>
      <c r="I357" s="251">
        <v>46084</v>
      </c>
      <c r="J357" s="252" t="s">
        <v>9</v>
      </c>
      <c r="K357" s="252"/>
      <c r="L357" s="253">
        <v>7.0000000000000007E-2</v>
      </c>
      <c r="M357" s="254">
        <f ca="1">IF(ISERROR(OFFSET(Tabella!$A$1,MATCH(J357,Tabella!$A:$A,0)-1,MATCH(L357,Tabella!$A$1:$AC$1,0)-1)=TRUE),0,+OFFSET(Tabella!$A$1,MATCH(J357,Tabella!$A:$A,0)-1,MATCH(L357,Tabella!$A$1:$AC$1,0)-1))</f>
        <v>1.6</v>
      </c>
      <c r="N357" s="255">
        <f ca="1">IF(ISERROR(OFFSET(Ottone!$A$1,MATCH(J357,Ottone!$A:$A,0)-1,MATCH(L357,Ottone!$A$1:$Z$1,0)-1)=TRUE),0,OFFSET(Ottone!$A$1,MATCH(J357,Ottone!$A:$A,0)-1,MATCH(L357,Ottone!$A$1:$Z$1,0)-1))*IF(G357="Ottone",1,0)</f>
        <v>0</v>
      </c>
      <c r="O357" s="255">
        <f ca="1">IF(ISERROR(OFFSET(Rame!$A$1,MATCH(J357,Rame!$A:$A,0)-1,MATCH(L357,Rame!$A$1:$AA$1,0)-1)=TRUE),0,OFFSET(Rame!$A$1,MATCH(J357,Rame!$A:$A,0)-1,MATCH(L357,Rame!$A$1:$AA$1,0)-1))*IF(G357="Rame",1,0)</f>
        <v>0</v>
      </c>
      <c r="P357" s="255">
        <v>0</v>
      </c>
      <c r="Q357" s="255">
        <v>1.8</v>
      </c>
      <c r="R357" s="255">
        <f ca="1">+IF(ISERROR(OFFSET(Tabella!$G$1,MATCH(J357,Tabella!$G:$G,0)-1,MATCH(K357,Tabella!$G$1:$FG$1,0)-1)=TRUE),0,OFFSET(Tabella!$G$1,MATCH(J357,Tabella!$G:$G,0)-1,MATCH(K357,Tabella!$G$1:$AB$1,0)-1))</f>
        <v>0</v>
      </c>
      <c r="S357" s="255">
        <f ca="1">IF(ISERROR(OFFSET(Ottone!$F$1,MATCH(J357,Ottone!$A:$A,0)-1,MATCH(K357,Ottone!$F$1:$FF$1,0)-1)=TRUE),0,OFFSET(Ottone!$F$1,MATCH(J357,Ottone!$A:$A,0)-1,MATCH(K357,Ottone!$F$1:$FF$1,0)-1))*IF(G357="Ottone",1,0)</f>
        <v>0</v>
      </c>
      <c r="T357" s="255">
        <f ca="1">IF(ISERROR(OFFSET(Rame!$F$1,MATCH(J357,Rame!$F:$F,0)-1,MATCH(K357,Rame!$F$1:$FF$1,0)-1)=TRUE),0,OFFSET(Rame!$F$1,MATCH(J357,Rame!$F:$F,0)-1,MATCH(K357,Rame!$F$1:$FF$1,0)-1))*IF(G357="Rame",1,0)</f>
        <v>0</v>
      </c>
      <c r="U357" s="255">
        <f ca="1">IF(ISERROR(OFFSET(Bronzo!$A$1,MATCH(J357,Bronzo!$A:$A,0)-1,MATCH(K357,Bronzo!$A$1:$AA$1,0)-1)=TRUE),0,OFFSET(Bronzo!$A$1,MATCH(J357,Bronzo!$A:$A,0)-1,MATCH(K357,Bronzo!$A$1:$AA$1,0)-1))</f>
        <v>0</v>
      </c>
      <c r="V357" s="255">
        <f t="shared" ca="1" si="139"/>
        <v>0</v>
      </c>
      <c r="W357" s="254"/>
      <c r="X357" s="255">
        <v>0</v>
      </c>
      <c r="Y357" s="256">
        <f t="shared" ca="1" si="140"/>
        <v>1.8</v>
      </c>
      <c r="Z357" s="257">
        <f t="shared" si="141"/>
        <v>70</v>
      </c>
      <c r="AA357" s="253">
        <v>4.4800000000000004</v>
      </c>
      <c r="AB357" s="253">
        <f t="shared" ca="1" si="142"/>
        <v>7.0000000000000728E-2</v>
      </c>
      <c r="AC357" s="258">
        <v>46122</v>
      </c>
      <c r="AH357" s="232">
        <f t="shared" ca="1" si="137"/>
        <v>46120</v>
      </c>
      <c r="AI357" s="232" t="b">
        <f t="shared" si="132"/>
        <v>0</v>
      </c>
      <c r="AJ357" s="259">
        <f t="shared" ca="1" si="138"/>
        <v>2</v>
      </c>
      <c r="AM357" s="223">
        <f t="shared" si="133"/>
        <v>15</v>
      </c>
      <c r="AN357" s="223">
        <f t="shared" si="134"/>
        <v>2026</v>
      </c>
      <c r="AU357" s="223">
        <f t="shared" si="135"/>
        <v>4</v>
      </c>
      <c r="AV357" s="223">
        <f t="shared" si="136"/>
        <v>2026</v>
      </c>
    </row>
    <row r="358" spans="4:48" ht="26.25" x14ac:dyDescent="0.4">
      <c r="D358" s="246" t="s">
        <v>567</v>
      </c>
      <c r="E358" s="252" t="s">
        <v>263</v>
      </c>
      <c r="F358" s="276">
        <v>1500</v>
      </c>
      <c r="G358" s="249" t="s">
        <v>4</v>
      </c>
      <c r="H358" s="250">
        <v>2.61</v>
      </c>
      <c r="I358" s="251">
        <v>46084</v>
      </c>
      <c r="J358" s="252" t="s">
        <v>309</v>
      </c>
      <c r="K358" s="252"/>
      <c r="L358" s="253">
        <v>7.0000000000000007E-2</v>
      </c>
      <c r="M358" s="254">
        <f ca="1">IF(ISERROR(OFFSET(Tabella!$A$1,MATCH(J358,Tabella!$A:$A,0)-1,MATCH(L358,Tabella!$A$1:$AC$1,0)-1)=TRUE),0,+OFFSET(Tabella!$A$1,MATCH(J358,Tabella!$A:$A,0)-1,MATCH(L358,Tabella!$A$1:$AC$1,0)-1))</f>
        <v>1.25</v>
      </c>
      <c r="N358" s="255">
        <f ca="1">IF(ISERROR(OFFSET(Ottone!$A$1,MATCH(J358,Ottone!$A:$A,0)-1,MATCH(L358,Ottone!$A$1:$Z$1,0)-1)=TRUE),0,OFFSET(Ottone!$A$1,MATCH(J358,Ottone!$A:$A,0)-1,MATCH(L358,Ottone!$A$1:$Z$1,0)-1))*IF(G358="Ottone",1,0)</f>
        <v>0</v>
      </c>
      <c r="O358" s="255">
        <f ca="1">IF(ISERROR(OFFSET(Rame!$A$1,MATCH(J358,Rame!$A:$A,0)-1,MATCH(L358,Rame!$A$1:$AA$1,0)-1)=TRUE),0,OFFSET(Rame!$A$1,MATCH(J358,Rame!$A:$A,0)-1,MATCH(L358,Rame!$A$1:$AA$1,0)-1))*IF(G358="Rame",1,0)</f>
        <v>0</v>
      </c>
      <c r="P358" s="255">
        <v>0</v>
      </c>
      <c r="Q358" s="255">
        <v>1.5</v>
      </c>
      <c r="R358" s="255">
        <f ca="1">+IF(ISERROR(OFFSET(Tabella!$G$1,MATCH(J358,Tabella!$G:$G,0)-1,MATCH(K358,Tabella!$G$1:$FG$1,0)-1)=TRUE),0,OFFSET(Tabella!$G$1,MATCH(J358,Tabella!$G:$G,0)-1,MATCH(K358,Tabella!$G$1:$AB$1,0)-1))</f>
        <v>0</v>
      </c>
      <c r="S358" s="255">
        <f ca="1">IF(ISERROR(OFFSET(Ottone!$F$1,MATCH(J358,Ottone!$A:$A,0)-1,MATCH(K358,Ottone!$F$1:$FF$1,0)-1)=TRUE),0,OFFSET(Ottone!$F$1,MATCH(J358,Ottone!$A:$A,0)-1,MATCH(K358,Ottone!$F$1:$FF$1,0)-1))*IF(G358="Ottone",1,0)</f>
        <v>0</v>
      </c>
      <c r="T358" s="255">
        <f ca="1">IF(ISERROR(OFFSET(Rame!$F$1,MATCH(J358,Rame!$F:$F,0)-1,MATCH(K358,Rame!$F$1:$FF$1,0)-1)=TRUE),0,OFFSET(Rame!$F$1,MATCH(J358,Rame!$F:$F,0)-1,MATCH(K358,Rame!$F$1:$FF$1,0)-1))*IF(G358="Rame",1,0)</f>
        <v>0</v>
      </c>
      <c r="U358" s="255">
        <f ca="1">IF(ISERROR(OFFSET(Bronzo!$A$1,MATCH(J358,Bronzo!$A:$A,0)-1,MATCH(K358,Bronzo!$A$1:$AA$1,0)-1)=TRUE),0,OFFSET(Bronzo!$A$1,MATCH(J358,Bronzo!$A:$A,0)-1,MATCH(K358,Bronzo!$A$1:$AA$1,0)-1))</f>
        <v>0</v>
      </c>
      <c r="V358" s="255">
        <f t="shared" ca="1" si="139"/>
        <v>0</v>
      </c>
      <c r="W358" s="254"/>
      <c r="X358" s="255">
        <v>0</v>
      </c>
      <c r="Y358" s="256">
        <f t="shared" ca="1" si="140"/>
        <v>1.5</v>
      </c>
      <c r="Z358" s="257">
        <f t="shared" si="141"/>
        <v>105.00000000000001</v>
      </c>
      <c r="AA358" s="253">
        <v>4.18</v>
      </c>
      <c r="AB358" s="253">
        <f t="shared" ca="1" si="142"/>
        <v>6.999999999999984E-2</v>
      </c>
      <c r="AC358" s="258">
        <v>46122</v>
      </c>
      <c r="AH358" s="232">
        <f t="shared" ca="1" si="137"/>
        <v>46120</v>
      </c>
      <c r="AI358" s="232" t="b">
        <f t="shared" si="132"/>
        <v>0</v>
      </c>
      <c r="AJ358" s="259">
        <f t="shared" ca="1" si="138"/>
        <v>2</v>
      </c>
      <c r="AM358" s="223">
        <f t="shared" si="133"/>
        <v>15</v>
      </c>
      <c r="AN358" s="223">
        <f t="shared" si="134"/>
        <v>2026</v>
      </c>
      <c r="AU358" s="223">
        <f t="shared" si="135"/>
        <v>4</v>
      </c>
      <c r="AV358" s="223">
        <f t="shared" si="136"/>
        <v>2026</v>
      </c>
    </row>
    <row r="359" spans="4:48" ht="26.25" x14ac:dyDescent="0.4">
      <c r="D359" s="246" t="s">
        <v>567</v>
      </c>
      <c r="E359" s="252" t="s">
        <v>263</v>
      </c>
      <c r="F359" s="276">
        <v>1500</v>
      </c>
      <c r="G359" s="249" t="s">
        <v>4</v>
      </c>
      <c r="H359" s="250">
        <v>2.61</v>
      </c>
      <c r="I359" s="251">
        <v>46084</v>
      </c>
      <c r="J359" s="252" t="s">
        <v>322</v>
      </c>
      <c r="K359" s="252"/>
      <c r="L359" s="253">
        <v>7.0000000000000007E-2</v>
      </c>
      <c r="M359" s="254">
        <f ca="1">IF(ISERROR(OFFSET(Tabella!$A$1,MATCH(J359,Tabella!$A:$A,0)-1,MATCH(L359,Tabella!$A$1:$AC$1,0)-1)=TRUE),0,+OFFSET(Tabella!$A$1,MATCH(J359,Tabella!$A:$A,0)-1,MATCH(L359,Tabella!$A$1:$AC$1,0)-1))</f>
        <v>1.25</v>
      </c>
      <c r="N359" s="255">
        <f ca="1">IF(ISERROR(OFFSET(Ottone!$A$1,MATCH(J359,Ottone!$A:$A,0)-1,MATCH(L359,Ottone!$A$1:$Z$1,0)-1)=TRUE),0,OFFSET(Ottone!$A$1,MATCH(J359,Ottone!$A:$A,0)-1,MATCH(L359,Ottone!$A$1:$Z$1,0)-1))*IF(G359="Ottone",1,0)</f>
        <v>0</v>
      </c>
      <c r="O359" s="255">
        <f ca="1">IF(ISERROR(OFFSET(Rame!$A$1,MATCH(J359,Rame!$A:$A,0)-1,MATCH(L359,Rame!$A$1:$AA$1,0)-1)=TRUE),0,OFFSET(Rame!$A$1,MATCH(J359,Rame!$A:$A,0)-1,MATCH(L359,Rame!$A$1:$AA$1,0)-1))*IF(G359="Rame",1,0)</f>
        <v>0</v>
      </c>
      <c r="P359" s="255">
        <v>0</v>
      </c>
      <c r="Q359" s="255">
        <v>1.5</v>
      </c>
      <c r="R359" s="255">
        <f ca="1">+IF(ISERROR(OFFSET(Tabella!$G$1,MATCH(J359,Tabella!$G:$G,0)-1,MATCH(K359,Tabella!$G$1:$FG$1,0)-1)=TRUE),0,OFFSET(Tabella!$G$1,MATCH(J359,Tabella!$G:$G,0)-1,MATCH(K359,Tabella!$G$1:$AB$1,0)-1))</f>
        <v>0</v>
      </c>
      <c r="S359" s="255">
        <f ca="1">IF(ISERROR(OFFSET(Ottone!$F$1,MATCH(J359,Ottone!$A:$A,0)-1,MATCH(K359,Ottone!$F$1:$FF$1,0)-1)=TRUE),0,OFFSET(Ottone!$F$1,MATCH(J359,Ottone!$A:$A,0)-1,MATCH(K359,Ottone!$F$1:$FF$1,0)-1))*IF(G359="Ottone",1,0)</f>
        <v>0</v>
      </c>
      <c r="T359" s="255">
        <f ca="1">IF(ISERROR(OFFSET(Rame!$F$1,MATCH(J359,Rame!$F:$F,0)-1,MATCH(K359,Rame!$F$1:$FF$1,0)-1)=TRUE),0,OFFSET(Rame!$F$1,MATCH(J359,Rame!$F:$F,0)-1,MATCH(K359,Rame!$F$1:$FF$1,0)-1))*IF(G359="Rame",1,0)</f>
        <v>0</v>
      </c>
      <c r="U359" s="255">
        <f ca="1">IF(ISERROR(OFFSET(Bronzo!$A$1,MATCH(J359,Bronzo!$A:$A,0)-1,MATCH(K359,Bronzo!$A$1:$AA$1,0)-1)=TRUE),0,OFFSET(Bronzo!$A$1,MATCH(J359,Bronzo!$A:$A,0)-1,MATCH(K359,Bronzo!$A$1:$AA$1,0)-1))</f>
        <v>0</v>
      </c>
      <c r="V359" s="255">
        <f t="shared" ca="1" si="139"/>
        <v>0</v>
      </c>
      <c r="W359" s="254"/>
      <c r="X359" s="255">
        <v>0</v>
      </c>
      <c r="Y359" s="256">
        <f t="shared" ca="1" si="140"/>
        <v>1.5</v>
      </c>
      <c r="Z359" s="257">
        <f t="shared" si="141"/>
        <v>105.00000000000001</v>
      </c>
      <c r="AA359" s="253">
        <v>4.18</v>
      </c>
      <c r="AB359" s="253">
        <f t="shared" ca="1" si="142"/>
        <v>6.999999999999984E-2</v>
      </c>
      <c r="AC359" s="258">
        <v>46122</v>
      </c>
      <c r="AH359" s="232">
        <f t="shared" ca="1" si="137"/>
        <v>46120</v>
      </c>
      <c r="AI359" s="232" t="b">
        <f t="shared" si="132"/>
        <v>0</v>
      </c>
      <c r="AJ359" s="259">
        <f t="shared" ca="1" si="138"/>
        <v>2</v>
      </c>
      <c r="AM359" s="223">
        <f t="shared" si="133"/>
        <v>15</v>
      </c>
      <c r="AN359" s="223">
        <f t="shared" si="134"/>
        <v>2026</v>
      </c>
      <c r="AU359" s="223">
        <f t="shared" si="135"/>
        <v>4</v>
      </c>
      <c r="AV359" s="223">
        <f t="shared" si="136"/>
        <v>2026</v>
      </c>
    </row>
    <row r="360" spans="4:48" ht="26.25" x14ac:dyDescent="0.4">
      <c r="D360" s="246" t="s">
        <v>567</v>
      </c>
      <c r="E360" s="252" t="s">
        <v>263</v>
      </c>
      <c r="F360" s="276">
        <v>750</v>
      </c>
      <c r="G360" s="249" t="s">
        <v>4</v>
      </c>
      <c r="H360" s="250">
        <v>2.61</v>
      </c>
      <c r="I360" s="251">
        <v>46084</v>
      </c>
      <c r="J360" s="252" t="s">
        <v>314</v>
      </c>
      <c r="K360" s="252"/>
      <c r="L360" s="253">
        <v>7.0000000000000007E-2</v>
      </c>
      <c r="M360" s="254">
        <f ca="1">IF(ISERROR(OFFSET(Tabella!$A$1,MATCH(J360,Tabella!$A:$A,0)-1,MATCH(L360,Tabella!$A$1:$AC$1,0)-1)=TRUE),0,+OFFSET(Tabella!$A$1,MATCH(J360,Tabella!$A:$A,0)-1,MATCH(L360,Tabella!$A$1:$AC$1,0)-1))</f>
        <v>1.25</v>
      </c>
      <c r="N360" s="255">
        <f ca="1">IF(ISERROR(OFFSET(Ottone!$A$1,MATCH(J360,Ottone!$A:$A,0)-1,MATCH(L360,Ottone!$A$1:$Z$1,0)-1)=TRUE),0,OFFSET(Ottone!$A$1,MATCH(J360,Ottone!$A:$A,0)-1,MATCH(L360,Ottone!$A$1:$Z$1,0)-1))*IF(G360="Ottone",1,0)</f>
        <v>0</v>
      </c>
      <c r="O360" s="255">
        <f ca="1">IF(ISERROR(OFFSET(Rame!$A$1,MATCH(J360,Rame!$A:$A,0)-1,MATCH(L360,Rame!$A$1:$AA$1,0)-1)=TRUE),0,OFFSET(Rame!$A$1,MATCH(J360,Rame!$A:$A,0)-1,MATCH(L360,Rame!$A$1:$AA$1,0)-1))*IF(G360="Rame",1,0)</f>
        <v>0</v>
      </c>
      <c r="P360" s="255">
        <v>0</v>
      </c>
      <c r="Q360" s="255">
        <v>1.5</v>
      </c>
      <c r="R360" s="255">
        <f ca="1">+IF(ISERROR(OFFSET(Tabella!$G$1,MATCH(J360,Tabella!$G:$G,0)-1,MATCH(K360,Tabella!$G$1:$FG$1,0)-1)=TRUE),0,OFFSET(Tabella!$G$1,MATCH(J360,Tabella!$G:$G,0)-1,MATCH(K360,Tabella!$G$1:$AB$1,0)-1))</f>
        <v>0</v>
      </c>
      <c r="S360" s="255">
        <f ca="1">IF(ISERROR(OFFSET(Ottone!$F$1,MATCH(J360,Ottone!$A:$A,0)-1,MATCH(K360,Ottone!$F$1:$FF$1,0)-1)=TRUE),0,OFFSET(Ottone!$F$1,MATCH(J360,Ottone!$A:$A,0)-1,MATCH(K360,Ottone!$F$1:$FF$1,0)-1))*IF(G360="Ottone",1,0)</f>
        <v>0</v>
      </c>
      <c r="T360" s="255">
        <f ca="1">IF(ISERROR(OFFSET(Rame!$F$1,MATCH(J360,Rame!$F:$F,0)-1,MATCH(K360,Rame!$F$1:$FF$1,0)-1)=TRUE),0,OFFSET(Rame!$F$1,MATCH(J360,Rame!$F:$F,0)-1,MATCH(K360,Rame!$F$1:$FF$1,0)-1))*IF(G360="Rame",1,0)</f>
        <v>0</v>
      </c>
      <c r="U360" s="255">
        <f ca="1">IF(ISERROR(OFFSET(Bronzo!$A$1,MATCH(J360,Bronzo!$A:$A,0)-1,MATCH(K360,Bronzo!$A$1:$AA$1,0)-1)=TRUE),0,OFFSET(Bronzo!$A$1,MATCH(J360,Bronzo!$A:$A,0)-1,MATCH(K360,Bronzo!$A$1:$AA$1,0)-1))</f>
        <v>0</v>
      </c>
      <c r="V360" s="255">
        <f t="shared" ca="1" si="139"/>
        <v>0</v>
      </c>
      <c r="W360" s="254"/>
      <c r="X360" s="255">
        <v>0</v>
      </c>
      <c r="Y360" s="256">
        <f t="shared" ca="1" si="140"/>
        <v>1.5</v>
      </c>
      <c r="Z360" s="257">
        <f t="shared" si="141"/>
        <v>52.500000000000007</v>
      </c>
      <c r="AA360" s="253">
        <v>4.18</v>
      </c>
      <c r="AB360" s="253">
        <f t="shared" ca="1" si="142"/>
        <v>6.999999999999984E-2</v>
      </c>
      <c r="AC360" s="258">
        <v>46122</v>
      </c>
      <c r="AH360" s="232">
        <f t="shared" ca="1" si="137"/>
        <v>46120</v>
      </c>
      <c r="AI360" s="232" t="b">
        <f t="shared" si="132"/>
        <v>0</v>
      </c>
      <c r="AJ360" s="259">
        <f t="shared" ca="1" si="138"/>
        <v>2</v>
      </c>
      <c r="AM360" s="223">
        <f t="shared" si="133"/>
        <v>15</v>
      </c>
      <c r="AN360" s="223">
        <f t="shared" si="134"/>
        <v>2026</v>
      </c>
      <c r="AU360" s="223">
        <f t="shared" si="135"/>
        <v>4</v>
      </c>
      <c r="AV360" s="223">
        <f t="shared" si="136"/>
        <v>2026</v>
      </c>
    </row>
    <row r="361" spans="4:48" ht="26.25" x14ac:dyDescent="0.4">
      <c r="D361" s="246" t="s">
        <v>766</v>
      </c>
      <c r="E361" s="292" t="s">
        <v>263</v>
      </c>
      <c r="F361" s="293">
        <v>1226</v>
      </c>
      <c r="G361" s="249" t="s">
        <v>4</v>
      </c>
      <c r="H361" s="250">
        <v>2.61</v>
      </c>
      <c r="I361" s="251">
        <v>46084</v>
      </c>
      <c r="J361" s="252" t="s">
        <v>21</v>
      </c>
      <c r="K361" s="252"/>
      <c r="L361" s="253">
        <v>7.0000000000000007E-2</v>
      </c>
      <c r="M361" s="254">
        <f ca="1">IF(ISERROR(OFFSET(Tabella!$A$1,MATCH(J361,Tabella!$A:$A,0)-1,MATCH(L361,Tabella!$A$1:$AC$1,0)-1)=TRUE),0,+OFFSET(Tabella!$A$1,MATCH(J361,Tabella!$A:$A,0)-1,MATCH(L361,Tabella!$A$1:$AC$1,0)-1))</f>
        <v>1.25</v>
      </c>
      <c r="N361" s="255">
        <f ca="1">IF(ISERROR(OFFSET(Ottone!$A$1,MATCH(J361,Ottone!$A:$A,0)-1,MATCH(L361,Ottone!$A$1:$Z$1,0)-1)=TRUE),0,OFFSET(Ottone!$A$1,MATCH(J361,Ottone!$A:$A,0)-1,MATCH(L361,Ottone!$A$1:$Z$1,0)-1))*IF(G361="Ottone",1,0)</f>
        <v>0</v>
      </c>
      <c r="O361" s="255">
        <f ca="1">IF(ISERROR(OFFSET(Rame!$A$1,MATCH(J361,Rame!$A:$A,0)-1,MATCH(L361,Rame!$A$1:$AA$1,0)-1)=TRUE),0,OFFSET(Rame!$A$1,MATCH(J361,Rame!$A:$A,0)-1,MATCH(L361,Rame!$A$1:$AA$1,0)-1))*IF(G361="Rame",1,0)</f>
        <v>0</v>
      </c>
      <c r="P361" s="255">
        <v>0</v>
      </c>
      <c r="Q361" s="255">
        <v>1.5</v>
      </c>
      <c r="R361" s="255">
        <f ca="1">+IF(ISERROR(OFFSET(Tabella!$G$1,MATCH(J361,Tabella!$G:$G,0)-1,MATCH(K361,Tabella!$G$1:$FG$1,0)-1)=TRUE),0,OFFSET(Tabella!$G$1,MATCH(J361,Tabella!$G:$G,0)-1,MATCH(K361,Tabella!$G$1:$AB$1,0)-1))</f>
        <v>0</v>
      </c>
      <c r="S361" s="255">
        <f ca="1">IF(ISERROR(OFFSET(Ottone!$F$1,MATCH(J361,Ottone!$A:$A,0)-1,MATCH(K361,Ottone!$F$1:$FF$1,0)-1)=TRUE),0,OFFSET(Ottone!$F$1,MATCH(J361,Ottone!$A:$A,0)-1,MATCH(K361,Ottone!$F$1:$FF$1,0)-1))*IF(G361="Ottone",1,0)</f>
        <v>0</v>
      </c>
      <c r="T361" s="255">
        <f ca="1">IF(ISERROR(OFFSET(Rame!$F$1,MATCH(J361,Rame!$F:$F,0)-1,MATCH(K361,Rame!$F$1:$FF$1,0)-1)=TRUE),0,OFFSET(Rame!$F$1,MATCH(J361,Rame!$F:$F,0)-1,MATCH(K361,Rame!$F$1:$FF$1,0)-1))*IF(G361="Rame",1,0)</f>
        <v>0</v>
      </c>
      <c r="U361" s="255">
        <f ca="1">IF(ISERROR(OFFSET(Bronzo!$A$1,MATCH(J361,Bronzo!$A:$A,0)-1,MATCH(K361,Bronzo!$A$1:$AA$1,0)-1)=TRUE),0,OFFSET(Bronzo!$A$1,MATCH(J361,Bronzo!$A:$A,0)-1,MATCH(K361,Bronzo!$A$1:$AA$1,0)-1))</f>
        <v>0</v>
      </c>
      <c r="V361" s="255">
        <f t="shared" ca="1" si="139"/>
        <v>0</v>
      </c>
      <c r="W361" s="254"/>
      <c r="X361" s="255">
        <v>0</v>
      </c>
      <c r="Y361" s="256">
        <f t="shared" ca="1" si="140"/>
        <v>1.5</v>
      </c>
      <c r="Z361" s="291">
        <f t="shared" si="141"/>
        <v>85.820000000000007</v>
      </c>
      <c r="AA361" s="253">
        <v>4.18</v>
      </c>
      <c r="AB361" s="253">
        <f t="shared" ca="1" si="142"/>
        <v>6.999999999999984E-2</v>
      </c>
      <c r="AC361" s="258"/>
      <c r="AH361" s="232">
        <f t="shared" ca="1" si="137"/>
        <v>46120</v>
      </c>
      <c r="AI361" s="232" t="b">
        <f t="shared" si="132"/>
        <v>1</v>
      </c>
      <c r="AJ361" s="259" t="str">
        <f t="shared" si="138"/>
        <v/>
      </c>
      <c r="AM361" s="223">
        <f t="shared" si="133"/>
        <v>0</v>
      </c>
      <c r="AN361" s="223">
        <f t="shared" si="134"/>
        <v>1900</v>
      </c>
      <c r="AU361" s="223">
        <f t="shared" si="135"/>
        <v>0</v>
      </c>
      <c r="AV361" s="223">
        <f t="shared" si="136"/>
        <v>0</v>
      </c>
    </row>
    <row r="362" spans="4:48" ht="26.25" x14ac:dyDescent="0.4">
      <c r="D362" s="246" t="s">
        <v>766</v>
      </c>
      <c r="E362" s="292" t="s">
        <v>263</v>
      </c>
      <c r="F362" s="293">
        <v>922</v>
      </c>
      <c r="G362" s="249" t="s">
        <v>4</v>
      </c>
      <c r="H362" s="250">
        <v>2.61</v>
      </c>
      <c r="I362" s="251">
        <v>46084</v>
      </c>
      <c r="J362" s="252" t="s">
        <v>9</v>
      </c>
      <c r="K362" s="252"/>
      <c r="L362" s="253">
        <v>7.0000000000000007E-2</v>
      </c>
      <c r="M362" s="254">
        <f ca="1">IF(ISERROR(OFFSET(Tabella!$A$1,MATCH(J362,Tabella!$A:$A,0)-1,MATCH(L362,Tabella!$A$1:$AC$1,0)-1)=TRUE),0,+OFFSET(Tabella!$A$1,MATCH(J362,Tabella!$A:$A,0)-1,MATCH(L362,Tabella!$A$1:$AC$1,0)-1))</f>
        <v>1.6</v>
      </c>
      <c r="N362" s="255">
        <f ca="1">IF(ISERROR(OFFSET(Ottone!$A$1,MATCH(J362,Ottone!$A:$A,0)-1,MATCH(L362,Ottone!$A$1:$Z$1,0)-1)=TRUE),0,OFFSET(Ottone!$A$1,MATCH(J362,Ottone!$A:$A,0)-1,MATCH(L362,Ottone!$A$1:$Z$1,0)-1))*IF(G362="Ottone",1,0)</f>
        <v>0</v>
      </c>
      <c r="O362" s="255">
        <f ca="1">IF(ISERROR(OFFSET(Rame!$A$1,MATCH(J362,Rame!$A:$A,0)-1,MATCH(L362,Rame!$A$1:$AA$1,0)-1)=TRUE),0,OFFSET(Rame!$A$1,MATCH(J362,Rame!$A:$A,0)-1,MATCH(L362,Rame!$A$1:$AA$1,0)-1))*IF(G362="Rame",1,0)</f>
        <v>0</v>
      </c>
      <c r="P362" s="255">
        <v>0</v>
      </c>
      <c r="Q362" s="255">
        <v>1.8</v>
      </c>
      <c r="R362" s="255">
        <f ca="1">+IF(ISERROR(OFFSET(Tabella!$G$1,MATCH(J362,Tabella!$G:$G,0)-1,MATCH(K362,Tabella!$G$1:$FG$1,0)-1)=TRUE),0,OFFSET(Tabella!$G$1,MATCH(J362,Tabella!$G:$G,0)-1,MATCH(K362,Tabella!$G$1:$AB$1,0)-1))</f>
        <v>0</v>
      </c>
      <c r="S362" s="255">
        <f ca="1">IF(ISERROR(OFFSET(Ottone!$F$1,MATCH(J362,Ottone!$A:$A,0)-1,MATCH(K362,Ottone!$F$1:$FF$1,0)-1)=TRUE),0,OFFSET(Ottone!$F$1,MATCH(J362,Ottone!$A:$A,0)-1,MATCH(K362,Ottone!$F$1:$FF$1,0)-1))*IF(G362="Ottone",1,0)</f>
        <v>0</v>
      </c>
      <c r="T362" s="255">
        <f ca="1">IF(ISERROR(OFFSET(Rame!$F$1,MATCH(J362,Rame!$F:$F,0)-1,MATCH(K362,Rame!$F$1:$FF$1,0)-1)=TRUE),0,OFFSET(Rame!$F$1,MATCH(J362,Rame!$F:$F,0)-1,MATCH(K362,Rame!$F$1:$FF$1,0)-1))*IF(G362="Rame",1,0)</f>
        <v>0</v>
      </c>
      <c r="U362" s="255">
        <f ca="1">IF(ISERROR(OFFSET(Bronzo!$A$1,MATCH(J362,Bronzo!$A:$A,0)-1,MATCH(K362,Bronzo!$A$1:$AA$1,0)-1)=TRUE),0,OFFSET(Bronzo!$A$1,MATCH(J362,Bronzo!$A:$A,0)-1,MATCH(K362,Bronzo!$A$1:$AA$1,0)-1))</f>
        <v>0</v>
      </c>
      <c r="V362" s="255">
        <f t="shared" ca="1" si="139"/>
        <v>0</v>
      </c>
      <c r="W362" s="254"/>
      <c r="X362" s="255">
        <v>0</v>
      </c>
      <c r="Y362" s="256">
        <f t="shared" ca="1" si="140"/>
        <v>1.8</v>
      </c>
      <c r="Z362" s="291">
        <f t="shared" si="141"/>
        <v>64.540000000000006</v>
      </c>
      <c r="AA362" s="253">
        <v>4.4800000000000004</v>
      </c>
      <c r="AB362" s="253">
        <f t="shared" ca="1" si="142"/>
        <v>7.0000000000000728E-2</v>
      </c>
      <c r="AC362" s="258"/>
      <c r="AH362" s="232">
        <f t="shared" ca="1" si="137"/>
        <v>46120</v>
      </c>
      <c r="AI362" s="232" t="b">
        <f t="shared" si="132"/>
        <v>1</v>
      </c>
      <c r="AJ362" s="259" t="str">
        <f t="shared" si="138"/>
        <v/>
      </c>
      <c r="AM362" s="223">
        <f t="shared" si="133"/>
        <v>0</v>
      </c>
      <c r="AN362" s="223">
        <f t="shared" si="134"/>
        <v>1900</v>
      </c>
      <c r="AU362" s="223">
        <f t="shared" si="135"/>
        <v>0</v>
      </c>
      <c r="AV362" s="223">
        <f t="shared" si="136"/>
        <v>0</v>
      </c>
    </row>
    <row r="363" spans="4:48" ht="26.25" x14ac:dyDescent="0.4">
      <c r="D363" s="246" t="s">
        <v>765</v>
      </c>
      <c r="E363" s="252" t="s">
        <v>263</v>
      </c>
      <c r="F363" s="276">
        <v>500</v>
      </c>
      <c r="G363" s="249" t="s">
        <v>4</v>
      </c>
      <c r="H363" s="250">
        <v>2.61</v>
      </c>
      <c r="I363" s="251">
        <v>46084</v>
      </c>
      <c r="J363" s="252" t="s">
        <v>15</v>
      </c>
      <c r="K363" s="252"/>
      <c r="L363" s="253">
        <v>7.0000000000000007E-2</v>
      </c>
      <c r="M363" s="254">
        <f ca="1">IF(ISERROR(OFFSET(Tabella!$A$1,MATCH(J363,Tabella!$A:$A,0)-1,MATCH(L363,Tabella!$A$1:$AC$1,0)-1)=TRUE),0,+OFFSET(Tabella!$A$1,MATCH(J363,Tabella!$A:$A,0)-1,MATCH(L363,Tabella!$A$1:$AC$1,0)-1))</f>
        <v>1.4</v>
      </c>
      <c r="N363" s="255">
        <f ca="1">IF(ISERROR(OFFSET(Ottone!$A$1,MATCH(J363,Ottone!$A:$A,0)-1,MATCH(L363,Ottone!$A$1:$Z$1,0)-1)=TRUE),0,OFFSET(Ottone!$A$1,MATCH(J363,Ottone!$A:$A,0)-1,MATCH(L363,Ottone!$A$1:$Z$1,0)-1))*IF(G363="Ottone",1,0)</f>
        <v>0</v>
      </c>
      <c r="O363" s="255">
        <f ca="1">IF(ISERROR(OFFSET(Rame!$A$1,MATCH(J363,Rame!$A:$A,0)-1,MATCH(L363,Rame!$A$1:$AA$1,0)-1)=TRUE),0,OFFSET(Rame!$A$1,MATCH(J363,Rame!$A:$A,0)-1,MATCH(L363,Rame!$A$1:$AA$1,0)-1))*IF(G363="Rame",1,0)</f>
        <v>0</v>
      </c>
      <c r="P363" s="255">
        <v>0</v>
      </c>
      <c r="Q363" s="255">
        <v>1.65</v>
      </c>
      <c r="R363" s="255">
        <f ca="1">+IF(ISERROR(OFFSET(Tabella!$G$1,MATCH(J363,Tabella!$G:$G,0)-1,MATCH(K363,Tabella!$G$1:$FG$1,0)-1)=TRUE),0,OFFSET(Tabella!$G$1,MATCH(J363,Tabella!$G:$G,0)-1,MATCH(K363,Tabella!$G$1:$AB$1,0)-1))</f>
        <v>0</v>
      </c>
      <c r="S363" s="255">
        <f ca="1">IF(ISERROR(OFFSET(Ottone!$F$1,MATCH(J363,Ottone!$A:$A,0)-1,MATCH(K363,Ottone!$F$1:$FF$1,0)-1)=TRUE),0,OFFSET(Ottone!$F$1,MATCH(J363,Ottone!$A:$A,0)-1,MATCH(K363,Ottone!$F$1:$FF$1,0)-1))*IF(G363="Ottone",1,0)</f>
        <v>0</v>
      </c>
      <c r="T363" s="255">
        <f ca="1">IF(ISERROR(OFFSET(Rame!$F$1,MATCH(J363,Rame!$F:$F,0)-1,MATCH(K363,Rame!$F$1:$FF$1,0)-1)=TRUE),0,OFFSET(Rame!$F$1,MATCH(J363,Rame!$F:$F,0)-1,MATCH(K363,Rame!$F$1:$FF$1,0)-1))*IF(G363="Rame",1,0)</f>
        <v>0</v>
      </c>
      <c r="U363" s="255">
        <f ca="1">IF(ISERROR(OFFSET(Bronzo!$A$1,MATCH(J363,Bronzo!$A:$A,0)-1,MATCH(K363,Bronzo!$A$1:$AA$1,0)-1)=TRUE),0,OFFSET(Bronzo!$A$1,MATCH(J363,Bronzo!$A:$A,0)-1,MATCH(K363,Bronzo!$A$1:$AA$1,0)-1))</f>
        <v>0</v>
      </c>
      <c r="V363" s="255">
        <f t="shared" ca="1" si="139"/>
        <v>0</v>
      </c>
      <c r="W363" s="254"/>
      <c r="X363" s="255">
        <v>0</v>
      </c>
      <c r="Y363" s="256">
        <f t="shared" ca="1" si="140"/>
        <v>1.65</v>
      </c>
      <c r="Z363" s="257">
        <f t="shared" si="141"/>
        <v>35</v>
      </c>
      <c r="AA363" s="253">
        <v>4.33</v>
      </c>
      <c r="AB363" s="253">
        <f t="shared" ca="1" si="142"/>
        <v>7.0000000000000284E-2</v>
      </c>
      <c r="AC363" s="258">
        <v>46129</v>
      </c>
      <c r="AH363" s="232">
        <f t="shared" ca="1" si="137"/>
        <v>46120</v>
      </c>
      <c r="AI363" s="232" t="b">
        <f t="shared" si="132"/>
        <v>0</v>
      </c>
      <c r="AJ363" s="259">
        <f t="shared" ca="1" si="138"/>
        <v>9</v>
      </c>
      <c r="AM363" s="223">
        <f t="shared" si="133"/>
        <v>16</v>
      </c>
      <c r="AN363" s="223">
        <f t="shared" si="134"/>
        <v>2026</v>
      </c>
      <c r="AU363" s="223">
        <f t="shared" si="135"/>
        <v>4</v>
      </c>
      <c r="AV363" s="223">
        <f t="shared" si="136"/>
        <v>2026</v>
      </c>
    </row>
    <row r="364" spans="4:48" ht="26.25" x14ac:dyDescent="0.4">
      <c r="D364" s="246" t="s">
        <v>558</v>
      </c>
      <c r="E364" s="262" t="s">
        <v>441</v>
      </c>
      <c r="F364" s="263">
        <v>740</v>
      </c>
      <c r="G364" s="249" t="s">
        <v>4</v>
      </c>
      <c r="H364" s="250">
        <v>2.68</v>
      </c>
      <c r="I364" s="251">
        <v>46083</v>
      </c>
      <c r="J364" s="252" t="s">
        <v>21</v>
      </c>
      <c r="K364" s="252"/>
      <c r="L364" s="253">
        <v>0.1</v>
      </c>
      <c r="M364" s="254">
        <f ca="1">IF(ISERROR(OFFSET(Tabella!$A$1,MATCH(J364,Tabella!$A:$A,0)-1,MATCH(L364,Tabella!$A$1:$AC$1,0)-1)=TRUE),0,+OFFSET(Tabella!$A$1,MATCH(J364,Tabella!$A:$A,0)-1,MATCH(L364,Tabella!$A$1:$AC$1,0)-1))</f>
        <v>1.4</v>
      </c>
      <c r="N364" s="255">
        <f ca="1">IF(ISERROR(OFFSET(Ottone!$A$1,MATCH(J364,Ottone!$A:$A,0)-1,MATCH(L364,Ottone!$A$1:$Z$1,0)-1)=TRUE),0,OFFSET(Ottone!$A$1,MATCH(J364,Ottone!$A:$A,0)-1,MATCH(L364,Ottone!$A$1:$Z$1,0)-1))*IF(G364="Ottone",1,0)</f>
        <v>0</v>
      </c>
      <c r="O364" s="255">
        <f ca="1">IF(ISERROR(OFFSET(Rame!$A$1,MATCH(J364,Rame!$A:$A,0)-1,MATCH(L364,Rame!$A$1:$AA$1,0)-1)=TRUE),0,OFFSET(Rame!$A$1,MATCH(J364,Rame!$A:$A,0)-1,MATCH(L364,Rame!$A$1:$AA$1,0)-1))*IF(G364="Rame",1,0)</f>
        <v>0</v>
      </c>
      <c r="P364" s="255">
        <v>0</v>
      </c>
      <c r="Q364" s="255">
        <v>1.5</v>
      </c>
      <c r="R364" s="255">
        <f ca="1">+IF(ISERROR(OFFSET(Tabella!$G$1,MATCH(J364,Tabella!$G:$G,0)-1,MATCH(K364,Tabella!$G$1:$FG$1,0)-1)=TRUE),0,OFFSET(Tabella!$G$1,MATCH(J364,Tabella!$G:$G,0)-1,MATCH(K364,Tabella!$G$1:$AB$1,0)-1))</f>
        <v>0</v>
      </c>
      <c r="S364" s="255">
        <f ca="1">IF(ISERROR(OFFSET(Ottone!$F$1,MATCH(J364,Ottone!$A:$A,0)-1,MATCH(K364,Ottone!$F$1:$FF$1,0)-1)=TRUE),0,OFFSET(Ottone!$F$1,MATCH(J364,Ottone!$A:$A,0)-1,MATCH(K364,Ottone!$F$1:$FF$1,0)-1))*IF(G364="Ottone",1,0)</f>
        <v>0</v>
      </c>
      <c r="T364" s="255">
        <f ca="1">IF(ISERROR(OFFSET(Rame!$F$1,MATCH(J364,Rame!$F:$F,0)-1,MATCH(K364,Rame!$F$1:$FF$1,0)-1)=TRUE),0,OFFSET(Rame!$F$1,MATCH(J364,Rame!$F:$F,0)-1,MATCH(K364,Rame!$F$1:$FF$1,0)-1))*IF(G364="Rame",1,0)</f>
        <v>0</v>
      </c>
      <c r="U364" s="255">
        <f ca="1">IF(ISERROR(OFFSET(Bronzo!$A$1,MATCH(J364,Bronzo!$A:$A,0)-1,MATCH(K364,Bronzo!$A$1:$AA$1,0)-1)=TRUE),0,OFFSET(Bronzo!$A$1,MATCH(J364,Bronzo!$A:$A,0)-1,MATCH(K364,Bronzo!$A$1:$AA$1,0)-1))</f>
        <v>0</v>
      </c>
      <c r="V364" s="255">
        <f t="shared" ca="1" si="139"/>
        <v>0</v>
      </c>
      <c r="W364" s="254"/>
      <c r="X364" s="255">
        <v>0</v>
      </c>
      <c r="Y364" s="256">
        <f t="shared" ca="1" si="140"/>
        <v>1.5</v>
      </c>
      <c r="Z364" s="269">
        <f t="shared" si="141"/>
        <v>74</v>
      </c>
      <c r="AA364" s="253">
        <v>4.5</v>
      </c>
      <c r="AB364" s="253">
        <f t="shared" ca="1" si="142"/>
        <v>0.31999999999999984</v>
      </c>
      <c r="AC364" s="258"/>
      <c r="AF364" s="223" t="s">
        <v>405</v>
      </c>
      <c r="AH364" s="232">
        <f t="shared" ca="1" si="137"/>
        <v>46120</v>
      </c>
      <c r="AI364" s="232" t="b">
        <f t="shared" si="132"/>
        <v>1</v>
      </c>
      <c r="AJ364" s="259" t="str">
        <f t="shared" si="138"/>
        <v/>
      </c>
      <c r="AM364" s="223">
        <f t="shared" si="133"/>
        <v>0</v>
      </c>
      <c r="AN364" s="223">
        <f t="shared" si="134"/>
        <v>1900</v>
      </c>
      <c r="AU364" s="223">
        <f t="shared" si="135"/>
        <v>0</v>
      </c>
      <c r="AV364" s="223">
        <f t="shared" si="136"/>
        <v>0</v>
      </c>
    </row>
    <row r="365" spans="4:48" ht="26.25" x14ac:dyDescent="0.4">
      <c r="D365" s="246" t="s">
        <v>558</v>
      </c>
      <c r="E365" s="294" t="s">
        <v>441</v>
      </c>
      <c r="F365" s="295">
        <v>246</v>
      </c>
      <c r="G365" s="249" t="s">
        <v>4</v>
      </c>
      <c r="H365" s="250">
        <v>2.68</v>
      </c>
      <c r="I365" s="251">
        <v>46083</v>
      </c>
      <c r="J365" s="252" t="s">
        <v>21</v>
      </c>
      <c r="K365" s="252"/>
      <c r="L365" s="253">
        <v>0.1</v>
      </c>
      <c r="M365" s="254">
        <f ca="1">IF(ISERROR(OFFSET(Tabella!$A$1,MATCH(J365,Tabella!$A:$A,0)-1,MATCH(L365,Tabella!$A$1:$AC$1,0)-1)=TRUE),0,+OFFSET(Tabella!$A$1,MATCH(J365,Tabella!$A:$A,0)-1,MATCH(L365,Tabella!$A$1:$AC$1,0)-1))</f>
        <v>1.4</v>
      </c>
      <c r="N365" s="255">
        <f ca="1">IF(ISERROR(OFFSET(Ottone!$A$1,MATCH(J365,Ottone!$A:$A,0)-1,MATCH(L365,Ottone!$A$1:$Z$1,0)-1)=TRUE),0,OFFSET(Ottone!$A$1,MATCH(J365,Ottone!$A:$A,0)-1,MATCH(L365,Ottone!$A$1:$Z$1,0)-1))*IF(G365="Ottone",1,0)</f>
        <v>0</v>
      </c>
      <c r="O365" s="255">
        <f ca="1">IF(ISERROR(OFFSET(Rame!$A$1,MATCH(J365,Rame!$A:$A,0)-1,MATCH(L365,Rame!$A$1:$AA$1,0)-1)=TRUE),0,OFFSET(Rame!$A$1,MATCH(J365,Rame!$A:$A,0)-1,MATCH(L365,Rame!$A$1:$AA$1,0)-1))*IF(G365="Rame",1,0)</f>
        <v>0</v>
      </c>
      <c r="P365" s="255">
        <v>0</v>
      </c>
      <c r="Q365" s="255">
        <v>1.5</v>
      </c>
      <c r="R365" s="255">
        <f ca="1">+IF(ISERROR(OFFSET(Tabella!$G$1,MATCH(J365,Tabella!$G:$G,0)-1,MATCH(K365,Tabella!$G$1:$FG$1,0)-1)=TRUE),0,OFFSET(Tabella!$G$1,MATCH(J365,Tabella!$G:$G,0)-1,MATCH(K365,Tabella!$G$1:$AB$1,0)-1))</f>
        <v>0</v>
      </c>
      <c r="S365" s="255">
        <f ca="1">IF(ISERROR(OFFSET(Ottone!$F$1,MATCH(J365,Ottone!$A:$A,0)-1,MATCH(K365,Ottone!$F$1:$FF$1,0)-1)=TRUE),0,OFFSET(Ottone!$F$1,MATCH(J365,Ottone!$A:$A,0)-1,MATCH(K365,Ottone!$F$1:$FF$1,0)-1))*IF(G365="Ottone",1,0)</f>
        <v>0</v>
      </c>
      <c r="T365" s="255">
        <f ca="1">IF(ISERROR(OFFSET(Rame!$F$1,MATCH(J365,Rame!$F:$F,0)-1,MATCH(K365,Rame!$F$1:$FF$1,0)-1)=TRUE),0,OFFSET(Rame!$F$1,MATCH(J365,Rame!$F:$F,0)-1,MATCH(K365,Rame!$F$1:$FF$1,0)-1))*IF(G365="Rame",1,0)</f>
        <v>0</v>
      </c>
      <c r="U365" s="255">
        <f ca="1">IF(ISERROR(OFFSET(Bronzo!$A$1,MATCH(J365,Bronzo!$A:$A,0)-1,MATCH(K365,Bronzo!$A$1:$AA$1,0)-1)=TRUE),0,OFFSET(Bronzo!$A$1,MATCH(J365,Bronzo!$A:$A,0)-1,MATCH(K365,Bronzo!$A$1:$AA$1,0)-1))</f>
        <v>0</v>
      </c>
      <c r="V365" s="255">
        <f t="shared" ca="1" si="139"/>
        <v>0</v>
      </c>
      <c r="W365" s="254"/>
      <c r="X365" s="255">
        <v>0</v>
      </c>
      <c r="Y365" s="256">
        <f t="shared" ca="1" si="140"/>
        <v>1.5</v>
      </c>
      <c r="Z365" s="302">
        <f t="shared" si="141"/>
        <v>24.6</v>
      </c>
      <c r="AA365" s="253">
        <v>4.5</v>
      </c>
      <c r="AB365" s="253">
        <f t="shared" ca="1" si="142"/>
        <v>0.31999999999999984</v>
      </c>
      <c r="AC365" s="258">
        <v>46147</v>
      </c>
      <c r="AF365" s="223" t="s">
        <v>405</v>
      </c>
      <c r="AH365" s="232">
        <f t="shared" ca="1" si="137"/>
        <v>46120</v>
      </c>
      <c r="AI365" s="232" t="b">
        <f t="shared" si="132"/>
        <v>0</v>
      </c>
      <c r="AJ365" s="259">
        <f t="shared" ca="1" si="138"/>
        <v>27</v>
      </c>
      <c r="AM365" s="223">
        <f t="shared" si="133"/>
        <v>19</v>
      </c>
      <c r="AN365" s="223">
        <f t="shared" si="134"/>
        <v>2026</v>
      </c>
      <c r="AU365" s="223">
        <f t="shared" si="135"/>
        <v>5</v>
      </c>
      <c r="AV365" s="223">
        <f t="shared" si="136"/>
        <v>2026</v>
      </c>
    </row>
    <row r="366" spans="4:48" ht="26.25" x14ac:dyDescent="0.4">
      <c r="D366" s="246" t="s">
        <v>558</v>
      </c>
      <c r="E366" s="252" t="s">
        <v>441</v>
      </c>
      <c r="F366" s="276">
        <v>1100</v>
      </c>
      <c r="G366" s="249" t="s">
        <v>4</v>
      </c>
      <c r="H366" s="250">
        <v>2.68</v>
      </c>
      <c r="I366" s="251">
        <v>46083</v>
      </c>
      <c r="J366" s="252" t="s">
        <v>21</v>
      </c>
      <c r="K366" s="252"/>
      <c r="L366" s="253">
        <v>0.1</v>
      </c>
      <c r="M366" s="254">
        <f ca="1">IF(ISERROR(OFFSET(Tabella!$A$1,MATCH(J366,Tabella!$A:$A,0)-1,MATCH(L366,Tabella!$A$1:$AC$1,0)-1)=TRUE),0,+OFFSET(Tabella!$A$1,MATCH(J366,Tabella!$A:$A,0)-1,MATCH(L366,Tabella!$A$1:$AC$1,0)-1))</f>
        <v>1.4</v>
      </c>
      <c r="N366" s="255">
        <f ca="1">IF(ISERROR(OFFSET(Ottone!$A$1,MATCH(J366,Ottone!$A:$A,0)-1,MATCH(L366,Ottone!$A$1:$Z$1,0)-1)=TRUE),0,OFFSET(Ottone!$A$1,MATCH(J366,Ottone!$A:$A,0)-1,MATCH(L366,Ottone!$A$1:$Z$1,0)-1))*IF(G366="Ottone",1,0)</f>
        <v>0</v>
      </c>
      <c r="O366" s="255">
        <f ca="1">IF(ISERROR(OFFSET(Rame!$A$1,MATCH(J366,Rame!$A:$A,0)-1,MATCH(L366,Rame!$A$1:$AA$1,0)-1)=TRUE),0,OFFSET(Rame!$A$1,MATCH(J366,Rame!$A:$A,0)-1,MATCH(L366,Rame!$A$1:$AA$1,0)-1))*IF(G366="Rame",1,0)</f>
        <v>0</v>
      </c>
      <c r="P366" s="255">
        <v>0</v>
      </c>
      <c r="Q366" s="255">
        <v>1.5</v>
      </c>
      <c r="R366" s="255">
        <f ca="1">+IF(ISERROR(OFFSET(Tabella!$G$1,MATCH(J366,Tabella!$G:$G,0)-1,MATCH(K366,Tabella!$G$1:$FG$1,0)-1)=TRUE),0,OFFSET(Tabella!$G$1,MATCH(J366,Tabella!$G:$G,0)-1,MATCH(K366,Tabella!$G$1:$AB$1,0)-1))</f>
        <v>0</v>
      </c>
      <c r="S366" s="255">
        <f ca="1">IF(ISERROR(OFFSET(Ottone!$F$1,MATCH(J366,Ottone!$A:$A,0)-1,MATCH(K366,Ottone!$F$1:$FF$1,0)-1)=TRUE),0,OFFSET(Ottone!$F$1,MATCH(J366,Ottone!$A:$A,0)-1,MATCH(K366,Ottone!$F$1:$FF$1,0)-1))*IF(G366="Ottone",1,0)</f>
        <v>0</v>
      </c>
      <c r="T366" s="255">
        <f ca="1">IF(ISERROR(OFFSET(Rame!$F$1,MATCH(J366,Rame!$F:$F,0)-1,MATCH(K366,Rame!$F$1:$FF$1,0)-1)=TRUE),0,OFFSET(Rame!$F$1,MATCH(J366,Rame!$F:$F,0)-1,MATCH(K366,Rame!$F$1:$FF$1,0)-1))*IF(G366="Rame",1,0)</f>
        <v>0</v>
      </c>
      <c r="U366" s="255">
        <f ca="1">IF(ISERROR(OFFSET(Bronzo!$A$1,MATCH(J366,Bronzo!$A:$A,0)-1,MATCH(K366,Bronzo!$A$1:$AA$1,0)-1)=TRUE),0,OFFSET(Bronzo!$A$1,MATCH(J366,Bronzo!$A:$A,0)-1,MATCH(K366,Bronzo!$A$1:$AA$1,0)-1))</f>
        <v>0</v>
      </c>
      <c r="V366" s="255">
        <f t="shared" ca="1" si="139"/>
        <v>0</v>
      </c>
      <c r="W366" s="254"/>
      <c r="X366" s="255">
        <v>0</v>
      </c>
      <c r="Y366" s="256">
        <f t="shared" ca="1" si="140"/>
        <v>1.5</v>
      </c>
      <c r="Z366" s="257">
        <f t="shared" si="141"/>
        <v>110</v>
      </c>
      <c r="AA366" s="253">
        <v>4.5</v>
      </c>
      <c r="AB366" s="253">
        <f t="shared" ca="1" si="142"/>
        <v>0.31999999999999984</v>
      </c>
      <c r="AC366" s="258">
        <v>46177</v>
      </c>
      <c r="AH366" s="232">
        <f t="shared" ca="1" si="137"/>
        <v>46120</v>
      </c>
      <c r="AI366" s="232" t="b">
        <f t="shared" si="132"/>
        <v>0</v>
      </c>
      <c r="AJ366" s="259">
        <f t="shared" ca="1" si="138"/>
        <v>57</v>
      </c>
      <c r="AM366" s="223">
        <f t="shared" si="133"/>
        <v>23</v>
      </c>
      <c r="AN366" s="223">
        <f t="shared" si="134"/>
        <v>2026</v>
      </c>
      <c r="AU366" s="223">
        <f t="shared" si="135"/>
        <v>6</v>
      </c>
      <c r="AV366" s="223">
        <f t="shared" si="136"/>
        <v>2026</v>
      </c>
    </row>
    <row r="367" spans="4:48" ht="26.25" x14ac:dyDescent="0.4">
      <c r="D367" s="246" t="s">
        <v>558</v>
      </c>
      <c r="E367" s="252" t="s">
        <v>441</v>
      </c>
      <c r="F367" s="276">
        <v>1400</v>
      </c>
      <c r="G367" s="249" t="s">
        <v>4</v>
      </c>
      <c r="H367" s="250">
        <v>2.68</v>
      </c>
      <c r="I367" s="251">
        <v>46083</v>
      </c>
      <c r="J367" s="252" t="s">
        <v>21</v>
      </c>
      <c r="K367" s="252"/>
      <c r="L367" s="253">
        <v>0.1</v>
      </c>
      <c r="M367" s="254">
        <f ca="1">IF(ISERROR(OFFSET(Tabella!$A$1,MATCH(J367,Tabella!$A:$A,0)-1,MATCH(L367,Tabella!$A$1:$AC$1,0)-1)=TRUE),0,+OFFSET(Tabella!$A$1,MATCH(J367,Tabella!$A:$A,0)-1,MATCH(L367,Tabella!$A$1:$AC$1,0)-1))</f>
        <v>1.4</v>
      </c>
      <c r="N367" s="255">
        <f ca="1">IF(ISERROR(OFFSET(Ottone!$A$1,MATCH(J367,Ottone!$A:$A,0)-1,MATCH(L367,Ottone!$A$1:$Z$1,0)-1)=TRUE),0,OFFSET(Ottone!$A$1,MATCH(J367,Ottone!$A:$A,0)-1,MATCH(L367,Ottone!$A$1:$Z$1,0)-1))*IF(G367="Ottone",1,0)</f>
        <v>0</v>
      </c>
      <c r="O367" s="255">
        <f ca="1">IF(ISERROR(OFFSET(Rame!$A$1,MATCH(J367,Rame!$A:$A,0)-1,MATCH(L367,Rame!$A$1:$AA$1,0)-1)=TRUE),0,OFFSET(Rame!$A$1,MATCH(J367,Rame!$A:$A,0)-1,MATCH(L367,Rame!$A$1:$AA$1,0)-1))*IF(G367="Rame",1,0)</f>
        <v>0</v>
      </c>
      <c r="P367" s="255">
        <v>0</v>
      </c>
      <c r="Q367" s="255">
        <v>1.5</v>
      </c>
      <c r="R367" s="255">
        <f ca="1">+IF(ISERROR(OFFSET(Tabella!$G$1,MATCH(J367,Tabella!$G:$G,0)-1,MATCH(K367,Tabella!$G$1:$FG$1,0)-1)=TRUE),0,OFFSET(Tabella!$G$1,MATCH(J367,Tabella!$G:$G,0)-1,MATCH(K367,Tabella!$G$1:$AB$1,0)-1))</f>
        <v>0</v>
      </c>
      <c r="S367" s="255">
        <f ca="1">IF(ISERROR(OFFSET(Ottone!$F$1,MATCH(J367,Ottone!$A:$A,0)-1,MATCH(K367,Ottone!$F$1:$FF$1,0)-1)=TRUE),0,OFFSET(Ottone!$F$1,MATCH(J367,Ottone!$A:$A,0)-1,MATCH(K367,Ottone!$F$1:$FF$1,0)-1))*IF(G367="Ottone",1,0)</f>
        <v>0</v>
      </c>
      <c r="T367" s="255">
        <f ca="1">IF(ISERROR(OFFSET(Rame!$F$1,MATCH(J367,Rame!$F:$F,0)-1,MATCH(K367,Rame!$F$1:$FF$1,0)-1)=TRUE),0,OFFSET(Rame!$F$1,MATCH(J367,Rame!$F:$F,0)-1,MATCH(K367,Rame!$F$1:$FF$1,0)-1))*IF(G367="Rame",1,0)</f>
        <v>0</v>
      </c>
      <c r="U367" s="255">
        <f ca="1">IF(ISERROR(OFFSET(Bronzo!$A$1,MATCH(J367,Bronzo!$A:$A,0)-1,MATCH(K367,Bronzo!$A$1:$AA$1,0)-1)=TRUE),0,OFFSET(Bronzo!$A$1,MATCH(J367,Bronzo!$A:$A,0)-1,MATCH(K367,Bronzo!$A$1:$AA$1,0)-1))</f>
        <v>0</v>
      </c>
      <c r="V367" s="255">
        <f t="shared" ca="1" si="139"/>
        <v>0</v>
      </c>
      <c r="W367" s="254"/>
      <c r="X367" s="255">
        <v>0</v>
      </c>
      <c r="Y367" s="256">
        <f t="shared" ca="1" si="140"/>
        <v>1.5</v>
      </c>
      <c r="Z367" s="257">
        <f t="shared" si="141"/>
        <v>140</v>
      </c>
      <c r="AA367" s="253">
        <v>4.5</v>
      </c>
      <c r="AB367" s="253">
        <f t="shared" ca="1" si="142"/>
        <v>0.31999999999999984</v>
      </c>
      <c r="AC367" s="258">
        <v>46209</v>
      </c>
      <c r="AH367" s="232">
        <f t="shared" ca="1" si="137"/>
        <v>46120</v>
      </c>
      <c r="AI367" s="232" t="b">
        <f t="shared" si="132"/>
        <v>0</v>
      </c>
      <c r="AJ367" s="259">
        <f t="shared" ca="1" si="138"/>
        <v>89</v>
      </c>
      <c r="AM367" s="223">
        <f t="shared" si="133"/>
        <v>28</v>
      </c>
      <c r="AN367" s="223">
        <f t="shared" si="134"/>
        <v>2026</v>
      </c>
      <c r="AU367" s="223">
        <f t="shared" si="135"/>
        <v>7</v>
      </c>
      <c r="AV367" s="223">
        <f t="shared" si="136"/>
        <v>2026</v>
      </c>
    </row>
    <row r="368" spans="4:48" ht="26.25" x14ac:dyDescent="0.4">
      <c r="D368" s="246" t="s">
        <v>566</v>
      </c>
      <c r="E368" s="252" t="s">
        <v>420</v>
      </c>
      <c r="F368" s="276">
        <v>2000</v>
      </c>
      <c r="G368" s="249" t="s">
        <v>4</v>
      </c>
      <c r="H368" s="250">
        <v>2.66</v>
      </c>
      <c r="I368" s="251">
        <v>46044</v>
      </c>
      <c r="J368" s="252" t="s">
        <v>243</v>
      </c>
      <c r="K368" s="252"/>
      <c r="L368" s="253">
        <v>0.05</v>
      </c>
      <c r="M368" s="254">
        <f ca="1">IF(ISERROR(OFFSET(Tabella!$A$1,MATCH(J368,Tabella!$A:$A,0)-1,MATCH(L368,Tabella!$A$1:$AC$1,0)-1)=TRUE),0,+OFFSET(Tabella!$A$1,MATCH(J368,Tabella!$A:$A,0)-1,MATCH(L368,Tabella!$A$1:$AC$1,0)-1))</f>
        <v>0</v>
      </c>
      <c r="N368" s="255">
        <f ca="1">IF(ISERROR(OFFSET(Ottone!$A$1,MATCH(J368,Ottone!$A:$A,0)-1,MATCH(L368,Ottone!$A$1:$Z$1,0)-1)=TRUE),0,OFFSET(Ottone!$A$1,MATCH(J368,Ottone!$A:$A,0)-1,MATCH(L368,Ottone!$A$1:$Z$1,0)-1))*IF(G368="Ottone",1,0)</f>
        <v>0</v>
      </c>
      <c r="O368" s="255">
        <f ca="1">IF(ISERROR(OFFSET(Rame!$A$1,MATCH(J368,Rame!$A:$A,0)-1,MATCH(L368,Rame!$A$1:$AA$1,0)-1)=TRUE),0,OFFSET(Rame!$A$1,MATCH(J368,Rame!$A:$A,0)-1,MATCH(L368,Rame!$A$1:$AA$1,0)-1))*IF(G368="Rame",1,0)</f>
        <v>0</v>
      </c>
      <c r="P368" s="255">
        <v>0</v>
      </c>
      <c r="Q368" s="255">
        <v>1.6</v>
      </c>
      <c r="R368" s="255">
        <f ca="1">+IF(ISERROR(OFFSET(Tabella!$G$1,MATCH(J368,Tabella!$G:$G,0)-1,MATCH(K368,Tabella!$G$1:$FG$1,0)-1)=TRUE),0,OFFSET(Tabella!$G$1,MATCH(J368,Tabella!$G:$G,0)-1,MATCH(K368,Tabella!$G$1:$AB$1,0)-1))</f>
        <v>0</v>
      </c>
      <c r="S368" s="255">
        <f ca="1">IF(ISERROR(OFFSET(Ottone!$F$1,MATCH(J368,Ottone!$A:$A,0)-1,MATCH(K368,Ottone!$F$1:$FF$1,0)-1)=TRUE),0,OFFSET(Ottone!$F$1,MATCH(J368,Ottone!$A:$A,0)-1,MATCH(K368,Ottone!$F$1:$FF$1,0)-1))*IF(G368="Ottone",1,0)</f>
        <v>0</v>
      </c>
      <c r="T368" s="255">
        <f ca="1">IF(ISERROR(OFFSET(Rame!$F$1,MATCH(J368,Rame!$F:$F,0)-1,MATCH(K368,Rame!$F$1:$FF$1,0)-1)=TRUE),0,OFFSET(Rame!$F$1,MATCH(J368,Rame!$F:$F,0)-1,MATCH(K368,Rame!$F$1:$FF$1,0)-1))*IF(G368="Rame",1,0)</f>
        <v>0</v>
      </c>
      <c r="U368" s="255">
        <f ca="1">IF(ISERROR(OFFSET(Bronzo!$A$1,MATCH(J368,Bronzo!$A:$A,0)-1,MATCH(K368,Bronzo!$A$1:$AA$1,0)-1)=TRUE),0,OFFSET(Bronzo!$A$1,MATCH(J368,Bronzo!$A:$A,0)-1,MATCH(K368,Bronzo!$A$1:$AA$1,0)-1))</f>
        <v>0</v>
      </c>
      <c r="V368" s="255">
        <f t="shared" ca="1" si="139"/>
        <v>0</v>
      </c>
      <c r="W368" s="254"/>
      <c r="X368" s="255">
        <v>0</v>
      </c>
      <c r="Y368" s="256">
        <f t="shared" ca="1" si="140"/>
        <v>1.6</v>
      </c>
      <c r="Z368" s="257">
        <f t="shared" si="141"/>
        <v>100</v>
      </c>
      <c r="AA368" s="253">
        <v>4.2</v>
      </c>
      <c r="AB368" s="253">
        <f t="shared" ca="1" si="142"/>
        <v>-6.0000000000000053E-2</v>
      </c>
      <c r="AC368" s="258">
        <v>46101</v>
      </c>
      <c r="AH368" s="232">
        <f t="shared" ca="1" si="137"/>
        <v>46120</v>
      </c>
      <c r="AI368" s="232" t="b">
        <f t="shared" si="132"/>
        <v>0</v>
      </c>
      <c r="AJ368" s="259">
        <f t="shared" ca="1" si="138"/>
        <v>-19</v>
      </c>
      <c r="AM368" s="223">
        <f t="shared" si="133"/>
        <v>12</v>
      </c>
      <c r="AN368" s="223">
        <f t="shared" si="134"/>
        <v>2026</v>
      </c>
      <c r="AU368" s="223">
        <f t="shared" si="135"/>
        <v>3</v>
      </c>
      <c r="AV368" s="223">
        <f t="shared" si="136"/>
        <v>2026</v>
      </c>
    </row>
    <row r="369" spans="4:48" ht="26.25" x14ac:dyDescent="0.4">
      <c r="D369" s="246" t="s">
        <v>566</v>
      </c>
      <c r="E369" s="252" t="s">
        <v>420</v>
      </c>
      <c r="F369" s="276">
        <v>500</v>
      </c>
      <c r="G369" s="249" t="s">
        <v>4</v>
      </c>
      <c r="H369" s="250">
        <v>2.66</v>
      </c>
      <c r="I369" s="251">
        <v>46044</v>
      </c>
      <c r="J369" s="252" t="s">
        <v>21</v>
      </c>
      <c r="K369" s="252"/>
      <c r="L369" s="253">
        <v>0.05</v>
      </c>
      <c r="M369" s="254">
        <f ca="1">IF(ISERROR(OFFSET(Tabella!$A$1,MATCH(J369,Tabella!$A:$A,0)-1,MATCH(L369,Tabella!$A$1:$AC$1,0)-1)=TRUE),0,+OFFSET(Tabella!$A$1,MATCH(J369,Tabella!$A:$A,0)-1,MATCH(L369,Tabella!$A$1:$AC$1,0)-1))</f>
        <v>0</v>
      </c>
      <c r="N369" s="255">
        <f ca="1">IF(ISERROR(OFFSET(Ottone!$A$1,MATCH(J369,Ottone!$A:$A,0)-1,MATCH(L369,Ottone!$A$1:$Z$1,0)-1)=TRUE),0,OFFSET(Ottone!$A$1,MATCH(J369,Ottone!$A:$A,0)-1,MATCH(L369,Ottone!$A$1:$Z$1,0)-1))*IF(G369="Ottone",1,0)</f>
        <v>0</v>
      </c>
      <c r="O369" s="255">
        <f ca="1">IF(ISERROR(OFFSET(Rame!$A$1,MATCH(J369,Rame!$A:$A,0)-1,MATCH(L369,Rame!$A$1:$AA$1,0)-1)=TRUE),0,OFFSET(Rame!$A$1,MATCH(J369,Rame!$A:$A,0)-1,MATCH(L369,Rame!$A$1:$AA$1,0)-1))*IF(G369="Rame",1,0)</f>
        <v>0</v>
      </c>
      <c r="P369" s="255">
        <v>0</v>
      </c>
      <c r="Q369" s="255">
        <v>1.5</v>
      </c>
      <c r="R369" s="255">
        <f ca="1">+IF(ISERROR(OFFSET(Tabella!$G$1,MATCH(J369,Tabella!$G:$G,0)-1,MATCH(K369,Tabella!$G$1:$FG$1,0)-1)=TRUE),0,OFFSET(Tabella!$G$1,MATCH(J369,Tabella!$G:$G,0)-1,MATCH(K369,Tabella!$G$1:$AB$1,0)-1))</f>
        <v>0</v>
      </c>
      <c r="S369" s="255">
        <f ca="1">IF(ISERROR(OFFSET(Ottone!$F$1,MATCH(J369,Ottone!$A:$A,0)-1,MATCH(K369,Ottone!$F$1:$FF$1,0)-1)=TRUE),0,OFFSET(Ottone!$F$1,MATCH(J369,Ottone!$A:$A,0)-1,MATCH(K369,Ottone!$F$1:$FF$1,0)-1))*IF(G369="Ottone",1,0)</f>
        <v>0</v>
      </c>
      <c r="T369" s="255">
        <f ca="1">IF(ISERROR(OFFSET(Rame!$F$1,MATCH(J369,Rame!$F:$F,0)-1,MATCH(K369,Rame!$F$1:$FF$1,0)-1)=TRUE),0,OFFSET(Rame!$F$1,MATCH(J369,Rame!$F:$F,0)-1,MATCH(K369,Rame!$F$1:$FF$1,0)-1))*IF(G369="Rame",1,0)</f>
        <v>0</v>
      </c>
      <c r="U369" s="255">
        <f ca="1">IF(ISERROR(OFFSET(Bronzo!$A$1,MATCH(J369,Bronzo!$A:$A,0)-1,MATCH(K369,Bronzo!$A$1:$AA$1,0)-1)=TRUE),0,OFFSET(Bronzo!$A$1,MATCH(J369,Bronzo!$A:$A,0)-1,MATCH(K369,Bronzo!$A$1:$AA$1,0)-1))</f>
        <v>0</v>
      </c>
      <c r="V369" s="255">
        <f t="shared" ca="1" si="139"/>
        <v>0</v>
      </c>
      <c r="W369" s="254"/>
      <c r="X369" s="255">
        <v>0</v>
      </c>
      <c r="Y369" s="256">
        <f t="shared" ca="1" si="140"/>
        <v>1.5</v>
      </c>
      <c r="Z369" s="257">
        <f t="shared" si="141"/>
        <v>25</v>
      </c>
      <c r="AA369" s="253">
        <v>4.0999999999999996</v>
      </c>
      <c r="AB369" s="253">
        <f t="shared" ca="1" si="142"/>
        <v>-6.0000000000000497E-2</v>
      </c>
      <c r="AC369" s="258">
        <v>46101</v>
      </c>
      <c r="AH369" s="232">
        <f t="shared" ca="1" si="137"/>
        <v>46120</v>
      </c>
      <c r="AI369" s="232" t="b">
        <f t="shared" si="132"/>
        <v>0</v>
      </c>
      <c r="AJ369" s="259">
        <f t="shared" ca="1" si="138"/>
        <v>-19</v>
      </c>
      <c r="AM369" s="223">
        <f t="shared" si="133"/>
        <v>12</v>
      </c>
      <c r="AN369" s="223">
        <f t="shared" si="134"/>
        <v>2026</v>
      </c>
      <c r="AU369" s="223">
        <f t="shared" si="135"/>
        <v>3</v>
      </c>
      <c r="AV369" s="223">
        <f t="shared" si="136"/>
        <v>2026</v>
      </c>
    </row>
    <row r="370" spans="4:48" ht="26.25" x14ac:dyDescent="0.4">
      <c r="D370" s="246" t="s">
        <v>787</v>
      </c>
      <c r="E370" s="299" t="s">
        <v>420</v>
      </c>
      <c r="F370" s="300">
        <v>498</v>
      </c>
      <c r="G370" s="249" t="s">
        <v>4</v>
      </c>
      <c r="H370" s="250">
        <v>2.66</v>
      </c>
      <c r="I370" s="251">
        <v>46044</v>
      </c>
      <c r="J370" s="252" t="s">
        <v>244</v>
      </c>
      <c r="K370" s="252"/>
      <c r="L370" s="253">
        <v>0.05</v>
      </c>
      <c r="M370" s="254">
        <f ca="1">IF(ISERROR(OFFSET(Tabella!$A$1,MATCH(J370,Tabella!$A:$A,0)-1,MATCH(L370,Tabella!$A$1:$AC$1,0)-1)=TRUE),0,+OFFSET(Tabella!$A$1,MATCH(J370,Tabella!$A:$A,0)-1,MATCH(L370,Tabella!$A$1:$AC$1,0)-1))</f>
        <v>0</v>
      </c>
      <c r="N370" s="255">
        <f ca="1">IF(ISERROR(OFFSET(Ottone!$A$1,MATCH(J370,Ottone!$A:$A,0)-1,MATCH(L370,Ottone!$A$1:$Z$1,0)-1)=TRUE),0,OFFSET(Ottone!$A$1,MATCH(J370,Ottone!$A:$A,0)-1,MATCH(L370,Ottone!$A$1:$Z$1,0)-1))*IF(G370="Ottone",1,0)</f>
        <v>0</v>
      </c>
      <c r="O370" s="255">
        <f ca="1">IF(ISERROR(OFFSET(Rame!$A$1,MATCH(J370,Rame!$A:$A,0)-1,MATCH(L370,Rame!$A$1:$AA$1,0)-1)=TRUE),0,OFFSET(Rame!$A$1,MATCH(J370,Rame!$A:$A,0)-1,MATCH(L370,Rame!$A$1:$AA$1,0)-1))*IF(G370="Rame",1,0)</f>
        <v>0</v>
      </c>
      <c r="P370" s="255">
        <v>0</v>
      </c>
      <c r="Q370" s="255">
        <v>1.55</v>
      </c>
      <c r="R370" s="255">
        <f ca="1">+IF(ISERROR(OFFSET(Tabella!$G$1,MATCH(J370,Tabella!$G:$G,0)-1,MATCH(K370,Tabella!$G$1:$FG$1,0)-1)=TRUE),0,OFFSET(Tabella!$G$1,MATCH(J370,Tabella!$G:$G,0)-1,MATCH(K370,Tabella!$G$1:$AB$1,0)-1))</f>
        <v>0</v>
      </c>
      <c r="S370" s="255">
        <f ca="1">IF(ISERROR(OFFSET(Ottone!$F$1,MATCH(J370,Ottone!$A:$A,0)-1,MATCH(K370,Ottone!$F$1:$FF$1,0)-1)=TRUE),0,OFFSET(Ottone!$F$1,MATCH(J370,Ottone!$A:$A,0)-1,MATCH(K370,Ottone!$F$1:$FF$1,0)-1))*IF(G370="Ottone",1,0)</f>
        <v>0</v>
      </c>
      <c r="T370" s="255">
        <f ca="1">IF(ISERROR(OFFSET(Rame!$F$1,MATCH(J370,Rame!$F:$F,0)-1,MATCH(K370,Rame!$F$1:$FF$1,0)-1)=TRUE),0,OFFSET(Rame!$F$1,MATCH(J370,Rame!$F:$F,0)-1,MATCH(K370,Rame!$F$1:$FF$1,0)-1))*IF(G370="Rame",1,0)</f>
        <v>0</v>
      </c>
      <c r="U370" s="255">
        <f ca="1">IF(ISERROR(OFFSET(Bronzo!$A$1,MATCH(J370,Bronzo!$A:$A,0)-1,MATCH(K370,Bronzo!$A$1:$AA$1,0)-1)=TRUE),0,OFFSET(Bronzo!$A$1,MATCH(J370,Bronzo!$A:$A,0)-1,MATCH(K370,Bronzo!$A$1:$AA$1,0)-1))</f>
        <v>0</v>
      </c>
      <c r="V370" s="255">
        <f t="shared" ca="1" si="139"/>
        <v>0</v>
      </c>
      <c r="W370" s="254"/>
      <c r="X370" s="255">
        <v>0</v>
      </c>
      <c r="Y370" s="256">
        <f t="shared" ca="1" si="140"/>
        <v>1.55</v>
      </c>
      <c r="Z370" s="301">
        <f t="shared" si="141"/>
        <v>24.900000000000002</v>
      </c>
      <c r="AA370" s="253">
        <v>4.1500000000000004</v>
      </c>
      <c r="AB370" s="253">
        <f t="shared" ca="1" si="142"/>
        <v>-5.9999999999999609E-2</v>
      </c>
      <c r="AC370" s="258">
        <v>46101</v>
      </c>
      <c r="AF370" s="223" t="s">
        <v>405</v>
      </c>
      <c r="AH370" s="232">
        <f t="shared" ca="1" si="137"/>
        <v>46120</v>
      </c>
      <c r="AI370" s="232" t="b">
        <f t="shared" si="132"/>
        <v>0</v>
      </c>
      <c r="AJ370" s="259">
        <f t="shared" ca="1" si="138"/>
        <v>-19</v>
      </c>
      <c r="AM370" s="223">
        <f t="shared" si="133"/>
        <v>12</v>
      </c>
      <c r="AN370" s="223">
        <f t="shared" si="134"/>
        <v>2026</v>
      </c>
      <c r="AU370" s="223">
        <f t="shared" si="135"/>
        <v>3</v>
      </c>
      <c r="AV370" s="223">
        <f t="shared" si="136"/>
        <v>2026</v>
      </c>
    </row>
    <row r="371" spans="4:48" ht="26.25" x14ac:dyDescent="0.4">
      <c r="D371" s="246" t="s">
        <v>714</v>
      </c>
      <c r="E371" s="262" t="s">
        <v>102</v>
      </c>
      <c r="F371" s="263">
        <v>1788</v>
      </c>
      <c r="G371" s="249" t="s">
        <v>4</v>
      </c>
      <c r="H371" s="250">
        <v>2.65</v>
      </c>
      <c r="I371" s="251">
        <v>46050</v>
      </c>
      <c r="J371" s="252" t="s">
        <v>27</v>
      </c>
      <c r="K371" s="252"/>
      <c r="L371" s="253">
        <v>7.0000000000000007E-2</v>
      </c>
      <c r="M371" s="254">
        <f ca="1">IF(ISERROR(OFFSET(Tabella!$A$1,MATCH(J371,Tabella!$A:$A,0)-1,MATCH(L371,Tabella!$A$1:$AC$1,0)-1)=TRUE),0,+OFFSET(Tabella!$A$1,MATCH(J371,Tabella!$A:$A,0)-1,MATCH(L371,Tabella!$A$1:$AC$1,0)-1))</f>
        <v>1.25</v>
      </c>
      <c r="N371" s="255">
        <f ca="1">IF(ISERROR(OFFSET(Ottone!$A$1,MATCH(J371,Ottone!$A:$A,0)-1,MATCH(L371,Ottone!$A$1:$Z$1,0)-1)=TRUE),0,OFFSET(Ottone!$A$1,MATCH(J371,Ottone!$A:$A,0)-1,MATCH(L371,Ottone!$A$1:$Z$1,0)-1))*IF(G371="Ottone",1,0)</f>
        <v>0</v>
      </c>
      <c r="O371" s="255">
        <f ca="1">IF(ISERROR(OFFSET(Rame!$A$1,MATCH(J371,Rame!$A:$A,0)-1,MATCH(L371,Rame!$A$1:$AA$1,0)-1)=TRUE),0,OFFSET(Rame!$A$1,MATCH(J371,Rame!$A:$A,0)-1,MATCH(L371,Rame!$A$1:$AA$1,0)-1))*IF(G371="Rame",1,0)</f>
        <v>0</v>
      </c>
      <c r="P371" s="255">
        <v>0</v>
      </c>
      <c r="Q371" s="255">
        <v>1.5</v>
      </c>
      <c r="R371" s="255">
        <f ca="1">+IF(ISERROR(OFFSET(Tabella!$G$1,MATCH(J371,Tabella!$G:$G,0)-1,MATCH(K371,Tabella!$G$1:$FG$1,0)-1)=TRUE),0,OFFSET(Tabella!$G$1,MATCH(J371,Tabella!$G:$G,0)-1,MATCH(K371,Tabella!$G$1:$AB$1,0)-1))</f>
        <v>0</v>
      </c>
      <c r="S371" s="255">
        <f ca="1">IF(ISERROR(OFFSET(Ottone!$F$1,MATCH(J371,Ottone!$A:$A,0)-1,MATCH(K371,Ottone!$F$1:$FF$1,0)-1)=TRUE),0,OFFSET(Ottone!$F$1,MATCH(J371,Ottone!$A:$A,0)-1,MATCH(K371,Ottone!$F$1:$FF$1,0)-1))*IF(G371="Ottone",1,0)</f>
        <v>0</v>
      </c>
      <c r="T371" s="255">
        <f ca="1">IF(ISERROR(OFFSET(Rame!$F$1,MATCH(J371,Rame!$F:$F,0)-1,MATCH(K371,Rame!$F$1:$FF$1,0)-1)=TRUE),0,OFFSET(Rame!$F$1,MATCH(J371,Rame!$F:$F,0)-1,MATCH(K371,Rame!$F$1:$FF$1,0)-1))*IF(G371="Rame",1,0)</f>
        <v>0</v>
      </c>
      <c r="U371" s="255">
        <f ca="1">IF(ISERROR(OFFSET(Bronzo!$A$1,MATCH(J371,Bronzo!$A:$A,0)-1,MATCH(K371,Bronzo!$A$1:$AA$1,0)-1)=TRUE),0,OFFSET(Bronzo!$A$1,MATCH(J371,Bronzo!$A:$A,0)-1,MATCH(K371,Bronzo!$A$1:$AA$1,0)-1))</f>
        <v>0</v>
      </c>
      <c r="V371" s="255">
        <f t="shared" ca="1" si="139"/>
        <v>0</v>
      </c>
      <c r="W371" s="254"/>
      <c r="X371" s="255">
        <v>0</v>
      </c>
      <c r="Y371" s="256">
        <f t="shared" ca="1" si="140"/>
        <v>1.5</v>
      </c>
      <c r="Z371" s="269">
        <f t="shared" si="141"/>
        <v>125.16000000000001</v>
      </c>
      <c r="AA371" s="253">
        <v>4.1500000000000004</v>
      </c>
      <c r="AB371" s="253">
        <f t="shared" ca="1" si="142"/>
        <v>0</v>
      </c>
      <c r="AC371" s="258"/>
      <c r="AF371" s="223" t="s">
        <v>405</v>
      </c>
      <c r="AG371" s="223" t="s">
        <v>715</v>
      </c>
      <c r="AH371" s="232">
        <f t="shared" ca="1" si="137"/>
        <v>46120</v>
      </c>
      <c r="AI371" s="232" t="b">
        <f t="shared" si="132"/>
        <v>1</v>
      </c>
      <c r="AJ371" s="259" t="str">
        <f t="shared" si="138"/>
        <v/>
      </c>
      <c r="AM371" s="223">
        <f t="shared" si="133"/>
        <v>0</v>
      </c>
      <c r="AN371" s="223">
        <f t="shared" si="134"/>
        <v>1900</v>
      </c>
      <c r="AU371" s="223">
        <f t="shared" si="135"/>
        <v>0</v>
      </c>
      <c r="AV371" s="223">
        <f t="shared" si="136"/>
        <v>0</v>
      </c>
    </row>
    <row r="372" spans="4:48" ht="26.25" x14ac:dyDescent="0.4">
      <c r="D372" s="246" t="s">
        <v>666</v>
      </c>
      <c r="E372" s="262" t="s">
        <v>108</v>
      </c>
      <c r="F372" s="263">
        <v>1068</v>
      </c>
      <c r="G372" s="249" t="s">
        <v>4</v>
      </c>
      <c r="H372" s="250">
        <v>2.6</v>
      </c>
      <c r="I372" s="251">
        <v>46058</v>
      </c>
      <c r="J372" s="252" t="s">
        <v>314</v>
      </c>
      <c r="K372" s="252"/>
      <c r="L372" s="253">
        <v>7.0000000000000007E-2</v>
      </c>
      <c r="M372" s="254">
        <f ca="1">IF(ISERROR(OFFSET(Tabella!$A$1,MATCH(J372,Tabella!$A:$A,0)-1,MATCH(L372,Tabella!$A$1:$AC$1,0)-1)=TRUE),0,+OFFSET(Tabella!$A$1,MATCH(J372,Tabella!$A:$A,0)-1,MATCH(L372,Tabella!$A$1:$AC$1,0)-1))</f>
        <v>1.25</v>
      </c>
      <c r="N372" s="255">
        <f ca="1">IF(ISERROR(OFFSET(Ottone!$A$1,MATCH(J372,Ottone!$A:$A,0)-1,MATCH(L372,Ottone!$A$1:$Z$1,0)-1)=TRUE),0,OFFSET(Ottone!$A$1,MATCH(J372,Ottone!$A:$A,0)-1,MATCH(L372,Ottone!$A$1:$Z$1,0)-1))*IF(G372="Ottone",1,0)</f>
        <v>0</v>
      </c>
      <c r="O372" s="255">
        <f ca="1">IF(ISERROR(OFFSET(Rame!$A$1,MATCH(J372,Rame!$A:$A,0)-1,MATCH(L372,Rame!$A$1:$AA$1,0)-1)=TRUE),0,OFFSET(Rame!$A$1,MATCH(J372,Rame!$A:$A,0)-1,MATCH(L372,Rame!$A$1:$AA$1,0)-1))*IF(G372="Rame",1,0)</f>
        <v>0</v>
      </c>
      <c r="P372" s="255">
        <v>0</v>
      </c>
      <c r="Q372" s="255">
        <f t="shared" ca="1" si="143"/>
        <v>1.25</v>
      </c>
      <c r="R372" s="255">
        <f ca="1">+IF(ISERROR(OFFSET(Tabella!$G$1,MATCH(J372,Tabella!$G:$G,0)-1,MATCH(K372,Tabella!$G$1:$FG$1,0)-1)=TRUE),0,OFFSET(Tabella!$G$1,MATCH(J372,Tabella!$G:$G,0)-1,MATCH(K372,Tabella!$G$1:$AB$1,0)-1))</f>
        <v>0</v>
      </c>
      <c r="S372" s="255">
        <f ca="1">IF(ISERROR(OFFSET(Ottone!$F$1,MATCH(J372,Ottone!$A:$A,0)-1,MATCH(K372,Ottone!$F$1:$FF$1,0)-1)=TRUE),0,OFFSET(Ottone!$F$1,MATCH(J372,Ottone!$A:$A,0)-1,MATCH(K372,Ottone!$F$1:$FF$1,0)-1))*IF(G372="Ottone",1,0)</f>
        <v>0</v>
      </c>
      <c r="T372" s="255">
        <f ca="1">IF(ISERROR(OFFSET(Rame!$F$1,MATCH(J372,Rame!$F:$F,0)-1,MATCH(K372,Rame!$F$1:$FF$1,0)-1)=TRUE),0,OFFSET(Rame!$F$1,MATCH(J372,Rame!$F:$F,0)-1,MATCH(K372,Rame!$F$1:$FF$1,0)-1))*IF(G372="Rame",1,0)</f>
        <v>0</v>
      </c>
      <c r="U372" s="255">
        <f ca="1">IF(ISERROR(OFFSET(Bronzo!$A$1,MATCH(J372,Bronzo!$A:$A,0)-1,MATCH(K372,Bronzo!$A$1:$AA$1,0)-1)=TRUE),0,OFFSET(Bronzo!$A$1,MATCH(J372,Bronzo!$A:$A,0)-1,MATCH(K372,Bronzo!$A$1:$AA$1,0)-1))</f>
        <v>0</v>
      </c>
      <c r="V372" s="255">
        <f t="shared" ca="1" si="139"/>
        <v>0</v>
      </c>
      <c r="W372" s="254"/>
      <c r="X372" s="255">
        <v>0</v>
      </c>
      <c r="Y372" s="256">
        <f t="shared" ca="1" si="140"/>
        <v>1.25</v>
      </c>
      <c r="Z372" s="269">
        <f t="shared" si="141"/>
        <v>74.760000000000005</v>
      </c>
      <c r="AA372" s="253">
        <v>4.0999999999999996</v>
      </c>
      <c r="AB372" s="253">
        <f t="shared" ca="1" si="142"/>
        <v>0.24999999999999956</v>
      </c>
      <c r="AC372" s="258"/>
      <c r="AF372" s="223" t="s">
        <v>405</v>
      </c>
      <c r="AH372" s="232">
        <f t="shared" ca="1" si="137"/>
        <v>46120</v>
      </c>
      <c r="AI372" s="232" t="b">
        <f t="shared" si="132"/>
        <v>1</v>
      </c>
      <c r="AJ372" s="259" t="str">
        <f t="shared" si="138"/>
        <v/>
      </c>
      <c r="AM372" s="223">
        <f t="shared" si="133"/>
        <v>0</v>
      </c>
      <c r="AN372" s="223">
        <f t="shared" si="134"/>
        <v>1900</v>
      </c>
      <c r="AU372" s="223">
        <f t="shared" si="135"/>
        <v>0</v>
      </c>
      <c r="AV372" s="223">
        <f t="shared" si="136"/>
        <v>0</v>
      </c>
    </row>
    <row r="373" spans="4:48" ht="26.25" x14ac:dyDescent="0.4">
      <c r="D373" s="246" t="s">
        <v>686</v>
      </c>
      <c r="E373" s="262" t="s">
        <v>108</v>
      </c>
      <c r="F373" s="263">
        <v>1072</v>
      </c>
      <c r="G373" s="249" t="s">
        <v>4</v>
      </c>
      <c r="H373" s="250">
        <v>2.6</v>
      </c>
      <c r="I373" s="251">
        <v>46058</v>
      </c>
      <c r="J373" s="252" t="s">
        <v>28</v>
      </c>
      <c r="K373" s="252"/>
      <c r="L373" s="253">
        <v>7.0000000000000007E-2</v>
      </c>
      <c r="M373" s="254">
        <f ca="1">IF(ISERROR(OFFSET(Tabella!$A$1,MATCH(J373,Tabella!$A:$A,0)-1,MATCH(L373,Tabella!$A$1:$AC$1,0)-1)=TRUE),0,+OFFSET(Tabella!$A$1,MATCH(J373,Tabella!$A:$A,0)-1,MATCH(L373,Tabella!$A$1:$AC$1,0)-1))</f>
        <v>1.25</v>
      </c>
      <c r="N373" s="255">
        <f ca="1">IF(ISERROR(OFFSET(Ottone!$A$1,MATCH(J373,Ottone!$A:$A,0)-1,MATCH(L373,Ottone!$A$1:$Z$1,0)-1)=TRUE),0,OFFSET(Ottone!$A$1,MATCH(J373,Ottone!$A:$A,0)-1,MATCH(L373,Ottone!$A$1:$Z$1,0)-1))*IF(G373="Ottone",1,0)</f>
        <v>0</v>
      </c>
      <c r="O373" s="255">
        <f ca="1">IF(ISERROR(OFFSET(Rame!$A$1,MATCH(J373,Rame!$A:$A,0)-1,MATCH(L373,Rame!$A$1:$AA$1,0)-1)=TRUE),0,OFFSET(Rame!$A$1,MATCH(J373,Rame!$A:$A,0)-1,MATCH(L373,Rame!$A$1:$AA$1,0)-1))*IF(G373="Rame",1,0)</f>
        <v>0</v>
      </c>
      <c r="P373" s="255">
        <v>0</v>
      </c>
      <c r="Q373" s="255">
        <f t="shared" ca="1" si="143"/>
        <v>1.25</v>
      </c>
      <c r="R373" s="255">
        <f ca="1">+IF(ISERROR(OFFSET(Tabella!$G$1,MATCH(J373,Tabella!$G:$G,0)-1,MATCH(K373,Tabella!$G$1:$FG$1,0)-1)=TRUE),0,OFFSET(Tabella!$G$1,MATCH(J373,Tabella!$G:$G,0)-1,MATCH(K373,Tabella!$G$1:$AB$1,0)-1))</f>
        <v>0</v>
      </c>
      <c r="S373" s="255">
        <f ca="1">IF(ISERROR(OFFSET(Ottone!$F$1,MATCH(J373,Ottone!$A:$A,0)-1,MATCH(K373,Ottone!$F$1:$FF$1,0)-1)=TRUE),0,OFFSET(Ottone!$F$1,MATCH(J373,Ottone!$A:$A,0)-1,MATCH(K373,Ottone!$F$1:$FF$1,0)-1))*IF(G373="Ottone",1,0)</f>
        <v>0</v>
      </c>
      <c r="T373" s="255">
        <f ca="1">IF(ISERROR(OFFSET(Rame!$F$1,MATCH(J373,Rame!$F:$F,0)-1,MATCH(K373,Rame!$F$1:$FF$1,0)-1)=TRUE),0,OFFSET(Rame!$F$1,MATCH(J373,Rame!$F:$F,0)-1,MATCH(K373,Rame!$F$1:$FF$1,0)-1))*IF(G373="Rame",1,0)</f>
        <v>0</v>
      </c>
      <c r="U373" s="255">
        <f ca="1">IF(ISERROR(OFFSET(Bronzo!$A$1,MATCH(J373,Bronzo!$A:$A,0)-1,MATCH(K373,Bronzo!$A$1:$AA$1,0)-1)=TRUE),0,OFFSET(Bronzo!$A$1,MATCH(J373,Bronzo!$A:$A,0)-1,MATCH(K373,Bronzo!$A$1:$AA$1,0)-1))</f>
        <v>0</v>
      </c>
      <c r="V373" s="255">
        <f t="shared" ca="1" si="139"/>
        <v>0</v>
      </c>
      <c r="W373" s="254"/>
      <c r="X373" s="255">
        <v>0</v>
      </c>
      <c r="Y373" s="256">
        <f t="shared" ca="1" si="140"/>
        <v>1.25</v>
      </c>
      <c r="Z373" s="269">
        <f t="shared" si="141"/>
        <v>75.040000000000006</v>
      </c>
      <c r="AA373" s="253">
        <v>4.0999999999999996</v>
      </c>
      <c r="AB373" s="253">
        <f t="shared" ca="1" si="142"/>
        <v>0.24999999999999956</v>
      </c>
      <c r="AC373" s="258"/>
      <c r="AF373" s="223" t="s">
        <v>405</v>
      </c>
      <c r="AH373" s="232">
        <f t="shared" ca="1" si="137"/>
        <v>46120</v>
      </c>
      <c r="AI373" s="232" t="b">
        <f t="shared" si="132"/>
        <v>1</v>
      </c>
      <c r="AJ373" s="259" t="str">
        <f t="shared" si="138"/>
        <v/>
      </c>
      <c r="AM373" s="223">
        <f t="shared" si="133"/>
        <v>0</v>
      </c>
      <c r="AN373" s="223">
        <f t="shared" si="134"/>
        <v>1900</v>
      </c>
      <c r="AU373" s="223">
        <f t="shared" si="135"/>
        <v>0</v>
      </c>
      <c r="AV373" s="223">
        <f t="shared" si="136"/>
        <v>0</v>
      </c>
    </row>
    <row r="374" spans="4:48" ht="26.25" x14ac:dyDescent="0.4">
      <c r="D374" s="246" t="s">
        <v>617</v>
      </c>
      <c r="E374" s="252" t="s">
        <v>397</v>
      </c>
      <c r="F374" s="276">
        <v>1300</v>
      </c>
      <c r="G374" s="249" t="s">
        <v>4</v>
      </c>
      <c r="H374" s="250">
        <v>2.87</v>
      </c>
      <c r="I374" s="251">
        <v>46084</v>
      </c>
      <c r="J374" s="252" t="s">
        <v>307</v>
      </c>
      <c r="K374" s="252"/>
      <c r="L374" s="253">
        <v>7.0000000000000007E-2</v>
      </c>
      <c r="M374" s="254">
        <f ca="1">IF(ISERROR(OFFSET(Tabella!$A$1,MATCH(J374,Tabella!$A:$A,0)-1,MATCH(L374,Tabella!$A$1:$AC$1,0)-1)=TRUE),0,+OFFSET(Tabella!$A$1,MATCH(J374,Tabella!$A:$A,0)-1,MATCH(L374,Tabella!$A$1:$AC$1,0)-1))</f>
        <v>1.25</v>
      </c>
      <c r="N374" s="255">
        <f ca="1">IF(ISERROR(OFFSET(Ottone!$A$1,MATCH(J374,Ottone!$A:$A,0)-1,MATCH(L374,Ottone!$A$1:$Z$1,0)-1)=TRUE),0,OFFSET(Ottone!$A$1,MATCH(J374,Ottone!$A:$A,0)-1,MATCH(L374,Ottone!$A$1:$Z$1,0)-1))*IF(G374="Ottone",1,0)</f>
        <v>0</v>
      </c>
      <c r="O374" s="255">
        <f ca="1">IF(ISERROR(OFFSET(Rame!$A$1,MATCH(J374,Rame!$A:$A,0)-1,MATCH(L374,Rame!$A$1:$AA$1,0)-1)=TRUE),0,OFFSET(Rame!$A$1,MATCH(J374,Rame!$A:$A,0)-1,MATCH(L374,Rame!$A$1:$AA$1,0)-1))*IF(G374="Rame",1,0)</f>
        <v>0</v>
      </c>
      <c r="P374" s="255">
        <v>0</v>
      </c>
      <c r="Q374" s="255">
        <f t="shared" ca="1" si="143"/>
        <v>1.25</v>
      </c>
      <c r="R374" s="255">
        <f ca="1">+IF(ISERROR(OFFSET(Tabella!$G$1,MATCH(J374,Tabella!$G:$G,0)-1,MATCH(K374,Tabella!$G$1:$FG$1,0)-1)=TRUE),0,OFFSET(Tabella!$G$1,MATCH(J374,Tabella!$G:$G,0)-1,MATCH(K374,Tabella!$G$1:$AB$1,0)-1))</f>
        <v>0</v>
      </c>
      <c r="S374" s="255">
        <f ca="1">IF(ISERROR(OFFSET(Ottone!$F$1,MATCH(J374,Ottone!$A:$A,0)-1,MATCH(K374,Ottone!$F$1:$FF$1,0)-1)=TRUE),0,OFFSET(Ottone!$F$1,MATCH(J374,Ottone!$A:$A,0)-1,MATCH(K374,Ottone!$F$1:$FF$1,0)-1))*IF(G374="Ottone",1,0)</f>
        <v>0</v>
      </c>
      <c r="T374" s="255">
        <f ca="1">IF(ISERROR(OFFSET(Rame!$F$1,MATCH(J374,Rame!$F:$F,0)-1,MATCH(K374,Rame!$F$1:$FF$1,0)-1)=TRUE),0,OFFSET(Rame!$F$1,MATCH(J374,Rame!$F:$F,0)-1,MATCH(K374,Rame!$F$1:$FF$1,0)-1))*IF(G374="Rame",1,0)</f>
        <v>0</v>
      </c>
      <c r="U374" s="255">
        <f ca="1">IF(ISERROR(OFFSET(Bronzo!$A$1,MATCH(J374,Bronzo!$A:$A,0)-1,MATCH(K374,Bronzo!$A$1:$AA$1,0)-1)=TRUE),0,OFFSET(Bronzo!$A$1,MATCH(J374,Bronzo!$A:$A,0)-1,MATCH(K374,Bronzo!$A$1:$AA$1,0)-1))</f>
        <v>0</v>
      </c>
      <c r="V374" s="255">
        <f t="shared" ca="1" si="139"/>
        <v>0</v>
      </c>
      <c r="W374" s="254"/>
      <c r="X374" s="255">
        <v>0</v>
      </c>
      <c r="Y374" s="256">
        <f t="shared" ca="1" si="140"/>
        <v>1.25</v>
      </c>
      <c r="Z374" s="257">
        <f t="shared" si="141"/>
        <v>91.000000000000014</v>
      </c>
      <c r="AA374" s="253">
        <v>4.59</v>
      </c>
      <c r="AB374" s="253">
        <f t="shared" ca="1" si="142"/>
        <v>0.46999999999999975</v>
      </c>
      <c r="AC374" s="258">
        <v>46239</v>
      </c>
      <c r="AH374" s="232">
        <f t="shared" ca="1" si="137"/>
        <v>46120</v>
      </c>
      <c r="AI374" s="232" t="b">
        <f t="shared" si="132"/>
        <v>0</v>
      </c>
      <c r="AJ374" s="259">
        <f t="shared" ca="1" si="138"/>
        <v>119</v>
      </c>
      <c r="AM374" s="223">
        <f t="shared" si="133"/>
        <v>32</v>
      </c>
      <c r="AN374" s="223">
        <f t="shared" si="134"/>
        <v>2026</v>
      </c>
      <c r="AU374" s="223">
        <f t="shared" si="135"/>
        <v>8</v>
      </c>
      <c r="AV374" s="223">
        <f t="shared" si="136"/>
        <v>2026</v>
      </c>
    </row>
    <row r="375" spans="4:48" ht="26.25" x14ac:dyDescent="0.4">
      <c r="D375" s="246" t="s">
        <v>616</v>
      </c>
      <c r="E375" s="252" t="s">
        <v>397</v>
      </c>
      <c r="F375" s="276">
        <v>200</v>
      </c>
      <c r="G375" s="249" t="s">
        <v>4</v>
      </c>
      <c r="H375" s="250">
        <v>2.87</v>
      </c>
      <c r="I375" s="251">
        <v>46084</v>
      </c>
      <c r="J375" s="252" t="s">
        <v>29</v>
      </c>
      <c r="K375" s="252"/>
      <c r="L375" s="253">
        <v>7.0000000000000007E-2</v>
      </c>
      <c r="M375" s="254">
        <f ca="1">IF(ISERROR(OFFSET(Tabella!$A$1,MATCH(J375,Tabella!$A:$A,0)-1,MATCH(L375,Tabella!$A$1:$AC$1,0)-1)=TRUE),0,+OFFSET(Tabella!$A$1,MATCH(J375,Tabella!$A:$A,0)-1,MATCH(L375,Tabella!$A$1:$AC$1,0)-1))</f>
        <v>1.3</v>
      </c>
      <c r="N375" s="255">
        <f ca="1">IF(ISERROR(OFFSET(Ottone!$A$1,MATCH(J375,Ottone!$A:$A,0)-1,MATCH(L375,Ottone!$A$1:$Z$1,0)-1)=TRUE),0,OFFSET(Ottone!$A$1,MATCH(J375,Ottone!$A:$A,0)-1,MATCH(L375,Ottone!$A$1:$Z$1,0)-1))*IF(G375="Ottone",1,0)</f>
        <v>0</v>
      </c>
      <c r="O375" s="255">
        <f ca="1">IF(ISERROR(OFFSET(Rame!$A$1,MATCH(J375,Rame!$A:$A,0)-1,MATCH(L375,Rame!$A$1:$AA$1,0)-1)=TRUE),0,OFFSET(Rame!$A$1,MATCH(J375,Rame!$A:$A,0)-1,MATCH(L375,Rame!$A$1:$AA$1,0)-1))*IF(G375="Rame",1,0)</f>
        <v>0</v>
      </c>
      <c r="P375" s="255">
        <v>0</v>
      </c>
      <c r="Q375" s="255">
        <f t="shared" ca="1" si="143"/>
        <v>1.3</v>
      </c>
      <c r="R375" s="255">
        <f ca="1">+IF(ISERROR(OFFSET(Tabella!$G$1,MATCH(J375,Tabella!$G:$G,0)-1,MATCH(K375,Tabella!$G$1:$FG$1,0)-1)=TRUE),0,OFFSET(Tabella!$G$1,MATCH(J375,Tabella!$G:$G,0)-1,MATCH(K375,Tabella!$G$1:$AB$1,0)-1))</f>
        <v>0</v>
      </c>
      <c r="S375" s="255">
        <f ca="1">IF(ISERROR(OFFSET(Ottone!$F$1,MATCH(J375,Ottone!$A:$A,0)-1,MATCH(K375,Ottone!$F$1:$FF$1,0)-1)=TRUE),0,OFFSET(Ottone!$F$1,MATCH(J375,Ottone!$A:$A,0)-1,MATCH(K375,Ottone!$F$1:$FF$1,0)-1))*IF(G375="Ottone",1,0)</f>
        <v>0</v>
      </c>
      <c r="T375" s="255">
        <f ca="1">IF(ISERROR(OFFSET(Rame!$F$1,MATCH(J375,Rame!$F:$F,0)-1,MATCH(K375,Rame!$F$1:$FF$1,0)-1)=TRUE),0,OFFSET(Rame!$F$1,MATCH(J375,Rame!$F:$F,0)-1,MATCH(K375,Rame!$F$1:$FF$1,0)-1))*IF(G375="Rame",1,0)</f>
        <v>0</v>
      </c>
      <c r="U375" s="255">
        <f ca="1">IF(ISERROR(OFFSET(Bronzo!$A$1,MATCH(J375,Bronzo!$A:$A,0)-1,MATCH(K375,Bronzo!$A$1:$AA$1,0)-1)=TRUE),0,OFFSET(Bronzo!$A$1,MATCH(J375,Bronzo!$A:$A,0)-1,MATCH(K375,Bronzo!$A$1:$AA$1,0)-1))</f>
        <v>0</v>
      </c>
      <c r="V375" s="255">
        <f t="shared" ca="1" si="139"/>
        <v>0</v>
      </c>
      <c r="W375" s="254"/>
      <c r="X375" s="255">
        <v>0</v>
      </c>
      <c r="Y375" s="256">
        <f t="shared" ca="1" si="140"/>
        <v>1.3</v>
      </c>
      <c r="Z375" s="257">
        <f t="shared" si="141"/>
        <v>14.000000000000002</v>
      </c>
      <c r="AA375" s="253">
        <v>4.59</v>
      </c>
      <c r="AB375" s="253">
        <f t="shared" ca="1" si="142"/>
        <v>0.41999999999999993</v>
      </c>
      <c r="AC375" s="258">
        <v>46140</v>
      </c>
      <c r="AH375" s="232">
        <f t="shared" ca="1" si="137"/>
        <v>46120</v>
      </c>
      <c r="AI375" s="232" t="b">
        <f t="shared" si="132"/>
        <v>0</v>
      </c>
      <c r="AJ375" s="259">
        <f t="shared" ca="1" si="138"/>
        <v>20</v>
      </c>
      <c r="AM375" s="223">
        <f t="shared" si="133"/>
        <v>18</v>
      </c>
      <c r="AN375" s="223">
        <f t="shared" si="134"/>
        <v>2026</v>
      </c>
      <c r="AU375" s="223">
        <f t="shared" si="135"/>
        <v>4</v>
      </c>
      <c r="AV375" s="223">
        <f t="shared" si="136"/>
        <v>2026</v>
      </c>
    </row>
    <row r="376" spans="4:48" ht="26.25" x14ac:dyDescent="0.4">
      <c r="D376" s="246" t="s">
        <v>615</v>
      </c>
      <c r="E376" s="252" t="s">
        <v>397</v>
      </c>
      <c r="F376" s="276">
        <v>1000</v>
      </c>
      <c r="G376" s="249" t="s">
        <v>4</v>
      </c>
      <c r="H376" s="250">
        <v>2.87</v>
      </c>
      <c r="I376" s="251">
        <v>46084</v>
      </c>
      <c r="J376" s="252" t="s">
        <v>308</v>
      </c>
      <c r="K376" s="252"/>
      <c r="L376" s="253">
        <v>7.0000000000000007E-2</v>
      </c>
      <c r="M376" s="254">
        <f ca="1">IF(ISERROR(OFFSET(Tabella!$A$1,MATCH(J376,Tabella!$A:$A,0)-1,MATCH(L376,Tabella!$A$1:$AC$1,0)-1)=TRUE),0,+OFFSET(Tabella!$A$1,MATCH(J376,Tabella!$A:$A,0)-1,MATCH(L376,Tabella!$A$1:$AC$1,0)-1))</f>
        <v>1.25</v>
      </c>
      <c r="N376" s="255">
        <f ca="1">IF(ISERROR(OFFSET(Ottone!$A$1,MATCH(J376,Ottone!$A:$A,0)-1,MATCH(L376,Ottone!$A$1:$Z$1,0)-1)=TRUE),0,OFFSET(Ottone!$A$1,MATCH(J376,Ottone!$A:$A,0)-1,MATCH(L376,Ottone!$A$1:$Z$1,0)-1))*IF(G376="Ottone",1,0)</f>
        <v>0</v>
      </c>
      <c r="O376" s="255">
        <f ca="1">IF(ISERROR(OFFSET(Rame!$A$1,MATCH(J376,Rame!$A:$A,0)-1,MATCH(L376,Rame!$A$1:$AA$1,0)-1)=TRUE),0,OFFSET(Rame!$A$1,MATCH(J376,Rame!$A:$A,0)-1,MATCH(L376,Rame!$A$1:$AA$1,0)-1))*IF(G376="Rame",1,0)</f>
        <v>0</v>
      </c>
      <c r="P376" s="255">
        <v>0</v>
      </c>
      <c r="Q376" s="255">
        <f t="shared" ca="1" si="143"/>
        <v>1.25</v>
      </c>
      <c r="R376" s="255">
        <f ca="1">+IF(ISERROR(OFFSET(Tabella!$G$1,MATCH(J376,Tabella!$G:$G,0)-1,MATCH(K376,Tabella!$G$1:$FG$1,0)-1)=TRUE),0,OFFSET(Tabella!$G$1,MATCH(J376,Tabella!$G:$G,0)-1,MATCH(K376,Tabella!$G$1:$AB$1,0)-1))</f>
        <v>0</v>
      </c>
      <c r="S376" s="255">
        <f ca="1">IF(ISERROR(OFFSET(Ottone!$F$1,MATCH(J376,Ottone!$A:$A,0)-1,MATCH(K376,Ottone!$F$1:$FF$1,0)-1)=TRUE),0,OFFSET(Ottone!$F$1,MATCH(J376,Ottone!$A:$A,0)-1,MATCH(K376,Ottone!$F$1:$FF$1,0)-1))*IF(G376="Ottone",1,0)</f>
        <v>0</v>
      </c>
      <c r="T376" s="255">
        <f ca="1">IF(ISERROR(OFFSET(Rame!$F$1,MATCH(J376,Rame!$F:$F,0)-1,MATCH(K376,Rame!$F$1:$FF$1,0)-1)=TRUE),0,OFFSET(Rame!$F$1,MATCH(J376,Rame!$F:$F,0)-1,MATCH(K376,Rame!$F$1:$FF$1,0)-1))*IF(G376="Rame",1,0)</f>
        <v>0</v>
      </c>
      <c r="U376" s="255">
        <f ca="1">IF(ISERROR(OFFSET(Bronzo!$A$1,MATCH(J376,Bronzo!$A:$A,0)-1,MATCH(K376,Bronzo!$A$1:$AA$1,0)-1)=TRUE),0,OFFSET(Bronzo!$A$1,MATCH(J376,Bronzo!$A:$A,0)-1,MATCH(K376,Bronzo!$A$1:$AA$1,0)-1))</f>
        <v>0</v>
      </c>
      <c r="V376" s="255">
        <f t="shared" ca="1" si="139"/>
        <v>0</v>
      </c>
      <c r="W376" s="254"/>
      <c r="X376" s="255">
        <v>0</v>
      </c>
      <c r="Y376" s="256">
        <f t="shared" ca="1" si="140"/>
        <v>1.25</v>
      </c>
      <c r="Z376" s="257">
        <f t="shared" si="141"/>
        <v>70</v>
      </c>
      <c r="AA376" s="253">
        <v>4.59</v>
      </c>
      <c r="AB376" s="253">
        <f t="shared" ca="1" si="142"/>
        <v>0.46999999999999975</v>
      </c>
      <c r="AC376" s="258">
        <v>46213</v>
      </c>
      <c r="AH376" s="232">
        <f t="shared" ca="1" si="137"/>
        <v>46120</v>
      </c>
      <c r="AI376" s="232" t="b">
        <f t="shared" si="132"/>
        <v>0</v>
      </c>
      <c r="AJ376" s="259">
        <f t="shared" ca="1" si="138"/>
        <v>93</v>
      </c>
      <c r="AM376" s="223">
        <f t="shared" si="133"/>
        <v>28</v>
      </c>
      <c r="AN376" s="223">
        <f t="shared" si="134"/>
        <v>2026</v>
      </c>
      <c r="AU376" s="223">
        <f t="shared" si="135"/>
        <v>7</v>
      </c>
      <c r="AV376" s="223">
        <f t="shared" si="136"/>
        <v>2026</v>
      </c>
    </row>
    <row r="377" spans="4:48" ht="26.25" x14ac:dyDescent="0.4">
      <c r="D377" s="246" t="s">
        <v>684</v>
      </c>
      <c r="E377" s="262" t="s">
        <v>420</v>
      </c>
      <c r="F377" s="263">
        <v>3055</v>
      </c>
      <c r="G377" s="249" t="s">
        <v>4</v>
      </c>
      <c r="H377" s="250">
        <v>2.66</v>
      </c>
      <c r="I377" s="251">
        <v>46044</v>
      </c>
      <c r="J377" s="252" t="s">
        <v>314</v>
      </c>
      <c r="K377" s="252"/>
      <c r="L377" s="253">
        <v>0.05</v>
      </c>
      <c r="M377" s="254">
        <f ca="1">IF(ISERROR(OFFSET(Tabella!$A$1,MATCH(J377,Tabella!$A:$A,0)-1,MATCH(L377,Tabella!$A$1:$AC$1,0)-1)=TRUE),0,+OFFSET(Tabella!$A$1,MATCH(J377,Tabella!$A:$A,0)-1,MATCH(L377,Tabella!$A$1:$AC$1,0)-1))</f>
        <v>0</v>
      </c>
      <c r="N377" s="255">
        <f ca="1">IF(ISERROR(OFFSET(Ottone!$A$1,MATCH(J377,Ottone!$A:$A,0)-1,MATCH(L377,Ottone!$A$1:$Z$1,0)-1)=TRUE),0,OFFSET(Ottone!$A$1,MATCH(J377,Ottone!$A:$A,0)-1,MATCH(L377,Ottone!$A$1:$Z$1,0)-1))*IF(G377="Ottone",1,0)</f>
        <v>0</v>
      </c>
      <c r="O377" s="255">
        <f ca="1">IF(ISERROR(OFFSET(Rame!$A$1,MATCH(J377,Rame!$A:$A,0)-1,MATCH(L377,Rame!$A$1:$AA$1,0)-1)=TRUE),0,OFFSET(Rame!$A$1,MATCH(J377,Rame!$A:$A,0)-1,MATCH(L377,Rame!$A$1:$AA$1,0)-1))*IF(G377="Rame",1,0)</f>
        <v>0</v>
      </c>
      <c r="P377" s="255">
        <v>0</v>
      </c>
      <c r="Q377" s="255">
        <v>1.5</v>
      </c>
      <c r="R377" s="255">
        <f ca="1">+IF(ISERROR(OFFSET(Tabella!$G$1,MATCH(J377,Tabella!$G:$G,0)-1,MATCH(K377,Tabella!$G$1:$FG$1,0)-1)=TRUE),0,OFFSET(Tabella!$G$1,MATCH(J377,Tabella!$G:$G,0)-1,MATCH(K377,Tabella!$G$1:$AB$1,0)-1))</f>
        <v>0</v>
      </c>
      <c r="S377" s="255">
        <f ca="1">IF(ISERROR(OFFSET(Ottone!$F$1,MATCH(J377,Ottone!$A:$A,0)-1,MATCH(K377,Ottone!$F$1:$FF$1,0)-1)=TRUE),0,OFFSET(Ottone!$F$1,MATCH(J377,Ottone!$A:$A,0)-1,MATCH(K377,Ottone!$F$1:$FF$1,0)-1))*IF(G377="Ottone",1,0)</f>
        <v>0</v>
      </c>
      <c r="T377" s="255">
        <f ca="1">IF(ISERROR(OFFSET(Rame!$F$1,MATCH(J377,Rame!$F:$F,0)-1,MATCH(K377,Rame!$F$1:$FF$1,0)-1)=TRUE),0,OFFSET(Rame!$F$1,MATCH(J377,Rame!$F:$F,0)-1,MATCH(K377,Rame!$F$1:$FF$1,0)-1))*IF(G377="Rame",1,0)</f>
        <v>0</v>
      </c>
      <c r="U377" s="255">
        <f ca="1">IF(ISERROR(OFFSET(Bronzo!$A$1,MATCH(J377,Bronzo!$A:$A,0)-1,MATCH(K377,Bronzo!$A$1:$AA$1,0)-1)=TRUE),0,OFFSET(Bronzo!$A$1,MATCH(J377,Bronzo!$A:$A,0)-1,MATCH(K377,Bronzo!$A$1:$AA$1,0)-1))</f>
        <v>0</v>
      </c>
      <c r="V377" s="255">
        <f t="shared" ca="1" si="139"/>
        <v>0</v>
      </c>
      <c r="W377" s="254"/>
      <c r="X377" s="255">
        <v>0</v>
      </c>
      <c r="Y377" s="256">
        <f t="shared" ca="1" si="140"/>
        <v>1.5</v>
      </c>
      <c r="Z377" s="269">
        <f t="shared" si="141"/>
        <v>152.75</v>
      </c>
      <c r="AA377" s="253">
        <v>4.0999999999999996</v>
      </c>
      <c r="AB377" s="253">
        <f t="shared" ca="1" si="142"/>
        <v>-6.0000000000000497E-2</v>
      </c>
      <c r="AC377" s="258"/>
      <c r="AF377" s="223" t="s">
        <v>405</v>
      </c>
      <c r="AH377" s="232">
        <f t="shared" ca="1" si="137"/>
        <v>46120</v>
      </c>
      <c r="AI377" s="232" t="b">
        <f t="shared" si="132"/>
        <v>1</v>
      </c>
      <c r="AJ377" s="259" t="str">
        <f t="shared" si="138"/>
        <v/>
      </c>
      <c r="AM377" s="223">
        <f t="shared" si="133"/>
        <v>0</v>
      </c>
      <c r="AN377" s="223">
        <f t="shared" si="134"/>
        <v>1900</v>
      </c>
      <c r="AU377" s="223">
        <f t="shared" si="135"/>
        <v>0</v>
      </c>
      <c r="AV377" s="223">
        <f t="shared" si="136"/>
        <v>0</v>
      </c>
    </row>
    <row r="378" spans="4:48" ht="26.25" x14ac:dyDescent="0.4">
      <c r="D378" s="246" t="s">
        <v>789</v>
      </c>
      <c r="E378" s="299" t="s">
        <v>420</v>
      </c>
      <c r="F378" s="300">
        <v>928</v>
      </c>
      <c r="G378" s="249" t="s">
        <v>4</v>
      </c>
      <c r="H378" s="250">
        <v>2.66</v>
      </c>
      <c r="I378" s="251">
        <v>46044</v>
      </c>
      <c r="J378" s="252" t="s">
        <v>21</v>
      </c>
      <c r="K378" s="252"/>
      <c r="L378" s="253">
        <v>0.05</v>
      </c>
      <c r="M378" s="254">
        <f ca="1">IF(ISERROR(OFFSET(Tabella!$A$1,MATCH(J378,Tabella!$A:$A,0)-1,MATCH(L378,Tabella!$A$1:$AC$1,0)-1)=TRUE),0,+OFFSET(Tabella!$A$1,MATCH(J378,Tabella!$A:$A,0)-1,MATCH(L378,Tabella!$A$1:$AC$1,0)-1))</f>
        <v>0</v>
      </c>
      <c r="N378" s="255">
        <f ca="1">IF(ISERROR(OFFSET(Ottone!$A$1,MATCH(J378,Ottone!$A:$A,0)-1,MATCH(L378,Ottone!$A$1:$Z$1,0)-1)=TRUE),0,OFFSET(Ottone!$A$1,MATCH(J378,Ottone!$A:$A,0)-1,MATCH(L378,Ottone!$A$1:$Z$1,0)-1))*IF(G378="Ottone",1,0)</f>
        <v>0</v>
      </c>
      <c r="O378" s="255">
        <f ca="1">IF(ISERROR(OFFSET(Rame!$A$1,MATCH(J378,Rame!$A:$A,0)-1,MATCH(L378,Rame!$A$1:$AA$1,0)-1)=TRUE),0,OFFSET(Rame!$A$1,MATCH(J378,Rame!$A:$A,0)-1,MATCH(L378,Rame!$A$1:$AA$1,0)-1))*IF(G378="Rame",1,0)</f>
        <v>0</v>
      </c>
      <c r="P378" s="255">
        <v>0</v>
      </c>
      <c r="Q378" s="255">
        <v>1.5</v>
      </c>
      <c r="R378" s="255">
        <f ca="1">+IF(ISERROR(OFFSET(Tabella!$G$1,MATCH(J378,Tabella!$G:$G,0)-1,MATCH(K378,Tabella!$G$1:$FG$1,0)-1)=TRUE),0,OFFSET(Tabella!$G$1,MATCH(J378,Tabella!$G:$G,0)-1,MATCH(K378,Tabella!$G$1:$AB$1,0)-1))</f>
        <v>0</v>
      </c>
      <c r="S378" s="255">
        <f ca="1">IF(ISERROR(OFFSET(Ottone!$F$1,MATCH(J378,Ottone!$A:$A,0)-1,MATCH(K378,Ottone!$F$1:$FF$1,0)-1)=TRUE),0,OFFSET(Ottone!$F$1,MATCH(J378,Ottone!$A:$A,0)-1,MATCH(K378,Ottone!$F$1:$FF$1,0)-1))*IF(G378="Ottone",1,0)</f>
        <v>0</v>
      </c>
      <c r="T378" s="255">
        <f ca="1">IF(ISERROR(OFFSET(Rame!$F$1,MATCH(J378,Rame!$F:$F,0)-1,MATCH(K378,Rame!$F$1:$FF$1,0)-1)=TRUE),0,OFFSET(Rame!$F$1,MATCH(J378,Rame!$F:$F,0)-1,MATCH(K378,Rame!$F$1:$FF$1,0)-1))*IF(G378="Rame",1,0)</f>
        <v>0</v>
      </c>
      <c r="U378" s="255">
        <f ca="1">IF(ISERROR(OFFSET(Bronzo!$A$1,MATCH(J378,Bronzo!$A:$A,0)-1,MATCH(K378,Bronzo!$A$1:$AA$1,0)-1)=TRUE),0,OFFSET(Bronzo!$A$1,MATCH(J378,Bronzo!$A:$A,0)-1,MATCH(K378,Bronzo!$A$1:$AA$1,0)-1))</f>
        <v>0</v>
      </c>
      <c r="V378" s="255">
        <f t="shared" ca="1" si="139"/>
        <v>0</v>
      </c>
      <c r="W378" s="254"/>
      <c r="X378" s="255">
        <v>0</v>
      </c>
      <c r="Y378" s="256">
        <f t="shared" ca="1" si="140"/>
        <v>1.5</v>
      </c>
      <c r="Z378" s="301">
        <f t="shared" si="141"/>
        <v>46.400000000000006</v>
      </c>
      <c r="AA378" s="253">
        <v>4.0999999999999996</v>
      </c>
      <c r="AB378" s="253">
        <f t="shared" ca="1" si="142"/>
        <v>-6.0000000000000497E-2</v>
      </c>
      <c r="AC378" s="258">
        <v>46104</v>
      </c>
      <c r="AF378" s="223" t="s">
        <v>405</v>
      </c>
      <c r="AH378" s="232">
        <f t="shared" ca="1" si="137"/>
        <v>46120</v>
      </c>
      <c r="AI378" s="232" t="b">
        <f t="shared" si="132"/>
        <v>0</v>
      </c>
      <c r="AJ378" s="259">
        <f t="shared" ca="1" si="138"/>
        <v>-16</v>
      </c>
      <c r="AM378" s="223">
        <f t="shared" si="133"/>
        <v>13</v>
      </c>
      <c r="AN378" s="223">
        <f t="shared" si="134"/>
        <v>2026</v>
      </c>
      <c r="AU378" s="223">
        <f t="shared" si="135"/>
        <v>3</v>
      </c>
      <c r="AV378" s="223">
        <f t="shared" si="136"/>
        <v>2026</v>
      </c>
    </row>
    <row r="379" spans="4:48" ht="26.25" x14ac:dyDescent="0.4">
      <c r="D379" s="246" t="s">
        <v>557</v>
      </c>
      <c r="E379" s="252" t="s">
        <v>422</v>
      </c>
      <c r="F379" s="276">
        <v>450</v>
      </c>
      <c r="G379" s="249" t="s">
        <v>4</v>
      </c>
      <c r="H379" s="250">
        <v>2.81</v>
      </c>
      <c r="I379" s="251">
        <v>46085</v>
      </c>
      <c r="J379" s="252" t="s">
        <v>19</v>
      </c>
      <c r="K379" s="252"/>
      <c r="L379" s="253">
        <v>7.0000000000000007E-2</v>
      </c>
      <c r="M379" s="254">
        <f ca="1">IF(ISERROR(OFFSET(Tabella!$A$1,MATCH(J379,Tabella!$A:$A,0)-1,MATCH(L379,Tabella!$A$1:$AC$1,0)-1)=TRUE),0,+OFFSET(Tabella!$A$1,MATCH(J379,Tabella!$A:$A,0)-1,MATCH(L379,Tabella!$A$1:$AC$1,0)-1))</f>
        <v>1.35</v>
      </c>
      <c r="N379" s="255">
        <f ca="1">IF(ISERROR(OFFSET(Ottone!$A$1,MATCH(J379,Ottone!$A:$A,0)-1,MATCH(L379,Ottone!$A$1:$Z$1,0)-1)=TRUE),0,OFFSET(Ottone!$A$1,MATCH(J379,Ottone!$A:$A,0)-1,MATCH(L379,Ottone!$A$1:$Z$1,0)-1))*IF(G379="Ottone",1,0)</f>
        <v>0</v>
      </c>
      <c r="O379" s="255">
        <f ca="1">IF(ISERROR(OFFSET(Rame!$A$1,MATCH(J379,Rame!$A:$A,0)-1,MATCH(L379,Rame!$A$1:$AA$1,0)-1)=TRUE),0,OFFSET(Rame!$A$1,MATCH(J379,Rame!$A:$A,0)-1,MATCH(L379,Rame!$A$1:$AA$1,0)-1))*IF(G379="Rame",1,0)</f>
        <v>0</v>
      </c>
      <c r="P379" s="255">
        <v>0</v>
      </c>
      <c r="Q379" s="255">
        <f t="shared" ca="1" si="143"/>
        <v>1.35</v>
      </c>
      <c r="R379" s="255">
        <f ca="1">+IF(ISERROR(OFFSET(Tabella!$G$1,MATCH(J379,Tabella!$G:$G,0)-1,MATCH(K379,Tabella!$G$1:$FG$1,0)-1)=TRUE),0,OFFSET(Tabella!$G$1,MATCH(J379,Tabella!$G:$G,0)-1,MATCH(K379,Tabella!$G$1:$AB$1,0)-1))</f>
        <v>0</v>
      </c>
      <c r="S379" s="255">
        <f ca="1">IF(ISERROR(OFFSET(Ottone!$F$1,MATCH(J379,Ottone!$A:$A,0)-1,MATCH(K379,Ottone!$F$1:$FF$1,0)-1)=TRUE),0,OFFSET(Ottone!$F$1,MATCH(J379,Ottone!$A:$A,0)-1,MATCH(K379,Ottone!$F$1:$FF$1,0)-1))*IF(G379="Ottone",1,0)</f>
        <v>0</v>
      </c>
      <c r="T379" s="255">
        <f ca="1">IF(ISERROR(OFFSET(Rame!$F$1,MATCH(J379,Rame!$F:$F,0)-1,MATCH(K379,Rame!$F$1:$FF$1,0)-1)=TRUE),0,OFFSET(Rame!$F$1,MATCH(J379,Rame!$F:$F,0)-1,MATCH(K379,Rame!$F$1:$FF$1,0)-1))*IF(G379="Rame",1,0)</f>
        <v>0</v>
      </c>
      <c r="U379" s="255">
        <f ca="1">IF(ISERROR(OFFSET(Bronzo!$A$1,MATCH(J379,Bronzo!$A:$A,0)-1,MATCH(K379,Bronzo!$A$1:$AA$1,0)-1)=TRUE),0,OFFSET(Bronzo!$A$1,MATCH(J379,Bronzo!$A:$A,0)-1,MATCH(K379,Bronzo!$A$1:$AA$1,0)-1))</f>
        <v>0</v>
      </c>
      <c r="V379" s="255">
        <f t="shared" ca="1" si="139"/>
        <v>0</v>
      </c>
      <c r="W379" s="254"/>
      <c r="X379" s="255">
        <v>0</v>
      </c>
      <c r="Y379" s="256">
        <f t="shared" ca="1" si="140"/>
        <v>1.35</v>
      </c>
      <c r="Z379" s="257">
        <f t="shared" si="141"/>
        <v>31.500000000000004</v>
      </c>
      <c r="AA379" s="253">
        <v>4.3499999999999996</v>
      </c>
      <c r="AB379" s="253">
        <f t="shared" ca="1" si="142"/>
        <v>0.1899999999999995</v>
      </c>
      <c r="AC379" s="258">
        <v>46122</v>
      </c>
      <c r="AH379" s="232">
        <f t="shared" ca="1" si="137"/>
        <v>46120</v>
      </c>
      <c r="AI379" s="232" t="b">
        <f t="shared" si="132"/>
        <v>0</v>
      </c>
      <c r="AJ379" s="259">
        <f t="shared" ca="1" si="138"/>
        <v>2</v>
      </c>
      <c r="AM379" s="223">
        <f t="shared" si="133"/>
        <v>15</v>
      </c>
      <c r="AN379" s="223">
        <f t="shared" si="134"/>
        <v>2026</v>
      </c>
      <c r="AU379" s="223">
        <f t="shared" si="135"/>
        <v>4</v>
      </c>
      <c r="AV379" s="223">
        <f t="shared" si="136"/>
        <v>2026</v>
      </c>
    </row>
    <row r="380" spans="4:48" ht="26.25" x14ac:dyDescent="0.4">
      <c r="D380" s="246" t="s">
        <v>667</v>
      </c>
      <c r="E380" s="262" t="s">
        <v>108</v>
      </c>
      <c r="F380" s="263">
        <v>612</v>
      </c>
      <c r="G380" s="249" t="s">
        <v>4</v>
      </c>
      <c r="H380" s="250">
        <v>2.6</v>
      </c>
      <c r="I380" s="251">
        <v>46058</v>
      </c>
      <c r="J380" s="252" t="s">
        <v>314</v>
      </c>
      <c r="K380" s="252"/>
      <c r="L380" s="253">
        <v>7.0000000000000007E-2</v>
      </c>
      <c r="M380" s="254">
        <f ca="1">IF(ISERROR(OFFSET(Tabella!$A$1,MATCH(J380,Tabella!$A:$A,0)-1,MATCH(L380,Tabella!$A$1:$AC$1,0)-1)=TRUE),0,+OFFSET(Tabella!$A$1,MATCH(J380,Tabella!$A:$A,0)-1,MATCH(L380,Tabella!$A$1:$AC$1,0)-1))</f>
        <v>1.25</v>
      </c>
      <c r="N380" s="255">
        <f ca="1">IF(ISERROR(OFFSET(Ottone!$A$1,MATCH(J380,Ottone!$A:$A,0)-1,MATCH(L380,Ottone!$A$1:$Z$1,0)-1)=TRUE),0,OFFSET(Ottone!$A$1,MATCH(J380,Ottone!$A:$A,0)-1,MATCH(L380,Ottone!$A$1:$Z$1,0)-1))*IF(G380="Ottone",1,0)</f>
        <v>0</v>
      </c>
      <c r="O380" s="255">
        <f ca="1">IF(ISERROR(OFFSET(Rame!$A$1,MATCH(J380,Rame!$A:$A,0)-1,MATCH(L380,Rame!$A$1:$AA$1,0)-1)=TRUE),0,OFFSET(Rame!$A$1,MATCH(J380,Rame!$A:$A,0)-1,MATCH(L380,Rame!$A$1:$AA$1,0)-1))*IF(G380="Rame",1,0)</f>
        <v>0</v>
      </c>
      <c r="P380" s="255">
        <v>0</v>
      </c>
      <c r="Q380" s="255">
        <f t="shared" ca="1" si="143"/>
        <v>1.25</v>
      </c>
      <c r="R380" s="255">
        <f ca="1">+IF(ISERROR(OFFSET(Tabella!$G$1,MATCH(J380,Tabella!$G:$G,0)-1,MATCH(K380,Tabella!$G$1:$FG$1,0)-1)=TRUE),0,OFFSET(Tabella!$G$1,MATCH(J380,Tabella!$G:$G,0)-1,MATCH(K380,Tabella!$G$1:$AB$1,0)-1))</f>
        <v>0</v>
      </c>
      <c r="S380" s="255">
        <f ca="1">IF(ISERROR(OFFSET(Ottone!$F$1,MATCH(J380,Ottone!$A:$A,0)-1,MATCH(K380,Ottone!$F$1:$FF$1,0)-1)=TRUE),0,OFFSET(Ottone!$F$1,MATCH(J380,Ottone!$A:$A,0)-1,MATCH(K380,Ottone!$F$1:$FF$1,0)-1))*IF(G380="Ottone",1,0)</f>
        <v>0</v>
      </c>
      <c r="T380" s="255">
        <f ca="1">IF(ISERROR(OFFSET(Rame!$F$1,MATCH(J380,Rame!$F:$F,0)-1,MATCH(K380,Rame!$F$1:$FF$1,0)-1)=TRUE),0,OFFSET(Rame!$F$1,MATCH(J380,Rame!$F:$F,0)-1,MATCH(K380,Rame!$F$1:$FF$1,0)-1))*IF(G380="Rame",1,0)</f>
        <v>0</v>
      </c>
      <c r="U380" s="255">
        <f ca="1">IF(ISERROR(OFFSET(Bronzo!$A$1,MATCH(J380,Bronzo!$A:$A,0)-1,MATCH(K380,Bronzo!$A$1:$AA$1,0)-1)=TRUE),0,OFFSET(Bronzo!$A$1,MATCH(J380,Bronzo!$A:$A,0)-1,MATCH(K380,Bronzo!$A$1:$AA$1,0)-1))</f>
        <v>0</v>
      </c>
      <c r="V380" s="255">
        <f t="shared" ca="1" si="139"/>
        <v>0</v>
      </c>
      <c r="W380" s="254"/>
      <c r="X380" s="255">
        <v>0</v>
      </c>
      <c r="Y380" s="256">
        <f t="shared" ca="1" si="140"/>
        <v>1.25</v>
      </c>
      <c r="Z380" s="269">
        <f t="shared" si="141"/>
        <v>42.84</v>
      </c>
      <c r="AA380" s="253">
        <v>4.0999999999999996</v>
      </c>
      <c r="AB380" s="253">
        <f t="shared" ca="1" si="142"/>
        <v>0.24999999999999956</v>
      </c>
      <c r="AC380" s="258"/>
      <c r="AF380" s="223" t="s">
        <v>405</v>
      </c>
      <c r="AG380" s="223" t="s">
        <v>665</v>
      </c>
      <c r="AH380" s="232">
        <f t="shared" ca="1" si="137"/>
        <v>46120</v>
      </c>
      <c r="AI380" s="232" t="b">
        <f t="shared" si="132"/>
        <v>1</v>
      </c>
      <c r="AJ380" s="259" t="str">
        <f t="shared" si="138"/>
        <v/>
      </c>
      <c r="AM380" s="223">
        <f t="shared" si="133"/>
        <v>0</v>
      </c>
      <c r="AN380" s="223">
        <f t="shared" si="134"/>
        <v>1900</v>
      </c>
      <c r="AU380" s="223">
        <f t="shared" si="135"/>
        <v>0</v>
      </c>
      <c r="AV380" s="223">
        <f t="shared" si="136"/>
        <v>0</v>
      </c>
    </row>
    <row r="381" spans="4:48" ht="26.25" x14ac:dyDescent="0.4">
      <c r="D381" s="246" t="s">
        <v>784</v>
      </c>
      <c r="E381" s="262" t="s">
        <v>108</v>
      </c>
      <c r="F381" s="263">
        <v>1180</v>
      </c>
      <c r="G381" s="249" t="s">
        <v>4</v>
      </c>
      <c r="H381" s="250">
        <v>2.6</v>
      </c>
      <c r="I381" s="251">
        <v>46058</v>
      </c>
      <c r="J381" s="252" t="s">
        <v>314</v>
      </c>
      <c r="K381" s="252"/>
      <c r="L381" s="253">
        <v>7.0000000000000007E-2</v>
      </c>
      <c r="M381" s="254">
        <f ca="1">IF(ISERROR(OFFSET(Tabella!$A$1,MATCH(J381,Tabella!$A:$A,0)-1,MATCH(L381,Tabella!$A$1:$AC$1,0)-1)=TRUE),0,+OFFSET(Tabella!$A$1,MATCH(J381,Tabella!$A:$A,0)-1,MATCH(L381,Tabella!$A$1:$AC$1,0)-1))</f>
        <v>1.25</v>
      </c>
      <c r="N381" s="255">
        <f ca="1">IF(ISERROR(OFFSET(Ottone!$A$1,MATCH(J381,Ottone!$A:$A,0)-1,MATCH(L381,Ottone!$A$1:$Z$1,0)-1)=TRUE),0,OFFSET(Ottone!$A$1,MATCH(J381,Ottone!$A:$A,0)-1,MATCH(L381,Ottone!$A$1:$Z$1,0)-1))*IF(G381="Ottone",1,0)</f>
        <v>0</v>
      </c>
      <c r="O381" s="255">
        <f ca="1">IF(ISERROR(OFFSET(Rame!$A$1,MATCH(J381,Rame!$A:$A,0)-1,MATCH(L381,Rame!$A$1:$AA$1,0)-1)=TRUE),0,OFFSET(Rame!$A$1,MATCH(J381,Rame!$A:$A,0)-1,MATCH(L381,Rame!$A$1:$AA$1,0)-1))*IF(G381="Rame",1,0)</f>
        <v>0</v>
      </c>
      <c r="P381" s="255">
        <v>0</v>
      </c>
      <c r="Q381" s="255">
        <f t="shared" ca="1" si="143"/>
        <v>1.25</v>
      </c>
      <c r="R381" s="255">
        <f ca="1">+IF(ISERROR(OFFSET(Tabella!$G$1,MATCH(J381,Tabella!$G:$G,0)-1,MATCH(K381,Tabella!$G$1:$FG$1,0)-1)=TRUE),0,OFFSET(Tabella!$G$1,MATCH(J381,Tabella!$G:$G,0)-1,MATCH(K381,Tabella!$G$1:$AB$1,0)-1))</f>
        <v>0</v>
      </c>
      <c r="S381" s="255">
        <f ca="1">IF(ISERROR(OFFSET(Ottone!$F$1,MATCH(J381,Ottone!$A:$A,0)-1,MATCH(K381,Ottone!$F$1:$FF$1,0)-1)=TRUE),0,OFFSET(Ottone!$F$1,MATCH(J381,Ottone!$A:$A,0)-1,MATCH(K381,Ottone!$F$1:$FF$1,0)-1))*IF(G381="Ottone",1,0)</f>
        <v>0</v>
      </c>
      <c r="T381" s="255">
        <f ca="1">IF(ISERROR(OFFSET(Rame!$F$1,MATCH(J381,Rame!$F:$F,0)-1,MATCH(K381,Rame!$F$1:$FF$1,0)-1)=TRUE),0,OFFSET(Rame!$F$1,MATCH(J381,Rame!$F:$F,0)-1,MATCH(K381,Rame!$F$1:$FF$1,0)-1))*IF(G381="Rame",1,0)</f>
        <v>0</v>
      </c>
      <c r="U381" s="255">
        <f ca="1">IF(ISERROR(OFFSET(Bronzo!$A$1,MATCH(J381,Bronzo!$A:$A,0)-1,MATCH(K381,Bronzo!$A$1:$AA$1,0)-1)=TRUE),0,OFFSET(Bronzo!$A$1,MATCH(J381,Bronzo!$A:$A,0)-1,MATCH(K381,Bronzo!$A$1:$AA$1,0)-1))</f>
        <v>0</v>
      </c>
      <c r="V381" s="255">
        <f t="shared" ca="1" si="139"/>
        <v>0</v>
      </c>
      <c r="W381" s="254"/>
      <c r="X381" s="255">
        <v>0</v>
      </c>
      <c r="Y381" s="256">
        <f t="shared" ca="1" si="140"/>
        <v>1.25</v>
      </c>
      <c r="Z381" s="269">
        <f t="shared" si="141"/>
        <v>82.600000000000009</v>
      </c>
      <c r="AA381" s="253">
        <v>4.0999999999999996</v>
      </c>
      <c r="AB381" s="253">
        <f t="shared" ca="1" si="142"/>
        <v>0.24999999999999956</v>
      </c>
      <c r="AC381" s="258"/>
      <c r="AF381" s="223" t="s">
        <v>405</v>
      </c>
      <c r="AH381" s="232">
        <f t="shared" ca="1" si="137"/>
        <v>46120</v>
      </c>
      <c r="AI381" s="232" t="b">
        <f t="shared" si="132"/>
        <v>1</v>
      </c>
      <c r="AJ381" s="259" t="str">
        <f t="shared" si="138"/>
        <v/>
      </c>
      <c r="AM381" s="223">
        <f t="shared" si="133"/>
        <v>0</v>
      </c>
      <c r="AN381" s="223">
        <f t="shared" si="134"/>
        <v>1900</v>
      </c>
      <c r="AU381" s="223">
        <f t="shared" si="135"/>
        <v>0</v>
      </c>
      <c r="AV381" s="223">
        <f t="shared" si="136"/>
        <v>0</v>
      </c>
    </row>
    <row r="382" spans="4:48" ht="26.25" x14ac:dyDescent="0.4">
      <c r="D382" s="246" t="s">
        <v>740</v>
      </c>
      <c r="E382" s="262" t="s">
        <v>397</v>
      </c>
      <c r="F382" s="263">
        <v>498</v>
      </c>
      <c r="G382" s="249" t="s">
        <v>4</v>
      </c>
      <c r="H382" s="250">
        <v>2.85</v>
      </c>
      <c r="I382" s="251">
        <v>46086</v>
      </c>
      <c r="J382" s="252" t="s">
        <v>25</v>
      </c>
      <c r="K382" s="252"/>
      <c r="L382" s="253">
        <v>7.0000000000000007E-2</v>
      </c>
      <c r="M382" s="254">
        <f ca="1">IF(ISERROR(OFFSET(Tabella!$A$1,MATCH(J382,Tabella!$A:$A,0)-1,MATCH(L382,Tabella!$A$1:$AC$1,0)-1)=TRUE),0,+OFFSET(Tabella!$A$1,MATCH(J382,Tabella!$A:$A,0)-1,MATCH(L382,Tabella!$A$1:$AC$1,0)-1))</f>
        <v>1.25</v>
      </c>
      <c r="N382" s="255">
        <f ca="1">IF(ISERROR(OFFSET(Ottone!$A$1,MATCH(J382,Ottone!$A:$A,0)-1,MATCH(L382,Ottone!$A$1:$Z$1,0)-1)=TRUE),0,OFFSET(Ottone!$A$1,MATCH(J382,Ottone!$A:$A,0)-1,MATCH(L382,Ottone!$A$1:$Z$1,0)-1))*IF(G382="Ottone",1,0)</f>
        <v>0</v>
      </c>
      <c r="O382" s="255">
        <f ca="1">IF(ISERROR(OFFSET(Rame!$A$1,MATCH(J382,Rame!$A:$A,0)-1,MATCH(L382,Rame!$A$1:$AA$1,0)-1)=TRUE),0,OFFSET(Rame!$A$1,MATCH(J382,Rame!$A:$A,0)-1,MATCH(L382,Rame!$A$1:$AA$1,0)-1))*IF(G382="Rame",1,0)</f>
        <v>0</v>
      </c>
      <c r="P382" s="255">
        <v>0</v>
      </c>
      <c r="Q382" s="255">
        <v>1.5</v>
      </c>
      <c r="R382" s="255">
        <f ca="1">+IF(ISERROR(OFFSET(Tabella!$G$1,MATCH(J382,Tabella!$G:$G,0)-1,MATCH(K382,Tabella!$G$1:$FG$1,0)-1)=TRUE),0,OFFSET(Tabella!$G$1,MATCH(J382,Tabella!$G:$G,0)-1,MATCH(K382,Tabella!$G$1:$AB$1,0)-1))</f>
        <v>0</v>
      </c>
      <c r="S382" s="255">
        <f ca="1">IF(ISERROR(OFFSET(Ottone!$F$1,MATCH(J382,Ottone!$A:$A,0)-1,MATCH(K382,Ottone!$F$1:$FF$1,0)-1)=TRUE),0,OFFSET(Ottone!$F$1,MATCH(J382,Ottone!$A:$A,0)-1,MATCH(K382,Ottone!$F$1:$FF$1,0)-1))*IF(G382="Ottone",1,0)</f>
        <v>0</v>
      </c>
      <c r="T382" s="255">
        <f ca="1">IF(ISERROR(OFFSET(Rame!$F$1,MATCH(J382,Rame!$F:$F,0)-1,MATCH(K382,Rame!$F$1:$FF$1,0)-1)=TRUE),0,OFFSET(Rame!$F$1,MATCH(J382,Rame!$F:$F,0)-1,MATCH(K382,Rame!$F$1:$FF$1,0)-1))*IF(G382="Rame",1,0)</f>
        <v>0</v>
      </c>
      <c r="U382" s="255">
        <f ca="1">IF(ISERROR(OFFSET(Bronzo!$A$1,MATCH(J382,Bronzo!$A:$A,0)-1,MATCH(K382,Bronzo!$A$1:$AA$1,0)-1)=TRUE),0,OFFSET(Bronzo!$A$1,MATCH(J382,Bronzo!$A:$A,0)-1,MATCH(K382,Bronzo!$A$1:$AA$1,0)-1))</f>
        <v>0</v>
      </c>
      <c r="V382" s="255">
        <f t="shared" ca="1" si="139"/>
        <v>0</v>
      </c>
      <c r="W382" s="254"/>
      <c r="X382" s="255">
        <v>0</v>
      </c>
      <c r="Y382" s="256">
        <f t="shared" ca="1" si="140"/>
        <v>1.5</v>
      </c>
      <c r="Z382" s="269">
        <f t="shared" si="141"/>
        <v>34.860000000000007</v>
      </c>
      <c r="AA382" s="253">
        <v>4.57</v>
      </c>
      <c r="AB382" s="253">
        <f t="shared" ca="1" si="142"/>
        <v>0.2200000000000002</v>
      </c>
      <c r="AC382" s="258"/>
      <c r="AF382" s="223" t="s">
        <v>405</v>
      </c>
      <c r="AH382" s="232">
        <f t="shared" ca="1" si="137"/>
        <v>46120</v>
      </c>
      <c r="AI382" s="232" t="b">
        <f t="shared" si="132"/>
        <v>1</v>
      </c>
      <c r="AJ382" s="259" t="str">
        <f t="shared" si="138"/>
        <v/>
      </c>
      <c r="AM382" s="223">
        <f t="shared" si="133"/>
        <v>0</v>
      </c>
      <c r="AN382" s="223">
        <f t="shared" si="134"/>
        <v>1900</v>
      </c>
      <c r="AU382" s="223">
        <f t="shared" si="135"/>
        <v>0</v>
      </c>
      <c r="AV382" s="223">
        <f t="shared" si="136"/>
        <v>0</v>
      </c>
    </row>
    <row r="383" spans="4:48" ht="26.25" x14ac:dyDescent="0.4">
      <c r="D383" s="246" t="s">
        <v>614</v>
      </c>
      <c r="E383" s="252" t="s">
        <v>397</v>
      </c>
      <c r="F383" s="276">
        <v>700</v>
      </c>
      <c r="G383" s="249" t="s">
        <v>4</v>
      </c>
      <c r="H383" s="250">
        <v>2.85</v>
      </c>
      <c r="I383" s="251">
        <v>46086</v>
      </c>
      <c r="J383" s="252" t="s">
        <v>22</v>
      </c>
      <c r="K383" s="252"/>
      <c r="L383" s="253">
        <v>7.0000000000000007E-2</v>
      </c>
      <c r="M383" s="254">
        <f ca="1">IF(ISERROR(OFFSET(Tabella!$A$1,MATCH(J383,Tabella!$A:$A,0)-1,MATCH(L383,Tabella!$A$1:$AC$1,0)-1)=TRUE),0,+OFFSET(Tabella!$A$1,MATCH(J383,Tabella!$A:$A,0)-1,MATCH(L383,Tabella!$A$1:$AC$1,0)-1))</f>
        <v>1.25</v>
      </c>
      <c r="N383" s="255">
        <f ca="1">IF(ISERROR(OFFSET(Ottone!$A$1,MATCH(J383,Ottone!$A:$A,0)-1,MATCH(L383,Ottone!$A$1:$Z$1,0)-1)=TRUE),0,OFFSET(Ottone!$A$1,MATCH(J383,Ottone!$A:$A,0)-1,MATCH(L383,Ottone!$A$1:$Z$1,0)-1))*IF(G383="Ottone",1,0)</f>
        <v>0</v>
      </c>
      <c r="O383" s="255">
        <f ca="1">IF(ISERROR(OFFSET(Rame!$A$1,MATCH(J383,Rame!$A:$A,0)-1,MATCH(L383,Rame!$A$1:$AA$1,0)-1)=TRUE),0,OFFSET(Rame!$A$1,MATCH(J383,Rame!$A:$A,0)-1,MATCH(L383,Rame!$A$1:$AA$1,0)-1))*IF(G383="Rame",1,0)</f>
        <v>0</v>
      </c>
      <c r="P383" s="255">
        <v>0</v>
      </c>
      <c r="Q383" s="255">
        <v>1.5</v>
      </c>
      <c r="R383" s="255">
        <f ca="1">+IF(ISERROR(OFFSET(Tabella!$G$1,MATCH(J383,Tabella!$G:$G,0)-1,MATCH(K383,Tabella!$G$1:$FG$1,0)-1)=TRUE),0,OFFSET(Tabella!$G$1,MATCH(J383,Tabella!$G:$G,0)-1,MATCH(K383,Tabella!$G$1:$AB$1,0)-1))</f>
        <v>0</v>
      </c>
      <c r="S383" s="255">
        <f ca="1">IF(ISERROR(OFFSET(Ottone!$F$1,MATCH(J383,Ottone!$A:$A,0)-1,MATCH(K383,Ottone!$F$1:$FF$1,0)-1)=TRUE),0,OFFSET(Ottone!$F$1,MATCH(J383,Ottone!$A:$A,0)-1,MATCH(K383,Ottone!$F$1:$FF$1,0)-1))*IF(G383="Ottone",1,0)</f>
        <v>0</v>
      </c>
      <c r="T383" s="255">
        <f ca="1">IF(ISERROR(OFFSET(Rame!$F$1,MATCH(J383,Rame!$F:$F,0)-1,MATCH(K383,Rame!$F$1:$FF$1,0)-1)=TRUE),0,OFFSET(Rame!$F$1,MATCH(J383,Rame!$F:$F,0)-1,MATCH(K383,Rame!$F$1:$FF$1,0)-1))*IF(G383="Rame",1,0)</f>
        <v>0</v>
      </c>
      <c r="U383" s="255">
        <f ca="1">IF(ISERROR(OFFSET(Bronzo!$A$1,MATCH(J383,Bronzo!$A:$A,0)-1,MATCH(K383,Bronzo!$A$1:$AA$1,0)-1)=TRUE),0,OFFSET(Bronzo!$A$1,MATCH(J383,Bronzo!$A:$A,0)-1,MATCH(K383,Bronzo!$A$1:$AA$1,0)-1))</f>
        <v>0</v>
      </c>
      <c r="V383" s="255">
        <f t="shared" ca="1" si="139"/>
        <v>0</v>
      </c>
      <c r="W383" s="254"/>
      <c r="X383" s="255">
        <v>0</v>
      </c>
      <c r="Y383" s="256">
        <f t="shared" ca="1" si="140"/>
        <v>1.5</v>
      </c>
      <c r="Z383" s="257">
        <f t="shared" si="141"/>
        <v>49.000000000000007</v>
      </c>
      <c r="AA383" s="253">
        <v>4.57</v>
      </c>
      <c r="AB383" s="253">
        <f t="shared" ca="1" si="142"/>
        <v>0.2200000000000002</v>
      </c>
      <c r="AC383" s="258">
        <v>46140</v>
      </c>
      <c r="AH383" s="232">
        <f t="shared" ca="1" si="137"/>
        <v>46120</v>
      </c>
      <c r="AI383" s="232" t="b">
        <f t="shared" si="132"/>
        <v>0</v>
      </c>
      <c r="AJ383" s="259">
        <f t="shared" ca="1" si="138"/>
        <v>20</v>
      </c>
      <c r="AM383" s="223">
        <f t="shared" si="133"/>
        <v>18</v>
      </c>
      <c r="AN383" s="223">
        <f t="shared" si="134"/>
        <v>2026</v>
      </c>
      <c r="AU383" s="223">
        <f t="shared" si="135"/>
        <v>4</v>
      </c>
      <c r="AV383" s="223">
        <f t="shared" si="136"/>
        <v>2026</v>
      </c>
    </row>
    <row r="384" spans="4:48" ht="26.25" x14ac:dyDescent="0.4">
      <c r="D384" s="246" t="s">
        <v>612</v>
      </c>
      <c r="E384" s="252" t="s">
        <v>397</v>
      </c>
      <c r="F384" s="276">
        <v>800</v>
      </c>
      <c r="G384" s="249" t="s">
        <v>4</v>
      </c>
      <c r="H384" s="250">
        <v>2.85</v>
      </c>
      <c r="I384" s="251">
        <v>46086</v>
      </c>
      <c r="J384" s="252" t="s">
        <v>28</v>
      </c>
      <c r="K384" s="252"/>
      <c r="L384" s="253">
        <v>7.0000000000000007E-2</v>
      </c>
      <c r="M384" s="254">
        <f ca="1">IF(ISERROR(OFFSET(Tabella!$A$1,MATCH(J384,Tabella!$A:$A,0)-1,MATCH(L384,Tabella!$A$1:$AC$1,0)-1)=TRUE),0,+OFFSET(Tabella!$A$1,MATCH(J384,Tabella!$A:$A,0)-1,MATCH(L384,Tabella!$A$1:$AC$1,0)-1))</f>
        <v>1.25</v>
      </c>
      <c r="N384" s="255">
        <f ca="1">IF(ISERROR(OFFSET(Ottone!$A$1,MATCH(J384,Ottone!$A:$A,0)-1,MATCH(L384,Ottone!$A$1:$Z$1,0)-1)=TRUE),0,OFFSET(Ottone!$A$1,MATCH(J384,Ottone!$A:$A,0)-1,MATCH(L384,Ottone!$A$1:$Z$1,0)-1))*IF(G384="Ottone",1,0)</f>
        <v>0</v>
      </c>
      <c r="O384" s="255">
        <f ca="1">IF(ISERROR(OFFSET(Rame!$A$1,MATCH(J384,Rame!$A:$A,0)-1,MATCH(L384,Rame!$A$1:$AA$1,0)-1)=TRUE),0,OFFSET(Rame!$A$1,MATCH(J384,Rame!$A:$A,0)-1,MATCH(L384,Rame!$A$1:$AA$1,0)-1))*IF(G384="Rame",1,0)</f>
        <v>0</v>
      </c>
      <c r="P384" s="255">
        <v>0</v>
      </c>
      <c r="Q384" s="255">
        <v>1.5</v>
      </c>
      <c r="R384" s="255">
        <f ca="1">+IF(ISERROR(OFFSET(Tabella!$G$1,MATCH(J384,Tabella!$G:$G,0)-1,MATCH(K384,Tabella!$G$1:$FG$1,0)-1)=TRUE),0,OFFSET(Tabella!$G$1,MATCH(J384,Tabella!$G:$G,0)-1,MATCH(K384,Tabella!$G$1:$AB$1,0)-1))</f>
        <v>0</v>
      </c>
      <c r="S384" s="255">
        <f ca="1">IF(ISERROR(OFFSET(Ottone!$F$1,MATCH(J384,Ottone!$A:$A,0)-1,MATCH(K384,Ottone!$F$1:$FF$1,0)-1)=TRUE),0,OFFSET(Ottone!$F$1,MATCH(J384,Ottone!$A:$A,0)-1,MATCH(K384,Ottone!$F$1:$FF$1,0)-1))*IF(G384="Ottone",1,0)</f>
        <v>0</v>
      </c>
      <c r="T384" s="255">
        <f ca="1">IF(ISERROR(OFFSET(Rame!$F$1,MATCH(J384,Rame!$F:$F,0)-1,MATCH(K384,Rame!$F$1:$FF$1,0)-1)=TRUE),0,OFFSET(Rame!$F$1,MATCH(J384,Rame!$F:$F,0)-1,MATCH(K384,Rame!$F$1:$FF$1,0)-1))*IF(G384="Rame",1,0)</f>
        <v>0</v>
      </c>
      <c r="U384" s="255">
        <f ca="1">IF(ISERROR(OFFSET(Bronzo!$A$1,MATCH(J384,Bronzo!$A:$A,0)-1,MATCH(K384,Bronzo!$A$1:$AA$1,0)-1)=TRUE),0,OFFSET(Bronzo!$A$1,MATCH(J384,Bronzo!$A:$A,0)-1,MATCH(K384,Bronzo!$A$1:$AA$1,0)-1))</f>
        <v>0</v>
      </c>
      <c r="V384" s="255">
        <f t="shared" ca="1" si="139"/>
        <v>0</v>
      </c>
      <c r="W384" s="254"/>
      <c r="X384" s="255">
        <v>0</v>
      </c>
      <c r="Y384" s="256">
        <f t="shared" ca="1" si="140"/>
        <v>1.5</v>
      </c>
      <c r="Z384" s="257">
        <f t="shared" si="141"/>
        <v>56.000000000000007</v>
      </c>
      <c r="AA384" s="253">
        <v>4.57</v>
      </c>
      <c r="AB384" s="253">
        <f t="shared" ca="1" si="142"/>
        <v>0.2200000000000002</v>
      </c>
      <c r="AC384" s="258">
        <v>46140</v>
      </c>
      <c r="AH384" s="232">
        <f t="shared" ca="1" si="137"/>
        <v>46120</v>
      </c>
      <c r="AI384" s="232" t="b">
        <f t="shared" si="132"/>
        <v>0</v>
      </c>
      <c r="AJ384" s="259">
        <f t="shared" ca="1" si="138"/>
        <v>20</v>
      </c>
      <c r="AM384" s="223">
        <f t="shared" si="133"/>
        <v>18</v>
      </c>
      <c r="AN384" s="223">
        <f t="shared" si="134"/>
        <v>2026</v>
      </c>
      <c r="AU384" s="223">
        <f t="shared" si="135"/>
        <v>4</v>
      </c>
      <c r="AV384" s="223">
        <f t="shared" si="136"/>
        <v>2026</v>
      </c>
    </row>
    <row r="385" spans="4:48" ht="26.25" x14ac:dyDescent="0.4">
      <c r="D385" s="246" t="s">
        <v>613</v>
      </c>
      <c r="E385" s="252" t="s">
        <v>397</v>
      </c>
      <c r="F385" s="276">
        <v>500</v>
      </c>
      <c r="G385" s="249" t="s">
        <v>4</v>
      </c>
      <c r="H385" s="250">
        <v>2.85</v>
      </c>
      <c r="I385" s="251">
        <v>46086</v>
      </c>
      <c r="J385" s="252" t="s">
        <v>307</v>
      </c>
      <c r="K385" s="252"/>
      <c r="L385" s="253">
        <v>7.0000000000000007E-2</v>
      </c>
      <c r="M385" s="254">
        <f ca="1">IF(ISERROR(OFFSET(Tabella!$A$1,MATCH(J385,Tabella!$A:$A,0)-1,MATCH(L385,Tabella!$A$1:$AC$1,0)-1)=TRUE),0,+OFFSET(Tabella!$A$1,MATCH(J385,Tabella!$A:$A,0)-1,MATCH(L385,Tabella!$A$1:$AC$1,0)-1))</f>
        <v>1.25</v>
      </c>
      <c r="N385" s="255">
        <f ca="1">IF(ISERROR(OFFSET(Ottone!$A$1,MATCH(J385,Ottone!$A:$A,0)-1,MATCH(L385,Ottone!$A$1:$Z$1,0)-1)=TRUE),0,OFFSET(Ottone!$A$1,MATCH(J385,Ottone!$A:$A,0)-1,MATCH(L385,Ottone!$A$1:$Z$1,0)-1))*IF(G385="Ottone",1,0)</f>
        <v>0</v>
      </c>
      <c r="O385" s="255">
        <f ca="1">IF(ISERROR(OFFSET(Rame!$A$1,MATCH(J385,Rame!$A:$A,0)-1,MATCH(L385,Rame!$A$1:$AA$1,0)-1)=TRUE),0,OFFSET(Rame!$A$1,MATCH(J385,Rame!$A:$A,0)-1,MATCH(L385,Rame!$A$1:$AA$1,0)-1))*IF(G385="Rame",1,0)</f>
        <v>0</v>
      </c>
      <c r="P385" s="255">
        <v>0</v>
      </c>
      <c r="Q385" s="255">
        <v>1.5</v>
      </c>
      <c r="R385" s="255">
        <f ca="1">+IF(ISERROR(OFFSET(Tabella!$G$1,MATCH(J385,Tabella!$G:$G,0)-1,MATCH(K385,Tabella!$G$1:$FG$1,0)-1)=TRUE),0,OFFSET(Tabella!$G$1,MATCH(J385,Tabella!$G:$G,0)-1,MATCH(K385,Tabella!$G$1:$AB$1,0)-1))</f>
        <v>0</v>
      </c>
      <c r="S385" s="255">
        <f ca="1">IF(ISERROR(OFFSET(Ottone!$F$1,MATCH(J385,Ottone!$A:$A,0)-1,MATCH(K385,Ottone!$F$1:$FF$1,0)-1)=TRUE),0,OFFSET(Ottone!$F$1,MATCH(J385,Ottone!$A:$A,0)-1,MATCH(K385,Ottone!$F$1:$FF$1,0)-1))*IF(G385="Ottone",1,0)</f>
        <v>0</v>
      </c>
      <c r="T385" s="255">
        <f ca="1">IF(ISERROR(OFFSET(Rame!$F$1,MATCH(J385,Rame!$F:$F,0)-1,MATCH(K385,Rame!$F$1:$FF$1,0)-1)=TRUE),0,OFFSET(Rame!$F$1,MATCH(J385,Rame!$F:$F,0)-1,MATCH(K385,Rame!$F$1:$FF$1,0)-1))*IF(G385="Rame",1,0)</f>
        <v>0</v>
      </c>
      <c r="U385" s="255">
        <f ca="1">IF(ISERROR(OFFSET(Bronzo!$A$1,MATCH(J385,Bronzo!$A:$A,0)-1,MATCH(K385,Bronzo!$A$1:$AA$1,0)-1)=TRUE),0,OFFSET(Bronzo!$A$1,MATCH(J385,Bronzo!$A:$A,0)-1,MATCH(K385,Bronzo!$A$1:$AA$1,0)-1))</f>
        <v>0</v>
      </c>
      <c r="V385" s="255">
        <f t="shared" ca="1" si="139"/>
        <v>0</v>
      </c>
      <c r="W385" s="254"/>
      <c r="X385" s="255">
        <v>0</v>
      </c>
      <c r="Y385" s="256">
        <f t="shared" ca="1" si="140"/>
        <v>1.5</v>
      </c>
      <c r="Z385" s="257">
        <f t="shared" si="141"/>
        <v>35</v>
      </c>
      <c r="AA385" s="253">
        <v>4.57</v>
      </c>
      <c r="AB385" s="253">
        <f t="shared" ca="1" si="142"/>
        <v>0.2200000000000002</v>
      </c>
      <c r="AC385" s="258">
        <v>46140</v>
      </c>
      <c r="AH385" s="232">
        <f t="shared" ca="1" si="137"/>
        <v>46120</v>
      </c>
      <c r="AI385" s="232" t="b">
        <f t="shared" si="132"/>
        <v>0</v>
      </c>
      <c r="AJ385" s="259">
        <f t="shared" ca="1" si="138"/>
        <v>20</v>
      </c>
      <c r="AM385" s="223">
        <f t="shared" si="133"/>
        <v>18</v>
      </c>
      <c r="AN385" s="223">
        <f t="shared" si="134"/>
        <v>2026</v>
      </c>
      <c r="AU385" s="223">
        <f t="shared" si="135"/>
        <v>4</v>
      </c>
      <c r="AV385" s="223">
        <f t="shared" si="136"/>
        <v>2026</v>
      </c>
    </row>
    <row r="386" spans="4:48" ht="26.25" x14ac:dyDescent="0.4">
      <c r="D386" s="246" t="s">
        <v>613</v>
      </c>
      <c r="E386" s="252" t="s">
        <v>397</v>
      </c>
      <c r="F386" s="276">
        <v>500</v>
      </c>
      <c r="G386" s="249" t="s">
        <v>4</v>
      </c>
      <c r="H386" s="250">
        <v>2.85</v>
      </c>
      <c r="I386" s="251">
        <v>46086</v>
      </c>
      <c r="J386" s="252" t="s">
        <v>307</v>
      </c>
      <c r="K386" s="252"/>
      <c r="L386" s="253">
        <v>7.0000000000000007E-2</v>
      </c>
      <c r="M386" s="254">
        <f ca="1">IF(ISERROR(OFFSET(Tabella!$A$1,MATCH(J386,Tabella!$A:$A,0)-1,MATCH(L386,Tabella!$A$1:$AC$1,0)-1)=TRUE),0,+OFFSET(Tabella!$A$1,MATCH(J386,Tabella!$A:$A,0)-1,MATCH(L386,Tabella!$A$1:$AC$1,0)-1))</f>
        <v>1.25</v>
      </c>
      <c r="N386" s="255">
        <f ca="1">IF(ISERROR(OFFSET(Ottone!$A$1,MATCH(J386,Ottone!$A:$A,0)-1,MATCH(L386,Ottone!$A$1:$Z$1,0)-1)=TRUE),0,OFFSET(Ottone!$A$1,MATCH(J386,Ottone!$A:$A,0)-1,MATCH(L386,Ottone!$A$1:$Z$1,0)-1))*IF(G386="Ottone",1,0)</f>
        <v>0</v>
      </c>
      <c r="O386" s="255">
        <f ca="1">IF(ISERROR(OFFSET(Rame!$A$1,MATCH(J386,Rame!$A:$A,0)-1,MATCH(L386,Rame!$A$1:$AA$1,0)-1)=TRUE),0,OFFSET(Rame!$A$1,MATCH(J386,Rame!$A:$A,0)-1,MATCH(L386,Rame!$A$1:$AA$1,0)-1))*IF(G386="Rame",1,0)</f>
        <v>0</v>
      </c>
      <c r="P386" s="255">
        <v>0</v>
      </c>
      <c r="Q386" s="255">
        <v>1.5</v>
      </c>
      <c r="R386" s="255">
        <f ca="1">+IF(ISERROR(OFFSET(Tabella!$G$1,MATCH(J386,Tabella!$G:$G,0)-1,MATCH(K386,Tabella!$G$1:$FG$1,0)-1)=TRUE),0,OFFSET(Tabella!$G$1,MATCH(J386,Tabella!$G:$G,0)-1,MATCH(K386,Tabella!$G$1:$AB$1,0)-1))</f>
        <v>0</v>
      </c>
      <c r="S386" s="255">
        <f ca="1">IF(ISERROR(OFFSET(Ottone!$F$1,MATCH(J386,Ottone!$A:$A,0)-1,MATCH(K386,Ottone!$F$1:$FF$1,0)-1)=TRUE),0,OFFSET(Ottone!$F$1,MATCH(J386,Ottone!$A:$A,0)-1,MATCH(K386,Ottone!$F$1:$FF$1,0)-1))*IF(G386="Ottone",1,0)</f>
        <v>0</v>
      </c>
      <c r="T386" s="255">
        <f ca="1">IF(ISERROR(OFFSET(Rame!$F$1,MATCH(J386,Rame!$F:$F,0)-1,MATCH(K386,Rame!$F$1:$FF$1,0)-1)=TRUE),0,OFFSET(Rame!$F$1,MATCH(J386,Rame!$F:$F,0)-1,MATCH(K386,Rame!$F$1:$FF$1,0)-1))*IF(G386="Rame",1,0)</f>
        <v>0</v>
      </c>
      <c r="U386" s="255">
        <f ca="1">IF(ISERROR(OFFSET(Bronzo!$A$1,MATCH(J386,Bronzo!$A:$A,0)-1,MATCH(K386,Bronzo!$A$1:$AA$1,0)-1)=TRUE),0,OFFSET(Bronzo!$A$1,MATCH(J386,Bronzo!$A:$A,0)-1,MATCH(K386,Bronzo!$A$1:$AA$1,0)-1))</f>
        <v>0</v>
      </c>
      <c r="V386" s="255">
        <f t="shared" ca="1" si="139"/>
        <v>0</v>
      </c>
      <c r="W386" s="254"/>
      <c r="X386" s="255">
        <v>0</v>
      </c>
      <c r="Y386" s="256">
        <f t="shared" ca="1" si="140"/>
        <v>1.5</v>
      </c>
      <c r="Z386" s="257">
        <f t="shared" si="141"/>
        <v>35</v>
      </c>
      <c r="AA386" s="253">
        <v>4.57</v>
      </c>
      <c r="AB386" s="253">
        <f t="shared" ca="1" si="142"/>
        <v>0.2200000000000002</v>
      </c>
      <c r="AC386" s="258">
        <v>46140</v>
      </c>
      <c r="AH386" s="232">
        <f t="shared" ca="1" si="137"/>
        <v>46120</v>
      </c>
      <c r="AI386" s="232" t="b">
        <f t="shared" si="132"/>
        <v>0</v>
      </c>
      <c r="AJ386" s="259">
        <f t="shared" ca="1" si="138"/>
        <v>20</v>
      </c>
      <c r="AM386" s="223">
        <f t="shared" si="133"/>
        <v>18</v>
      </c>
      <c r="AN386" s="223">
        <f t="shared" si="134"/>
        <v>2026</v>
      </c>
      <c r="AU386" s="223">
        <f t="shared" si="135"/>
        <v>4</v>
      </c>
      <c r="AV386" s="223">
        <f t="shared" si="136"/>
        <v>2026</v>
      </c>
    </row>
    <row r="387" spans="4:48" ht="26.25" x14ac:dyDescent="0.4">
      <c r="D387" s="246" t="s">
        <v>618</v>
      </c>
      <c r="E387" s="252" t="s">
        <v>397</v>
      </c>
      <c r="F387" s="276">
        <v>500</v>
      </c>
      <c r="G387" s="249" t="s">
        <v>4</v>
      </c>
      <c r="H387" s="250">
        <v>2.85</v>
      </c>
      <c r="I387" s="251">
        <v>46086</v>
      </c>
      <c r="J387" s="252" t="s">
        <v>23</v>
      </c>
      <c r="K387" s="252"/>
      <c r="L387" s="253">
        <v>7.0000000000000007E-2</v>
      </c>
      <c r="M387" s="254">
        <f ca="1">IF(ISERROR(OFFSET(Tabella!$A$1,MATCH(J387,Tabella!$A:$A,0)-1,MATCH(L387,Tabella!$A$1:$AC$1,0)-1)=TRUE),0,+OFFSET(Tabella!$A$1,MATCH(J387,Tabella!$A:$A,0)-1,MATCH(L387,Tabella!$A$1:$AC$1,0)-1))</f>
        <v>1.25</v>
      </c>
      <c r="N387" s="255">
        <f ca="1">IF(ISERROR(OFFSET(Ottone!$A$1,MATCH(J387,Ottone!$A:$A,0)-1,MATCH(L387,Ottone!$A$1:$Z$1,0)-1)=TRUE),0,OFFSET(Ottone!$A$1,MATCH(J387,Ottone!$A:$A,0)-1,MATCH(L387,Ottone!$A$1:$Z$1,0)-1))*IF(G387="Ottone",1,0)</f>
        <v>0</v>
      </c>
      <c r="O387" s="255">
        <f ca="1">IF(ISERROR(OFFSET(Rame!$A$1,MATCH(J387,Rame!$A:$A,0)-1,MATCH(L387,Rame!$A$1:$AA$1,0)-1)=TRUE),0,OFFSET(Rame!$A$1,MATCH(J387,Rame!$A:$A,0)-1,MATCH(L387,Rame!$A$1:$AA$1,0)-1))*IF(G387="Rame",1,0)</f>
        <v>0</v>
      </c>
      <c r="P387" s="255">
        <v>0</v>
      </c>
      <c r="Q387" s="255">
        <v>1.5</v>
      </c>
      <c r="R387" s="255">
        <f ca="1">+IF(ISERROR(OFFSET(Tabella!$G$1,MATCH(J387,Tabella!$G:$G,0)-1,MATCH(K387,Tabella!$G$1:$FG$1,0)-1)=TRUE),0,OFFSET(Tabella!$G$1,MATCH(J387,Tabella!$G:$G,0)-1,MATCH(K387,Tabella!$G$1:$AB$1,0)-1))</f>
        <v>0</v>
      </c>
      <c r="S387" s="255">
        <f ca="1">IF(ISERROR(OFFSET(Ottone!$F$1,MATCH(J387,Ottone!$A:$A,0)-1,MATCH(K387,Ottone!$F$1:$FF$1,0)-1)=TRUE),0,OFFSET(Ottone!$F$1,MATCH(J387,Ottone!$A:$A,0)-1,MATCH(K387,Ottone!$F$1:$FF$1,0)-1))*IF(G387="Ottone",1,0)</f>
        <v>0</v>
      </c>
      <c r="T387" s="255">
        <f ca="1">IF(ISERROR(OFFSET(Rame!$F$1,MATCH(J387,Rame!$F:$F,0)-1,MATCH(K387,Rame!$F$1:$FF$1,0)-1)=TRUE),0,OFFSET(Rame!$F$1,MATCH(J387,Rame!$F:$F,0)-1,MATCH(K387,Rame!$F$1:$FF$1,0)-1))*IF(G387="Rame",1,0)</f>
        <v>0</v>
      </c>
      <c r="U387" s="255">
        <f ca="1">IF(ISERROR(OFFSET(Bronzo!$A$1,MATCH(J387,Bronzo!$A:$A,0)-1,MATCH(K387,Bronzo!$A$1:$AA$1,0)-1)=TRUE),0,OFFSET(Bronzo!$A$1,MATCH(J387,Bronzo!$A:$A,0)-1,MATCH(K387,Bronzo!$A$1:$AA$1,0)-1))</f>
        <v>0</v>
      </c>
      <c r="V387" s="255">
        <f t="shared" ca="1" si="139"/>
        <v>0</v>
      </c>
      <c r="W387" s="254"/>
      <c r="X387" s="255">
        <v>0</v>
      </c>
      <c r="Y387" s="256">
        <f t="shared" ca="1" si="140"/>
        <v>1.5</v>
      </c>
      <c r="Z387" s="257">
        <f t="shared" si="141"/>
        <v>35</v>
      </c>
      <c r="AA387" s="253">
        <v>4.57</v>
      </c>
      <c r="AB387" s="253">
        <f t="shared" ca="1" si="142"/>
        <v>0.2200000000000002</v>
      </c>
      <c r="AC387" s="258">
        <v>46140</v>
      </c>
      <c r="AH387" s="232">
        <f t="shared" ca="1" si="137"/>
        <v>46120</v>
      </c>
      <c r="AI387" s="232" t="b">
        <f t="shared" si="132"/>
        <v>0</v>
      </c>
      <c r="AJ387" s="259">
        <f t="shared" ca="1" si="138"/>
        <v>20</v>
      </c>
      <c r="AM387" s="223">
        <f t="shared" si="133"/>
        <v>18</v>
      </c>
      <c r="AN387" s="223">
        <f t="shared" si="134"/>
        <v>2026</v>
      </c>
      <c r="AU387" s="223">
        <f t="shared" si="135"/>
        <v>4</v>
      </c>
      <c r="AV387" s="223">
        <f t="shared" si="136"/>
        <v>2026</v>
      </c>
    </row>
    <row r="388" spans="4:48" ht="26.25" x14ac:dyDescent="0.4">
      <c r="D388" s="246" t="s">
        <v>619</v>
      </c>
      <c r="E388" s="252" t="s">
        <v>397</v>
      </c>
      <c r="F388" s="276">
        <v>800</v>
      </c>
      <c r="G388" s="249" t="s">
        <v>4</v>
      </c>
      <c r="H388" s="250">
        <v>2.85</v>
      </c>
      <c r="I388" s="251">
        <v>46086</v>
      </c>
      <c r="J388" s="252" t="s">
        <v>308</v>
      </c>
      <c r="K388" s="252"/>
      <c r="L388" s="253">
        <v>7.0000000000000007E-2</v>
      </c>
      <c r="M388" s="254">
        <f ca="1">IF(ISERROR(OFFSET(Tabella!$A$1,MATCH(J388,Tabella!$A:$A,0)-1,MATCH(L388,Tabella!$A$1:$AC$1,0)-1)=TRUE),0,+OFFSET(Tabella!$A$1,MATCH(J388,Tabella!$A:$A,0)-1,MATCH(L388,Tabella!$A$1:$AC$1,0)-1))</f>
        <v>1.25</v>
      </c>
      <c r="N388" s="255">
        <f ca="1">IF(ISERROR(OFFSET(Ottone!$A$1,MATCH(J388,Ottone!$A:$A,0)-1,MATCH(L388,Ottone!$A$1:$Z$1,0)-1)=TRUE),0,OFFSET(Ottone!$A$1,MATCH(J388,Ottone!$A:$A,0)-1,MATCH(L388,Ottone!$A$1:$Z$1,0)-1))*IF(G388="Ottone",1,0)</f>
        <v>0</v>
      </c>
      <c r="O388" s="255">
        <f ca="1">IF(ISERROR(OFFSET(Rame!$A$1,MATCH(J388,Rame!$A:$A,0)-1,MATCH(L388,Rame!$A$1:$AA$1,0)-1)=TRUE),0,OFFSET(Rame!$A$1,MATCH(J388,Rame!$A:$A,0)-1,MATCH(L388,Rame!$A$1:$AA$1,0)-1))*IF(G388="Rame",1,0)</f>
        <v>0</v>
      </c>
      <c r="P388" s="255">
        <v>0</v>
      </c>
      <c r="Q388" s="255">
        <v>1.5</v>
      </c>
      <c r="R388" s="255">
        <f ca="1">+IF(ISERROR(OFFSET(Tabella!$G$1,MATCH(J388,Tabella!$G:$G,0)-1,MATCH(K388,Tabella!$G$1:$FG$1,0)-1)=TRUE),0,OFFSET(Tabella!$G$1,MATCH(J388,Tabella!$G:$G,0)-1,MATCH(K388,Tabella!$G$1:$AB$1,0)-1))</f>
        <v>0</v>
      </c>
      <c r="S388" s="255">
        <f ca="1">IF(ISERROR(OFFSET(Ottone!$F$1,MATCH(J388,Ottone!$A:$A,0)-1,MATCH(K388,Ottone!$F$1:$FF$1,0)-1)=TRUE),0,OFFSET(Ottone!$F$1,MATCH(J388,Ottone!$A:$A,0)-1,MATCH(K388,Ottone!$F$1:$FF$1,0)-1))*IF(G388="Ottone",1,0)</f>
        <v>0</v>
      </c>
      <c r="T388" s="255">
        <f ca="1">IF(ISERROR(OFFSET(Rame!$F$1,MATCH(J388,Rame!$F:$F,0)-1,MATCH(K388,Rame!$F$1:$FF$1,0)-1)=TRUE),0,OFFSET(Rame!$F$1,MATCH(J388,Rame!$F:$F,0)-1,MATCH(K388,Rame!$F$1:$FF$1,0)-1))*IF(G388="Rame",1,0)</f>
        <v>0</v>
      </c>
      <c r="U388" s="255">
        <f ca="1">IF(ISERROR(OFFSET(Bronzo!$A$1,MATCH(J388,Bronzo!$A:$A,0)-1,MATCH(K388,Bronzo!$A$1:$AA$1,0)-1)=TRUE),0,OFFSET(Bronzo!$A$1,MATCH(J388,Bronzo!$A:$A,0)-1,MATCH(K388,Bronzo!$A$1:$AA$1,0)-1))</f>
        <v>0</v>
      </c>
      <c r="V388" s="255">
        <f t="shared" ca="1" si="139"/>
        <v>0</v>
      </c>
      <c r="W388" s="254"/>
      <c r="X388" s="255">
        <v>0</v>
      </c>
      <c r="Y388" s="256">
        <f t="shared" ca="1" si="140"/>
        <v>1.5</v>
      </c>
      <c r="Z388" s="257">
        <f t="shared" si="141"/>
        <v>56.000000000000007</v>
      </c>
      <c r="AA388" s="253">
        <v>4.57</v>
      </c>
      <c r="AB388" s="253">
        <f t="shared" ca="1" si="142"/>
        <v>0.2200000000000002</v>
      </c>
      <c r="AC388" s="258">
        <v>46127</v>
      </c>
      <c r="AH388" s="232">
        <f t="shared" ca="1" si="137"/>
        <v>46120</v>
      </c>
      <c r="AI388" s="232" t="b">
        <f t="shared" si="132"/>
        <v>0</v>
      </c>
      <c r="AJ388" s="259">
        <f t="shared" ca="1" si="138"/>
        <v>7</v>
      </c>
      <c r="AM388" s="223">
        <f t="shared" si="133"/>
        <v>16</v>
      </c>
      <c r="AN388" s="223">
        <f t="shared" si="134"/>
        <v>2026</v>
      </c>
      <c r="AU388" s="223">
        <f t="shared" si="135"/>
        <v>4</v>
      </c>
      <c r="AV388" s="223">
        <f t="shared" si="136"/>
        <v>2026</v>
      </c>
    </row>
    <row r="389" spans="4:48" ht="26.25" x14ac:dyDescent="0.4">
      <c r="D389" s="246" t="s">
        <v>641</v>
      </c>
      <c r="E389" s="252" t="s">
        <v>397</v>
      </c>
      <c r="F389" s="276">
        <v>1000</v>
      </c>
      <c r="G389" s="249" t="s">
        <v>4</v>
      </c>
      <c r="H389" s="250">
        <v>2.85</v>
      </c>
      <c r="I389" s="251">
        <v>46086</v>
      </c>
      <c r="J389" s="252" t="s">
        <v>308</v>
      </c>
      <c r="K389" s="252"/>
      <c r="L389" s="253">
        <v>7.0000000000000007E-2</v>
      </c>
      <c r="M389" s="254">
        <f ca="1">IF(ISERROR(OFFSET(Tabella!$A$1,MATCH(J389,Tabella!$A:$A,0)-1,MATCH(L389,Tabella!$A$1:$AC$1,0)-1)=TRUE),0,+OFFSET(Tabella!$A$1,MATCH(J389,Tabella!$A:$A,0)-1,MATCH(L389,Tabella!$A$1:$AC$1,0)-1))</f>
        <v>1.25</v>
      </c>
      <c r="N389" s="255">
        <f ca="1">IF(ISERROR(OFFSET(Ottone!$A$1,MATCH(J389,Ottone!$A:$A,0)-1,MATCH(L389,Ottone!$A$1:$Z$1,0)-1)=TRUE),0,OFFSET(Ottone!$A$1,MATCH(J389,Ottone!$A:$A,0)-1,MATCH(L389,Ottone!$A$1:$Z$1,0)-1))*IF(G389="Ottone",1,0)</f>
        <v>0</v>
      </c>
      <c r="O389" s="255">
        <f ca="1">IF(ISERROR(OFFSET(Rame!$A$1,MATCH(J389,Rame!$A:$A,0)-1,MATCH(L389,Rame!$A$1:$AA$1,0)-1)=TRUE),0,OFFSET(Rame!$A$1,MATCH(J389,Rame!$A:$A,0)-1,MATCH(L389,Rame!$A$1:$AA$1,0)-1))*IF(G389="Rame",1,0)</f>
        <v>0</v>
      </c>
      <c r="P389" s="255">
        <v>0</v>
      </c>
      <c r="Q389" s="255">
        <v>1.5</v>
      </c>
      <c r="R389" s="255">
        <f ca="1">+IF(ISERROR(OFFSET(Tabella!$G$1,MATCH(J389,Tabella!$G:$G,0)-1,MATCH(K389,Tabella!$G$1:$FG$1,0)-1)=TRUE),0,OFFSET(Tabella!$G$1,MATCH(J389,Tabella!$G:$G,0)-1,MATCH(K389,Tabella!$G$1:$AB$1,0)-1))</f>
        <v>0</v>
      </c>
      <c r="S389" s="255">
        <f ca="1">IF(ISERROR(OFFSET(Ottone!$F$1,MATCH(J389,Ottone!$A:$A,0)-1,MATCH(K389,Ottone!$F$1:$FF$1,0)-1)=TRUE),0,OFFSET(Ottone!$F$1,MATCH(J389,Ottone!$A:$A,0)-1,MATCH(K389,Ottone!$F$1:$FF$1,0)-1))*IF(G389="Ottone",1,0)</f>
        <v>0</v>
      </c>
      <c r="T389" s="255">
        <f ca="1">IF(ISERROR(OFFSET(Rame!$F$1,MATCH(J389,Rame!$F:$F,0)-1,MATCH(K389,Rame!$F$1:$FF$1,0)-1)=TRUE),0,OFFSET(Rame!$F$1,MATCH(J389,Rame!$F:$F,0)-1,MATCH(K389,Rame!$F$1:$FF$1,0)-1))*IF(G389="Rame",1,0)</f>
        <v>0</v>
      </c>
      <c r="U389" s="255">
        <f ca="1">IF(ISERROR(OFFSET(Bronzo!$A$1,MATCH(J389,Bronzo!$A:$A,0)-1,MATCH(K389,Bronzo!$A$1:$AA$1,0)-1)=TRUE),0,OFFSET(Bronzo!$A$1,MATCH(J389,Bronzo!$A:$A,0)-1,MATCH(K389,Bronzo!$A$1:$AA$1,0)-1))</f>
        <v>0</v>
      </c>
      <c r="V389" s="255">
        <f t="shared" ca="1" si="139"/>
        <v>0</v>
      </c>
      <c r="W389" s="254"/>
      <c r="X389" s="255">
        <v>0</v>
      </c>
      <c r="Y389" s="256">
        <f t="shared" ca="1" si="140"/>
        <v>1.5</v>
      </c>
      <c r="Z389" s="257">
        <f t="shared" si="141"/>
        <v>70</v>
      </c>
      <c r="AA389" s="253">
        <v>4.57</v>
      </c>
      <c r="AB389" s="253">
        <f t="shared" ca="1" si="142"/>
        <v>0.2200000000000002</v>
      </c>
      <c r="AC389" s="258">
        <v>46213</v>
      </c>
      <c r="AH389" s="232">
        <f t="shared" ca="1" si="137"/>
        <v>46120</v>
      </c>
      <c r="AI389" s="232" t="b">
        <f t="shared" si="132"/>
        <v>0</v>
      </c>
      <c r="AJ389" s="259">
        <f t="shared" ca="1" si="138"/>
        <v>93</v>
      </c>
      <c r="AM389" s="223">
        <f t="shared" si="133"/>
        <v>28</v>
      </c>
      <c r="AN389" s="223">
        <f t="shared" si="134"/>
        <v>2026</v>
      </c>
      <c r="AU389" s="223">
        <f t="shared" si="135"/>
        <v>7</v>
      </c>
      <c r="AV389" s="223">
        <f t="shared" si="136"/>
        <v>2026</v>
      </c>
    </row>
    <row r="390" spans="4:48" ht="26.25" x14ac:dyDescent="0.4">
      <c r="D390" s="246" t="s">
        <v>642</v>
      </c>
      <c r="E390" s="252" t="s">
        <v>397</v>
      </c>
      <c r="F390" s="276">
        <v>1000</v>
      </c>
      <c r="G390" s="249" t="s">
        <v>4</v>
      </c>
      <c r="H390" s="250">
        <v>2.85</v>
      </c>
      <c r="I390" s="251">
        <v>46086</v>
      </c>
      <c r="J390" s="252" t="s">
        <v>308</v>
      </c>
      <c r="K390" s="252"/>
      <c r="L390" s="253">
        <v>7.0000000000000007E-2</v>
      </c>
      <c r="M390" s="254">
        <f ca="1">IF(ISERROR(OFFSET(Tabella!$A$1,MATCH(J390,Tabella!$A:$A,0)-1,MATCH(L390,Tabella!$A$1:$AC$1,0)-1)=TRUE),0,+OFFSET(Tabella!$A$1,MATCH(J390,Tabella!$A:$A,0)-1,MATCH(L390,Tabella!$A$1:$AC$1,0)-1))</f>
        <v>1.25</v>
      </c>
      <c r="N390" s="255">
        <f ca="1">IF(ISERROR(OFFSET(Ottone!$A$1,MATCH(J390,Ottone!$A:$A,0)-1,MATCH(L390,Ottone!$A$1:$Z$1,0)-1)=TRUE),0,OFFSET(Ottone!$A$1,MATCH(J390,Ottone!$A:$A,0)-1,MATCH(L390,Ottone!$A$1:$Z$1,0)-1))*IF(G390="Ottone",1,0)</f>
        <v>0</v>
      </c>
      <c r="O390" s="255">
        <f ca="1">IF(ISERROR(OFFSET(Rame!$A$1,MATCH(J390,Rame!$A:$A,0)-1,MATCH(L390,Rame!$A$1:$AA$1,0)-1)=TRUE),0,OFFSET(Rame!$A$1,MATCH(J390,Rame!$A:$A,0)-1,MATCH(L390,Rame!$A$1:$AA$1,0)-1))*IF(G390="Rame",1,0)</f>
        <v>0</v>
      </c>
      <c r="P390" s="255">
        <v>0</v>
      </c>
      <c r="Q390" s="255">
        <v>1.5</v>
      </c>
      <c r="R390" s="255">
        <f ca="1">+IF(ISERROR(OFFSET(Tabella!$G$1,MATCH(J390,Tabella!$G:$G,0)-1,MATCH(K390,Tabella!$G$1:$FG$1,0)-1)=TRUE),0,OFFSET(Tabella!$G$1,MATCH(J390,Tabella!$G:$G,0)-1,MATCH(K390,Tabella!$G$1:$AB$1,0)-1))</f>
        <v>0</v>
      </c>
      <c r="S390" s="255">
        <f ca="1">IF(ISERROR(OFFSET(Ottone!$F$1,MATCH(J390,Ottone!$A:$A,0)-1,MATCH(K390,Ottone!$F$1:$FF$1,0)-1)=TRUE),0,OFFSET(Ottone!$F$1,MATCH(J390,Ottone!$A:$A,0)-1,MATCH(K390,Ottone!$F$1:$FF$1,0)-1))*IF(G390="Ottone",1,0)</f>
        <v>0</v>
      </c>
      <c r="T390" s="255">
        <f ca="1">IF(ISERROR(OFFSET(Rame!$F$1,MATCH(J390,Rame!$F:$F,0)-1,MATCH(K390,Rame!$F$1:$FF$1,0)-1)=TRUE),0,OFFSET(Rame!$F$1,MATCH(J390,Rame!$F:$F,0)-1,MATCH(K390,Rame!$F$1:$FF$1,0)-1))*IF(G390="Rame",1,0)</f>
        <v>0</v>
      </c>
      <c r="U390" s="255">
        <f ca="1">IF(ISERROR(OFFSET(Bronzo!$A$1,MATCH(J390,Bronzo!$A:$A,0)-1,MATCH(K390,Bronzo!$A$1:$AA$1,0)-1)=TRUE),0,OFFSET(Bronzo!$A$1,MATCH(J390,Bronzo!$A:$A,0)-1,MATCH(K390,Bronzo!$A$1:$AA$1,0)-1))</f>
        <v>0</v>
      </c>
      <c r="V390" s="255">
        <f t="shared" ca="1" si="139"/>
        <v>0</v>
      </c>
      <c r="W390" s="254"/>
      <c r="X390" s="255">
        <v>0</v>
      </c>
      <c r="Y390" s="256">
        <f t="shared" ca="1" si="140"/>
        <v>1.5</v>
      </c>
      <c r="Z390" s="257">
        <f t="shared" si="141"/>
        <v>70</v>
      </c>
      <c r="AA390" s="253">
        <v>4.57</v>
      </c>
      <c r="AB390" s="253">
        <f t="shared" ca="1" si="142"/>
        <v>0.2200000000000002</v>
      </c>
      <c r="AC390" s="258">
        <v>46316</v>
      </c>
      <c r="AH390" s="232">
        <f t="shared" ca="1" si="137"/>
        <v>46120</v>
      </c>
      <c r="AI390" s="232" t="b">
        <f t="shared" si="132"/>
        <v>0</v>
      </c>
      <c r="AJ390" s="259">
        <f t="shared" ca="1" si="138"/>
        <v>196</v>
      </c>
      <c r="AM390" s="223">
        <f t="shared" si="133"/>
        <v>43</v>
      </c>
      <c r="AN390" s="223">
        <f t="shared" si="134"/>
        <v>2026</v>
      </c>
      <c r="AU390" s="223">
        <f t="shared" si="135"/>
        <v>10</v>
      </c>
      <c r="AV390" s="223">
        <f t="shared" si="136"/>
        <v>2026</v>
      </c>
    </row>
    <row r="391" spans="4:48" ht="26.25" x14ac:dyDescent="0.4">
      <c r="D391" s="246" t="s">
        <v>630</v>
      </c>
      <c r="E391" s="262" t="s">
        <v>304</v>
      </c>
      <c r="F391" s="263">
        <v>213</v>
      </c>
      <c r="G391" s="249" t="s">
        <v>6</v>
      </c>
      <c r="H391" s="250">
        <v>11.14</v>
      </c>
      <c r="I391" s="251">
        <v>46086</v>
      </c>
      <c r="J391" s="252" t="s">
        <v>14</v>
      </c>
      <c r="K391" s="252"/>
      <c r="L391" s="253">
        <v>0.15</v>
      </c>
      <c r="M391" s="254">
        <f ca="1">IF(ISERROR(OFFSET(Tabella!$A$1,MATCH(J391,Tabella!$A:$A,0)-1,MATCH(L391,Tabella!$A$1:$AC$1,0)-1)=TRUE),0,+OFFSET(Tabella!$A$1,MATCH(J391,Tabella!$A:$A,0)-1,MATCH(L391,Tabella!$A$1:$AC$1,0)-1))</f>
        <v>0</v>
      </c>
      <c r="N391" s="255">
        <f ca="1">IF(ISERROR(OFFSET(Ottone!$A$1,MATCH(J391,Ottone!$A:$A,0)-1,MATCH(L391,Ottone!$A$1:$Z$1,0)-1)=TRUE),0,OFFSET(Ottone!$A$1,MATCH(J391,Ottone!$A:$A,0)-1,MATCH(L391,Ottone!$A$1:$Z$1,0)-1))*IF(G391="Ottone",1,0)</f>
        <v>0</v>
      </c>
      <c r="O391" s="255">
        <f ca="1">IF(ISERROR(OFFSET(Rame!$A$1,MATCH(J391,Rame!$A:$A,0)-1,MATCH(L391,Rame!$A$1:$AA$1,0)-1)=TRUE),0,OFFSET(Rame!$A$1,MATCH(J391,Rame!$A:$A,0)-1,MATCH(L391,Rame!$A$1:$AA$1,0)-1))*IF(G391="Rame",1,0)</f>
        <v>1</v>
      </c>
      <c r="P391" s="255">
        <v>0</v>
      </c>
      <c r="Q391" s="255">
        <f t="shared" ca="1" si="143"/>
        <v>1</v>
      </c>
      <c r="R391" s="255">
        <f ca="1">+IF(ISERROR(OFFSET(Tabella!$G$1,MATCH(J391,Tabella!$G:$G,0)-1,MATCH(K391,Tabella!$G$1:$FG$1,0)-1)=TRUE),0,OFFSET(Tabella!$G$1,MATCH(J391,Tabella!$G:$G,0)-1,MATCH(K391,Tabella!$G$1:$AB$1,0)-1))</f>
        <v>0</v>
      </c>
      <c r="S391" s="255">
        <f ca="1">IF(ISERROR(OFFSET(Ottone!$F$1,MATCH(J391,Ottone!$A:$A,0)-1,MATCH(K391,Ottone!$F$1:$FF$1,0)-1)=TRUE),0,OFFSET(Ottone!$F$1,MATCH(J391,Ottone!$A:$A,0)-1,MATCH(K391,Ottone!$F$1:$FF$1,0)-1))*IF(G391="Ottone",1,0)</f>
        <v>0</v>
      </c>
      <c r="T391" s="255">
        <f ca="1">IF(ISERROR(OFFSET(Rame!$F$1,MATCH(J391,Rame!$F:$F,0)-1,MATCH(K391,Rame!$F$1:$FF$1,0)-1)=TRUE),0,OFFSET(Rame!$F$1,MATCH(J391,Rame!$F:$F,0)-1,MATCH(K391,Rame!$F$1:$FF$1,0)-1))*IF(G391="Rame",1,0)</f>
        <v>0</v>
      </c>
      <c r="U391" s="255">
        <f ca="1">IF(ISERROR(OFFSET(Bronzo!$A$1,MATCH(J391,Bronzo!$A:$A,0)-1,MATCH(K391,Bronzo!$A$1:$AA$1,0)-1)=TRUE),0,OFFSET(Bronzo!$A$1,MATCH(J391,Bronzo!$A:$A,0)-1,MATCH(K391,Bronzo!$A$1:$AA$1,0)-1))</f>
        <v>0</v>
      </c>
      <c r="V391" s="255">
        <f t="shared" ca="1" si="139"/>
        <v>0</v>
      </c>
      <c r="W391" s="254"/>
      <c r="X391" s="255">
        <v>0</v>
      </c>
      <c r="Y391" s="256">
        <f t="shared" ca="1" si="140"/>
        <v>1</v>
      </c>
      <c r="Z391" s="269">
        <f t="shared" si="141"/>
        <v>31.95</v>
      </c>
      <c r="AA391" s="253">
        <v>14.8</v>
      </c>
      <c r="AB391" s="253">
        <f t="shared" ca="1" si="142"/>
        <v>2.66</v>
      </c>
      <c r="AC391" s="258"/>
      <c r="AF391" s="223" t="s">
        <v>405</v>
      </c>
      <c r="AH391" s="232">
        <f t="shared" ca="1" si="137"/>
        <v>46120</v>
      </c>
      <c r="AI391" s="232" t="b">
        <f t="shared" si="132"/>
        <v>1</v>
      </c>
      <c r="AJ391" s="259" t="str">
        <f t="shared" si="138"/>
        <v/>
      </c>
      <c r="AM391" s="223">
        <f t="shared" si="133"/>
        <v>0</v>
      </c>
      <c r="AN391" s="223">
        <f t="shared" si="134"/>
        <v>1900</v>
      </c>
      <c r="AU391" s="223">
        <f t="shared" si="135"/>
        <v>0</v>
      </c>
      <c r="AV391" s="223">
        <f t="shared" si="136"/>
        <v>0</v>
      </c>
    </row>
    <row r="392" spans="4:48" ht="26.25" x14ac:dyDescent="0.4">
      <c r="D392" s="246" t="s">
        <v>719</v>
      </c>
      <c r="E392" s="262" t="s">
        <v>208</v>
      </c>
      <c r="F392" s="263">
        <v>970</v>
      </c>
      <c r="G392" s="249" t="s">
        <v>4</v>
      </c>
      <c r="H392" s="250">
        <v>2.4900000000000002</v>
      </c>
      <c r="I392" s="251">
        <v>46045</v>
      </c>
      <c r="J392" s="252" t="s">
        <v>15</v>
      </c>
      <c r="K392" s="252"/>
      <c r="L392" s="253">
        <v>0.05</v>
      </c>
      <c r="M392" s="254">
        <f ca="1">IF(ISERROR(OFFSET(Tabella!$A$1,MATCH(J392,Tabella!$A:$A,0)-1,MATCH(L392,Tabella!$A$1:$AC$1,0)-1)=TRUE),0,+OFFSET(Tabella!$A$1,MATCH(J392,Tabella!$A:$A,0)-1,MATCH(L392,Tabella!$A$1:$AC$1,0)-1))</f>
        <v>0</v>
      </c>
      <c r="N392" s="255">
        <f ca="1">IF(ISERROR(OFFSET(Ottone!$A$1,MATCH(J392,Ottone!$A:$A,0)-1,MATCH(L392,Ottone!$A$1:$Z$1,0)-1)=TRUE),0,OFFSET(Ottone!$A$1,MATCH(J392,Ottone!$A:$A,0)-1,MATCH(L392,Ottone!$A$1:$Z$1,0)-1))*IF(G392="Ottone",1,0)</f>
        <v>0</v>
      </c>
      <c r="O392" s="255">
        <f ca="1">IF(ISERROR(OFFSET(Rame!$A$1,MATCH(J392,Rame!$A:$A,0)-1,MATCH(L392,Rame!$A$1:$AA$1,0)-1)=TRUE),0,OFFSET(Rame!$A$1,MATCH(J392,Rame!$A:$A,0)-1,MATCH(L392,Rame!$A$1:$AA$1,0)-1))*IF(G392="Rame",1,0)</f>
        <v>0</v>
      </c>
      <c r="P392" s="255">
        <v>0</v>
      </c>
      <c r="Q392" s="255">
        <v>1.65</v>
      </c>
      <c r="R392" s="255">
        <f ca="1">+IF(ISERROR(OFFSET(Tabella!$G$1,MATCH(J392,Tabella!$G:$G,0)-1,MATCH(K392,Tabella!$G$1:$FG$1,0)-1)=TRUE),0,OFFSET(Tabella!$G$1,MATCH(J392,Tabella!$G:$G,0)-1,MATCH(K392,Tabella!$G$1:$AB$1,0)-1))</f>
        <v>0</v>
      </c>
      <c r="S392" s="255">
        <f ca="1">IF(ISERROR(OFFSET(Ottone!$F$1,MATCH(J392,Ottone!$A:$A,0)-1,MATCH(K392,Ottone!$F$1:$FF$1,0)-1)=TRUE),0,OFFSET(Ottone!$F$1,MATCH(J392,Ottone!$A:$A,0)-1,MATCH(K392,Ottone!$F$1:$FF$1,0)-1))*IF(G392="Ottone",1,0)</f>
        <v>0</v>
      </c>
      <c r="T392" s="255">
        <f ca="1">IF(ISERROR(OFFSET(Rame!$F$1,MATCH(J392,Rame!$F:$F,0)-1,MATCH(K392,Rame!$F$1:$FF$1,0)-1)=TRUE),0,OFFSET(Rame!$F$1,MATCH(J392,Rame!$F:$F,0)-1,MATCH(K392,Rame!$F$1:$FF$1,0)-1))*IF(G392="Rame",1,0)</f>
        <v>0</v>
      </c>
      <c r="U392" s="255">
        <f ca="1">IF(ISERROR(OFFSET(Bronzo!$A$1,MATCH(J392,Bronzo!$A:$A,0)-1,MATCH(K392,Bronzo!$A$1:$AA$1,0)-1)=TRUE),0,OFFSET(Bronzo!$A$1,MATCH(J392,Bronzo!$A:$A,0)-1,MATCH(K392,Bronzo!$A$1:$AA$1,0)-1))</f>
        <v>0</v>
      </c>
      <c r="V392" s="255">
        <f t="shared" ca="1" si="139"/>
        <v>0</v>
      </c>
      <c r="W392" s="254"/>
      <c r="X392" s="255">
        <v>0</v>
      </c>
      <c r="Y392" s="256">
        <f t="shared" ca="1" si="140"/>
        <v>1.65</v>
      </c>
      <c r="Z392" s="269">
        <f t="shared" si="141"/>
        <v>48.5</v>
      </c>
      <c r="AA392" s="253">
        <v>4.25</v>
      </c>
      <c r="AB392" s="253">
        <f t="shared" ca="1" si="142"/>
        <v>0.10999999999999988</v>
      </c>
      <c r="AC392" s="258"/>
      <c r="AF392" s="223" t="s">
        <v>405</v>
      </c>
      <c r="AH392" s="232">
        <f t="shared" ca="1" si="137"/>
        <v>46120</v>
      </c>
      <c r="AI392" s="232" t="b">
        <f t="shared" si="132"/>
        <v>1</v>
      </c>
      <c r="AJ392" s="259" t="str">
        <f t="shared" si="138"/>
        <v/>
      </c>
      <c r="AM392" s="223">
        <f t="shared" si="133"/>
        <v>0</v>
      </c>
      <c r="AN392" s="223">
        <f t="shared" si="134"/>
        <v>1900</v>
      </c>
      <c r="AU392" s="223">
        <f t="shared" si="135"/>
        <v>0</v>
      </c>
      <c r="AV392" s="223">
        <f t="shared" si="136"/>
        <v>0</v>
      </c>
    </row>
    <row r="393" spans="4:48" ht="26.25" x14ac:dyDescent="0.4">
      <c r="D393" s="246" t="s">
        <v>736</v>
      </c>
      <c r="E393" s="262" t="s">
        <v>238</v>
      </c>
      <c r="F393" s="263">
        <v>502</v>
      </c>
      <c r="G393" s="249" t="s">
        <v>4</v>
      </c>
      <c r="H393" s="250">
        <v>2.4500000000000002</v>
      </c>
      <c r="I393" s="251">
        <v>46297</v>
      </c>
      <c r="J393" s="252" t="s">
        <v>25</v>
      </c>
      <c r="K393" s="252"/>
      <c r="L393" s="253">
        <v>7.0000000000000007E-2</v>
      </c>
      <c r="M393" s="254">
        <f ca="1">IF(ISERROR(OFFSET(Tabella!$A$1,MATCH(J393,Tabella!$A:$A,0)-1,MATCH(L393,Tabella!$A$1:$AC$1,0)-1)=TRUE),0,+OFFSET(Tabella!$A$1,MATCH(J393,Tabella!$A:$A,0)-1,MATCH(L393,Tabella!$A$1:$AC$1,0)-1))</f>
        <v>1.25</v>
      </c>
      <c r="N393" s="255">
        <f ca="1">IF(ISERROR(OFFSET(Ottone!$A$1,MATCH(J393,Ottone!$A:$A,0)-1,MATCH(L393,Ottone!$A$1:$Z$1,0)-1)=TRUE),0,OFFSET(Ottone!$A$1,MATCH(J393,Ottone!$A:$A,0)-1,MATCH(L393,Ottone!$A$1:$Z$1,0)-1))*IF(G393="Ottone",1,0)</f>
        <v>0</v>
      </c>
      <c r="O393" s="255">
        <f ca="1">IF(ISERROR(OFFSET(Rame!$A$1,MATCH(J393,Rame!$A:$A,0)-1,MATCH(L393,Rame!$A$1:$AA$1,0)-1)=TRUE),0,OFFSET(Rame!$A$1,MATCH(J393,Rame!$A:$A,0)-1,MATCH(L393,Rame!$A$1:$AA$1,0)-1))*IF(G393="Rame",1,0)</f>
        <v>0</v>
      </c>
      <c r="P393" s="255">
        <v>0</v>
      </c>
      <c r="Q393" s="255">
        <v>1.5</v>
      </c>
      <c r="R393" s="255">
        <f ca="1">+IF(ISERROR(OFFSET(Tabella!$G$1,MATCH(J393,Tabella!$G:$G,0)-1,MATCH(K393,Tabella!$G$1:$FG$1,0)-1)=TRUE),0,OFFSET(Tabella!$G$1,MATCH(J393,Tabella!$G:$G,0)-1,MATCH(K393,Tabella!$G$1:$AB$1,0)-1))</f>
        <v>0</v>
      </c>
      <c r="S393" s="255">
        <f ca="1">IF(ISERROR(OFFSET(Ottone!$F$1,MATCH(J393,Ottone!$A:$A,0)-1,MATCH(K393,Ottone!$F$1:$FF$1,0)-1)=TRUE),0,OFFSET(Ottone!$F$1,MATCH(J393,Ottone!$A:$A,0)-1,MATCH(K393,Ottone!$F$1:$FF$1,0)-1))*IF(G393="Ottone",1,0)</f>
        <v>0</v>
      </c>
      <c r="T393" s="255">
        <f ca="1">IF(ISERROR(OFFSET(Rame!$F$1,MATCH(J393,Rame!$F:$F,0)-1,MATCH(K393,Rame!$F$1:$FF$1,0)-1)=TRUE),0,OFFSET(Rame!$F$1,MATCH(J393,Rame!$F:$F,0)-1,MATCH(K393,Rame!$F$1:$FF$1,0)-1))*IF(G393="Rame",1,0)</f>
        <v>0</v>
      </c>
      <c r="U393" s="255">
        <f ca="1">IF(ISERROR(OFFSET(Bronzo!$A$1,MATCH(J393,Bronzo!$A:$A,0)-1,MATCH(K393,Bronzo!$A$1:$AA$1,0)-1)=TRUE),0,OFFSET(Bronzo!$A$1,MATCH(J393,Bronzo!$A:$A,0)-1,MATCH(K393,Bronzo!$A$1:$AA$1,0)-1))</f>
        <v>0</v>
      </c>
      <c r="V393" s="255">
        <f t="shared" ca="1" si="139"/>
        <v>0</v>
      </c>
      <c r="W393" s="254"/>
      <c r="X393" s="255">
        <v>0</v>
      </c>
      <c r="Y393" s="256">
        <f t="shared" ca="1" si="140"/>
        <v>1.5</v>
      </c>
      <c r="Z393" s="269">
        <f t="shared" si="141"/>
        <v>35.14</v>
      </c>
      <c r="AA393" s="253">
        <v>3.95</v>
      </c>
      <c r="AB393" s="253">
        <f t="shared" ca="1" si="142"/>
        <v>0</v>
      </c>
      <c r="AC393" s="258"/>
      <c r="AF393" s="223" t="s">
        <v>405</v>
      </c>
      <c r="AH393" s="232">
        <f t="shared" ca="1" si="137"/>
        <v>46120</v>
      </c>
      <c r="AI393" s="232" t="b">
        <f t="shared" si="132"/>
        <v>1</v>
      </c>
      <c r="AJ393" s="259" t="str">
        <f t="shared" si="138"/>
        <v/>
      </c>
      <c r="AM393" s="223">
        <f t="shared" si="133"/>
        <v>0</v>
      </c>
      <c r="AN393" s="223">
        <f t="shared" si="134"/>
        <v>1900</v>
      </c>
      <c r="AU393" s="223">
        <f t="shared" si="135"/>
        <v>0</v>
      </c>
      <c r="AV393" s="223">
        <f t="shared" si="136"/>
        <v>0</v>
      </c>
    </row>
    <row r="394" spans="4:48" ht="26.25" x14ac:dyDescent="0.4">
      <c r="D394" s="246" t="s">
        <v>736</v>
      </c>
      <c r="E394" s="262" t="s">
        <v>238</v>
      </c>
      <c r="F394" s="263">
        <v>440</v>
      </c>
      <c r="G394" s="249" t="s">
        <v>4</v>
      </c>
      <c r="H394" s="250">
        <v>2.4500000000000002</v>
      </c>
      <c r="I394" s="251">
        <v>46323</v>
      </c>
      <c r="J394" s="252" t="s">
        <v>25</v>
      </c>
      <c r="K394" s="252"/>
      <c r="L394" s="253">
        <v>7.0000000000000007E-2</v>
      </c>
      <c r="M394" s="254">
        <f ca="1">IF(ISERROR(OFFSET(Tabella!$A$1,MATCH(J394,Tabella!$A:$A,0)-1,MATCH(L394,Tabella!$A$1:$AC$1,0)-1)=TRUE),0,+OFFSET(Tabella!$A$1,MATCH(J394,Tabella!$A:$A,0)-1,MATCH(L394,Tabella!$A$1:$AC$1,0)-1))</f>
        <v>1.25</v>
      </c>
      <c r="N394" s="255">
        <f ca="1">IF(ISERROR(OFFSET(Ottone!$A$1,MATCH(J394,Ottone!$A:$A,0)-1,MATCH(L394,Ottone!$A$1:$Z$1,0)-1)=TRUE),0,OFFSET(Ottone!$A$1,MATCH(J394,Ottone!$A:$A,0)-1,MATCH(L394,Ottone!$A$1:$Z$1,0)-1))*IF(G394="Ottone",1,0)</f>
        <v>0</v>
      </c>
      <c r="O394" s="255">
        <f ca="1">IF(ISERROR(OFFSET(Rame!$A$1,MATCH(J394,Rame!$A:$A,0)-1,MATCH(L394,Rame!$A$1:$AA$1,0)-1)=TRUE),0,OFFSET(Rame!$A$1,MATCH(J394,Rame!$A:$A,0)-1,MATCH(L394,Rame!$A$1:$AA$1,0)-1))*IF(G394="Rame",1,0)</f>
        <v>0</v>
      </c>
      <c r="P394" s="255">
        <v>0</v>
      </c>
      <c r="Q394" s="255">
        <v>1.5</v>
      </c>
      <c r="R394" s="255">
        <f ca="1">+IF(ISERROR(OFFSET(Tabella!$G$1,MATCH(J394,Tabella!$G:$G,0)-1,MATCH(K394,Tabella!$G$1:$FG$1,0)-1)=TRUE),0,OFFSET(Tabella!$G$1,MATCH(J394,Tabella!$G:$G,0)-1,MATCH(K394,Tabella!$G$1:$AB$1,0)-1))</f>
        <v>0</v>
      </c>
      <c r="S394" s="255">
        <f ca="1">IF(ISERROR(OFFSET(Ottone!$F$1,MATCH(J394,Ottone!$A:$A,0)-1,MATCH(K394,Ottone!$F$1:$FF$1,0)-1)=TRUE),0,OFFSET(Ottone!$F$1,MATCH(J394,Ottone!$A:$A,0)-1,MATCH(K394,Ottone!$F$1:$FF$1,0)-1))*IF(G394="Ottone",1,0)</f>
        <v>0</v>
      </c>
      <c r="T394" s="255">
        <f ca="1">IF(ISERROR(OFFSET(Rame!$F$1,MATCH(J394,Rame!$F:$F,0)-1,MATCH(K394,Rame!$F$1:$FF$1,0)-1)=TRUE),0,OFFSET(Rame!$F$1,MATCH(J394,Rame!$F:$F,0)-1,MATCH(K394,Rame!$F$1:$FF$1,0)-1))*IF(G394="Rame",1,0)</f>
        <v>0</v>
      </c>
      <c r="U394" s="255">
        <f ca="1">IF(ISERROR(OFFSET(Bronzo!$A$1,MATCH(J394,Bronzo!$A:$A,0)-1,MATCH(K394,Bronzo!$A$1:$AA$1,0)-1)=TRUE),0,OFFSET(Bronzo!$A$1,MATCH(J394,Bronzo!$A:$A,0)-1,MATCH(K394,Bronzo!$A$1:$AA$1,0)-1))</f>
        <v>0</v>
      </c>
      <c r="V394" s="255">
        <f t="shared" ca="1" si="139"/>
        <v>0</v>
      </c>
      <c r="W394" s="254"/>
      <c r="X394" s="255">
        <v>0</v>
      </c>
      <c r="Y394" s="256">
        <f t="shared" ca="1" si="140"/>
        <v>1.5</v>
      </c>
      <c r="Z394" s="269">
        <f t="shared" si="141"/>
        <v>30.800000000000004</v>
      </c>
      <c r="AA394" s="253">
        <v>3.95</v>
      </c>
      <c r="AB394" s="253">
        <f t="shared" ca="1" si="142"/>
        <v>0</v>
      </c>
      <c r="AC394" s="258"/>
      <c r="AF394" s="223" t="s">
        <v>405</v>
      </c>
      <c r="AH394" s="232">
        <f t="shared" ca="1" si="137"/>
        <v>46120</v>
      </c>
      <c r="AI394" s="232" t="b">
        <f t="shared" si="132"/>
        <v>1</v>
      </c>
      <c r="AJ394" s="259" t="str">
        <f t="shared" si="138"/>
        <v/>
      </c>
      <c r="AM394" s="223">
        <f t="shared" si="133"/>
        <v>0</v>
      </c>
      <c r="AN394" s="223">
        <f t="shared" si="134"/>
        <v>1900</v>
      </c>
      <c r="AU394" s="223">
        <f t="shared" si="135"/>
        <v>0</v>
      </c>
      <c r="AV394" s="223">
        <f t="shared" si="136"/>
        <v>0</v>
      </c>
    </row>
    <row r="395" spans="4:48" ht="26.25" x14ac:dyDescent="0.4">
      <c r="D395" s="246" t="s">
        <v>736</v>
      </c>
      <c r="E395" s="262" t="s">
        <v>238</v>
      </c>
      <c r="F395" s="263">
        <v>312</v>
      </c>
      <c r="G395" s="249" t="s">
        <v>4</v>
      </c>
      <c r="H395" s="250">
        <v>2.4500000000000002</v>
      </c>
      <c r="I395" s="251">
        <v>46323</v>
      </c>
      <c r="J395" s="252" t="s">
        <v>26</v>
      </c>
      <c r="K395" s="252"/>
      <c r="L395" s="253">
        <v>7.0000000000000007E-2</v>
      </c>
      <c r="M395" s="254">
        <f ca="1">IF(ISERROR(OFFSET(Tabella!$A$1,MATCH(J395,Tabella!$A:$A,0)-1,MATCH(L395,Tabella!$A$1:$AC$1,0)-1)=TRUE),0,+OFFSET(Tabella!$A$1,MATCH(J395,Tabella!$A:$A,0)-1,MATCH(L395,Tabella!$A$1:$AC$1,0)-1))</f>
        <v>1.25</v>
      </c>
      <c r="N395" s="255">
        <f ca="1">IF(ISERROR(OFFSET(Ottone!$A$1,MATCH(J395,Ottone!$A:$A,0)-1,MATCH(L395,Ottone!$A$1:$Z$1,0)-1)=TRUE),0,OFFSET(Ottone!$A$1,MATCH(J395,Ottone!$A:$A,0)-1,MATCH(L395,Ottone!$A$1:$Z$1,0)-1))*IF(G395="Ottone",1,0)</f>
        <v>0</v>
      </c>
      <c r="O395" s="255">
        <f ca="1">IF(ISERROR(OFFSET(Rame!$A$1,MATCH(J395,Rame!$A:$A,0)-1,MATCH(L395,Rame!$A$1:$AA$1,0)-1)=TRUE),0,OFFSET(Rame!$A$1,MATCH(J395,Rame!$A:$A,0)-1,MATCH(L395,Rame!$A$1:$AA$1,0)-1))*IF(G395="Rame",1,0)</f>
        <v>0</v>
      </c>
      <c r="P395" s="255">
        <v>0</v>
      </c>
      <c r="Q395" s="255">
        <v>1.5</v>
      </c>
      <c r="R395" s="255">
        <f ca="1">+IF(ISERROR(OFFSET(Tabella!$G$1,MATCH(J395,Tabella!$G:$G,0)-1,MATCH(K395,Tabella!$G$1:$FG$1,0)-1)=TRUE),0,OFFSET(Tabella!$G$1,MATCH(J395,Tabella!$G:$G,0)-1,MATCH(K395,Tabella!$G$1:$AB$1,0)-1))</f>
        <v>0</v>
      </c>
      <c r="S395" s="255">
        <f ca="1">IF(ISERROR(OFFSET(Ottone!$F$1,MATCH(J395,Ottone!$A:$A,0)-1,MATCH(K395,Ottone!$F$1:$FF$1,0)-1)=TRUE),0,OFFSET(Ottone!$F$1,MATCH(J395,Ottone!$A:$A,0)-1,MATCH(K395,Ottone!$F$1:$FF$1,0)-1))*IF(G395="Ottone",1,0)</f>
        <v>0</v>
      </c>
      <c r="T395" s="255">
        <f ca="1">IF(ISERROR(OFFSET(Rame!$F$1,MATCH(J395,Rame!$F:$F,0)-1,MATCH(K395,Rame!$F$1:$FF$1,0)-1)=TRUE),0,OFFSET(Rame!$F$1,MATCH(J395,Rame!$F:$F,0)-1,MATCH(K395,Rame!$F$1:$FF$1,0)-1))*IF(G395="Rame",1,0)</f>
        <v>0</v>
      </c>
      <c r="U395" s="255">
        <f ca="1">IF(ISERROR(OFFSET(Bronzo!$A$1,MATCH(J395,Bronzo!$A:$A,0)-1,MATCH(K395,Bronzo!$A$1:$AA$1,0)-1)=TRUE),0,OFFSET(Bronzo!$A$1,MATCH(J395,Bronzo!$A:$A,0)-1,MATCH(K395,Bronzo!$A$1:$AA$1,0)-1))</f>
        <v>0</v>
      </c>
      <c r="V395" s="255">
        <f t="shared" ca="1" si="139"/>
        <v>0</v>
      </c>
      <c r="W395" s="254"/>
      <c r="X395" s="255">
        <v>0</v>
      </c>
      <c r="Y395" s="256">
        <f t="shared" ca="1" si="140"/>
        <v>1.5</v>
      </c>
      <c r="Z395" s="269">
        <f t="shared" si="141"/>
        <v>21.840000000000003</v>
      </c>
      <c r="AA395" s="253">
        <v>3.95</v>
      </c>
      <c r="AB395" s="253">
        <f t="shared" ca="1" si="142"/>
        <v>0</v>
      </c>
      <c r="AC395" s="258"/>
      <c r="AF395" s="223" t="s">
        <v>405</v>
      </c>
      <c r="AH395" s="232">
        <f t="shared" ca="1" si="137"/>
        <v>46120</v>
      </c>
      <c r="AI395" s="232" t="b">
        <f t="shared" si="132"/>
        <v>1</v>
      </c>
      <c r="AJ395" s="259" t="str">
        <f t="shared" si="138"/>
        <v/>
      </c>
      <c r="AM395" s="223">
        <f t="shared" si="133"/>
        <v>0</v>
      </c>
      <c r="AN395" s="223">
        <f t="shared" si="134"/>
        <v>1900</v>
      </c>
      <c r="AU395" s="223">
        <f t="shared" si="135"/>
        <v>0</v>
      </c>
      <c r="AV395" s="223">
        <f t="shared" si="136"/>
        <v>0</v>
      </c>
    </row>
    <row r="396" spans="4:48" ht="26.25" x14ac:dyDescent="0.4">
      <c r="D396" s="246" t="s">
        <v>585</v>
      </c>
      <c r="E396" s="252" t="s">
        <v>238</v>
      </c>
      <c r="F396" s="276">
        <v>500</v>
      </c>
      <c r="G396" s="249" t="s">
        <v>4</v>
      </c>
      <c r="H396" s="250">
        <v>2.4500000000000002</v>
      </c>
      <c r="I396" s="251">
        <v>46323</v>
      </c>
      <c r="J396" s="252" t="s">
        <v>306</v>
      </c>
      <c r="K396" s="252"/>
      <c r="L396" s="253">
        <v>7.0000000000000007E-2</v>
      </c>
      <c r="M396" s="254">
        <f ca="1">IF(ISERROR(OFFSET(Tabella!$A$1,MATCH(J396,Tabella!$A:$A,0)-1,MATCH(L396,Tabella!$A$1:$AC$1,0)-1)=TRUE),0,+OFFSET(Tabella!$A$1,MATCH(J396,Tabella!$A:$A,0)-1,MATCH(L396,Tabella!$A$1:$AC$1,0)-1))</f>
        <v>1.25</v>
      </c>
      <c r="N396" s="255">
        <f ca="1">IF(ISERROR(OFFSET(Ottone!$A$1,MATCH(J396,Ottone!$A:$A,0)-1,MATCH(L396,Ottone!$A$1:$Z$1,0)-1)=TRUE),0,OFFSET(Ottone!$A$1,MATCH(J396,Ottone!$A:$A,0)-1,MATCH(L396,Ottone!$A$1:$Z$1,0)-1))*IF(G396="Ottone",1,0)</f>
        <v>0</v>
      </c>
      <c r="O396" s="255">
        <f ca="1">IF(ISERROR(OFFSET(Rame!$A$1,MATCH(J396,Rame!$A:$A,0)-1,MATCH(L396,Rame!$A$1:$AA$1,0)-1)=TRUE),0,OFFSET(Rame!$A$1,MATCH(J396,Rame!$A:$A,0)-1,MATCH(L396,Rame!$A$1:$AA$1,0)-1))*IF(G396="Rame",1,0)</f>
        <v>0</v>
      </c>
      <c r="P396" s="255">
        <v>0</v>
      </c>
      <c r="Q396" s="255">
        <v>1.5</v>
      </c>
      <c r="R396" s="255">
        <f ca="1">+IF(ISERROR(OFFSET(Tabella!$G$1,MATCH(J396,Tabella!$G:$G,0)-1,MATCH(K396,Tabella!$G$1:$FG$1,0)-1)=TRUE),0,OFFSET(Tabella!$G$1,MATCH(J396,Tabella!$G:$G,0)-1,MATCH(K396,Tabella!$G$1:$AB$1,0)-1))</f>
        <v>0</v>
      </c>
      <c r="S396" s="255">
        <f ca="1">IF(ISERROR(OFFSET(Ottone!$F$1,MATCH(J396,Ottone!$A:$A,0)-1,MATCH(K396,Ottone!$F$1:$FF$1,0)-1)=TRUE),0,OFFSET(Ottone!$F$1,MATCH(J396,Ottone!$A:$A,0)-1,MATCH(K396,Ottone!$F$1:$FF$1,0)-1))*IF(G396="Ottone",1,0)</f>
        <v>0</v>
      </c>
      <c r="T396" s="255">
        <f ca="1">IF(ISERROR(OFFSET(Rame!$F$1,MATCH(J396,Rame!$F:$F,0)-1,MATCH(K396,Rame!$F$1:$FF$1,0)-1)=TRUE),0,OFFSET(Rame!$F$1,MATCH(J396,Rame!$F:$F,0)-1,MATCH(K396,Rame!$F$1:$FF$1,0)-1))*IF(G396="Rame",1,0)</f>
        <v>0</v>
      </c>
      <c r="U396" s="255">
        <f ca="1">IF(ISERROR(OFFSET(Bronzo!$A$1,MATCH(J396,Bronzo!$A:$A,0)-1,MATCH(K396,Bronzo!$A$1:$AA$1,0)-1)=TRUE),0,OFFSET(Bronzo!$A$1,MATCH(J396,Bronzo!$A:$A,0)-1,MATCH(K396,Bronzo!$A$1:$AA$1,0)-1))</f>
        <v>0</v>
      </c>
      <c r="V396" s="255">
        <f t="shared" ca="1" si="139"/>
        <v>0</v>
      </c>
      <c r="W396" s="254"/>
      <c r="X396" s="255">
        <v>0</v>
      </c>
      <c r="Y396" s="256">
        <f t="shared" ca="1" si="140"/>
        <v>1.5</v>
      </c>
      <c r="Z396" s="257">
        <f t="shared" si="141"/>
        <v>35</v>
      </c>
      <c r="AA396" s="253">
        <v>3.95</v>
      </c>
      <c r="AB396" s="253">
        <f t="shared" ca="1" si="142"/>
        <v>0</v>
      </c>
      <c r="AC396" s="258">
        <v>46108</v>
      </c>
      <c r="AH396" s="232">
        <f t="shared" ca="1" si="137"/>
        <v>46120</v>
      </c>
      <c r="AI396" s="232" t="b">
        <f t="shared" si="132"/>
        <v>0</v>
      </c>
      <c r="AJ396" s="259">
        <f t="shared" ca="1" si="138"/>
        <v>-12</v>
      </c>
      <c r="AM396" s="223">
        <f t="shared" si="133"/>
        <v>13</v>
      </c>
      <c r="AN396" s="223">
        <f t="shared" si="134"/>
        <v>2026</v>
      </c>
      <c r="AU396" s="223">
        <f t="shared" si="135"/>
        <v>3</v>
      </c>
      <c r="AV396" s="223">
        <f t="shared" si="136"/>
        <v>2026</v>
      </c>
    </row>
    <row r="397" spans="4:48" ht="26.25" x14ac:dyDescent="0.4">
      <c r="D397" s="246" t="s">
        <v>594</v>
      </c>
      <c r="E397" s="262" t="s">
        <v>102</v>
      </c>
      <c r="F397" s="263">
        <v>1005</v>
      </c>
      <c r="G397" s="249" t="s">
        <v>4</v>
      </c>
      <c r="H397" s="250">
        <v>2.91</v>
      </c>
      <c r="I397" s="251">
        <v>46087</v>
      </c>
      <c r="J397" s="252" t="s">
        <v>30</v>
      </c>
      <c r="K397" s="252"/>
      <c r="L397" s="253">
        <v>0.1</v>
      </c>
      <c r="M397" s="254">
        <f ca="1">IF(ISERROR(OFFSET(Tabella!$A$1,MATCH(J397,Tabella!$A:$A,0)-1,MATCH(L397,Tabella!$A$1:$AC$1,0)-1)=TRUE),0,+OFFSET(Tabella!$A$1,MATCH(J397,Tabella!$A:$A,0)-1,MATCH(L397,Tabella!$A$1:$AC$1,0)-1))</f>
        <v>1.5</v>
      </c>
      <c r="N397" s="255">
        <f ca="1">IF(ISERROR(OFFSET(Ottone!$A$1,MATCH(J397,Ottone!$A:$A,0)-1,MATCH(L397,Ottone!$A$1:$Z$1,0)-1)=TRUE),0,OFFSET(Ottone!$A$1,MATCH(J397,Ottone!$A:$A,0)-1,MATCH(L397,Ottone!$A$1:$Z$1,0)-1))*IF(G397="Ottone",1,0)</f>
        <v>0</v>
      </c>
      <c r="O397" s="255">
        <f ca="1">IF(ISERROR(OFFSET(Rame!$A$1,MATCH(J397,Rame!$A:$A,0)-1,MATCH(L397,Rame!$A$1:$AA$1,0)-1)=TRUE),0,OFFSET(Rame!$A$1,MATCH(J397,Rame!$A:$A,0)-1,MATCH(L397,Rame!$A$1:$AA$1,0)-1))*IF(G397="Rame",1,0)</f>
        <v>0</v>
      </c>
      <c r="P397" s="255">
        <v>0</v>
      </c>
      <c r="Q397" s="255">
        <f t="shared" ca="1" si="143"/>
        <v>1.5</v>
      </c>
      <c r="R397" s="255">
        <f ca="1">+IF(ISERROR(OFFSET(Tabella!$G$1,MATCH(J397,Tabella!$G:$G,0)-1,MATCH(K397,Tabella!$G$1:$FG$1,0)-1)=TRUE),0,OFFSET(Tabella!$G$1,MATCH(J397,Tabella!$G:$G,0)-1,MATCH(K397,Tabella!$G$1:$AB$1,0)-1))</f>
        <v>0</v>
      </c>
      <c r="S397" s="255">
        <f ca="1">IF(ISERROR(OFFSET(Ottone!$F$1,MATCH(J397,Ottone!$A:$A,0)-1,MATCH(K397,Ottone!$F$1:$FF$1,0)-1)=TRUE),0,OFFSET(Ottone!$F$1,MATCH(J397,Ottone!$A:$A,0)-1,MATCH(K397,Ottone!$F$1:$FF$1,0)-1))*IF(G397="Ottone",1,0)</f>
        <v>0</v>
      </c>
      <c r="T397" s="255">
        <f ca="1">IF(ISERROR(OFFSET(Rame!$F$1,MATCH(J397,Rame!$F:$F,0)-1,MATCH(K397,Rame!$F$1:$FF$1,0)-1)=TRUE),0,OFFSET(Rame!$F$1,MATCH(J397,Rame!$F:$F,0)-1,MATCH(K397,Rame!$F$1:$FF$1,0)-1))*IF(G397="Rame",1,0)</f>
        <v>0</v>
      </c>
      <c r="U397" s="255">
        <f ca="1">IF(ISERROR(OFFSET(Bronzo!$A$1,MATCH(J397,Bronzo!$A:$A,0)-1,MATCH(K397,Bronzo!$A$1:$AA$1,0)-1)=TRUE),0,OFFSET(Bronzo!$A$1,MATCH(J397,Bronzo!$A:$A,0)-1,MATCH(K397,Bronzo!$A$1:$AA$1,0)-1))</f>
        <v>0</v>
      </c>
      <c r="V397" s="255">
        <f t="shared" ca="1" si="139"/>
        <v>0</v>
      </c>
      <c r="W397" s="254"/>
      <c r="X397" s="255">
        <v>0</v>
      </c>
      <c r="Y397" s="256">
        <f t="shared" ca="1" si="140"/>
        <v>1.5</v>
      </c>
      <c r="Z397" s="269">
        <f t="shared" si="141"/>
        <v>100.5</v>
      </c>
      <c r="AA397" s="253">
        <v>4.7</v>
      </c>
      <c r="AB397" s="253">
        <f t="shared" ca="1" si="142"/>
        <v>0.29000000000000004</v>
      </c>
      <c r="AC397" s="258"/>
      <c r="AF397" s="223" t="s">
        <v>405</v>
      </c>
      <c r="AH397" s="232">
        <f t="shared" ca="1" si="137"/>
        <v>46120</v>
      </c>
      <c r="AI397" s="232" t="b">
        <f t="shared" si="132"/>
        <v>1</v>
      </c>
      <c r="AJ397" s="259" t="str">
        <f t="shared" si="138"/>
        <v/>
      </c>
      <c r="AM397" s="223">
        <f t="shared" si="133"/>
        <v>0</v>
      </c>
      <c r="AN397" s="223">
        <f t="shared" si="134"/>
        <v>1900</v>
      </c>
      <c r="AU397" s="223">
        <f t="shared" si="135"/>
        <v>0</v>
      </c>
      <c r="AV397" s="223">
        <f t="shared" si="136"/>
        <v>0</v>
      </c>
    </row>
    <row r="398" spans="4:48" ht="26.25" x14ac:dyDescent="0.4">
      <c r="D398" s="246" t="s">
        <v>716</v>
      </c>
      <c r="E398" s="262" t="s">
        <v>102</v>
      </c>
      <c r="F398" s="263">
        <v>808</v>
      </c>
      <c r="G398" s="249" t="s">
        <v>4</v>
      </c>
      <c r="H398" s="250">
        <v>2.65</v>
      </c>
      <c r="I398" s="251">
        <v>46050</v>
      </c>
      <c r="J398" s="252" t="s">
        <v>27</v>
      </c>
      <c r="K398" s="252"/>
      <c r="L398" s="253">
        <v>7.0000000000000007E-2</v>
      </c>
      <c r="M398" s="254">
        <f ca="1">IF(ISERROR(OFFSET(Tabella!$A$1,MATCH(J398,Tabella!$A:$A,0)-1,MATCH(L398,Tabella!$A$1:$AC$1,0)-1)=TRUE),0,+OFFSET(Tabella!$A$1,MATCH(J398,Tabella!$A:$A,0)-1,MATCH(L398,Tabella!$A$1:$AC$1,0)-1))</f>
        <v>1.25</v>
      </c>
      <c r="N398" s="255">
        <f ca="1">IF(ISERROR(OFFSET(Ottone!$A$1,MATCH(J398,Ottone!$A:$A,0)-1,MATCH(L398,Ottone!$A$1:$Z$1,0)-1)=TRUE),0,OFFSET(Ottone!$A$1,MATCH(J398,Ottone!$A:$A,0)-1,MATCH(L398,Ottone!$A$1:$Z$1,0)-1))*IF(G398="Ottone",1,0)</f>
        <v>0</v>
      </c>
      <c r="O398" s="255">
        <f ca="1">IF(ISERROR(OFFSET(Rame!$A$1,MATCH(J398,Rame!$A:$A,0)-1,MATCH(L398,Rame!$A$1:$AA$1,0)-1)=TRUE),0,OFFSET(Rame!$A$1,MATCH(J398,Rame!$A:$A,0)-1,MATCH(L398,Rame!$A$1:$AA$1,0)-1))*IF(G398="Rame",1,0)</f>
        <v>0</v>
      </c>
      <c r="P398" s="255">
        <v>0</v>
      </c>
      <c r="Q398" s="255">
        <f t="shared" ca="1" si="143"/>
        <v>1.25</v>
      </c>
      <c r="R398" s="255">
        <f ca="1">+IF(ISERROR(OFFSET(Tabella!$G$1,MATCH(J398,Tabella!$G:$G,0)-1,MATCH(K398,Tabella!$G$1:$FG$1,0)-1)=TRUE),0,OFFSET(Tabella!$G$1,MATCH(J398,Tabella!$G:$G,0)-1,MATCH(K398,Tabella!$G$1:$AB$1,0)-1))</f>
        <v>0</v>
      </c>
      <c r="S398" s="255">
        <f ca="1">IF(ISERROR(OFFSET(Ottone!$F$1,MATCH(J398,Ottone!$A:$A,0)-1,MATCH(K398,Ottone!$F$1:$FF$1,0)-1)=TRUE),0,OFFSET(Ottone!$F$1,MATCH(J398,Ottone!$A:$A,0)-1,MATCH(K398,Ottone!$F$1:$FF$1,0)-1))*IF(G398="Ottone",1,0)</f>
        <v>0</v>
      </c>
      <c r="T398" s="255">
        <f ca="1">IF(ISERROR(OFFSET(Rame!$F$1,MATCH(J398,Rame!$F:$F,0)-1,MATCH(K398,Rame!$F$1:$FF$1,0)-1)=TRUE),0,OFFSET(Rame!$F$1,MATCH(J398,Rame!$F:$F,0)-1,MATCH(K398,Rame!$F$1:$FF$1,0)-1))*IF(G398="Rame",1,0)</f>
        <v>0</v>
      </c>
      <c r="U398" s="255">
        <f ca="1">IF(ISERROR(OFFSET(Bronzo!$A$1,MATCH(J398,Bronzo!$A:$A,0)-1,MATCH(K398,Bronzo!$A$1:$AA$1,0)-1)=TRUE),0,OFFSET(Bronzo!$A$1,MATCH(J398,Bronzo!$A:$A,0)-1,MATCH(K398,Bronzo!$A$1:$AA$1,0)-1))</f>
        <v>0</v>
      </c>
      <c r="V398" s="255">
        <f t="shared" ca="1" si="139"/>
        <v>0</v>
      </c>
      <c r="W398" s="254"/>
      <c r="X398" s="255">
        <v>0</v>
      </c>
      <c r="Y398" s="256">
        <f t="shared" ca="1" si="140"/>
        <v>1.25</v>
      </c>
      <c r="Z398" s="269">
        <f t="shared" si="141"/>
        <v>56.56</v>
      </c>
      <c r="AA398" s="253">
        <v>4.1500000000000004</v>
      </c>
      <c r="AB398" s="253">
        <f t="shared" ca="1" si="142"/>
        <v>0.25000000000000044</v>
      </c>
      <c r="AC398" s="258"/>
      <c r="AF398" s="223" t="s">
        <v>405</v>
      </c>
      <c r="AH398" s="232">
        <f t="shared" ca="1" si="137"/>
        <v>46120</v>
      </c>
      <c r="AI398" s="232" t="b">
        <f t="shared" si="132"/>
        <v>1</v>
      </c>
      <c r="AJ398" s="259" t="str">
        <f t="shared" si="138"/>
        <v/>
      </c>
      <c r="AM398" s="223">
        <f t="shared" si="133"/>
        <v>0</v>
      </c>
      <c r="AN398" s="223">
        <f t="shared" si="134"/>
        <v>1900</v>
      </c>
      <c r="AU398" s="223">
        <f t="shared" si="135"/>
        <v>0</v>
      </c>
      <c r="AV398" s="223">
        <f t="shared" si="136"/>
        <v>0</v>
      </c>
    </row>
    <row r="399" spans="4:48" ht="26.25" x14ac:dyDescent="0.4">
      <c r="D399" s="246" t="s">
        <v>653</v>
      </c>
      <c r="E399" s="252" t="s">
        <v>102</v>
      </c>
      <c r="F399" s="276">
        <v>3000</v>
      </c>
      <c r="G399" s="249" t="s">
        <v>4</v>
      </c>
      <c r="H399" s="250">
        <v>2.65</v>
      </c>
      <c r="I399" s="251">
        <v>46050</v>
      </c>
      <c r="J399" s="252" t="s">
        <v>23</v>
      </c>
      <c r="K399" s="252"/>
      <c r="L399" s="253">
        <v>7.0000000000000007E-2</v>
      </c>
      <c r="M399" s="254">
        <f ca="1">IF(ISERROR(OFFSET(Tabella!$A$1,MATCH(J399,Tabella!$A:$A,0)-1,MATCH(L399,Tabella!$A$1:$AC$1,0)-1)=TRUE),0,+OFFSET(Tabella!$A$1,MATCH(J399,Tabella!$A:$A,0)-1,MATCH(L399,Tabella!$A$1:$AC$1,0)-1))</f>
        <v>1.25</v>
      </c>
      <c r="N399" s="255">
        <f ca="1">IF(ISERROR(OFFSET(Ottone!$A$1,MATCH(J399,Ottone!$A:$A,0)-1,MATCH(L399,Ottone!$A$1:$Z$1,0)-1)=TRUE),0,OFFSET(Ottone!$A$1,MATCH(J399,Ottone!$A:$A,0)-1,MATCH(L399,Ottone!$A$1:$Z$1,0)-1))*IF(G399="Ottone",1,0)</f>
        <v>0</v>
      </c>
      <c r="O399" s="255">
        <f ca="1">IF(ISERROR(OFFSET(Rame!$A$1,MATCH(J399,Rame!$A:$A,0)-1,MATCH(L399,Rame!$A$1:$AA$1,0)-1)=TRUE),0,OFFSET(Rame!$A$1,MATCH(J399,Rame!$A:$A,0)-1,MATCH(L399,Rame!$A$1:$AA$1,0)-1))*IF(G399="Rame",1,0)</f>
        <v>0</v>
      </c>
      <c r="P399" s="255">
        <v>0</v>
      </c>
      <c r="Q399" s="255">
        <f t="shared" ca="1" si="143"/>
        <v>1.25</v>
      </c>
      <c r="R399" s="255">
        <f ca="1">+IF(ISERROR(OFFSET(Tabella!$G$1,MATCH(J399,Tabella!$G:$G,0)-1,MATCH(K399,Tabella!$G$1:$FG$1,0)-1)=TRUE),0,OFFSET(Tabella!$G$1,MATCH(J399,Tabella!$G:$G,0)-1,MATCH(K399,Tabella!$G$1:$AB$1,0)-1))</f>
        <v>0</v>
      </c>
      <c r="S399" s="255">
        <f ca="1">IF(ISERROR(OFFSET(Ottone!$F$1,MATCH(J399,Ottone!$A:$A,0)-1,MATCH(K399,Ottone!$F$1:$FF$1,0)-1)=TRUE),0,OFFSET(Ottone!$F$1,MATCH(J399,Ottone!$A:$A,0)-1,MATCH(K399,Ottone!$F$1:$FF$1,0)-1))*IF(G399="Ottone",1,0)</f>
        <v>0</v>
      </c>
      <c r="T399" s="255">
        <f ca="1">IF(ISERROR(OFFSET(Rame!$F$1,MATCH(J399,Rame!$F:$F,0)-1,MATCH(K399,Rame!$F$1:$FF$1,0)-1)=TRUE),0,OFFSET(Rame!$F$1,MATCH(J399,Rame!$F:$F,0)-1,MATCH(K399,Rame!$F$1:$FF$1,0)-1))*IF(G399="Rame",1,0)</f>
        <v>0</v>
      </c>
      <c r="U399" s="255">
        <f ca="1">IF(ISERROR(OFFSET(Bronzo!$A$1,MATCH(J399,Bronzo!$A:$A,0)-1,MATCH(K399,Bronzo!$A$1:$AA$1,0)-1)=TRUE),0,OFFSET(Bronzo!$A$1,MATCH(J399,Bronzo!$A:$A,0)-1,MATCH(K399,Bronzo!$A$1:$AA$1,0)-1))</f>
        <v>0</v>
      </c>
      <c r="V399" s="255">
        <f t="shared" ca="1" si="139"/>
        <v>0</v>
      </c>
      <c r="W399" s="254"/>
      <c r="X399" s="255">
        <v>0</v>
      </c>
      <c r="Y399" s="256">
        <f t="shared" ca="1" si="140"/>
        <v>1.25</v>
      </c>
      <c r="Z399" s="257">
        <f t="shared" si="141"/>
        <v>210.00000000000003</v>
      </c>
      <c r="AA399" s="253">
        <v>4.1500000000000004</v>
      </c>
      <c r="AB399" s="253">
        <f t="shared" ca="1" si="142"/>
        <v>0.25000000000000044</v>
      </c>
      <c r="AC399" s="258">
        <v>46146</v>
      </c>
      <c r="AH399" s="232">
        <f t="shared" ca="1" si="137"/>
        <v>46120</v>
      </c>
      <c r="AI399" s="232" t="b">
        <f t="shared" si="132"/>
        <v>0</v>
      </c>
      <c r="AJ399" s="259">
        <f t="shared" ca="1" si="138"/>
        <v>26</v>
      </c>
      <c r="AM399" s="223">
        <f t="shared" si="133"/>
        <v>19</v>
      </c>
      <c r="AN399" s="223">
        <f t="shared" si="134"/>
        <v>2026</v>
      </c>
      <c r="AU399" s="223">
        <f t="shared" si="135"/>
        <v>5</v>
      </c>
      <c r="AV399" s="223">
        <f t="shared" si="136"/>
        <v>2026</v>
      </c>
    </row>
    <row r="400" spans="4:48" ht="26.25" x14ac:dyDescent="0.4">
      <c r="D400" s="246" t="s">
        <v>586</v>
      </c>
      <c r="E400" s="252" t="s">
        <v>95</v>
      </c>
      <c r="F400" s="276">
        <v>400</v>
      </c>
      <c r="G400" s="249" t="s">
        <v>4</v>
      </c>
      <c r="H400" s="250">
        <v>2.91</v>
      </c>
      <c r="I400" s="251">
        <v>46087</v>
      </c>
      <c r="J400" s="252" t="s">
        <v>25</v>
      </c>
      <c r="K400" s="252"/>
      <c r="L400" s="253">
        <v>7.0000000000000007E-2</v>
      </c>
      <c r="M400" s="254">
        <f ca="1">IF(ISERROR(OFFSET(Tabella!$A$1,MATCH(J400,Tabella!$A:$A,0)-1,MATCH(L400,Tabella!$A$1:$AC$1,0)-1)=TRUE),0,+OFFSET(Tabella!$A$1,MATCH(J400,Tabella!$A:$A,0)-1,MATCH(L400,Tabella!$A$1:$AC$1,0)-1))</f>
        <v>1.25</v>
      </c>
      <c r="N400" s="255">
        <f ca="1">IF(ISERROR(OFFSET(Ottone!$A$1,MATCH(J400,Ottone!$A:$A,0)-1,MATCH(L400,Ottone!$A$1:$Z$1,0)-1)=TRUE),0,OFFSET(Ottone!$A$1,MATCH(J400,Ottone!$A:$A,0)-1,MATCH(L400,Ottone!$A$1:$Z$1,0)-1))*IF(G400="Ottone",1,0)</f>
        <v>0</v>
      </c>
      <c r="O400" s="255">
        <f ca="1">IF(ISERROR(OFFSET(Rame!$A$1,MATCH(J400,Rame!$A:$A,0)-1,MATCH(L400,Rame!$A$1:$AA$1,0)-1)=TRUE),0,OFFSET(Rame!$A$1,MATCH(J400,Rame!$A:$A,0)-1,MATCH(L400,Rame!$A$1:$AA$1,0)-1))*IF(G400="Rame",1,0)</f>
        <v>0</v>
      </c>
      <c r="P400" s="255">
        <v>0</v>
      </c>
      <c r="Q400" s="255">
        <f t="shared" ca="1" si="143"/>
        <v>1.25</v>
      </c>
      <c r="R400" s="255">
        <f ca="1">+IF(ISERROR(OFFSET(Tabella!$G$1,MATCH(J400,Tabella!$G:$G,0)-1,MATCH(K400,Tabella!$G$1:$FG$1,0)-1)=TRUE),0,OFFSET(Tabella!$G$1,MATCH(J400,Tabella!$G:$G,0)-1,MATCH(K400,Tabella!$G$1:$AB$1,0)-1))</f>
        <v>0</v>
      </c>
      <c r="S400" s="255">
        <f ca="1">IF(ISERROR(OFFSET(Ottone!$F$1,MATCH(J400,Ottone!$A:$A,0)-1,MATCH(K400,Ottone!$F$1:$FF$1,0)-1)=TRUE),0,OFFSET(Ottone!$F$1,MATCH(J400,Ottone!$A:$A,0)-1,MATCH(K400,Ottone!$F$1:$FF$1,0)-1))*IF(G400="Ottone",1,0)</f>
        <v>0</v>
      </c>
      <c r="T400" s="255">
        <f ca="1">IF(ISERROR(OFFSET(Rame!$F$1,MATCH(J400,Rame!$F:$F,0)-1,MATCH(K400,Rame!$F$1:$FF$1,0)-1)=TRUE),0,OFFSET(Rame!$F$1,MATCH(J400,Rame!$F:$F,0)-1,MATCH(K400,Rame!$F$1:$FF$1,0)-1))*IF(G400="Rame",1,0)</f>
        <v>0</v>
      </c>
      <c r="U400" s="255">
        <f ca="1">IF(ISERROR(OFFSET(Bronzo!$A$1,MATCH(J400,Bronzo!$A:$A,0)-1,MATCH(K400,Bronzo!$A$1:$AA$1,0)-1)=TRUE),0,OFFSET(Bronzo!$A$1,MATCH(J400,Bronzo!$A:$A,0)-1,MATCH(K400,Bronzo!$A$1:$AA$1,0)-1))</f>
        <v>0</v>
      </c>
      <c r="V400" s="255">
        <f t="shared" ca="1" si="139"/>
        <v>0</v>
      </c>
      <c r="W400" s="254"/>
      <c r="X400" s="255">
        <v>0</v>
      </c>
      <c r="Y400" s="256">
        <f t="shared" ca="1" si="140"/>
        <v>1.25</v>
      </c>
      <c r="Z400" s="257">
        <f t="shared" si="141"/>
        <v>28.000000000000004</v>
      </c>
      <c r="AA400" s="253">
        <v>4.4000000000000004</v>
      </c>
      <c r="AB400" s="253">
        <f t="shared" ca="1" si="142"/>
        <v>0.24000000000000021</v>
      </c>
      <c r="AC400" s="258">
        <v>46120</v>
      </c>
      <c r="AH400" s="232">
        <f t="shared" ca="1" si="137"/>
        <v>46120</v>
      </c>
      <c r="AI400" s="232" t="b">
        <f t="shared" si="132"/>
        <v>0</v>
      </c>
      <c r="AJ400" s="259">
        <f t="shared" ca="1" si="138"/>
        <v>0</v>
      </c>
      <c r="AM400" s="223">
        <f t="shared" si="133"/>
        <v>15</v>
      </c>
      <c r="AN400" s="223">
        <f t="shared" si="134"/>
        <v>2026</v>
      </c>
      <c r="AU400" s="223">
        <f t="shared" si="135"/>
        <v>4</v>
      </c>
      <c r="AV400" s="223">
        <f t="shared" si="136"/>
        <v>2026</v>
      </c>
    </row>
    <row r="401" spans="4:48" ht="26.25" x14ac:dyDescent="0.4">
      <c r="D401" s="246" t="s">
        <v>584</v>
      </c>
      <c r="E401" s="252" t="s">
        <v>269</v>
      </c>
      <c r="F401" s="276">
        <v>1000</v>
      </c>
      <c r="G401" s="249" t="s">
        <v>4</v>
      </c>
      <c r="H401" s="250">
        <v>2.9</v>
      </c>
      <c r="I401" s="251">
        <v>46087</v>
      </c>
      <c r="J401" s="252" t="s">
        <v>26</v>
      </c>
      <c r="K401" s="252"/>
      <c r="L401" s="253">
        <v>0.13</v>
      </c>
      <c r="M401" s="254">
        <f ca="1">IF(ISERROR(OFFSET(Tabella!$A$1,MATCH(J401,Tabella!$A:$A,0)-1,MATCH(L401,Tabella!$A$1:$AC$1,0)-1)=TRUE),0,+OFFSET(Tabella!$A$1,MATCH(J401,Tabella!$A:$A,0)-1,MATCH(L401,Tabella!$A$1:$AC$1,0)-1))</f>
        <v>0</v>
      </c>
      <c r="N401" s="255">
        <f ca="1">IF(ISERROR(OFFSET(Ottone!$A$1,MATCH(J401,Ottone!$A:$A,0)-1,MATCH(L401,Ottone!$A$1:$Z$1,0)-1)=TRUE),0,OFFSET(Ottone!$A$1,MATCH(J401,Ottone!$A:$A,0)-1,MATCH(L401,Ottone!$A$1:$Z$1,0)-1))*IF(G401="Ottone",1,0)</f>
        <v>0</v>
      </c>
      <c r="O401" s="255">
        <f ca="1">IF(ISERROR(OFFSET(Rame!$A$1,MATCH(J401,Rame!$A:$A,0)-1,MATCH(L401,Rame!$A$1:$AA$1,0)-1)=TRUE),0,OFFSET(Rame!$A$1,MATCH(J401,Rame!$A:$A,0)-1,MATCH(L401,Rame!$A$1:$AA$1,0)-1))*IF(G401="Rame",1,0)</f>
        <v>0</v>
      </c>
      <c r="P401" s="255">
        <v>0</v>
      </c>
      <c r="Q401" s="255">
        <v>1.6</v>
      </c>
      <c r="R401" s="255">
        <f ca="1">+IF(ISERROR(OFFSET(Tabella!$G$1,MATCH(J401,Tabella!$G:$G,0)-1,MATCH(K401,Tabella!$G$1:$FG$1,0)-1)=TRUE),0,OFFSET(Tabella!$G$1,MATCH(J401,Tabella!$G:$G,0)-1,MATCH(K401,Tabella!$G$1:$AB$1,0)-1))</f>
        <v>0</v>
      </c>
      <c r="S401" s="255">
        <f ca="1">IF(ISERROR(OFFSET(Ottone!$F$1,MATCH(J401,Ottone!$A:$A,0)-1,MATCH(K401,Ottone!$F$1:$FF$1,0)-1)=TRUE),0,OFFSET(Ottone!$F$1,MATCH(J401,Ottone!$A:$A,0)-1,MATCH(K401,Ottone!$F$1:$FF$1,0)-1))*IF(G401="Ottone",1,0)</f>
        <v>0</v>
      </c>
      <c r="T401" s="255">
        <f ca="1">IF(ISERROR(OFFSET(Rame!$F$1,MATCH(J401,Rame!$F:$F,0)-1,MATCH(K401,Rame!$F$1:$FF$1,0)-1)=TRUE),0,OFFSET(Rame!$F$1,MATCH(J401,Rame!$F:$F,0)-1,MATCH(K401,Rame!$F$1:$FF$1,0)-1))*IF(G401="Rame",1,0)</f>
        <v>0</v>
      </c>
      <c r="U401" s="255">
        <f ca="1">IF(ISERROR(OFFSET(Bronzo!$A$1,MATCH(J401,Bronzo!$A:$A,0)-1,MATCH(K401,Bronzo!$A$1:$AA$1,0)-1)=TRUE),0,OFFSET(Bronzo!$A$1,MATCH(J401,Bronzo!$A:$A,0)-1,MATCH(K401,Bronzo!$A$1:$AA$1,0)-1))</f>
        <v>0</v>
      </c>
      <c r="V401" s="255">
        <f t="shared" ca="1" si="139"/>
        <v>0</v>
      </c>
      <c r="W401" s="254"/>
      <c r="X401" s="255">
        <v>0</v>
      </c>
      <c r="Y401" s="256">
        <f t="shared" ca="1" si="140"/>
        <v>1.6</v>
      </c>
      <c r="Z401" s="257">
        <f t="shared" si="141"/>
        <v>130</v>
      </c>
      <c r="AA401" s="253">
        <v>4.5999999999999996</v>
      </c>
      <c r="AB401" s="253">
        <f t="shared" ca="1" si="142"/>
        <v>9.9999999999999645E-2</v>
      </c>
      <c r="AC401" s="258">
        <v>46178</v>
      </c>
      <c r="AH401" s="232">
        <f t="shared" ca="1" si="137"/>
        <v>46120</v>
      </c>
      <c r="AI401" s="232" t="b">
        <f t="shared" ref="AI401:AI464" si="144">ISBLANK(AC401)</f>
        <v>0</v>
      </c>
      <c r="AJ401" s="259">
        <f t="shared" ca="1" si="138"/>
        <v>58</v>
      </c>
      <c r="AM401" s="223">
        <f t="shared" ref="AM401:AM464" si="145">WEEKNUM(AC401)</f>
        <v>23</v>
      </c>
      <c r="AN401" s="223">
        <f t="shared" ref="AN401:AN464" si="146">YEAR(AC401)</f>
        <v>2026</v>
      </c>
      <c r="AU401" s="223">
        <f t="shared" ref="AU401:AU464" si="147">IF(AC401="",0,MONTH(AC401))</f>
        <v>6</v>
      </c>
      <c r="AV401" s="223">
        <f t="shared" ref="AV401:AV464" si="148">IF(AC401="",0,YEAR(AC401))</f>
        <v>2026</v>
      </c>
    </row>
    <row r="402" spans="4:48" ht="26.25" x14ac:dyDescent="0.4">
      <c r="D402" s="246" t="s">
        <v>584</v>
      </c>
      <c r="E402" s="252" t="s">
        <v>269</v>
      </c>
      <c r="F402" s="276">
        <v>1000</v>
      </c>
      <c r="G402" s="249" t="s">
        <v>4</v>
      </c>
      <c r="H402" s="250">
        <v>2.9</v>
      </c>
      <c r="I402" s="251">
        <v>46087</v>
      </c>
      <c r="J402" s="252" t="s">
        <v>26</v>
      </c>
      <c r="K402" s="252"/>
      <c r="L402" s="253">
        <v>0.13</v>
      </c>
      <c r="M402" s="254">
        <f ca="1">IF(ISERROR(OFFSET(Tabella!$A$1,MATCH(J402,Tabella!$A:$A,0)-1,MATCH(L402,Tabella!$A$1:$AC$1,0)-1)=TRUE),0,+OFFSET(Tabella!$A$1,MATCH(J402,Tabella!$A:$A,0)-1,MATCH(L402,Tabella!$A$1:$AC$1,0)-1))</f>
        <v>0</v>
      </c>
      <c r="N402" s="255">
        <f ca="1">IF(ISERROR(OFFSET(Ottone!$A$1,MATCH(J402,Ottone!$A:$A,0)-1,MATCH(L402,Ottone!$A$1:$Z$1,0)-1)=TRUE),0,OFFSET(Ottone!$A$1,MATCH(J402,Ottone!$A:$A,0)-1,MATCH(L402,Ottone!$A$1:$Z$1,0)-1))*IF(G402="Ottone",1,0)</f>
        <v>0</v>
      </c>
      <c r="O402" s="255">
        <f ca="1">IF(ISERROR(OFFSET(Rame!$A$1,MATCH(J402,Rame!$A:$A,0)-1,MATCH(L402,Rame!$A$1:$AA$1,0)-1)=TRUE),0,OFFSET(Rame!$A$1,MATCH(J402,Rame!$A:$A,0)-1,MATCH(L402,Rame!$A$1:$AA$1,0)-1))*IF(G402="Rame",1,0)</f>
        <v>0</v>
      </c>
      <c r="P402" s="255">
        <v>0</v>
      </c>
      <c r="Q402" s="255">
        <v>1.6</v>
      </c>
      <c r="R402" s="255">
        <f ca="1">+IF(ISERROR(OFFSET(Tabella!$G$1,MATCH(J402,Tabella!$G:$G,0)-1,MATCH(K402,Tabella!$G$1:$FG$1,0)-1)=TRUE),0,OFFSET(Tabella!$G$1,MATCH(J402,Tabella!$G:$G,0)-1,MATCH(K402,Tabella!$G$1:$AB$1,0)-1))</f>
        <v>0</v>
      </c>
      <c r="S402" s="255">
        <f ca="1">IF(ISERROR(OFFSET(Ottone!$F$1,MATCH(J402,Ottone!$A:$A,0)-1,MATCH(K402,Ottone!$F$1:$FF$1,0)-1)=TRUE),0,OFFSET(Ottone!$F$1,MATCH(J402,Ottone!$A:$A,0)-1,MATCH(K402,Ottone!$F$1:$FF$1,0)-1))*IF(G402="Ottone",1,0)</f>
        <v>0</v>
      </c>
      <c r="T402" s="255">
        <f ca="1">IF(ISERROR(OFFSET(Rame!$F$1,MATCH(J402,Rame!$F:$F,0)-1,MATCH(K402,Rame!$F$1:$FF$1,0)-1)=TRUE),0,OFFSET(Rame!$F$1,MATCH(J402,Rame!$F:$F,0)-1,MATCH(K402,Rame!$F$1:$FF$1,0)-1))*IF(G402="Rame",1,0)</f>
        <v>0</v>
      </c>
      <c r="U402" s="255">
        <f ca="1">IF(ISERROR(OFFSET(Bronzo!$A$1,MATCH(J402,Bronzo!$A:$A,0)-1,MATCH(K402,Bronzo!$A$1:$AA$1,0)-1)=TRUE),0,OFFSET(Bronzo!$A$1,MATCH(J402,Bronzo!$A:$A,0)-1,MATCH(K402,Bronzo!$A$1:$AA$1,0)-1))</f>
        <v>0</v>
      </c>
      <c r="V402" s="255">
        <f t="shared" ca="1" si="139"/>
        <v>0</v>
      </c>
      <c r="W402" s="254"/>
      <c r="X402" s="255">
        <v>0</v>
      </c>
      <c r="Y402" s="256">
        <f t="shared" ca="1" si="140"/>
        <v>1.6</v>
      </c>
      <c r="Z402" s="257">
        <f t="shared" si="141"/>
        <v>130</v>
      </c>
      <c r="AA402" s="253">
        <v>4.5999999999999996</v>
      </c>
      <c r="AB402" s="253">
        <f t="shared" ca="1" si="142"/>
        <v>9.9999999999999645E-2</v>
      </c>
      <c r="AC402" s="258">
        <v>46147</v>
      </c>
      <c r="AH402" s="232">
        <f t="shared" ca="1" si="137"/>
        <v>46120</v>
      </c>
      <c r="AI402" s="232" t="b">
        <f t="shared" si="144"/>
        <v>0</v>
      </c>
      <c r="AJ402" s="259">
        <f t="shared" ca="1" si="138"/>
        <v>27</v>
      </c>
      <c r="AM402" s="223">
        <f t="shared" si="145"/>
        <v>19</v>
      </c>
      <c r="AN402" s="223">
        <f t="shared" si="146"/>
        <v>2026</v>
      </c>
      <c r="AU402" s="223">
        <f t="shared" si="147"/>
        <v>5</v>
      </c>
      <c r="AV402" s="223">
        <f t="shared" si="148"/>
        <v>2026</v>
      </c>
    </row>
    <row r="403" spans="4:48" ht="26.25" x14ac:dyDescent="0.4">
      <c r="D403" s="246" t="s">
        <v>645</v>
      </c>
      <c r="E403" s="252" t="s">
        <v>212</v>
      </c>
      <c r="F403" s="276">
        <v>550</v>
      </c>
      <c r="G403" s="249" t="s">
        <v>4</v>
      </c>
      <c r="H403" s="250">
        <v>2.61</v>
      </c>
      <c r="I403" s="251">
        <v>46087</v>
      </c>
      <c r="J403" s="252" t="s">
        <v>22</v>
      </c>
      <c r="K403" s="252"/>
      <c r="L403" s="253">
        <v>0.05</v>
      </c>
      <c r="M403" s="254">
        <f ca="1">IF(ISERROR(OFFSET(Tabella!$A$1,MATCH(J403,Tabella!$A:$A,0)-1,MATCH(L403,Tabella!$A$1:$AC$1,0)-1)=TRUE),0,+OFFSET(Tabella!$A$1,MATCH(J403,Tabella!$A:$A,0)-1,MATCH(L403,Tabella!$A$1:$AC$1,0)-1))</f>
        <v>0</v>
      </c>
      <c r="N403" s="255">
        <f ca="1">IF(ISERROR(OFFSET(Ottone!$A$1,MATCH(J403,Ottone!$A:$A,0)-1,MATCH(L403,Ottone!$A$1:$Z$1,0)-1)=TRUE),0,OFFSET(Ottone!$A$1,MATCH(J403,Ottone!$A:$A,0)-1,MATCH(L403,Ottone!$A$1:$Z$1,0)-1))*IF(G403="Ottone",1,0)</f>
        <v>0</v>
      </c>
      <c r="O403" s="255">
        <f ca="1">IF(ISERROR(OFFSET(Rame!$A$1,MATCH(J403,Rame!$A:$A,0)-1,MATCH(L403,Rame!$A$1:$AA$1,0)-1)=TRUE),0,OFFSET(Rame!$A$1,MATCH(J403,Rame!$A:$A,0)-1,MATCH(L403,Rame!$A$1:$AA$1,0)-1))*IF(G403="Rame",1,0)</f>
        <v>0</v>
      </c>
      <c r="P403" s="255">
        <v>0</v>
      </c>
      <c r="Q403" s="255">
        <v>1.47</v>
      </c>
      <c r="R403" s="255">
        <f ca="1">+IF(ISERROR(OFFSET(Tabella!$G$1,MATCH(J403,Tabella!$G:$G,0)-1,MATCH(K403,Tabella!$G$1:$FG$1,0)-1)=TRUE),0,OFFSET(Tabella!$G$1,MATCH(J403,Tabella!$G:$G,0)-1,MATCH(K403,Tabella!$G$1:$AB$1,0)-1))</f>
        <v>0</v>
      </c>
      <c r="S403" s="255">
        <f ca="1">IF(ISERROR(OFFSET(Ottone!$F$1,MATCH(J403,Ottone!$A:$A,0)-1,MATCH(K403,Ottone!$F$1:$FF$1,0)-1)=TRUE),0,OFFSET(Ottone!$F$1,MATCH(J403,Ottone!$A:$A,0)-1,MATCH(K403,Ottone!$F$1:$FF$1,0)-1))*IF(G403="Ottone",1,0)</f>
        <v>0</v>
      </c>
      <c r="T403" s="255">
        <f ca="1">IF(ISERROR(OFFSET(Rame!$F$1,MATCH(J403,Rame!$F:$F,0)-1,MATCH(K403,Rame!$F$1:$FF$1,0)-1)=TRUE),0,OFFSET(Rame!$F$1,MATCH(J403,Rame!$F:$F,0)-1,MATCH(K403,Rame!$F$1:$FF$1,0)-1))*IF(G403="Rame",1,0)</f>
        <v>0</v>
      </c>
      <c r="U403" s="255">
        <f ca="1">IF(ISERROR(OFFSET(Bronzo!$A$1,MATCH(J403,Bronzo!$A:$A,0)-1,MATCH(K403,Bronzo!$A$1:$AA$1,0)-1)=TRUE),0,OFFSET(Bronzo!$A$1,MATCH(J403,Bronzo!$A:$A,0)-1,MATCH(K403,Bronzo!$A$1:$AA$1,0)-1))</f>
        <v>0</v>
      </c>
      <c r="V403" s="255">
        <f t="shared" ca="1" si="139"/>
        <v>0</v>
      </c>
      <c r="W403" s="254"/>
      <c r="X403" s="255">
        <v>0</v>
      </c>
      <c r="Y403" s="256">
        <f t="shared" ca="1" si="140"/>
        <v>1.47</v>
      </c>
      <c r="Z403" s="257">
        <f t="shared" si="141"/>
        <v>27.5</v>
      </c>
      <c r="AA403" s="253">
        <v>4.08</v>
      </c>
      <c r="AB403" s="253">
        <f t="shared" ca="1" si="142"/>
        <v>0</v>
      </c>
      <c r="AC403" s="258">
        <v>46113</v>
      </c>
      <c r="AH403" s="232">
        <f t="shared" ref="AH403:AH464" ca="1" si="149">TODAY()</f>
        <v>46120</v>
      </c>
      <c r="AI403" s="232" t="b">
        <f t="shared" si="144"/>
        <v>0</v>
      </c>
      <c r="AJ403" s="259">
        <f t="shared" ca="1" si="138"/>
        <v>-7</v>
      </c>
      <c r="AM403" s="223">
        <f t="shared" si="145"/>
        <v>14</v>
      </c>
      <c r="AN403" s="223">
        <f t="shared" si="146"/>
        <v>2026</v>
      </c>
      <c r="AU403" s="223">
        <f t="shared" si="147"/>
        <v>4</v>
      </c>
      <c r="AV403" s="223">
        <f t="shared" si="148"/>
        <v>2026</v>
      </c>
    </row>
    <row r="404" spans="4:48" ht="26.25" x14ac:dyDescent="0.4">
      <c r="D404" s="246" t="s">
        <v>645</v>
      </c>
      <c r="E404" s="252" t="s">
        <v>212</v>
      </c>
      <c r="F404" s="276">
        <v>2500</v>
      </c>
      <c r="G404" s="249" t="s">
        <v>4</v>
      </c>
      <c r="H404" s="250">
        <v>2.61</v>
      </c>
      <c r="I404" s="251">
        <v>6</v>
      </c>
      <c r="J404" s="252" t="s">
        <v>322</v>
      </c>
      <c r="K404" s="252"/>
      <c r="L404" s="253">
        <v>0.05</v>
      </c>
      <c r="M404" s="254">
        <f ca="1">IF(ISERROR(OFFSET(Tabella!$A$1,MATCH(J404,Tabella!$A:$A,0)-1,MATCH(L404,Tabella!$A$1:$AC$1,0)-1)=TRUE),0,+OFFSET(Tabella!$A$1,MATCH(J404,Tabella!$A:$A,0)-1,MATCH(L404,Tabella!$A$1:$AC$1,0)-1))</f>
        <v>0</v>
      </c>
      <c r="N404" s="255">
        <f ca="1">IF(ISERROR(OFFSET(Ottone!$A$1,MATCH(J404,Ottone!$A:$A,0)-1,MATCH(L404,Ottone!$A$1:$Z$1,0)-1)=TRUE),0,OFFSET(Ottone!$A$1,MATCH(J404,Ottone!$A:$A,0)-1,MATCH(L404,Ottone!$A$1:$Z$1,0)-1))*IF(G404="Ottone",1,0)</f>
        <v>0</v>
      </c>
      <c r="O404" s="255">
        <f ca="1">IF(ISERROR(OFFSET(Rame!$A$1,MATCH(J404,Rame!$A:$A,0)-1,MATCH(L404,Rame!$A$1:$AA$1,0)-1)=TRUE),0,OFFSET(Rame!$A$1,MATCH(J404,Rame!$A:$A,0)-1,MATCH(L404,Rame!$A$1:$AA$1,0)-1))*IF(G404="Rame",1,0)</f>
        <v>0</v>
      </c>
      <c r="P404" s="255">
        <v>0</v>
      </c>
      <c r="Q404" s="255">
        <v>1.47</v>
      </c>
      <c r="R404" s="255">
        <f ca="1">+IF(ISERROR(OFFSET(Tabella!$G$1,MATCH(J404,Tabella!$G:$G,0)-1,MATCH(K404,Tabella!$G$1:$FG$1,0)-1)=TRUE),0,OFFSET(Tabella!$G$1,MATCH(J404,Tabella!$G:$G,0)-1,MATCH(K404,Tabella!$G$1:$AB$1,0)-1))</f>
        <v>0</v>
      </c>
      <c r="S404" s="255">
        <f ca="1">IF(ISERROR(OFFSET(Ottone!$F$1,MATCH(J404,Ottone!$A:$A,0)-1,MATCH(K404,Ottone!$F$1:$FF$1,0)-1)=TRUE),0,OFFSET(Ottone!$F$1,MATCH(J404,Ottone!$A:$A,0)-1,MATCH(K404,Ottone!$F$1:$FF$1,0)-1))*IF(G404="Ottone",1,0)</f>
        <v>0</v>
      </c>
      <c r="T404" s="255">
        <f ca="1">IF(ISERROR(OFFSET(Rame!$F$1,MATCH(J404,Rame!$F:$F,0)-1,MATCH(K404,Rame!$F$1:$FF$1,0)-1)=TRUE),0,OFFSET(Rame!$F$1,MATCH(J404,Rame!$F:$F,0)-1,MATCH(K404,Rame!$F$1:$FF$1,0)-1))*IF(G404="Rame",1,0)</f>
        <v>0</v>
      </c>
      <c r="U404" s="255">
        <f ca="1">IF(ISERROR(OFFSET(Bronzo!$A$1,MATCH(J404,Bronzo!$A:$A,0)-1,MATCH(K404,Bronzo!$A$1:$AA$1,0)-1)=TRUE),0,OFFSET(Bronzo!$A$1,MATCH(J404,Bronzo!$A:$A,0)-1,MATCH(K404,Bronzo!$A$1:$AA$1,0)-1))</f>
        <v>0</v>
      </c>
      <c r="V404" s="255">
        <f t="shared" ca="1" si="139"/>
        <v>0</v>
      </c>
      <c r="W404" s="254"/>
      <c r="X404" s="255">
        <v>0</v>
      </c>
      <c r="Y404" s="256">
        <f t="shared" ca="1" si="140"/>
        <v>1.47</v>
      </c>
      <c r="Z404" s="257">
        <f t="shared" si="141"/>
        <v>125</v>
      </c>
      <c r="AA404" s="253">
        <v>4.08</v>
      </c>
      <c r="AB404" s="253">
        <f t="shared" ca="1" si="142"/>
        <v>0</v>
      </c>
      <c r="AC404" s="258">
        <v>46113</v>
      </c>
      <c r="AH404" s="232">
        <f t="shared" ca="1" si="149"/>
        <v>46120</v>
      </c>
      <c r="AI404" s="232" t="b">
        <f t="shared" si="144"/>
        <v>0</v>
      </c>
      <c r="AJ404" s="259">
        <f t="shared" ca="1" si="138"/>
        <v>-7</v>
      </c>
      <c r="AM404" s="223">
        <f t="shared" si="145"/>
        <v>14</v>
      </c>
      <c r="AN404" s="223">
        <f t="shared" si="146"/>
        <v>2026</v>
      </c>
      <c r="AU404" s="223">
        <f t="shared" si="147"/>
        <v>4</v>
      </c>
      <c r="AV404" s="223">
        <f t="shared" si="148"/>
        <v>2026</v>
      </c>
    </row>
    <row r="405" spans="4:48" ht="26.25" x14ac:dyDescent="0.4">
      <c r="D405" s="246" t="s">
        <v>645</v>
      </c>
      <c r="E405" s="252" t="s">
        <v>212</v>
      </c>
      <c r="F405" s="276">
        <v>300</v>
      </c>
      <c r="G405" s="249" t="s">
        <v>4</v>
      </c>
      <c r="H405" s="250">
        <v>2.61</v>
      </c>
      <c r="I405" s="251">
        <v>46087</v>
      </c>
      <c r="J405" s="252" t="s">
        <v>21</v>
      </c>
      <c r="K405" s="252"/>
      <c r="L405" s="253">
        <v>0.05</v>
      </c>
      <c r="M405" s="254">
        <f ca="1">IF(ISERROR(OFFSET(Tabella!$A$1,MATCH(J405,Tabella!$A:$A,0)-1,MATCH(L405,Tabella!$A$1:$AC$1,0)-1)=TRUE),0,+OFFSET(Tabella!$A$1,MATCH(J405,Tabella!$A:$A,0)-1,MATCH(L405,Tabella!$A$1:$AC$1,0)-1))</f>
        <v>0</v>
      </c>
      <c r="N405" s="255">
        <f ca="1">IF(ISERROR(OFFSET(Ottone!$A$1,MATCH(J405,Ottone!$A:$A,0)-1,MATCH(L405,Ottone!$A$1:$Z$1,0)-1)=TRUE),0,OFFSET(Ottone!$A$1,MATCH(J405,Ottone!$A:$A,0)-1,MATCH(L405,Ottone!$A$1:$Z$1,0)-1))*IF(G405="Ottone",1,0)</f>
        <v>0</v>
      </c>
      <c r="O405" s="255">
        <f ca="1">IF(ISERROR(OFFSET(Rame!$A$1,MATCH(J405,Rame!$A:$A,0)-1,MATCH(L405,Rame!$A$1:$AA$1,0)-1)=TRUE),0,OFFSET(Rame!$A$1,MATCH(J405,Rame!$A:$A,0)-1,MATCH(L405,Rame!$A$1:$AA$1,0)-1))*IF(G405="Rame",1,0)</f>
        <v>0</v>
      </c>
      <c r="P405" s="255">
        <v>0</v>
      </c>
      <c r="Q405" s="255">
        <v>1.47</v>
      </c>
      <c r="R405" s="255">
        <f ca="1">+IF(ISERROR(OFFSET(Tabella!$G$1,MATCH(J405,Tabella!$G:$G,0)-1,MATCH(K405,Tabella!$G$1:$FG$1,0)-1)=TRUE),0,OFFSET(Tabella!$G$1,MATCH(J405,Tabella!$G:$G,0)-1,MATCH(K405,Tabella!$G$1:$AB$1,0)-1))</f>
        <v>0</v>
      </c>
      <c r="S405" s="255">
        <f ca="1">IF(ISERROR(OFFSET(Ottone!$F$1,MATCH(J405,Ottone!$A:$A,0)-1,MATCH(K405,Ottone!$F$1:$FF$1,0)-1)=TRUE),0,OFFSET(Ottone!$F$1,MATCH(J405,Ottone!$A:$A,0)-1,MATCH(K405,Ottone!$F$1:$FF$1,0)-1))*IF(G405="Ottone",1,0)</f>
        <v>0</v>
      </c>
      <c r="T405" s="255">
        <f ca="1">IF(ISERROR(OFFSET(Rame!$F$1,MATCH(J405,Rame!$F:$F,0)-1,MATCH(K405,Rame!$F$1:$FF$1,0)-1)=TRUE),0,OFFSET(Rame!$F$1,MATCH(J405,Rame!$F:$F,0)-1,MATCH(K405,Rame!$F$1:$FF$1,0)-1))*IF(G405="Rame",1,0)</f>
        <v>0</v>
      </c>
      <c r="U405" s="255">
        <f ca="1">IF(ISERROR(OFFSET(Bronzo!$A$1,MATCH(J405,Bronzo!$A:$A,0)-1,MATCH(K405,Bronzo!$A$1:$AA$1,0)-1)=TRUE),0,OFFSET(Bronzo!$A$1,MATCH(J405,Bronzo!$A:$A,0)-1,MATCH(K405,Bronzo!$A$1:$AA$1,0)-1))</f>
        <v>0</v>
      </c>
      <c r="V405" s="255">
        <f t="shared" ca="1" si="139"/>
        <v>0</v>
      </c>
      <c r="W405" s="254"/>
      <c r="X405" s="255">
        <v>0</v>
      </c>
      <c r="Y405" s="256">
        <f t="shared" ca="1" si="140"/>
        <v>1.47</v>
      </c>
      <c r="Z405" s="257">
        <f t="shared" si="141"/>
        <v>15</v>
      </c>
      <c r="AA405" s="253">
        <v>4.08</v>
      </c>
      <c r="AB405" s="253">
        <f t="shared" ca="1" si="142"/>
        <v>0</v>
      </c>
      <c r="AC405" s="258">
        <v>46113</v>
      </c>
      <c r="AH405" s="232">
        <f t="shared" ca="1" si="149"/>
        <v>46120</v>
      </c>
      <c r="AI405" s="232" t="b">
        <f t="shared" si="144"/>
        <v>0</v>
      </c>
      <c r="AJ405" s="259">
        <f t="shared" ca="1" si="138"/>
        <v>-7</v>
      </c>
      <c r="AM405" s="223">
        <f t="shared" si="145"/>
        <v>14</v>
      </c>
      <c r="AN405" s="223">
        <f t="shared" si="146"/>
        <v>2026</v>
      </c>
      <c r="AU405" s="223">
        <f t="shared" si="147"/>
        <v>4</v>
      </c>
      <c r="AV405" s="223">
        <f t="shared" si="148"/>
        <v>2026</v>
      </c>
    </row>
    <row r="406" spans="4:48" ht="26.25" x14ac:dyDescent="0.4">
      <c r="D406" s="246" t="s">
        <v>645</v>
      </c>
      <c r="E406" s="252" t="s">
        <v>212</v>
      </c>
      <c r="F406" s="276">
        <v>650</v>
      </c>
      <c r="G406" s="249" t="s">
        <v>4</v>
      </c>
      <c r="H406" s="250">
        <v>2.61</v>
      </c>
      <c r="I406" s="251">
        <v>46087</v>
      </c>
      <c r="J406" s="252" t="s">
        <v>22</v>
      </c>
      <c r="K406" s="252"/>
      <c r="L406" s="253">
        <v>0.05</v>
      </c>
      <c r="M406" s="254">
        <f ca="1">IF(ISERROR(OFFSET(Tabella!$A$1,MATCH(J406,Tabella!$A:$A,0)-1,MATCH(L406,Tabella!$A$1:$AC$1,0)-1)=TRUE),0,+OFFSET(Tabella!$A$1,MATCH(J406,Tabella!$A:$A,0)-1,MATCH(L406,Tabella!$A$1:$AC$1,0)-1))</f>
        <v>0</v>
      </c>
      <c r="N406" s="255">
        <f ca="1">IF(ISERROR(OFFSET(Ottone!$A$1,MATCH(J406,Ottone!$A:$A,0)-1,MATCH(L406,Ottone!$A$1:$Z$1,0)-1)=TRUE),0,OFFSET(Ottone!$A$1,MATCH(J406,Ottone!$A:$A,0)-1,MATCH(L406,Ottone!$A$1:$Z$1,0)-1))*IF(G406="Ottone",1,0)</f>
        <v>0</v>
      </c>
      <c r="O406" s="255">
        <f ca="1">IF(ISERROR(OFFSET(Rame!$A$1,MATCH(J406,Rame!$A:$A,0)-1,MATCH(L406,Rame!$A$1:$AA$1,0)-1)=TRUE),0,OFFSET(Rame!$A$1,MATCH(J406,Rame!$A:$A,0)-1,MATCH(L406,Rame!$A$1:$AA$1,0)-1))*IF(G406="Rame",1,0)</f>
        <v>0</v>
      </c>
      <c r="P406" s="255">
        <v>0</v>
      </c>
      <c r="Q406" s="255">
        <v>1.47</v>
      </c>
      <c r="R406" s="255">
        <f ca="1">+IF(ISERROR(OFFSET(Tabella!$G$1,MATCH(J406,Tabella!$G:$G,0)-1,MATCH(K406,Tabella!$G$1:$FG$1,0)-1)=TRUE),0,OFFSET(Tabella!$G$1,MATCH(J406,Tabella!$G:$G,0)-1,MATCH(K406,Tabella!$G$1:$AB$1,0)-1))</f>
        <v>0</v>
      </c>
      <c r="S406" s="255">
        <f ca="1">IF(ISERROR(OFFSET(Ottone!$F$1,MATCH(J406,Ottone!$A:$A,0)-1,MATCH(K406,Ottone!$F$1:$FF$1,0)-1)=TRUE),0,OFFSET(Ottone!$F$1,MATCH(J406,Ottone!$A:$A,0)-1,MATCH(K406,Ottone!$F$1:$FF$1,0)-1))*IF(G406="Ottone",1,0)</f>
        <v>0</v>
      </c>
      <c r="T406" s="255">
        <f ca="1">IF(ISERROR(OFFSET(Rame!$F$1,MATCH(J406,Rame!$F:$F,0)-1,MATCH(K406,Rame!$F$1:$FF$1,0)-1)=TRUE),0,OFFSET(Rame!$F$1,MATCH(J406,Rame!$F:$F,0)-1,MATCH(K406,Rame!$F$1:$FF$1,0)-1))*IF(G406="Rame",1,0)</f>
        <v>0</v>
      </c>
      <c r="U406" s="255">
        <f ca="1">IF(ISERROR(OFFSET(Bronzo!$A$1,MATCH(J406,Bronzo!$A:$A,0)-1,MATCH(K406,Bronzo!$A$1:$AA$1,0)-1)=TRUE),0,OFFSET(Bronzo!$A$1,MATCH(J406,Bronzo!$A:$A,0)-1,MATCH(K406,Bronzo!$A$1:$AA$1,0)-1))</f>
        <v>0</v>
      </c>
      <c r="V406" s="255">
        <f t="shared" ca="1" si="139"/>
        <v>0</v>
      </c>
      <c r="W406" s="254"/>
      <c r="X406" s="255">
        <v>0</v>
      </c>
      <c r="Y406" s="256">
        <f t="shared" ca="1" si="140"/>
        <v>1.47</v>
      </c>
      <c r="Z406" s="257">
        <f t="shared" si="141"/>
        <v>32.5</v>
      </c>
      <c r="AA406" s="253">
        <v>4.08</v>
      </c>
      <c r="AB406" s="253">
        <f t="shared" ca="1" si="142"/>
        <v>0</v>
      </c>
      <c r="AC406" s="258">
        <v>46113</v>
      </c>
      <c r="AH406" s="232">
        <f t="shared" ca="1" si="149"/>
        <v>46120</v>
      </c>
      <c r="AI406" s="232" t="b">
        <f t="shared" si="144"/>
        <v>0</v>
      </c>
      <c r="AJ406" s="259">
        <f t="shared" ref="AJ406:AJ469" ca="1" si="150">IF(AI406=FALSE,_xlfn.DAYS(AC406,AH406),"")</f>
        <v>-7</v>
      </c>
      <c r="AM406" s="223">
        <f t="shared" si="145"/>
        <v>14</v>
      </c>
      <c r="AN406" s="223">
        <f t="shared" si="146"/>
        <v>2026</v>
      </c>
      <c r="AU406" s="223">
        <f t="shared" si="147"/>
        <v>4</v>
      </c>
      <c r="AV406" s="223">
        <f t="shared" si="148"/>
        <v>2026</v>
      </c>
    </row>
    <row r="407" spans="4:48" ht="26.25" x14ac:dyDescent="0.4">
      <c r="D407" s="246" t="s">
        <v>645</v>
      </c>
      <c r="E407" s="252" t="s">
        <v>212</v>
      </c>
      <c r="F407" s="276">
        <v>1800</v>
      </c>
      <c r="G407" s="249" t="s">
        <v>4</v>
      </c>
      <c r="H407" s="250">
        <v>2.61</v>
      </c>
      <c r="I407" s="251">
        <v>46087</v>
      </c>
      <c r="J407" s="252" t="s">
        <v>308</v>
      </c>
      <c r="K407" s="252"/>
      <c r="L407" s="253">
        <v>0.05</v>
      </c>
      <c r="M407" s="254">
        <f ca="1">IF(ISERROR(OFFSET(Tabella!$A$1,MATCH(J407,Tabella!$A:$A,0)-1,MATCH(L407,Tabella!$A$1:$AC$1,0)-1)=TRUE),0,+OFFSET(Tabella!$A$1,MATCH(J407,Tabella!$A:$A,0)-1,MATCH(L407,Tabella!$A$1:$AC$1,0)-1))</f>
        <v>0</v>
      </c>
      <c r="N407" s="255">
        <f ca="1">IF(ISERROR(OFFSET(Ottone!$A$1,MATCH(J407,Ottone!$A:$A,0)-1,MATCH(L407,Ottone!$A$1:$Z$1,0)-1)=TRUE),0,OFFSET(Ottone!$A$1,MATCH(J407,Ottone!$A:$A,0)-1,MATCH(L407,Ottone!$A$1:$Z$1,0)-1))*IF(G407="Ottone",1,0)</f>
        <v>0</v>
      </c>
      <c r="O407" s="255">
        <f ca="1">IF(ISERROR(OFFSET(Rame!$A$1,MATCH(J407,Rame!$A:$A,0)-1,MATCH(L407,Rame!$A$1:$AA$1,0)-1)=TRUE),0,OFFSET(Rame!$A$1,MATCH(J407,Rame!$A:$A,0)-1,MATCH(L407,Rame!$A$1:$AA$1,0)-1))*IF(G407="Rame",1,0)</f>
        <v>0</v>
      </c>
      <c r="P407" s="255">
        <v>0</v>
      </c>
      <c r="Q407" s="255">
        <v>1.47</v>
      </c>
      <c r="R407" s="255">
        <f ca="1">+IF(ISERROR(OFFSET(Tabella!$G$1,MATCH(J407,Tabella!$G:$G,0)-1,MATCH(K407,Tabella!$G$1:$FG$1,0)-1)=TRUE),0,OFFSET(Tabella!$G$1,MATCH(J407,Tabella!$G:$G,0)-1,MATCH(K407,Tabella!$G$1:$AB$1,0)-1))</f>
        <v>0</v>
      </c>
      <c r="S407" s="255">
        <f ca="1">IF(ISERROR(OFFSET(Ottone!$F$1,MATCH(J407,Ottone!$A:$A,0)-1,MATCH(K407,Ottone!$F$1:$FF$1,0)-1)=TRUE),0,OFFSET(Ottone!$F$1,MATCH(J407,Ottone!$A:$A,0)-1,MATCH(K407,Ottone!$F$1:$FF$1,0)-1))*IF(G407="Ottone",1,0)</f>
        <v>0</v>
      </c>
      <c r="T407" s="255">
        <f ca="1">IF(ISERROR(OFFSET(Rame!$F$1,MATCH(J407,Rame!$F:$F,0)-1,MATCH(K407,Rame!$F$1:$FF$1,0)-1)=TRUE),0,OFFSET(Rame!$F$1,MATCH(J407,Rame!$F:$F,0)-1,MATCH(K407,Rame!$F$1:$FF$1,0)-1))*IF(G407="Rame",1,0)</f>
        <v>0</v>
      </c>
      <c r="U407" s="255">
        <f ca="1">IF(ISERROR(OFFSET(Bronzo!$A$1,MATCH(J407,Bronzo!$A:$A,0)-1,MATCH(K407,Bronzo!$A$1:$AA$1,0)-1)=TRUE),0,OFFSET(Bronzo!$A$1,MATCH(J407,Bronzo!$A:$A,0)-1,MATCH(K407,Bronzo!$A$1:$AA$1,0)-1))</f>
        <v>0</v>
      </c>
      <c r="V407" s="255">
        <f t="shared" ca="1" si="139"/>
        <v>0</v>
      </c>
      <c r="W407" s="254"/>
      <c r="X407" s="255">
        <v>0</v>
      </c>
      <c r="Y407" s="256">
        <f t="shared" ca="1" si="140"/>
        <v>1.47</v>
      </c>
      <c r="Z407" s="257">
        <f t="shared" si="141"/>
        <v>90</v>
      </c>
      <c r="AA407" s="253">
        <v>4.08</v>
      </c>
      <c r="AB407" s="253">
        <f t="shared" ca="1" si="142"/>
        <v>0</v>
      </c>
      <c r="AC407" s="258">
        <v>46125</v>
      </c>
      <c r="AH407" s="232">
        <f t="shared" ca="1" si="149"/>
        <v>46120</v>
      </c>
      <c r="AI407" s="232" t="b">
        <f t="shared" si="144"/>
        <v>0</v>
      </c>
      <c r="AJ407" s="259">
        <f t="shared" ca="1" si="150"/>
        <v>5</v>
      </c>
      <c r="AM407" s="223">
        <f t="shared" si="145"/>
        <v>16</v>
      </c>
      <c r="AN407" s="223">
        <f t="shared" si="146"/>
        <v>2026</v>
      </c>
      <c r="AU407" s="223">
        <f t="shared" si="147"/>
        <v>4</v>
      </c>
      <c r="AV407" s="223">
        <f t="shared" si="148"/>
        <v>2026</v>
      </c>
    </row>
    <row r="408" spans="4:48" ht="26.25" x14ac:dyDescent="0.4">
      <c r="D408" s="246" t="s">
        <v>645</v>
      </c>
      <c r="E408" s="252" t="s">
        <v>212</v>
      </c>
      <c r="F408" s="276">
        <v>1050</v>
      </c>
      <c r="G408" s="249" t="s">
        <v>4</v>
      </c>
      <c r="H408" s="250">
        <v>2.61</v>
      </c>
      <c r="I408" s="251">
        <v>46087</v>
      </c>
      <c r="J408" s="252" t="s">
        <v>28</v>
      </c>
      <c r="K408" s="252"/>
      <c r="L408" s="253">
        <v>0.05</v>
      </c>
      <c r="M408" s="254">
        <f ca="1">IF(ISERROR(OFFSET(Tabella!$A$1,MATCH(J408,Tabella!$A:$A,0)-1,MATCH(L408,Tabella!$A$1:$AC$1,0)-1)=TRUE),0,+OFFSET(Tabella!$A$1,MATCH(J408,Tabella!$A:$A,0)-1,MATCH(L408,Tabella!$A$1:$AC$1,0)-1))</f>
        <v>0</v>
      </c>
      <c r="N408" s="255">
        <f ca="1">IF(ISERROR(OFFSET(Ottone!$A$1,MATCH(J408,Ottone!$A:$A,0)-1,MATCH(L408,Ottone!$A$1:$Z$1,0)-1)=TRUE),0,OFFSET(Ottone!$A$1,MATCH(J408,Ottone!$A:$A,0)-1,MATCH(L408,Ottone!$A$1:$Z$1,0)-1))*IF(G408="Ottone",1,0)</f>
        <v>0</v>
      </c>
      <c r="O408" s="255">
        <f ca="1">IF(ISERROR(OFFSET(Rame!$A$1,MATCH(J408,Rame!$A:$A,0)-1,MATCH(L408,Rame!$A$1:$AA$1,0)-1)=TRUE),0,OFFSET(Rame!$A$1,MATCH(J408,Rame!$A:$A,0)-1,MATCH(L408,Rame!$A$1:$AA$1,0)-1))*IF(G408="Rame",1,0)</f>
        <v>0</v>
      </c>
      <c r="P408" s="255">
        <v>0</v>
      </c>
      <c r="Q408" s="255">
        <v>1.47</v>
      </c>
      <c r="R408" s="255">
        <f ca="1">+IF(ISERROR(OFFSET(Tabella!$G$1,MATCH(J408,Tabella!$G:$G,0)-1,MATCH(K408,Tabella!$G$1:$FG$1,0)-1)=TRUE),0,OFFSET(Tabella!$G$1,MATCH(J408,Tabella!$G:$G,0)-1,MATCH(K408,Tabella!$G$1:$AB$1,0)-1))</f>
        <v>0</v>
      </c>
      <c r="S408" s="255">
        <f ca="1">IF(ISERROR(OFFSET(Ottone!$F$1,MATCH(J408,Ottone!$A:$A,0)-1,MATCH(K408,Ottone!$F$1:$FF$1,0)-1)=TRUE),0,OFFSET(Ottone!$F$1,MATCH(J408,Ottone!$A:$A,0)-1,MATCH(K408,Ottone!$F$1:$FF$1,0)-1))*IF(G408="Ottone",1,0)</f>
        <v>0</v>
      </c>
      <c r="T408" s="255">
        <f ca="1">IF(ISERROR(OFFSET(Rame!$F$1,MATCH(J408,Rame!$F:$F,0)-1,MATCH(K408,Rame!$F$1:$FF$1,0)-1)=TRUE),0,OFFSET(Rame!$F$1,MATCH(J408,Rame!$F:$F,0)-1,MATCH(K408,Rame!$F$1:$FF$1,0)-1))*IF(G408="Rame",1,0)</f>
        <v>0</v>
      </c>
      <c r="U408" s="255">
        <f ca="1">IF(ISERROR(OFFSET(Bronzo!$A$1,MATCH(J408,Bronzo!$A:$A,0)-1,MATCH(K408,Bronzo!$A$1:$AA$1,0)-1)=TRUE),0,OFFSET(Bronzo!$A$1,MATCH(J408,Bronzo!$A:$A,0)-1,MATCH(K408,Bronzo!$A$1:$AA$1,0)-1))</f>
        <v>0</v>
      </c>
      <c r="V408" s="255">
        <f t="shared" ca="1" si="139"/>
        <v>0</v>
      </c>
      <c r="W408" s="254"/>
      <c r="X408" s="255">
        <v>0</v>
      </c>
      <c r="Y408" s="256">
        <f t="shared" ca="1" si="140"/>
        <v>1.47</v>
      </c>
      <c r="Z408" s="257">
        <f t="shared" si="141"/>
        <v>52.5</v>
      </c>
      <c r="AA408" s="253">
        <v>4.08</v>
      </c>
      <c r="AB408" s="253">
        <f t="shared" ca="1" si="142"/>
        <v>0</v>
      </c>
      <c r="AC408" s="258">
        <v>46118</v>
      </c>
      <c r="AH408" s="232">
        <f t="shared" ca="1" si="149"/>
        <v>46120</v>
      </c>
      <c r="AI408" s="232" t="b">
        <f t="shared" si="144"/>
        <v>0</v>
      </c>
      <c r="AJ408" s="259">
        <f t="shared" ca="1" si="150"/>
        <v>-2</v>
      </c>
      <c r="AM408" s="223">
        <f t="shared" si="145"/>
        <v>15</v>
      </c>
      <c r="AN408" s="223">
        <f t="shared" si="146"/>
        <v>2026</v>
      </c>
      <c r="AU408" s="223">
        <f t="shared" si="147"/>
        <v>4</v>
      </c>
      <c r="AV408" s="223">
        <f t="shared" si="148"/>
        <v>2026</v>
      </c>
    </row>
    <row r="409" spans="4:48" ht="26.25" x14ac:dyDescent="0.4">
      <c r="D409" s="246" t="s">
        <v>645</v>
      </c>
      <c r="E409" s="252" t="s">
        <v>212</v>
      </c>
      <c r="F409" s="276">
        <v>250</v>
      </c>
      <c r="G409" s="249" t="s">
        <v>4</v>
      </c>
      <c r="H409" s="250">
        <v>2.61</v>
      </c>
      <c r="I409" s="251">
        <v>46087</v>
      </c>
      <c r="J409" s="252" t="s">
        <v>26</v>
      </c>
      <c r="K409" s="252"/>
      <c r="L409" s="253">
        <v>0.05</v>
      </c>
      <c r="M409" s="254">
        <f ca="1">IF(ISERROR(OFFSET(Tabella!$A$1,MATCH(J409,Tabella!$A:$A,0)-1,MATCH(L409,Tabella!$A$1:$AC$1,0)-1)=TRUE),0,+OFFSET(Tabella!$A$1,MATCH(J409,Tabella!$A:$A,0)-1,MATCH(L409,Tabella!$A$1:$AC$1,0)-1))</f>
        <v>0</v>
      </c>
      <c r="N409" s="255">
        <f ca="1">IF(ISERROR(OFFSET(Ottone!$A$1,MATCH(J409,Ottone!$A:$A,0)-1,MATCH(L409,Ottone!$A$1:$Z$1,0)-1)=TRUE),0,OFFSET(Ottone!$A$1,MATCH(J409,Ottone!$A:$A,0)-1,MATCH(L409,Ottone!$A$1:$Z$1,0)-1))*IF(G409="Ottone",1,0)</f>
        <v>0</v>
      </c>
      <c r="O409" s="255">
        <f ca="1">IF(ISERROR(OFFSET(Rame!$A$1,MATCH(J409,Rame!$A:$A,0)-1,MATCH(L409,Rame!$A$1:$AA$1,0)-1)=TRUE),0,OFFSET(Rame!$A$1,MATCH(J409,Rame!$A:$A,0)-1,MATCH(L409,Rame!$A$1:$AA$1,0)-1))*IF(G409="Rame",1,0)</f>
        <v>0</v>
      </c>
      <c r="P409" s="255">
        <v>0</v>
      </c>
      <c r="Q409" s="255">
        <v>1.47</v>
      </c>
      <c r="R409" s="255">
        <f ca="1">+IF(ISERROR(OFFSET(Tabella!$G$1,MATCH(J409,Tabella!$G:$G,0)-1,MATCH(K409,Tabella!$G$1:$FG$1,0)-1)=TRUE),0,OFFSET(Tabella!$G$1,MATCH(J409,Tabella!$G:$G,0)-1,MATCH(K409,Tabella!$G$1:$AB$1,0)-1))</f>
        <v>0</v>
      </c>
      <c r="S409" s="255">
        <f ca="1">IF(ISERROR(OFFSET(Ottone!$F$1,MATCH(J409,Ottone!$A:$A,0)-1,MATCH(K409,Ottone!$F$1:$FF$1,0)-1)=TRUE),0,OFFSET(Ottone!$F$1,MATCH(J409,Ottone!$A:$A,0)-1,MATCH(K409,Ottone!$F$1:$FF$1,0)-1))*IF(G409="Ottone",1,0)</f>
        <v>0</v>
      </c>
      <c r="T409" s="255">
        <f ca="1">IF(ISERROR(OFFSET(Rame!$F$1,MATCH(J409,Rame!$F:$F,0)-1,MATCH(K409,Rame!$F$1:$FF$1,0)-1)=TRUE),0,OFFSET(Rame!$F$1,MATCH(J409,Rame!$F:$F,0)-1,MATCH(K409,Rame!$F$1:$FF$1,0)-1))*IF(G409="Rame",1,0)</f>
        <v>0</v>
      </c>
      <c r="U409" s="255">
        <f ca="1">IF(ISERROR(OFFSET(Bronzo!$A$1,MATCH(J409,Bronzo!$A:$A,0)-1,MATCH(K409,Bronzo!$A$1:$AA$1,0)-1)=TRUE),0,OFFSET(Bronzo!$A$1,MATCH(J409,Bronzo!$A:$A,0)-1,MATCH(K409,Bronzo!$A$1:$AA$1,0)-1))</f>
        <v>0</v>
      </c>
      <c r="V409" s="255">
        <f t="shared" ca="1" si="139"/>
        <v>0</v>
      </c>
      <c r="W409" s="254"/>
      <c r="X409" s="255">
        <v>0</v>
      </c>
      <c r="Y409" s="256">
        <f t="shared" ca="1" si="140"/>
        <v>1.47</v>
      </c>
      <c r="Z409" s="257">
        <f t="shared" si="141"/>
        <v>12.5</v>
      </c>
      <c r="AA409" s="253">
        <v>4.08</v>
      </c>
      <c r="AB409" s="253">
        <f t="shared" ca="1" si="142"/>
        <v>0</v>
      </c>
      <c r="AC409" s="258">
        <v>46113</v>
      </c>
      <c r="AH409" s="232">
        <f t="shared" ca="1" si="149"/>
        <v>46120</v>
      </c>
      <c r="AI409" s="232" t="b">
        <f t="shared" si="144"/>
        <v>0</v>
      </c>
      <c r="AJ409" s="259">
        <f t="shared" ca="1" si="150"/>
        <v>-7</v>
      </c>
      <c r="AM409" s="223">
        <f t="shared" si="145"/>
        <v>14</v>
      </c>
      <c r="AN409" s="223">
        <f t="shared" si="146"/>
        <v>2026</v>
      </c>
      <c r="AU409" s="223">
        <f t="shared" si="147"/>
        <v>4</v>
      </c>
      <c r="AV409" s="223">
        <f t="shared" si="148"/>
        <v>2026</v>
      </c>
    </row>
    <row r="410" spans="4:48" ht="26.25" x14ac:dyDescent="0.4">
      <c r="D410" s="246" t="s">
        <v>792</v>
      </c>
      <c r="E410" s="299" t="s">
        <v>210</v>
      </c>
      <c r="F410" s="300">
        <v>2124</v>
      </c>
      <c r="G410" s="249" t="s">
        <v>4</v>
      </c>
      <c r="H410" s="250">
        <v>2.61</v>
      </c>
      <c r="I410" s="251">
        <v>46087</v>
      </c>
      <c r="J410" s="252" t="s">
        <v>17</v>
      </c>
      <c r="K410" s="252"/>
      <c r="L410" s="253">
        <v>0.05</v>
      </c>
      <c r="M410" s="254">
        <f ca="1">IF(ISERROR(OFFSET(Tabella!$A$1,MATCH(J410,Tabella!$A:$A,0)-1,MATCH(L410,Tabella!$A$1:$AC$1,0)-1)=TRUE),0,+OFFSET(Tabella!$A$1,MATCH(J410,Tabella!$A:$A,0)-1,MATCH(L410,Tabella!$A$1:$AC$1,0)-1))</f>
        <v>0</v>
      </c>
      <c r="N410" s="255">
        <f ca="1">IF(ISERROR(OFFSET(Ottone!$A$1,MATCH(J410,Ottone!$A:$A,0)-1,MATCH(L410,Ottone!$A$1:$Z$1,0)-1)=TRUE),0,OFFSET(Ottone!$A$1,MATCH(J410,Ottone!$A:$A,0)-1,MATCH(L410,Ottone!$A$1:$Z$1,0)-1))*IF(G410="Ottone",1,0)</f>
        <v>0</v>
      </c>
      <c r="O410" s="255">
        <f ca="1">IF(ISERROR(OFFSET(Rame!$A$1,MATCH(J410,Rame!$A:$A,0)-1,MATCH(L410,Rame!$A$1:$AA$1,0)-1)=TRUE),0,OFFSET(Rame!$A$1,MATCH(J410,Rame!$A:$A,0)-1,MATCH(L410,Rame!$A$1:$AA$1,0)-1))*IF(G410="Rame",1,0)</f>
        <v>0</v>
      </c>
      <c r="P410" s="255">
        <v>0</v>
      </c>
      <c r="Q410" s="255">
        <v>1.52</v>
      </c>
      <c r="R410" s="255">
        <f ca="1">+IF(ISERROR(OFFSET(Tabella!$G$1,MATCH(J410,Tabella!$G:$G,0)-1,MATCH(K410,Tabella!$G$1:$FG$1,0)-1)=TRUE),0,OFFSET(Tabella!$G$1,MATCH(J410,Tabella!$G:$G,0)-1,MATCH(K410,Tabella!$G$1:$AB$1,0)-1))</f>
        <v>0</v>
      </c>
      <c r="S410" s="255">
        <f ca="1">IF(ISERROR(OFFSET(Ottone!$F$1,MATCH(J410,Ottone!$A:$A,0)-1,MATCH(K410,Ottone!$F$1:$FF$1,0)-1)=TRUE),0,OFFSET(Ottone!$F$1,MATCH(J410,Ottone!$A:$A,0)-1,MATCH(K410,Ottone!$F$1:$FF$1,0)-1))*IF(G410="Ottone",1,0)</f>
        <v>0</v>
      </c>
      <c r="T410" s="255">
        <f ca="1">IF(ISERROR(OFFSET(Rame!$F$1,MATCH(J410,Rame!$F:$F,0)-1,MATCH(K410,Rame!$F$1:$FF$1,0)-1)=TRUE),0,OFFSET(Rame!$F$1,MATCH(J410,Rame!$F:$F,0)-1,MATCH(K410,Rame!$F$1:$FF$1,0)-1))*IF(G410="Rame",1,0)</f>
        <v>0</v>
      </c>
      <c r="U410" s="255">
        <f ca="1">IF(ISERROR(OFFSET(Bronzo!$A$1,MATCH(J410,Bronzo!$A:$A,0)-1,MATCH(K410,Bronzo!$A$1:$AA$1,0)-1)=TRUE),0,OFFSET(Bronzo!$A$1,MATCH(J410,Bronzo!$A:$A,0)-1,MATCH(K410,Bronzo!$A$1:$AA$1,0)-1))</f>
        <v>0</v>
      </c>
      <c r="V410" s="255">
        <f t="shared" ca="1" si="139"/>
        <v>0</v>
      </c>
      <c r="W410" s="254"/>
      <c r="X410" s="255">
        <v>0</v>
      </c>
      <c r="Y410" s="256">
        <f t="shared" ca="1" si="140"/>
        <v>1.52</v>
      </c>
      <c r="Z410" s="301">
        <f t="shared" si="141"/>
        <v>106.2</v>
      </c>
      <c r="AA410" s="253">
        <v>4.13</v>
      </c>
      <c r="AB410" s="253">
        <f t="shared" ca="1" si="142"/>
        <v>0</v>
      </c>
      <c r="AC410" s="258">
        <v>46107</v>
      </c>
      <c r="AF410" s="223" t="s">
        <v>405</v>
      </c>
      <c r="AH410" s="232">
        <f t="shared" ca="1" si="149"/>
        <v>46120</v>
      </c>
      <c r="AI410" s="232" t="b">
        <f t="shared" si="144"/>
        <v>0</v>
      </c>
      <c r="AJ410" s="259">
        <f t="shared" ca="1" si="150"/>
        <v>-13</v>
      </c>
      <c r="AM410" s="223">
        <f t="shared" si="145"/>
        <v>13</v>
      </c>
      <c r="AN410" s="223">
        <f t="shared" si="146"/>
        <v>2026</v>
      </c>
      <c r="AU410" s="223">
        <f t="shared" si="147"/>
        <v>3</v>
      </c>
      <c r="AV410" s="223">
        <f t="shared" si="148"/>
        <v>2026</v>
      </c>
    </row>
    <row r="411" spans="4:48" ht="26.25" x14ac:dyDescent="0.4">
      <c r="D411" s="246" t="s">
        <v>792</v>
      </c>
      <c r="E411" s="299" t="s">
        <v>210</v>
      </c>
      <c r="F411" s="300">
        <v>1268</v>
      </c>
      <c r="G411" s="249" t="s">
        <v>4</v>
      </c>
      <c r="H411" s="250">
        <v>2.61</v>
      </c>
      <c r="I411" s="251">
        <v>46087</v>
      </c>
      <c r="J411" s="252" t="s">
        <v>326</v>
      </c>
      <c r="K411" s="252"/>
      <c r="L411" s="253">
        <v>0.05</v>
      </c>
      <c r="M411" s="254">
        <f ca="1">IF(ISERROR(OFFSET(Tabella!$A$1,MATCH(J411,Tabella!$A:$A,0)-1,MATCH(L411,Tabella!$A$1:$AC$1,0)-1)=TRUE),0,+OFFSET(Tabella!$A$1,MATCH(J411,Tabella!$A:$A,0)-1,MATCH(L411,Tabella!$A$1:$AC$1,0)-1))</f>
        <v>0</v>
      </c>
      <c r="N411" s="255">
        <f ca="1">IF(ISERROR(OFFSET(Ottone!$A$1,MATCH(J411,Ottone!$A:$A,0)-1,MATCH(L411,Ottone!$A$1:$Z$1,0)-1)=TRUE),0,OFFSET(Ottone!$A$1,MATCH(J411,Ottone!$A:$A,0)-1,MATCH(L411,Ottone!$A$1:$Z$1,0)-1))*IF(G411="Ottone",1,0)</f>
        <v>0</v>
      </c>
      <c r="O411" s="255">
        <f ca="1">IF(ISERROR(OFFSET(Rame!$A$1,MATCH(J411,Rame!$A:$A,0)-1,MATCH(L411,Rame!$A$1:$AA$1,0)-1)=TRUE),0,OFFSET(Rame!$A$1,MATCH(J411,Rame!$A:$A,0)-1,MATCH(L411,Rame!$A$1:$AA$1,0)-1))*IF(G411="Rame",1,0)</f>
        <v>0</v>
      </c>
      <c r="P411" s="255">
        <v>0</v>
      </c>
      <c r="Q411" s="255">
        <v>1.47</v>
      </c>
      <c r="R411" s="255">
        <f ca="1">+IF(ISERROR(OFFSET(Tabella!$G$1,MATCH(J411,Tabella!$G:$G,0)-1,MATCH(K411,Tabella!$G$1:$FG$1,0)-1)=TRUE),0,OFFSET(Tabella!$G$1,MATCH(J411,Tabella!$G:$G,0)-1,MATCH(K411,Tabella!$G$1:$AB$1,0)-1))</f>
        <v>0</v>
      </c>
      <c r="S411" s="255">
        <f ca="1">IF(ISERROR(OFFSET(Ottone!$F$1,MATCH(J411,Ottone!$A:$A,0)-1,MATCH(K411,Ottone!$F$1:$FF$1,0)-1)=TRUE),0,OFFSET(Ottone!$F$1,MATCH(J411,Ottone!$A:$A,0)-1,MATCH(K411,Ottone!$F$1:$FF$1,0)-1))*IF(G411="Ottone",1,0)</f>
        <v>0</v>
      </c>
      <c r="T411" s="255">
        <f ca="1">IF(ISERROR(OFFSET(Rame!$F$1,MATCH(J411,Rame!$F:$F,0)-1,MATCH(K411,Rame!$F$1:$FF$1,0)-1)=TRUE),0,OFFSET(Rame!$F$1,MATCH(J411,Rame!$F:$F,0)-1,MATCH(K411,Rame!$F$1:$FF$1,0)-1))*IF(G411="Rame",1,0)</f>
        <v>0</v>
      </c>
      <c r="U411" s="255">
        <f ca="1">IF(ISERROR(OFFSET(Bronzo!$A$1,MATCH(J411,Bronzo!$A:$A,0)-1,MATCH(K411,Bronzo!$A$1:$AA$1,0)-1)=TRUE),0,OFFSET(Bronzo!$A$1,MATCH(J411,Bronzo!$A:$A,0)-1,MATCH(K411,Bronzo!$A$1:$AA$1,0)-1))</f>
        <v>0</v>
      </c>
      <c r="V411" s="255">
        <f t="shared" ca="1" si="139"/>
        <v>0</v>
      </c>
      <c r="W411" s="254"/>
      <c r="X411" s="255">
        <v>0</v>
      </c>
      <c r="Y411" s="256">
        <f t="shared" ca="1" si="140"/>
        <v>1.47</v>
      </c>
      <c r="Z411" s="301">
        <f t="shared" si="141"/>
        <v>63.400000000000006</v>
      </c>
      <c r="AA411" s="253">
        <v>4.08</v>
      </c>
      <c r="AB411" s="253">
        <f t="shared" ca="1" si="142"/>
        <v>0</v>
      </c>
      <c r="AC411" s="258">
        <v>46107</v>
      </c>
      <c r="AF411" s="223" t="s">
        <v>405</v>
      </c>
      <c r="AH411" s="232">
        <f t="shared" ca="1" si="149"/>
        <v>46120</v>
      </c>
      <c r="AI411" s="232" t="b">
        <f t="shared" si="144"/>
        <v>0</v>
      </c>
      <c r="AJ411" s="259">
        <f t="shared" ca="1" si="150"/>
        <v>-13</v>
      </c>
      <c r="AM411" s="223">
        <f t="shared" si="145"/>
        <v>13</v>
      </c>
      <c r="AN411" s="223">
        <f t="shared" si="146"/>
        <v>2026</v>
      </c>
      <c r="AU411" s="223">
        <f t="shared" si="147"/>
        <v>3</v>
      </c>
      <c r="AV411" s="223">
        <f t="shared" si="148"/>
        <v>2026</v>
      </c>
    </row>
    <row r="412" spans="4:48" ht="26.25" x14ac:dyDescent="0.4">
      <c r="D412" s="246" t="s">
        <v>792</v>
      </c>
      <c r="E412" s="299" t="s">
        <v>210</v>
      </c>
      <c r="F412" s="300">
        <v>270</v>
      </c>
      <c r="G412" s="249" t="s">
        <v>4</v>
      </c>
      <c r="H412" s="250">
        <v>2.61</v>
      </c>
      <c r="I412" s="251">
        <v>46087</v>
      </c>
      <c r="J412" s="252" t="s">
        <v>17</v>
      </c>
      <c r="K412" s="252"/>
      <c r="L412" s="253">
        <v>0.05</v>
      </c>
      <c r="M412" s="254">
        <f ca="1">IF(ISERROR(OFFSET(Tabella!$A$1,MATCH(J412,Tabella!$A:$A,0)-1,MATCH(L412,Tabella!$A$1:$AC$1,0)-1)=TRUE),0,+OFFSET(Tabella!$A$1,MATCH(J412,Tabella!$A:$A,0)-1,MATCH(L412,Tabella!$A$1:$AC$1,0)-1))</f>
        <v>0</v>
      </c>
      <c r="N412" s="255">
        <f ca="1">IF(ISERROR(OFFSET(Ottone!$A$1,MATCH(J412,Ottone!$A:$A,0)-1,MATCH(L412,Ottone!$A$1:$Z$1,0)-1)=TRUE),0,OFFSET(Ottone!$A$1,MATCH(J412,Ottone!$A:$A,0)-1,MATCH(L412,Ottone!$A$1:$Z$1,0)-1))*IF(G412="Ottone",1,0)</f>
        <v>0</v>
      </c>
      <c r="O412" s="255">
        <f ca="1">IF(ISERROR(OFFSET(Rame!$A$1,MATCH(J412,Rame!$A:$A,0)-1,MATCH(L412,Rame!$A$1:$AA$1,0)-1)=TRUE),0,OFFSET(Rame!$A$1,MATCH(J412,Rame!$A:$A,0)-1,MATCH(L412,Rame!$A$1:$AA$1,0)-1))*IF(G412="Rame",1,0)</f>
        <v>0</v>
      </c>
      <c r="P412" s="255">
        <v>0</v>
      </c>
      <c r="Q412" s="255">
        <v>1.52</v>
      </c>
      <c r="R412" s="255">
        <f ca="1">+IF(ISERROR(OFFSET(Tabella!$G$1,MATCH(J412,Tabella!$G:$G,0)-1,MATCH(K412,Tabella!$G$1:$FG$1,0)-1)=TRUE),0,OFFSET(Tabella!$G$1,MATCH(J412,Tabella!$G:$G,0)-1,MATCH(K412,Tabella!$G$1:$AB$1,0)-1))</f>
        <v>0</v>
      </c>
      <c r="S412" s="255">
        <f ca="1">IF(ISERROR(OFFSET(Ottone!$F$1,MATCH(J412,Ottone!$A:$A,0)-1,MATCH(K412,Ottone!$F$1:$FF$1,0)-1)=TRUE),0,OFFSET(Ottone!$F$1,MATCH(J412,Ottone!$A:$A,0)-1,MATCH(K412,Ottone!$F$1:$FF$1,0)-1))*IF(G412="Ottone",1,0)</f>
        <v>0</v>
      </c>
      <c r="T412" s="255">
        <f ca="1">IF(ISERROR(OFFSET(Rame!$F$1,MATCH(J412,Rame!$F:$F,0)-1,MATCH(K412,Rame!$F$1:$FF$1,0)-1)=TRUE),0,OFFSET(Rame!$F$1,MATCH(J412,Rame!$F:$F,0)-1,MATCH(K412,Rame!$F$1:$FF$1,0)-1))*IF(G412="Rame",1,0)</f>
        <v>0</v>
      </c>
      <c r="U412" s="255">
        <f ca="1">IF(ISERROR(OFFSET(Bronzo!$A$1,MATCH(J412,Bronzo!$A:$A,0)-1,MATCH(K412,Bronzo!$A$1:$AA$1,0)-1)=TRUE),0,OFFSET(Bronzo!$A$1,MATCH(J412,Bronzo!$A:$A,0)-1,MATCH(K412,Bronzo!$A$1:$AA$1,0)-1))</f>
        <v>0</v>
      </c>
      <c r="V412" s="255">
        <f t="shared" ca="1" si="139"/>
        <v>0</v>
      </c>
      <c r="W412" s="254"/>
      <c r="X412" s="255">
        <v>0</v>
      </c>
      <c r="Y412" s="256">
        <f t="shared" ca="1" si="140"/>
        <v>1.52</v>
      </c>
      <c r="Z412" s="301">
        <f t="shared" si="141"/>
        <v>13.5</v>
      </c>
      <c r="AA412" s="253">
        <v>4.13</v>
      </c>
      <c r="AB412" s="253">
        <f t="shared" ca="1" si="142"/>
        <v>0</v>
      </c>
      <c r="AC412" s="258">
        <v>46107</v>
      </c>
      <c r="AF412" s="223" t="s">
        <v>405</v>
      </c>
      <c r="AH412" s="232">
        <f t="shared" ca="1" si="149"/>
        <v>46120</v>
      </c>
      <c r="AI412" s="232" t="b">
        <f t="shared" si="144"/>
        <v>0</v>
      </c>
      <c r="AJ412" s="259">
        <f t="shared" ca="1" si="150"/>
        <v>-13</v>
      </c>
      <c r="AM412" s="223">
        <f t="shared" si="145"/>
        <v>13</v>
      </c>
      <c r="AN412" s="223">
        <f t="shared" si="146"/>
        <v>2026</v>
      </c>
      <c r="AU412" s="223">
        <f t="shared" si="147"/>
        <v>3</v>
      </c>
      <c r="AV412" s="223">
        <f t="shared" si="148"/>
        <v>2026</v>
      </c>
    </row>
    <row r="413" spans="4:48" ht="26.25" x14ac:dyDescent="0.4">
      <c r="D413" s="246" t="s">
        <v>792</v>
      </c>
      <c r="E413" s="299" t="s">
        <v>210</v>
      </c>
      <c r="F413" s="300">
        <v>264</v>
      </c>
      <c r="G413" s="249" t="s">
        <v>4</v>
      </c>
      <c r="H413" s="250">
        <v>2.61</v>
      </c>
      <c r="I413" s="251">
        <v>46087</v>
      </c>
      <c r="J413" s="252" t="s">
        <v>22</v>
      </c>
      <c r="K413" s="252"/>
      <c r="L413" s="253">
        <v>0.05</v>
      </c>
      <c r="M413" s="254">
        <f ca="1">IF(ISERROR(OFFSET(Tabella!$A$1,MATCH(J413,Tabella!$A:$A,0)-1,MATCH(L413,Tabella!$A$1:$AC$1,0)-1)=TRUE),0,+OFFSET(Tabella!$A$1,MATCH(J413,Tabella!$A:$A,0)-1,MATCH(L413,Tabella!$A$1:$AC$1,0)-1))</f>
        <v>0</v>
      </c>
      <c r="N413" s="255">
        <f ca="1">IF(ISERROR(OFFSET(Ottone!$A$1,MATCH(J413,Ottone!$A:$A,0)-1,MATCH(L413,Ottone!$A$1:$Z$1,0)-1)=TRUE),0,OFFSET(Ottone!$A$1,MATCH(J413,Ottone!$A:$A,0)-1,MATCH(L413,Ottone!$A$1:$Z$1,0)-1))*IF(G413="Ottone",1,0)</f>
        <v>0</v>
      </c>
      <c r="O413" s="255">
        <f ca="1">IF(ISERROR(OFFSET(Rame!$A$1,MATCH(J413,Rame!$A:$A,0)-1,MATCH(L413,Rame!$A$1:$AA$1,0)-1)=TRUE),0,OFFSET(Rame!$A$1,MATCH(J413,Rame!$A:$A,0)-1,MATCH(L413,Rame!$A$1:$AA$1,0)-1))*IF(G413="Rame",1,0)</f>
        <v>0</v>
      </c>
      <c r="P413" s="255">
        <v>0</v>
      </c>
      <c r="Q413" s="255">
        <v>1.47</v>
      </c>
      <c r="R413" s="255">
        <f ca="1">+IF(ISERROR(OFFSET(Tabella!$G$1,MATCH(J413,Tabella!$G:$G,0)-1,MATCH(K413,Tabella!$G$1:$FG$1,0)-1)=TRUE),0,OFFSET(Tabella!$G$1,MATCH(J413,Tabella!$G:$G,0)-1,MATCH(K413,Tabella!$G$1:$AB$1,0)-1))</f>
        <v>0</v>
      </c>
      <c r="S413" s="255">
        <f ca="1">IF(ISERROR(OFFSET(Ottone!$F$1,MATCH(J413,Ottone!$A:$A,0)-1,MATCH(K413,Ottone!$F$1:$FF$1,0)-1)=TRUE),0,OFFSET(Ottone!$F$1,MATCH(J413,Ottone!$A:$A,0)-1,MATCH(K413,Ottone!$F$1:$FF$1,0)-1))*IF(G413="Ottone",1,0)</f>
        <v>0</v>
      </c>
      <c r="T413" s="255">
        <f ca="1">IF(ISERROR(OFFSET(Rame!$F$1,MATCH(J413,Rame!$F:$F,0)-1,MATCH(K413,Rame!$F$1:$FF$1,0)-1)=TRUE),0,OFFSET(Rame!$F$1,MATCH(J413,Rame!$F:$F,0)-1,MATCH(K413,Rame!$F$1:$FF$1,0)-1))*IF(G413="Rame",1,0)</f>
        <v>0</v>
      </c>
      <c r="U413" s="255">
        <f ca="1">IF(ISERROR(OFFSET(Bronzo!$A$1,MATCH(J413,Bronzo!$A:$A,0)-1,MATCH(K413,Bronzo!$A$1:$AA$1,0)-1)=TRUE),0,OFFSET(Bronzo!$A$1,MATCH(J413,Bronzo!$A:$A,0)-1,MATCH(K413,Bronzo!$A$1:$AA$1,0)-1))</f>
        <v>0</v>
      </c>
      <c r="V413" s="255">
        <f t="shared" ca="1" si="139"/>
        <v>0</v>
      </c>
      <c r="W413" s="254"/>
      <c r="X413" s="255">
        <v>0</v>
      </c>
      <c r="Y413" s="256">
        <f t="shared" ca="1" si="140"/>
        <v>1.47</v>
      </c>
      <c r="Z413" s="301">
        <f t="shared" si="141"/>
        <v>13.200000000000001</v>
      </c>
      <c r="AA413" s="253">
        <v>4.08</v>
      </c>
      <c r="AB413" s="253">
        <f t="shared" ca="1" si="142"/>
        <v>0</v>
      </c>
      <c r="AC413" s="258">
        <v>46107</v>
      </c>
      <c r="AF413" s="223" t="s">
        <v>405</v>
      </c>
      <c r="AH413" s="232">
        <f t="shared" ca="1" si="149"/>
        <v>46120</v>
      </c>
      <c r="AI413" s="232" t="b">
        <f t="shared" si="144"/>
        <v>0</v>
      </c>
      <c r="AJ413" s="259">
        <f t="shared" ca="1" si="150"/>
        <v>-13</v>
      </c>
      <c r="AM413" s="223">
        <f t="shared" si="145"/>
        <v>13</v>
      </c>
      <c r="AN413" s="223">
        <f t="shared" si="146"/>
        <v>2026</v>
      </c>
      <c r="AU413" s="223">
        <f t="shared" si="147"/>
        <v>3</v>
      </c>
      <c r="AV413" s="223">
        <f t="shared" si="148"/>
        <v>2026</v>
      </c>
    </row>
    <row r="414" spans="4:48" ht="26.25" x14ac:dyDescent="0.4">
      <c r="D414" s="246" t="s">
        <v>723</v>
      </c>
      <c r="E414" s="262" t="s">
        <v>108</v>
      </c>
      <c r="F414" s="263">
        <v>2983</v>
      </c>
      <c r="G414" s="249" t="s">
        <v>4</v>
      </c>
      <c r="H414" s="250">
        <v>2.6</v>
      </c>
      <c r="I414" s="251">
        <v>46058</v>
      </c>
      <c r="J414" s="252" t="s">
        <v>25</v>
      </c>
      <c r="K414" s="252"/>
      <c r="L414" s="253">
        <v>7.0000000000000007E-2</v>
      </c>
      <c r="M414" s="254">
        <f ca="1">IF(ISERROR(OFFSET(Tabella!$A$1,MATCH(J414,Tabella!$A:$A,0)-1,MATCH(L414,Tabella!$A$1:$AC$1,0)-1)=TRUE),0,+OFFSET(Tabella!$A$1,MATCH(J414,Tabella!$A:$A,0)-1,MATCH(L414,Tabella!$A$1:$AC$1,0)-1))</f>
        <v>1.25</v>
      </c>
      <c r="N414" s="255">
        <f ca="1">IF(ISERROR(OFFSET(Ottone!$A$1,MATCH(J414,Ottone!$A:$A,0)-1,MATCH(L414,Ottone!$A$1:$Z$1,0)-1)=TRUE),0,OFFSET(Ottone!$A$1,MATCH(J414,Ottone!$A:$A,0)-1,MATCH(L414,Ottone!$A$1:$Z$1,0)-1))*IF(G414="Ottone",1,0)</f>
        <v>0</v>
      </c>
      <c r="O414" s="255">
        <f ca="1">IF(ISERROR(OFFSET(Rame!$A$1,MATCH(J414,Rame!$A:$A,0)-1,MATCH(L414,Rame!$A$1:$AA$1,0)-1)=TRUE),0,OFFSET(Rame!$A$1,MATCH(J414,Rame!$A:$A,0)-1,MATCH(L414,Rame!$A$1:$AA$1,0)-1))*IF(G414="Rame",1,0)</f>
        <v>0</v>
      </c>
      <c r="P414" s="255">
        <v>0</v>
      </c>
      <c r="Q414" s="255">
        <v>1.5</v>
      </c>
      <c r="R414" s="255">
        <f ca="1">+IF(ISERROR(OFFSET(Tabella!$G$1,MATCH(J414,Tabella!$G:$G,0)-1,MATCH(K414,Tabella!$G$1:$FG$1,0)-1)=TRUE),0,OFFSET(Tabella!$G$1,MATCH(J414,Tabella!$G:$G,0)-1,MATCH(K414,Tabella!$G$1:$AB$1,0)-1))</f>
        <v>0</v>
      </c>
      <c r="S414" s="255">
        <f ca="1">IF(ISERROR(OFFSET(Ottone!$F$1,MATCH(J414,Ottone!$A:$A,0)-1,MATCH(K414,Ottone!$F$1:$FF$1,0)-1)=TRUE),0,OFFSET(Ottone!$F$1,MATCH(J414,Ottone!$A:$A,0)-1,MATCH(K414,Ottone!$F$1:$FF$1,0)-1))*IF(G414="Ottone",1,0)</f>
        <v>0</v>
      </c>
      <c r="T414" s="255">
        <f ca="1">IF(ISERROR(OFFSET(Rame!$F$1,MATCH(J414,Rame!$F:$F,0)-1,MATCH(K414,Rame!$F$1:$FF$1,0)-1)=TRUE),0,OFFSET(Rame!$F$1,MATCH(J414,Rame!$F:$F,0)-1,MATCH(K414,Rame!$F$1:$FF$1,0)-1))*IF(G414="Rame",1,0)</f>
        <v>0</v>
      </c>
      <c r="U414" s="255">
        <f ca="1">IF(ISERROR(OFFSET(Bronzo!$A$1,MATCH(J414,Bronzo!$A:$A,0)-1,MATCH(K414,Bronzo!$A$1:$AA$1,0)-1)=TRUE),0,OFFSET(Bronzo!$A$1,MATCH(J414,Bronzo!$A:$A,0)-1,MATCH(K414,Bronzo!$A$1:$AA$1,0)-1))</f>
        <v>0</v>
      </c>
      <c r="V414" s="255">
        <f t="shared" ca="1" si="139"/>
        <v>0</v>
      </c>
      <c r="W414" s="254"/>
      <c r="X414" s="255">
        <v>0</v>
      </c>
      <c r="Y414" s="256">
        <f t="shared" ca="1" si="140"/>
        <v>1.5</v>
      </c>
      <c r="Z414" s="269">
        <f t="shared" si="141"/>
        <v>208.81000000000003</v>
      </c>
      <c r="AA414" s="253">
        <v>4.0999999999999996</v>
      </c>
      <c r="AB414" s="253">
        <f t="shared" ca="1" si="142"/>
        <v>0</v>
      </c>
      <c r="AC414" s="258"/>
      <c r="AF414" s="223" t="s">
        <v>405</v>
      </c>
      <c r="AH414" s="232">
        <f t="shared" ca="1" si="149"/>
        <v>46120</v>
      </c>
      <c r="AI414" s="232" t="b">
        <f t="shared" si="144"/>
        <v>1</v>
      </c>
      <c r="AJ414" s="259" t="str">
        <f t="shared" si="150"/>
        <v/>
      </c>
      <c r="AM414" s="223">
        <f t="shared" si="145"/>
        <v>0</v>
      </c>
      <c r="AN414" s="223">
        <f t="shared" si="146"/>
        <v>1900</v>
      </c>
      <c r="AU414" s="223">
        <f t="shared" si="147"/>
        <v>0</v>
      </c>
      <c r="AV414" s="223">
        <f t="shared" si="148"/>
        <v>0</v>
      </c>
    </row>
    <row r="415" spans="4:48" ht="26.25" x14ac:dyDescent="0.4">
      <c r="D415" s="246" t="s">
        <v>668</v>
      </c>
      <c r="E415" s="262" t="s">
        <v>108</v>
      </c>
      <c r="F415" s="263">
        <v>993</v>
      </c>
      <c r="G415" s="249" t="s">
        <v>4</v>
      </c>
      <c r="H415" s="250">
        <v>2.6</v>
      </c>
      <c r="I415" s="251">
        <v>46058</v>
      </c>
      <c r="J415" s="252" t="s">
        <v>24</v>
      </c>
      <c r="K415" s="252"/>
      <c r="L415" s="253">
        <v>7.0000000000000007E-2</v>
      </c>
      <c r="M415" s="254">
        <f ca="1">IF(ISERROR(OFFSET(Tabella!$A$1,MATCH(J415,Tabella!$A:$A,0)-1,MATCH(L415,Tabella!$A$1:$AC$1,0)-1)=TRUE),0,+OFFSET(Tabella!$A$1,MATCH(J415,Tabella!$A:$A,0)-1,MATCH(L415,Tabella!$A$1:$AC$1,0)-1))</f>
        <v>1.25</v>
      </c>
      <c r="N415" s="255">
        <f ca="1">IF(ISERROR(OFFSET(Ottone!$A$1,MATCH(J415,Ottone!$A:$A,0)-1,MATCH(L415,Ottone!$A$1:$Z$1,0)-1)=TRUE),0,OFFSET(Ottone!$A$1,MATCH(J415,Ottone!$A:$A,0)-1,MATCH(L415,Ottone!$A$1:$Z$1,0)-1))*IF(G415="Ottone",1,0)</f>
        <v>0</v>
      </c>
      <c r="O415" s="255">
        <f ca="1">IF(ISERROR(OFFSET(Rame!$A$1,MATCH(J415,Rame!$A:$A,0)-1,MATCH(L415,Rame!$A$1:$AA$1,0)-1)=TRUE),0,OFFSET(Rame!$A$1,MATCH(J415,Rame!$A:$A,0)-1,MATCH(L415,Rame!$A$1:$AA$1,0)-1))*IF(G415="Rame",1,0)</f>
        <v>0</v>
      </c>
      <c r="P415" s="255">
        <v>0</v>
      </c>
      <c r="Q415" s="255">
        <v>1.5</v>
      </c>
      <c r="R415" s="255">
        <f ca="1">+IF(ISERROR(OFFSET(Tabella!$G$1,MATCH(J415,Tabella!$G:$G,0)-1,MATCH(K415,Tabella!$G$1:$FG$1,0)-1)=TRUE),0,OFFSET(Tabella!$G$1,MATCH(J415,Tabella!$G:$G,0)-1,MATCH(K415,Tabella!$G$1:$AB$1,0)-1))</f>
        <v>0</v>
      </c>
      <c r="S415" s="255">
        <f ca="1">IF(ISERROR(OFFSET(Ottone!$F$1,MATCH(J415,Ottone!$A:$A,0)-1,MATCH(K415,Ottone!$F$1:$FF$1,0)-1)=TRUE),0,OFFSET(Ottone!$F$1,MATCH(J415,Ottone!$A:$A,0)-1,MATCH(K415,Ottone!$F$1:$FF$1,0)-1))*IF(G415="Ottone",1,0)</f>
        <v>0</v>
      </c>
      <c r="T415" s="255">
        <f ca="1">IF(ISERROR(OFFSET(Rame!$F$1,MATCH(J415,Rame!$F:$F,0)-1,MATCH(K415,Rame!$F$1:$FF$1,0)-1)=TRUE),0,OFFSET(Rame!$F$1,MATCH(J415,Rame!$F:$F,0)-1,MATCH(K415,Rame!$F$1:$FF$1,0)-1))*IF(G415="Rame",1,0)</f>
        <v>0</v>
      </c>
      <c r="U415" s="255">
        <f ca="1">IF(ISERROR(OFFSET(Bronzo!$A$1,MATCH(J415,Bronzo!$A:$A,0)-1,MATCH(K415,Bronzo!$A$1:$AA$1,0)-1)=TRUE),0,OFFSET(Bronzo!$A$1,MATCH(J415,Bronzo!$A:$A,0)-1,MATCH(K415,Bronzo!$A$1:$AA$1,0)-1))</f>
        <v>0</v>
      </c>
      <c r="V415" s="255">
        <f t="shared" ca="1" si="139"/>
        <v>0</v>
      </c>
      <c r="W415" s="254"/>
      <c r="X415" s="255">
        <v>0</v>
      </c>
      <c r="Y415" s="256">
        <f t="shared" ca="1" si="140"/>
        <v>1.5</v>
      </c>
      <c r="Z415" s="269">
        <f t="shared" si="141"/>
        <v>69.510000000000005</v>
      </c>
      <c r="AA415" s="253">
        <v>4.0999999999999996</v>
      </c>
      <c r="AB415" s="253">
        <f t="shared" ca="1" si="142"/>
        <v>0</v>
      </c>
      <c r="AC415" s="258"/>
      <c r="AF415" s="223" t="s">
        <v>405</v>
      </c>
      <c r="AH415" s="232">
        <f t="shared" ca="1" si="149"/>
        <v>46120</v>
      </c>
      <c r="AI415" s="232" t="b">
        <f t="shared" si="144"/>
        <v>1</v>
      </c>
      <c r="AJ415" s="259" t="str">
        <f t="shared" si="150"/>
        <v/>
      </c>
      <c r="AM415" s="223">
        <f t="shared" si="145"/>
        <v>0</v>
      </c>
      <c r="AN415" s="223">
        <f t="shared" si="146"/>
        <v>1900</v>
      </c>
      <c r="AU415" s="223">
        <f t="shared" si="147"/>
        <v>0</v>
      </c>
      <c r="AV415" s="223">
        <f t="shared" si="148"/>
        <v>0</v>
      </c>
    </row>
    <row r="416" spans="4:48" ht="26.25" x14ac:dyDescent="0.4">
      <c r="D416" s="246" t="s">
        <v>687</v>
      </c>
      <c r="E416" s="262" t="s">
        <v>108</v>
      </c>
      <c r="F416" s="263">
        <v>1030</v>
      </c>
      <c r="G416" s="249" t="s">
        <v>4</v>
      </c>
      <c r="H416" s="250">
        <v>2.6</v>
      </c>
      <c r="I416" s="251">
        <v>46058</v>
      </c>
      <c r="J416" s="252" t="s">
        <v>28</v>
      </c>
      <c r="K416" s="252"/>
      <c r="L416" s="253">
        <v>7.0000000000000007E-2</v>
      </c>
      <c r="M416" s="254">
        <f ca="1">IF(ISERROR(OFFSET(Tabella!$A$1,MATCH(J416,Tabella!$A:$A,0)-1,MATCH(L416,Tabella!$A$1:$AC$1,0)-1)=TRUE),0,+OFFSET(Tabella!$A$1,MATCH(J416,Tabella!$A:$A,0)-1,MATCH(L416,Tabella!$A$1:$AC$1,0)-1))</f>
        <v>1.25</v>
      </c>
      <c r="N416" s="255">
        <f ca="1">IF(ISERROR(OFFSET(Ottone!$A$1,MATCH(J416,Ottone!$A:$A,0)-1,MATCH(L416,Ottone!$A$1:$Z$1,0)-1)=TRUE),0,OFFSET(Ottone!$A$1,MATCH(J416,Ottone!$A:$A,0)-1,MATCH(L416,Ottone!$A$1:$Z$1,0)-1))*IF(G416="Ottone",1,0)</f>
        <v>0</v>
      </c>
      <c r="O416" s="255">
        <f ca="1">IF(ISERROR(OFFSET(Rame!$A$1,MATCH(J416,Rame!$A:$A,0)-1,MATCH(L416,Rame!$A$1:$AA$1,0)-1)=TRUE),0,OFFSET(Rame!$A$1,MATCH(J416,Rame!$A:$A,0)-1,MATCH(L416,Rame!$A$1:$AA$1,0)-1))*IF(G416="Rame",1,0)</f>
        <v>0</v>
      </c>
      <c r="P416" s="255">
        <v>0</v>
      </c>
      <c r="Q416" s="255">
        <v>1.5</v>
      </c>
      <c r="R416" s="255">
        <f ca="1">+IF(ISERROR(OFFSET(Tabella!$G$1,MATCH(J416,Tabella!$G:$G,0)-1,MATCH(K416,Tabella!$G$1:$FG$1,0)-1)=TRUE),0,OFFSET(Tabella!$G$1,MATCH(J416,Tabella!$G:$G,0)-1,MATCH(K416,Tabella!$G$1:$AB$1,0)-1))</f>
        <v>0</v>
      </c>
      <c r="S416" s="255">
        <f ca="1">IF(ISERROR(OFFSET(Ottone!$F$1,MATCH(J416,Ottone!$A:$A,0)-1,MATCH(K416,Ottone!$F$1:$FF$1,0)-1)=TRUE),0,OFFSET(Ottone!$F$1,MATCH(J416,Ottone!$A:$A,0)-1,MATCH(K416,Ottone!$F$1:$FF$1,0)-1))*IF(G416="Ottone",1,0)</f>
        <v>0</v>
      </c>
      <c r="T416" s="255">
        <f ca="1">IF(ISERROR(OFFSET(Rame!$F$1,MATCH(J416,Rame!$F:$F,0)-1,MATCH(K416,Rame!$F$1:$FF$1,0)-1)=TRUE),0,OFFSET(Rame!$F$1,MATCH(J416,Rame!$F:$F,0)-1,MATCH(K416,Rame!$F$1:$FF$1,0)-1))*IF(G416="Rame",1,0)</f>
        <v>0</v>
      </c>
      <c r="U416" s="255">
        <f ca="1">IF(ISERROR(OFFSET(Bronzo!$A$1,MATCH(J416,Bronzo!$A:$A,0)-1,MATCH(K416,Bronzo!$A$1:$AA$1,0)-1)=TRUE),0,OFFSET(Bronzo!$A$1,MATCH(J416,Bronzo!$A:$A,0)-1,MATCH(K416,Bronzo!$A$1:$AA$1,0)-1))</f>
        <v>0</v>
      </c>
      <c r="V416" s="255">
        <f t="shared" ca="1" si="139"/>
        <v>0</v>
      </c>
      <c r="W416" s="254"/>
      <c r="X416" s="255">
        <v>0</v>
      </c>
      <c r="Y416" s="256">
        <f t="shared" ca="1" si="140"/>
        <v>1.5</v>
      </c>
      <c r="Z416" s="269">
        <f t="shared" si="141"/>
        <v>72.100000000000009</v>
      </c>
      <c r="AA416" s="253">
        <v>4.0999999999999996</v>
      </c>
      <c r="AB416" s="253">
        <f t="shared" ca="1" si="142"/>
        <v>0</v>
      </c>
      <c r="AC416" s="258"/>
      <c r="AF416" s="223" t="s">
        <v>405</v>
      </c>
      <c r="AH416" s="232">
        <f t="shared" ca="1" si="149"/>
        <v>46120</v>
      </c>
      <c r="AI416" s="232" t="b">
        <f t="shared" si="144"/>
        <v>1</v>
      </c>
      <c r="AJ416" s="259" t="str">
        <f t="shared" si="150"/>
        <v/>
      </c>
      <c r="AM416" s="223">
        <f t="shared" si="145"/>
        <v>0</v>
      </c>
      <c r="AN416" s="223">
        <f t="shared" si="146"/>
        <v>1900</v>
      </c>
      <c r="AU416" s="223">
        <f t="shared" si="147"/>
        <v>0</v>
      </c>
      <c r="AV416" s="223">
        <f t="shared" si="148"/>
        <v>0</v>
      </c>
    </row>
    <row r="417" spans="4:48" ht="26.25" x14ac:dyDescent="0.4">
      <c r="D417" s="246" t="s">
        <v>643</v>
      </c>
      <c r="E417" s="252" t="s">
        <v>335</v>
      </c>
      <c r="F417" s="276">
        <v>2000</v>
      </c>
      <c r="G417" s="249" t="s">
        <v>6</v>
      </c>
      <c r="H417" s="250">
        <v>11.05</v>
      </c>
      <c r="I417" s="251">
        <v>46087</v>
      </c>
      <c r="J417" s="252" t="s">
        <v>18</v>
      </c>
      <c r="K417" s="252"/>
      <c r="L417" s="253">
        <v>0.15</v>
      </c>
      <c r="M417" s="254">
        <f ca="1">IF(ISERROR(OFFSET(Tabella!$A$1,MATCH(J417,Tabella!$A:$A,0)-1,MATCH(L417,Tabella!$A$1:$AC$1,0)-1)=TRUE),0,+OFFSET(Tabella!$A$1,MATCH(J417,Tabella!$A:$A,0)-1,MATCH(L417,Tabella!$A$1:$AC$1,0)-1))</f>
        <v>0</v>
      </c>
      <c r="N417" s="255">
        <f ca="1">IF(ISERROR(OFFSET(Ottone!$A$1,MATCH(J417,Ottone!$A:$A,0)-1,MATCH(L417,Ottone!$A$1:$Z$1,0)-1)=TRUE),0,OFFSET(Ottone!$A$1,MATCH(J417,Ottone!$A:$A,0)-1,MATCH(L417,Ottone!$A$1:$Z$1,0)-1))*IF(G417="Ottone",1,0)</f>
        <v>0</v>
      </c>
      <c r="O417" s="255">
        <f ca="1">IF(ISERROR(OFFSET(Rame!$A$1,MATCH(J417,Rame!$A:$A,0)-1,MATCH(L417,Rame!$A$1:$AA$1,0)-1)=TRUE),0,OFFSET(Rame!$A$1,MATCH(J417,Rame!$A:$A,0)-1,MATCH(L417,Rame!$A$1:$AA$1,0)-1))*IF(G417="Rame",1,0)</f>
        <v>0.82</v>
      </c>
      <c r="P417" s="255">
        <v>0</v>
      </c>
      <c r="Q417" s="255">
        <f t="shared" ca="1" si="143"/>
        <v>0.82</v>
      </c>
      <c r="R417" s="255">
        <f ca="1">+IF(ISERROR(OFFSET(Tabella!$G$1,MATCH(J417,Tabella!$G:$G,0)-1,MATCH(K417,Tabella!$G$1:$FG$1,0)-1)=TRUE),0,OFFSET(Tabella!$G$1,MATCH(J417,Tabella!$G:$G,0)-1,MATCH(K417,Tabella!$G$1:$AB$1,0)-1))</f>
        <v>0</v>
      </c>
      <c r="S417" s="255">
        <f ca="1">IF(ISERROR(OFFSET(Ottone!$F$1,MATCH(J417,Ottone!$A:$A,0)-1,MATCH(K417,Ottone!$F$1:$FF$1,0)-1)=TRUE),0,OFFSET(Ottone!$F$1,MATCH(J417,Ottone!$A:$A,0)-1,MATCH(K417,Ottone!$F$1:$FF$1,0)-1))*IF(G417="Ottone",1,0)</f>
        <v>0</v>
      </c>
      <c r="T417" s="255">
        <f ca="1">IF(ISERROR(OFFSET(Rame!$F$1,MATCH(J417,Rame!$F:$F,0)-1,MATCH(K417,Rame!$F$1:$FF$1,0)-1)=TRUE),0,OFFSET(Rame!$F$1,MATCH(J417,Rame!$F:$F,0)-1,MATCH(K417,Rame!$F$1:$FF$1,0)-1))*IF(G417="Rame",1,0)</f>
        <v>0</v>
      </c>
      <c r="U417" s="255">
        <f ca="1">IF(ISERROR(OFFSET(Bronzo!$A$1,MATCH(J417,Bronzo!$A:$A,0)-1,MATCH(K417,Bronzo!$A$1:$AA$1,0)-1)=TRUE),0,OFFSET(Bronzo!$A$1,MATCH(J417,Bronzo!$A:$A,0)-1,MATCH(K417,Bronzo!$A$1:$AA$1,0)-1))</f>
        <v>0</v>
      </c>
      <c r="V417" s="255">
        <f t="shared" ca="1" si="139"/>
        <v>0</v>
      </c>
      <c r="W417" s="254"/>
      <c r="X417" s="255">
        <v>0</v>
      </c>
      <c r="Y417" s="256">
        <f t="shared" ca="1" si="140"/>
        <v>0.82</v>
      </c>
      <c r="Z417" s="257">
        <f t="shared" si="141"/>
        <v>300</v>
      </c>
      <c r="AA417" s="253">
        <v>14.71</v>
      </c>
      <c r="AB417" s="253">
        <f t="shared" ca="1" si="142"/>
        <v>2.84</v>
      </c>
      <c r="AC417" s="258">
        <v>46122</v>
      </c>
      <c r="AH417" s="232">
        <f t="shared" ca="1" si="149"/>
        <v>46120</v>
      </c>
      <c r="AI417" s="232" t="b">
        <f t="shared" si="144"/>
        <v>0</v>
      </c>
      <c r="AJ417" s="259">
        <f t="shared" ca="1" si="150"/>
        <v>2</v>
      </c>
      <c r="AM417" s="223">
        <f t="shared" si="145"/>
        <v>15</v>
      </c>
      <c r="AN417" s="223">
        <f t="shared" si="146"/>
        <v>2026</v>
      </c>
      <c r="AU417" s="223">
        <f t="shared" si="147"/>
        <v>4</v>
      </c>
      <c r="AV417" s="223">
        <f t="shared" si="148"/>
        <v>2026</v>
      </c>
    </row>
    <row r="418" spans="4:48" ht="26.25" x14ac:dyDescent="0.4">
      <c r="D418" s="246" t="s">
        <v>643</v>
      </c>
      <c r="E418" s="252" t="s">
        <v>335</v>
      </c>
      <c r="F418" s="276">
        <v>300</v>
      </c>
      <c r="G418" s="249" t="s">
        <v>6</v>
      </c>
      <c r="H418" s="250">
        <v>11.05</v>
      </c>
      <c r="I418" s="251">
        <v>46087</v>
      </c>
      <c r="J418" s="252" t="s">
        <v>18</v>
      </c>
      <c r="K418" s="252"/>
      <c r="L418" s="253">
        <v>0.15</v>
      </c>
      <c r="M418" s="254">
        <f ca="1">IF(ISERROR(OFFSET(Tabella!$A$1,MATCH(J418,Tabella!$A:$A,0)-1,MATCH(L418,Tabella!$A$1:$AC$1,0)-1)=TRUE),0,+OFFSET(Tabella!$A$1,MATCH(J418,Tabella!$A:$A,0)-1,MATCH(L418,Tabella!$A$1:$AC$1,0)-1))</f>
        <v>0</v>
      </c>
      <c r="N418" s="255">
        <f ca="1">IF(ISERROR(OFFSET(Ottone!$A$1,MATCH(J418,Ottone!$A:$A,0)-1,MATCH(L418,Ottone!$A$1:$Z$1,0)-1)=TRUE),0,OFFSET(Ottone!$A$1,MATCH(J418,Ottone!$A:$A,0)-1,MATCH(L418,Ottone!$A$1:$Z$1,0)-1))*IF(G418="Ottone",1,0)</f>
        <v>0</v>
      </c>
      <c r="O418" s="255">
        <f ca="1">IF(ISERROR(OFFSET(Rame!$A$1,MATCH(J418,Rame!$A:$A,0)-1,MATCH(L418,Rame!$A$1:$AA$1,0)-1)=TRUE),0,OFFSET(Rame!$A$1,MATCH(J418,Rame!$A:$A,0)-1,MATCH(L418,Rame!$A$1:$AA$1,0)-1))*IF(G418="Rame",1,0)</f>
        <v>0.82</v>
      </c>
      <c r="P418" s="255">
        <v>0</v>
      </c>
      <c r="Q418" s="255">
        <f t="shared" ref="Q418:Q474" ca="1" si="151">SUM(M418:P418)</f>
        <v>0.82</v>
      </c>
      <c r="R418" s="255">
        <f ca="1">+IF(ISERROR(OFFSET(Tabella!$G$1,MATCH(J418,Tabella!$G:$G,0)-1,MATCH(K418,Tabella!$G$1:$FG$1,0)-1)=TRUE),0,OFFSET(Tabella!$G$1,MATCH(J418,Tabella!$G:$G,0)-1,MATCH(K418,Tabella!$G$1:$AB$1,0)-1))</f>
        <v>0</v>
      </c>
      <c r="S418" s="255">
        <f ca="1">IF(ISERROR(OFFSET(Ottone!$F$1,MATCH(J418,Ottone!$A:$A,0)-1,MATCH(K418,Ottone!$F$1:$FF$1,0)-1)=TRUE),0,OFFSET(Ottone!$F$1,MATCH(J418,Ottone!$A:$A,0)-1,MATCH(K418,Ottone!$F$1:$FF$1,0)-1))*IF(G418="Ottone",1,0)</f>
        <v>0</v>
      </c>
      <c r="T418" s="255">
        <f ca="1">IF(ISERROR(OFFSET(Rame!$F$1,MATCH(J418,Rame!$F:$F,0)-1,MATCH(K418,Rame!$F$1:$FF$1,0)-1)=TRUE),0,OFFSET(Rame!$F$1,MATCH(J418,Rame!$F:$F,0)-1,MATCH(K418,Rame!$F$1:$FF$1,0)-1))*IF(G418="Rame",1,0)</f>
        <v>0</v>
      </c>
      <c r="U418" s="255">
        <f ca="1">IF(ISERROR(OFFSET(Bronzo!$A$1,MATCH(J418,Bronzo!$A:$A,0)-1,MATCH(K418,Bronzo!$A$1:$AA$1,0)-1)=TRUE),0,OFFSET(Bronzo!$A$1,MATCH(J418,Bronzo!$A:$A,0)-1,MATCH(K418,Bronzo!$A$1:$AA$1,0)-1))</f>
        <v>0</v>
      </c>
      <c r="V418" s="255">
        <f t="shared" ref="V418:V479" ca="1" si="152">SUM(R418:U418)</f>
        <v>0</v>
      </c>
      <c r="W418" s="254"/>
      <c r="X418" s="255">
        <v>0</v>
      </c>
      <c r="Y418" s="256">
        <f t="shared" ref="Y418:Y479" ca="1" si="153">+Q418+V418+W418+X418</f>
        <v>0.82</v>
      </c>
      <c r="Z418" s="257">
        <f t="shared" ref="Z418:Z479" si="154">+L418*F418</f>
        <v>45</v>
      </c>
      <c r="AA418" s="253">
        <v>14.71</v>
      </c>
      <c r="AB418" s="253">
        <f t="shared" ref="AB418:AB479" ca="1" si="155">+AA418-Y418-H418</f>
        <v>2.84</v>
      </c>
      <c r="AC418" s="258">
        <v>46122</v>
      </c>
      <c r="AH418" s="232">
        <f t="shared" ca="1" si="149"/>
        <v>46120</v>
      </c>
      <c r="AI418" s="232" t="b">
        <f t="shared" si="144"/>
        <v>0</v>
      </c>
      <c r="AJ418" s="259">
        <f t="shared" ca="1" si="150"/>
        <v>2</v>
      </c>
      <c r="AM418" s="223">
        <f t="shared" si="145"/>
        <v>15</v>
      </c>
      <c r="AN418" s="223">
        <f t="shared" si="146"/>
        <v>2026</v>
      </c>
      <c r="AU418" s="223">
        <f t="shared" si="147"/>
        <v>4</v>
      </c>
      <c r="AV418" s="223">
        <f t="shared" si="148"/>
        <v>2026</v>
      </c>
    </row>
    <row r="419" spans="4:48" ht="26.25" x14ac:dyDescent="0.4">
      <c r="D419" s="246" t="s">
        <v>643</v>
      </c>
      <c r="E419" s="252" t="s">
        <v>335</v>
      </c>
      <c r="F419" s="276">
        <v>200</v>
      </c>
      <c r="G419" s="249" t="s">
        <v>6</v>
      </c>
      <c r="H419" s="250">
        <v>11.05</v>
      </c>
      <c r="I419" s="251">
        <v>46087</v>
      </c>
      <c r="J419" s="252" t="s">
        <v>16</v>
      </c>
      <c r="K419" s="252"/>
      <c r="L419" s="253">
        <v>0.15</v>
      </c>
      <c r="M419" s="254">
        <f ca="1">IF(ISERROR(OFFSET(Tabella!$A$1,MATCH(J419,Tabella!$A:$A,0)-1,MATCH(L419,Tabella!$A$1:$AC$1,0)-1)=TRUE),0,+OFFSET(Tabella!$A$1,MATCH(J419,Tabella!$A:$A,0)-1,MATCH(L419,Tabella!$A$1:$AC$1,0)-1))</f>
        <v>0</v>
      </c>
      <c r="N419" s="255">
        <f ca="1">IF(ISERROR(OFFSET(Ottone!$A$1,MATCH(J419,Ottone!$A:$A,0)-1,MATCH(L419,Ottone!$A$1:$Z$1,0)-1)=TRUE),0,OFFSET(Ottone!$A$1,MATCH(J419,Ottone!$A:$A,0)-1,MATCH(L419,Ottone!$A$1:$Z$1,0)-1))*IF(G419="Ottone",1,0)</f>
        <v>0</v>
      </c>
      <c r="O419" s="255">
        <f ca="1">IF(ISERROR(OFFSET(Rame!$A$1,MATCH(J419,Rame!$A:$A,0)-1,MATCH(L419,Rame!$A$1:$AA$1,0)-1)=TRUE),0,OFFSET(Rame!$A$1,MATCH(J419,Rame!$A:$A,0)-1,MATCH(L419,Rame!$A$1:$AA$1,0)-1))*IF(G419="Rame",1,0)</f>
        <v>0.85</v>
      </c>
      <c r="P419" s="255">
        <v>0</v>
      </c>
      <c r="Q419" s="255">
        <f t="shared" ca="1" si="151"/>
        <v>0.85</v>
      </c>
      <c r="R419" s="255">
        <f ca="1">+IF(ISERROR(OFFSET(Tabella!$G$1,MATCH(J419,Tabella!$G:$G,0)-1,MATCH(K419,Tabella!$G$1:$FG$1,0)-1)=TRUE),0,OFFSET(Tabella!$G$1,MATCH(J419,Tabella!$G:$G,0)-1,MATCH(K419,Tabella!$G$1:$AB$1,0)-1))</f>
        <v>0</v>
      </c>
      <c r="S419" s="255">
        <f ca="1">IF(ISERROR(OFFSET(Ottone!$F$1,MATCH(J419,Ottone!$A:$A,0)-1,MATCH(K419,Ottone!$F$1:$FF$1,0)-1)=TRUE),0,OFFSET(Ottone!$F$1,MATCH(J419,Ottone!$A:$A,0)-1,MATCH(K419,Ottone!$F$1:$FF$1,0)-1))*IF(G419="Ottone",1,0)</f>
        <v>0</v>
      </c>
      <c r="T419" s="255">
        <f ca="1">IF(ISERROR(OFFSET(Rame!$F$1,MATCH(J419,Rame!$F:$F,0)-1,MATCH(K419,Rame!$F$1:$FF$1,0)-1)=TRUE),0,OFFSET(Rame!$F$1,MATCH(J419,Rame!$F:$F,0)-1,MATCH(K419,Rame!$F$1:$FF$1,0)-1))*IF(G419="Rame",1,0)</f>
        <v>0</v>
      </c>
      <c r="U419" s="255">
        <f ca="1">IF(ISERROR(OFFSET(Bronzo!$A$1,MATCH(J419,Bronzo!$A:$A,0)-1,MATCH(K419,Bronzo!$A$1:$AA$1,0)-1)=TRUE),0,OFFSET(Bronzo!$A$1,MATCH(J419,Bronzo!$A:$A,0)-1,MATCH(K419,Bronzo!$A$1:$AA$1,0)-1))</f>
        <v>0</v>
      </c>
      <c r="V419" s="255">
        <f t="shared" ca="1" si="152"/>
        <v>0</v>
      </c>
      <c r="W419" s="254"/>
      <c r="X419" s="255">
        <v>0</v>
      </c>
      <c r="Y419" s="256">
        <f t="shared" ca="1" si="153"/>
        <v>0.85</v>
      </c>
      <c r="Z419" s="257">
        <f t="shared" si="154"/>
        <v>30</v>
      </c>
      <c r="AA419" s="253">
        <v>14.71</v>
      </c>
      <c r="AB419" s="253">
        <f t="shared" ca="1" si="155"/>
        <v>2.8100000000000005</v>
      </c>
      <c r="AC419" s="258">
        <v>46122</v>
      </c>
      <c r="AH419" s="232">
        <f t="shared" ca="1" si="149"/>
        <v>46120</v>
      </c>
      <c r="AI419" s="232" t="b">
        <f t="shared" si="144"/>
        <v>0</v>
      </c>
      <c r="AJ419" s="259">
        <f t="shared" ca="1" si="150"/>
        <v>2</v>
      </c>
      <c r="AM419" s="223">
        <f t="shared" si="145"/>
        <v>15</v>
      </c>
      <c r="AN419" s="223">
        <f t="shared" si="146"/>
        <v>2026</v>
      </c>
      <c r="AU419" s="223">
        <f t="shared" si="147"/>
        <v>4</v>
      </c>
      <c r="AV419" s="223">
        <f t="shared" si="148"/>
        <v>2026</v>
      </c>
    </row>
    <row r="420" spans="4:48" ht="26.25" x14ac:dyDescent="0.4">
      <c r="D420" s="246" t="s">
        <v>640</v>
      </c>
      <c r="E420" s="252" t="s">
        <v>397</v>
      </c>
      <c r="F420" s="276">
        <v>500</v>
      </c>
      <c r="G420" s="249" t="s">
        <v>4</v>
      </c>
      <c r="H420" s="250">
        <v>2.9</v>
      </c>
      <c r="I420" s="251">
        <v>46087</v>
      </c>
      <c r="J420" s="252" t="s">
        <v>11</v>
      </c>
      <c r="K420" s="252"/>
      <c r="L420" s="253">
        <v>7.0000000000000007E-2</v>
      </c>
      <c r="M420" s="254">
        <f ca="1">IF(ISERROR(OFFSET(Tabella!$A$1,MATCH(J420,Tabella!$A:$A,0)-1,MATCH(L420,Tabella!$A$1:$AC$1,0)-1)=TRUE),0,+OFFSET(Tabella!$A$1,MATCH(J420,Tabella!$A:$A,0)-1,MATCH(L420,Tabella!$A$1:$AC$1,0)-1))</f>
        <v>1.5</v>
      </c>
      <c r="N420" s="255">
        <f ca="1">IF(ISERROR(OFFSET(Ottone!$A$1,MATCH(J420,Ottone!$A:$A,0)-1,MATCH(L420,Ottone!$A$1:$Z$1,0)-1)=TRUE),0,OFFSET(Ottone!$A$1,MATCH(J420,Ottone!$A:$A,0)-1,MATCH(L420,Ottone!$A$1:$Z$1,0)-1))*IF(G420="Ottone",1,0)</f>
        <v>0</v>
      </c>
      <c r="O420" s="255">
        <f ca="1">IF(ISERROR(OFFSET(Rame!$A$1,MATCH(J420,Rame!$A:$A,0)-1,MATCH(L420,Rame!$A$1:$AA$1,0)-1)=TRUE),0,OFFSET(Rame!$A$1,MATCH(J420,Rame!$A:$A,0)-1,MATCH(L420,Rame!$A$1:$AA$1,0)-1))*IF(G420="Rame",1,0)</f>
        <v>0</v>
      </c>
      <c r="P420" s="255">
        <v>0</v>
      </c>
      <c r="Q420" s="255">
        <f t="shared" ca="1" si="151"/>
        <v>1.5</v>
      </c>
      <c r="R420" s="255">
        <f ca="1">+IF(ISERROR(OFFSET(Tabella!$G$1,MATCH(J420,Tabella!$G:$G,0)-1,MATCH(K420,Tabella!$G$1:$FG$1,0)-1)=TRUE),0,OFFSET(Tabella!$G$1,MATCH(J420,Tabella!$G:$G,0)-1,MATCH(K420,Tabella!$G$1:$AB$1,0)-1))</f>
        <v>0</v>
      </c>
      <c r="S420" s="255">
        <f ca="1">IF(ISERROR(OFFSET(Ottone!$F$1,MATCH(J420,Ottone!$A:$A,0)-1,MATCH(K420,Ottone!$F$1:$FF$1,0)-1)=TRUE),0,OFFSET(Ottone!$F$1,MATCH(J420,Ottone!$A:$A,0)-1,MATCH(K420,Ottone!$F$1:$FF$1,0)-1))*IF(G420="Ottone",1,0)</f>
        <v>0</v>
      </c>
      <c r="T420" s="255">
        <f ca="1">IF(ISERROR(OFFSET(Rame!$F$1,MATCH(J420,Rame!$F:$F,0)-1,MATCH(K420,Rame!$F$1:$FF$1,0)-1)=TRUE),0,OFFSET(Rame!$F$1,MATCH(J420,Rame!$F:$F,0)-1,MATCH(K420,Rame!$F$1:$FF$1,0)-1))*IF(G420="Rame",1,0)</f>
        <v>0</v>
      </c>
      <c r="U420" s="255">
        <f ca="1">IF(ISERROR(OFFSET(Bronzo!$A$1,MATCH(J420,Bronzo!$A:$A,0)-1,MATCH(K420,Bronzo!$A$1:$AA$1,0)-1)=TRUE),0,OFFSET(Bronzo!$A$1,MATCH(J420,Bronzo!$A:$A,0)-1,MATCH(K420,Bronzo!$A$1:$AA$1,0)-1))</f>
        <v>0</v>
      </c>
      <c r="V420" s="255">
        <f t="shared" ca="1" si="152"/>
        <v>0</v>
      </c>
      <c r="W420" s="254"/>
      <c r="X420" s="255">
        <v>0</v>
      </c>
      <c r="Y420" s="256">
        <f t="shared" ca="1" si="153"/>
        <v>1.5</v>
      </c>
      <c r="Z420" s="257">
        <f t="shared" si="154"/>
        <v>35</v>
      </c>
      <c r="AA420" s="253">
        <v>4.92</v>
      </c>
      <c r="AB420" s="253">
        <f t="shared" ca="1" si="155"/>
        <v>0.52</v>
      </c>
      <c r="AC420" s="258">
        <v>46115</v>
      </c>
      <c r="AH420" s="232">
        <f t="shared" ca="1" si="149"/>
        <v>46120</v>
      </c>
      <c r="AI420" s="232" t="b">
        <f t="shared" si="144"/>
        <v>0</v>
      </c>
      <c r="AJ420" s="259">
        <f t="shared" ca="1" si="150"/>
        <v>-5</v>
      </c>
      <c r="AM420" s="223">
        <f t="shared" si="145"/>
        <v>14</v>
      </c>
      <c r="AN420" s="223">
        <f t="shared" si="146"/>
        <v>2026</v>
      </c>
      <c r="AU420" s="223">
        <f t="shared" si="147"/>
        <v>4</v>
      </c>
      <c r="AV420" s="223">
        <f t="shared" si="148"/>
        <v>2026</v>
      </c>
    </row>
    <row r="421" spans="4:48" ht="26.25" x14ac:dyDescent="0.4">
      <c r="D421" s="246" t="s">
        <v>644</v>
      </c>
      <c r="E421" s="252" t="s">
        <v>259</v>
      </c>
      <c r="F421" s="276">
        <v>400</v>
      </c>
      <c r="G421" s="249" t="s">
        <v>6</v>
      </c>
      <c r="H421" s="250">
        <v>11.05</v>
      </c>
      <c r="I421" s="251">
        <v>46087</v>
      </c>
      <c r="J421" s="252" t="s">
        <v>14</v>
      </c>
      <c r="K421" s="252"/>
      <c r="L421" s="253">
        <v>0.15</v>
      </c>
      <c r="M421" s="254">
        <f ca="1">IF(ISERROR(OFFSET(Tabella!$A$1,MATCH(J421,Tabella!$A:$A,0)-1,MATCH(L421,Tabella!$A$1:$AC$1,0)-1)=TRUE),0,+OFFSET(Tabella!$A$1,MATCH(J421,Tabella!$A:$A,0)-1,MATCH(L421,Tabella!$A$1:$AC$1,0)-1))</f>
        <v>0</v>
      </c>
      <c r="N421" s="255">
        <f ca="1">IF(ISERROR(OFFSET(Ottone!$A$1,MATCH(J421,Ottone!$A:$A,0)-1,MATCH(L421,Ottone!$A$1:$Z$1,0)-1)=TRUE),0,OFFSET(Ottone!$A$1,MATCH(J421,Ottone!$A:$A,0)-1,MATCH(L421,Ottone!$A$1:$Z$1,0)-1))*IF(G421="Ottone",1,0)</f>
        <v>0</v>
      </c>
      <c r="O421" s="255">
        <f ca="1">IF(ISERROR(OFFSET(Rame!$A$1,MATCH(J421,Rame!$A:$A,0)-1,MATCH(L421,Rame!$A$1:$AA$1,0)-1)=TRUE),0,OFFSET(Rame!$A$1,MATCH(J421,Rame!$A:$A,0)-1,MATCH(L421,Rame!$A$1:$AA$1,0)-1))*IF(G421="Rame",1,0)</f>
        <v>1</v>
      </c>
      <c r="P421" s="255">
        <v>0</v>
      </c>
      <c r="Q421" s="255">
        <f t="shared" ca="1" si="151"/>
        <v>1</v>
      </c>
      <c r="R421" s="255">
        <f ca="1">+IF(ISERROR(OFFSET(Tabella!$G$1,MATCH(J421,Tabella!$G:$G,0)-1,MATCH(K421,Tabella!$G$1:$FG$1,0)-1)=TRUE),0,OFFSET(Tabella!$G$1,MATCH(J421,Tabella!$G:$G,0)-1,MATCH(K421,Tabella!$G$1:$AB$1,0)-1))</f>
        <v>0</v>
      </c>
      <c r="S421" s="255">
        <f ca="1">IF(ISERROR(OFFSET(Ottone!$F$1,MATCH(J421,Ottone!$A:$A,0)-1,MATCH(K421,Ottone!$F$1:$FF$1,0)-1)=TRUE),0,OFFSET(Ottone!$F$1,MATCH(J421,Ottone!$A:$A,0)-1,MATCH(K421,Ottone!$F$1:$FF$1,0)-1))*IF(G421="Ottone",1,0)</f>
        <v>0</v>
      </c>
      <c r="T421" s="255">
        <f ca="1">IF(ISERROR(OFFSET(Rame!$F$1,MATCH(J421,Rame!$F:$F,0)-1,MATCH(K421,Rame!$F$1:$FF$1,0)-1)=TRUE),0,OFFSET(Rame!$F$1,MATCH(J421,Rame!$F:$F,0)-1,MATCH(K421,Rame!$F$1:$FF$1,0)-1))*IF(G421="Rame",1,0)</f>
        <v>0</v>
      </c>
      <c r="U421" s="255">
        <f ca="1">IF(ISERROR(OFFSET(Bronzo!$A$1,MATCH(J421,Bronzo!$A:$A,0)-1,MATCH(K421,Bronzo!$A$1:$AA$1,0)-1)=TRUE),0,OFFSET(Bronzo!$A$1,MATCH(J421,Bronzo!$A:$A,0)-1,MATCH(K421,Bronzo!$A$1:$AA$1,0)-1))</f>
        <v>0</v>
      </c>
      <c r="V421" s="255">
        <f t="shared" ca="1" si="152"/>
        <v>0</v>
      </c>
      <c r="W421" s="254"/>
      <c r="X421" s="255">
        <v>0</v>
      </c>
      <c r="Y421" s="256">
        <f t="shared" ca="1" si="153"/>
        <v>1</v>
      </c>
      <c r="Z421" s="257">
        <f t="shared" si="154"/>
        <v>60</v>
      </c>
      <c r="AA421" s="253">
        <v>14.7</v>
      </c>
      <c r="AB421" s="253">
        <f t="shared" ca="1" si="155"/>
        <v>2.6499999999999986</v>
      </c>
      <c r="AC421" s="258">
        <v>46122</v>
      </c>
      <c r="AH421" s="232">
        <f t="shared" ca="1" si="149"/>
        <v>46120</v>
      </c>
      <c r="AI421" s="232" t="b">
        <f t="shared" si="144"/>
        <v>0</v>
      </c>
      <c r="AJ421" s="259">
        <f t="shared" ca="1" si="150"/>
        <v>2</v>
      </c>
      <c r="AM421" s="223">
        <f t="shared" si="145"/>
        <v>15</v>
      </c>
      <c r="AN421" s="223">
        <f t="shared" si="146"/>
        <v>2026</v>
      </c>
      <c r="AU421" s="223">
        <f t="shared" si="147"/>
        <v>4</v>
      </c>
      <c r="AV421" s="223">
        <f t="shared" si="148"/>
        <v>2026</v>
      </c>
    </row>
    <row r="422" spans="4:48" ht="26.25" x14ac:dyDescent="0.4">
      <c r="D422" s="246" t="s">
        <v>669</v>
      </c>
      <c r="E422" s="262" t="s">
        <v>257</v>
      </c>
      <c r="F422" s="263">
        <v>704</v>
      </c>
      <c r="G422" s="249" t="s">
        <v>4</v>
      </c>
      <c r="H422" s="250">
        <v>2.91</v>
      </c>
      <c r="I422" s="251">
        <v>46090</v>
      </c>
      <c r="J422" s="252" t="s">
        <v>24</v>
      </c>
      <c r="K422" s="252"/>
      <c r="L422" s="253">
        <v>7.0000000000000007E-2</v>
      </c>
      <c r="M422" s="254">
        <f ca="1">IF(ISERROR(OFFSET(Tabella!$A$1,MATCH(J422,Tabella!$A:$A,0)-1,MATCH(L422,Tabella!$A$1:$AC$1,0)-1)=TRUE),0,+OFFSET(Tabella!$A$1,MATCH(J422,Tabella!$A:$A,0)-1,MATCH(L422,Tabella!$A$1:$AC$1,0)-1))</f>
        <v>1.25</v>
      </c>
      <c r="N422" s="255">
        <f ca="1">IF(ISERROR(OFFSET(Ottone!$A$1,MATCH(J422,Ottone!$A:$A,0)-1,MATCH(L422,Ottone!$A$1:$Z$1,0)-1)=TRUE),0,OFFSET(Ottone!$A$1,MATCH(J422,Ottone!$A:$A,0)-1,MATCH(L422,Ottone!$A$1:$Z$1,0)-1))*IF(G422="Ottone",1,0)</f>
        <v>0</v>
      </c>
      <c r="O422" s="255">
        <f ca="1">IF(ISERROR(OFFSET(Rame!$A$1,MATCH(J422,Rame!$A:$A,0)-1,MATCH(L422,Rame!$A$1:$AA$1,0)-1)=TRUE),0,OFFSET(Rame!$A$1,MATCH(J422,Rame!$A:$A,0)-1,MATCH(L422,Rame!$A$1:$AA$1,0)-1))*IF(G422="Rame",1,0)</f>
        <v>0</v>
      </c>
      <c r="P422" s="255">
        <v>0</v>
      </c>
      <c r="Q422" s="255">
        <v>1.5</v>
      </c>
      <c r="R422" s="255">
        <f ca="1">+IF(ISERROR(OFFSET(Tabella!$G$1,MATCH(J422,Tabella!$G:$G,0)-1,MATCH(K422,Tabella!$G$1:$FG$1,0)-1)=TRUE),0,OFFSET(Tabella!$G$1,MATCH(J422,Tabella!$G:$G,0)-1,MATCH(K422,Tabella!$G$1:$AB$1,0)-1))</f>
        <v>0</v>
      </c>
      <c r="S422" s="255">
        <f ca="1">IF(ISERROR(OFFSET(Ottone!$F$1,MATCH(J422,Ottone!$A:$A,0)-1,MATCH(K422,Ottone!$F$1:$FF$1,0)-1)=TRUE),0,OFFSET(Ottone!$F$1,MATCH(J422,Ottone!$A:$A,0)-1,MATCH(K422,Ottone!$F$1:$FF$1,0)-1))*IF(G422="Ottone",1,0)</f>
        <v>0</v>
      </c>
      <c r="T422" s="255">
        <f ca="1">IF(ISERROR(OFFSET(Rame!$F$1,MATCH(J422,Rame!$F:$F,0)-1,MATCH(K422,Rame!$F$1:$FF$1,0)-1)=TRUE),0,OFFSET(Rame!$F$1,MATCH(J422,Rame!$F:$F,0)-1,MATCH(K422,Rame!$F$1:$FF$1,0)-1))*IF(G422="Rame",1,0)</f>
        <v>0</v>
      </c>
      <c r="U422" s="255">
        <f ca="1">IF(ISERROR(OFFSET(Bronzo!$A$1,MATCH(J422,Bronzo!$A:$A,0)-1,MATCH(K422,Bronzo!$A$1:$AA$1,0)-1)=TRUE),0,OFFSET(Bronzo!$A$1,MATCH(J422,Bronzo!$A:$A,0)-1,MATCH(K422,Bronzo!$A$1:$AA$1,0)-1))</f>
        <v>0</v>
      </c>
      <c r="V422" s="255">
        <f t="shared" ca="1" si="152"/>
        <v>0</v>
      </c>
      <c r="W422" s="254"/>
      <c r="X422" s="255">
        <v>0</v>
      </c>
      <c r="Y422" s="256">
        <f t="shared" ca="1" si="153"/>
        <v>1.5</v>
      </c>
      <c r="Z422" s="269">
        <f t="shared" si="154"/>
        <v>49.28</v>
      </c>
      <c r="AA422" s="253">
        <v>4.45</v>
      </c>
      <c r="AB422" s="253">
        <f t="shared" ca="1" si="155"/>
        <v>4.0000000000000036E-2</v>
      </c>
      <c r="AC422" s="258"/>
      <c r="AF422" s="223" t="s">
        <v>405</v>
      </c>
      <c r="AH422" s="232">
        <f t="shared" ca="1" si="149"/>
        <v>46120</v>
      </c>
      <c r="AI422" s="232" t="b">
        <f t="shared" si="144"/>
        <v>1</v>
      </c>
      <c r="AJ422" s="259" t="str">
        <f t="shared" si="150"/>
        <v/>
      </c>
      <c r="AM422" s="223">
        <f t="shared" si="145"/>
        <v>0</v>
      </c>
      <c r="AN422" s="223">
        <f t="shared" si="146"/>
        <v>1900</v>
      </c>
      <c r="AU422" s="223">
        <f t="shared" si="147"/>
        <v>0</v>
      </c>
      <c r="AV422" s="223">
        <f t="shared" si="148"/>
        <v>0</v>
      </c>
    </row>
    <row r="423" spans="4:48" ht="26.25" x14ac:dyDescent="0.4">
      <c r="D423" s="246" t="s">
        <v>659</v>
      </c>
      <c r="E423" s="262" t="s">
        <v>447</v>
      </c>
      <c r="F423" s="263">
        <v>232</v>
      </c>
      <c r="G423" s="249" t="s">
        <v>4</v>
      </c>
      <c r="H423" s="250">
        <v>2.84</v>
      </c>
      <c r="I423" s="251">
        <v>46090</v>
      </c>
      <c r="J423" s="252" t="s">
        <v>22</v>
      </c>
      <c r="K423" s="252"/>
      <c r="L423" s="253">
        <v>7.0000000000000007E-2</v>
      </c>
      <c r="M423" s="254">
        <f ca="1">IF(ISERROR(OFFSET(Tabella!$A$1,MATCH(J423,Tabella!$A:$A,0)-1,MATCH(L423,Tabella!$A$1:$AC$1,0)-1)=TRUE),0,+OFFSET(Tabella!$A$1,MATCH(J423,Tabella!$A:$A,0)-1,MATCH(L423,Tabella!$A$1:$AC$1,0)-1))</f>
        <v>1.25</v>
      </c>
      <c r="N423" s="255">
        <f ca="1">IF(ISERROR(OFFSET(Ottone!$A$1,MATCH(J423,Ottone!$A:$A,0)-1,MATCH(L423,Ottone!$A$1:$Z$1,0)-1)=TRUE),0,OFFSET(Ottone!$A$1,MATCH(J423,Ottone!$A:$A,0)-1,MATCH(L423,Ottone!$A$1:$Z$1,0)-1))*IF(G423="Ottone",1,0)</f>
        <v>0</v>
      </c>
      <c r="O423" s="255">
        <f ca="1">IF(ISERROR(OFFSET(Rame!$A$1,MATCH(J423,Rame!$A:$A,0)-1,MATCH(L423,Rame!$A$1:$AA$1,0)-1)=TRUE),0,OFFSET(Rame!$A$1,MATCH(J423,Rame!$A:$A,0)-1,MATCH(L423,Rame!$A$1:$AA$1,0)-1))*IF(G423="Rame",1,0)</f>
        <v>0</v>
      </c>
      <c r="P423" s="255">
        <v>0</v>
      </c>
      <c r="Q423" s="255">
        <v>1.5</v>
      </c>
      <c r="R423" s="255">
        <f ca="1">+IF(ISERROR(OFFSET(Tabella!$G$1,MATCH(J423,Tabella!$G:$G,0)-1,MATCH(K423,Tabella!$G$1:$FG$1,0)-1)=TRUE),0,OFFSET(Tabella!$G$1,MATCH(J423,Tabella!$G:$G,0)-1,MATCH(K423,Tabella!$G$1:$AB$1,0)-1))</f>
        <v>0</v>
      </c>
      <c r="S423" s="255">
        <f ca="1">IF(ISERROR(OFFSET(Ottone!$F$1,MATCH(J423,Ottone!$A:$A,0)-1,MATCH(K423,Ottone!$F$1:$FF$1,0)-1)=TRUE),0,OFFSET(Ottone!$F$1,MATCH(J423,Ottone!$A:$A,0)-1,MATCH(K423,Ottone!$F$1:$FF$1,0)-1))*IF(G423="Ottone",1,0)</f>
        <v>0</v>
      </c>
      <c r="T423" s="255">
        <f ca="1">IF(ISERROR(OFFSET(Rame!$F$1,MATCH(J423,Rame!$F:$F,0)-1,MATCH(K423,Rame!$F$1:$FF$1,0)-1)=TRUE),0,OFFSET(Rame!$F$1,MATCH(J423,Rame!$F:$F,0)-1,MATCH(K423,Rame!$F$1:$FF$1,0)-1))*IF(G423="Rame",1,0)</f>
        <v>0</v>
      </c>
      <c r="U423" s="255">
        <f ca="1">IF(ISERROR(OFFSET(Bronzo!$A$1,MATCH(J423,Bronzo!$A:$A,0)-1,MATCH(K423,Bronzo!$A$1:$AA$1,0)-1)=TRUE),0,OFFSET(Bronzo!$A$1,MATCH(J423,Bronzo!$A:$A,0)-1,MATCH(K423,Bronzo!$A$1:$AA$1,0)-1))</f>
        <v>0</v>
      </c>
      <c r="V423" s="255">
        <f t="shared" ca="1" si="152"/>
        <v>0</v>
      </c>
      <c r="W423" s="254"/>
      <c r="X423" s="255">
        <v>0</v>
      </c>
      <c r="Y423" s="256">
        <f t="shared" ca="1" si="153"/>
        <v>1.5</v>
      </c>
      <c r="Z423" s="269">
        <f t="shared" si="154"/>
        <v>16.240000000000002</v>
      </c>
      <c r="AA423" s="253">
        <v>4.3499999999999996</v>
      </c>
      <c r="AB423" s="253">
        <f t="shared" ca="1" si="155"/>
        <v>9.9999999999997868E-3</v>
      </c>
      <c r="AC423" s="258"/>
      <c r="AF423" s="223" t="s">
        <v>405</v>
      </c>
      <c r="AH423" s="232">
        <f t="shared" ca="1" si="149"/>
        <v>46120</v>
      </c>
      <c r="AI423" s="232" t="b">
        <f t="shared" si="144"/>
        <v>1</v>
      </c>
      <c r="AJ423" s="259" t="str">
        <f t="shared" si="150"/>
        <v/>
      </c>
      <c r="AM423" s="223">
        <f t="shared" si="145"/>
        <v>0</v>
      </c>
      <c r="AN423" s="223">
        <f t="shared" si="146"/>
        <v>1900</v>
      </c>
      <c r="AU423" s="223">
        <f t="shared" si="147"/>
        <v>0</v>
      </c>
      <c r="AV423" s="223">
        <f t="shared" si="148"/>
        <v>0</v>
      </c>
    </row>
    <row r="424" spans="4:48" ht="26.25" x14ac:dyDescent="0.4">
      <c r="D424" s="246" t="s">
        <v>583</v>
      </c>
      <c r="E424" s="252" t="s">
        <v>241</v>
      </c>
      <c r="F424" s="276">
        <v>300</v>
      </c>
      <c r="G424" s="249" t="s">
        <v>4</v>
      </c>
      <c r="H424" s="250">
        <v>2.84</v>
      </c>
      <c r="I424" s="251">
        <v>46090</v>
      </c>
      <c r="J424" s="252" t="s">
        <v>19</v>
      </c>
      <c r="K424" s="252"/>
      <c r="L424" s="253">
        <v>7.0000000000000007E-2</v>
      </c>
      <c r="M424" s="254">
        <f ca="1">IF(ISERROR(OFFSET(Tabella!$A$1,MATCH(J424,Tabella!$A:$A,0)-1,MATCH(L424,Tabella!$A$1:$AC$1,0)-1)=TRUE),0,+OFFSET(Tabella!$A$1,MATCH(J424,Tabella!$A:$A,0)-1,MATCH(L424,Tabella!$A$1:$AC$1,0)-1))</f>
        <v>1.35</v>
      </c>
      <c r="N424" s="255">
        <f ca="1">IF(ISERROR(OFFSET(Ottone!$A$1,MATCH(J424,Ottone!$A:$A,0)-1,MATCH(L424,Ottone!$A$1:$Z$1,0)-1)=TRUE),0,OFFSET(Ottone!$A$1,MATCH(J424,Ottone!$A:$A,0)-1,MATCH(L424,Ottone!$A$1:$Z$1,0)-1))*IF(G424="Ottone",1,0)</f>
        <v>0</v>
      </c>
      <c r="O424" s="255">
        <f ca="1">IF(ISERROR(OFFSET(Rame!$A$1,MATCH(J424,Rame!$A:$A,0)-1,MATCH(L424,Rame!$A$1:$AA$1,0)-1)=TRUE),0,OFFSET(Rame!$A$1,MATCH(J424,Rame!$A:$A,0)-1,MATCH(L424,Rame!$A$1:$AA$1,0)-1))*IF(G424="Rame",1,0)</f>
        <v>0</v>
      </c>
      <c r="P424" s="255">
        <v>0</v>
      </c>
      <c r="Q424" s="255">
        <f t="shared" ca="1" si="151"/>
        <v>1.35</v>
      </c>
      <c r="R424" s="255">
        <f ca="1">+IF(ISERROR(OFFSET(Tabella!$G$1,MATCH(J424,Tabella!$G:$G,0)-1,MATCH(K424,Tabella!$G$1:$FG$1,0)-1)=TRUE),0,OFFSET(Tabella!$G$1,MATCH(J424,Tabella!$G:$G,0)-1,MATCH(K424,Tabella!$G$1:$AB$1,0)-1))</f>
        <v>0</v>
      </c>
      <c r="S424" s="255">
        <f ca="1">IF(ISERROR(OFFSET(Ottone!$F$1,MATCH(J424,Ottone!$A:$A,0)-1,MATCH(K424,Ottone!$F$1:$FF$1,0)-1)=TRUE),0,OFFSET(Ottone!$F$1,MATCH(J424,Ottone!$A:$A,0)-1,MATCH(K424,Ottone!$F$1:$FF$1,0)-1))*IF(G424="Ottone",1,0)</f>
        <v>0</v>
      </c>
      <c r="T424" s="255">
        <f ca="1">IF(ISERROR(OFFSET(Rame!$F$1,MATCH(J424,Rame!$F:$F,0)-1,MATCH(K424,Rame!$F$1:$FF$1,0)-1)=TRUE),0,OFFSET(Rame!$F$1,MATCH(J424,Rame!$F:$F,0)-1,MATCH(K424,Rame!$F$1:$FF$1,0)-1))*IF(G424="Rame",1,0)</f>
        <v>0</v>
      </c>
      <c r="U424" s="255">
        <f ca="1">IF(ISERROR(OFFSET(Bronzo!$A$1,MATCH(J424,Bronzo!$A:$A,0)-1,MATCH(K424,Bronzo!$A$1:$AA$1,0)-1)=TRUE),0,OFFSET(Bronzo!$A$1,MATCH(J424,Bronzo!$A:$A,0)-1,MATCH(K424,Bronzo!$A$1:$AA$1,0)-1))</f>
        <v>0</v>
      </c>
      <c r="V424" s="255">
        <f t="shared" ca="1" si="152"/>
        <v>0</v>
      </c>
      <c r="W424" s="254"/>
      <c r="X424" s="255">
        <v>0</v>
      </c>
      <c r="Y424" s="256">
        <f t="shared" ca="1" si="153"/>
        <v>1.35</v>
      </c>
      <c r="Z424" s="257">
        <f t="shared" si="154"/>
        <v>21.000000000000004</v>
      </c>
      <c r="AA424" s="253">
        <v>4.38</v>
      </c>
      <c r="AB424" s="253">
        <f t="shared" ca="1" si="155"/>
        <v>0.18999999999999995</v>
      </c>
      <c r="AC424" s="258">
        <v>46115</v>
      </c>
      <c r="AH424" s="232">
        <f t="shared" ca="1" si="149"/>
        <v>46120</v>
      </c>
      <c r="AI424" s="232" t="b">
        <f t="shared" si="144"/>
        <v>0</v>
      </c>
      <c r="AJ424" s="259">
        <f t="shared" ca="1" si="150"/>
        <v>-5</v>
      </c>
      <c r="AM424" s="223">
        <f t="shared" si="145"/>
        <v>14</v>
      </c>
      <c r="AN424" s="223">
        <f t="shared" si="146"/>
        <v>2026</v>
      </c>
      <c r="AU424" s="223">
        <f t="shared" si="147"/>
        <v>4</v>
      </c>
      <c r="AV424" s="223">
        <f t="shared" si="148"/>
        <v>2026</v>
      </c>
    </row>
    <row r="425" spans="4:48" ht="26.25" x14ac:dyDescent="0.4">
      <c r="D425" s="246" t="s">
        <v>647</v>
      </c>
      <c r="E425" s="252" t="s">
        <v>92</v>
      </c>
      <c r="F425" s="276">
        <v>300</v>
      </c>
      <c r="G425" s="249" t="s">
        <v>4</v>
      </c>
      <c r="H425" s="250">
        <v>2.91</v>
      </c>
      <c r="I425" s="251">
        <v>46090</v>
      </c>
      <c r="J425" s="252" t="s">
        <v>17</v>
      </c>
      <c r="K425" s="252"/>
      <c r="L425" s="253">
        <v>7.0000000000000007E-2</v>
      </c>
      <c r="M425" s="254">
        <f ca="1">IF(ISERROR(OFFSET(Tabella!$A$1,MATCH(J425,Tabella!$A:$A,0)-1,MATCH(L425,Tabella!$A$1:$AC$1,0)-1)=TRUE),0,+OFFSET(Tabella!$A$1,MATCH(J425,Tabella!$A:$A,0)-1,MATCH(L425,Tabella!$A$1:$AC$1,0)-1))</f>
        <v>1.4</v>
      </c>
      <c r="N425" s="255">
        <f ca="1">IF(ISERROR(OFFSET(Ottone!$A$1,MATCH(J425,Ottone!$A:$A,0)-1,MATCH(L425,Ottone!$A$1:$Z$1,0)-1)=TRUE),0,OFFSET(Ottone!$A$1,MATCH(J425,Ottone!$A:$A,0)-1,MATCH(L425,Ottone!$A$1:$Z$1,0)-1))*IF(G425="Ottone",1,0)</f>
        <v>0</v>
      </c>
      <c r="O425" s="255">
        <f ca="1">IF(ISERROR(OFFSET(Rame!$A$1,MATCH(J425,Rame!$A:$A,0)-1,MATCH(L425,Rame!$A$1:$AA$1,0)-1)=TRUE),0,OFFSET(Rame!$A$1,MATCH(J425,Rame!$A:$A,0)-1,MATCH(L425,Rame!$A$1:$AA$1,0)-1))*IF(G425="Rame",1,0)</f>
        <v>0</v>
      </c>
      <c r="P425" s="255">
        <v>0</v>
      </c>
      <c r="Q425" s="255">
        <v>1.6</v>
      </c>
      <c r="R425" s="255">
        <f ca="1">+IF(ISERROR(OFFSET(Tabella!$G$1,MATCH(J425,Tabella!$G:$G,0)-1,MATCH(K425,Tabella!$G$1:$FG$1,0)-1)=TRUE),0,OFFSET(Tabella!$G$1,MATCH(J425,Tabella!$G:$G,0)-1,MATCH(K425,Tabella!$G$1:$AB$1,0)-1))</f>
        <v>0</v>
      </c>
      <c r="S425" s="255">
        <f ca="1">IF(ISERROR(OFFSET(Ottone!$F$1,MATCH(J425,Ottone!$A:$A,0)-1,MATCH(K425,Ottone!$F$1:$FF$1,0)-1)=TRUE),0,OFFSET(Ottone!$F$1,MATCH(J425,Ottone!$A:$A,0)-1,MATCH(K425,Ottone!$F$1:$FF$1,0)-1))*IF(G425="Ottone",1,0)</f>
        <v>0</v>
      </c>
      <c r="T425" s="255">
        <f ca="1">IF(ISERROR(OFFSET(Rame!$F$1,MATCH(J425,Rame!$F:$F,0)-1,MATCH(K425,Rame!$F$1:$FF$1,0)-1)=TRUE),0,OFFSET(Rame!$F$1,MATCH(J425,Rame!$F:$F,0)-1,MATCH(K425,Rame!$F$1:$FF$1,0)-1))*IF(G425="Rame",1,0)</f>
        <v>0</v>
      </c>
      <c r="U425" s="255">
        <f ca="1">IF(ISERROR(OFFSET(Bronzo!$A$1,MATCH(J425,Bronzo!$A:$A,0)-1,MATCH(K425,Bronzo!$A$1:$AA$1,0)-1)=TRUE),0,OFFSET(Bronzo!$A$1,MATCH(J425,Bronzo!$A:$A,0)-1,MATCH(K425,Bronzo!$A$1:$AA$1,0)-1))</f>
        <v>0</v>
      </c>
      <c r="V425" s="255">
        <f t="shared" ca="1" si="152"/>
        <v>0</v>
      </c>
      <c r="W425" s="254"/>
      <c r="X425" s="255">
        <v>0</v>
      </c>
      <c r="Y425" s="256">
        <f t="shared" ca="1" si="153"/>
        <v>1.6</v>
      </c>
      <c r="Z425" s="257">
        <f t="shared" si="154"/>
        <v>21.000000000000004</v>
      </c>
      <c r="AA425" s="253">
        <v>4.51</v>
      </c>
      <c r="AB425" s="253">
        <f t="shared" ca="1" si="155"/>
        <v>0</v>
      </c>
      <c r="AC425" s="258">
        <v>46119</v>
      </c>
      <c r="AH425" s="232">
        <f t="shared" ca="1" si="149"/>
        <v>46120</v>
      </c>
      <c r="AI425" s="232" t="b">
        <f t="shared" si="144"/>
        <v>0</v>
      </c>
      <c r="AJ425" s="259">
        <f t="shared" ca="1" si="150"/>
        <v>-1</v>
      </c>
      <c r="AM425" s="223">
        <f t="shared" si="145"/>
        <v>15</v>
      </c>
      <c r="AN425" s="223">
        <f t="shared" si="146"/>
        <v>2026</v>
      </c>
      <c r="AU425" s="223">
        <f t="shared" si="147"/>
        <v>4</v>
      </c>
      <c r="AV425" s="223">
        <f t="shared" si="148"/>
        <v>2026</v>
      </c>
    </row>
    <row r="426" spans="4:48" ht="26.25" x14ac:dyDescent="0.4">
      <c r="D426" s="246" t="s">
        <v>647</v>
      </c>
      <c r="E426" s="252" t="s">
        <v>92</v>
      </c>
      <c r="F426" s="276">
        <v>600</v>
      </c>
      <c r="G426" s="249" t="s">
        <v>4</v>
      </c>
      <c r="H426" s="250">
        <v>2.91</v>
      </c>
      <c r="I426" s="251">
        <v>46090</v>
      </c>
      <c r="J426" s="252" t="s">
        <v>244</v>
      </c>
      <c r="K426" s="252"/>
      <c r="L426" s="253">
        <v>7.0000000000000007E-2</v>
      </c>
      <c r="M426" s="254">
        <f ca="1">IF(ISERROR(OFFSET(Tabella!$A$1,MATCH(J426,Tabella!$A:$A,0)-1,MATCH(L426,Tabella!$A$1:$AC$1,0)-1)=TRUE),0,+OFFSET(Tabella!$A$1,MATCH(J426,Tabella!$A:$A,0)-1,MATCH(L426,Tabella!$A$1:$AC$1,0)-1))</f>
        <v>1.35</v>
      </c>
      <c r="N426" s="255">
        <f ca="1">IF(ISERROR(OFFSET(Ottone!$A$1,MATCH(J426,Ottone!$A:$A,0)-1,MATCH(L426,Ottone!$A$1:$Z$1,0)-1)=TRUE),0,OFFSET(Ottone!$A$1,MATCH(J426,Ottone!$A:$A,0)-1,MATCH(L426,Ottone!$A$1:$Z$1,0)-1))*IF(G426="Ottone",1,0)</f>
        <v>0</v>
      </c>
      <c r="O426" s="255">
        <f ca="1">IF(ISERROR(OFFSET(Rame!$A$1,MATCH(J426,Rame!$A:$A,0)-1,MATCH(L426,Rame!$A$1:$AA$1,0)-1)=TRUE),0,OFFSET(Rame!$A$1,MATCH(J426,Rame!$A:$A,0)-1,MATCH(L426,Rame!$A$1:$AA$1,0)-1))*IF(G426="Rame",1,0)</f>
        <v>0</v>
      </c>
      <c r="P426" s="255">
        <v>0</v>
      </c>
      <c r="Q426" s="255">
        <v>1.55</v>
      </c>
      <c r="R426" s="255">
        <f ca="1">+IF(ISERROR(OFFSET(Tabella!$G$1,MATCH(J426,Tabella!$G:$G,0)-1,MATCH(K426,Tabella!$G$1:$FG$1,0)-1)=TRUE),0,OFFSET(Tabella!$G$1,MATCH(J426,Tabella!$G:$G,0)-1,MATCH(K426,Tabella!$G$1:$AB$1,0)-1))</f>
        <v>0</v>
      </c>
      <c r="S426" s="255">
        <f ca="1">IF(ISERROR(OFFSET(Ottone!$F$1,MATCH(J426,Ottone!$A:$A,0)-1,MATCH(K426,Ottone!$F$1:$FF$1,0)-1)=TRUE),0,OFFSET(Ottone!$F$1,MATCH(J426,Ottone!$A:$A,0)-1,MATCH(K426,Ottone!$F$1:$FF$1,0)-1))*IF(G426="Ottone",1,0)</f>
        <v>0</v>
      </c>
      <c r="T426" s="255">
        <f ca="1">IF(ISERROR(OFFSET(Rame!$F$1,MATCH(J426,Rame!$F:$F,0)-1,MATCH(K426,Rame!$F$1:$FF$1,0)-1)=TRUE),0,OFFSET(Rame!$F$1,MATCH(J426,Rame!$F:$F,0)-1,MATCH(K426,Rame!$F$1:$FF$1,0)-1))*IF(G426="Rame",1,0)</f>
        <v>0</v>
      </c>
      <c r="U426" s="255">
        <f ca="1">IF(ISERROR(OFFSET(Bronzo!$A$1,MATCH(J426,Bronzo!$A:$A,0)-1,MATCH(K426,Bronzo!$A$1:$AA$1,0)-1)=TRUE),0,OFFSET(Bronzo!$A$1,MATCH(J426,Bronzo!$A:$A,0)-1,MATCH(K426,Bronzo!$A$1:$AA$1,0)-1))</f>
        <v>0</v>
      </c>
      <c r="V426" s="255">
        <f t="shared" ca="1" si="152"/>
        <v>0</v>
      </c>
      <c r="W426" s="254"/>
      <c r="X426" s="255">
        <v>0</v>
      </c>
      <c r="Y426" s="256">
        <f t="shared" ca="1" si="153"/>
        <v>1.55</v>
      </c>
      <c r="Z426" s="257">
        <f t="shared" si="154"/>
        <v>42.000000000000007</v>
      </c>
      <c r="AA426" s="253">
        <v>4.46</v>
      </c>
      <c r="AB426" s="253">
        <f t="shared" ca="1" si="155"/>
        <v>0</v>
      </c>
      <c r="AC426" s="258">
        <v>46119</v>
      </c>
      <c r="AH426" s="232">
        <f t="shared" ca="1" si="149"/>
        <v>46120</v>
      </c>
      <c r="AI426" s="232" t="b">
        <f t="shared" si="144"/>
        <v>0</v>
      </c>
      <c r="AJ426" s="259">
        <f t="shared" ca="1" si="150"/>
        <v>-1</v>
      </c>
      <c r="AM426" s="223">
        <f t="shared" si="145"/>
        <v>15</v>
      </c>
      <c r="AN426" s="223">
        <f t="shared" si="146"/>
        <v>2026</v>
      </c>
      <c r="AU426" s="223">
        <f t="shared" si="147"/>
        <v>4</v>
      </c>
      <c r="AV426" s="223">
        <f t="shared" si="148"/>
        <v>2026</v>
      </c>
    </row>
    <row r="427" spans="4:48" ht="26.25" x14ac:dyDescent="0.4">
      <c r="D427" s="246" t="s">
        <v>647</v>
      </c>
      <c r="E427" s="252" t="s">
        <v>92</v>
      </c>
      <c r="F427" s="276">
        <v>1500</v>
      </c>
      <c r="G427" s="249" t="s">
        <v>4</v>
      </c>
      <c r="H427" s="250">
        <v>2.91</v>
      </c>
      <c r="I427" s="251">
        <v>46090</v>
      </c>
      <c r="J427" s="252" t="s">
        <v>26</v>
      </c>
      <c r="K427" s="252"/>
      <c r="L427" s="253">
        <v>7.0000000000000007E-2</v>
      </c>
      <c r="M427" s="254">
        <f ca="1">IF(ISERROR(OFFSET(Tabella!$A$1,MATCH(J427,Tabella!$A:$A,0)-1,MATCH(L427,Tabella!$A$1:$AC$1,0)-1)=TRUE),0,+OFFSET(Tabella!$A$1,MATCH(J427,Tabella!$A:$A,0)-1,MATCH(L427,Tabella!$A$1:$AC$1,0)-1))</f>
        <v>1.25</v>
      </c>
      <c r="N427" s="255">
        <f ca="1">IF(ISERROR(OFFSET(Ottone!$A$1,MATCH(J427,Ottone!$A:$A,0)-1,MATCH(L427,Ottone!$A$1:$Z$1,0)-1)=TRUE),0,OFFSET(Ottone!$A$1,MATCH(J427,Ottone!$A:$A,0)-1,MATCH(L427,Ottone!$A$1:$Z$1,0)-1))*IF(G427="Ottone",1,0)</f>
        <v>0</v>
      </c>
      <c r="O427" s="255">
        <f ca="1">IF(ISERROR(OFFSET(Rame!$A$1,MATCH(J427,Rame!$A:$A,0)-1,MATCH(L427,Rame!$A$1:$AA$1,0)-1)=TRUE),0,OFFSET(Rame!$A$1,MATCH(J427,Rame!$A:$A,0)-1,MATCH(L427,Rame!$A$1:$AA$1,0)-1))*IF(G427="Rame",1,0)</f>
        <v>0</v>
      </c>
      <c r="P427" s="255">
        <v>0</v>
      </c>
      <c r="Q427" s="255">
        <v>1.5</v>
      </c>
      <c r="R427" s="255">
        <f ca="1">+IF(ISERROR(OFFSET(Tabella!$G$1,MATCH(J427,Tabella!$G:$G,0)-1,MATCH(K427,Tabella!$G$1:$FG$1,0)-1)=TRUE),0,OFFSET(Tabella!$G$1,MATCH(J427,Tabella!$G:$G,0)-1,MATCH(K427,Tabella!$G$1:$AB$1,0)-1))</f>
        <v>0</v>
      </c>
      <c r="S427" s="255">
        <f ca="1">IF(ISERROR(OFFSET(Ottone!$F$1,MATCH(J427,Ottone!$A:$A,0)-1,MATCH(K427,Ottone!$F$1:$FF$1,0)-1)=TRUE),0,OFFSET(Ottone!$F$1,MATCH(J427,Ottone!$A:$A,0)-1,MATCH(K427,Ottone!$F$1:$FF$1,0)-1))*IF(G427="Ottone",1,0)</f>
        <v>0</v>
      </c>
      <c r="T427" s="255">
        <f ca="1">IF(ISERROR(OFFSET(Rame!$F$1,MATCH(J427,Rame!$F:$F,0)-1,MATCH(K427,Rame!$F$1:$FF$1,0)-1)=TRUE),0,OFFSET(Rame!$F$1,MATCH(J427,Rame!$F:$F,0)-1,MATCH(K427,Rame!$F$1:$FF$1,0)-1))*IF(G427="Rame",1,0)</f>
        <v>0</v>
      </c>
      <c r="U427" s="255">
        <f ca="1">IF(ISERROR(OFFSET(Bronzo!$A$1,MATCH(J427,Bronzo!$A:$A,0)-1,MATCH(K427,Bronzo!$A$1:$AA$1,0)-1)=TRUE),0,OFFSET(Bronzo!$A$1,MATCH(J427,Bronzo!$A:$A,0)-1,MATCH(K427,Bronzo!$A$1:$AA$1,0)-1))</f>
        <v>0</v>
      </c>
      <c r="V427" s="255">
        <f t="shared" ca="1" si="152"/>
        <v>0</v>
      </c>
      <c r="W427" s="254"/>
      <c r="X427" s="255">
        <v>0</v>
      </c>
      <c r="Y427" s="256">
        <f t="shared" ca="1" si="153"/>
        <v>1.5</v>
      </c>
      <c r="Z427" s="257">
        <f t="shared" si="154"/>
        <v>105.00000000000001</v>
      </c>
      <c r="AA427" s="253">
        <v>4.41</v>
      </c>
      <c r="AB427" s="253">
        <f t="shared" ca="1" si="155"/>
        <v>0</v>
      </c>
      <c r="AC427" s="258">
        <v>46119</v>
      </c>
      <c r="AH427" s="232">
        <f t="shared" ca="1" si="149"/>
        <v>46120</v>
      </c>
      <c r="AI427" s="232" t="b">
        <f t="shared" si="144"/>
        <v>0</v>
      </c>
      <c r="AJ427" s="259">
        <f t="shared" ca="1" si="150"/>
        <v>-1</v>
      </c>
      <c r="AM427" s="223">
        <f t="shared" si="145"/>
        <v>15</v>
      </c>
      <c r="AN427" s="223">
        <f t="shared" si="146"/>
        <v>2026</v>
      </c>
      <c r="AU427" s="223">
        <f t="shared" si="147"/>
        <v>4</v>
      </c>
      <c r="AV427" s="223">
        <f t="shared" si="148"/>
        <v>2026</v>
      </c>
    </row>
    <row r="428" spans="4:48" ht="26.25" x14ac:dyDescent="0.4">
      <c r="D428" s="246" t="s">
        <v>647</v>
      </c>
      <c r="E428" s="252" t="s">
        <v>92</v>
      </c>
      <c r="F428" s="276">
        <v>600</v>
      </c>
      <c r="G428" s="249" t="s">
        <v>4</v>
      </c>
      <c r="H428" s="250">
        <v>2.91</v>
      </c>
      <c r="I428" s="251">
        <v>46090</v>
      </c>
      <c r="J428" s="252" t="s">
        <v>28</v>
      </c>
      <c r="K428" s="252"/>
      <c r="L428" s="253">
        <v>7.0000000000000007E-2</v>
      </c>
      <c r="M428" s="254">
        <f ca="1">IF(ISERROR(OFFSET(Tabella!$A$1,MATCH(J428,Tabella!$A:$A,0)-1,MATCH(L428,Tabella!$A$1:$AC$1,0)-1)=TRUE),0,+OFFSET(Tabella!$A$1,MATCH(J428,Tabella!$A:$A,0)-1,MATCH(L428,Tabella!$A$1:$AC$1,0)-1))</f>
        <v>1.25</v>
      </c>
      <c r="N428" s="255">
        <f ca="1">IF(ISERROR(OFFSET(Ottone!$A$1,MATCH(J428,Ottone!$A:$A,0)-1,MATCH(L428,Ottone!$A$1:$Z$1,0)-1)=TRUE),0,OFFSET(Ottone!$A$1,MATCH(J428,Ottone!$A:$A,0)-1,MATCH(L428,Ottone!$A$1:$Z$1,0)-1))*IF(G428="Ottone",1,0)</f>
        <v>0</v>
      </c>
      <c r="O428" s="255">
        <f ca="1">IF(ISERROR(OFFSET(Rame!$A$1,MATCH(J428,Rame!$A:$A,0)-1,MATCH(L428,Rame!$A$1:$AA$1,0)-1)=TRUE),0,OFFSET(Rame!$A$1,MATCH(J428,Rame!$A:$A,0)-1,MATCH(L428,Rame!$A$1:$AA$1,0)-1))*IF(G428="Rame",1,0)</f>
        <v>0</v>
      </c>
      <c r="P428" s="255">
        <v>0</v>
      </c>
      <c r="Q428" s="255">
        <v>1.5</v>
      </c>
      <c r="R428" s="255">
        <f ca="1">+IF(ISERROR(OFFSET(Tabella!$G$1,MATCH(J428,Tabella!$G:$G,0)-1,MATCH(K428,Tabella!$G$1:$FG$1,0)-1)=TRUE),0,OFFSET(Tabella!$G$1,MATCH(J428,Tabella!$G:$G,0)-1,MATCH(K428,Tabella!$G$1:$AB$1,0)-1))</f>
        <v>0</v>
      </c>
      <c r="S428" s="255">
        <f ca="1">IF(ISERROR(OFFSET(Ottone!$F$1,MATCH(J428,Ottone!$A:$A,0)-1,MATCH(K428,Ottone!$F$1:$FF$1,0)-1)=TRUE),0,OFFSET(Ottone!$F$1,MATCH(J428,Ottone!$A:$A,0)-1,MATCH(K428,Ottone!$F$1:$FF$1,0)-1))*IF(G428="Ottone",1,0)</f>
        <v>0</v>
      </c>
      <c r="T428" s="255">
        <f ca="1">IF(ISERROR(OFFSET(Rame!$F$1,MATCH(J428,Rame!$F:$F,0)-1,MATCH(K428,Rame!$F$1:$FF$1,0)-1)=TRUE),0,OFFSET(Rame!$F$1,MATCH(J428,Rame!$F:$F,0)-1,MATCH(K428,Rame!$F$1:$FF$1,0)-1))*IF(G428="Rame",1,0)</f>
        <v>0</v>
      </c>
      <c r="U428" s="255">
        <f ca="1">IF(ISERROR(OFFSET(Bronzo!$A$1,MATCH(J428,Bronzo!$A:$A,0)-1,MATCH(K428,Bronzo!$A$1:$AA$1,0)-1)=TRUE),0,OFFSET(Bronzo!$A$1,MATCH(J428,Bronzo!$A:$A,0)-1,MATCH(K428,Bronzo!$A$1:$AA$1,0)-1))</f>
        <v>0</v>
      </c>
      <c r="V428" s="255">
        <f t="shared" ca="1" si="152"/>
        <v>0</v>
      </c>
      <c r="W428" s="254"/>
      <c r="X428" s="255">
        <v>0</v>
      </c>
      <c r="Y428" s="256">
        <f t="shared" ca="1" si="153"/>
        <v>1.5</v>
      </c>
      <c r="Z428" s="257">
        <f t="shared" si="154"/>
        <v>42.000000000000007</v>
      </c>
      <c r="AA428" s="253">
        <v>4.41</v>
      </c>
      <c r="AB428" s="253">
        <f t="shared" ca="1" si="155"/>
        <v>0</v>
      </c>
      <c r="AC428" s="258">
        <v>46119</v>
      </c>
      <c r="AH428" s="232">
        <f t="shared" ca="1" si="149"/>
        <v>46120</v>
      </c>
      <c r="AI428" s="232" t="b">
        <f t="shared" si="144"/>
        <v>0</v>
      </c>
      <c r="AJ428" s="259">
        <f t="shared" ca="1" si="150"/>
        <v>-1</v>
      </c>
      <c r="AM428" s="223">
        <f t="shared" si="145"/>
        <v>15</v>
      </c>
      <c r="AN428" s="223">
        <f t="shared" si="146"/>
        <v>2026</v>
      </c>
      <c r="AU428" s="223">
        <f t="shared" si="147"/>
        <v>4</v>
      </c>
      <c r="AV428" s="223">
        <f t="shared" si="148"/>
        <v>2026</v>
      </c>
    </row>
    <row r="429" spans="4:48" ht="26.25" x14ac:dyDescent="0.4">
      <c r="D429" s="246" t="s">
        <v>639</v>
      </c>
      <c r="E429" s="252" t="s">
        <v>397</v>
      </c>
      <c r="F429" s="276">
        <v>300</v>
      </c>
      <c r="G429" s="249" t="s">
        <v>4</v>
      </c>
      <c r="H429" s="250">
        <v>2.91</v>
      </c>
      <c r="I429" s="251">
        <v>46090</v>
      </c>
      <c r="J429" s="252" t="s">
        <v>25</v>
      </c>
      <c r="K429" s="252"/>
      <c r="L429" s="253">
        <v>7.0000000000000007E-2</v>
      </c>
      <c r="M429" s="254">
        <f ca="1">IF(ISERROR(OFFSET(Tabella!$A$1,MATCH(J429,Tabella!$A:$A,0)-1,MATCH(L429,Tabella!$A$1:$AC$1,0)-1)=TRUE),0,+OFFSET(Tabella!$A$1,MATCH(J429,Tabella!$A:$A,0)-1,MATCH(L429,Tabella!$A$1:$AC$1,0)-1))</f>
        <v>1.25</v>
      </c>
      <c r="N429" s="255">
        <f ca="1">IF(ISERROR(OFFSET(Ottone!$A$1,MATCH(J429,Ottone!$A:$A,0)-1,MATCH(L429,Ottone!$A$1:$Z$1,0)-1)=TRUE),0,OFFSET(Ottone!$A$1,MATCH(J429,Ottone!$A:$A,0)-1,MATCH(L429,Ottone!$A$1:$Z$1,0)-1))*IF(G429="Ottone",1,0)</f>
        <v>0</v>
      </c>
      <c r="O429" s="255">
        <f ca="1">IF(ISERROR(OFFSET(Rame!$A$1,MATCH(J429,Rame!$A:$A,0)-1,MATCH(L429,Rame!$A$1:$AA$1,0)-1)=TRUE),0,OFFSET(Rame!$A$1,MATCH(J429,Rame!$A:$A,0)-1,MATCH(L429,Rame!$A$1:$AA$1,0)-1))*IF(G429="Rame",1,0)</f>
        <v>0</v>
      </c>
      <c r="P429" s="255">
        <v>0</v>
      </c>
      <c r="Q429" s="255">
        <v>1.5</v>
      </c>
      <c r="R429" s="255">
        <f ca="1">+IF(ISERROR(OFFSET(Tabella!$G$1,MATCH(J429,Tabella!$G:$G,0)-1,MATCH(K429,Tabella!$G$1:$FG$1,0)-1)=TRUE),0,OFFSET(Tabella!$G$1,MATCH(J429,Tabella!$G:$G,0)-1,MATCH(K429,Tabella!$G$1:$AB$1,0)-1))</f>
        <v>0</v>
      </c>
      <c r="S429" s="255">
        <f ca="1">IF(ISERROR(OFFSET(Ottone!$F$1,MATCH(J429,Ottone!$A:$A,0)-1,MATCH(K429,Ottone!$F$1:$FF$1,0)-1)=TRUE),0,OFFSET(Ottone!$F$1,MATCH(J429,Ottone!$A:$A,0)-1,MATCH(K429,Ottone!$F$1:$FF$1,0)-1))*IF(G429="Ottone",1,0)</f>
        <v>0</v>
      </c>
      <c r="T429" s="255">
        <f ca="1">IF(ISERROR(OFFSET(Rame!$F$1,MATCH(J429,Rame!$F:$F,0)-1,MATCH(K429,Rame!$F$1:$FF$1,0)-1)=TRUE),0,OFFSET(Rame!$F$1,MATCH(J429,Rame!$F:$F,0)-1,MATCH(K429,Rame!$F$1:$FF$1,0)-1))*IF(G429="Rame",1,0)</f>
        <v>0</v>
      </c>
      <c r="U429" s="255">
        <f ca="1">IF(ISERROR(OFFSET(Bronzo!$A$1,MATCH(J429,Bronzo!$A:$A,0)-1,MATCH(K429,Bronzo!$A$1:$AA$1,0)-1)=TRUE),0,OFFSET(Bronzo!$A$1,MATCH(J429,Bronzo!$A:$A,0)-1,MATCH(K429,Bronzo!$A$1:$AA$1,0)-1))</f>
        <v>0</v>
      </c>
      <c r="V429" s="255">
        <f t="shared" ca="1" si="152"/>
        <v>0</v>
      </c>
      <c r="W429" s="254"/>
      <c r="X429" s="255">
        <v>0</v>
      </c>
      <c r="Y429" s="256">
        <f t="shared" ca="1" si="153"/>
        <v>1.5</v>
      </c>
      <c r="Z429" s="257">
        <f t="shared" si="154"/>
        <v>21.000000000000004</v>
      </c>
      <c r="AA429" s="253">
        <v>4.6500000000000004</v>
      </c>
      <c r="AB429" s="253">
        <f t="shared" ca="1" si="155"/>
        <v>0.24000000000000021</v>
      </c>
      <c r="AC429" s="258">
        <v>46115</v>
      </c>
      <c r="AH429" s="232">
        <f t="shared" ca="1" si="149"/>
        <v>46120</v>
      </c>
      <c r="AI429" s="232" t="b">
        <f t="shared" si="144"/>
        <v>0</v>
      </c>
      <c r="AJ429" s="259">
        <f t="shared" ca="1" si="150"/>
        <v>-5</v>
      </c>
      <c r="AM429" s="223">
        <f t="shared" si="145"/>
        <v>14</v>
      </c>
      <c r="AN429" s="223">
        <f t="shared" si="146"/>
        <v>2026</v>
      </c>
      <c r="AU429" s="223">
        <f t="shared" si="147"/>
        <v>4</v>
      </c>
      <c r="AV429" s="223">
        <f t="shared" si="148"/>
        <v>2026</v>
      </c>
    </row>
    <row r="430" spans="4:48" ht="26.25" x14ac:dyDescent="0.4">
      <c r="D430" s="246" t="s">
        <v>741</v>
      </c>
      <c r="E430" s="262" t="s">
        <v>397</v>
      </c>
      <c r="F430" s="263">
        <v>428</v>
      </c>
      <c r="G430" s="249" t="s">
        <v>4</v>
      </c>
      <c r="H430" s="250">
        <v>2.91</v>
      </c>
      <c r="I430" s="251">
        <v>46090</v>
      </c>
      <c r="J430" s="252" t="s">
        <v>21</v>
      </c>
      <c r="K430" s="252"/>
      <c r="L430" s="253">
        <v>7.0000000000000007E-2</v>
      </c>
      <c r="M430" s="254">
        <f ca="1">IF(ISERROR(OFFSET(Tabella!$A$1,MATCH(J430,Tabella!$A:$A,0)-1,MATCH(L430,Tabella!$A$1:$AC$1,0)-1)=TRUE),0,+OFFSET(Tabella!$A$1,MATCH(J430,Tabella!$A:$A,0)-1,MATCH(L430,Tabella!$A$1:$AC$1,0)-1))</f>
        <v>1.25</v>
      </c>
      <c r="N430" s="255">
        <f ca="1">IF(ISERROR(OFFSET(Ottone!$A$1,MATCH(J430,Ottone!$A:$A,0)-1,MATCH(L430,Ottone!$A$1:$Z$1,0)-1)=TRUE),0,OFFSET(Ottone!$A$1,MATCH(J430,Ottone!$A:$A,0)-1,MATCH(L430,Ottone!$A$1:$Z$1,0)-1))*IF(G430="Ottone",1,0)</f>
        <v>0</v>
      </c>
      <c r="O430" s="255">
        <f ca="1">IF(ISERROR(OFFSET(Rame!$A$1,MATCH(J430,Rame!$A:$A,0)-1,MATCH(L430,Rame!$A$1:$AA$1,0)-1)=TRUE),0,OFFSET(Rame!$A$1,MATCH(J430,Rame!$A:$A,0)-1,MATCH(L430,Rame!$A$1:$AA$1,0)-1))*IF(G430="Rame",1,0)</f>
        <v>0</v>
      </c>
      <c r="P430" s="255">
        <v>0</v>
      </c>
      <c r="Q430" s="255">
        <v>1.5</v>
      </c>
      <c r="R430" s="255">
        <f ca="1">+IF(ISERROR(OFFSET(Tabella!$G$1,MATCH(J430,Tabella!$G:$G,0)-1,MATCH(K430,Tabella!$G$1:$FG$1,0)-1)=TRUE),0,OFFSET(Tabella!$G$1,MATCH(J430,Tabella!$G:$G,0)-1,MATCH(K430,Tabella!$G$1:$AB$1,0)-1))</f>
        <v>0</v>
      </c>
      <c r="S430" s="255">
        <f ca="1">IF(ISERROR(OFFSET(Ottone!$F$1,MATCH(J430,Ottone!$A:$A,0)-1,MATCH(K430,Ottone!$F$1:$FF$1,0)-1)=TRUE),0,OFFSET(Ottone!$F$1,MATCH(J430,Ottone!$A:$A,0)-1,MATCH(K430,Ottone!$F$1:$FF$1,0)-1))*IF(G430="Ottone",1,0)</f>
        <v>0</v>
      </c>
      <c r="T430" s="255">
        <f ca="1">IF(ISERROR(OFFSET(Rame!$F$1,MATCH(J430,Rame!$F:$F,0)-1,MATCH(K430,Rame!$F$1:$FF$1,0)-1)=TRUE),0,OFFSET(Rame!$F$1,MATCH(J430,Rame!$F:$F,0)-1,MATCH(K430,Rame!$F$1:$FF$1,0)-1))*IF(G430="Rame",1,0)</f>
        <v>0</v>
      </c>
      <c r="U430" s="255">
        <f ca="1">IF(ISERROR(OFFSET(Bronzo!$A$1,MATCH(J430,Bronzo!$A:$A,0)-1,MATCH(K430,Bronzo!$A$1:$AA$1,0)-1)=TRUE),0,OFFSET(Bronzo!$A$1,MATCH(J430,Bronzo!$A:$A,0)-1,MATCH(K430,Bronzo!$A$1:$AA$1,0)-1))</f>
        <v>0</v>
      </c>
      <c r="V430" s="255">
        <f t="shared" ca="1" si="152"/>
        <v>0</v>
      </c>
      <c r="W430" s="254"/>
      <c r="X430" s="255">
        <v>0</v>
      </c>
      <c r="Y430" s="256">
        <f t="shared" ca="1" si="153"/>
        <v>1.5</v>
      </c>
      <c r="Z430" s="269">
        <f t="shared" si="154"/>
        <v>29.960000000000004</v>
      </c>
      <c r="AA430" s="253">
        <v>4.6500000000000004</v>
      </c>
      <c r="AB430" s="253">
        <f t="shared" ca="1" si="155"/>
        <v>0.24000000000000021</v>
      </c>
      <c r="AC430" s="258"/>
      <c r="AF430" s="223" t="s">
        <v>405</v>
      </c>
      <c r="AG430" s="223" t="s">
        <v>692</v>
      </c>
      <c r="AH430" s="232">
        <f t="shared" ca="1" si="149"/>
        <v>46120</v>
      </c>
      <c r="AI430" s="232" t="b">
        <f t="shared" si="144"/>
        <v>1</v>
      </c>
      <c r="AJ430" s="259" t="str">
        <f t="shared" si="150"/>
        <v/>
      </c>
      <c r="AM430" s="223">
        <f t="shared" si="145"/>
        <v>0</v>
      </c>
      <c r="AN430" s="223">
        <f t="shared" si="146"/>
        <v>1900</v>
      </c>
      <c r="AU430" s="223">
        <f t="shared" si="147"/>
        <v>0</v>
      </c>
      <c r="AV430" s="223">
        <f t="shared" si="148"/>
        <v>0</v>
      </c>
    </row>
    <row r="431" spans="4:48" ht="26.25" x14ac:dyDescent="0.4">
      <c r="D431" s="246" t="s">
        <v>638</v>
      </c>
      <c r="E431" s="252" t="s">
        <v>397</v>
      </c>
      <c r="F431" s="276">
        <v>300</v>
      </c>
      <c r="G431" s="249" t="s">
        <v>4</v>
      </c>
      <c r="H431" s="250">
        <v>2.93</v>
      </c>
      <c r="I431" s="251">
        <v>46090</v>
      </c>
      <c r="J431" s="252" t="s">
        <v>243</v>
      </c>
      <c r="K431" s="252"/>
      <c r="L431" s="253">
        <v>7.0000000000000007E-2</v>
      </c>
      <c r="M431" s="254">
        <f ca="1">IF(ISERROR(OFFSET(Tabella!$A$1,MATCH(J431,Tabella!$A:$A,0)-1,MATCH(L431,Tabella!$A$1:$AC$1,0)-1)=TRUE),0,+OFFSET(Tabella!$A$1,MATCH(J431,Tabella!$A:$A,0)-1,MATCH(L431,Tabella!$A$1:$AC$1,0)-1))</f>
        <v>1.4</v>
      </c>
      <c r="N431" s="255">
        <f ca="1">IF(ISERROR(OFFSET(Ottone!$A$1,MATCH(J431,Ottone!$A:$A,0)-1,MATCH(L431,Ottone!$A$1:$Z$1,0)-1)=TRUE),0,OFFSET(Ottone!$A$1,MATCH(J431,Ottone!$A:$A,0)-1,MATCH(L431,Ottone!$A$1:$Z$1,0)-1))*IF(G431="Ottone",1,0)</f>
        <v>0</v>
      </c>
      <c r="O431" s="255">
        <f ca="1">IF(ISERROR(OFFSET(Rame!$A$1,MATCH(J431,Rame!$A:$A,0)-1,MATCH(L431,Rame!$A$1:$AA$1,0)-1)=TRUE),0,OFFSET(Rame!$A$1,MATCH(J431,Rame!$A:$A,0)-1,MATCH(L431,Rame!$A$1:$AA$1,0)-1))*IF(G431="Rame",1,0)</f>
        <v>0</v>
      </c>
      <c r="P431" s="255">
        <v>0</v>
      </c>
      <c r="Q431" s="255">
        <f t="shared" ca="1" si="151"/>
        <v>1.4</v>
      </c>
      <c r="R431" s="255">
        <f ca="1">+IF(ISERROR(OFFSET(Tabella!$G$1,MATCH(J431,Tabella!$G:$G,0)-1,MATCH(K431,Tabella!$G$1:$FG$1,0)-1)=TRUE),0,OFFSET(Tabella!$G$1,MATCH(J431,Tabella!$G:$G,0)-1,MATCH(K431,Tabella!$G$1:$AB$1,0)-1))</f>
        <v>0</v>
      </c>
      <c r="S431" s="255">
        <f ca="1">IF(ISERROR(OFFSET(Ottone!$F$1,MATCH(J431,Ottone!$A:$A,0)-1,MATCH(K431,Ottone!$F$1:$FF$1,0)-1)=TRUE),0,OFFSET(Ottone!$F$1,MATCH(J431,Ottone!$A:$A,0)-1,MATCH(K431,Ottone!$F$1:$FF$1,0)-1))*IF(G431="Ottone",1,0)</f>
        <v>0</v>
      </c>
      <c r="T431" s="255">
        <f ca="1">IF(ISERROR(OFFSET(Rame!$F$1,MATCH(J431,Rame!$F:$F,0)-1,MATCH(K431,Rame!$F$1:$FF$1,0)-1)=TRUE),0,OFFSET(Rame!$F$1,MATCH(J431,Rame!$F:$F,0)-1,MATCH(K431,Rame!$F$1:$FF$1,0)-1))*IF(G431="Rame",1,0)</f>
        <v>0</v>
      </c>
      <c r="U431" s="255">
        <f ca="1">IF(ISERROR(OFFSET(Bronzo!$A$1,MATCH(J431,Bronzo!$A:$A,0)-1,MATCH(K431,Bronzo!$A$1:$AA$1,0)-1)=TRUE),0,OFFSET(Bronzo!$A$1,MATCH(J431,Bronzo!$A:$A,0)-1,MATCH(K431,Bronzo!$A$1:$AA$1,0)-1))</f>
        <v>0</v>
      </c>
      <c r="V431" s="255">
        <f t="shared" ca="1" si="152"/>
        <v>0</v>
      </c>
      <c r="W431" s="254"/>
      <c r="X431" s="255">
        <v>0</v>
      </c>
      <c r="Y431" s="256">
        <f t="shared" ca="1" si="153"/>
        <v>1.4</v>
      </c>
      <c r="Z431" s="257">
        <f t="shared" si="154"/>
        <v>21.000000000000004</v>
      </c>
      <c r="AA431" s="253">
        <v>4.75</v>
      </c>
      <c r="AB431" s="253">
        <f t="shared" ca="1" si="155"/>
        <v>0.41999999999999993</v>
      </c>
      <c r="AC431" s="258">
        <v>46127</v>
      </c>
      <c r="AH431" s="232">
        <f t="shared" ca="1" si="149"/>
        <v>46120</v>
      </c>
      <c r="AI431" s="232" t="b">
        <f t="shared" si="144"/>
        <v>0</v>
      </c>
      <c r="AJ431" s="259">
        <f t="shared" ca="1" si="150"/>
        <v>7</v>
      </c>
      <c r="AM431" s="223">
        <f t="shared" si="145"/>
        <v>16</v>
      </c>
      <c r="AN431" s="223">
        <f t="shared" si="146"/>
        <v>2026</v>
      </c>
      <c r="AU431" s="223">
        <f t="shared" si="147"/>
        <v>4</v>
      </c>
      <c r="AV431" s="223">
        <f t="shared" si="148"/>
        <v>2026</v>
      </c>
    </row>
    <row r="432" spans="4:48" ht="26.25" x14ac:dyDescent="0.4">
      <c r="D432" s="246" t="s">
        <v>574</v>
      </c>
      <c r="E432" s="262" t="s">
        <v>92</v>
      </c>
      <c r="F432" s="263">
        <v>2588</v>
      </c>
      <c r="G432" s="249" t="s">
        <v>4</v>
      </c>
      <c r="H432" s="250">
        <v>2.66</v>
      </c>
      <c r="I432" s="251">
        <v>46043</v>
      </c>
      <c r="J432" s="252" t="s">
        <v>24</v>
      </c>
      <c r="K432" s="252"/>
      <c r="L432" s="253">
        <v>7.0000000000000007E-2</v>
      </c>
      <c r="M432" s="254">
        <f ca="1">IF(ISERROR(OFFSET(Tabella!$A$1,MATCH(J432,Tabella!$A:$A,0)-1,MATCH(L432,Tabella!$A$1:$AC$1,0)-1)=TRUE),0,+OFFSET(Tabella!$A$1,MATCH(J432,Tabella!$A:$A,0)-1,MATCH(L432,Tabella!$A$1:$AC$1,0)-1))</f>
        <v>1.25</v>
      </c>
      <c r="N432" s="255">
        <f ca="1">IF(ISERROR(OFFSET(Ottone!$A$1,MATCH(J432,Ottone!$A:$A,0)-1,MATCH(L432,Ottone!$A$1:$Z$1,0)-1)=TRUE),0,OFFSET(Ottone!$A$1,MATCH(J432,Ottone!$A:$A,0)-1,MATCH(L432,Ottone!$A$1:$Z$1,0)-1))*IF(G432="Ottone",1,0)</f>
        <v>0</v>
      </c>
      <c r="O432" s="255">
        <f ca="1">IF(ISERROR(OFFSET(Rame!$A$1,MATCH(J432,Rame!$A:$A,0)-1,MATCH(L432,Rame!$A$1:$AA$1,0)-1)=TRUE),0,OFFSET(Rame!$A$1,MATCH(J432,Rame!$A:$A,0)-1,MATCH(L432,Rame!$A$1:$AA$1,0)-1))*IF(G432="Rame",1,0)</f>
        <v>0</v>
      </c>
      <c r="P432" s="255">
        <v>0</v>
      </c>
      <c r="Q432" s="255">
        <v>1.5</v>
      </c>
      <c r="R432" s="255">
        <f ca="1">+IF(ISERROR(OFFSET(Tabella!$G$1,MATCH(J432,Tabella!$G:$G,0)-1,MATCH(K432,Tabella!$G$1:$FG$1,0)-1)=TRUE),0,OFFSET(Tabella!$G$1,MATCH(J432,Tabella!$G:$G,0)-1,MATCH(K432,Tabella!$G$1:$AB$1,0)-1))</f>
        <v>0</v>
      </c>
      <c r="S432" s="255">
        <f ca="1">IF(ISERROR(OFFSET(Ottone!$F$1,MATCH(J432,Ottone!$A:$A,0)-1,MATCH(K432,Ottone!$F$1:$FF$1,0)-1)=TRUE),0,OFFSET(Ottone!$F$1,MATCH(J432,Ottone!$A:$A,0)-1,MATCH(K432,Ottone!$F$1:$FF$1,0)-1))*IF(G432="Ottone",1,0)</f>
        <v>0</v>
      </c>
      <c r="T432" s="255">
        <f ca="1">IF(ISERROR(OFFSET(Rame!$F$1,MATCH(J432,Rame!$F:$F,0)-1,MATCH(K432,Rame!$F$1:$FF$1,0)-1)=TRUE),0,OFFSET(Rame!$F$1,MATCH(J432,Rame!$F:$F,0)-1,MATCH(K432,Rame!$F$1:$FF$1,0)-1))*IF(G432="Rame",1,0)</f>
        <v>0</v>
      </c>
      <c r="U432" s="255">
        <f ca="1">IF(ISERROR(OFFSET(Bronzo!$A$1,MATCH(J432,Bronzo!$A:$A,0)-1,MATCH(K432,Bronzo!$A$1:$AA$1,0)-1)=TRUE),0,OFFSET(Bronzo!$A$1,MATCH(J432,Bronzo!$A:$A,0)-1,MATCH(K432,Bronzo!$A$1:$AA$1,0)-1))</f>
        <v>0</v>
      </c>
      <c r="V432" s="255">
        <f t="shared" ca="1" si="152"/>
        <v>0</v>
      </c>
      <c r="W432" s="254"/>
      <c r="X432" s="255">
        <v>0</v>
      </c>
      <c r="Y432" s="256">
        <f t="shared" ca="1" si="153"/>
        <v>1.5</v>
      </c>
      <c r="Z432" s="269">
        <f t="shared" si="154"/>
        <v>181.16000000000003</v>
      </c>
      <c r="AA432" s="253">
        <v>4.1500000000000004</v>
      </c>
      <c r="AB432" s="253">
        <f t="shared" ca="1" si="155"/>
        <v>-9.9999999999997868E-3</v>
      </c>
      <c r="AC432" s="258"/>
      <c r="AF432" s="223" t="s">
        <v>405</v>
      </c>
      <c r="AH432" s="232">
        <f t="shared" ca="1" si="149"/>
        <v>46120</v>
      </c>
      <c r="AI432" s="232" t="b">
        <f t="shared" si="144"/>
        <v>1</v>
      </c>
      <c r="AJ432" s="259" t="str">
        <f t="shared" si="150"/>
        <v/>
      </c>
      <c r="AM432" s="223">
        <f t="shared" si="145"/>
        <v>0</v>
      </c>
      <c r="AN432" s="223">
        <f t="shared" si="146"/>
        <v>1900</v>
      </c>
      <c r="AU432" s="223">
        <f t="shared" si="147"/>
        <v>0</v>
      </c>
      <c r="AV432" s="223">
        <f t="shared" si="148"/>
        <v>0</v>
      </c>
    </row>
    <row r="433" spans="4:48" ht="26.25" x14ac:dyDescent="0.4">
      <c r="D433" s="246" t="s">
        <v>654</v>
      </c>
      <c r="E433" s="252" t="s">
        <v>97</v>
      </c>
      <c r="F433" s="276">
        <v>1250</v>
      </c>
      <c r="G433" s="249" t="s">
        <v>6</v>
      </c>
      <c r="H433" s="250">
        <v>11.04</v>
      </c>
      <c r="I433" s="251">
        <v>46090</v>
      </c>
      <c r="J433" s="252" t="s">
        <v>14</v>
      </c>
      <c r="K433" s="252"/>
      <c r="L433" s="253">
        <v>0.1</v>
      </c>
      <c r="M433" s="254">
        <f ca="1">IF(ISERROR(OFFSET(Tabella!$A$1,MATCH(J433,Tabella!$A:$A,0)-1,MATCH(L433,Tabella!$A$1:$AC$1,0)-1)=TRUE),0,+OFFSET(Tabella!$A$1,MATCH(J433,Tabella!$A:$A,0)-1,MATCH(L433,Tabella!$A$1:$AC$1,0)-1))</f>
        <v>0</v>
      </c>
      <c r="N433" s="255">
        <f ca="1">IF(ISERROR(OFFSET(Ottone!$A$1,MATCH(J433,Ottone!$A:$A,0)-1,MATCH(L433,Ottone!$A$1:$Z$1,0)-1)=TRUE),0,OFFSET(Ottone!$A$1,MATCH(J433,Ottone!$A:$A,0)-1,MATCH(L433,Ottone!$A$1:$Z$1,0)-1))*IF(G433="Ottone",1,0)</f>
        <v>0</v>
      </c>
      <c r="O433" s="255">
        <f ca="1">IF(ISERROR(OFFSET(Rame!$A$1,MATCH(J433,Rame!$A:$A,0)-1,MATCH(L433,Rame!$A$1:$AA$1,0)-1)=TRUE),0,OFFSET(Rame!$A$1,MATCH(J433,Rame!$A:$A,0)-1,MATCH(L433,Rame!$A$1:$AA$1,0)-1))*IF(G433="Rame",1,0)</f>
        <v>0.95</v>
      </c>
      <c r="P433" s="255">
        <v>0</v>
      </c>
      <c r="Q433" s="255">
        <f t="shared" ca="1" si="151"/>
        <v>0.95</v>
      </c>
      <c r="R433" s="255">
        <f ca="1">+IF(ISERROR(OFFSET(Tabella!$G$1,MATCH(J433,Tabella!$G:$G,0)-1,MATCH(K433,Tabella!$G$1:$FG$1,0)-1)=TRUE),0,OFFSET(Tabella!$G$1,MATCH(J433,Tabella!$G:$G,0)-1,MATCH(K433,Tabella!$G$1:$AB$1,0)-1))</f>
        <v>0</v>
      </c>
      <c r="S433" s="255">
        <f ca="1">IF(ISERROR(OFFSET(Ottone!$F$1,MATCH(J433,Ottone!$A:$A,0)-1,MATCH(K433,Ottone!$F$1:$FF$1,0)-1)=TRUE),0,OFFSET(Ottone!$F$1,MATCH(J433,Ottone!$A:$A,0)-1,MATCH(K433,Ottone!$F$1:$FF$1,0)-1))*IF(G433="Ottone",1,0)</f>
        <v>0</v>
      </c>
      <c r="T433" s="255">
        <f ca="1">IF(ISERROR(OFFSET(Rame!$F$1,MATCH(J433,Rame!$F:$F,0)-1,MATCH(K433,Rame!$F$1:$FF$1,0)-1)=TRUE),0,OFFSET(Rame!$F$1,MATCH(J433,Rame!$F:$F,0)-1,MATCH(K433,Rame!$F$1:$FF$1,0)-1))*IF(G433="Rame",1,0)</f>
        <v>0</v>
      </c>
      <c r="U433" s="255">
        <f ca="1">IF(ISERROR(OFFSET(Bronzo!$A$1,MATCH(J433,Bronzo!$A:$A,0)-1,MATCH(K433,Bronzo!$A$1:$AA$1,0)-1)=TRUE),0,OFFSET(Bronzo!$A$1,MATCH(J433,Bronzo!$A:$A,0)-1,MATCH(K433,Bronzo!$A$1:$AA$1,0)-1))</f>
        <v>0</v>
      </c>
      <c r="V433" s="255">
        <f t="shared" ca="1" si="152"/>
        <v>0</v>
      </c>
      <c r="W433" s="254"/>
      <c r="X433" s="255">
        <v>0</v>
      </c>
      <c r="Y433" s="256">
        <f t="shared" ca="1" si="153"/>
        <v>0.95</v>
      </c>
      <c r="Z433" s="257">
        <f t="shared" si="154"/>
        <v>125</v>
      </c>
      <c r="AA433" s="253">
        <v>14.45</v>
      </c>
      <c r="AB433" s="253">
        <f t="shared" ca="1" si="155"/>
        <v>2.4600000000000009</v>
      </c>
      <c r="AC433" s="258">
        <v>46114</v>
      </c>
      <c r="AH433" s="232">
        <f t="shared" ca="1" si="149"/>
        <v>46120</v>
      </c>
      <c r="AI433" s="232" t="b">
        <f t="shared" si="144"/>
        <v>0</v>
      </c>
      <c r="AJ433" s="259">
        <f t="shared" ca="1" si="150"/>
        <v>-6</v>
      </c>
      <c r="AM433" s="223">
        <f t="shared" si="145"/>
        <v>14</v>
      </c>
      <c r="AN433" s="223">
        <f t="shared" si="146"/>
        <v>2026</v>
      </c>
      <c r="AU433" s="223">
        <f t="shared" si="147"/>
        <v>4</v>
      </c>
      <c r="AV433" s="223">
        <f t="shared" si="148"/>
        <v>2026</v>
      </c>
    </row>
    <row r="434" spans="4:48" ht="26.25" x14ac:dyDescent="0.4">
      <c r="D434" s="246" t="s">
        <v>654</v>
      </c>
      <c r="E434" s="252" t="s">
        <v>97</v>
      </c>
      <c r="F434" s="276">
        <v>600</v>
      </c>
      <c r="G434" s="249" t="s">
        <v>6</v>
      </c>
      <c r="H434" s="250">
        <v>11.04</v>
      </c>
      <c r="I434" s="251">
        <v>46090</v>
      </c>
      <c r="J434" s="252" t="s">
        <v>18</v>
      </c>
      <c r="K434" s="252"/>
      <c r="L434" s="253">
        <v>0.1</v>
      </c>
      <c r="M434" s="254">
        <f ca="1">IF(ISERROR(OFFSET(Tabella!$A$1,MATCH(J434,Tabella!$A:$A,0)-1,MATCH(L434,Tabella!$A$1:$AC$1,0)-1)=TRUE),0,+OFFSET(Tabella!$A$1,MATCH(J434,Tabella!$A:$A,0)-1,MATCH(L434,Tabella!$A$1:$AC$1,0)-1))</f>
        <v>0</v>
      </c>
      <c r="N434" s="255">
        <f ca="1">IF(ISERROR(OFFSET(Ottone!$A$1,MATCH(J434,Ottone!$A:$A,0)-1,MATCH(L434,Ottone!$A$1:$Z$1,0)-1)=TRUE),0,OFFSET(Ottone!$A$1,MATCH(J434,Ottone!$A:$A,0)-1,MATCH(L434,Ottone!$A$1:$Z$1,0)-1))*IF(G434="Ottone",1,0)</f>
        <v>0</v>
      </c>
      <c r="O434" s="255">
        <f ca="1">IF(ISERROR(OFFSET(Rame!$A$1,MATCH(J434,Rame!$A:$A,0)-1,MATCH(L434,Rame!$A$1:$AA$1,0)-1)=TRUE),0,OFFSET(Rame!$A$1,MATCH(J434,Rame!$A:$A,0)-1,MATCH(L434,Rame!$A$1:$AA$1,0)-1))*IF(G434="Rame",1,0)</f>
        <v>0.78</v>
      </c>
      <c r="P434" s="255">
        <v>0</v>
      </c>
      <c r="Q434" s="255">
        <f t="shared" ca="1" si="151"/>
        <v>0.78</v>
      </c>
      <c r="R434" s="255">
        <f ca="1">+IF(ISERROR(OFFSET(Tabella!$G$1,MATCH(J434,Tabella!$G:$G,0)-1,MATCH(K434,Tabella!$G$1:$FG$1,0)-1)=TRUE),0,OFFSET(Tabella!$G$1,MATCH(J434,Tabella!$G:$G,0)-1,MATCH(K434,Tabella!$G$1:$AB$1,0)-1))</f>
        <v>0</v>
      </c>
      <c r="S434" s="255">
        <f ca="1">IF(ISERROR(OFFSET(Ottone!$F$1,MATCH(J434,Ottone!$A:$A,0)-1,MATCH(K434,Ottone!$F$1:$FF$1,0)-1)=TRUE),0,OFFSET(Ottone!$F$1,MATCH(J434,Ottone!$A:$A,0)-1,MATCH(K434,Ottone!$F$1:$FF$1,0)-1))*IF(G434="Ottone",1,0)</f>
        <v>0</v>
      </c>
      <c r="T434" s="255">
        <f ca="1">IF(ISERROR(OFFSET(Rame!$F$1,MATCH(J434,Rame!$F:$F,0)-1,MATCH(K434,Rame!$F$1:$FF$1,0)-1)=TRUE),0,OFFSET(Rame!$F$1,MATCH(J434,Rame!$F:$F,0)-1,MATCH(K434,Rame!$F$1:$FF$1,0)-1))*IF(G434="Rame",1,0)</f>
        <v>0</v>
      </c>
      <c r="U434" s="255">
        <f ca="1">IF(ISERROR(OFFSET(Bronzo!$A$1,MATCH(J434,Bronzo!$A:$A,0)-1,MATCH(K434,Bronzo!$A$1:$AA$1,0)-1)=TRUE),0,OFFSET(Bronzo!$A$1,MATCH(J434,Bronzo!$A:$A,0)-1,MATCH(K434,Bronzo!$A$1:$AA$1,0)-1))</f>
        <v>0</v>
      </c>
      <c r="V434" s="255">
        <f t="shared" ca="1" si="152"/>
        <v>0</v>
      </c>
      <c r="W434" s="254"/>
      <c r="X434" s="255">
        <v>0</v>
      </c>
      <c r="Y434" s="256">
        <f t="shared" ca="1" si="153"/>
        <v>0.78</v>
      </c>
      <c r="Z434" s="257">
        <f t="shared" si="154"/>
        <v>60</v>
      </c>
      <c r="AA434" s="253">
        <v>14.35</v>
      </c>
      <c r="AB434" s="253">
        <f t="shared" ca="1" si="155"/>
        <v>2.5300000000000011</v>
      </c>
      <c r="AC434" s="258">
        <v>46129</v>
      </c>
      <c r="AH434" s="232">
        <f t="shared" ca="1" si="149"/>
        <v>46120</v>
      </c>
      <c r="AI434" s="232" t="b">
        <f t="shared" si="144"/>
        <v>0</v>
      </c>
      <c r="AJ434" s="259">
        <f t="shared" ca="1" si="150"/>
        <v>9</v>
      </c>
      <c r="AM434" s="223">
        <f t="shared" si="145"/>
        <v>16</v>
      </c>
      <c r="AN434" s="223">
        <f t="shared" si="146"/>
        <v>2026</v>
      </c>
      <c r="AU434" s="223">
        <f t="shared" si="147"/>
        <v>4</v>
      </c>
      <c r="AV434" s="223">
        <f t="shared" si="148"/>
        <v>2026</v>
      </c>
    </row>
    <row r="435" spans="4:48" ht="26.25" x14ac:dyDescent="0.4">
      <c r="D435" s="246" t="s">
        <v>654</v>
      </c>
      <c r="E435" s="252" t="s">
        <v>97</v>
      </c>
      <c r="F435" s="276">
        <v>1350</v>
      </c>
      <c r="G435" s="249" t="s">
        <v>6</v>
      </c>
      <c r="H435" s="250">
        <v>11.04</v>
      </c>
      <c r="I435" s="251">
        <v>46090</v>
      </c>
      <c r="J435" s="252" t="s">
        <v>16</v>
      </c>
      <c r="K435" s="252"/>
      <c r="L435" s="253">
        <v>0.1</v>
      </c>
      <c r="M435" s="254">
        <f ca="1">IF(ISERROR(OFFSET(Tabella!$A$1,MATCH(J435,Tabella!$A:$A,0)-1,MATCH(L435,Tabella!$A$1:$AC$1,0)-1)=TRUE),0,+OFFSET(Tabella!$A$1,MATCH(J435,Tabella!$A:$A,0)-1,MATCH(L435,Tabella!$A$1:$AC$1,0)-1))</f>
        <v>0</v>
      </c>
      <c r="N435" s="255">
        <f ca="1">IF(ISERROR(OFFSET(Ottone!$A$1,MATCH(J435,Ottone!$A:$A,0)-1,MATCH(L435,Ottone!$A$1:$Z$1,0)-1)=TRUE),0,OFFSET(Ottone!$A$1,MATCH(J435,Ottone!$A:$A,0)-1,MATCH(L435,Ottone!$A$1:$Z$1,0)-1))*IF(G435="Ottone",1,0)</f>
        <v>0</v>
      </c>
      <c r="O435" s="255">
        <f ca="1">IF(ISERROR(OFFSET(Rame!$A$1,MATCH(J435,Rame!$A:$A,0)-1,MATCH(L435,Rame!$A$1:$AA$1,0)-1)=TRUE),0,OFFSET(Rame!$A$1,MATCH(J435,Rame!$A:$A,0)-1,MATCH(L435,Rame!$A$1:$AA$1,0)-1))*IF(G435="Rame",1,0)</f>
        <v>0.82</v>
      </c>
      <c r="P435" s="255">
        <v>0</v>
      </c>
      <c r="Q435" s="255">
        <f t="shared" ca="1" si="151"/>
        <v>0.82</v>
      </c>
      <c r="R435" s="255">
        <f ca="1">+IF(ISERROR(OFFSET(Tabella!$G$1,MATCH(J435,Tabella!$G:$G,0)-1,MATCH(K435,Tabella!$G$1:$FG$1,0)-1)=TRUE),0,OFFSET(Tabella!$G$1,MATCH(J435,Tabella!$G:$G,0)-1,MATCH(K435,Tabella!$G$1:$AB$1,0)-1))</f>
        <v>0</v>
      </c>
      <c r="S435" s="255">
        <f ca="1">IF(ISERROR(OFFSET(Ottone!$F$1,MATCH(J435,Ottone!$A:$A,0)-1,MATCH(K435,Ottone!$F$1:$FF$1,0)-1)=TRUE),0,OFFSET(Ottone!$F$1,MATCH(J435,Ottone!$A:$A,0)-1,MATCH(K435,Ottone!$F$1:$FF$1,0)-1))*IF(G435="Ottone",1,0)</f>
        <v>0</v>
      </c>
      <c r="T435" s="255">
        <f ca="1">IF(ISERROR(OFFSET(Rame!$F$1,MATCH(J435,Rame!$F:$F,0)-1,MATCH(K435,Rame!$F$1:$FF$1,0)-1)=TRUE),0,OFFSET(Rame!$F$1,MATCH(J435,Rame!$F:$F,0)-1,MATCH(K435,Rame!$F$1:$FF$1,0)-1))*IF(G435="Rame",1,0)</f>
        <v>0</v>
      </c>
      <c r="U435" s="255">
        <f ca="1">IF(ISERROR(OFFSET(Bronzo!$A$1,MATCH(J435,Bronzo!$A:$A,0)-1,MATCH(K435,Bronzo!$A$1:$AA$1,0)-1)=TRUE),0,OFFSET(Bronzo!$A$1,MATCH(J435,Bronzo!$A:$A,0)-1,MATCH(K435,Bronzo!$A$1:$AA$1,0)-1))</f>
        <v>0</v>
      </c>
      <c r="V435" s="255">
        <f t="shared" ca="1" si="152"/>
        <v>0</v>
      </c>
      <c r="W435" s="254"/>
      <c r="X435" s="255">
        <v>0</v>
      </c>
      <c r="Y435" s="256">
        <f t="shared" ca="1" si="153"/>
        <v>0.82</v>
      </c>
      <c r="Z435" s="257">
        <f t="shared" si="154"/>
        <v>135</v>
      </c>
      <c r="AA435" s="253">
        <v>14.35</v>
      </c>
      <c r="AB435" s="253">
        <f t="shared" ca="1" si="155"/>
        <v>2.4900000000000002</v>
      </c>
      <c r="AC435" s="258">
        <v>46122</v>
      </c>
      <c r="AH435" s="232">
        <f t="shared" ca="1" si="149"/>
        <v>46120</v>
      </c>
      <c r="AI435" s="232" t="b">
        <f t="shared" si="144"/>
        <v>0</v>
      </c>
      <c r="AJ435" s="259">
        <f t="shared" ca="1" si="150"/>
        <v>2</v>
      </c>
      <c r="AM435" s="223">
        <f t="shared" si="145"/>
        <v>15</v>
      </c>
      <c r="AN435" s="223">
        <f t="shared" si="146"/>
        <v>2026</v>
      </c>
      <c r="AU435" s="223">
        <f t="shared" si="147"/>
        <v>4</v>
      </c>
      <c r="AV435" s="223">
        <f t="shared" si="148"/>
        <v>2026</v>
      </c>
    </row>
    <row r="436" spans="4:48" ht="26.25" x14ac:dyDescent="0.4">
      <c r="D436" s="246" t="s">
        <v>654</v>
      </c>
      <c r="E436" s="252" t="s">
        <v>97</v>
      </c>
      <c r="F436" s="276">
        <v>400</v>
      </c>
      <c r="G436" s="249" t="s">
        <v>6</v>
      </c>
      <c r="H436" s="250">
        <v>11.04</v>
      </c>
      <c r="I436" s="251">
        <v>46090</v>
      </c>
      <c r="J436" s="252" t="s">
        <v>12</v>
      </c>
      <c r="K436" s="252"/>
      <c r="L436" s="253">
        <v>0.1</v>
      </c>
      <c r="M436" s="254">
        <f ca="1">IF(ISERROR(OFFSET(Tabella!$A$1,MATCH(J436,Tabella!$A:$A,0)-1,MATCH(L436,Tabella!$A$1:$AC$1,0)-1)=TRUE),0,+OFFSET(Tabella!$A$1,MATCH(J436,Tabella!$A:$A,0)-1,MATCH(L436,Tabella!$A$1:$AC$1,0)-1))</f>
        <v>0</v>
      </c>
      <c r="N436" s="255">
        <f ca="1">IF(ISERROR(OFFSET(Ottone!$A$1,MATCH(J436,Ottone!$A:$A,0)-1,MATCH(L436,Ottone!$A$1:$Z$1,0)-1)=TRUE),0,OFFSET(Ottone!$A$1,MATCH(J436,Ottone!$A:$A,0)-1,MATCH(L436,Ottone!$A$1:$Z$1,0)-1))*IF(G436="Ottone",1,0)</f>
        <v>0</v>
      </c>
      <c r="O436" s="255">
        <f ca="1">IF(ISERROR(OFFSET(Rame!$A$1,MATCH(J436,Rame!$A:$A,0)-1,MATCH(L436,Rame!$A$1:$AA$1,0)-1)=TRUE),0,OFFSET(Rame!$A$1,MATCH(J436,Rame!$A:$A,0)-1,MATCH(L436,Rame!$A$1:$AA$1,0)-1))*IF(G436="Rame",1,0)</f>
        <v>1.1000000000000001</v>
      </c>
      <c r="P436" s="255">
        <v>0</v>
      </c>
      <c r="Q436" s="255">
        <f t="shared" ca="1" si="151"/>
        <v>1.1000000000000001</v>
      </c>
      <c r="R436" s="255">
        <f ca="1">+IF(ISERROR(OFFSET(Tabella!$G$1,MATCH(J436,Tabella!$G:$G,0)-1,MATCH(K436,Tabella!$G$1:$FG$1,0)-1)=TRUE),0,OFFSET(Tabella!$G$1,MATCH(J436,Tabella!$G:$G,0)-1,MATCH(K436,Tabella!$G$1:$AB$1,0)-1))</f>
        <v>0</v>
      </c>
      <c r="S436" s="255">
        <f ca="1">IF(ISERROR(OFFSET(Ottone!$F$1,MATCH(J436,Ottone!$A:$A,0)-1,MATCH(K436,Ottone!$F$1:$FF$1,0)-1)=TRUE),0,OFFSET(Ottone!$F$1,MATCH(J436,Ottone!$A:$A,0)-1,MATCH(K436,Ottone!$F$1:$FF$1,0)-1))*IF(G436="Ottone",1,0)</f>
        <v>0</v>
      </c>
      <c r="T436" s="255">
        <f ca="1">IF(ISERROR(OFFSET(Rame!$F$1,MATCH(J436,Rame!$F:$F,0)-1,MATCH(K436,Rame!$F$1:$FF$1,0)-1)=TRUE),0,OFFSET(Rame!$F$1,MATCH(J436,Rame!$F:$F,0)-1,MATCH(K436,Rame!$F$1:$FF$1,0)-1))*IF(G436="Rame",1,0)</f>
        <v>0</v>
      </c>
      <c r="U436" s="255">
        <f ca="1">IF(ISERROR(OFFSET(Bronzo!$A$1,MATCH(J436,Bronzo!$A:$A,0)-1,MATCH(K436,Bronzo!$A$1:$AA$1,0)-1)=TRUE),0,OFFSET(Bronzo!$A$1,MATCH(J436,Bronzo!$A:$A,0)-1,MATCH(K436,Bronzo!$A$1:$AA$1,0)-1))</f>
        <v>0</v>
      </c>
      <c r="V436" s="255">
        <f t="shared" ca="1" si="152"/>
        <v>0</v>
      </c>
      <c r="W436" s="254"/>
      <c r="X436" s="255">
        <v>0</v>
      </c>
      <c r="Y436" s="256">
        <f t="shared" ca="1" si="153"/>
        <v>1.1000000000000001</v>
      </c>
      <c r="Z436" s="257">
        <f t="shared" si="154"/>
        <v>40</v>
      </c>
      <c r="AA436" s="253">
        <v>14.35</v>
      </c>
      <c r="AB436" s="253">
        <f t="shared" ca="1" si="155"/>
        <v>2.2100000000000009</v>
      </c>
      <c r="AC436" s="258">
        <v>46114</v>
      </c>
      <c r="AH436" s="232">
        <f t="shared" ca="1" si="149"/>
        <v>46120</v>
      </c>
      <c r="AI436" s="232" t="b">
        <f t="shared" si="144"/>
        <v>0</v>
      </c>
      <c r="AJ436" s="259">
        <f t="shared" ca="1" si="150"/>
        <v>-6</v>
      </c>
      <c r="AM436" s="223">
        <f t="shared" si="145"/>
        <v>14</v>
      </c>
      <c r="AN436" s="223">
        <f t="shared" si="146"/>
        <v>2026</v>
      </c>
      <c r="AU436" s="223">
        <f t="shared" si="147"/>
        <v>4</v>
      </c>
      <c r="AV436" s="223">
        <f t="shared" si="148"/>
        <v>2026</v>
      </c>
    </row>
    <row r="437" spans="4:48" ht="26.25" x14ac:dyDescent="0.4">
      <c r="D437" s="246" t="s">
        <v>654</v>
      </c>
      <c r="E437" s="252" t="s">
        <v>97</v>
      </c>
      <c r="F437" s="276">
        <v>450</v>
      </c>
      <c r="G437" s="249" t="s">
        <v>6</v>
      </c>
      <c r="H437" s="250">
        <v>11.04</v>
      </c>
      <c r="I437" s="251">
        <v>46090</v>
      </c>
      <c r="J437" s="252" t="s">
        <v>16</v>
      </c>
      <c r="K437" s="252"/>
      <c r="L437" s="253">
        <v>0.1</v>
      </c>
      <c r="M437" s="254">
        <f ca="1">IF(ISERROR(OFFSET(Tabella!$A$1,MATCH(J437,Tabella!$A:$A,0)-1,MATCH(L437,Tabella!$A$1:$AC$1,0)-1)=TRUE),0,+OFFSET(Tabella!$A$1,MATCH(J437,Tabella!$A:$A,0)-1,MATCH(L437,Tabella!$A$1:$AC$1,0)-1))</f>
        <v>0</v>
      </c>
      <c r="N437" s="255">
        <f ca="1">IF(ISERROR(OFFSET(Ottone!$A$1,MATCH(J437,Ottone!$A:$A,0)-1,MATCH(L437,Ottone!$A$1:$Z$1,0)-1)=TRUE),0,OFFSET(Ottone!$A$1,MATCH(J437,Ottone!$A:$A,0)-1,MATCH(L437,Ottone!$A$1:$Z$1,0)-1))*IF(G437="Ottone",1,0)</f>
        <v>0</v>
      </c>
      <c r="O437" s="255">
        <f ca="1">IF(ISERROR(OFFSET(Rame!$A$1,MATCH(J437,Rame!$A:$A,0)-1,MATCH(L437,Rame!$A$1:$AA$1,0)-1)=TRUE),0,OFFSET(Rame!$A$1,MATCH(J437,Rame!$A:$A,0)-1,MATCH(L437,Rame!$A$1:$AA$1,0)-1))*IF(G437="Rame",1,0)</f>
        <v>0.82</v>
      </c>
      <c r="P437" s="255">
        <v>0</v>
      </c>
      <c r="Q437" s="255">
        <f t="shared" ca="1" si="151"/>
        <v>0.82</v>
      </c>
      <c r="R437" s="255">
        <f ca="1">+IF(ISERROR(OFFSET(Tabella!$G$1,MATCH(J437,Tabella!$G:$G,0)-1,MATCH(K437,Tabella!$G$1:$FG$1,0)-1)=TRUE),0,OFFSET(Tabella!$G$1,MATCH(J437,Tabella!$G:$G,0)-1,MATCH(K437,Tabella!$G$1:$AB$1,0)-1))</f>
        <v>0</v>
      </c>
      <c r="S437" s="255">
        <f ca="1">IF(ISERROR(OFFSET(Ottone!$F$1,MATCH(J437,Ottone!$A:$A,0)-1,MATCH(K437,Ottone!$F$1:$FF$1,0)-1)=TRUE),0,OFFSET(Ottone!$F$1,MATCH(J437,Ottone!$A:$A,0)-1,MATCH(K437,Ottone!$F$1:$FF$1,0)-1))*IF(G437="Ottone",1,0)</f>
        <v>0</v>
      </c>
      <c r="T437" s="255">
        <f ca="1">IF(ISERROR(OFFSET(Rame!$F$1,MATCH(J437,Rame!$F:$F,0)-1,MATCH(K437,Rame!$F$1:$FF$1,0)-1)=TRUE),0,OFFSET(Rame!$F$1,MATCH(J437,Rame!$F:$F,0)-1,MATCH(K437,Rame!$F$1:$FF$1,0)-1))*IF(G437="Rame",1,0)</f>
        <v>0</v>
      </c>
      <c r="U437" s="255">
        <f ca="1">IF(ISERROR(OFFSET(Bronzo!$A$1,MATCH(J437,Bronzo!$A:$A,0)-1,MATCH(K437,Bronzo!$A$1:$AA$1,0)-1)=TRUE),0,OFFSET(Bronzo!$A$1,MATCH(J437,Bronzo!$A:$A,0)-1,MATCH(K437,Bronzo!$A$1:$AA$1,0)-1))</f>
        <v>0</v>
      </c>
      <c r="V437" s="255">
        <f t="shared" ca="1" si="152"/>
        <v>0</v>
      </c>
      <c r="W437" s="254"/>
      <c r="X437" s="255">
        <v>0</v>
      </c>
      <c r="Y437" s="256">
        <f t="shared" ca="1" si="153"/>
        <v>0.82</v>
      </c>
      <c r="Z437" s="257">
        <f t="shared" si="154"/>
        <v>45</v>
      </c>
      <c r="AA437" s="253">
        <v>14.35</v>
      </c>
      <c r="AB437" s="253">
        <f t="shared" ca="1" si="155"/>
        <v>2.4900000000000002</v>
      </c>
      <c r="AC437" s="258">
        <v>46114</v>
      </c>
      <c r="AH437" s="232">
        <f t="shared" ca="1" si="149"/>
        <v>46120</v>
      </c>
      <c r="AI437" s="232" t="b">
        <f t="shared" si="144"/>
        <v>0</v>
      </c>
      <c r="AJ437" s="259">
        <f t="shared" ca="1" si="150"/>
        <v>-6</v>
      </c>
      <c r="AM437" s="223">
        <f t="shared" si="145"/>
        <v>14</v>
      </c>
      <c r="AN437" s="223">
        <f t="shared" si="146"/>
        <v>2026</v>
      </c>
      <c r="AU437" s="223">
        <f t="shared" si="147"/>
        <v>4</v>
      </c>
      <c r="AV437" s="223">
        <f t="shared" si="148"/>
        <v>2026</v>
      </c>
    </row>
    <row r="438" spans="4:48" ht="26.25" x14ac:dyDescent="0.4">
      <c r="D438" s="246" t="s">
        <v>688</v>
      </c>
      <c r="E438" s="262" t="s">
        <v>108</v>
      </c>
      <c r="F438" s="263">
        <v>996</v>
      </c>
      <c r="G438" s="249" t="s">
        <v>4</v>
      </c>
      <c r="H438" s="250">
        <v>2.6</v>
      </c>
      <c r="I438" s="251">
        <v>46058</v>
      </c>
      <c r="J438" s="252" t="s">
        <v>308</v>
      </c>
      <c r="K438" s="252"/>
      <c r="L438" s="253">
        <v>7.0000000000000007E-2</v>
      </c>
      <c r="M438" s="254">
        <f ca="1">IF(ISERROR(OFFSET(Tabella!$A$1,MATCH(J438,Tabella!$A:$A,0)-1,MATCH(L438,Tabella!$A$1:$AC$1,0)-1)=TRUE),0,+OFFSET(Tabella!$A$1,MATCH(J438,Tabella!$A:$A,0)-1,MATCH(L438,Tabella!$A$1:$AC$1,0)-1))</f>
        <v>1.25</v>
      </c>
      <c r="N438" s="255">
        <f ca="1">IF(ISERROR(OFFSET(Ottone!$A$1,MATCH(J438,Ottone!$A:$A,0)-1,MATCH(L438,Ottone!$A$1:$Z$1,0)-1)=TRUE),0,OFFSET(Ottone!$A$1,MATCH(J438,Ottone!$A:$A,0)-1,MATCH(L438,Ottone!$A$1:$Z$1,0)-1))*IF(G438="Ottone",1,0)</f>
        <v>0</v>
      </c>
      <c r="O438" s="255">
        <f ca="1">IF(ISERROR(OFFSET(Rame!$A$1,MATCH(J438,Rame!$A:$A,0)-1,MATCH(L438,Rame!$A$1:$AA$1,0)-1)=TRUE),0,OFFSET(Rame!$A$1,MATCH(J438,Rame!$A:$A,0)-1,MATCH(L438,Rame!$A$1:$AA$1,0)-1))*IF(G438="Rame",1,0)</f>
        <v>0</v>
      </c>
      <c r="P438" s="255">
        <v>0</v>
      </c>
      <c r="Q438" s="255">
        <f t="shared" ca="1" si="151"/>
        <v>1.25</v>
      </c>
      <c r="R438" s="255">
        <f ca="1">+IF(ISERROR(OFFSET(Tabella!$G$1,MATCH(J438,Tabella!$G:$G,0)-1,MATCH(K438,Tabella!$G$1:$FG$1,0)-1)=TRUE),0,OFFSET(Tabella!$G$1,MATCH(J438,Tabella!$G:$G,0)-1,MATCH(K438,Tabella!$G$1:$AB$1,0)-1))</f>
        <v>0</v>
      </c>
      <c r="S438" s="255">
        <f ca="1">IF(ISERROR(OFFSET(Ottone!$F$1,MATCH(J438,Ottone!$A:$A,0)-1,MATCH(K438,Ottone!$F$1:$FF$1,0)-1)=TRUE),0,OFFSET(Ottone!$F$1,MATCH(J438,Ottone!$A:$A,0)-1,MATCH(K438,Ottone!$F$1:$FF$1,0)-1))*IF(G438="Ottone",1,0)</f>
        <v>0</v>
      </c>
      <c r="T438" s="255">
        <f ca="1">IF(ISERROR(OFFSET(Rame!$F$1,MATCH(J438,Rame!$F:$F,0)-1,MATCH(K438,Rame!$F$1:$FF$1,0)-1)=TRUE),0,OFFSET(Rame!$F$1,MATCH(J438,Rame!$F:$F,0)-1,MATCH(K438,Rame!$F$1:$FF$1,0)-1))*IF(G438="Rame",1,0)</f>
        <v>0</v>
      </c>
      <c r="U438" s="255">
        <f ca="1">IF(ISERROR(OFFSET(Bronzo!$A$1,MATCH(J438,Bronzo!$A:$A,0)-1,MATCH(K438,Bronzo!$A$1:$AA$1,0)-1)=TRUE),0,OFFSET(Bronzo!$A$1,MATCH(J438,Bronzo!$A:$A,0)-1,MATCH(K438,Bronzo!$A$1:$AA$1,0)-1))</f>
        <v>0</v>
      </c>
      <c r="V438" s="255">
        <f t="shared" ca="1" si="152"/>
        <v>0</v>
      </c>
      <c r="W438" s="254"/>
      <c r="X438" s="255">
        <v>0</v>
      </c>
      <c r="Y438" s="256">
        <f t="shared" ca="1" si="153"/>
        <v>1.25</v>
      </c>
      <c r="Z438" s="269">
        <f t="shared" si="154"/>
        <v>69.720000000000013</v>
      </c>
      <c r="AA438" s="253">
        <v>4.0999999999999996</v>
      </c>
      <c r="AB438" s="253">
        <f t="shared" ca="1" si="155"/>
        <v>0.24999999999999956</v>
      </c>
      <c r="AC438" s="258"/>
      <c r="AF438" s="223" t="s">
        <v>405</v>
      </c>
      <c r="AH438" s="232">
        <f t="shared" ca="1" si="149"/>
        <v>46120</v>
      </c>
      <c r="AI438" s="232" t="b">
        <f t="shared" si="144"/>
        <v>1</v>
      </c>
      <c r="AJ438" s="259" t="str">
        <f t="shared" si="150"/>
        <v/>
      </c>
      <c r="AM438" s="223">
        <f t="shared" si="145"/>
        <v>0</v>
      </c>
      <c r="AN438" s="223">
        <f t="shared" si="146"/>
        <v>1900</v>
      </c>
      <c r="AU438" s="223">
        <f t="shared" si="147"/>
        <v>0</v>
      </c>
      <c r="AV438" s="223">
        <f t="shared" si="148"/>
        <v>0</v>
      </c>
    </row>
    <row r="439" spans="4:48" ht="26.25" x14ac:dyDescent="0.4">
      <c r="D439" s="246" t="s">
        <v>722</v>
      </c>
      <c r="E439" s="262" t="s">
        <v>403</v>
      </c>
      <c r="F439" s="263">
        <v>712</v>
      </c>
      <c r="G439" s="249" t="s">
        <v>6</v>
      </c>
      <c r="H439" s="250">
        <v>11.1</v>
      </c>
      <c r="I439" s="251">
        <v>46091</v>
      </c>
      <c r="J439" s="252" t="s">
        <v>16</v>
      </c>
      <c r="K439" s="252"/>
      <c r="L439" s="253">
        <v>0.15</v>
      </c>
      <c r="M439" s="254">
        <f ca="1">IF(ISERROR(OFFSET(Tabella!$A$1,MATCH(J439,Tabella!$A:$A,0)-1,MATCH(L439,Tabella!$A$1:$AC$1,0)-1)=TRUE),0,+OFFSET(Tabella!$A$1,MATCH(J439,Tabella!$A:$A,0)-1,MATCH(L439,Tabella!$A$1:$AC$1,0)-1))</f>
        <v>0</v>
      </c>
      <c r="N439" s="255">
        <f ca="1">IF(ISERROR(OFFSET(Ottone!$A$1,MATCH(J439,Ottone!$A:$A,0)-1,MATCH(L439,Ottone!$A$1:$Z$1,0)-1)=TRUE),0,OFFSET(Ottone!$A$1,MATCH(J439,Ottone!$A:$A,0)-1,MATCH(L439,Ottone!$A$1:$Z$1,0)-1))*IF(G439="Ottone",1,0)</f>
        <v>0</v>
      </c>
      <c r="O439" s="255">
        <f ca="1">IF(ISERROR(OFFSET(Rame!$A$1,MATCH(J439,Rame!$A:$A,0)-1,MATCH(L439,Rame!$A$1:$AA$1,0)-1)=TRUE),0,OFFSET(Rame!$A$1,MATCH(J439,Rame!$A:$A,0)-1,MATCH(L439,Rame!$A$1:$AA$1,0)-1))*IF(G439="Rame",1,0)</f>
        <v>0.85</v>
      </c>
      <c r="P439" s="255">
        <v>0</v>
      </c>
      <c r="Q439" s="255">
        <f t="shared" ca="1" si="151"/>
        <v>0.85</v>
      </c>
      <c r="R439" s="255">
        <f ca="1">+IF(ISERROR(OFFSET(Tabella!$G$1,MATCH(J439,Tabella!$G:$G,0)-1,MATCH(K439,Tabella!$G$1:$FG$1,0)-1)=TRUE),0,OFFSET(Tabella!$G$1,MATCH(J439,Tabella!$G:$G,0)-1,MATCH(K439,Tabella!$G$1:$AB$1,0)-1))</f>
        <v>0</v>
      </c>
      <c r="S439" s="255">
        <f ca="1">IF(ISERROR(OFFSET(Ottone!$F$1,MATCH(J439,Ottone!$A:$A,0)-1,MATCH(K439,Ottone!$F$1:$FF$1,0)-1)=TRUE),0,OFFSET(Ottone!$F$1,MATCH(J439,Ottone!$A:$A,0)-1,MATCH(K439,Ottone!$F$1:$FF$1,0)-1))*IF(G439="Ottone",1,0)</f>
        <v>0</v>
      </c>
      <c r="T439" s="255">
        <f ca="1">IF(ISERROR(OFFSET(Rame!$F$1,MATCH(J439,Rame!$F:$F,0)-1,MATCH(K439,Rame!$F$1:$FF$1,0)-1)=TRUE),0,OFFSET(Rame!$F$1,MATCH(J439,Rame!$F:$F,0)-1,MATCH(K439,Rame!$F$1:$FF$1,0)-1))*IF(G439="Rame",1,0)</f>
        <v>0</v>
      </c>
      <c r="U439" s="255">
        <f ca="1">IF(ISERROR(OFFSET(Bronzo!$A$1,MATCH(J439,Bronzo!$A:$A,0)-1,MATCH(K439,Bronzo!$A$1:$AA$1,0)-1)=TRUE),0,OFFSET(Bronzo!$A$1,MATCH(J439,Bronzo!$A:$A,0)-1,MATCH(K439,Bronzo!$A$1:$AA$1,0)-1))</f>
        <v>0</v>
      </c>
      <c r="V439" s="255">
        <f t="shared" ca="1" si="152"/>
        <v>0</v>
      </c>
      <c r="W439" s="254"/>
      <c r="X439" s="255">
        <v>0</v>
      </c>
      <c r="Y439" s="256">
        <f t="shared" ca="1" si="153"/>
        <v>0.85</v>
      </c>
      <c r="Z439" s="269">
        <f t="shared" si="154"/>
        <v>106.8</v>
      </c>
      <c r="AA439" s="253">
        <v>14.8</v>
      </c>
      <c r="AB439" s="253">
        <f t="shared" ca="1" si="155"/>
        <v>2.8500000000000014</v>
      </c>
      <c r="AC439" s="258"/>
      <c r="AF439" s="223" t="s">
        <v>405</v>
      </c>
      <c r="AH439" s="232">
        <f t="shared" ca="1" si="149"/>
        <v>46120</v>
      </c>
      <c r="AI439" s="232" t="b">
        <f t="shared" si="144"/>
        <v>1</v>
      </c>
      <c r="AJ439" s="259" t="str">
        <f t="shared" si="150"/>
        <v/>
      </c>
      <c r="AM439" s="223">
        <f t="shared" si="145"/>
        <v>0</v>
      </c>
      <c r="AN439" s="223">
        <f t="shared" si="146"/>
        <v>1900</v>
      </c>
      <c r="AU439" s="223">
        <f t="shared" si="147"/>
        <v>0</v>
      </c>
      <c r="AV439" s="223">
        <f t="shared" si="148"/>
        <v>0</v>
      </c>
    </row>
    <row r="440" spans="4:48" ht="26.25" x14ac:dyDescent="0.4">
      <c r="D440" s="246" t="s">
        <v>712</v>
      </c>
      <c r="E440" s="252" t="s">
        <v>212</v>
      </c>
      <c r="F440" s="276">
        <v>1500</v>
      </c>
      <c r="G440" s="249" t="s">
        <v>4</v>
      </c>
      <c r="H440" s="250">
        <v>2.61</v>
      </c>
      <c r="I440" s="251">
        <v>46091</v>
      </c>
      <c r="J440" s="252" t="s">
        <v>21</v>
      </c>
      <c r="K440" s="252"/>
      <c r="L440" s="253">
        <v>0.05</v>
      </c>
      <c r="M440" s="254">
        <f ca="1">IF(ISERROR(OFFSET(Tabella!$A$1,MATCH(J440,Tabella!$A:$A,0)-1,MATCH(L440,Tabella!$A$1:$AC$1,0)-1)=TRUE),0,+OFFSET(Tabella!$A$1,MATCH(J440,Tabella!$A:$A,0)-1,MATCH(L440,Tabella!$A$1:$AC$1,0)-1))</f>
        <v>0</v>
      </c>
      <c r="N440" s="255">
        <f ca="1">IF(ISERROR(OFFSET(Ottone!$A$1,MATCH(J440,Ottone!$A:$A,0)-1,MATCH(L440,Ottone!$A$1:$Z$1,0)-1)=TRUE),0,OFFSET(Ottone!$A$1,MATCH(J440,Ottone!$A:$A,0)-1,MATCH(L440,Ottone!$A$1:$Z$1,0)-1))*IF(G440="Ottone",1,0)</f>
        <v>0</v>
      </c>
      <c r="O440" s="255">
        <f ca="1">IF(ISERROR(OFFSET(Rame!$A$1,MATCH(J440,Rame!$A:$A,0)-1,MATCH(L440,Rame!$A$1:$AA$1,0)-1)=TRUE),0,OFFSET(Rame!$A$1,MATCH(J440,Rame!$A:$A,0)-1,MATCH(L440,Rame!$A$1:$AA$1,0)-1))*IF(G440="Rame",1,0)</f>
        <v>0</v>
      </c>
      <c r="P440" s="255">
        <v>0</v>
      </c>
      <c r="Q440" s="255">
        <v>1.5</v>
      </c>
      <c r="R440" s="255">
        <f ca="1">+IF(ISERROR(OFFSET(Tabella!$G$1,MATCH(J440,Tabella!$G:$G,0)-1,MATCH(K440,Tabella!$G$1:$FG$1,0)-1)=TRUE),0,OFFSET(Tabella!$G$1,MATCH(J440,Tabella!$G:$G,0)-1,MATCH(K440,Tabella!$G$1:$AB$1,0)-1))</f>
        <v>0</v>
      </c>
      <c r="S440" s="255">
        <f ca="1">IF(ISERROR(OFFSET(Ottone!$F$1,MATCH(J440,Ottone!$A:$A,0)-1,MATCH(K440,Ottone!$F$1:$FF$1,0)-1)=TRUE),0,OFFSET(Ottone!$F$1,MATCH(J440,Ottone!$A:$A,0)-1,MATCH(K440,Ottone!$F$1:$FF$1,0)-1))*IF(G440="Ottone",1,0)</f>
        <v>0</v>
      </c>
      <c r="T440" s="255">
        <f ca="1">IF(ISERROR(OFFSET(Rame!$F$1,MATCH(J440,Rame!$F:$F,0)-1,MATCH(K440,Rame!$F$1:$FF$1,0)-1)=TRUE),0,OFFSET(Rame!$F$1,MATCH(J440,Rame!$F:$F,0)-1,MATCH(K440,Rame!$F$1:$FF$1,0)-1))*IF(G440="Rame",1,0)</f>
        <v>0</v>
      </c>
      <c r="U440" s="255">
        <f ca="1">IF(ISERROR(OFFSET(Bronzo!$A$1,MATCH(J440,Bronzo!$A:$A,0)-1,MATCH(K440,Bronzo!$A$1:$AA$1,0)-1)=TRUE),0,OFFSET(Bronzo!$A$1,MATCH(J440,Bronzo!$A:$A,0)-1,MATCH(K440,Bronzo!$A$1:$AA$1,0)-1))</f>
        <v>0</v>
      </c>
      <c r="V440" s="255">
        <f t="shared" ca="1" si="152"/>
        <v>0</v>
      </c>
      <c r="W440" s="254"/>
      <c r="X440" s="255">
        <v>0</v>
      </c>
      <c r="Y440" s="256">
        <f t="shared" ca="1" si="153"/>
        <v>1.5</v>
      </c>
      <c r="Z440" s="257">
        <f t="shared" si="154"/>
        <v>75</v>
      </c>
      <c r="AA440" s="253">
        <v>4.08</v>
      </c>
      <c r="AB440" s="253">
        <f t="shared" ca="1" si="155"/>
        <v>-2.9999999999999805E-2</v>
      </c>
      <c r="AC440" s="258">
        <v>46132</v>
      </c>
      <c r="AH440" s="232">
        <f t="shared" ca="1" si="149"/>
        <v>46120</v>
      </c>
      <c r="AI440" s="232" t="b">
        <f t="shared" si="144"/>
        <v>0</v>
      </c>
      <c r="AJ440" s="259">
        <f t="shared" ca="1" si="150"/>
        <v>12</v>
      </c>
      <c r="AM440" s="223">
        <f t="shared" si="145"/>
        <v>17</v>
      </c>
      <c r="AN440" s="223">
        <f t="shared" si="146"/>
        <v>2026</v>
      </c>
      <c r="AU440" s="223">
        <f t="shared" si="147"/>
        <v>4</v>
      </c>
      <c r="AV440" s="223">
        <f t="shared" si="148"/>
        <v>2026</v>
      </c>
    </row>
    <row r="441" spans="4:48" ht="26.25" x14ac:dyDescent="0.4">
      <c r="D441" s="246" t="s">
        <v>632</v>
      </c>
      <c r="E441" s="252" t="s">
        <v>304</v>
      </c>
      <c r="F441" s="276">
        <v>300</v>
      </c>
      <c r="G441" s="249" t="s">
        <v>6</v>
      </c>
      <c r="H441" s="250">
        <v>11.1</v>
      </c>
      <c r="I441" s="251">
        <v>46091</v>
      </c>
      <c r="J441" s="252" t="s">
        <v>14</v>
      </c>
      <c r="K441" s="252"/>
      <c r="L441" s="253">
        <v>0.15</v>
      </c>
      <c r="M441" s="254">
        <f ca="1">IF(ISERROR(OFFSET(Tabella!$A$1,MATCH(J441,Tabella!$A:$A,0)-1,MATCH(L441,Tabella!$A$1:$AC$1,0)-1)=TRUE),0,+OFFSET(Tabella!$A$1,MATCH(J441,Tabella!$A:$A,0)-1,MATCH(L441,Tabella!$A$1:$AC$1,0)-1))</f>
        <v>0</v>
      </c>
      <c r="N441" s="255">
        <f ca="1">IF(ISERROR(OFFSET(Ottone!$A$1,MATCH(J441,Ottone!$A:$A,0)-1,MATCH(L441,Ottone!$A$1:$Z$1,0)-1)=TRUE),0,OFFSET(Ottone!$A$1,MATCH(J441,Ottone!$A:$A,0)-1,MATCH(L441,Ottone!$A$1:$Z$1,0)-1))*IF(G441="Ottone",1,0)</f>
        <v>0</v>
      </c>
      <c r="O441" s="255">
        <f ca="1">IF(ISERROR(OFFSET(Rame!$A$1,MATCH(J441,Rame!$A:$A,0)-1,MATCH(L441,Rame!$A$1:$AA$1,0)-1)=TRUE),0,OFFSET(Rame!$A$1,MATCH(J441,Rame!$A:$A,0)-1,MATCH(L441,Rame!$A$1:$AA$1,0)-1))*IF(G441="Rame",1,0)</f>
        <v>1</v>
      </c>
      <c r="P441" s="255">
        <v>0</v>
      </c>
      <c r="Q441" s="255">
        <f t="shared" ca="1" si="151"/>
        <v>1</v>
      </c>
      <c r="R441" s="255">
        <f ca="1">+IF(ISERROR(OFFSET(Tabella!$G$1,MATCH(J441,Tabella!$G:$G,0)-1,MATCH(K441,Tabella!$G$1:$FG$1,0)-1)=TRUE),0,OFFSET(Tabella!$G$1,MATCH(J441,Tabella!$G:$G,0)-1,MATCH(K441,Tabella!$G$1:$AB$1,0)-1))</f>
        <v>0</v>
      </c>
      <c r="S441" s="255">
        <f ca="1">IF(ISERROR(OFFSET(Ottone!$F$1,MATCH(J441,Ottone!$A:$A,0)-1,MATCH(K441,Ottone!$F$1:$FF$1,0)-1)=TRUE),0,OFFSET(Ottone!$F$1,MATCH(J441,Ottone!$A:$A,0)-1,MATCH(K441,Ottone!$F$1:$FF$1,0)-1))*IF(G441="Ottone",1,0)</f>
        <v>0</v>
      </c>
      <c r="T441" s="255">
        <f ca="1">IF(ISERROR(OFFSET(Rame!$F$1,MATCH(J441,Rame!$F:$F,0)-1,MATCH(K441,Rame!$F$1:$FF$1,0)-1)=TRUE),0,OFFSET(Rame!$F$1,MATCH(J441,Rame!$F:$F,0)-1,MATCH(K441,Rame!$F$1:$FF$1,0)-1))*IF(G441="Rame",1,0)</f>
        <v>0</v>
      </c>
      <c r="U441" s="255">
        <f ca="1">IF(ISERROR(OFFSET(Bronzo!$A$1,MATCH(J441,Bronzo!$A:$A,0)-1,MATCH(K441,Bronzo!$A$1:$AA$1,0)-1)=TRUE),0,OFFSET(Bronzo!$A$1,MATCH(J441,Bronzo!$A:$A,0)-1,MATCH(K441,Bronzo!$A$1:$AA$1,0)-1))</f>
        <v>0</v>
      </c>
      <c r="V441" s="255">
        <f t="shared" ca="1" si="152"/>
        <v>0</v>
      </c>
      <c r="W441" s="254"/>
      <c r="X441" s="255">
        <v>0</v>
      </c>
      <c r="Y441" s="256">
        <f t="shared" ca="1" si="153"/>
        <v>1</v>
      </c>
      <c r="Z441" s="257">
        <f t="shared" si="154"/>
        <v>45</v>
      </c>
      <c r="AA441" s="253">
        <v>14.8</v>
      </c>
      <c r="AB441" s="253">
        <f t="shared" ca="1" si="155"/>
        <v>2.7000000000000011</v>
      </c>
      <c r="AC441" s="258">
        <v>46115</v>
      </c>
      <c r="AH441" s="232">
        <f t="shared" ca="1" si="149"/>
        <v>46120</v>
      </c>
      <c r="AI441" s="232" t="b">
        <f t="shared" si="144"/>
        <v>0</v>
      </c>
      <c r="AJ441" s="259">
        <f t="shared" ca="1" si="150"/>
        <v>-5</v>
      </c>
      <c r="AM441" s="223">
        <f t="shared" si="145"/>
        <v>14</v>
      </c>
      <c r="AN441" s="223">
        <f t="shared" si="146"/>
        <v>2026</v>
      </c>
      <c r="AU441" s="223">
        <f t="shared" si="147"/>
        <v>4</v>
      </c>
      <c r="AV441" s="223">
        <f t="shared" si="148"/>
        <v>2026</v>
      </c>
    </row>
    <row r="442" spans="4:48" ht="26.25" x14ac:dyDescent="0.4">
      <c r="D442" s="246" t="s">
        <v>637</v>
      </c>
      <c r="E442" s="252" t="s">
        <v>397</v>
      </c>
      <c r="F442" s="276">
        <v>300</v>
      </c>
      <c r="G442" s="249" t="s">
        <v>4</v>
      </c>
      <c r="H442" s="250">
        <v>2.86</v>
      </c>
      <c r="I442" s="251">
        <v>46091</v>
      </c>
      <c r="J442" s="252" t="s">
        <v>9</v>
      </c>
      <c r="K442" s="252"/>
      <c r="L442" s="253">
        <v>7.0000000000000007E-2</v>
      </c>
      <c r="M442" s="254">
        <f ca="1">IF(ISERROR(OFFSET(Tabella!$A$1,MATCH(J442,Tabella!$A:$A,0)-1,MATCH(L442,Tabella!$A$1:$AC$1,0)-1)=TRUE),0,+OFFSET(Tabella!$A$1,MATCH(J442,Tabella!$A:$A,0)-1,MATCH(L442,Tabella!$A$1:$AC$1,0)-1))</f>
        <v>1.6</v>
      </c>
      <c r="N442" s="255">
        <f ca="1">IF(ISERROR(OFFSET(Ottone!$A$1,MATCH(J442,Ottone!$A:$A,0)-1,MATCH(L442,Ottone!$A$1:$Z$1,0)-1)=TRUE),0,OFFSET(Ottone!$A$1,MATCH(J442,Ottone!$A:$A,0)-1,MATCH(L442,Ottone!$A$1:$Z$1,0)-1))*IF(G442="Ottone",1,0)</f>
        <v>0</v>
      </c>
      <c r="O442" s="255">
        <f ca="1">IF(ISERROR(OFFSET(Rame!$A$1,MATCH(J442,Rame!$A:$A,0)-1,MATCH(L442,Rame!$A$1:$AA$1,0)-1)=TRUE),0,OFFSET(Rame!$A$1,MATCH(J442,Rame!$A:$A,0)-1,MATCH(L442,Rame!$A$1:$AA$1,0)-1))*IF(G442="Rame",1,0)</f>
        <v>0</v>
      </c>
      <c r="P442" s="255">
        <v>0</v>
      </c>
      <c r="Q442" s="255">
        <f t="shared" ca="1" si="151"/>
        <v>1.6</v>
      </c>
      <c r="R442" s="255">
        <f ca="1">+IF(ISERROR(OFFSET(Tabella!$G$1,MATCH(J442,Tabella!$G:$G,0)-1,MATCH(K442,Tabella!$G$1:$FG$1,0)-1)=TRUE),0,OFFSET(Tabella!$G$1,MATCH(J442,Tabella!$G:$G,0)-1,MATCH(K442,Tabella!$G$1:$AB$1,0)-1))</f>
        <v>0</v>
      </c>
      <c r="S442" s="255">
        <f ca="1">IF(ISERROR(OFFSET(Ottone!$F$1,MATCH(J442,Ottone!$A:$A,0)-1,MATCH(K442,Ottone!$F$1:$FF$1,0)-1)=TRUE),0,OFFSET(Ottone!$F$1,MATCH(J442,Ottone!$A:$A,0)-1,MATCH(K442,Ottone!$F$1:$FF$1,0)-1))*IF(G442="Ottone",1,0)</f>
        <v>0</v>
      </c>
      <c r="T442" s="255">
        <f ca="1">IF(ISERROR(OFFSET(Rame!$F$1,MATCH(J442,Rame!$F:$F,0)-1,MATCH(K442,Rame!$F$1:$FF$1,0)-1)=TRUE),0,OFFSET(Rame!$F$1,MATCH(J442,Rame!$F:$F,0)-1,MATCH(K442,Rame!$F$1:$FF$1,0)-1))*IF(G442="Rame",1,0)</f>
        <v>0</v>
      </c>
      <c r="U442" s="255">
        <f ca="1">IF(ISERROR(OFFSET(Bronzo!$A$1,MATCH(J442,Bronzo!$A:$A,0)-1,MATCH(K442,Bronzo!$A$1:$AA$1,0)-1)=TRUE),0,OFFSET(Bronzo!$A$1,MATCH(J442,Bronzo!$A:$A,0)-1,MATCH(K442,Bronzo!$A$1:$AA$1,0)-1))</f>
        <v>0</v>
      </c>
      <c r="V442" s="255">
        <f t="shared" ca="1" si="152"/>
        <v>0</v>
      </c>
      <c r="W442" s="254"/>
      <c r="X442" s="255">
        <v>0</v>
      </c>
      <c r="Y442" s="256">
        <f t="shared" ca="1" si="153"/>
        <v>1.6</v>
      </c>
      <c r="Z442" s="257">
        <f t="shared" si="154"/>
        <v>21.000000000000004</v>
      </c>
      <c r="AA442" s="253">
        <v>4.88</v>
      </c>
      <c r="AB442" s="253">
        <f t="shared" ca="1" si="155"/>
        <v>0.41999999999999993</v>
      </c>
      <c r="AC442" s="258">
        <v>46192</v>
      </c>
      <c r="AH442" s="232">
        <f t="shared" ca="1" si="149"/>
        <v>46120</v>
      </c>
      <c r="AI442" s="232" t="b">
        <f t="shared" si="144"/>
        <v>0</v>
      </c>
      <c r="AJ442" s="259">
        <f t="shared" ca="1" si="150"/>
        <v>72</v>
      </c>
      <c r="AM442" s="223">
        <f t="shared" si="145"/>
        <v>25</v>
      </c>
      <c r="AN442" s="223">
        <f t="shared" si="146"/>
        <v>2026</v>
      </c>
      <c r="AU442" s="223">
        <f t="shared" si="147"/>
        <v>6</v>
      </c>
      <c r="AV442" s="223">
        <f t="shared" si="148"/>
        <v>2026</v>
      </c>
    </row>
    <row r="443" spans="4:48" ht="26.25" x14ac:dyDescent="0.4">
      <c r="D443" s="246" t="s">
        <v>646</v>
      </c>
      <c r="E443" s="252" t="s">
        <v>440</v>
      </c>
      <c r="F443" s="276">
        <v>1500</v>
      </c>
      <c r="G443" s="249" t="s">
        <v>6</v>
      </c>
      <c r="H443" s="250">
        <v>11.22</v>
      </c>
      <c r="I443" s="251">
        <v>46091</v>
      </c>
      <c r="J443" s="252" t="s">
        <v>18</v>
      </c>
      <c r="K443" s="252"/>
      <c r="L443" s="253">
        <v>0.15</v>
      </c>
      <c r="M443" s="254">
        <f ca="1">IF(ISERROR(OFFSET(Tabella!$A$1,MATCH(J443,Tabella!$A:$A,0)-1,MATCH(L443,Tabella!$A$1:$AC$1,0)-1)=TRUE),0,+OFFSET(Tabella!$A$1,MATCH(J443,Tabella!$A:$A,0)-1,MATCH(L443,Tabella!$A$1:$AC$1,0)-1))</f>
        <v>0</v>
      </c>
      <c r="N443" s="255">
        <f ca="1">IF(ISERROR(OFFSET(Ottone!$A$1,MATCH(J443,Ottone!$A:$A,0)-1,MATCH(L443,Ottone!$A$1:$Z$1,0)-1)=TRUE),0,OFFSET(Ottone!$A$1,MATCH(J443,Ottone!$A:$A,0)-1,MATCH(L443,Ottone!$A$1:$Z$1,0)-1))*IF(G443="Ottone",1,0)</f>
        <v>0</v>
      </c>
      <c r="O443" s="255">
        <f ca="1">IF(ISERROR(OFFSET(Rame!$A$1,MATCH(J443,Rame!$A:$A,0)-1,MATCH(L443,Rame!$A$1:$AA$1,0)-1)=TRUE),0,OFFSET(Rame!$A$1,MATCH(J443,Rame!$A:$A,0)-1,MATCH(L443,Rame!$A$1:$AA$1,0)-1))*IF(G443="Rame",1,0)</f>
        <v>0.82</v>
      </c>
      <c r="P443" s="255">
        <v>0</v>
      </c>
      <c r="Q443" s="255">
        <f t="shared" ca="1" si="151"/>
        <v>0.82</v>
      </c>
      <c r="R443" s="255">
        <f ca="1">+IF(ISERROR(OFFSET(Tabella!$G$1,MATCH(J443,Tabella!$G:$G,0)-1,MATCH(K443,Tabella!$G$1:$FG$1,0)-1)=TRUE),0,OFFSET(Tabella!$G$1,MATCH(J443,Tabella!$G:$G,0)-1,MATCH(K443,Tabella!$G$1:$AB$1,0)-1))</f>
        <v>0</v>
      </c>
      <c r="S443" s="255">
        <f ca="1">IF(ISERROR(OFFSET(Ottone!$F$1,MATCH(J443,Ottone!$A:$A,0)-1,MATCH(K443,Ottone!$F$1:$FF$1,0)-1)=TRUE),0,OFFSET(Ottone!$F$1,MATCH(J443,Ottone!$A:$A,0)-1,MATCH(K443,Ottone!$F$1:$FF$1,0)-1))*IF(G443="Ottone",1,0)</f>
        <v>0</v>
      </c>
      <c r="T443" s="255">
        <f ca="1">IF(ISERROR(OFFSET(Rame!$F$1,MATCH(J443,Rame!$F:$F,0)-1,MATCH(K443,Rame!$F$1:$FF$1,0)-1)=TRUE),0,OFFSET(Rame!$F$1,MATCH(J443,Rame!$F:$F,0)-1,MATCH(K443,Rame!$F$1:$FF$1,0)-1))*IF(G443="Rame",1,0)</f>
        <v>0</v>
      </c>
      <c r="U443" s="255">
        <f ca="1">IF(ISERROR(OFFSET(Bronzo!$A$1,MATCH(J443,Bronzo!$A:$A,0)-1,MATCH(K443,Bronzo!$A$1:$AA$1,0)-1)=TRUE),0,OFFSET(Bronzo!$A$1,MATCH(J443,Bronzo!$A:$A,0)-1,MATCH(K443,Bronzo!$A$1:$AA$1,0)-1))</f>
        <v>0</v>
      </c>
      <c r="V443" s="255">
        <f t="shared" ca="1" si="152"/>
        <v>0</v>
      </c>
      <c r="W443" s="254"/>
      <c r="X443" s="255">
        <v>0</v>
      </c>
      <c r="Y443" s="256">
        <f t="shared" ca="1" si="153"/>
        <v>0.82</v>
      </c>
      <c r="Z443" s="257">
        <f t="shared" si="154"/>
        <v>225</v>
      </c>
      <c r="AA443" s="253">
        <v>14.77</v>
      </c>
      <c r="AB443" s="253">
        <f t="shared" ca="1" si="155"/>
        <v>2.7299999999999986</v>
      </c>
      <c r="AC443" s="258">
        <v>46169</v>
      </c>
      <c r="AH443" s="232">
        <f t="shared" ca="1" si="149"/>
        <v>46120</v>
      </c>
      <c r="AI443" s="232" t="b">
        <f t="shared" si="144"/>
        <v>0</v>
      </c>
      <c r="AJ443" s="259">
        <f t="shared" ca="1" si="150"/>
        <v>49</v>
      </c>
      <c r="AM443" s="223">
        <f t="shared" si="145"/>
        <v>22</v>
      </c>
      <c r="AN443" s="223">
        <f t="shared" si="146"/>
        <v>2026</v>
      </c>
      <c r="AU443" s="223">
        <f t="shared" si="147"/>
        <v>5</v>
      </c>
      <c r="AV443" s="223">
        <f t="shared" si="148"/>
        <v>2026</v>
      </c>
    </row>
    <row r="444" spans="4:48" ht="26.25" x14ac:dyDescent="0.4">
      <c r="D444" s="246" t="s">
        <v>652</v>
      </c>
      <c r="E444" s="252" t="s">
        <v>208</v>
      </c>
      <c r="F444" s="276">
        <v>5000</v>
      </c>
      <c r="G444" s="249" t="s">
        <v>4</v>
      </c>
      <c r="H444" s="250">
        <v>2.91</v>
      </c>
      <c r="I444" s="251">
        <v>46091</v>
      </c>
      <c r="J444" s="252" t="s">
        <v>13</v>
      </c>
      <c r="K444" s="252"/>
      <c r="L444" s="253">
        <v>0.05</v>
      </c>
      <c r="M444" s="254">
        <f ca="1">IF(ISERROR(OFFSET(Tabella!$A$1,MATCH(J444,Tabella!$A:$A,0)-1,MATCH(L444,Tabella!$A$1:$AC$1,0)-1)=TRUE),0,+OFFSET(Tabella!$A$1,MATCH(J444,Tabella!$A:$A,0)-1,MATCH(L444,Tabella!$A$1:$AC$1,0)-1))</f>
        <v>0</v>
      </c>
      <c r="N444" s="255">
        <f ca="1">IF(ISERROR(OFFSET(Ottone!$A$1,MATCH(J444,Ottone!$A:$A,0)-1,MATCH(L444,Ottone!$A$1:$Z$1,0)-1)=TRUE),0,OFFSET(Ottone!$A$1,MATCH(J444,Ottone!$A:$A,0)-1,MATCH(L444,Ottone!$A$1:$Z$1,0)-1))*IF(G444="Ottone",1,0)</f>
        <v>0</v>
      </c>
      <c r="O444" s="255">
        <f ca="1">IF(ISERROR(OFFSET(Rame!$A$1,MATCH(J444,Rame!$A:$A,0)-1,MATCH(L444,Rame!$A$1:$AA$1,0)-1)=TRUE),0,OFFSET(Rame!$A$1,MATCH(J444,Rame!$A:$A,0)-1,MATCH(L444,Rame!$A$1:$AA$1,0)-1))*IF(G444="Rame",1,0)</f>
        <v>0</v>
      </c>
      <c r="P444" s="255">
        <v>0</v>
      </c>
      <c r="Q444" s="255">
        <v>1.75</v>
      </c>
      <c r="R444" s="255">
        <f ca="1">+IF(ISERROR(OFFSET(Tabella!$G$1,MATCH(J444,Tabella!$G:$G,0)-1,MATCH(K444,Tabella!$G$1:$FG$1,0)-1)=TRUE),0,OFFSET(Tabella!$G$1,MATCH(J444,Tabella!$G:$G,0)-1,MATCH(K444,Tabella!$G$1:$AB$1,0)-1))</f>
        <v>0</v>
      </c>
      <c r="S444" s="255">
        <f ca="1">IF(ISERROR(OFFSET(Ottone!$F$1,MATCH(J444,Ottone!$A:$A,0)-1,MATCH(K444,Ottone!$F$1:$FF$1,0)-1)=TRUE),0,OFFSET(Ottone!$F$1,MATCH(J444,Ottone!$A:$A,0)-1,MATCH(K444,Ottone!$F$1:$FF$1,0)-1))*IF(G444="Ottone",1,0)</f>
        <v>0</v>
      </c>
      <c r="T444" s="255">
        <f ca="1">IF(ISERROR(OFFSET(Rame!$F$1,MATCH(J444,Rame!$F:$F,0)-1,MATCH(K444,Rame!$F$1:$FF$1,0)-1)=TRUE),0,OFFSET(Rame!$F$1,MATCH(J444,Rame!$F:$F,0)-1,MATCH(K444,Rame!$F$1:$FF$1,0)-1))*IF(G444="Rame",1,0)</f>
        <v>0</v>
      </c>
      <c r="U444" s="255">
        <f ca="1">IF(ISERROR(OFFSET(Bronzo!$A$1,MATCH(J444,Bronzo!$A:$A,0)-1,MATCH(K444,Bronzo!$A$1:$AA$1,0)-1)=TRUE),0,OFFSET(Bronzo!$A$1,MATCH(J444,Bronzo!$A:$A,0)-1,MATCH(K444,Bronzo!$A$1:$AA$1,0)-1))</f>
        <v>0</v>
      </c>
      <c r="V444" s="255">
        <f t="shared" ca="1" si="152"/>
        <v>0</v>
      </c>
      <c r="W444" s="254"/>
      <c r="X444" s="255">
        <v>0</v>
      </c>
      <c r="Y444" s="256">
        <f t="shared" ca="1" si="153"/>
        <v>1.75</v>
      </c>
      <c r="Z444" s="257">
        <f t="shared" si="154"/>
        <v>250</v>
      </c>
      <c r="AA444" s="253">
        <v>4.45</v>
      </c>
      <c r="AB444" s="253">
        <f t="shared" ca="1" si="155"/>
        <v>-0.20999999999999996</v>
      </c>
      <c r="AC444" s="258">
        <v>46122</v>
      </c>
      <c r="AH444" s="232">
        <f t="shared" ca="1" si="149"/>
        <v>46120</v>
      </c>
      <c r="AI444" s="232" t="b">
        <f t="shared" si="144"/>
        <v>0</v>
      </c>
      <c r="AJ444" s="259">
        <f t="shared" ca="1" si="150"/>
        <v>2</v>
      </c>
      <c r="AM444" s="223">
        <f t="shared" si="145"/>
        <v>15</v>
      </c>
      <c r="AN444" s="223">
        <f t="shared" si="146"/>
        <v>2026</v>
      </c>
      <c r="AU444" s="223">
        <f t="shared" si="147"/>
        <v>4</v>
      </c>
      <c r="AV444" s="223">
        <f t="shared" si="148"/>
        <v>2026</v>
      </c>
    </row>
    <row r="445" spans="4:48" ht="26.25" x14ac:dyDescent="0.4">
      <c r="D445" s="246" t="s">
        <v>652</v>
      </c>
      <c r="E445" s="252" t="s">
        <v>208</v>
      </c>
      <c r="F445" s="276">
        <v>5000</v>
      </c>
      <c r="G445" s="249" t="s">
        <v>4</v>
      </c>
      <c r="H445" s="250">
        <v>2.91</v>
      </c>
      <c r="I445" s="251">
        <v>46091</v>
      </c>
      <c r="J445" s="252" t="s">
        <v>13</v>
      </c>
      <c r="K445" s="252"/>
      <c r="L445" s="253">
        <v>0.05</v>
      </c>
      <c r="M445" s="254">
        <f ca="1">IF(ISERROR(OFFSET(Tabella!$A$1,MATCH(J445,Tabella!$A:$A,0)-1,MATCH(L445,Tabella!$A$1:$AC$1,0)-1)=TRUE),0,+OFFSET(Tabella!$A$1,MATCH(J445,Tabella!$A:$A,0)-1,MATCH(L445,Tabella!$A$1:$AC$1,0)-1))</f>
        <v>0</v>
      </c>
      <c r="N445" s="255">
        <f ca="1">IF(ISERROR(OFFSET(Ottone!$A$1,MATCH(J445,Ottone!$A:$A,0)-1,MATCH(L445,Ottone!$A$1:$Z$1,0)-1)=TRUE),0,OFFSET(Ottone!$A$1,MATCH(J445,Ottone!$A:$A,0)-1,MATCH(L445,Ottone!$A$1:$Z$1,0)-1))*IF(G445="Ottone",1,0)</f>
        <v>0</v>
      </c>
      <c r="O445" s="255">
        <f ca="1">IF(ISERROR(OFFSET(Rame!$A$1,MATCH(J445,Rame!$A:$A,0)-1,MATCH(L445,Rame!$A$1:$AA$1,0)-1)=TRUE),0,OFFSET(Rame!$A$1,MATCH(J445,Rame!$A:$A,0)-1,MATCH(L445,Rame!$A$1:$AA$1,0)-1))*IF(G445="Rame",1,0)</f>
        <v>0</v>
      </c>
      <c r="P445" s="255">
        <v>0</v>
      </c>
      <c r="Q445" s="255">
        <v>1.75</v>
      </c>
      <c r="R445" s="255">
        <f ca="1">+IF(ISERROR(OFFSET(Tabella!$G$1,MATCH(J445,Tabella!$G:$G,0)-1,MATCH(K445,Tabella!$G$1:$FG$1,0)-1)=TRUE),0,OFFSET(Tabella!$G$1,MATCH(J445,Tabella!$G:$G,0)-1,MATCH(K445,Tabella!$G$1:$AB$1,0)-1))</f>
        <v>0</v>
      </c>
      <c r="S445" s="255">
        <f ca="1">IF(ISERROR(OFFSET(Ottone!$F$1,MATCH(J445,Ottone!$A:$A,0)-1,MATCH(K445,Ottone!$F$1:$FF$1,0)-1)=TRUE),0,OFFSET(Ottone!$F$1,MATCH(J445,Ottone!$A:$A,0)-1,MATCH(K445,Ottone!$F$1:$FF$1,0)-1))*IF(G445="Ottone",1,0)</f>
        <v>0</v>
      </c>
      <c r="T445" s="255">
        <f ca="1">IF(ISERROR(OFFSET(Rame!$F$1,MATCH(J445,Rame!$F:$F,0)-1,MATCH(K445,Rame!$F$1:$FF$1,0)-1)=TRUE),0,OFFSET(Rame!$F$1,MATCH(J445,Rame!$F:$F,0)-1,MATCH(K445,Rame!$F$1:$FF$1,0)-1))*IF(G445="Rame",1,0)</f>
        <v>0</v>
      </c>
      <c r="U445" s="255">
        <f ca="1">IF(ISERROR(OFFSET(Bronzo!$A$1,MATCH(J445,Bronzo!$A:$A,0)-1,MATCH(K445,Bronzo!$A$1:$AA$1,0)-1)=TRUE),0,OFFSET(Bronzo!$A$1,MATCH(J445,Bronzo!$A:$A,0)-1,MATCH(K445,Bronzo!$A$1:$AA$1,0)-1))</f>
        <v>0</v>
      </c>
      <c r="V445" s="255">
        <f t="shared" ca="1" si="152"/>
        <v>0</v>
      </c>
      <c r="W445" s="254"/>
      <c r="X445" s="255">
        <v>0</v>
      </c>
      <c r="Y445" s="256">
        <f t="shared" ca="1" si="153"/>
        <v>1.75</v>
      </c>
      <c r="Z445" s="257">
        <f t="shared" si="154"/>
        <v>250</v>
      </c>
      <c r="AA445" s="253">
        <v>4.45</v>
      </c>
      <c r="AB445" s="253">
        <f t="shared" ca="1" si="155"/>
        <v>-0.20999999999999996</v>
      </c>
      <c r="AC445" s="258">
        <v>46152</v>
      </c>
      <c r="AH445" s="232">
        <f t="shared" ca="1" si="149"/>
        <v>46120</v>
      </c>
      <c r="AI445" s="232" t="b">
        <f t="shared" si="144"/>
        <v>0</v>
      </c>
      <c r="AJ445" s="259">
        <f t="shared" ca="1" si="150"/>
        <v>32</v>
      </c>
      <c r="AM445" s="223">
        <f t="shared" si="145"/>
        <v>20</v>
      </c>
      <c r="AN445" s="223">
        <f t="shared" si="146"/>
        <v>2026</v>
      </c>
      <c r="AU445" s="223">
        <f t="shared" si="147"/>
        <v>5</v>
      </c>
      <c r="AV445" s="223">
        <f t="shared" si="148"/>
        <v>2026</v>
      </c>
    </row>
    <row r="446" spans="4:48" ht="26.25" x14ac:dyDescent="0.4">
      <c r="D446" s="246" t="s">
        <v>652</v>
      </c>
      <c r="E446" s="252" t="s">
        <v>208</v>
      </c>
      <c r="F446" s="276">
        <v>5000</v>
      </c>
      <c r="G446" s="249" t="s">
        <v>4</v>
      </c>
      <c r="H446" s="250">
        <v>2.91</v>
      </c>
      <c r="I446" s="251">
        <v>46091</v>
      </c>
      <c r="J446" s="252" t="s">
        <v>13</v>
      </c>
      <c r="K446" s="252"/>
      <c r="L446" s="253">
        <v>0.05</v>
      </c>
      <c r="M446" s="254">
        <f ca="1">IF(ISERROR(OFFSET(Tabella!$A$1,MATCH(J446,Tabella!$A:$A,0)-1,MATCH(L446,Tabella!$A$1:$AC$1,0)-1)=TRUE),0,+OFFSET(Tabella!$A$1,MATCH(J446,Tabella!$A:$A,0)-1,MATCH(L446,Tabella!$A$1:$AC$1,0)-1))</f>
        <v>0</v>
      </c>
      <c r="N446" s="255">
        <f ca="1">IF(ISERROR(OFFSET(Ottone!$A$1,MATCH(J446,Ottone!$A:$A,0)-1,MATCH(L446,Ottone!$A$1:$Z$1,0)-1)=TRUE),0,OFFSET(Ottone!$A$1,MATCH(J446,Ottone!$A:$A,0)-1,MATCH(L446,Ottone!$A$1:$Z$1,0)-1))*IF(G446="Ottone",1,0)</f>
        <v>0</v>
      </c>
      <c r="O446" s="255">
        <f ca="1">IF(ISERROR(OFFSET(Rame!$A$1,MATCH(J446,Rame!$A:$A,0)-1,MATCH(L446,Rame!$A$1:$AA$1,0)-1)=TRUE),0,OFFSET(Rame!$A$1,MATCH(J446,Rame!$A:$A,0)-1,MATCH(L446,Rame!$A$1:$AA$1,0)-1))*IF(G446="Rame",1,0)</f>
        <v>0</v>
      </c>
      <c r="P446" s="255">
        <v>0</v>
      </c>
      <c r="Q446" s="255">
        <v>1.75</v>
      </c>
      <c r="R446" s="255">
        <f ca="1">+IF(ISERROR(OFFSET(Tabella!$G$1,MATCH(J446,Tabella!$G:$G,0)-1,MATCH(K446,Tabella!$G$1:$FG$1,0)-1)=TRUE),0,OFFSET(Tabella!$G$1,MATCH(J446,Tabella!$G:$G,0)-1,MATCH(K446,Tabella!$G$1:$AB$1,0)-1))</f>
        <v>0</v>
      </c>
      <c r="S446" s="255">
        <f ca="1">IF(ISERROR(OFFSET(Ottone!$F$1,MATCH(J446,Ottone!$A:$A,0)-1,MATCH(K446,Ottone!$F$1:$FF$1,0)-1)=TRUE),0,OFFSET(Ottone!$F$1,MATCH(J446,Ottone!$A:$A,0)-1,MATCH(K446,Ottone!$F$1:$FF$1,0)-1))*IF(G446="Ottone",1,0)</f>
        <v>0</v>
      </c>
      <c r="T446" s="255">
        <f ca="1">IF(ISERROR(OFFSET(Rame!$F$1,MATCH(J446,Rame!$F:$F,0)-1,MATCH(K446,Rame!$F$1:$FF$1,0)-1)=TRUE),0,OFFSET(Rame!$F$1,MATCH(J446,Rame!$F:$F,0)-1,MATCH(K446,Rame!$F$1:$FF$1,0)-1))*IF(G446="Rame",1,0)</f>
        <v>0</v>
      </c>
      <c r="U446" s="255">
        <f ca="1">IF(ISERROR(OFFSET(Bronzo!$A$1,MATCH(J446,Bronzo!$A:$A,0)-1,MATCH(K446,Bronzo!$A$1:$AA$1,0)-1)=TRUE),0,OFFSET(Bronzo!$A$1,MATCH(J446,Bronzo!$A:$A,0)-1,MATCH(K446,Bronzo!$A$1:$AA$1,0)-1))</f>
        <v>0</v>
      </c>
      <c r="V446" s="255">
        <f t="shared" ca="1" si="152"/>
        <v>0</v>
      </c>
      <c r="W446" s="254"/>
      <c r="X446" s="255">
        <v>0</v>
      </c>
      <c r="Y446" s="256">
        <f t="shared" ca="1" si="153"/>
        <v>1.75</v>
      </c>
      <c r="Z446" s="257">
        <f t="shared" si="154"/>
        <v>250</v>
      </c>
      <c r="AA446" s="253">
        <v>4.45</v>
      </c>
      <c r="AB446" s="253">
        <f t="shared" ca="1" si="155"/>
        <v>-0.20999999999999996</v>
      </c>
      <c r="AC446" s="258">
        <v>46183</v>
      </c>
      <c r="AH446" s="232">
        <f t="shared" ca="1" si="149"/>
        <v>46120</v>
      </c>
      <c r="AI446" s="232" t="b">
        <f t="shared" si="144"/>
        <v>0</v>
      </c>
      <c r="AJ446" s="259">
        <f t="shared" ca="1" si="150"/>
        <v>63</v>
      </c>
      <c r="AM446" s="223">
        <f t="shared" si="145"/>
        <v>24</v>
      </c>
      <c r="AN446" s="223">
        <f t="shared" si="146"/>
        <v>2026</v>
      </c>
      <c r="AU446" s="223">
        <f t="shared" si="147"/>
        <v>6</v>
      </c>
      <c r="AV446" s="223">
        <f t="shared" si="148"/>
        <v>2026</v>
      </c>
    </row>
    <row r="447" spans="4:48" ht="26.25" x14ac:dyDescent="0.4">
      <c r="D447" s="246" t="s">
        <v>652</v>
      </c>
      <c r="E447" s="252" t="s">
        <v>208</v>
      </c>
      <c r="F447" s="276">
        <v>5000</v>
      </c>
      <c r="G447" s="249" t="s">
        <v>4</v>
      </c>
      <c r="H447" s="250">
        <v>2.91</v>
      </c>
      <c r="I447" s="251">
        <v>46091</v>
      </c>
      <c r="J447" s="252" t="s">
        <v>13</v>
      </c>
      <c r="K447" s="252"/>
      <c r="L447" s="253">
        <v>0.05</v>
      </c>
      <c r="M447" s="254">
        <f ca="1">IF(ISERROR(OFFSET(Tabella!$A$1,MATCH(J447,Tabella!$A:$A,0)-1,MATCH(L447,Tabella!$A$1:$AC$1,0)-1)=TRUE),0,+OFFSET(Tabella!$A$1,MATCH(J447,Tabella!$A:$A,0)-1,MATCH(L447,Tabella!$A$1:$AC$1,0)-1))</f>
        <v>0</v>
      </c>
      <c r="N447" s="255">
        <f ca="1">IF(ISERROR(OFFSET(Ottone!$A$1,MATCH(J447,Ottone!$A:$A,0)-1,MATCH(L447,Ottone!$A$1:$Z$1,0)-1)=TRUE),0,OFFSET(Ottone!$A$1,MATCH(J447,Ottone!$A:$A,0)-1,MATCH(L447,Ottone!$A$1:$Z$1,0)-1))*IF(G447="Ottone",1,0)</f>
        <v>0</v>
      </c>
      <c r="O447" s="255">
        <f ca="1">IF(ISERROR(OFFSET(Rame!$A$1,MATCH(J447,Rame!$A:$A,0)-1,MATCH(L447,Rame!$A$1:$AA$1,0)-1)=TRUE),0,OFFSET(Rame!$A$1,MATCH(J447,Rame!$A:$A,0)-1,MATCH(L447,Rame!$A$1:$AA$1,0)-1))*IF(G447="Rame",1,0)</f>
        <v>0</v>
      </c>
      <c r="P447" s="255">
        <v>0</v>
      </c>
      <c r="Q447" s="255">
        <v>1.75</v>
      </c>
      <c r="R447" s="255">
        <f ca="1">+IF(ISERROR(OFFSET(Tabella!$G$1,MATCH(J447,Tabella!$G:$G,0)-1,MATCH(K447,Tabella!$G$1:$FG$1,0)-1)=TRUE),0,OFFSET(Tabella!$G$1,MATCH(J447,Tabella!$G:$G,0)-1,MATCH(K447,Tabella!$G$1:$AB$1,0)-1))</f>
        <v>0</v>
      </c>
      <c r="S447" s="255">
        <f ca="1">IF(ISERROR(OFFSET(Ottone!$F$1,MATCH(J447,Ottone!$A:$A,0)-1,MATCH(K447,Ottone!$F$1:$FF$1,0)-1)=TRUE),0,OFFSET(Ottone!$F$1,MATCH(J447,Ottone!$A:$A,0)-1,MATCH(K447,Ottone!$F$1:$FF$1,0)-1))*IF(G447="Ottone",1,0)</f>
        <v>0</v>
      </c>
      <c r="T447" s="255">
        <f ca="1">IF(ISERROR(OFFSET(Rame!$F$1,MATCH(J447,Rame!$F:$F,0)-1,MATCH(K447,Rame!$F$1:$FF$1,0)-1)=TRUE),0,OFFSET(Rame!$F$1,MATCH(J447,Rame!$F:$F,0)-1,MATCH(K447,Rame!$F$1:$FF$1,0)-1))*IF(G447="Rame",1,0)</f>
        <v>0</v>
      </c>
      <c r="U447" s="255">
        <f ca="1">IF(ISERROR(OFFSET(Bronzo!$A$1,MATCH(J447,Bronzo!$A:$A,0)-1,MATCH(K447,Bronzo!$A$1:$AA$1,0)-1)=TRUE),0,OFFSET(Bronzo!$A$1,MATCH(J447,Bronzo!$A:$A,0)-1,MATCH(K447,Bronzo!$A$1:$AA$1,0)-1))</f>
        <v>0</v>
      </c>
      <c r="V447" s="255">
        <f t="shared" ca="1" si="152"/>
        <v>0</v>
      </c>
      <c r="W447" s="254"/>
      <c r="X447" s="255">
        <v>0</v>
      </c>
      <c r="Y447" s="256">
        <f t="shared" ca="1" si="153"/>
        <v>1.75</v>
      </c>
      <c r="Z447" s="257">
        <f t="shared" si="154"/>
        <v>250</v>
      </c>
      <c r="AA447" s="253">
        <v>4.45</v>
      </c>
      <c r="AB447" s="253">
        <f t="shared" ca="1" si="155"/>
        <v>-0.20999999999999996</v>
      </c>
      <c r="AC447" s="258">
        <v>46213</v>
      </c>
      <c r="AH447" s="232">
        <f t="shared" ca="1" si="149"/>
        <v>46120</v>
      </c>
      <c r="AI447" s="232" t="b">
        <f t="shared" si="144"/>
        <v>0</v>
      </c>
      <c r="AJ447" s="259">
        <f t="shared" ca="1" si="150"/>
        <v>93</v>
      </c>
      <c r="AM447" s="223">
        <f t="shared" si="145"/>
        <v>28</v>
      </c>
      <c r="AN447" s="223">
        <f t="shared" si="146"/>
        <v>2026</v>
      </c>
      <c r="AU447" s="223">
        <f t="shared" si="147"/>
        <v>7</v>
      </c>
      <c r="AV447" s="223">
        <f t="shared" si="148"/>
        <v>2026</v>
      </c>
    </row>
    <row r="448" spans="4:48" ht="26.25" x14ac:dyDescent="0.4">
      <c r="D448" s="246"/>
      <c r="E448" s="282" t="s">
        <v>208</v>
      </c>
      <c r="F448" s="283">
        <v>15550</v>
      </c>
      <c r="G448" s="249" t="s">
        <v>4</v>
      </c>
      <c r="H448" s="250">
        <v>2.91</v>
      </c>
      <c r="I448" s="251">
        <v>46091</v>
      </c>
      <c r="J448" s="252" t="s">
        <v>21</v>
      </c>
      <c r="K448" s="252"/>
      <c r="L448" s="253">
        <v>0.05</v>
      </c>
      <c r="M448" s="254">
        <f ca="1">IF(ISERROR(OFFSET(Tabella!$A$1,MATCH(J448,Tabella!$A:$A,0)-1,MATCH(L448,Tabella!$A$1:$AC$1,0)-1)=TRUE),0,+OFFSET(Tabella!$A$1,MATCH(J448,Tabella!$A:$A,0)-1,MATCH(L448,Tabella!$A$1:$AC$1,0)-1))</f>
        <v>0</v>
      </c>
      <c r="N448" s="255">
        <f ca="1">IF(ISERROR(OFFSET(Ottone!$A$1,MATCH(J448,Ottone!$A:$A,0)-1,MATCH(L448,Ottone!$A$1:$Z$1,0)-1)=TRUE),0,OFFSET(Ottone!$A$1,MATCH(J448,Ottone!$A:$A,0)-1,MATCH(L448,Ottone!$A$1:$Z$1,0)-1))*IF(G448="Ottone",1,0)</f>
        <v>0</v>
      </c>
      <c r="O448" s="255">
        <f ca="1">IF(ISERROR(OFFSET(Rame!$A$1,MATCH(J448,Rame!$A:$A,0)-1,MATCH(L448,Rame!$A$1:$AA$1,0)-1)=TRUE),0,OFFSET(Rame!$A$1,MATCH(J448,Rame!$A:$A,0)-1,MATCH(L448,Rame!$A$1:$AA$1,0)-1))*IF(G448="Rame",1,0)</f>
        <v>0</v>
      </c>
      <c r="P448" s="255">
        <v>0</v>
      </c>
      <c r="Q448" s="255">
        <v>1.6</v>
      </c>
      <c r="R448" s="255">
        <f ca="1">+IF(ISERROR(OFFSET(Tabella!$G$1,MATCH(J448,Tabella!$G:$G,0)-1,MATCH(K448,Tabella!$G$1:$FG$1,0)-1)=TRUE),0,OFFSET(Tabella!$G$1,MATCH(J448,Tabella!$G:$G,0)-1,MATCH(K448,Tabella!$G$1:$AB$1,0)-1))</f>
        <v>0</v>
      </c>
      <c r="S448" s="255">
        <f ca="1">IF(ISERROR(OFFSET(Ottone!$F$1,MATCH(J448,Ottone!$A:$A,0)-1,MATCH(K448,Ottone!$F$1:$FF$1,0)-1)=TRUE),0,OFFSET(Ottone!$F$1,MATCH(J448,Ottone!$A:$A,0)-1,MATCH(K448,Ottone!$F$1:$FF$1,0)-1))*IF(G448="Ottone",1,0)</f>
        <v>0</v>
      </c>
      <c r="T448" s="255">
        <f ca="1">IF(ISERROR(OFFSET(Rame!$F$1,MATCH(J448,Rame!$F:$F,0)-1,MATCH(K448,Rame!$F$1:$FF$1,0)-1)=TRUE),0,OFFSET(Rame!$F$1,MATCH(J448,Rame!$F:$F,0)-1,MATCH(K448,Rame!$F$1:$FF$1,0)-1))*IF(G448="Rame",1,0)</f>
        <v>0</v>
      </c>
      <c r="U448" s="255">
        <f ca="1">IF(ISERROR(OFFSET(Bronzo!$A$1,MATCH(J448,Bronzo!$A:$A,0)-1,MATCH(K448,Bronzo!$A$1:$AA$1,0)-1)=TRUE),0,OFFSET(Bronzo!$A$1,MATCH(J448,Bronzo!$A:$A,0)-1,MATCH(K448,Bronzo!$A$1:$AA$1,0)-1))</f>
        <v>0</v>
      </c>
      <c r="V448" s="255">
        <f t="shared" ca="1" si="152"/>
        <v>0</v>
      </c>
      <c r="W448" s="254"/>
      <c r="X448" s="255">
        <v>0</v>
      </c>
      <c r="Y448" s="256">
        <f t="shared" ca="1" si="153"/>
        <v>1.6</v>
      </c>
      <c r="Z448" s="284">
        <f t="shared" si="154"/>
        <v>777.5</v>
      </c>
      <c r="AA448" s="253">
        <v>4.3</v>
      </c>
      <c r="AB448" s="253">
        <f t="shared" ca="1" si="155"/>
        <v>-0.21000000000000041</v>
      </c>
      <c r="AC448" s="258"/>
      <c r="AH448" s="232">
        <f t="shared" ca="1" si="149"/>
        <v>46120</v>
      </c>
      <c r="AI448" s="232" t="b">
        <f t="shared" si="144"/>
        <v>1</v>
      </c>
      <c r="AJ448" s="259" t="str">
        <f t="shared" si="150"/>
        <v/>
      </c>
      <c r="AM448" s="223">
        <f t="shared" si="145"/>
        <v>0</v>
      </c>
      <c r="AN448" s="223">
        <f t="shared" si="146"/>
        <v>1900</v>
      </c>
      <c r="AU448" s="223">
        <f t="shared" si="147"/>
        <v>0</v>
      </c>
      <c r="AV448" s="223">
        <f t="shared" si="148"/>
        <v>0</v>
      </c>
    </row>
    <row r="449" spans="4:48" ht="26.25" x14ac:dyDescent="0.4">
      <c r="D449" s="246" t="s">
        <v>633</v>
      </c>
      <c r="E449" s="252" t="s">
        <v>447</v>
      </c>
      <c r="F449" s="276">
        <v>300</v>
      </c>
      <c r="G449" s="249" t="s">
        <v>4</v>
      </c>
      <c r="H449" s="250">
        <v>2.91</v>
      </c>
      <c r="I449" s="251">
        <v>46092</v>
      </c>
      <c r="J449" s="252" t="s">
        <v>305</v>
      </c>
      <c r="K449" s="252"/>
      <c r="L449" s="253">
        <v>7.0000000000000007E-2</v>
      </c>
      <c r="M449" s="254">
        <f ca="1">IF(ISERROR(OFFSET(Tabella!$A$1,MATCH(J449,Tabella!$A:$A,0)-1,MATCH(L449,Tabella!$A$1:$AC$1,0)-1)=TRUE),0,+OFFSET(Tabella!$A$1,MATCH(J449,Tabella!$A:$A,0)-1,MATCH(L449,Tabella!$A$1:$AC$1,0)-1))</f>
        <v>1.25</v>
      </c>
      <c r="N449" s="255">
        <f ca="1">IF(ISERROR(OFFSET(Ottone!$A$1,MATCH(J449,Ottone!$A:$A,0)-1,MATCH(L449,Ottone!$A$1:$Z$1,0)-1)=TRUE),0,OFFSET(Ottone!$A$1,MATCH(J449,Ottone!$A:$A,0)-1,MATCH(L449,Ottone!$A$1:$Z$1,0)-1))*IF(G449="Ottone",1,0)</f>
        <v>0</v>
      </c>
      <c r="O449" s="255">
        <f ca="1">IF(ISERROR(OFFSET(Rame!$A$1,MATCH(J449,Rame!$A:$A,0)-1,MATCH(L449,Rame!$A$1:$AA$1,0)-1)=TRUE),0,OFFSET(Rame!$A$1,MATCH(J449,Rame!$A:$A,0)-1,MATCH(L449,Rame!$A$1:$AA$1,0)-1))*IF(G449="Rame",1,0)</f>
        <v>0</v>
      </c>
      <c r="P449" s="255">
        <v>0</v>
      </c>
      <c r="Q449" s="255">
        <f t="shared" ca="1" si="151"/>
        <v>1.25</v>
      </c>
      <c r="R449" s="255">
        <f ca="1">+IF(ISERROR(OFFSET(Tabella!$G$1,MATCH(J449,Tabella!$G:$G,0)-1,MATCH(K449,Tabella!$G$1:$FG$1,0)-1)=TRUE),0,OFFSET(Tabella!$G$1,MATCH(J449,Tabella!$G:$G,0)-1,MATCH(K449,Tabella!$G$1:$AB$1,0)-1))</f>
        <v>0</v>
      </c>
      <c r="S449" s="255">
        <f ca="1">IF(ISERROR(OFFSET(Ottone!$F$1,MATCH(J449,Ottone!$A:$A,0)-1,MATCH(K449,Ottone!$F$1:$FF$1,0)-1)=TRUE),0,OFFSET(Ottone!$F$1,MATCH(J449,Ottone!$A:$A,0)-1,MATCH(K449,Ottone!$F$1:$FF$1,0)-1))*IF(G449="Ottone",1,0)</f>
        <v>0</v>
      </c>
      <c r="T449" s="255">
        <f ca="1">IF(ISERROR(OFFSET(Rame!$F$1,MATCH(J449,Rame!$F:$F,0)-1,MATCH(K449,Rame!$F$1:$FF$1,0)-1)=TRUE),0,OFFSET(Rame!$F$1,MATCH(J449,Rame!$F:$F,0)-1,MATCH(K449,Rame!$F$1:$FF$1,0)-1))*IF(G449="Rame",1,0)</f>
        <v>0</v>
      </c>
      <c r="U449" s="255">
        <f ca="1">IF(ISERROR(OFFSET(Bronzo!$A$1,MATCH(J449,Bronzo!$A:$A,0)-1,MATCH(K449,Bronzo!$A$1:$AA$1,0)-1)=TRUE),0,OFFSET(Bronzo!$A$1,MATCH(J449,Bronzo!$A:$A,0)-1,MATCH(K449,Bronzo!$A$1:$AA$1,0)-1))</f>
        <v>0</v>
      </c>
      <c r="V449" s="255">
        <f t="shared" ca="1" si="152"/>
        <v>0</v>
      </c>
      <c r="W449" s="254"/>
      <c r="X449" s="255">
        <v>0</v>
      </c>
      <c r="Y449" s="256">
        <f t="shared" ca="1" si="153"/>
        <v>1.25</v>
      </c>
      <c r="Z449" s="257">
        <f t="shared" si="154"/>
        <v>21.000000000000004</v>
      </c>
      <c r="AA449" s="253">
        <v>4.55</v>
      </c>
      <c r="AB449" s="253">
        <f t="shared" ca="1" si="155"/>
        <v>0.38999999999999968</v>
      </c>
      <c r="AC449" s="258">
        <v>46121</v>
      </c>
      <c r="AH449" s="232">
        <f t="shared" ca="1" si="149"/>
        <v>46120</v>
      </c>
      <c r="AI449" s="232" t="b">
        <f t="shared" si="144"/>
        <v>0</v>
      </c>
      <c r="AJ449" s="259">
        <f t="shared" ca="1" si="150"/>
        <v>1</v>
      </c>
      <c r="AM449" s="223">
        <f t="shared" si="145"/>
        <v>15</v>
      </c>
      <c r="AN449" s="223">
        <f t="shared" si="146"/>
        <v>2026</v>
      </c>
      <c r="AU449" s="223">
        <f t="shared" si="147"/>
        <v>4</v>
      </c>
      <c r="AV449" s="223">
        <f t="shared" si="148"/>
        <v>2026</v>
      </c>
    </row>
    <row r="450" spans="4:48" ht="26.25" x14ac:dyDescent="0.4">
      <c r="D450" s="246" t="s">
        <v>788</v>
      </c>
      <c r="E450" s="299" t="s">
        <v>420</v>
      </c>
      <c r="F450" s="300">
        <v>991</v>
      </c>
      <c r="G450" s="249" t="s">
        <v>4</v>
      </c>
      <c r="H450" s="250">
        <v>2.66</v>
      </c>
      <c r="I450" s="251">
        <v>46044</v>
      </c>
      <c r="J450" s="252" t="s">
        <v>326</v>
      </c>
      <c r="K450" s="252"/>
      <c r="L450" s="253">
        <v>0.05</v>
      </c>
      <c r="M450" s="254">
        <f ca="1">IF(ISERROR(OFFSET(Tabella!$A$1,MATCH(J450,Tabella!$A:$A,0)-1,MATCH(L450,Tabella!$A$1:$AC$1,0)-1)=TRUE),0,+OFFSET(Tabella!$A$1,MATCH(J450,Tabella!$A:$A,0)-1,MATCH(L450,Tabella!$A$1:$AC$1,0)-1))</f>
        <v>0</v>
      </c>
      <c r="N450" s="255">
        <f ca="1">IF(ISERROR(OFFSET(Ottone!$A$1,MATCH(J450,Ottone!$A:$A,0)-1,MATCH(L450,Ottone!$A$1:$Z$1,0)-1)=TRUE),0,OFFSET(Ottone!$A$1,MATCH(J450,Ottone!$A:$A,0)-1,MATCH(L450,Ottone!$A$1:$Z$1,0)-1))*IF(G450="Ottone",1,0)</f>
        <v>0</v>
      </c>
      <c r="O450" s="255">
        <f ca="1">IF(ISERROR(OFFSET(Rame!$A$1,MATCH(J450,Rame!$A:$A,0)-1,MATCH(L450,Rame!$A$1:$AA$1,0)-1)=TRUE),0,OFFSET(Rame!$A$1,MATCH(J450,Rame!$A:$A,0)-1,MATCH(L450,Rame!$A$1:$AA$1,0)-1))*IF(G450="Rame",1,0)</f>
        <v>0</v>
      </c>
      <c r="P450" s="255">
        <v>0</v>
      </c>
      <c r="Q450" s="255">
        <v>1.5</v>
      </c>
      <c r="R450" s="255">
        <f ca="1">+IF(ISERROR(OFFSET(Tabella!$G$1,MATCH(J450,Tabella!$G:$G,0)-1,MATCH(K450,Tabella!$G$1:$FG$1,0)-1)=TRUE),0,OFFSET(Tabella!$G$1,MATCH(J450,Tabella!$G:$G,0)-1,MATCH(K450,Tabella!$G$1:$AB$1,0)-1))</f>
        <v>0</v>
      </c>
      <c r="S450" s="255">
        <f ca="1">IF(ISERROR(OFFSET(Ottone!$F$1,MATCH(J450,Ottone!$A:$A,0)-1,MATCH(K450,Ottone!$F$1:$FF$1,0)-1)=TRUE),0,OFFSET(Ottone!$F$1,MATCH(J450,Ottone!$A:$A,0)-1,MATCH(K450,Ottone!$F$1:$FF$1,0)-1))*IF(G450="Ottone",1,0)</f>
        <v>0</v>
      </c>
      <c r="T450" s="255">
        <f ca="1">IF(ISERROR(OFFSET(Rame!$F$1,MATCH(J450,Rame!$F:$F,0)-1,MATCH(K450,Rame!$F$1:$FF$1,0)-1)=TRUE),0,OFFSET(Rame!$F$1,MATCH(J450,Rame!$F:$F,0)-1,MATCH(K450,Rame!$F$1:$FF$1,0)-1))*IF(G450="Rame",1,0)</f>
        <v>0</v>
      </c>
      <c r="U450" s="255">
        <f ca="1">IF(ISERROR(OFFSET(Bronzo!$A$1,MATCH(J450,Bronzo!$A:$A,0)-1,MATCH(K450,Bronzo!$A$1:$AA$1,0)-1)=TRUE),0,OFFSET(Bronzo!$A$1,MATCH(J450,Bronzo!$A:$A,0)-1,MATCH(K450,Bronzo!$A$1:$AA$1,0)-1))</f>
        <v>0</v>
      </c>
      <c r="V450" s="255">
        <f t="shared" ca="1" si="152"/>
        <v>0</v>
      </c>
      <c r="W450" s="254"/>
      <c r="X450" s="255">
        <v>0</v>
      </c>
      <c r="Y450" s="256">
        <f t="shared" ca="1" si="153"/>
        <v>1.5</v>
      </c>
      <c r="Z450" s="301">
        <f t="shared" si="154"/>
        <v>49.550000000000004</v>
      </c>
      <c r="AA450" s="253">
        <v>4.0999999999999996</v>
      </c>
      <c r="AB450" s="253">
        <f t="shared" ca="1" si="155"/>
        <v>-6.0000000000000497E-2</v>
      </c>
      <c r="AC450" s="258">
        <v>46106</v>
      </c>
      <c r="AF450" s="223" t="s">
        <v>405</v>
      </c>
      <c r="AH450" s="232">
        <f t="shared" ca="1" si="149"/>
        <v>46120</v>
      </c>
      <c r="AI450" s="232" t="b">
        <f t="shared" si="144"/>
        <v>0</v>
      </c>
      <c r="AJ450" s="259">
        <f t="shared" ca="1" si="150"/>
        <v>-14</v>
      </c>
      <c r="AM450" s="223">
        <f t="shared" si="145"/>
        <v>13</v>
      </c>
      <c r="AN450" s="223">
        <f t="shared" si="146"/>
        <v>2026</v>
      </c>
      <c r="AU450" s="223">
        <f t="shared" si="147"/>
        <v>3</v>
      </c>
      <c r="AV450" s="223">
        <f t="shared" si="148"/>
        <v>2026</v>
      </c>
    </row>
    <row r="451" spans="4:48" ht="26.25" x14ac:dyDescent="0.4">
      <c r="D451" s="246" t="s">
        <v>655</v>
      </c>
      <c r="E451" s="252" t="s">
        <v>420</v>
      </c>
      <c r="F451" s="276">
        <v>1000</v>
      </c>
      <c r="G451" s="249" t="s">
        <v>4</v>
      </c>
      <c r="H451" s="250">
        <v>2.66</v>
      </c>
      <c r="I451" s="251">
        <v>46044</v>
      </c>
      <c r="J451" s="252" t="s">
        <v>15</v>
      </c>
      <c r="K451" s="252"/>
      <c r="L451" s="253">
        <v>0.05</v>
      </c>
      <c r="M451" s="254">
        <f ca="1">IF(ISERROR(OFFSET(Tabella!$A$1,MATCH(J451,Tabella!$A:$A,0)-1,MATCH(L451,Tabella!$A$1:$AC$1,0)-1)=TRUE),0,+OFFSET(Tabella!$A$1,MATCH(J451,Tabella!$A:$A,0)-1,MATCH(L451,Tabella!$A$1:$AC$1,0)-1))</f>
        <v>0</v>
      </c>
      <c r="N451" s="255">
        <f ca="1">IF(ISERROR(OFFSET(Ottone!$A$1,MATCH(J451,Ottone!$A:$A,0)-1,MATCH(L451,Ottone!$A$1:$Z$1,0)-1)=TRUE),0,OFFSET(Ottone!$A$1,MATCH(J451,Ottone!$A:$A,0)-1,MATCH(L451,Ottone!$A$1:$Z$1,0)-1))*IF(G451="Ottone",1,0)</f>
        <v>0</v>
      </c>
      <c r="O451" s="255">
        <f ca="1">IF(ISERROR(OFFSET(Rame!$A$1,MATCH(J451,Rame!$A:$A,0)-1,MATCH(L451,Rame!$A$1:$AA$1,0)-1)=TRUE),0,OFFSET(Rame!$A$1,MATCH(J451,Rame!$A:$A,0)-1,MATCH(L451,Rame!$A$1:$AA$1,0)-1))*IF(G451="Rame",1,0)</f>
        <v>0</v>
      </c>
      <c r="P451" s="255">
        <v>0</v>
      </c>
      <c r="Q451" s="255">
        <v>1.65</v>
      </c>
      <c r="R451" s="255">
        <f ca="1">+IF(ISERROR(OFFSET(Tabella!$G$1,MATCH(J451,Tabella!$G:$G,0)-1,MATCH(K451,Tabella!$G$1:$FG$1,0)-1)=TRUE),0,OFFSET(Tabella!$G$1,MATCH(J451,Tabella!$G:$G,0)-1,MATCH(K451,Tabella!$G$1:$AB$1,0)-1))</f>
        <v>0</v>
      </c>
      <c r="S451" s="255">
        <f ca="1">IF(ISERROR(OFFSET(Ottone!$F$1,MATCH(J451,Ottone!$A:$A,0)-1,MATCH(K451,Ottone!$F$1:$FF$1,0)-1)=TRUE),0,OFFSET(Ottone!$F$1,MATCH(J451,Ottone!$A:$A,0)-1,MATCH(K451,Ottone!$F$1:$FF$1,0)-1))*IF(G451="Ottone",1,0)</f>
        <v>0</v>
      </c>
      <c r="T451" s="255">
        <f ca="1">IF(ISERROR(OFFSET(Rame!$F$1,MATCH(J451,Rame!$F:$F,0)-1,MATCH(K451,Rame!$F$1:$FF$1,0)-1)=TRUE),0,OFFSET(Rame!$F$1,MATCH(J451,Rame!$F:$F,0)-1,MATCH(K451,Rame!$F$1:$FF$1,0)-1))*IF(G451="Rame",1,0)</f>
        <v>0</v>
      </c>
      <c r="U451" s="255">
        <f ca="1">IF(ISERROR(OFFSET(Bronzo!$A$1,MATCH(J451,Bronzo!$A:$A,0)-1,MATCH(K451,Bronzo!$A$1:$AA$1,0)-1)=TRUE),0,OFFSET(Bronzo!$A$1,MATCH(J451,Bronzo!$A:$A,0)-1,MATCH(K451,Bronzo!$A$1:$AA$1,0)-1))</f>
        <v>0</v>
      </c>
      <c r="V451" s="255">
        <f t="shared" ca="1" si="152"/>
        <v>0</v>
      </c>
      <c r="W451" s="254"/>
      <c r="X451" s="255">
        <v>0</v>
      </c>
      <c r="Y451" s="256">
        <f t="shared" ca="1" si="153"/>
        <v>1.65</v>
      </c>
      <c r="Z451" s="257">
        <f t="shared" si="154"/>
        <v>50</v>
      </c>
      <c r="AA451" s="253">
        <v>4.25</v>
      </c>
      <c r="AB451" s="253">
        <f t="shared" ca="1" si="155"/>
        <v>-6.0000000000000053E-2</v>
      </c>
      <c r="AC451" s="258">
        <v>46106</v>
      </c>
      <c r="AH451" s="232">
        <f t="shared" ca="1" si="149"/>
        <v>46120</v>
      </c>
      <c r="AI451" s="232" t="b">
        <f t="shared" si="144"/>
        <v>0</v>
      </c>
      <c r="AJ451" s="259">
        <f t="shared" ca="1" si="150"/>
        <v>-14</v>
      </c>
      <c r="AM451" s="223">
        <f t="shared" si="145"/>
        <v>13</v>
      </c>
      <c r="AN451" s="223">
        <f t="shared" si="146"/>
        <v>2026</v>
      </c>
      <c r="AU451" s="223">
        <f t="shared" si="147"/>
        <v>3</v>
      </c>
      <c r="AV451" s="223">
        <f t="shared" si="148"/>
        <v>2026</v>
      </c>
    </row>
    <row r="452" spans="4:48" ht="26.25" x14ac:dyDescent="0.4">
      <c r="D452" s="246" t="s">
        <v>738</v>
      </c>
      <c r="E452" s="262" t="s">
        <v>259</v>
      </c>
      <c r="F452" s="263">
        <v>372</v>
      </c>
      <c r="G452" s="249" t="s">
        <v>6</v>
      </c>
      <c r="H452" s="250">
        <v>11.09</v>
      </c>
      <c r="I452" s="251">
        <v>46092</v>
      </c>
      <c r="J452" s="252" t="s">
        <v>16</v>
      </c>
      <c r="K452" s="252"/>
      <c r="L452" s="253">
        <v>0.15</v>
      </c>
      <c r="M452" s="254">
        <f ca="1">IF(ISERROR(OFFSET(Tabella!$A$1,MATCH(J452,Tabella!$A:$A,0)-1,MATCH(L452,Tabella!$A$1:$AC$1,0)-1)=TRUE),0,+OFFSET(Tabella!$A$1,MATCH(J452,Tabella!$A:$A,0)-1,MATCH(L452,Tabella!$A$1:$AC$1,0)-1))</f>
        <v>0</v>
      </c>
      <c r="N452" s="255">
        <f ca="1">IF(ISERROR(OFFSET(Ottone!$A$1,MATCH(J452,Ottone!$A:$A,0)-1,MATCH(L452,Ottone!$A$1:$Z$1,0)-1)=TRUE),0,OFFSET(Ottone!$A$1,MATCH(J452,Ottone!$A:$A,0)-1,MATCH(L452,Ottone!$A$1:$Z$1,0)-1))*IF(G452="Ottone",1,0)</f>
        <v>0</v>
      </c>
      <c r="O452" s="255">
        <f ca="1">IF(ISERROR(OFFSET(Rame!$A$1,MATCH(J452,Rame!$A:$A,0)-1,MATCH(L452,Rame!$A$1:$AA$1,0)-1)=TRUE),0,OFFSET(Rame!$A$1,MATCH(J452,Rame!$A:$A,0)-1,MATCH(L452,Rame!$A$1:$AA$1,0)-1))*IF(G452="Rame",1,0)</f>
        <v>0.85</v>
      </c>
      <c r="P452" s="255">
        <v>0</v>
      </c>
      <c r="Q452" s="255">
        <f t="shared" ca="1" si="151"/>
        <v>0.85</v>
      </c>
      <c r="R452" s="255">
        <f ca="1">+IF(ISERROR(OFFSET(Tabella!$G$1,MATCH(J452,Tabella!$G:$G,0)-1,MATCH(K452,Tabella!$G$1:$FG$1,0)-1)=TRUE),0,OFFSET(Tabella!$G$1,MATCH(J452,Tabella!$G:$G,0)-1,MATCH(K452,Tabella!$G$1:$AB$1,0)-1))</f>
        <v>0</v>
      </c>
      <c r="S452" s="255">
        <f ca="1">IF(ISERROR(OFFSET(Ottone!$F$1,MATCH(J452,Ottone!$A:$A,0)-1,MATCH(K452,Ottone!$F$1:$FF$1,0)-1)=TRUE),0,OFFSET(Ottone!$F$1,MATCH(J452,Ottone!$A:$A,0)-1,MATCH(K452,Ottone!$F$1:$FF$1,0)-1))*IF(G452="Ottone",1,0)</f>
        <v>0</v>
      </c>
      <c r="T452" s="255">
        <f ca="1">IF(ISERROR(OFFSET(Rame!$F$1,MATCH(J452,Rame!$F:$F,0)-1,MATCH(K452,Rame!$F$1:$FF$1,0)-1)=TRUE),0,OFFSET(Rame!$F$1,MATCH(J452,Rame!$F:$F,0)-1,MATCH(K452,Rame!$F$1:$FF$1,0)-1))*IF(G452="Rame",1,0)</f>
        <v>0</v>
      </c>
      <c r="U452" s="255">
        <f ca="1">IF(ISERROR(OFFSET(Bronzo!$A$1,MATCH(J452,Bronzo!$A:$A,0)-1,MATCH(K452,Bronzo!$A$1:$AA$1,0)-1)=TRUE),0,OFFSET(Bronzo!$A$1,MATCH(J452,Bronzo!$A:$A,0)-1,MATCH(K452,Bronzo!$A$1:$AA$1,0)-1))</f>
        <v>0</v>
      </c>
      <c r="V452" s="255">
        <f t="shared" ca="1" si="152"/>
        <v>0</v>
      </c>
      <c r="W452" s="254"/>
      <c r="X452" s="255">
        <v>0</v>
      </c>
      <c r="Y452" s="256">
        <f t="shared" ca="1" si="153"/>
        <v>0.85</v>
      </c>
      <c r="Z452" s="269">
        <f t="shared" si="154"/>
        <v>55.8</v>
      </c>
      <c r="AA452" s="253">
        <v>14.65</v>
      </c>
      <c r="AB452" s="253">
        <f t="shared" ca="1" si="155"/>
        <v>2.7100000000000009</v>
      </c>
      <c r="AC452" s="258"/>
      <c r="AF452" s="223" t="s">
        <v>405</v>
      </c>
      <c r="AH452" s="232">
        <f t="shared" ca="1" si="149"/>
        <v>46120</v>
      </c>
      <c r="AI452" s="232" t="b">
        <f t="shared" si="144"/>
        <v>1</v>
      </c>
      <c r="AJ452" s="259" t="str">
        <f t="shared" si="150"/>
        <v/>
      </c>
      <c r="AM452" s="223">
        <f t="shared" si="145"/>
        <v>0</v>
      </c>
      <c r="AN452" s="223">
        <f t="shared" si="146"/>
        <v>1900</v>
      </c>
      <c r="AU452" s="223">
        <f t="shared" si="147"/>
        <v>0</v>
      </c>
      <c r="AV452" s="223">
        <f t="shared" si="148"/>
        <v>0</v>
      </c>
    </row>
    <row r="453" spans="4:48" ht="26.25" x14ac:dyDescent="0.4">
      <c r="D453" s="246" t="s">
        <v>631</v>
      </c>
      <c r="E453" s="252" t="s">
        <v>441</v>
      </c>
      <c r="F453" s="276">
        <v>480</v>
      </c>
      <c r="G453" s="249" t="s">
        <v>4</v>
      </c>
      <c r="H453" s="250">
        <v>2.97</v>
      </c>
      <c r="I453" s="251">
        <v>46093</v>
      </c>
      <c r="J453" s="252" t="s">
        <v>28</v>
      </c>
      <c r="K453" s="252"/>
      <c r="L453" s="253">
        <v>0.1</v>
      </c>
      <c r="M453" s="254">
        <f ca="1">IF(ISERROR(OFFSET(Tabella!$A$1,MATCH(J453,Tabella!$A:$A,0)-1,MATCH(L453,Tabella!$A$1:$AC$1,0)-1)=TRUE),0,+OFFSET(Tabella!$A$1,MATCH(J453,Tabella!$A:$A,0)-1,MATCH(L453,Tabella!$A$1:$AC$1,0)-1))</f>
        <v>1.4</v>
      </c>
      <c r="N453" s="255">
        <f ca="1">IF(ISERROR(OFFSET(Ottone!$A$1,MATCH(J453,Ottone!$A:$A,0)-1,MATCH(L453,Ottone!$A$1:$Z$1,0)-1)=TRUE),0,OFFSET(Ottone!$A$1,MATCH(J453,Ottone!$A:$A,0)-1,MATCH(L453,Ottone!$A$1:$Z$1,0)-1))*IF(G453="Ottone",1,0)</f>
        <v>0</v>
      </c>
      <c r="O453" s="255">
        <f ca="1">IF(ISERROR(OFFSET(Rame!$A$1,MATCH(J453,Rame!$A:$A,0)-1,MATCH(L453,Rame!$A$1:$AA$1,0)-1)=TRUE),0,OFFSET(Rame!$A$1,MATCH(J453,Rame!$A:$A,0)-1,MATCH(L453,Rame!$A$1:$AA$1,0)-1))*IF(G453="Rame",1,0)</f>
        <v>0</v>
      </c>
      <c r="P453" s="255">
        <v>0</v>
      </c>
      <c r="Q453" s="255">
        <f t="shared" ca="1" si="151"/>
        <v>1.4</v>
      </c>
      <c r="R453" s="255">
        <f ca="1">+IF(ISERROR(OFFSET(Tabella!$G$1,MATCH(J453,Tabella!$G:$G,0)-1,MATCH(K453,Tabella!$G$1:$FG$1,0)-1)=TRUE),0,OFFSET(Tabella!$G$1,MATCH(J453,Tabella!$G:$G,0)-1,MATCH(K453,Tabella!$G$1:$AB$1,0)-1))</f>
        <v>0</v>
      </c>
      <c r="S453" s="255">
        <f ca="1">IF(ISERROR(OFFSET(Ottone!$F$1,MATCH(J453,Ottone!$A:$A,0)-1,MATCH(K453,Ottone!$F$1:$FF$1,0)-1)=TRUE),0,OFFSET(Ottone!$F$1,MATCH(J453,Ottone!$A:$A,0)-1,MATCH(K453,Ottone!$F$1:$FF$1,0)-1))*IF(G453="Ottone",1,0)</f>
        <v>0</v>
      </c>
      <c r="T453" s="255">
        <f ca="1">IF(ISERROR(OFFSET(Rame!$F$1,MATCH(J453,Rame!$F:$F,0)-1,MATCH(K453,Rame!$F$1:$FF$1,0)-1)=TRUE),0,OFFSET(Rame!$F$1,MATCH(J453,Rame!$F:$F,0)-1,MATCH(K453,Rame!$F$1:$FF$1,0)-1))*IF(G453="Rame",1,0)</f>
        <v>0</v>
      </c>
      <c r="U453" s="255">
        <f ca="1">IF(ISERROR(OFFSET(Bronzo!$A$1,MATCH(J453,Bronzo!$A:$A,0)-1,MATCH(K453,Bronzo!$A$1:$AA$1,0)-1)=TRUE),0,OFFSET(Bronzo!$A$1,MATCH(J453,Bronzo!$A:$A,0)-1,MATCH(K453,Bronzo!$A$1:$AA$1,0)-1))</f>
        <v>0</v>
      </c>
      <c r="V453" s="255">
        <f t="shared" ca="1" si="152"/>
        <v>0</v>
      </c>
      <c r="W453" s="254"/>
      <c r="X453" s="255">
        <v>0</v>
      </c>
      <c r="Y453" s="256">
        <f t="shared" ca="1" si="153"/>
        <v>1.4</v>
      </c>
      <c r="Z453" s="257">
        <f t="shared" si="154"/>
        <v>48</v>
      </c>
      <c r="AA453" s="253">
        <v>4.7</v>
      </c>
      <c r="AB453" s="253">
        <f t="shared" ca="1" si="155"/>
        <v>0.33000000000000007</v>
      </c>
      <c r="AC453" s="258">
        <v>46175</v>
      </c>
      <c r="AH453" s="232">
        <f t="shared" ca="1" si="149"/>
        <v>46120</v>
      </c>
      <c r="AI453" s="232" t="b">
        <f t="shared" si="144"/>
        <v>0</v>
      </c>
      <c r="AJ453" s="259">
        <f t="shared" ca="1" si="150"/>
        <v>55</v>
      </c>
      <c r="AM453" s="223">
        <f t="shared" si="145"/>
        <v>23</v>
      </c>
      <c r="AN453" s="223">
        <f t="shared" si="146"/>
        <v>2026</v>
      </c>
      <c r="AU453" s="223">
        <f t="shared" si="147"/>
        <v>6</v>
      </c>
      <c r="AV453" s="223">
        <f t="shared" si="148"/>
        <v>2026</v>
      </c>
    </row>
    <row r="454" spans="4:48" ht="26.25" x14ac:dyDescent="0.4">
      <c r="D454" s="246" t="s">
        <v>710</v>
      </c>
      <c r="E454" s="252" t="s">
        <v>210</v>
      </c>
      <c r="F454" s="276">
        <v>500</v>
      </c>
      <c r="G454" s="249" t="s">
        <v>4</v>
      </c>
      <c r="H454" s="250">
        <v>2.61</v>
      </c>
      <c r="I454" s="251">
        <v>46093</v>
      </c>
      <c r="J454" s="252" t="s">
        <v>21</v>
      </c>
      <c r="K454" s="252"/>
      <c r="L454" s="253">
        <v>0.05</v>
      </c>
      <c r="M454" s="254">
        <f ca="1">IF(ISERROR(OFFSET(Tabella!$A$1,MATCH(J454,Tabella!$A:$A,0)-1,MATCH(L454,Tabella!$A$1:$AC$1,0)-1)=TRUE),0,+OFFSET(Tabella!$A$1,MATCH(J454,Tabella!$A:$A,0)-1,MATCH(L454,Tabella!$A$1:$AC$1,0)-1))</f>
        <v>0</v>
      </c>
      <c r="N454" s="255">
        <f ca="1">IF(ISERROR(OFFSET(Ottone!$A$1,MATCH(J454,Ottone!$A:$A,0)-1,MATCH(L454,Ottone!$A$1:$Z$1,0)-1)=TRUE),0,OFFSET(Ottone!$A$1,MATCH(J454,Ottone!$A:$A,0)-1,MATCH(L454,Ottone!$A$1:$Z$1,0)-1))*IF(G454="Ottone",1,0)</f>
        <v>0</v>
      </c>
      <c r="O454" s="255">
        <f ca="1">IF(ISERROR(OFFSET(Rame!$A$1,MATCH(J454,Rame!$A:$A,0)-1,MATCH(L454,Rame!$A$1:$AA$1,0)-1)=TRUE),0,OFFSET(Rame!$A$1,MATCH(J454,Rame!$A:$A,0)-1,MATCH(L454,Rame!$A$1:$AA$1,0)-1))*IF(G454="Rame",1,0)</f>
        <v>0</v>
      </c>
      <c r="P454" s="255">
        <v>0</v>
      </c>
      <c r="Q454" s="255">
        <v>1.47</v>
      </c>
      <c r="R454" s="255">
        <f ca="1">+IF(ISERROR(OFFSET(Tabella!$G$1,MATCH(J454,Tabella!$G:$G,0)-1,MATCH(K454,Tabella!$G$1:$FG$1,0)-1)=TRUE),0,OFFSET(Tabella!$G$1,MATCH(J454,Tabella!$G:$G,0)-1,MATCH(K454,Tabella!$G$1:$AB$1,0)-1))</f>
        <v>0</v>
      </c>
      <c r="S454" s="255">
        <f ca="1">IF(ISERROR(OFFSET(Ottone!$F$1,MATCH(J454,Ottone!$A:$A,0)-1,MATCH(K454,Ottone!$F$1:$FF$1,0)-1)=TRUE),0,OFFSET(Ottone!$F$1,MATCH(J454,Ottone!$A:$A,0)-1,MATCH(K454,Ottone!$F$1:$FF$1,0)-1))*IF(G454="Ottone",1,0)</f>
        <v>0</v>
      </c>
      <c r="T454" s="255">
        <f ca="1">IF(ISERROR(OFFSET(Rame!$F$1,MATCH(J454,Rame!$F:$F,0)-1,MATCH(K454,Rame!$F$1:$FF$1,0)-1)=TRUE),0,OFFSET(Rame!$F$1,MATCH(J454,Rame!$F:$F,0)-1,MATCH(K454,Rame!$F$1:$FF$1,0)-1))*IF(G454="Rame",1,0)</f>
        <v>0</v>
      </c>
      <c r="U454" s="255">
        <f ca="1">IF(ISERROR(OFFSET(Bronzo!$A$1,MATCH(J454,Bronzo!$A:$A,0)-1,MATCH(K454,Bronzo!$A$1:$AA$1,0)-1)=TRUE),0,OFFSET(Bronzo!$A$1,MATCH(J454,Bronzo!$A:$A,0)-1,MATCH(K454,Bronzo!$A$1:$AA$1,0)-1))</f>
        <v>0</v>
      </c>
      <c r="V454" s="255">
        <f t="shared" ca="1" si="152"/>
        <v>0</v>
      </c>
      <c r="W454" s="254"/>
      <c r="X454" s="255">
        <v>0</v>
      </c>
      <c r="Y454" s="256">
        <f t="shared" ca="1" si="153"/>
        <v>1.47</v>
      </c>
      <c r="Z454" s="257">
        <f t="shared" si="154"/>
        <v>25</v>
      </c>
      <c r="AA454" s="253">
        <v>4.08</v>
      </c>
      <c r="AB454" s="253">
        <f t="shared" ca="1" si="155"/>
        <v>0</v>
      </c>
      <c r="AC454" s="258">
        <v>46119</v>
      </c>
      <c r="AH454" s="232">
        <f t="shared" ca="1" si="149"/>
        <v>46120</v>
      </c>
      <c r="AI454" s="232" t="b">
        <f t="shared" si="144"/>
        <v>0</v>
      </c>
      <c r="AJ454" s="259">
        <f t="shared" ca="1" si="150"/>
        <v>-1</v>
      </c>
      <c r="AM454" s="223">
        <f t="shared" si="145"/>
        <v>15</v>
      </c>
      <c r="AN454" s="223">
        <f t="shared" si="146"/>
        <v>2026</v>
      </c>
      <c r="AU454" s="223">
        <f t="shared" si="147"/>
        <v>4</v>
      </c>
      <c r="AV454" s="223">
        <f t="shared" si="148"/>
        <v>2026</v>
      </c>
    </row>
    <row r="455" spans="4:48" ht="26.25" x14ac:dyDescent="0.4">
      <c r="D455" s="246" t="s">
        <v>710</v>
      </c>
      <c r="E455" s="252" t="s">
        <v>210</v>
      </c>
      <c r="F455" s="276">
        <v>250</v>
      </c>
      <c r="G455" s="249" t="s">
        <v>4</v>
      </c>
      <c r="H455" s="250">
        <v>2.61</v>
      </c>
      <c r="I455" s="251">
        <v>46093</v>
      </c>
      <c r="J455" s="252" t="s">
        <v>13</v>
      </c>
      <c r="K455" s="252"/>
      <c r="L455" s="253">
        <v>0.05</v>
      </c>
      <c r="M455" s="254">
        <f ca="1">IF(ISERROR(OFFSET(Tabella!$A$1,MATCH(J455,Tabella!$A:$A,0)-1,MATCH(L455,Tabella!$A$1:$AC$1,0)-1)=TRUE),0,+OFFSET(Tabella!$A$1,MATCH(J455,Tabella!$A:$A,0)-1,MATCH(L455,Tabella!$A$1:$AC$1,0)-1))</f>
        <v>0</v>
      </c>
      <c r="N455" s="255">
        <f ca="1">IF(ISERROR(OFFSET(Ottone!$A$1,MATCH(J455,Ottone!$A:$A,0)-1,MATCH(L455,Ottone!$A$1:$Z$1,0)-1)=TRUE),0,OFFSET(Ottone!$A$1,MATCH(J455,Ottone!$A:$A,0)-1,MATCH(L455,Ottone!$A$1:$Z$1,0)-1))*IF(G455="Ottone",1,0)</f>
        <v>0</v>
      </c>
      <c r="O455" s="255">
        <f ca="1">IF(ISERROR(OFFSET(Rame!$A$1,MATCH(J455,Rame!$A:$A,0)-1,MATCH(L455,Rame!$A$1:$AA$1,0)-1)=TRUE),0,OFFSET(Rame!$A$1,MATCH(J455,Rame!$A:$A,0)-1,MATCH(L455,Rame!$A$1:$AA$1,0)-1))*IF(G455="Rame",1,0)</f>
        <v>0</v>
      </c>
      <c r="P455" s="255">
        <v>0</v>
      </c>
      <c r="Q455" s="255">
        <v>1.57</v>
      </c>
      <c r="R455" s="255">
        <f ca="1">+IF(ISERROR(OFFSET(Tabella!$G$1,MATCH(J455,Tabella!$G:$G,0)-1,MATCH(K455,Tabella!$G$1:$FG$1,0)-1)=TRUE),0,OFFSET(Tabella!$G$1,MATCH(J455,Tabella!$G:$G,0)-1,MATCH(K455,Tabella!$G$1:$AB$1,0)-1))</f>
        <v>0</v>
      </c>
      <c r="S455" s="255">
        <f ca="1">IF(ISERROR(OFFSET(Ottone!$F$1,MATCH(J455,Ottone!$A:$A,0)-1,MATCH(K455,Ottone!$F$1:$FF$1,0)-1)=TRUE),0,OFFSET(Ottone!$F$1,MATCH(J455,Ottone!$A:$A,0)-1,MATCH(K455,Ottone!$F$1:$FF$1,0)-1))*IF(G455="Ottone",1,0)</f>
        <v>0</v>
      </c>
      <c r="T455" s="255">
        <f ca="1">IF(ISERROR(OFFSET(Rame!$F$1,MATCH(J455,Rame!$F:$F,0)-1,MATCH(K455,Rame!$F$1:$FF$1,0)-1)=TRUE),0,OFFSET(Rame!$F$1,MATCH(J455,Rame!$F:$F,0)-1,MATCH(K455,Rame!$F$1:$FF$1,0)-1))*IF(G455="Rame",1,0)</f>
        <v>0</v>
      </c>
      <c r="U455" s="255">
        <f ca="1">IF(ISERROR(OFFSET(Bronzo!$A$1,MATCH(J455,Bronzo!$A:$A,0)-1,MATCH(K455,Bronzo!$A$1:$AA$1,0)-1)=TRUE),0,OFFSET(Bronzo!$A$1,MATCH(J455,Bronzo!$A:$A,0)-1,MATCH(K455,Bronzo!$A$1:$AA$1,0)-1))</f>
        <v>0</v>
      </c>
      <c r="V455" s="255">
        <f t="shared" ca="1" si="152"/>
        <v>0</v>
      </c>
      <c r="W455" s="254"/>
      <c r="X455" s="255">
        <v>0</v>
      </c>
      <c r="Y455" s="256">
        <f t="shared" ca="1" si="153"/>
        <v>1.57</v>
      </c>
      <c r="Z455" s="257">
        <f t="shared" si="154"/>
        <v>12.5</v>
      </c>
      <c r="AA455" s="253">
        <v>4.18</v>
      </c>
      <c r="AB455" s="253">
        <f t="shared" ca="1" si="155"/>
        <v>0</v>
      </c>
      <c r="AC455" s="258">
        <v>46119</v>
      </c>
      <c r="AH455" s="232">
        <f t="shared" ca="1" si="149"/>
        <v>46120</v>
      </c>
      <c r="AI455" s="232" t="b">
        <f t="shared" si="144"/>
        <v>0</v>
      </c>
      <c r="AJ455" s="259">
        <f t="shared" ca="1" si="150"/>
        <v>-1</v>
      </c>
      <c r="AM455" s="223">
        <f t="shared" si="145"/>
        <v>15</v>
      </c>
      <c r="AN455" s="223">
        <f t="shared" si="146"/>
        <v>2026</v>
      </c>
      <c r="AU455" s="223">
        <f t="shared" si="147"/>
        <v>4</v>
      </c>
      <c r="AV455" s="223">
        <f t="shared" si="148"/>
        <v>2026</v>
      </c>
    </row>
    <row r="456" spans="4:48" ht="26.25" x14ac:dyDescent="0.4">
      <c r="D456" s="246" t="s">
        <v>710</v>
      </c>
      <c r="E456" s="252" t="s">
        <v>210</v>
      </c>
      <c r="F456" s="276">
        <v>400</v>
      </c>
      <c r="G456" s="249" t="s">
        <v>4</v>
      </c>
      <c r="H456" s="250">
        <v>2.61</v>
      </c>
      <c r="I456" s="251">
        <v>46093</v>
      </c>
      <c r="J456" s="252" t="s">
        <v>17</v>
      </c>
      <c r="K456" s="252"/>
      <c r="L456" s="253">
        <v>0.05</v>
      </c>
      <c r="M456" s="254">
        <f ca="1">IF(ISERROR(OFFSET(Tabella!$A$1,MATCH(J456,Tabella!$A:$A,0)-1,MATCH(L456,Tabella!$A$1:$AC$1,0)-1)=TRUE),0,+OFFSET(Tabella!$A$1,MATCH(J456,Tabella!$A:$A,0)-1,MATCH(L456,Tabella!$A$1:$AC$1,0)-1))</f>
        <v>0</v>
      </c>
      <c r="N456" s="255">
        <f ca="1">IF(ISERROR(OFFSET(Ottone!$A$1,MATCH(J456,Ottone!$A:$A,0)-1,MATCH(L456,Ottone!$A$1:$Z$1,0)-1)=TRUE),0,OFFSET(Ottone!$A$1,MATCH(J456,Ottone!$A:$A,0)-1,MATCH(L456,Ottone!$A$1:$Z$1,0)-1))*IF(G456="Ottone",1,0)</f>
        <v>0</v>
      </c>
      <c r="O456" s="255">
        <f ca="1">IF(ISERROR(OFFSET(Rame!$A$1,MATCH(J456,Rame!$A:$A,0)-1,MATCH(L456,Rame!$A$1:$AA$1,0)-1)=TRUE),0,OFFSET(Rame!$A$1,MATCH(J456,Rame!$A:$A,0)-1,MATCH(L456,Rame!$A$1:$AA$1,0)-1))*IF(G456="Rame",1,0)</f>
        <v>0</v>
      </c>
      <c r="P456" s="255">
        <v>0</v>
      </c>
      <c r="Q456" s="255">
        <v>1.52</v>
      </c>
      <c r="R456" s="255">
        <f ca="1">+IF(ISERROR(OFFSET(Tabella!$G$1,MATCH(J456,Tabella!$G:$G,0)-1,MATCH(K456,Tabella!$G$1:$FG$1,0)-1)=TRUE),0,OFFSET(Tabella!$G$1,MATCH(J456,Tabella!$G:$G,0)-1,MATCH(K456,Tabella!$G$1:$AB$1,0)-1))</f>
        <v>0</v>
      </c>
      <c r="S456" s="255">
        <f ca="1">IF(ISERROR(OFFSET(Ottone!$F$1,MATCH(J456,Ottone!$A:$A,0)-1,MATCH(K456,Ottone!$F$1:$FF$1,0)-1)=TRUE),0,OFFSET(Ottone!$F$1,MATCH(J456,Ottone!$A:$A,0)-1,MATCH(K456,Ottone!$F$1:$FF$1,0)-1))*IF(G456="Ottone",1,0)</f>
        <v>0</v>
      </c>
      <c r="T456" s="255">
        <f ca="1">IF(ISERROR(OFFSET(Rame!$F$1,MATCH(J456,Rame!$F:$F,0)-1,MATCH(K456,Rame!$F$1:$FF$1,0)-1)=TRUE),0,OFFSET(Rame!$F$1,MATCH(J456,Rame!$F:$F,0)-1,MATCH(K456,Rame!$F$1:$FF$1,0)-1))*IF(G456="Rame",1,0)</f>
        <v>0</v>
      </c>
      <c r="U456" s="255">
        <f ca="1">IF(ISERROR(OFFSET(Bronzo!$A$1,MATCH(J456,Bronzo!$A:$A,0)-1,MATCH(K456,Bronzo!$A$1:$AA$1,0)-1)=TRUE),0,OFFSET(Bronzo!$A$1,MATCH(J456,Bronzo!$A:$A,0)-1,MATCH(K456,Bronzo!$A$1:$AA$1,0)-1))</f>
        <v>0</v>
      </c>
      <c r="V456" s="255">
        <f t="shared" ca="1" si="152"/>
        <v>0</v>
      </c>
      <c r="W456" s="254"/>
      <c r="X456" s="255">
        <v>0</v>
      </c>
      <c r="Y456" s="256">
        <f t="shared" ca="1" si="153"/>
        <v>1.52</v>
      </c>
      <c r="Z456" s="257">
        <f t="shared" si="154"/>
        <v>20</v>
      </c>
      <c r="AA456" s="253">
        <v>4.13</v>
      </c>
      <c r="AB456" s="253">
        <f t="shared" ca="1" si="155"/>
        <v>0</v>
      </c>
      <c r="AC456" s="258">
        <v>46119</v>
      </c>
      <c r="AH456" s="232">
        <f t="shared" ca="1" si="149"/>
        <v>46120</v>
      </c>
      <c r="AI456" s="232" t="b">
        <f t="shared" si="144"/>
        <v>0</v>
      </c>
      <c r="AJ456" s="259">
        <f t="shared" ca="1" si="150"/>
        <v>-1</v>
      </c>
      <c r="AM456" s="223">
        <f t="shared" si="145"/>
        <v>15</v>
      </c>
      <c r="AN456" s="223">
        <f t="shared" si="146"/>
        <v>2026</v>
      </c>
      <c r="AU456" s="223">
        <f t="shared" si="147"/>
        <v>4</v>
      </c>
      <c r="AV456" s="223">
        <f t="shared" si="148"/>
        <v>2026</v>
      </c>
    </row>
    <row r="457" spans="4:48" ht="26.25" x14ac:dyDescent="0.4">
      <c r="D457" s="246" t="s">
        <v>710</v>
      </c>
      <c r="E457" s="252" t="s">
        <v>210</v>
      </c>
      <c r="F457" s="276">
        <v>800</v>
      </c>
      <c r="G457" s="249" t="s">
        <v>4</v>
      </c>
      <c r="H457" s="250">
        <v>2.61</v>
      </c>
      <c r="I457" s="251">
        <v>46093</v>
      </c>
      <c r="J457" s="252" t="s">
        <v>308</v>
      </c>
      <c r="K457" s="252"/>
      <c r="L457" s="253">
        <v>0.05</v>
      </c>
      <c r="M457" s="254">
        <f ca="1">IF(ISERROR(OFFSET(Tabella!$A$1,MATCH(J457,Tabella!$A:$A,0)-1,MATCH(L457,Tabella!$A$1:$AC$1,0)-1)=TRUE),0,+OFFSET(Tabella!$A$1,MATCH(J457,Tabella!$A:$A,0)-1,MATCH(L457,Tabella!$A$1:$AC$1,0)-1))</f>
        <v>0</v>
      </c>
      <c r="N457" s="255">
        <f ca="1">IF(ISERROR(OFFSET(Ottone!$A$1,MATCH(J457,Ottone!$A:$A,0)-1,MATCH(L457,Ottone!$A$1:$Z$1,0)-1)=TRUE),0,OFFSET(Ottone!$A$1,MATCH(J457,Ottone!$A:$A,0)-1,MATCH(L457,Ottone!$A$1:$Z$1,0)-1))*IF(G457="Ottone",1,0)</f>
        <v>0</v>
      </c>
      <c r="O457" s="255">
        <f ca="1">IF(ISERROR(OFFSET(Rame!$A$1,MATCH(J457,Rame!$A:$A,0)-1,MATCH(L457,Rame!$A$1:$AA$1,0)-1)=TRUE),0,OFFSET(Rame!$A$1,MATCH(J457,Rame!$A:$A,0)-1,MATCH(L457,Rame!$A$1:$AA$1,0)-1))*IF(G457="Rame",1,0)</f>
        <v>0</v>
      </c>
      <c r="P457" s="255">
        <v>0</v>
      </c>
      <c r="Q457" s="255">
        <v>1.47</v>
      </c>
      <c r="R457" s="255">
        <f ca="1">+IF(ISERROR(OFFSET(Tabella!$G$1,MATCH(J457,Tabella!$G:$G,0)-1,MATCH(K457,Tabella!$G$1:$FG$1,0)-1)=TRUE),0,OFFSET(Tabella!$G$1,MATCH(J457,Tabella!$G:$G,0)-1,MATCH(K457,Tabella!$G$1:$AB$1,0)-1))</f>
        <v>0</v>
      </c>
      <c r="S457" s="255">
        <f ca="1">IF(ISERROR(OFFSET(Ottone!$F$1,MATCH(J457,Ottone!$A:$A,0)-1,MATCH(K457,Ottone!$F$1:$FF$1,0)-1)=TRUE),0,OFFSET(Ottone!$F$1,MATCH(J457,Ottone!$A:$A,0)-1,MATCH(K457,Ottone!$F$1:$FF$1,0)-1))*IF(G457="Ottone",1,0)</f>
        <v>0</v>
      </c>
      <c r="T457" s="255">
        <f ca="1">IF(ISERROR(OFFSET(Rame!$F$1,MATCH(J457,Rame!$F:$F,0)-1,MATCH(K457,Rame!$F$1:$FF$1,0)-1)=TRUE),0,OFFSET(Rame!$F$1,MATCH(J457,Rame!$F:$F,0)-1,MATCH(K457,Rame!$F$1:$FF$1,0)-1))*IF(G457="Rame",1,0)</f>
        <v>0</v>
      </c>
      <c r="U457" s="255">
        <f ca="1">IF(ISERROR(OFFSET(Bronzo!$A$1,MATCH(J457,Bronzo!$A:$A,0)-1,MATCH(K457,Bronzo!$A$1:$AA$1,0)-1)=TRUE),0,OFFSET(Bronzo!$A$1,MATCH(J457,Bronzo!$A:$A,0)-1,MATCH(K457,Bronzo!$A$1:$AA$1,0)-1))</f>
        <v>0</v>
      </c>
      <c r="V457" s="255">
        <f t="shared" ca="1" si="152"/>
        <v>0</v>
      </c>
      <c r="W457" s="254"/>
      <c r="X457" s="255">
        <v>0</v>
      </c>
      <c r="Y457" s="256">
        <f t="shared" ca="1" si="153"/>
        <v>1.47</v>
      </c>
      <c r="Z457" s="257">
        <f t="shared" si="154"/>
        <v>40</v>
      </c>
      <c r="AA457" s="253">
        <v>4.08</v>
      </c>
      <c r="AB457" s="253">
        <f t="shared" ca="1" si="155"/>
        <v>0</v>
      </c>
      <c r="AC457" s="258">
        <v>46125</v>
      </c>
      <c r="AH457" s="232">
        <f t="shared" ca="1" si="149"/>
        <v>46120</v>
      </c>
      <c r="AI457" s="232" t="b">
        <f t="shared" si="144"/>
        <v>0</v>
      </c>
      <c r="AJ457" s="259">
        <f t="shared" ca="1" si="150"/>
        <v>5</v>
      </c>
      <c r="AM457" s="223">
        <f t="shared" si="145"/>
        <v>16</v>
      </c>
      <c r="AN457" s="223">
        <f t="shared" si="146"/>
        <v>2026</v>
      </c>
      <c r="AU457" s="223">
        <f t="shared" si="147"/>
        <v>4</v>
      </c>
      <c r="AV457" s="223">
        <f t="shared" si="148"/>
        <v>2026</v>
      </c>
    </row>
    <row r="458" spans="4:48" ht="26.25" x14ac:dyDescent="0.4">
      <c r="D458" s="246" t="s">
        <v>656</v>
      </c>
      <c r="E458" s="252" t="s">
        <v>212</v>
      </c>
      <c r="F458" s="276">
        <v>3300</v>
      </c>
      <c r="G458" s="249" t="s">
        <v>4</v>
      </c>
      <c r="H458" s="250">
        <v>2.61</v>
      </c>
      <c r="I458" s="251">
        <v>46093</v>
      </c>
      <c r="J458" s="252" t="s">
        <v>26</v>
      </c>
      <c r="K458" s="252"/>
      <c r="L458" s="253">
        <v>0.05</v>
      </c>
      <c r="M458" s="254">
        <f ca="1">IF(ISERROR(OFFSET(Tabella!$A$1,MATCH(J458,Tabella!$A:$A,0)-1,MATCH(L458,Tabella!$A$1:$AC$1,0)-1)=TRUE),0,+OFFSET(Tabella!$A$1,MATCH(J458,Tabella!$A:$A,0)-1,MATCH(L458,Tabella!$A$1:$AC$1,0)-1))</f>
        <v>0</v>
      </c>
      <c r="N458" s="255">
        <f ca="1">IF(ISERROR(OFFSET(Ottone!$A$1,MATCH(J458,Ottone!$A:$A,0)-1,MATCH(L458,Ottone!$A$1:$Z$1,0)-1)=TRUE),0,OFFSET(Ottone!$A$1,MATCH(J458,Ottone!$A:$A,0)-1,MATCH(L458,Ottone!$A$1:$Z$1,0)-1))*IF(G458="Ottone",1,0)</f>
        <v>0</v>
      </c>
      <c r="O458" s="255">
        <f ca="1">IF(ISERROR(OFFSET(Rame!$A$1,MATCH(J458,Rame!$A:$A,0)-1,MATCH(L458,Rame!$A$1:$AA$1,0)-1)=TRUE),0,OFFSET(Rame!$A$1,MATCH(J458,Rame!$A:$A,0)-1,MATCH(L458,Rame!$A$1:$AA$1,0)-1))*IF(G458="Rame",1,0)</f>
        <v>0</v>
      </c>
      <c r="P458" s="255">
        <v>0</v>
      </c>
      <c r="Q458" s="255">
        <v>1.47</v>
      </c>
      <c r="R458" s="255">
        <f ca="1">+IF(ISERROR(OFFSET(Tabella!$G$1,MATCH(J458,Tabella!$G:$G,0)-1,MATCH(K458,Tabella!$G$1:$FG$1,0)-1)=TRUE),0,OFFSET(Tabella!$G$1,MATCH(J458,Tabella!$G:$G,0)-1,MATCH(K458,Tabella!$G$1:$AB$1,0)-1))</f>
        <v>0</v>
      </c>
      <c r="S458" s="255">
        <f ca="1">IF(ISERROR(OFFSET(Ottone!$F$1,MATCH(J458,Ottone!$A:$A,0)-1,MATCH(K458,Ottone!$F$1:$FF$1,0)-1)=TRUE),0,OFFSET(Ottone!$F$1,MATCH(J458,Ottone!$A:$A,0)-1,MATCH(K458,Ottone!$F$1:$FF$1,0)-1))*IF(G458="Ottone",1,0)</f>
        <v>0</v>
      </c>
      <c r="T458" s="255">
        <f ca="1">IF(ISERROR(OFFSET(Rame!$F$1,MATCH(J458,Rame!$F:$F,0)-1,MATCH(K458,Rame!$F$1:$FF$1,0)-1)=TRUE),0,OFFSET(Rame!$F$1,MATCH(J458,Rame!$F:$F,0)-1,MATCH(K458,Rame!$F$1:$FF$1,0)-1))*IF(G458="Rame",1,0)</f>
        <v>0</v>
      </c>
      <c r="U458" s="255">
        <f ca="1">IF(ISERROR(OFFSET(Bronzo!$A$1,MATCH(J458,Bronzo!$A:$A,0)-1,MATCH(K458,Bronzo!$A$1:$AA$1,0)-1)=TRUE),0,OFFSET(Bronzo!$A$1,MATCH(J458,Bronzo!$A:$A,0)-1,MATCH(K458,Bronzo!$A$1:$AA$1,0)-1))</f>
        <v>0</v>
      </c>
      <c r="V458" s="255">
        <f t="shared" ca="1" si="152"/>
        <v>0</v>
      </c>
      <c r="W458" s="254"/>
      <c r="X458" s="255">
        <v>0</v>
      </c>
      <c r="Y458" s="256">
        <f t="shared" ca="1" si="153"/>
        <v>1.47</v>
      </c>
      <c r="Z458" s="257">
        <f t="shared" si="154"/>
        <v>165</v>
      </c>
      <c r="AA458" s="253">
        <v>4.08</v>
      </c>
      <c r="AB458" s="253">
        <f t="shared" ca="1" si="155"/>
        <v>0</v>
      </c>
      <c r="AC458" s="258">
        <v>46115</v>
      </c>
      <c r="AH458" s="232">
        <f t="shared" ca="1" si="149"/>
        <v>46120</v>
      </c>
      <c r="AI458" s="232" t="b">
        <f t="shared" si="144"/>
        <v>0</v>
      </c>
      <c r="AJ458" s="259">
        <f t="shared" ca="1" si="150"/>
        <v>-5</v>
      </c>
      <c r="AM458" s="223">
        <f t="shared" si="145"/>
        <v>14</v>
      </c>
      <c r="AN458" s="223">
        <f t="shared" si="146"/>
        <v>2026</v>
      </c>
      <c r="AU458" s="223">
        <f t="shared" si="147"/>
        <v>4</v>
      </c>
      <c r="AV458" s="223">
        <f t="shared" si="148"/>
        <v>2026</v>
      </c>
    </row>
    <row r="459" spans="4:48" ht="26.25" x14ac:dyDescent="0.4">
      <c r="D459" s="246" t="s">
        <v>767</v>
      </c>
      <c r="E459" s="292" t="s">
        <v>263</v>
      </c>
      <c r="F459" s="293">
        <v>147</v>
      </c>
      <c r="G459" s="249" t="s">
        <v>4</v>
      </c>
      <c r="H459" s="250">
        <v>2.61</v>
      </c>
      <c r="I459" s="251">
        <v>46091</v>
      </c>
      <c r="J459" s="252" t="s">
        <v>9</v>
      </c>
      <c r="K459" s="252"/>
      <c r="L459" s="253">
        <v>0.1</v>
      </c>
      <c r="M459" s="254">
        <f ca="1">IF(ISERROR(OFFSET(Tabella!$A$1,MATCH(J459,Tabella!$A:$A,0)-1,MATCH(L459,Tabella!$A$1:$AC$1,0)-1)=TRUE),0,+OFFSET(Tabella!$A$1,MATCH(J459,Tabella!$A:$A,0)-1,MATCH(L459,Tabella!$A$1:$AC$1,0)-1))</f>
        <v>1.75</v>
      </c>
      <c r="N459" s="255">
        <f ca="1">IF(ISERROR(OFFSET(Ottone!$A$1,MATCH(J459,Ottone!$A:$A,0)-1,MATCH(L459,Ottone!$A$1:$Z$1,0)-1)=TRUE),0,OFFSET(Ottone!$A$1,MATCH(J459,Ottone!$A:$A,0)-1,MATCH(L459,Ottone!$A$1:$Z$1,0)-1))*IF(G459="Ottone",1,0)</f>
        <v>0</v>
      </c>
      <c r="O459" s="255">
        <f ca="1">IF(ISERROR(OFFSET(Rame!$A$1,MATCH(J459,Rame!$A:$A,0)-1,MATCH(L459,Rame!$A$1:$AA$1,0)-1)=TRUE),0,OFFSET(Rame!$A$1,MATCH(J459,Rame!$A:$A,0)-1,MATCH(L459,Rame!$A$1:$AA$1,0)-1))*IF(G459="Rame",1,0)</f>
        <v>0</v>
      </c>
      <c r="P459" s="255">
        <v>0</v>
      </c>
      <c r="Q459" s="255">
        <v>2.02</v>
      </c>
      <c r="R459" s="255">
        <f ca="1">+IF(ISERROR(OFFSET(Tabella!$G$1,MATCH(J459,Tabella!$G:$G,0)-1,MATCH(K459,Tabella!$G$1:$FG$1,0)-1)=TRUE),0,OFFSET(Tabella!$G$1,MATCH(J459,Tabella!$G:$G,0)-1,MATCH(K459,Tabella!$G$1:$AB$1,0)-1))</f>
        <v>0</v>
      </c>
      <c r="S459" s="255">
        <f ca="1">IF(ISERROR(OFFSET(Ottone!$F$1,MATCH(J459,Ottone!$A:$A,0)-1,MATCH(K459,Ottone!$F$1:$FF$1,0)-1)=TRUE),0,OFFSET(Ottone!$F$1,MATCH(J459,Ottone!$A:$A,0)-1,MATCH(K459,Ottone!$F$1:$FF$1,0)-1))*IF(G459="Ottone",1,0)</f>
        <v>0</v>
      </c>
      <c r="T459" s="255">
        <f ca="1">IF(ISERROR(OFFSET(Rame!$F$1,MATCH(J459,Rame!$F:$F,0)-1,MATCH(K459,Rame!$F$1:$FF$1,0)-1)=TRUE),0,OFFSET(Rame!$F$1,MATCH(J459,Rame!$F:$F,0)-1,MATCH(K459,Rame!$F$1:$FF$1,0)-1))*IF(G459="Rame",1,0)</f>
        <v>0</v>
      </c>
      <c r="U459" s="255">
        <f ca="1">IF(ISERROR(OFFSET(Bronzo!$A$1,MATCH(J459,Bronzo!$A:$A,0)-1,MATCH(K459,Bronzo!$A$1:$AA$1,0)-1)=TRUE),0,OFFSET(Bronzo!$A$1,MATCH(J459,Bronzo!$A:$A,0)-1,MATCH(K459,Bronzo!$A$1:$AA$1,0)-1))</f>
        <v>0</v>
      </c>
      <c r="V459" s="255">
        <f t="shared" ca="1" si="152"/>
        <v>0</v>
      </c>
      <c r="W459" s="254"/>
      <c r="X459" s="255">
        <v>0</v>
      </c>
      <c r="Y459" s="256">
        <f t="shared" ca="1" si="153"/>
        <v>2.02</v>
      </c>
      <c r="Z459" s="291">
        <f t="shared" si="154"/>
        <v>14.700000000000001</v>
      </c>
      <c r="AA459" s="253">
        <v>4.63</v>
      </c>
      <c r="AB459" s="253">
        <f t="shared" ca="1" si="155"/>
        <v>0</v>
      </c>
      <c r="AC459" s="258"/>
      <c r="AH459" s="232">
        <f t="shared" ca="1" si="149"/>
        <v>46120</v>
      </c>
      <c r="AI459" s="232" t="b">
        <f t="shared" si="144"/>
        <v>1</v>
      </c>
      <c r="AJ459" s="259" t="str">
        <f t="shared" si="150"/>
        <v/>
      </c>
      <c r="AM459" s="223">
        <f t="shared" si="145"/>
        <v>0</v>
      </c>
      <c r="AN459" s="223">
        <f t="shared" si="146"/>
        <v>1900</v>
      </c>
      <c r="AU459" s="223">
        <f t="shared" si="147"/>
        <v>0</v>
      </c>
      <c r="AV459" s="223">
        <f t="shared" si="148"/>
        <v>0</v>
      </c>
    </row>
    <row r="460" spans="4:48" ht="26.25" x14ac:dyDescent="0.4">
      <c r="D460" s="246" t="s">
        <v>768</v>
      </c>
      <c r="E460" s="292" t="s">
        <v>263</v>
      </c>
      <c r="F460" s="293">
        <v>136</v>
      </c>
      <c r="G460" s="249" t="s">
        <v>4</v>
      </c>
      <c r="H460" s="250">
        <v>2.61</v>
      </c>
      <c r="I460" s="251">
        <v>46091</v>
      </c>
      <c r="J460" s="252" t="s">
        <v>9</v>
      </c>
      <c r="K460" s="252"/>
      <c r="L460" s="253">
        <v>0.1</v>
      </c>
      <c r="M460" s="254">
        <f ca="1">IF(ISERROR(OFFSET(Tabella!$A$1,MATCH(J460,Tabella!$A:$A,0)-1,MATCH(L460,Tabella!$A$1:$AC$1,0)-1)=TRUE),0,+OFFSET(Tabella!$A$1,MATCH(J460,Tabella!$A:$A,0)-1,MATCH(L460,Tabella!$A$1:$AC$1,0)-1))</f>
        <v>1.75</v>
      </c>
      <c r="N460" s="255">
        <f ca="1">IF(ISERROR(OFFSET(Ottone!$A$1,MATCH(J460,Ottone!$A:$A,0)-1,MATCH(L460,Ottone!$A$1:$Z$1,0)-1)=TRUE),0,OFFSET(Ottone!$A$1,MATCH(J460,Ottone!$A:$A,0)-1,MATCH(L460,Ottone!$A$1:$Z$1,0)-1))*IF(G460="Ottone",1,0)</f>
        <v>0</v>
      </c>
      <c r="O460" s="255">
        <f ca="1">IF(ISERROR(OFFSET(Rame!$A$1,MATCH(J460,Rame!$A:$A,0)-1,MATCH(L460,Rame!$A$1:$AA$1,0)-1)=TRUE),0,OFFSET(Rame!$A$1,MATCH(J460,Rame!$A:$A,0)-1,MATCH(L460,Rame!$A$1:$AA$1,0)-1))*IF(G460="Rame",1,0)</f>
        <v>0</v>
      </c>
      <c r="P460" s="255">
        <v>0</v>
      </c>
      <c r="Q460" s="255">
        <v>2.02</v>
      </c>
      <c r="R460" s="255">
        <f ca="1">+IF(ISERROR(OFFSET(Tabella!$G$1,MATCH(J460,Tabella!$G:$G,0)-1,MATCH(K460,Tabella!$G$1:$FG$1,0)-1)=TRUE),0,OFFSET(Tabella!$G$1,MATCH(J460,Tabella!$G:$G,0)-1,MATCH(K460,Tabella!$G$1:$AB$1,0)-1))</f>
        <v>0</v>
      </c>
      <c r="S460" s="255">
        <f ca="1">IF(ISERROR(OFFSET(Ottone!$F$1,MATCH(J460,Ottone!$A:$A,0)-1,MATCH(K460,Ottone!$F$1:$FF$1,0)-1)=TRUE),0,OFFSET(Ottone!$F$1,MATCH(J460,Ottone!$A:$A,0)-1,MATCH(K460,Ottone!$F$1:$FF$1,0)-1))*IF(G460="Ottone",1,0)</f>
        <v>0</v>
      </c>
      <c r="T460" s="255">
        <f ca="1">IF(ISERROR(OFFSET(Rame!$F$1,MATCH(J460,Rame!$F:$F,0)-1,MATCH(K460,Rame!$F$1:$FF$1,0)-1)=TRUE),0,OFFSET(Rame!$F$1,MATCH(J460,Rame!$F:$F,0)-1,MATCH(K460,Rame!$F$1:$FF$1,0)-1))*IF(G460="Rame",1,0)</f>
        <v>0</v>
      </c>
      <c r="U460" s="255">
        <f ca="1">IF(ISERROR(OFFSET(Bronzo!$A$1,MATCH(J460,Bronzo!$A:$A,0)-1,MATCH(K460,Bronzo!$A$1:$AA$1,0)-1)=TRUE),0,OFFSET(Bronzo!$A$1,MATCH(J460,Bronzo!$A:$A,0)-1,MATCH(K460,Bronzo!$A$1:$AA$1,0)-1))</f>
        <v>0</v>
      </c>
      <c r="V460" s="255">
        <f t="shared" ca="1" si="152"/>
        <v>0</v>
      </c>
      <c r="W460" s="254"/>
      <c r="X460" s="255">
        <v>0</v>
      </c>
      <c r="Y460" s="256">
        <f t="shared" ca="1" si="153"/>
        <v>2.02</v>
      </c>
      <c r="Z460" s="291">
        <f t="shared" si="154"/>
        <v>13.600000000000001</v>
      </c>
      <c r="AA460" s="253">
        <v>4.63</v>
      </c>
      <c r="AB460" s="253">
        <f t="shared" ca="1" si="155"/>
        <v>0</v>
      </c>
      <c r="AC460" s="258"/>
      <c r="AH460" s="232">
        <f t="shared" ca="1" si="149"/>
        <v>46120</v>
      </c>
      <c r="AI460" s="232" t="b">
        <f t="shared" si="144"/>
        <v>1</v>
      </c>
      <c r="AJ460" s="259" t="str">
        <f t="shared" si="150"/>
        <v/>
      </c>
      <c r="AM460" s="223">
        <f t="shared" si="145"/>
        <v>0</v>
      </c>
      <c r="AN460" s="223">
        <f t="shared" si="146"/>
        <v>1900</v>
      </c>
      <c r="AU460" s="223">
        <f t="shared" si="147"/>
        <v>0</v>
      </c>
      <c r="AV460" s="223">
        <f t="shared" si="148"/>
        <v>0</v>
      </c>
    </row>
    <row r="461" spans="4:48" ht="26.25" x14ac:dyDescent="0.4">
      <c r="D461" s="246" t="s">
        <v>729</v>
      </c>
      <c r="E461" s="252" t="s">
        <v>397</v>
      </c>
      <c r="F461" s="276">
        <v>350</v>
      </c>
      <c r="G461" s="249" t="s">
        <v>4</v>
      </c>
      <c r="H461" s="250">
        <v>3.04</v>
      </c>
      <c r="I461" s="251">
        <v>46094</v>
      </c>
      <c r="J461" s="252" t="s">
        <v>19</v>
      </c>
      <c r="K461" s="252"/>
      <c r="L461" s="253">
        <v>7.0000000000000007E-2</v>
      </c>
      <c r="M461" s="254">
        <f ca="1">IF(ISERROR(OFFSET(Tabella!$A$1,MATCH(J461,Tabella!$A:$A,0)-1,MATCH(L461,Tabella!$A$1:$AC$1,0)-1)=TRUE),0,+OFFSET(Tabella!$A$1,MATCH(J461,Tabella!$A:$A,0)-1,MATCH(L461,Tabella!$A$1:$AC$1,0)-1))</f>
        <v>1.35</v>
      </c>
      <c r="N461" s="255">
        <f ca="1">IF(ISERROR(OFFSET(Ottone!$A$1,MATCH(J461,Ottone!$A:$A,0)-1,MATCH(L461,Ottone!$A$1:$Z$1,0)-1)=TRUE),0,OFFSET(Ottone!$A$1,MATCH(J461,Ottone!$A:$A,0)-1,MATCH(L461,Ottone!$A$1:$Z$1,0)-1))*IF(G461="Ottone",1,0)</f>
        <v>0</v>
      </c>
      <c r="O461" s="255">
        <f ca="1">IF(ISERROR(OFFSET(Rame!$A$1,MATCH(J461,Rame!$A:$A,0)-1,MATCH(L461,Rame!$A$1:$AA$1,0)-1)=TRUE),0,OFFSET(Rame!$A$1,MATCH(J461,Rame!$A:$A,0)-1,MATCH(L461,Rame!$A$1:$AA$1,0)-1))*IF(G461="Rame",1,0)</f>
        <v>0</v>
      </c>
      <c r="P461" s="255">
        <v>0</v>
      </c>
      <c r="Q461" s="255">
        <f t="shared" ca="1" si="151"/>
        <v>1.35</v>
      </c>
      <c r="R461" s="255">
        <f ca="1">+IF(ISERROR(OFFSET(Tabella!$G$1,MATCH(J461,Tabella!$G:$G,0)-1,MATCH(K461,Tabella!$G$1:$FG$1,0)-1)=TRUE),0,OFFSET(Tabella!$G$1,MATCH(J461,Tabella!$G:$G,0)-1,MATCH(K461,Tabella!$G$1:$AB$1,0)-1))</f>
        <v>0</v>
      </c>
      <c r="S461" s="255">
        <f ca="1">IF(ISERROR(OFFSET(Ottone!$F$1,MATCH(J461,Ottone!$A:$A,0)-1,MATCH(K461,Ottone!$F$1:$FF$1,0)-1)=TRUE),0,OFFSET(Ottone!$F$1,MATCH(J461,Ottone!$A:$A,0)-1,MATCH(K461,Ottone!$F$1:$FF$1,0)-1))*IF(G461="Ottone",1,0)</f>
        <v>0</v>
      </c>
      <c r="T461" s="255">
        <f ca="1">IF(ISERROR(OFFSET(Rame!$F$1,MATCH(J461,Rame!$F:$F,0)-1,MATCH(K461,Rame!$F$1:$FF$1,0)-1)=TRUE),0,OFFSET(Rame!$F$1,MATCH(J461,Rame!$F:$F,0)-1,MATCH(K461,Rame!$F$1:$FF$1,0)-1))*IF(G461="Rame",1,0)</f>
        <v>0</v>
      </c>
      <c r="U461" s="255">
        <f ca="1">IF(ISERROR(OFFSET(Bronzo!$A$1,MATCH(J461,Bronzo!$A:$A,0)-1,MATCH(K461,Bronzo!$A$1:$AA$1,0)-1)=TRUE),0,OFFSET(Bronzo!$A$1,MATCH(J461,Bronzo!$A:$A,0)-1,MATCH(K461,Bronzo!$A$1:$AA$1,0)-1))</f>
        <v>0</v>
      </c>
      <c r="V461" s="255">
        <f t="shared" ca="1" si="152"/>
        <v>0</v>
      </c>
      <c r="W461" s="254"/>
      <c r="X461" s="255">
        <v>0</v>
      </c>
      <c r="Y461" s="256">
        <f t="shared" ca="1" si="153"/>
        <v>1.35</v>
      </c>
      <c r="Z461" s="257">
        <f t="shared" si="154"/>
        <v>24.500000000000004</v>
      </c>
      <c r="AA461" s="253">
        <v>4.91</v>
      </c>
      <c r="AB461" s="253">
        <f t="shared" ca="1" si="155"/>
        <v>0.52</v>
      </c>
      <c r="AC461" s="258">
        <v>46127</v>
      </c>
      <c r="AH461" s="232">
        <f t="shared" ca="1" si="149"/>
        <v>46120</v>
      </c>
      <c r="AI461" s="232" t="b">
        <f t="shared" si="144"/>
        <v>0</v>
      </c>
      <c r="AJ461" s="259">
        <f t="shared" ca="1" si="150"/>
        <v>7</v>
      </c>
      <c r="AM461" s="223">
        <f t="shared" si="145"/>
        <v>16</v>
      </c>
      <c r="AN461" s="223">
        <f t="shared" si="146"/>
        <v>2026</v>
      </c>
      <c r="AU461" s="223">
        <f t="shared" si="147"/>
        <v>4</v>
      </c>
      <c r="AV461" s="223">
        <f t="shared" si="148"/>
        <v>2026</v>
      </c>
    </row>
    <row r="462" spans="4:48" ht="26.25" x14ac:dyDescent="0.4">
      <c r="D462" s="246" t="s">
        <v>650</v>
      </c>
      <c r="E462" s="252" t="s">
        <v>212</v>
      </c>
      <c r="F462" s="276">
        <v>2000</v>
      </c>
      <c r="G462" s="249" t="s">
        <v>4</v>
      </c>
      <c r="H462" s="250">
        <v>2.61</v>
      </c>
      <c r="I462" s="251">
        <v>46094</v>
      </c>
      <c r="J462" s="252" t="s">
        <v>17</v>
      </c>
      <c r="K462" s="252"/>
      <c r="L462" s="253">
        <v>0.05</v>
      </c>
      <c r="M462" s="254">
        <f ca="1">IF(ISERROR(OFFSET(Tabella!$A$1,MATCH(J462,Tabella!$A:$A,0)-1,MATCH(L462,Tabella!$A$1:$AC$1,0)-1)=TRUE),0,+OFFSET(Tabella!$A$1,MATCH(J462,Tabella!$A:$A,0)-1,MATCH(L462,Tabella!$A$1:$AC$1,0)-1))</f>
        <v>0</v>
      </c>
      <c r="N462" s="255">
        <f ca="1">IF(ISERROR(OFFSET(Ottone!$A$1,MATCH(J462,Ottone!$A:$A,0)-1,MATCH(L462,Ottone!$A$1:$Z$1,0)-1)=TRUE),0,OFFSET(Ottone!$A$1,MATCH(J462,Ottone!$A:$A,0)-1,MATCH(L462,Ottone!$A$1:$Z$1,0)-1))*IF(G462="Ottone",1,0)</f>
        <v>0</v>
      </c>
      <c r="O462" s="255">
        <f ca="1">IF(ISERROR(OFFSET(Rame!$A$1,MATCH(J462,Rame!$A:$A,0)-1,MATCH(L462,Rame!$A$1:$AA$1,0)-1)=TRUE),0,OFFSET(Rame!$A$1,MATCH(J462,Rame!$A:$A,0)-1,MATCH(L462,Rame!$A$1:$AA$1,0)-1))*IF(G462="Rame",1,0)</f>
        <v>0</v>
      </c>
      <c r="P462" s="255">
        <v>0</v>
      </c>
      <c r="Q462" s="255">
        <v>1.52</v>
      </c>
      <c r="R462" s="255">
        <f ca="1">+IF(ISERROR(OFFSET(Tabella!$G$1,MATCH(J462,Tabella!$G:$G,0)-1,MATCH(K462,Tabella!$G$1:$FG$1,0)-1)=TRUE),0,OFFSET(Tabella!$G$1,MATCH(J462,Tabella!$G:$G,0)-1,MATCH(K462,Tabella!$G$1:$AB$1,0)-1))</f>
        <v>0</v>
      </c>
      <c r="S462" s="255">
        <f ca="1">IF(ISERROR(OFFSET(Ottone!$F$1,MATCH(J462,Ottone!$A:$A,0)-1,MATCH(K462,Ottone!$F$1:$FF$1,0)-1)=TRUE),0,OFFSET(Ottone!$F$1,MATCH(J462,Ottone!$A:$A,0)-1,MATCH(K462,Ottone!$F$1:$FF$1,0)-1))*IF(G462="Ottone",1,0)</f>
        <v>0</v>
      </c>
      <c r="T462" s="255">
        <f ca="1">IF(ISERROR(OFFSET(Rame!$F$1,MATCH(J462,Rame!$F:$F,0)-1,MATCH(K462,Rame!$F$1:$FF$1,0)-1)=TRUE),0,OFFSET(Rame!$F$1,MATCH(J462,Rame!$F:$F,0)-1,MATCH(K462,Rame!$F$1:$FF$1,0)-1))*IF(G462="Rame",1,0)</f>
        <v>0</v>
      </c>
      <c r="U462" s="255">
        <f ca="1">IF(ISERROR(OFFSET(Bronzo!$A$1,MATCH(J462,Bronzo!$A:$A,0)-1,MATCH(K462,Bronzo!$A$1:$AA$1,0)-1)=TRUE),0,OFFSET(Bronzo!$A$1,MATCH(J462,Bronzo!$A:$A,0)-1,MATCH(K462,Bronzo!$A$1:$AA$1,0)-1))</f>
        <v>0</v>
      </c>
      <c r="V462" s="255">
        <f t="shared" ca="1" si="152"/>
        <v>0</v>
      </c>
      <c r="W462" s="254"/>
      <c r="X462" s="255">
        <v>0</v>
      </c>
      <c r="Y462" s="256">
        <f t="shared" ca="1" si="153"/>
        <v>1.52</v>
      </c>
      <c r="Z462" s="257">
        <f t="shared" si="154"/>
        <v>100</v>
      </c>
      <c r="AA462" s="253">
        <v>4.13</v>
      </c>
      <c r="AB462" s="253">
        <f t="shared" ca="1" si="155"/>
        <v>0</v>
      </c>
      <c r="AC462" s="258">
        <v>46120</v>
      </c>
      <c r="AH462" s="232">
        <f t="shared" ca="1" si="149"/>
        <v>46120</v>
      </c>
      <c r="AI462" s="232" t="b">
        <f t="shared" si="144"/>
        <v>0</v>
      </c>
      <c r="AJ462" s="259">
        <f t="shared" ca="1" si="150"/>
        <v>0</v>
      </c>
      <c r="AM462" s="223">
        <f t="shared" si="145"/>
        <v>15</v>
      </c>
      <c r="AN462" s="223">
        <f t="shared" si="146"/>
        <v>2026</v>
      </c>
      <c r="AU462" s="223">
        <f t="shared" si="147"/>
        <v>4</v>
      </c>
      <c r="AV462" s="223">
        <f t="shared" si="148"/>
        <v>2026</v>
      </c>
    </row>
    <row r="463" spans="4:48" ht="26.25" x14ac:dyDescent="0.4">
      <c r="D463" s="246" t="s">
        <v>649</v>
      </c>
      <c r="E463" s="252" t="s">
        <v>212</v>
      </c>
      <c r="F463" s="276">
        <v>1000</v>
      </c>
      <c r="G463" s="249" t="s">
        <v>4</v>
      </c>
      <c r="H463" s="250">
        <v>2.61</v>
      </c>
      <c r="I463" s="251">
        <v>46094</v>
      </c>
      <c r="J463" s="252" t="s">
        <v>28</v>
      </c>
      <c r="K463" s="252"/>
      <c r="L463" s="253">
        <v>0.05</v>
      </c>
      <c r="M463" s="254">
        <f ca="1">IF(ISERROR(OFFSET(Tabella!$A$1,MATCH(J463,Tabella!$A:$A,0)-1,MATCH(L463,Tabella!$A$1:$AC$1,0)-1)=TRUE),0,+OFFSET(Tabella!$A$1,MATCH(J463,Tabella!$A:$A,0)-1,MATCH(L463,Tabella!$A$1:$AC$1,0)-1))</f>
        <v>0</v>
      </c>
      <c r="N463" s="255">
        <f ca="1">IF(ISERROR(OFFSET(Ottone!$A$1,MATCH(J463,Ottone!$A:$A,0)-1,MATCH(L463,Ottone!$A$1:$Z$1,0)-1)=TRUE),0,OFFSET(Ottone!$A$1,MATCH(J463,Ottone!$A:$A,0)-1,MATCH(L463,Ottone!$A$1:$Z$1,0)-1))*IF(G463="Ottone",1,0)</f>
        <v>0</v>
      </c>
      <c r="O463" s="255">
        <f ca="1">IF(ISERROR(OFFSET(Rame!$A$1,MATCH(J463,Rame!$A:$A,0)-1,MATCH(L463,Rame!$A$1:$AA$1,0)-1)=TRUE),0,OFFSET(Rame!$A$1,MATCH(J463,Rame!$A:$A,0)-1,MATCH(L463,Rame!$A$1:$AA$1,0)-1))*IF(G463="Rame",1,0)</f>
        <v>0</v>
      </c>
      <c r="P463" s="255">
        <v>0</v>
      </c>
      <c r="Q463" s="255">
        <v>1.47</v>
      </c>
      <c r="R463" s="255">
        <f ca="1">+IF(ISERROR(OFFSET(Tabella!$G$1,MATCH(J463,Tabella!$G:$G,0)-1,MATCH(K463,Tabella!$G$1:$FG$1,0)-1)=TRUE),0,OFFSET(Tabella!$G$1,MATCH(J463,Tabella!$G:$G,0)-1,MATCH(K463,Tabella!$G$1:$AB$1,0)-1))</f>
        <v>0</v>
      </c>
      <c r="S463" s="255">
        <f ca="1">IF(ISERROR(OFFSET(Ottone!$F$1,MATCH(J463,Ottone!$A:$A,0)-1,MATCH(K463,Ottone!$F$1:$FF$1,0)-1)=TRUE),0,OFFSET(Ottone!$F$1,MATCH(J463,Ottone!$A:$A,0)-1,MATCH(K463,Ottone!$F$1:$FF$1,0)-1))*IF(G463="Ottone",1,0)</f>
        <v>0</v>
      </c>
      <c r="T463" s="255">
        <f ca="1">IF(ISERROR(OFFSET(Rame!$F$1,MATCH(J463,Rame!$F:$F,0)-1,MATCH(K463,Rame!$F$1:$FF$1,0)-1)=TRUE),0,OFFSET(Rame!$F$1,MATCH(J463,Rame!$F:$F,0)-1,MATCH(K463,Rame!$F$1:$FF$1,0)-1))*IF(G463="Rame",1,0)</f>
        <v>0</v>
      </c>
      <c r="U463" s="255">
        <f ca="1">IF(ISERROR(OFFSET(Bronzo!$A$1,MATCH(J463,Bronzo!$A:$A,0)-1,MATCH(K463,Bronzo!$A$1:$AA$1,0)-1)=TRUE),0,OFFSET(Bronzo!$A$1,MATCH(J463,Bronzo!$A:$A,0)-1,MATCH(K463,Bronzo!$A$1:$AA$1,0)-1))</f>
        <v>0</v>
      </c>
      <c r="V463" s="255">
        <f t="shared" ca="1" si="152"/>
        <v>0</v>
      </c>
      <c r="W463" s="254"/>
      <c r="X463" s="255">
        <v>0</v>
      </c>
      <c r="Y463" s="256">
        <f t="shared" ca="1" si="153"/>
        <v>1.47</v>
      </c>
      <c r="Z463" s="257">
        <f t="shared" si="154"/>
        <v>50</v>
      </c>
      <c r="AA463" s="253">
        <v>4.08</v>
      </c>
      <c r="AB463" s="253">
        <f t="shared" ca="1" si="155"/>
        <v>0</v>
      </c>
      <c r="AC463" s="258">
        <v>46113</v>
      </c>
      <c r="AH463" s="232">
        <f t="shared" ca="1" si="149"/>
        <v>46120</v>
      </c>
      <c r="AI463" s="232" t="b">
        <f t="shared" si="144"/>
        <v>0</v>
      </c>
      <c r="AJ463" s="259">
        <f t="shared" ca="1" si="150"/>
        <v>-7</v>
      </c>
      <c r="AM463" s="223">
        <f t="shared" si="145"/>
        <v>14</v>
      </c>
      <c r="AN463" s="223">
        <f t="shared" si="146"/>
        <v>2026</v>
      </c>
      <c r="AU463" s="223">
        <f t="shared" si="147"/>
        <v>4</v>
      </c>
      <c r="AV463" s="223">
        <f t="shared" si="148"/>
        <v>2026</v>
      </c>
    </row>
    <row r="464" spans="4:48" ht="26.25" x14ac:dyDescent="0.4">
      <c r="D464" s="246" t="s">
        <v>648</v>
      </c>
      <c r="E464" s="252" t="s">
        <v>212</v>
      </c>
      <c r="F464" s="276">
        <v>13000</v>
      </c>
      <c r="G464" s="249" t="s">
        <v>4</v>
      </c>
      <c r="H464" s="250">
        <v>2.61</v>
      </c>
      <c r="I464" s="251">
        <v>46094</v>
      </c>
      <c r="J464" s="252" t="s">
        <v>310</v>
      </c>
      <c r="K464" s="252"/>
      <c r="L464" s="253">
        <v>0.05</v>
      </c>
      <c r="M464" s="254">
        <f ca="1">IF(ISERROR(OFFSET(Tabella!$A$1,MATCH(J464,Tabella!$A:$A,0)-1,MATCH(L464,Tabella!$A$1:$AC$1,0)-1)=TRUE),0,+OFFSET(Tabella!$A$1,MATCH(J464,Tabella!$A:$A,0)-1,MATCH(L464,Tabella!$A$1:$AC$1,0)-1))</f>
        <v>0</v>
      </c>
      <c r="N464" s="255">
        <f ca="1">IF(ISERROR(OFFSET(Ottone!$A$1,MATCH(J464,Ottone!$A:$A,0)-1,MATCH(L464,Ottone!$A$1:$Z$1,0)-1)=TRUE),0,OFFSET(Ottone!$A$1,MATCH(J464,Ottone!$A:$A,0)-1,MATCH(L464,Ottone!$A$1:$Z$1,0)-1))*IF(G464="Ottone",1,0)</f>
        <v>0</v>
      </c>
      <c r="O464" s="255">
        <f ca="1">IF(ISERROR(OFFSET(Rame!$A$1,MATCH(J464,Rame!$A:$A,0)-1,MATCH(L464,Rame!$A$1:$AA$1,0)-1)=TRUE),0,OFFSET(Rame!$A$1,MATCH(J464,Rame!$A:$A,0)-1,MATCH(L464,Rame!$A$1:$AA$1,0)-1))*IF(G464="Rame",1,0)</f>
        <v>0</v>
      </c>
      <c r="P464" s="255">
        <v>0</v>
      </c>
      <c r="Q464" s="255">
        <v>1.37</v>
      </c>
      <c r="R464" s="255">
        <f ca="1">+IF(ISERROR(OFFSET(Tabella!$G$1,MATCH(J464,Tabella!$G:$G,0)-1,MATCH(K464,Tabella!$G$1:$FG$1,0)-1)=TRUE),0,OFFSET(Tabella!$G$1,MATCH(J464,Tabella!$G:$G,0)-1,MATCH(K464,Tabella!$G$1:$AB$1,0)-1))</f>
        <v>0</v>
      </c>
      <c r="S464" s="255">
        <f ca="1">IF(ISERROR(OFFSET(Ottone!$F$1,MATCH(J464,Ottone!$A:$A,0)-1,MATCH(K464,Ottone!$F$1:$FF$1,0)-1)=TRUE),0,OFFSET(Ottone!$F$1,MATCH(J464,Ottone!$A:$A,0)-1,MATCH(K464,Ottone!$F$1:$FF$1,0)-1))*IF(G464="Ottone",1,0)</f>
        <v>0</v>
      </c>
      <c r="T464" s="255">
        <f ca="1">IF(ISERROR(OFFSET(Rame!$F$1,MATCH(J464,Rame!$F:$F,0)-1,MATCH(K464,Rame!$F$1:$FF$1,0)-1)=TRUE),0,OFFSET(Rame!$F$1,MATCH(J464,Rame!$F:$F,0)-1,MATCH(K464,Rame!$F$1:$FF$1,0)-1))*IF(G464="Rame",1,0)</f>
        <v>0</v>
      </c>
      <c r="U464" s="255">
        <f ca="1">IF(ISERROR(OFFSET(Bronzo!$A$1,MATCH(J464,Bronzo!$A:$A,0)-1,MATCH(K464,Bronzo!$A$1:$AA$1,0)-1)=TRUE),0,OFFSET(Bronzo!$A$1,MATCH(J464,Bronzo!$A:$A,0)-1,MATCH(K464,Bronzo!$A$1:$AA$1,0)-1))</f>
        <v>0</v>
      </c>
      <c r="V464" s="255">
        <f t="shared" ca="1" si="152"/>
        <v>0</v>
      </c>
      <c r="W464" s="254"/>
      <c r="X464" s="255">
        <v>0</v>
      </c>
      <c r="Y464" s="256">
        <f t="shared" ca="1" si="153"/>
        <v>1.37</v>
      </c>
      <c r="Z464" s="257">
        <f t="shared" si="154"/>
        <v>650</v>
      </c>
      <c r="AA464" s="253">
        <v>3.98</v>
      </c>
      <c r="AB464" s="253">
        <f t="shared" ca="1" si="155"/>
        <v>0</v>
      </c>
      <c r="AC464" s="258">
        <v>46136</v>
      </c>
      <c r="AH464" s="232">
        <f t="shared" ca="1" si="149"/>
        <v>46120</v>
      </c>
      <c r="AI464" s="232" t="b">
        <f t="shared" si="144"/>
        <v>0</v>
      </c>
      <c r="AJ464" s="259">
        <f t="shared" ca="1" si="150"/>
        <v>16</v>
      </c>
      <c r="AM464" s="223">
        <f t="shared" si="145"/>
        <v>17</v>
      </c>
      <c r="AN464" s="223">
        <f t="shared" si="146"/>
        <v>2026</v>
      </c>
      <c r="AU464" s="223">
        <f t="shared" si="147"/>
        <v>4</v>
      </c>
      <c r="AV464" s="223">
        <f t="shared" si="148"/>
        <v>2026</v>
      </c>
    </row>
    <row r="465" spans="4:48" ht="26.25" x14ac:dyDescent="0.4">
      <c r="D465" s="246" t="s">
        <v>651</v>
      </c>
      <c r="E465" s="252" t="s">
        <v>212</v>
      </c>
      <c r="F465" s="276">
        <v>9600</v>
      </c>
      <c r="G465" s="249" t="s">
        <v>4</v>
      </c>
      <c r="H465" s="250">
        <v>2.61</v>
      </c>
      <c r="I465" s="251">
        <v>46094</v>
      </c>
      <c r="J465" s="252" t="s">
        <v>23</v>
      </c>
      <c r="K465" s="252"/>
      <c r="L465" s="253">
        <v>0.05</v>
      </c>
      <c r="M465" s="254">
        <f ca="1">IF(ISERROR(OFFSET(Tabella!$A$1,MATCH(J465,Tabella!$A:$A,0)-1,MATCH(L465,Tabella!$A$1:$AC$1,0)-1)=TRUE),0,+OFFSET(Tabella!$A$1,MATCH(J465,Tabella!$A:$A,0)-1,MATCH(L465,Tabella!$A$1:$AC$1,0)-1))</f>
        <v>0</v>
      </c>
      <c r="N465" s="255">
        <f ca="1">IF(ISERROR(OFFSET(Ottone!$A$1,MATCH(J465,Ottone!$A:$A,0)-1,MATCH(L465,Ottone!$A$1:$Z$1,0)-1)=TRUE),0,OFFSET(Ottone!$A$1,MATCH(J465,Ottone!$A:$A,0)-1,MATCH(L465,Ottone!$A$1:$Z$1,0)-1))*IF(G465="Ottone",1,0)</f>
        <v>0</v>
      </c>
      <c r="O465" s="255">
        <f ca="1">IF(ISERROR(OFFSET(Rame!$A$1,MATCH(J465,Rame!$A:$A,0)-1,MATCH(L465,Rame!$A$1:$AA$1,0)-1)=TRUE),0,OFFSET(Rame!$A$1,MATCH(J465,Rame!$A:$A,0)-1,MATCH(L465,Rame!$A$1:$AA$1,0)-1))*IF(G465="Rame",1,0)</f>
        <v>0</v>
      </c>
      <c r="P465" s="255">
        <v>0</v>
      </c>
      <c r="Q465" s="255">
        <v>1.37</v>
      </c>
      <c r="R465" s="255">
        <f ca="1">+IF(ISERROR(OFFSET(Tabella!$G$1,MATCH(J465,Tabella!$G:$G,0)-1,MATCH(K465,Tabella!$G$1:$FG$1,0)-1)=TRUE),0,OFFSET(Tabella!$G$1,MATCH(J465,Tabella!$G:$G,0)-1,MATCH(K465,Tabella!$G$1:$AB$1,0)-1))</f>
        <v>0</v>
      </c>
      <c r="S465" s="255">
        <f ca="1">IF(ISERROR(OFFSET(Ottone!$F$1,MATCH(J465,Ottone!$A:$A,0)-1,MATCH(K465,Ottone!$F$1:$FF$1,0)-1)=TRUE),0,OFFSET(Ottone!$F$1,MATCH(J465,Ottone!$A:$A,0)-1,MATCH(K465,Ottone!$F$1:$FF$1,0)-1))*IF(G465="Ottone",1,0)</f>
        <v>0</v>
      </c>
      <c r="T465" s="255">
        <f ca="1">IF(ISERROR(OFFSET(Rame!$F$1,MATCH(J465,Rame!$F:$F,0)-1,MATCH(K465,Rame!$F$1:$FF$1,0)-1)=TRUE),0,OFFSET(Rame!$F$1,MATCH(J465,Rame!$F:$F,0)-1,MATCH(K465,Rame!$F$1:$FF$1,0)-1))*IF(G465="Rame",1,0)</f>
        <v>0</v>
      </c>
      <c r="U465" s="255">
        <f ca="1">IF(ISERROR(OFFSET(Bronzo!$A$1,MATCH(J465,Bronzo!$A:$A,0)-1,MATCH(K465,Bronzo!$A$1:$AA$1,0)-1)=TRUE),0,OFFSET(Bronzo!$A$1,MATCH(J465,Bronzo!$A:$A,0)-1,MATCH(K465,Bronzo!$A$1:$AA$1,0)-1))</f>
        <v>0</v>
      </c>
      <c r="V465" s="255">
        <f t="shared" ca="1" si="152"/>
        <v>0</v>
      </c>
      <c r="W465" s="254"/>
      <c r="X465" s="255">
        <v>0</v>
      </c>
      <c r="Y465" s="256">
        <f t="shared" ca="1" si="153"/>
        <v>1.37</v>
      </c>
      <c r="Z465" s="257">
        <f t="shared" si="154"/>
        <v>480</v>
      </c>
      <c r="AA465" s="253">
        <v>3.98</v>
      </c>
      <c r="AB465" s="253">
        <f t="shared" ca="1" si="155"/>
        <v>0</v>
      </c>
      <c r="AC465" s="258">
        <v>46135</v>
      </c>
      <c r="AH465" s="232">
        <f t="shared" ref="AH465:AH527" ca="1" si="156">TODAY()</f>
        <v>46120</v>
      </c>
      <c r="AI465" s="232" t="b">
        <f t="shared" ref="AI465:AI528" si="157">ISBLANK(AC465)</f>
        <v>0</v>
      </c>
      <c r="AJ465" s="259">
        <f t="shared" ca="1" si="150"/>
        <v>15</v>
      </c>
      <c r="AM465" s="223">
        <f t="shared" ref="AM465:AM528" si="158">WEEKNUM(AC465)</f>
        <v>17</v>
      </c>
      <c r="AN465" s="223">
        <f t="shared" ref="AN465:AN528" si="159">YEAR(AC465)</f>
        <v>2026</v>
      </c>
      <c r="AU465" s="223">
        <f t="shared" ref="AU465:AU528" si="160">IF(AC465="",0,MONTH(AC465))</f>
        <v>4</v>
      </c>
      <c r="AV465" s="223">
        <f t="shared" ref="AV465:AV528" si="161">IF(AC465="",0,YEAR(AC465))</f>
        <v>2026</v>
      </c>
    </row>
    <row r="466" spans="4:48" ht="26.25" x14ac:dyDescent="0.4">
      <c r="D466" s="246" t="s">
        <v>651</v>
      </c>
      <c r="E466" s="252" t="s">
        <v>212</v>
      </c>
      <c r="F466" s="276">
        <v>5200</v>
      </c>
      <c r="G466" s="249" t="s">
        <v>4</v>
      </c>
      <c r="H466" s="250">
        <v>2.61</v>
      </c>
      <c r="I466" s="251">
        <v>46094</v>
      </c>
      <c r="J466" s="252" t="s">
        <v>310</v>
      </c>
      <c r="K466" s="252"/>
      <c r="L466" s="253">
        <v>0.05</v>
      </c>
      <c r="M466" s="254">
        <f ca="1">IF(ISERROR(OFFSET(Tabella!$A$1,MATCH(J466,Tabella!$A:$A,0)-1,MATCH(L466,Tabella!$A$1:$AC$1,0)-1)=TRUE),0,+OFFSET(Tabella!$A$1,MATCH(J466,Tabella!$A:$A,0)-1,MATCH(L466,Tabella!$A$1:$AC$1,0)-1))</f>
        <v>0</v>
      </c>
      <c r="N466" s="255">
        <f ca="1">IF(ISERROR(OFFSET(Ottone!$A$1,MATCH(J466,Ottone!$A:$A,0)-1,MATCH(L466,Ottone!$A$1:$Z$1,0)-1)=TRUE),0,OFFSET(Ottone!$A$1,MATCH(J466,Ottone!$A:$A,0)-1,MATCH(L466,Ottone!$A$1:$Z$1,0)-1))*IF(G466="Ottone",1,0)</f>
        <v>0</v>
      </c>
      <c r="O466" s="255">
        <f ca="1">IF(ISERROR(OFFSET(Rame!$A$1,MATCH(J466,Rame!$A:$A,0)-1,MATCH(L466,Rame!$A$1:$AA$1,0)-1)=TRUE),0,OFFSET(Rame!$A$1,MATCH(J466,Rame!$A:$A,0)-1,MATCH(L466,Rame!$A$1:$AA$1,0)-1))*IF(G466="Rame",1,0)</f>
        <v>0</v>
      </c>
      <c r="P466" s="255">
        <v>0</v>
      </c>
      <c r="Q466" s="255">
        <v>1.37</v>
      </c>
      <c r="R466" s="255">
        <f ca="1">+IF(ISERROR(OFFSET(Tabella!$G$1,MATCH(J466,Tabella!$G:$G,0)-1,MATCH(K466,Tabella!$G$1:$FG$1,0)-1)=TRUE),0,OFFSET(Tabella!$G$1,MATCH(J466,Tabella!$G:$G,0)-1,MATCH(K466,Tabella!$G$1:$AB$1,0)-1))</f>
        <v>0</v>
      </c>
      <c r="S466" s="255">
        <f ca="1">IF(ISERROR(OFFSET(Ottone!$F$1,MATCH(J466,Ottone!$A:$A,0)-1,MATCH(K466,Ottone!$F$1:$FF$1,0)-1)=TRUE),0,OFFSET(Ottone!$F$1,MATCH(J466,Ottone!$A:$A,0)-1,MATCH(K466,Ottone!$F$1:$FF$1,0)-1))*IF(G466="Ottone",1,0)</f>
        <v>0</v>
      </c>
      <c r="T466" s="255">
        <f ca="1">IF(ISERROR(OFFSET(Rame!$F$1,MATCH(J466,Rame!$F:$F,0)-1,MATCH(K466,Rame!$F$1:$FF$1,0)-1)=TRUE),0,OFFSET(Rame!$F$1,MATCH(J466,Rame!$F:$F,0)-1,MATCH(K466,Rame!$F$1:$FF$1,0)-1))*IF(G466="Rame",1,0)</f>
        <v>0</v>
      </c>
      <c r="U466" s="255">
        <f ca="1">IF(ISERROR(OFFSET(Bronzo!$A$1,MATCH(J466,Bronzo!$A:$A,0)-1,MATCH(K466,Bronzo!$A$1:$AA$1,0)-1)=TRUE),0,OFFSET(Bronzo!$A$1,MATCH(J466,Bronzo!$A:$A,0)-1,MATCH(K466,Bronzo!$A$1:$AA$1,0)-1))</f>
        <v>0</v>
      </c>
      <c r="V466" s="255">
        <f t="shared" ca="1" si="152"/>
        <v>0</v>
      </c>
      <c r="W466" s="254"/>
      <c r="X466" s="255">
        <v>0</v>
      </c>
      <c r="Y466" s="256">
        <f t="shared" ca="1" si="153"/>
        <v>1.37</v>
      </c>
      <c r="Z466" s="257">
        <f t="shared" si="154"/>
        <v>260</v>
      </c>
      <c r="AA466" s="253">
        <v>3.98</v>
      </c>
      <c r="AB466" s="253">
        <f t="shared" ca="1" si="155"/>
        <v>0</v>
      </c>
      <c r="AC466" s="258">
        <v>46135</v>
      </c>
      <c r="AH466" s="232">
        <f t="shared" ca="1" si="156"/>
        <v>46120</v>
      </c>
      <c r="AI466" s="232" t="b">
        <f t="shared" si="157"/>
        <v>0</v>
      </c>
      <c r="AJ466" s="259">
        <f t="shared" ca="1" si="150"/>
        <v>15</v>
      </c>
      <c r="AM466" s="223">
        <f t="shared" si="158"/>
        <v>17</v>
      </c>
      <c r="AN466" s="223">
        <f t="shared" si="159"/>
        <v>2026</v>
      </c>
      <c r="AU466" s="223">
        <f t="shared" si="160"/>
        <v>4</v>
      </c>
      <c r="AV466" s="223">
        <f t="shared" si="161"/>
        <v>2026</v>
      </c>
    </row>
    <row r="467" spans="4:48" ht="26.25" x14ac:dyDescent="0.4">
      <c r="D467" s="246" t="s">
        <v>697</v>
      </c>
      <c r="E467" s="252" t="s">
        <v>208</v>
      </c>
      <c r="F467" s="276">
        <v>900</v>
      </c>
      <c r="G467" s="249" t="s">
        <v>4</v>
      </c>
      <c r="H467" s="250">
        <v>2.62</v>
      </c>
      <c r="I467" s="251">
        <v>46094</v>
      </c>
      <c r="J467" s="252" t="s">
        <v>243</v>
      </c>
      <c r="K467" s="252"/>
      <c r="L467" s="253">
        <v>0.05</v>
      </c>
      <c r="M467" s="254">
        <f ca="1">IF(ISERROR(OFFSET(Tabella!$A$1,MATCH(J467,Tabella!$A:$A,0)-1,MATCH(L467,Tabella!$A$1:$AC$1,0)-1)=TRUE),0,+OFFSET(Tabella!$A$1,MATCH(J467,Tabella!$A:$A,0)-1,MATCH(L467,Tabella!$A$1:$AC$1,0)-1))</f>
        <v>0</v>
      </c>
      <c r="N467" s="255">
        <f ca="1">IF(ISERROR(OFFSET(Ottone!$A$1,MATCH(J467,Ottone!$A:$A,0)-1,MATCH(L467,Ottone!$A$1:$Z$1,0)-1)=TRUE),0,OFFSET(Ottone!$A$1,MATCH(J467,Ottone!$A:$A,0)-1,MATCH(L467,Ottone!$A$1:$Z$1,0)-1))*IF(G467="Ottone",1,0)</f>
        <v>0</v>
      </c>
      <c r="O467" s="255">
        <f ca="1">IF(ISERROR(OFFSET(Rame!$A$1,MATCH(J467,Rame!$A:$A,0)-1,MATCH(L467,Rame!$A$1:$AA$1,0)-1)=TRUE),0,OFFSET(Rame!$A$1,MATCH(J467,Rame!$A:$A,0)-1,MATCH(L467,Rame!$A$1:$AA$1,0)-1))*IF(G467="Rame",1,0)</f>
        <v>0</v>
      </c>
      <c r="P467" s="255">
        <v>0</v>
      </c>
      <c r="Q467" s="255">
        <v>1.6</v>
      </c>
      <c r="R467" s="255">
        <f ca="1">+IF(ISERROR(OFFSET(Tabella!$G$1,MATCH(J467,Tabella!$G:$G,0)-1,MATCH(K467,Tabella!$G$1:$FG$1,0)-1)=TRUE),0,OFFSET(Tabella!$G$1,MATCH(J467,Tabella!$G:$G,0)-1,MATCH(K467,Tabella!$G$1:$AB$1,0)-1))</f>
        <v>0</v>
      </c>
      <c r="S467" s="255">
        <f ca="1">IF(ISERROR(OFFSET(Ottone!$F$1,MATCH(J467,Ottone!$A:$A,0)-1,MATCH(K467,Ottone!$F$1:$FF$1,0)-1)=TRUE),0,OFFSET(Ottone!$F$1,MATCH(J467,Ottone!$A:$A,0)-1,MATCH(K467,Ottone!$F$1:$FF$1,0)-1))*IF(G467="Ottone",1,0)</f>
        <v>0</v>
      </c>
      <c r="T467" s="255">
        <f ca="1">IF(ISERROR(OFFSET(Rame!$F$1,MATCH(J467,Rame!$F:$F,0)-1,MATCH(K467,Rame!$F$1:$FF$1,0)-1)=TRUE),0,OFFSET(Rame!$F$1,MATCH(J467,Rame!$F:$F,0)-1,MATCH(K467,Rame!$F$1:$FF$1,0)-1))*IF(G467="Rame",1,0)</f>
        <v>0</v>
      </c>
      <c r="U467" s="255">
        <f ca="1">IF(ISERROR(OFFSET(Bronzo!$A$1,MATCH(J467,Bronzo!$A:$A,0)-1,MATCH(K467,Bronzo!$A$1:$AA$1,0)-1)=TRUE),0,OFFSET(Bronzo!$A$1,MATCH(J467,Bronzo!$A:$A,0)-1,MATCH(K467,Bronzo!$A$1:$AA$1,0)-1))</f>
        <v>0</v>
      </c>
      <c r="V467" s="255">
        <f t="shared" ca="1" si="152"/>
        <v>0</v>
      </c>
      <c r="W467" s="254"/>
      <c r="X467" s="255">
        <v>0</v>
      </c>
      <c r="Y467" s="256">
        <f t="shared" ca="1" si="153"/>
        <v>1.6</v>
      </c>
      <c r="Z467" s="257">
        <f t="shared" si="154"/>
        <v>45</v>
      </c>
      <c r="AA467" s="253">
        <v>4.2</v>
      </c>
      <c r="AB467" s="253">
        <f t="shared" ca="1" si="155"/>
        <v>-2.0000000000000018E-2</v>
      </c>
      <c r="AC467" s="258">
        <v>46129</v>
      </c>
      <c r="AH467" s="232">
        <f t="shared" ca="1" si="156"/>
        <v>46120</v>
      </c>
      <c r="AI467" s="232" t="b">
        <f t="shared" si="157"/>
        <v>0</v>
      </c>
      <c r="AJ467" s="259">
        <f t="shared" ca="1" si="150"/>
        <v>9</v>
      </c>
      <c r="AM467" s="223">
        <f t="shared" si="158"/>
        <v>16</v>
      </c>
      <c r="AN467" s="223">
        <f t="shared" si="159"/>
        <v>2026</v>
      </c>
      <c r="AU467" s="223">
        <f t="shared" si="160"/>
        <v>4</v>
      </c>
      <c r="AV467" s="223">
        <f t="shared" si="161"/>
        <v>2026</v>
      </c>
    </row>
    <row r="468" spans="4:48" ht="26.25" x14ac:dyDescent="0.4">
      <c r="D468" s="246" t="s">
        <v>697</v>
      </c>
      <c r="E468" s="252" t="s">
        <v>208</v>
      </c>
      <c r="F468" s="276">
        <v>500</v>
      </c>
      <c r="G468" s="249" t="s">
        <v>4</v>
      </c>
      <c r="H468" s="250">
        <v>2.62</v>
      </c>
      <c r="I468" s="251">
        <v>46094</v>
      </c>
      <c r="J468" s="252" t="s">
        <v>310</v>
      </c>
      <c r="K468" s="252"/>
      <c r="L468" s="253">
        <v>0.05</v>
      </c>
      <c r="M468" s="254">
        <f ca="1">IF(ISERROR(OFFSET(Tabella!$A$1,MATCH(J468,Tabella!$A:$A,0)-1,MATCH(L468,Tabella!$A$1:$AC$1,0)-1)=TRUE),0,+OFFSET(Tabella!$A$1,MATCH(J468,Tabella!$A:$A,0)-1,MATCH(L468,Tabella!$A$1:$AC$1,0)-1))</f>
        <v>0</v>
      </c>
      <c r="N468" s="255">
        <f ca="1">IF(ISERROR(OFFSET(Ottone!$A$1,MATCH(J468,Ottone!$A:$A,0)-1,MATCH(L468,Ottone!$A$1:$Z$1,0)-1)=TRUE),0,OFFSET(Ottone!$A$1,MATCH(J468,Ottone!$A:$A,0)-1,MATCH(L468,Ottone!$A$1:$Z$1,0)-1))*IF(G468="Ottone",1,0)</f>
        <v>0</v>
      </c>
      <c r="O468" s="255">
        <f ca="1">IF(ISERROR(OFFSET(Rame!$A$1,MATCH(J468,Rame!$A:$A,0)-1,MATCH(L468,Rame!$A$1:$AA$1,0)-1)=TRUE),0,OFFSET(Rame!$A$1,MATCH(J468,Rame!$A:$A,0)-1,MATCH(L468,Rame!$A$1:$AA$1,0)-1))*IF(G468="Rame",1,0)</f>
        <v>0</v>
      </c>
      <c r="P468" s="255">
        <v>0</v>
      </c>
      <c r="Q468" s="255">
        <v>1.5</v>
      </c>
      <c r="R468" s="255">
        <f ca="1">+IF(ISERROR(OFFSET(Tabella!$G$1,MATCH(J468,Tabella!$G:$G,0)-1,MATCH(K468,Tabella!$G$1:$FG$1,0)-1)=TRUE),0,OFFSET(Tabella!$G$1,MATCH(J468,Tabella!$G:$G,0)-1,MATCH(K468,Tabella!$G$1:$AB$1,0)-1))</f>
        <v>0</v>
      </c>
      <c r="S468" s="255">
        <f ca="1">IF(ISERROR(OFFSET(Ottone!$F$1,MATCH(J468,Ottone!$A:$A,0)-1,MATCH(K468,Ottone!$F$1:$FF$1,0)-1)=TRUE),0,OFFSET(Ottone!$F$1,MATCH(J468,Ottone!$A:$A,0)-1,MATCH(K468,Ottone!$F$1:$FF$1,0)-1))*IF(G468="Ottone",1,0)</f>
        <v>0</v>
      </c>
      <c r="T468" s="255">
        <f ca="1">IF(ISERROR(OFFSET(Rame!$F$1,MATCH(J468,Rame!$F:$F,0)-1,MATCH(K468,Rame!$F$1:$FF$1,0)-1)=TRUE),0,OFFSET(Rame!$F$1,MATCH(J468,Rame!$F:$F,0)-1,MATCH(K468,Rame!$F$1:$FF$1,0)-1))*IF(G468="Rame",1,0)</f>
        <v>0</v>
      </c>
      <c r="U468" s="255">
        <f ca="1">IF(ISERROR(OFFSET(Bronzo!$A$1,MATCH(J468,Bronzo!$A:$A,0)-1,MATCH(K468,Bronzo!$A$1:$AA$1,0)-1)=TRUE),0,OFFSET(Bronzo!$A$1,MATCH(J468,Bronzo!$A:$A,0)-1,MATCH(K468,Bronzo!$A$1:$AA$1,0)-1))</f>
        <v>0</v>
      </c>
      <c r="V468" s="255">
        <f t="shared" ca="1" si="152"/>
        <v>0</v>
      </c>
      <c r="W468" s="254"/>
      <c r="X468" s="255">
        <v>0</v>
      </c>
      <c r="Y468" s="256">
        <f t="shared" ca="1" si="153"/>
        <v>1.5</v>
      </c>
      <c r="Z468" s="257">
        <f t="shared" si="154"/>
        <v>25</v>
      </c>
      <c r="AA468" s="253">
        <v>4.0999999999999996</v>
      </c>
      <c r="AB468" s="253">
        <f t="shared" ca="1" si="155"/>
        <v>-2.0000000000000462E-2</v>
      </c>
      <c r="AC468" s="258">
        <v>46129</v>
      </c>
      <c r="AH468" s="232">
        <f t="shared" ca="1" si="156"/>
        <v>46120</v>
      </c>
      <c r="AI468" s="232" t="b">
        <f t="shared" si="157"/>
        <v>0</v>
      </c>
      <c r="AJ468" s="259">
        <f t="shared" ca="1" si="150"/>
        <v>9</v>
      </c>
      <c r="AM468" s="223">
        <f t="shared" si="158"/>
        <v>16</v>
      </c>
      <c r="AN468" s="223">
        <f t="shared" si="159"/>
        <v>2026</v>
      </c>
      <c r="AU468" s="223">
        <f t="shared" si="160"/>
        <v>4</v>
      </c>
      <c r="AV468" s="223">
        <f t="shared" si="161"/>
        <v>2026</v>
      </c>
    </row>
    <row r="469" spans="4:48" ht="26.25" x14ac:dyDescent="0.4">
      <c r="D469" s="246" t="s">
        <v>697</v>
      </c>
      <c r="E469" s="252" t="s">
        <v>208</v>
      </c>
      <c r="F469" s="276">
        <v>500</v>
      </c>
      <c r="G469" s="249" t="s">
        <v>4</v>
      </c>
      <c r="H469" s="250">
        <v>2.62</v>
      </c>
      <c r="I469" s="251">
        <v>46094</v>
      </c>
      <c r="J469" s="252" t="s">
        <v>23</v>
      </c>
      <c r="K469" s="252"/>
      <c r="L469" s="253">
        <v>0.05</v>
      </c>
      <c r="M469" s="254">
        <f ca="1">IF(ISERROR(OFFSET(Tabella!$A$1,MATCH(J469,Tabella!$A:$A,0)-1,MATCH(L469,Tabella!$A$1:$AC$1,0)-1)=TRUE),0,+OFFSET(Tabella!$A$1,MATCH(J469,Tabella!$A:$A,0)-1,MATCH(L469,Tabella!$A$1:$AC$1,0)-1))</f>
        <v>0</v>
      </c>
      <c r="N469" s="255">
        <f ca="1">IF(ISERROR(OFFSET(Ottone!$A$1,MATCH(J469,Ottone!$A:$A,0)-1,MATCH(L469,Ottone!$A$1:$Z$1,0)-1)=TRUE),0,OFFSET(Ottone!$A$1,MATCH(J469,Ottone!$A:$A,0)-1,MATCH(L469,Ottone!$A$1:$Z$1,0)-1))*IF(G469="Ottone",1,0)</f>
        <v>0</v>
      </c>
      <c r="O469" s="255">
        <f ca="1">IF(ISERROR(OFFSET(Rame!$A$1,MATCH(J469,Rame!$A:$A,0)-1,MATCH(L469,Rame!$A$1:$AA$1,0)-1)=TRUE),0,OFFSET(Rame!$A$1,MATCH(J469,Rame!$A:$A,0)-1,MATCH(L469,Rame!$A$1:$AA$1,0)-1))*IF(G469="Rame",1,0)</f>
        <v>0</v>
      </c>
      <c r="P469" s="255">
        <v>0</v>
      </c>
      <c r="Q469" s="255">
        <v>1.5</v>
      </c>
      <c r="R469" s="255">
        <f ca="1">+IF(ISERROR(OFFSET(Tabella!$G$1,MATCH(J469,Tabella!$G:$G,0)-1,MATCH(K469,Tabella!$G$1:$FG$1,0)-1)=TRUE),0,OFFSET(Tabella!$G$1,MATCH(J469,Tabella!$G:$G,0)-1,MATCH(K469,Tabella!$G$1:$AB$1,0)-1))</f>
        <v>0</v>
      </c>
      <c r="S469" s="255">
        <f ca="1">IF(ISERROR(OFFSET(Ottone!$F$1,MATCH(J469,Ottone!$A:$A,0)-1,MATCH(K469,Ottone!$F$1:$FF$1,0)-1)=TRUE),0,OFFSET(Ottone!$F$1,MATCH(J469,Ottone!$A:$A,0)-1,MATCH(K469,Ottone!$F$1:$FF$1,0)-1))*IF(G469="Ottone",1,0)</f>
        <v>0</v>
      </c>
      <c r="T469" s="255">
        <f ca="1">IF(ISERROR(OFFSET(Rame!$F$1,MATCH(J469,Rame!$F:$F,0)-1,MATCH(K469,Rame!$F$1:$FF$1,0)-1)=TRUE),0,OFFSET(Rame!$F$1,MATCH(J469,Rame!$F:$F,0)-1,MATCH(K469,Rame!$F$1:$FF$1,0)-1))*IF(G469="Rame",1,0)</f>
        <v>0</v>
      </c>
      <c r="U469" s="255">
        <f ca="1">IF(ISERROR(OFFSET(Bronzo!$A$1,MATCH(J469,Bronzo!$A:$A,0)-1,MATCH(K469,Bronzo!$A$1:$AA$1,0)-1)=TRUE),0,OFFSET(Bronzo!$A$1,MATCH(J469,Bronzo!$A:$A,0)-1,MATCH(K469,Bronzo!$A$1:$AA$1,0)-1))</f>
        <v>0</v>
      </c>
      <c r="V469" s="255">
        <f t="shared" ca="1" si="152"/>
        <v>0</v>
      </c>
      <c r="W469" s="254"/>
      <c r="X469" s="255">
        <v>0</v>
      </c>
      <c r="Y469" s="256">
        <f t="shared" ca="1" si="153"/>
        <v>1.5</v>
      </c>
      <c r="Z469" s="257">
        <f t="shared" si="154"/>
        <v>25</v>
      </c>
      <c r="AA469" s="253">
        <v>4.0999999999999996</v>
      </c>
      <c r="AB469" s="253">
        <f t="shared" ca="1" si="155"/>
        <v>-2.0000000000000462E-2</v>
      </c>
      <c r="AC469" s="258">
        <v>46129</v>
      </c>
      <c r="AH469" s="232">
        <f t="shared" ca="1" si="156"/>
        <v>46120</v>
      </c>
      <c r="AI469" s="232" t="b">
        <f t="shared" si="157"/>
        <v>0</v>
      </c>
      <c r="AJ469" s="259">
        <f t="shared" ca="1" si="150"/>
        <v>9</v>
      </c>
      <c r="AM469" s="223">
        <f t="shared" si="158"/>
        <v>16</v>
      </c>
      <c r="AN469" s="223">
        <f t="shared" si="159"/>
        <v>2026</v>
      </c>
      <c r="AU469" s="223">
        <f t="shared" si="160"/>
        <v>4</v>
      </c>
      <c r="AV469" s="223">
        <f t="shared" si="161"/>
        <v>2026</v>
      </c>
    </row>
    <row r="470" spans="4:48" ht="26.25" x14ac:dyDescent="0.4">
      <c r="D470" s="246" t="s">
        <v>697</v>
      </c>
      <c r="E470" s="252" t="s">
        <v>208</v>
      </c>
      <c r="F470" s="276">
        <v>500</v>
      </c>
      <c r="G470" s="249" t="s">
        <v>4</v>
      </c>
      <c r="H470" s="250">
        <v>2.62</v>
      </c>
      <c r="I470" s="251">
        <v>46094</v>
      </c>
      <c r="J470" s="252" t="s">
        <v>17</v>
      </c>
      <c r="K470" s="252"/>
      <c r="L470" s="253">
        <v>0.05</v>
      </c>
      <c r="M470" s="254">
        <f ca="1">IF(ISERROR(OFFSET(Tabella!$A$1,MATCH(J470,Tabella!$A:$A,0)-1,MATCH(L470,Tabella!$A$1:$AC$1,0)-1)=TRUE),0,+OFFSET(Tabella!$A$1,MATCH(J470,Tabella!$A:$A,0)-1,MATCH(L470,Tabella!$A$1:$AC$1,0)-1))</f>
        <v>0</v>
      </c>
      <c r="N470" s="255">
        <f ca="1">IF(ISERROR(OFFSET(Ottone!$A$1,MATCH(J470,Ottone!$A:$A,0)-1,MATCH(L470,Ottone!$A$1:$Z$1,0)-1)=TRUE),0,OFFSET(Ottone!$A$1,MATCH(J470,Ottone!$A:$A,0)-1,MATCH(L470,Ottone!$A$1:$Z$1,0)-1))*IF(G470="Ottone",1,0)</f>
        <v>0</v>
      </c>
      <c r="O470" s="255">
        <f ca="1">IF(ISERROR(OFFSET(Rame!$A$1,MATCH(J470,Rame!$A:$A,0)-1,MATCH(L470,Rame!$A$1:$AA$1,0)-1)=TRUE),0,OFFSET(Rame!$A$1,MATCH(J470,Rame!$A:$A,0)-1,MATCH(L470,Rame!$A$1:$AA$1,0)-1))*IF(G470="Rame",1,0)</f>
        <v>0</v>
      </c>
      <c r="P470" s="255">
        <v>0</v>
      </c>
      <c r="Q470" s="255">
        <v>1.6</v>
      </c>
      <c r="R470" s="255">
        <f ca="1">+IF(ISERROR(OFFSET(Tabella!$G$1,MATCH(J470,Tabella!$G:$G,0)-1,MATCH(K470,Tabella!$G$1:$FG$1,0)-1)=TRUE),0,OFFSET(Tabella!$G$1,MATCH(J470,Tabella!$G:$G,0)-1,MATCH(K470,Tabella!$G$1:$AB$1,0)-1))</f>
        <v>0</v>
      </c>
      <c r="S470" s="255">
        <f ca="1">IF(ISERROR(OFFSET(Ottone!$F$1,MATCH(J470,Ottone!$A:$A,0)-1,MATCH(K470,Ottone!$F$1:$FF$1,0)-1)=TRUE),0,OFFSET(Ottone!$F$1,MATCH(J470,Ottone!$A:$A,0)-1,MATCH(K470,Ottone!$F$1:$FF$1,0)-1))*IF(G470="Ottone",1,0)</f>
        <v>0</v>
      </c>
      <c r="T470" s="255">
        <f ca="1">IF(ISERROR(OFFSET(Rame!$F$1,MATCH(J470,Rame!$F:$F,0)-1,MATCH(K470,Rame!$F$1:$FF$1,0)-1)=TRUE),0,OFFSET(Rame!$F$1,MATCH(J470,Rame!$F:$F,0)-1,MATCH(K470,Rame!$F$1:$FF$1,0)-1))*IF(G470="Rame",1,0)</f>
        <v>0</v>
      </c>
      <c r="U470" s="255">
        <f ca="1">IF(ISERROR(OFFSET(Bronzo!$A$1,MATCH(J470,Bronzo!$A:$A,0)-1,MATCH(K470,Bronzo!$A$1:$AA$1,0)-1)=TRUE),0,OFFSET(Bronzo!$A$1,MATCH(J470,Bronzo!$A:$A,0)-1,MATCH(K470,Bronzo!$A$1:$AA$1,0)-1))</f>
        <v>0</v>
      </c>
      <c r="V470" s="255">
        <f t="shared" ca="1" si="152"/>
        <v>0</v>
      </c>
      <c r="W470" s="254"/>
      <c r="X470" s="255">
        <v>0</v>
      </c>
      <c r="Y470" s="256">
        <f t="shared" ca="1" si="153"/>
        <v>1.6</v>
      </c>
      <c r="Z470" s="257">
        <f t="shared" si="154"/>
        <v>25</v>
      </c>
      <c r="AA470" s="253">
        <v>4.2</v>
      </c>
      <c r="AB470" s="253">
        <f t="shared" ca="1" si="155"/>
        <v>-2.0000000000000018E-2</v>
      </c>
      <c r="AC470" s="258">
        <v>46129</v>
      </c>
      <c r="AH470" s="232">
        <f t="shared" ca="1" si="156"/>
        <v>46120</v>
      </c>
      <c r="AI470" s="232" t="b">
        <f t="shared" si="157"/>
        <v>0</v>
      </c>
      <c r="AJ470" s="259">
        <f t="shared" ref="AJ470:AJ533" ca="1" si="162">IF(AI470=FALSE,_xlfn.DAYS(AC470,AH470),"")</f>
        <v>9</v>
      </c>
      <c r="AM470" s="223">
        <f t="shared" si="158"/>
        <v>16</v>
      </c>
      <c r="AN470" s="223">
        <f t="shared" si="159"/>
        <v>2026</v>
      </c>
      <c r="AU470" s="223">
        <f t="shared" si="160"/>
        <v>4</v>
      </c>
      <c r="AV470" s="223">
        <f t="shared" si="161"/>
        <v>2026</v>
      </c>
    </row>
    <row r="471" spans="4:48" ht="26.25" x14ac:dyDescent="0.4">
      <c r="D471" s="246" t="s">
        <v>697</v>
      </c>
      <c r="E471" s="252" t="s">
        <v>208</v>
      </c>
      <c r="F471" s="276">
        <v>500</v>
      </c>
      <c r="G471" s="249" t="s">
        <v>4</v>
      </c>
      <c r="H471" s="250">
        <v>2.62</v>
      </c>
      <c r="I471" s="251">
        <v>46094</v>
      </c>
      <c r="J471" s="252" t="s">
        <v>25</v>
      </c>
      <c r="K471" s="252"/>
      <c r="L471" s="253">
        <v>0.05</v>
      </c>
      <c r="M471" s="254">
        <f ca="1">IF(ISERROR(OFFSET(Tabella!$A$1,MATCH(J471,Tabella!$A:$A,0)-1,MATCH(L471,Tabella!$A$1:$AC$1,0)-1)=TRUE),0,+OFFSET(Tabella!$A$1,MATCH(J471,Tabella!$A:$A,0)-1,MATCH(L471,Tabella!$A$1:$AC$1,0)-1))</f>
        <v>0</v>
      </c>
      <c r="N471" s="255">
        <f ca="1">IF(ISERROR(OFFSET(Ottone!$A$1,MATCH(J471,Ottone!$A:$A,0)-1,MATCH(L471,Ottone!$A$1:$Z$1,0)-1)=TRUE),0,OFFSET(Ottone!$A$1,MATCH(J471,Ottone!$A:$A,0)-1,MATCH(L471,Ottone!$A$1:$Z$1,0)-1))*IF(G471="Ottone",1,0)</f>
        <v>0</v>
      </c>
      <c r="O471" s="255">
        <f ca="1">IF(ISERROR(OFFSET(Rame!$A$1,MATCH(J471,Rame!$A:$A,0)-1,MATCH(L471,Rame!$A$1:$AA$1,0)-1)=TRUE),0,OFFSET(Rame!$A$1,MATCH(J471,Rame!$A:$A,0)-1,MATCH(L471,Rame!$A$1:$AA$1,0)-1))*IF(G471="Rame",1,0)</f>
        <v>0</v>
      </c>
      <c r="P471" s="255">
        <v>0</v>
      </c>
      <c r="Q471" s="255">
        <v>1.5</v>
      </c>
      <c r="R471" s="255">
        <f ca="1">+IF(ISERROR(OFFSET(Tabella!$G$1,MATCH(J471,Tabella!$G:$G,0)-1,MATCH(K471,Tabella!$G$1:$FG$1,0)-1)=TRUE),0,OFFSET(Tabella!$G$1,MATCH(J471,Tabella!$G:$G,0)-1,MATCH(K471,Tabella!$G$1:$AB$1,0)-1))</f>
        <v>0</v>
      </c>
      <c r="S471" s="255">
        <f ca="1">IF(ISERROR(OFFSET(Ottone!$F$1,MATCH(J471,Ottone!$A:$A,0)-1,MATCH(K471,Ottone!$F$1:$FF$1,0)-1)=TRUE),0,OFFSET(Ottone!$F$1,MATCH(J471,Ottone!$A:$A,0)-1,MATCH(K471,Ottone!$F$1:$FF$1,0)-1))*IF(G471="Ottone",1,0)</f>
        <v>0</v>
      </c>
      <c r="T471" s="255">
        <f ca="1">IF(ISERROR(OFFSET(Rame!$F$1,MATCH(J471,Rame!$F:$F,0)-1,MATCH(K471,Rame!$F$1:$FF$1,0)-1)=TRUE),0,OFFSET(Rame!$F$1,MATCH(J471,Rame!$F:$F,0)-1,MATCH(K471,Rame!$F$1:$FF$1,0)-1))*IF(G471="Rame",1,0)</f>
        <v>0</v>
      </c>
      <c r="U471" s="255">
        <f ca="1">IF(ISERROR(OFFSET(Bronzo!$A$1,MATCH(J471,Bronzo!$A:$A,0)-1,MATCH(K471,Bronzo!$A$1:$AA$1,0)-1)=TRUE),0,OFFSET(Bronzo!$A$1,MATCH(J471,Bronzo!$A:$A,0)-1,MATCH(K471,Bronzo!$A$1:$AA$1,0)-1))</f>
        <v>0</v>
      </c>
      <c r="V471" s="255">
        <f t="shared" ca="1" si="152"/>
        <v>0</v>
      </c>
      <c r="W471" s="254"/>
      <c r="X471" s="255">
        <v>0</v>
      </c>
      <c r="Y471" s="256">
        <f t="shared" ca="1" si="153"/>
        <v>1.5</v>
      </c>
      <c r="Z471" s="257">
        <f t="shared" si="154"/>
        <v>25</v>
      </c>
      <c r="AA471" s="253">
        <v>4.0999999999999996</v>
      </c>
      <c r="AB471" s="253">
        <f t="shared" ca="1" si="155"/>
        <v>-2.0000000000000462E-2</v>
      </c>
      <c r="AC471" s="258">
        <v>46129</v>
      </c>
      <c r="AH471" s="232">
        <f t="shared" ca="1" si="156"/>
        <v>46120</v>
      </c>
      <c r="AI471" s="232" t="b">
        <f t="shared" si="157"/>
        <v>0</v>
      </c>
      <c r="AJ471" s="259">
        <f t="shared" ca="1" si="162"/>
        <v>9</v>
      </c>
      <c r="AM471" s="223">
        <f t="shared" si="158"/>
        <v>16</v>
      </c>
      <c r="AN471" s="223">
        <f t="shared" si="159"/>
        <v>2026</v>
      </c>
      <c r="AU471" s="223">
        <f t="shared" si="160"/>
        <v>4</v>
      </c>
      <c r="AV471" s="223">
        <f t="shared" si="161"/>
        <v>2026</v>
      </c>
    </row>
    <row r="472" spans="4:48" ht="26.25" x14ac:dyDescent="0.4">
      <c r="D472" s="246" t="s">
        <v>711</v>
      </c>
      <c r="E472" s="252" t="s">
        <v>92</v>
      </c>
      <c r="F472" s="276">
        <v>1500</v>
      </c>
      <c r="G472" s="249" t="s">
        <v>4</v>
      </c>
      <c r="H472" s="250">
        <v>3.04</v>
      </c>
      <c r="I472" s="251">
        <v>46097</v>
      </c>
      <c r="J472" s="252" t="s">
        <v>28</v>
      </c>
      <c r="K472" s="252"/>
      <c r="L472" s="253">
        <v>7.0000000000000007E-2</v>
      </c>
      <c r="M472" s="254">
        <f ca="1">IF(ISERROR(OFFSET(Tabella!$A$1,MATCH(J472,Tabella!$A:$A,0)-1,MATCH(L472,Tabella!$A$1:$AC$1,0)-1)=TRUE),0,+OFFSET(Tabella!$A$1,MATCH(J472,Tabella!$A:$A,0)-1,MATCH(L472,Tabella!$A$1:$AC$1,0)-1))</f>
        <v>1.25</v>
      </c>
      <c r="N472" s="255">
        <f ca="1">IF(ISERROR(OFFSET(Ottone!$A$1,MATCH(J472,Ottone!$A:$A,0)-1,MATCH(L472,Ottone!$A$1:$Z$1,0)-1)=TRUE),0,OFFSET(Ottone!$A$1,MATCH(J472,Ottone!$A:$A,0)-1,MATCH(L472,Ottone!$A$1:$Z$1,0)-1))*IF(G472="Ottone",1,0)</f>
        <v>0</v>
      </c>
      <c r="O472" s="255">
        <f ca="1">IF(ISERROR(OFFSET(Rame!$A$1,MATCH(J472,Rame!$A:$A,0)-1,MATCH(L472,Rame!$A$1:$AA$1,0)-1)=TRUE),0,OFFSET(Rame!$A$1,MATCH(J472,Rame!$A:$A,0)-1,MATCH(L472,Rame!$A$1:$AA$1,0)-1))*IF(G472="Rame",1,0)</f>
        <v>0</v>
      </c>
      <c r="P472" s="255">
        <v>0</v>
      </c>
      <c r="Q472" s="255">
        <f t="shared" ca="1" si="151"/>
        <v>1.25</v>
      </c>
      <c r="R472" s="255">
        <f ca="1">+IF(ISERROR(OFFSET(Tabella!$G$1,MATCH(J472,Tabella!$G:$G,0)-1,MATCH(K472,Tabella!$G$1:$FG$1,0)-1)=TRUE),0,OFFSET(Tabella!$G$1,MATCH(J472,Tabella!$G:$G,0)-1,MATCH(K472,Tabella!$G$1:$AB$1,0)-1))</f>
        <v>0</v>
      </c>
      <c r="S472" s="255">
        <f ca="1">IF(ISERROR(OFFSET(Ottone!$F$1,MATCH(J472,Ottone!$A:$A,0)-1,MATCH(K472,Ottone!$F$1:$FF$1,0)-1)=TRUE),0,OFFSET(Ottone!$F$1,MATCH(J472,Ottone!$A:$A,0)-1,MATCH(K472,Ottone!$F$1:$FF$1,0)-1))*IF(G472="Ottone",1,0)</f>
        <v>0</v>
      </c>
      <c r="T472" s="255">
        <f ca="1">IF(ISERROR(OFFSET(Rame!$F$1,MATCH(J472,Rame!$F:$F,0)-1,MATCH(K472,Rame!$F$1:$FF$1,0)-1)=TRUE),0,OFFSET(Rame!$F$1,MATCH(J472,Rame!$F:$F,0)-1,MATCH(K472,Rame!$F$1:$FF$1,0)-1))*IF(G472="Rame",1,0)</f>
        <v>0</v>
      </c>
      <c r="U472" s="255">
        <f ca="1">IF(ISERROR(OFFSET(Bronzo!$A$1,MATCH(J472,Bronzo!$A:$A,0)-1,MATCH(K472,Bronzo!$A$1:$AA$1,0)-1)=TRUE),0,OFFSET(Bronzo!$A$1,MATCH(J472,Bronzo!$A:$A,0)-1,MATCH(K472,Bronzo!$A$1:$AA$1,0)-1))</f>
        <v>0</v>
      </c>
      <c r="V472" s="255">
        <f t="shared" ca="1" si="152"/>
        <v>0</v>
      </c>
      <c r="W472" s="254"/>
      <c r="X472" s="255">
        <v>0</v>
      </c>
      <c r="Y472" s="256">
        <f t="shared" ca="1" si="153"/>
        <v>1.25</v>
      </c>
      <c r="Z472" s="257">
        <f t="shared" si="154"/>
        <v>105.00000000000001</v>
      </c>
      <c r="AA472" s="253">
        <v>4.6399999999999997</v>
      </c>
      <c r="AB472" s="253">
        <f t="shared" ca="1" si="155"/>
        <v>0.34999999999999964</v>
      </c>
      <c r="AC472" s="258">
        <v>46125</v>
      </c>
      <c r="AH472" s="232">
        <f t="shared" ca="1" si="156"/>
        <v>46120</v>
      </c>
      <c r="AI472" s="232" t="b">
        <f t="shared" si="157"/>
        <v>0</v>
      </c>
      <c r="AJ472" s="259">
        <f t="shared" ca="1" si="162"/>
        <v>5</v>
      </c>
      <c r="AM472" s="223">
        <f t="shared" si="158"/>
        <v>16</v>
      </c>
      <c r="AN472" s="223">
        <f t="shared" si="159"/>
        <v>2026</v>
      </c>
      <c r="AU472" s="223">
        <f t="shared" si="160"/>
        <v>4</v>
      </c>
      <c r="AV472" s="223">
        <f t="shared" si="161"/>
        <v>2026</v>
      </c>
    </row>
    <row r="473" spans="4:48" ht="26.25" x14ac:dyDescent="0.4">
      <c r="D473" s="246" t="s">
        <v>711</v>
      </c>
      <c r="E473" s="252" t="s">
        <v>92</v>
      </c>
      <c r="F473" s="276">
        <v>1500</v>
      </c>
      <c r="G473" s="249" t="s">
        <v>4</v>
      </c>
      <c r="H473" s="250">
        <v>3.04</v>
      </c>
      <c r="I473" s="251">
        <v>46097</v>
      </c>
      <c r="J473" s="252" t="s">
        <v>28</v>
      </c>
      <c r="K473" s="252"/>
      <c r="L473" s="253">
        <v>7.0000000000000007E-2</v>
      </c>
      <c r="M473" s="254">
        <f ca="1">IF(ISERROR(OFFSET(Tabella!$A$1,MATCH(J473,Tabella!$A:$A,0)-1,MATCH(L473,Tabella!$A$1:$AC$1,0)-1)=TRUE),0,+OFFSET(Tabella!$A$1,MATCH(J473,Tabella!$A:$A,0)-1,MATCH(L473,Tabella!$A$1:$AC$1,0)-1))</f>
        <v>1.25</v>
      </c>
      <c r="N473" s="255">
        <f ca="1">IF(ISERROR(OFFSET(Ottone!$A$1,MATCH(J473,Ottone!$A:$A,0)-1,MATCH(L473,Ottone!$A$1:$Z$1,0)-1)=TRUE),0,OFFSET(Ottone!$A$1,MATCH(J473,Ottone!$A:$A,0)-1,MATCH(L473,Ottone!$A$1:$Z$1,0)-1))*IF(G473="Ottone",1,0)</f>
        <v>0</v>
      </c>
      <c r="O473" s="255">
        <f ca="1">IF(ISERROR(OFFSET(Rame!$A$1,MATCH(J473,Rame!$A:$A,0)-1,MATCH(L473,Rame!$A$1:$AA$1,0)-1)=TRUE),0,OFFSET(Rame!$A$1,MATCH(J473,Rame!$A:$A,0)-1,MATCH(L473,Rame!$A$1:$AA$1,0)-1))*IF(G473="Rame",1,0)</f>
        <v>0</v>
      </c>
      <c r="P473" s="255">
        <v>0</v>
      </c>
      <c r="Q473" s="255">
        <f t="shared" ca="1" si="151"/>
        <v>1.25</v>
      </c>
      <c r="R473" s="255">
        <f ca="1">+IF(ISERROR(OFFSET(Tabella!$G$1,MATCH(J473,Tabella!$G:$G,0)-1,MATCH(K473,Tabella!$G$1:$FG$1,0)-1)=TRUE),0,OFFSET(Tabella!$G$1,MATCH(J473,Tabella!$G:$G,0)-1,MATCH(K473,Tabella!$G$1:$AB$1,0)-1))</f>
        <v>0</v>
      </c>
      <c r="S473" s="255">
        <f ca="1">IF(ISERROR(OFFSET(Ottone!$F$1,MATCH(J473,Ottone!$A:$A,0)-1,MATCH(K473,Ottone!$F$1:$FF$1,0)-1)=TRUE),0,OFFSET(Ottone!$F$1,MATCH(J473,Ottone!$A:$A,0)-1,MATCH(K473,Ottone!$F$1:$FF$1,0)-1))*IF(G473="Ottone",1,0)</f>
        <v>0</v>
      </c>
      <c r="T473" s="255">
        <f ca="1">IF(ISERROR(OFFSET(Rame!$F$1,MATCH(J473,Rame!$F:$F,0)-1,MATCH(K473,Rame!$F$1:$FF$1,0)-1)=TRUE),0,OFFSET(Rame!$F$1,MATCH(J473,Rame!$F:$F,0)-1,MATCH(K473,Rame!$F$1:$FF$1,0)-1))*IF(G473="Rame",1,0)</f>
        <v>0</v>
      </c>
      <c r="U473" s="255">
        <f ca="1">IF(ISERROR(OFFSET(Bronzo!$A$1,MATCH(J473,Bronzo!$A:$A,0)-1,MATCH(K473,Bronzo!$A$1:$AA$1,0)-1)=TRUE),0,OFFSET(Bronzo!$A$1,MATCH(J473,Bronzo!$A:$A,0)-1,MATCH(K473,Bronzo!$A$1:$AA$1,0)-1))</f>
        <v>0</v>
      </c>
      <c r="V473" s="255">
        <f t="shared" ca="1" si="152"/>
        <v>0</v>
      </c>
      <c r="W473" s="254"/>
      <c r="X473" s="255">
        <v>0</v>
      </c>
      <c r="Y473" s="256">
        <f t="shared" ca="1" si="153"/>
        <v>1.25</v>
      </c>
      <c r="Z473" s="257">
        <f t="shared" si="154"/>
        <v>105.00000000000001</v>
      </c>
      <c r="AA473" s="253">
        <v>4.6399999999999997</v>
      </c>
      <c r="AB473" s="253">
        <f t="shared" ca="1" si="155"/>
        <v>0.34999999999999964</v>
      </c>
      <c r="AC473" s="258">
        <v>46147</v>
      </c>
      <c r="AH473" s="232">
        <f t="shared" ca="1" si="156"/>
        <v>46120</v>
      </c>
      <c r="AI473" s="232" t="b">
        <f t="shared" si="157"/>
        <v>0</v>
      </c>
      <c r="AJ473" s="259">
        <f t="shared" ca="1" si="162"/>
        <v>27</v>
      </c>
      <c r="AM473" s="223">
        <f t="shared" si="158"/>
        <v>19</v>
      </c>
      <c r="AN473" s="223">
        <f t="shared" si="159"/>
        <v>2026</v>
      </c>
      <c r="AU473" s="223">
        <f t="shared" si="160"/>
        <v>5</v>
      </c>
      <c r="AV473" s="223">
        <f t="shared" si="161"/>
        <v>2026</v>
      </c>
    </row>
    <row r="474" spans="4:48" ht="26.25" x14ac:dyDescent="0.4">
      <c r="D474" s="246" t="s">
        <v>769</v>
      </c>
      <c r="E474" s="292" t="s">
        <v>263</v>
      </c>
      <c r="F474" s="293">
        <v>430</v>
      </c>
      <c r="G474" s="249" t="s">
        <v>4</v>
      </c>
      <c r="H474" s="250">
        <v>2.61</v>
      </c>
      <c r="I474" s="251">
        <v>46091</v>
      </c>
      <c r="J474" s="252" t="s">
        <v>9</v>
      </c>
      <c r="K474" s="252"/>
      <c r="L474" s="253">
        <v>7.0000000000000007E-2</v>
      </c>
      <c r="M474" s="254">
        <f ca="1">IF(ISERROR(OFFSET(Tabella!$A$1,MATCH(J474,Tabella!$A:$A,0)-1,MATCH(L474,Tabella!$A$1:$AC$1,0)-1)=TRUE),0,+OFFSET(Tabella!$A$1,MATCH(J474,Tabella!$A:$A,0)-1,MATCH(L474,Tabella!$A$1:$AC$1,0)-1))</f>
        <v>1.6</v>
      </c>
      <c r="N474" s="255">
        <f ca="1">IF(ISERROR(OFFSET(Ottone!$A$1,MATCH(J474,Ottone!$A:$A,0)-1,MATCH(L474,Ottone!$A$1:$Z$1,0)-1)=TRUE),0,OFFSET(Ottone!$A$1,MATCH(J474,Ottone!$A:$A,0)-1,MATCH(L474,Ottone!$A$1:$Z$1,0)-1))*IF(G474="Ottone",1,0)</f>
        <v>0</v>
      </c>
      <c r="O474" s="255">
        <f ca="1">IF(ISERROR(OFFSET(Rame!$A$1,MATCH(J474,Rame!$A:$A,0)-1,MATCH(L474,Rame!$A$1:$AA$1,0)-1)=TRUE),0,OFFSET(Rame!$A$1,MATCH(J474,Rame!$A:$A,0)-1,MATCH(L474,Rame!$A$1:$AA$1,0)-1))*IF(G474="Rame",1,0)</f>
        <v>0</v>
      </c>
      <c r="P474" s="255">
        <v>0</v>
      </c>
      <c r="Q474" s="255">
        <f t="shared" ca="1" si="151"/>
        <v>1.6</v>
      </c>
      <c r="R474" s="255">
        <f ca="1">+IF(ISERROR(OFFSET(Tabella!$G$1,MATCH(J474,Tabella!$G:$G,0)-1,MATCH(K474,Tabella!$G$1:$FG$1,0)-1)=TRUE),0,OFFSET(Tabella!$G$1,MATCH(J474,Tabella!$G:$G,0)-1,MATCH(K474,Tabella!$G$1:$AB$1,0)-1))</f>
        <v>0</v>
      </c>
      <c r="S474" s="255">
        <f ca="1">IF(ISERROR(OFFSET(Ottone!$F$1,MATCH(J474,Ottone!$A:$A,0)-1,MATCH(K474,Ottone!$F$1:$FF$1,0)-1)=TRUE),0,OFFSET(Ottone!$F$1,MATCH(J474,Ottone!$A:$A,0)-1,MATCH(K474,Ottone!$F$1:$FF$1,0)-1))*IF(G474="Ottone",1,0)</f>
        <v>0</v>
      </c>
      <c r="T474" s="255">
        <f ca="1">IF(ISERROR(OFFSET(Rame!$F$1,MATCH(J474,Rame!$F:$F,0)-1,MATCH(K474,Rame!$F$1:$FF$1,0)-1)=TRUE),0,OFFSET(Rame!$F$1,MATCH(J474,Rame!$F:$F,0)-1,MATCH(K474,Rame!$F$1:$FF$1,0)-1))*IF(G474="Rame",1,0)</f>
        <v>0</v>
      </c>
      <c r="U474" s="255">
        <f ca="1">IF(ISERROR(OFFSET(Bronzo!$A$1,MATCH(J474,Bronzo!$A:$A,0)-1,MATCH(K474,Bronzo!$A$1:$AA$1,0)-1)=TRUE),0,OFFSET(Bronzo!$A$1,MATCH(J474,Bronzo!$A:$A,0)-1,MATCH(K474,Bronzo!$A$1:$AA$1,0)-1))</f>
        <v>0</v>
      </c>
      <c r="V474" s="255">
        <f t="shared" ca="1" si="152"/>
        <v>0</v>
      </c>
      <c r="W474" s="254"/>
      <c r="X474" s="255">
        <v>0</v>
      </c>
      <c r="Y474" s="256">
        <f t="shared" ca="1" si="153"/>
        <v>1.6</v>
      </c>
      <c r="Z474" s="291">
        <f t="shared" si="154"/>
        <v>30.1</v>
      </c>
      <c r="AA474" s="253">
        <v>4.63</v>
      </c>
      <c r="AB474" s="253">
        <f t="shared" ca="1" si="155"/>
        <v>0.41999999999999993</v>
      </c>
      <c r="AC474" s="258"/>
      <c r="AH474" s="232">
        <f t="shared" ca="1" si="156"/>
        <v>46120</v>
      </c>
      <c r="AI474" s="232" t="b">
        <f t="shared" si="157"/>
        <v>1</v>
      </c>
      <c r="AJ474" s="259" t="str">
        <f t="shared" si="162"/>
        <v/>
      </c>
      <c r="AM474" s="223">
        <f t="shared" si="158"/>
        <v>0</v>
      </c>
      <c r="AN474" s="223">
        <f t="shared" si="159"/>
        <v>1900</v>
      </c>
      <c r="AU474" s="223">
        <f t="shared" si="160"/>
        <v>0</v>
      </c>
      <c r="AV474" s="223">
        <f t="shared" si="161"/>
        <v>0</v>
      </c>
    </row>
    <row r="475" spans="4:48" ht="26.25" x14ac:dyDescent="0.4">
      <c r="D475" s="246" t="s">
        <v>708</v>
      </c>
      <c r="E475" s="252" t="s">
        <v>263</v>
      </c>
      <c r="F475" s="276">
        <v>2300</v>
      </c>
      <c r="G475" s="249" t="s">
        <v>4</v>
      </c>
      <c r="H475" s="250">
        <v>2.61</v>
      </c>
      <c r="I475" s="251">
        <v>46094</v>
      </c>
      <c r="J475" s="252" t="s">
        <v>30</v>
      </c>
      <c r="K475" s="252"/>
      <c r="L475" s="253">
        <v>7.0000000000000007E-2</v>
      </c>
      <c r="M475" s="254">
        <f ca="1">IF(ISERROR(OFFSET(Tabella!$A$1,MATCH(J475,Tabella!$A:$A,0)-1,MATCH(L475,Tabella!$A$1:$AC$1,0)-1)=TRUE),0,+OFFSET(Tabella!$A$1,MATCH(J475,Tabella!$A:$A,0)-1,MATCH(L475,Tabella!$A$1:$AC$1,0)-1))</f>
        <v>1.3</v>
      </c>
      <c r="N475" s="255">
        <f ca="1">IF(ISERROR(OFFSET(Ottone!$A$1,MATCH(J475,Ottone!$A:$A,0)-1,MATCH(L475,Ottone!$A$1:$Z$1,0)-1)=TRUE),0,OFFSET(Ottone!$A$1,MATCH(J475,Ottone!$A:$A,0)-1,MATCH(L475,Ottone!$A$1:$Z$1,0)-1))*IF(G475="Ottone",1,0)</f>
        <v>0</v>
      </c>
      <c r="O475" s="255">
        <f ca="1">IF(ISERROR(OFFSET(Rame!$A$1,MATCH(J475,Rame!$A:$A,0)-1,MATCH(L475,Rame!$A$1:$AA$1,0)-1)=TRUE),0,OFFSET(Rame!$A$1,MATCH(J475,Rame!$A:$A,0)-1,MATCH(L475,Rame!$A$1:$AA$1,0)-1))*IF(G475="Rame",1,0)</f>
        <v>0</v>
      </c>
      <c r="P475" s="255">
        <v>0</v>
      </c>
      <c r="Q475" s="255">
        <v>1.57</v>
      </c>
      <c r="R475" s="255">
        <f ca="1">+IF(ISERROR(OFFSET(Tabella!$G$1,MATCH(J475,Tabella!$G:$G,0)-1,MATCH(K475,Tabella!$G$1:$FG$1,0)-1)=TRUE),0,OFFSET(Tabella!$G$1,MATCH(J475,Tabella!$G:$G,0)-1,MATCH(K475,Tabella!$G$1:$AB$1,0)-1))</f>
        <v>0</v>
      </c>
      <c r="S475" s="255">
        <f ca="1">IF(ISERROR(OFFSET(Ottone!$F$1,MATCH(J475,Ottone!$A:$A,0)-1,MATCH(K475,Ottone!$F$1:$FF$1,0)-1)=TRUE),0,OFFSET(Ottone!$F$1,MATCH(J475,Ottone!$A:$A,0)-1,MATCH(K475,Ottone!$F$1:$FF$1,0)-1))*IF(G475="Ottone",1,0)</f>
        <v>0</v>
      </c>
      <c r="T475" s="255">
        <f ca="1">IF(ISERROR(OFFSET(Rame!$F$1,MATCH(J475,Rame!$F:$F,0)-1,MATCH(K475,Rame!$F$1:$FF$1,0)-1)=TRUE),0,OFFSET(Rame!$F$1,MATCH(J475,Rame!$F:$F,0)-1,MATCH(K475,Rame!$F$1:$FF$1,0)-1))*IF(G475="Rame",1,0)</f>
        <v>0</v>
      </c>
      <c r="U475" s="255">
        <f ca="1">IF(ISERROR(OFFSET(Bronzo!$A$1,MATCH(J475,Bronzo!$A:$A,0)-1,MATCH(K475,Bronzo!$A$1:$AA$1,0)-1)=TRUE),0,OFFSET(Bronzo!$A$1,MATCH(J475,Bronzo!$A:$A,0)-1,MATCH(K475,Bronzo!$A$1:$AA$1,0)-1))</f>
        <v>0</v>
      </c>
      <c r="V475" s="255">
        <f t="shared" ca="1" si="152"/>
        <v>0</v>
      </c>
      <c r="W475" s="254"/>
      <c r="X475" s="255">
        <v>0</v>
      </c>
      <c r="Y475" s="256">
        <f t="shared" ca="1" si="153"/>
        <v>1.57</v>
      </c>
      <c r="Z475" s="257">
        <f t="shared" si="154"/>
        <v>161.00000000000003</v>
      </c>
      <c r="AA475" s="253">
        <v>4.18</v>
      </c>
      <c r="AB475" s="253">
        <f t="shared" ca="1" si="155"/>
        <v>0</v>
      </c>
      <c r="AC475" s="258">
        <v>46150</v>
      </c>
      <c r="AH475" s="232">
        <f t="shared" ca="1" si="156"/>
        <v>46120</v>
      </c>
      <c r="AI475" s="232" t="b">
        <f t="shared" si="157"/>
        <v>0</v>
      </c>
      <c r="AJ475" s="259">
        <f t="shared" ca="1" si="162"/>
        <v>30</v>
      </c>
      <c r="AM475" s="223">
        <f t="shared" si="158"/>
        <v>19</v>
      </c>
      <c r="AN475" s="223">
        <f t="shared" si="159"/>
        <v>2026</v>
      </c>
      <c r="AU475" s="223">
        <f t="shared" si="160"/>
        <v>5</v>
      </c>
      <c r="AV475" s="223">
        <f t="shared" si="161"/>
        <v>2026</v>
      </c>
    </row>
    <row r="476" spans="4:48" ht="26.25" x14ac:dyDescent="0.4">
      <c r="D476" s="246" t="s">
        <v>709</v>
      </c>
      <c r="E476" s="252" t="s">
        <v>263</v>
      </c>
      <c r="F476" s="276">
        <v>1000</v>
      </c>
      <c r="G476" s="249" t="s">
        <v>4</v>
      </c>
      <c r="H476" s="250">
        <v>2.61</v>
      </c>
      <c r="I476" s="251">
        <v>46094</v>
      </c>
      <c r="J476" s="252" t="s">
        <v>13</v>
      </c>
      <c r="K476" s="252"/>
      <c r="L476" s="253">
        <v>7.0000000000000007E-2</v>
      </c>
      <c r="M476" s="254">
        <f ca="1">IF(ISERROR(OFFSET(Tabella!$A$1,MATCH(J476,Tabella!$A:$A,0)-1,MATCH(L476,Tabella!$A$1:$AC$1,0)-1)=TRUE),0,+OFFSET(Tabella!$A$1,MATCH(J476,Tabella!$A:$A,0)-1,MATCH(L476,Tabella!$A$1:$AC$1,0)-1))</f>
        <v>1.4</v>
      </c>
      <c r="N476" s="255">
        <f ca="1">IF(ISERROR(OFFSET(Ottone!$A$1,MATCH(J476,Ottone!$A:$A,0)-1,MATCH(L476,Ottone!$A$1:$Z$1,0)-1)=TRUE),0,OFFSET(Ottone!$A$1,MATCH(J476,Ottone!$A:$A,0)-1,MATCH(L476,Ottone!$A$1:$Z$1,0)-1))*IF(G476="Ottone",1,0)</f>
        <v>0</v>
      </c>
      <c r="O476" s="255">
        <f ca="1">IF(ISERROR(OFFSET(Rame!$A$1,MATCH(J476,Rame!$A:$A,0)-1,MATCH(L476,Rame!$A$1:$AA$1,0)-1)=TRUE),0,OFFSET(Rame!$A$1,MATCH(J476,Rame!$A:$A,0)-1,MATCH(L476,Rame!$A$1:$AA$1,0)-1))*IF(G476="Rame",1,0)</f>
        <v>0</v>
      </c>
      <c r="P476" s="255">
        <v>0</v>
      </c>
      <c r="Q476" s="255">
        <v>1.65</v>
      </c>
      <c r="R476" s="255">
        <f ca="1">+IF(ISERROR(OFFSET(Tabella!$G$1,MATCH(J476,Tabella!$G:$G,0)-1,MATCH(K476,Tabella!$G$1:$FG$1,0)-1)=TRUE),0,OFFSET(Tabella!$G$1,MATCH(J476,Tabella!$G:$G,0)-1,MATCH(K476,Tabella!$G$1:$AB$1,0)-1))</f>
        <v>0</v>
      </c>
      <c r="S476" s="255">
        <f ca="1">IF(ISERROR(OFFSET(Ottone!$F$1,MATCH(J476,Ottone!$A:$A,0)-1,MATCH(K476,Ottone!$F$1:$FF$1,0)-1)=TRUE),0,OFFSET(Ottone!$F$1,MATCH(J476,Ottone!$A:$A,0)-1,MATCH(K476,Ottone!$F$1:$FF$1,0)-1))*IF(G476="Ottone",1,0)</f>
        <v>0</v>
      </c>
      <c r="T476" s="255">
        <f ca="1">IF(ISERROR(OFFSET(Rame!$F$1,MATCH(J476,Rame!$F:$F,0)-1,MATCH(K476,Rame!$F$1:$FF$1,0)-1)=TRUE),0,OFFSET(Rame!$F$1,MATCH(J476,Rame!$F:$F,0)-1,MATCH(K476,Rame!$F$1:$FF$1,0)-1))*IF(G476="Rame",1,0)</f>
        <v>0</v>
      </c>
      <c r="U476" s="255">
        <f ca="1">IF(ISERROR(OFFSET(Bronzo!$A$1,MATCH(J476,Bronzo!$A:$A,0)-1,MATCH(K476,Bronzo!$A$1:$AA$1,0)-1)=TRUE),0,OFFSET(Bronzo!$A$1,MATCH(J476,Bronzo!$A:$A,0)-1,MATCH(K476,Bronzo!$A$1:$AA$1,0)-1))</f>
        <v>0</v>
      </c>
      <c r="V476" s="255">
        <f t="shared" ca="1" si="152"/>
        <v>0</v>
      </c>
      <c r="W476" s="254"/>
      <c r="X476" s="255">
        <v>0</v>
      </c>
      <c r="Y476" s="256">
        <f t="shared" ca="1" si="153"/>
        <v>1.65</v>
      </c>
      <c r="Z476" s="257">
        <f t="shared" si="154"/>
        <v>70</v>
      </c>
      <c r="AA476" s="253">
        <v>4.33</v>
      </c>
      <c r="AB476" s="253">
        <f t="shared" ca="1" si="155"/>
        <v>7.0000000000000284E-2</v>
      </c>
      <c r="AC476" s="258">
        <v>46120</v>
      </c>
      <c r="AH476" s="232">
        <f t="shared" ca="1" si="156"/>
        <v>46120</v>
      </c>
      <c r="AI476" s="232" t="b">
        <f t="shared" si="157"/>
        <v>0</v>
      </c>
      <c r="AJ476" s="259">
        <f t="shared" ca="1" si="162"/>
        <v>0</v>
      </c>
      <c r="AM476" s="223">
        <f t="shared" si="158"/>
        <v>15</v>
      </c>
      <c r="AN476" s="223">
        <f t="shared" si="159"/>
        <v>2026</v>
      </c>
      <c r="AU476" s="223">
        <f t="shared" si="160"/>
        <v>4</v>
      </c>
      <c r="AV476" s="223">
        <f t="shared" si="161"/>
        <v>2026</v>
      </c>
    </row>
    <row r="477" spans="4:48" ht="26.25" x14ac:dyDescent="0.4">
      <c r="D477" s="246" t="s">
        <v>709</v>
      </c>
      <c r="E477" s="252" t="s">
        <v>263</v>
      </c>
      <c r="F477" s="276">
        <v>650</v>
      </c>
      <c r="G477" s="249" t="s">
        <v>4</v>
      </c>
      <c r="H477" s="250">
        <v>2.61</v>
      </c>
      <c r="I477" s="251">
        <v>46094</v>
      </c>
      <c r="J477" s="252" t="s">
        <v>25</v>
      </c>
      <c r="K477" s="252"/>
      <c r="L477" s="253">
        <v>7.0000000000000007E-2</v>
      </c>
      <c r="M477" s="254">
        <f ca="1">IF(ISERROR(OFFSET(Tabella!$A$1,MATCH(J477,Tabella!$A:$A,0)-1,MATCH(L477,Tabella!$A$1:$AC$1,0)-1)=TRUE),0,+OFFSET(Tabella!$A$1,MATCH(J477,Tabella!$A:$A,0)-1,MATCH(L477,Tabella!$A$1:$AC$1,0)-1))</f>
        <v>1.25</v>
      </c>
      <c r="N477" s="255">
        <f ca="1">IF(ISERROR(OFFSET(Ottone!$A$1,MATCH(J477,Ottone!$A:$A,0)-1,MATCH(L477,Ottone!$A$1:$Z$1,0)-1)=TRUE),0,OFFSET(Ottone!$A$1,MATCH(J477,Ottone!$A:$A,0)-1,MATCH(L477,Ottone!$A$1:$Z$1,0)-1))*IF(G477="Ottone",1,0)</f>
        <v>0</v>
      </c>
      <c r="O477" s="255">
        <f ca="1">IF(ISERROR(OFFSET(Rame!$A$1,MATCH(J477,Rame!$A:$A,0)-1,MATCH(L477,Rame!$A$1:$AA$1,0)-1)=TRUE),0,OFFSET(Rame!$A$1,MATCH(J477,Rame!$A:$A,0)-1,MATCH(L477,Rame!$A$1:$AA$1,0)-1))*IF(G477="Rame",1,0)</f>
        <v>0</v>
      </c>
      <c r="P477" s="255">
        <v>0</v>
      </c>
      <c r="Q477" s="255">
        <v>1.5</v>
      </c>
      <c r="R477" s="255">
        <f ca="1">+IF(ISERROR(OFFSET(Tabella!$G$1,MATCH(J477,Tabella!$G:$G,0)-1,MATCH(K477,Tabella!$G$1:$FG$1,0)-1)=TRUE),0,OFFSET(Tabella!$G$1,MATCH(J477,Tabella!$G:$G,0)-1,MATCH(K477,Tabella!$G$1:$AB$1,0)-1))</f>
        <v>0</v>
      </c>
      <c r="S477" s="255">
        <f ca="1">IF(ISERROR(OFFSET(Ottone!$F$1,MATCH(J477,Ottone!$A:$A,0)-1,MATCH(K477,Ottone!$F$1:$FF$1,0)-1)=TRUE),0,OFFSET(Ottone!$F$1,MATCH(J477,Ottone!$A:$A,0)-1,MATCH(K477,Ottone!$F$1:$FF$1,0)-1))*IF(G477="Ottone",1,0)</f>
        <v>0</v>
      </c>
      <c r="T477" s="255">
        <f ca="1">IF(ISERROR(OFFSET(Rame!$F$1,MATCH(J477,Rame!$F:$F,0)-1,MATCH(K477,Rame!$F$1:$FF$1,0)-1)=TRUE),0,OFFSET(Rame!$F$1,MATCH(J477,Rame!$F:$F,0)-1,MATCH(K477,Rame!$F$1:$FF$1,0)-1))*IF(G477="Rame",1,0)</f>
        <v>0</v>
      </c>
      <c r="U477" s="255">
        <f ca="1">IF(ISERROR(OFFSET(Bronzo!$A$1,MATCH(J477,Bronzo!$A:$A,0)-1,MATCH(K477,Bronzo!$A$1:$AA$1,0)-1)=TRUE),0,OFFSET(Bronzo!$A$1,MATCH(J477,Bronzo!$A:$A,0)-1,MATCH(K477,Bronzo!$A$1:$AA$1,0)-1))</f>
        <v>0</v>
      </c>
      <c r="V477" s="255">
        <f t="shared" ca="1" si="152"/>
        <v>0</v>
      </c>
      <c r="W477" s="254"/>
      <c r="X477" s="255">
        <v>0</v>
      </c>
      <c r="Y477" s="256">
        <f t="shared" ca="1" si="153"/>
        <v>1.5</v>
      </c>
      <c r="Z477" s="257">
        <f t="shared" si="154"/>
        <v>45.500000000000007</v>
      </c>
      <c r="AA477" s="253">
        <v>4.18</v>
      </c>
      <c r="AB477" s="253">
        <f t="shared" ca="1" si="155"/>
        <v>6.999999999999984E-2</v>
      </c>
      <c r="AC477" s="258">
        <v>46120</v>
      </c>
      <c r="AH477" s="232">
        <f t="shared" ca="1" si="156"/>
        <v>46120</v>
      </c>
      <c r="AI477" s="232" t="b">
        <f t="shared" si="157"/>
        <v>0</v>
      </c>
      <c r="AJ477" s="259">
        <f t="shared" ca="1" si="162"/>
        <v>0</v>
      </c>
      <c r="AM477" s="223">
        <f t="shared" si="158"/>
        <v>15</v>
      </c>
      <c r="AN477" s="223">
        <f t="shared" si="159"/>
        <v>2026</v>
      </c>
      <c r="AU477" s="223">
        <f t="shared" si="160"/>
        <v>4</v>
      </c>
      <c r="AV477" s="223">
        <f t="shared" si="161"/>
        <v>2026</v>
      </c>
    </row>
    <row r="478" spans="4:48" ht="26.25" x14ac:dyDescent="0.4">
      <c r="D478" s="246" t="s">
        <v>770</v>
      </c>
      <c r="E478" s="292" t="s">
        <v>263</v>
      </c>
      <c r="F478" s="293">
        <v>1125</v>
      </c>
      <c r="G478" s="249" t="s">
        <v>4</v>
      </c>
      <c r="H478" s="250">
        <v>2.61</v>
      </c>
      <c r="I478" s="251">
        <v>46094</v>
      </c>
      <c r="J478" s="252" t="s">
        <v>15</v>
      </c>
      <c r="K478" s="252"/>
      <c r="L478" s="253">
        <v>7.0000000000000007E-2</v>
      </c>
      <c r="M478" s="254">
        <f ca="1">IF(ISERROR(OFFSET(Tabella!$A$1,MATCH(J478,Tabella!$A:$A,0)-1,MATCH(L478,Tabella!$A$1:$AC$1,0)-1)=TRUE),0,+OFFSET(Tabella!$A$1,MATCH(J478,Tabella!$A:$A,0)-1,MATCH(L478,Tabella!$A$1:$AC$1,0)-1))</f>
        <v>1.4</v>
      </c>
      <c r="N478" s="255">
        <f ca="1">IF(ISERROR(OFFSET(Ottone!$A$1,MATCH(J478,Ottone!$A:$A,0)-1,MATCH(L478,Ottone!$A$1:$Z$1,0)-1)=TRUE),0,OFFSET(Ottone!$A$1,MATCH(J478,Ottone!$A:$A,0)-1,MATCH(L478,Ottone!$A$1:$Z$1,0)-1))*IF(G478="Ottone",1,0)</f>
        <v>0</v>
      </c>
      <c r="O478" s="255">
        <f ca="1">IF(ISERROR(OFFSET(Rame!$A$1,MATCH(J478,Rame!$A:$A,0)-1,MATCH(L478,Rame!$A$1:$AA$1,0)-1)=TRUE),0,OFFSET(Rame!$A$1,MATCH(J478,Rame!$A:$A,0)-1,MATCH(L478,Rame!$A$1:$AA$1,0)-1))*IF(G478="Rame",1,0)</f>
        <v>0</v>
      </c>
      <c r="P478" s="255">
        <v>0</v>
      </c>
      <c r="Q478" s="255">
        <v>1.65</v>
      </c>
      <c r="R478" s="255">
        <f ca="1">+IF(ISERROR(OFFSET(Tabella!$G$1,MATCH(J478,Tabella!$G:$G,0)-1,MATCH(K478,Tabella!$G$1:$FG$1,0)-1)=TRUE),0,OFFSET(Tabella!$G$1,MATCH(J478,Tabella!$G:$G,0)-1,MATCH(K478,Tabella!$G$1:$AB$1,0)-1))</f>
        <v>0</v>
      </c>
      <c r="S478" s="255">
        <f ca="1">IF(ISERROR(OFFSET(Ottone!$F$1,MATCH(J478,Ottone!$A:$A,0)-1,MATCH(K478,Ottone!$F$1:$FF$1,0)-1)=TRUE),0,OFFSET(Ottone!$F$1,MATCH(J478,Ottone!$A:$A,0)-1,MATCH(K478,Ottone!$F$1:$FF$1,0)-1))*IF(G478="Ottone",1,0)</f>
        <v>0</v>
      </c>
      <c r="T478" s="255">
        <f ca="1">IF(ISERROR(OFFSET(Rame!$F$1,MATCH(J478,Rame!$F:$F,0)-1,MATCH(K478,Rame!$F$1:$FF$1,0)-1)=TRUE),0,OFFSET(Rame!$F$1,MATCH(J478,Rame!$F:$F,0)-1,MATCH(K478,Rame!$F$1:$FF$1,0)-1))*IF(G478="Rame",1,0)</f>
        <v>0</v>
      </c>
      <c r="U478" s="255">
        <f ca="1">IF(ISERROR(OFFSET(Bronzo!$A$1,MATCH(J478,Bronzo!$A:$A,0)-1,MATCH(K478,Bronzo!$A$1:$AA$1,0)-1)=TRUE),0,OFFSET(Bronzo!$A$1,MATCH(J478,Bronzo!$A:$A,0)-1,MATCH(K478,Bronzo!$A$1:$AA$1,0)-1))</f>
        <v>0</v>
      </c>
      <c r="V478" s="255">
        <f t="shared" ca="1" si="152"/>
        <v>0</v>
      </c>
      <c r="W478" s="254"/>
      <c r="X478" s="255">
        <v>0</v>
      </c>
      <c r="Y478" s="256">
        <f t="shared" ca="1" si="153"/>
        <v>1.65</v>
      </c>
      <c r="Z478" s="291">
        <f t="shared" si="154"/>
        <v>78.750000000000014</v>
      </c>
      <c r="AA478" s="253">
        <v>4.33</v>
      </c>
      <c r="AB478" s="253">
        <f t="shared" ca="1" si="155"/>
        <v>7.0000000000000284E-2</v>
      </c>
      <c r="AC478" s="258"/>
      <c r="AH478" s="232">
        <f t="shared" ca="1" si="156"/>
        <v>46120</v>
      </c>
      <c r="AI478" s="232" t="b">
        <f t="shared" si="157"/>
        <v>1</v>
      </c>
      <c r="AJ478" s="259" t="str">
        <f t="shared" si="162"/>
        <v/>
      </c>
      <c r="AM478" s="223">
        <f t="shared" si="158"/>
        <v>0</v>
      </c>
      <c r="AN478" s="223">
        <f t="shared" si="159"/>
        <v>1900</v>
      </c>
      <c r="AU478" s="223">
        <f t="shared" si="160"/>
        <v>0</v>
      </c>
      <c r="AV478" s="223">
        <f t="shared" si="161"/>
        <v>0</v>
      </c>
    </row>
    <row r="479" spans="4:48" ht="26.25" x14ac:dyDescent="0.4">
      <c r="D479" s="246" t="s">
        <v>709</v>
      </c>
      <c r="E479" s="252" t="s">
        <v>263</v>
      </c>
      <c r="F479" s="276">
        <v>1400</v>
      </c>
      <c r="G479" s="249" t="s">
        <v>4</v>
      </c>
      <c r="H479" s="250">
        <v>2.61</v>
      </c>
      <c r="I479" s="251">
        <v>46094</v>
      </c>
      <c r="J479" s="252" t="s">
        <v>322</v>
      </c>
      <c r="K479" s="252"/>
      <c r="L479" s="253">
        <v>7.0000000000000007E-2</v>
      </c>
      <c r="M479" s="254">
        <f ca="1">IF(ISERROR(OFFSET(Tabella!$A$1,MATCH(J479,Tabella!$A:$A,0)-1,MATCH(L479,Tabella!$A$1:$AC$1,0)-1)=TRUE),0,+OFFSET(Tabella!$A$1,MATCH(J479,Tabella!$A:$A,0)-1,MATCH(L479,Tabella!$A$1:$AC$1,0)-1))</f>
        <v>1.25</v>
      </c>
      <c r="N479" s="255">
        <f ca="1">IF(ISERROR(OFFSET(Ottone!$A$1,MATCH(J479,Ottone!$A:$A,0)-1,MATCH(L479,Ottone!$A$1:$Z$1,0)-1)=TRUE),0,OFFSET(Ottone!$A$1,MATCH(J479,Ottone!$A:$A,0)-1,MATCH(L479,Ottone!$A$1:$Z$1,0)-1))*IF(G479="Ottone",1,0)</f>
        <v>0</v>
      </c>
      <c r="O479" s="255">
        <f ca="1">IF(ISERROR(OFFSET(Rame!$A$1,MATCH(J479,Rame!$A:$A,0)-1,MATCH(L479,Rame!$A$1:$AA$1,0)-1)=TRUE),0,OFFSET(Rame!$A$1,MATCH(J479,Rame!$A:$A,0)-1,MATCH(L479,Rame!$A$1:$AA$1,0)-1))*IF(G479="Rame",1,0)</f>
        <v>0</v>
      </c>
      <c r="P479" s="255">
        <v>0</v>
      </c>
      <c r="Q479" s="255">
        <v>1.5</v>
      </c>
      <c r="R479" s="255">
        <f ca="1">+IF(ISERROR(OFFSET(Tabella!$G$1,MATCH(J479,Tabella!$G:$G,0)-1,MATCH(K479,Tabella!$G$1:$FG$1,0)-1)=TRUE),0,OFFSET(Tabella!$G$1,MATCH(J479,Tabella!$G:$G,0)-1,MATCH(K479,Tabella!$G$1:$AB$1,0)-1))</f>
        <v>0</v>
      </c>
      <c r="S479" s="255">
        <f ca="1">IF(ISERROR(OFFSET(Ottone!$F$1,MATCH(J479,Ottone!$A:$A,0)-1,MATCH(K479,Ottone!$F$1:$FF$1,0)-1)=TRUE),0,OFFSET(Ottone!$F$1,MATCH(J479,Ottone!$A:$A,0)-1,MATCH(K479,Ottone!$F$1:$FF$1,0)-1))*IF(G479="Ottone",1,0)</f>
        <v>0</v>
      </c>
      <c r="T479" s="255">
        <f ca="1">IF(ISERROR(OFFSET(Rame!$F$1,MATCH(J479,Rame!$F:$F,0)-1,MATCH(K479,Rame!$F$1:$FF$1,0)-1)=TRUE),0,OFFSET(Rame!$F$1,MATCH(J479,Rame!$F:$F,0)-1,MATCH(K479,Rame!$F$1:$FF$1,0)-1))*IF(G479="Rame",1,0)</f>
        <v>0</v>
      </c>
      <c r="U479" s="255">
        <f ca="1">IF(ISERROR(OFFSET(Bronzo!$A$1,MATCH(J479,Bronzo!$A:$A,0)-1,MATCH(K479,Bronzo!$A$1:$AA$1,0)-1)=TRUE),0,OFFSET(Bronzo!$A$1,MATCH(J479,Bronzo!$A:$A,0)-1,MATCH(K479,Bronzo!$A$1:$AA$1,0)-1))</f>
        <v>0</v>
      </c>
      <c r="V479" s="255">
        <f t="shared" ca="1" si="152"/>
        <v>0</v>
      </c>
      <c r="W479" s="254"/>
      <c r="X479" s="255">
        <v>0</v>
      </c>
      <c r="Y479" s="256">
        <f t="shared" ca="1" si="153"/>
        <v>1.5</v>
      </c>
      <c r="Z479" s="257">
        <f t="shared" si="154"/>
        <v>98.000000000000014</v>
      </c>
      <c r="AA479" s="253">
        <v>4.18</v>
      </c>
      <c r="AB479" s="253">
        <f t="shared" ca="1" si="155"/>
        <v>6.999999999999984E-2</v>
      </c>
      <c r="AC479" s="258">
        <v>46133</v>
      </c>
      <c r="AH479" s="232">
        <f t="shared" ca="1" si="156"/>
        <v>46120</v>
      </c>
      <c r="AI479" s="232" t="b">
        <f t="shared" si="157"/>
        <v>0</v>
      </c>
      <c r="AJ479" s="259">
        <f t="shared" ca="1" si="162"/>
        <v>13</v>
      </c>
      <c r="AM479" s="223">
        <f t="shared" si="158"/>
        <v>17</v>
      </c>
      <c r="AN479" s="223">
        <f t="shared" si="159"/>
        <v>2026</v>
      </c>
      <c r="AU479" s="223">
        <f t="shared" si="160"/>
        <v>4</v>
      </c>
      <c r="AV479" s="223">
        <f t="shared" si="161"/>
        <v>2026</v>
      </c>
    </row>
    <row r="480" spans="4:48" ht="26.25" x14ac:dyDescent="0.4">
      <c r="D480" s="246" t="s">
        <v>709</v>
      </c>
      <c r="E480" s="252" t="s">
        <v>263</v>
      </c>
      <c r="F480" s="276">
        <v>750</v>
      </c>
      <c r="G480" s="249" t="s">
        <v>4</v>
      </c>
      <c r="H480" s="250">
        <v>2.61</v>
      </c>
      <c r="I480" s="251">
        <v>46094</v>
      </c>
      <c r="J480" s="252" t="s">
        <v>314</v>
      </c>
      <c r="K480" s="252"/>
      <c r="L480" s="253">
        <v>7.0000000000000007E-2</v>
      </c>
      <c r="M480" s="254">
        <f ca="1">IF(ISERROR(OFFSET(Tabella!$A$1,MATCH(J480,Tabella!$A:$A,0)-1,MATCH(L480,Tabella!$A$1:$AC$1,0)-1)=TRUE),0,+OFFSET(Tabella!$A$1,MATCH(J480,Tabella!$A:$A,0)-1,MATCH(L480,Tabella!$A$1:$AC$1,0)-1))</f>
        <v>1.25</v>
      </c>
      <c r="N480" s="255">
        <f ca="1">IF(ISERROR(OFFSET(Ottone!$A$1,MATCH(J480,Ottone!$A:$A,0)-1,MATCH(L480,Ottone!$A$1:$Z$1,0)-1)=TRUE),0,OFFSET(Ottone!$A$1,MATCH(J480,Ottone!$A:$A,0)-1,MATCH(L480,Ottone!$A$1:$Z$1,0)-1))*IF(G480="Ottone",1,0)</f>
        <v>0</v>
      </c>
      <c r="O480" s="255">
        <f ca="1">IF(ISERROR(OFFSET(Rame!$A$1,MATCH(J480,Rame!$A:$A,0)-1,MATCH(L480,Rame!$A$1:$AA$1,0)-1)=TRUE),0,OFFSET(Rame!$A$1,MATCH(J480,Rame!$A:$A,0)-1,MATCH(L480,Rame!$A$1:$AA$1,0)-1))*IF(G480="Rame",1,0)</f>
        <v>0</v>
      </c>
      <c r="P480" s="255">
        <v>0</v>
      </c>
      <c r="Q480" s="255">
        <v>1.5</v>
      </c>
      <c r="R480" s="255">
        <f ca="1">+IF(ISERROR(OFFSET(Tabella!$G$1,MATCH(J480,Tabella!$G:$G,0)-1,MATCH(K480,Tabella!$G$1:$FG$1,0)-1)=TRUE),0,OFFSET(Tabella!$G$1,MATCH(J480,Tabella!$G:$G,0)-1,MATCH(K480,Tabella!$G$1:$AB$1,0)-1))</f>
        <v>0</v>
      </c>
      <c r="S480" s="255">
        <f ca="1">IF(ISERROR(OFFSET(Ottone!$F$1,MATCH(J480,Ottone!$A:$A,0)-1,MATCH(K480,Ottone!$F$1:$FF$1,0)-1)=TRUE),0,OFFSET(Ottone!$F$1,MATCH(J480,Ottone!$A:$A,0)-1,MATCH(K480,Ottone!$F$1:$FF$1,0)-1))*IF(G480="Ottone",1,0)</f>
        <v>0</v>
      </c>
      <c r="T480" s="255">
        <f ca="1">IF(ISERROR(OFFSET(Rame!$F$1,MATCH(J480,Rame!$F:$F,0)-1,MATCH(K480,Rame!$F$1:$FF$1,0)-1)=TRUE),0,OFFSET(Rame!$F$1,MATCH(J480,Rame!$F:$F,0)-1,MATCH(K480,Rame!$F$1:$FF$1,0)-1))*IF(G480="Rame",1,0)</f>
        <v>0</v>
      </c>
      <c r="U480" s="255">
        <f ca="1">IF(ISERROR(OFFSET(Bronzo!$A$1,MATCH(J480,Bronzo!$A:$A,0)-1,MATCH(K480,Bronzo!$A$1:$AA$1,0)-1)=TRUE),0,OFFSET(Bronzo!$A$1,MATCH(J480,Bronzo!$A:$A,0)-1,MATCH(K480,Bronzo!$A$1:$AA$1,0)-1))</f>
        <v>0</v>
      </c>
      <c r="V480" s="255">
        <f t="shared" ref="V480:V542" ca="1" si="163">SUM(R480:U480)</f>
        <v>0</v>
      </c>
      <c r="W480" s="254"/>
      <c r="X480" s="255">
        <v>0</v>
      </c>
      <c r="Y480" s="256">
        <f t="shared" ref="Y480:Y542" ca="1" si="164">+Q480+V480+W480+X480</f>
        <v>1.5</v>
      </c>
      <c r="Z480" s="257">
        <f t="shared" ref="Z480:Z542" si="165">+L480*F480</f>
        <v>52.500000000000007</v>
      </c>
      <c r="AA480" s="253">
        <v>4.18</v>
      </c>
      <c r="AB480" s="253">
        <f t="shared" ref="AB480:AB542" ca="1" si="166">+AA480-Y480-H480</f>
        <v>6.999999999999984E-2</v>
      </c>
      <c r="AC480" s="258">
        <v>46120</v>
      </c>
      <c r="AH480" s="232">
        <f t="shared" ca="1" si="156"/>
        <v>46120</v>
      </c>
      <c r="AI480" s="232" t="b">
        <f t="shared" si="157"/>
        <v>0</v>
      </c>
      <c r="AJ480" s="259">
        <f t="shared" ca="1" si="162"/>
        <v>0</v>
      </c>
      <c r="AM480" s="223">
        <f t="shared" si="158"/>
        <v>15</v>
      </c>
      <c r="AN480" s="223">
        <f t="shared" si="159"/>
        <v>2026</v>
      </c>
      <c r="AU480" s="223">
        <f t="shared" si="160"/>
        <v>4</v>
      </c>
      <c r="AV480" s="223">
        <f t="shared" si="161"/>
        <v>2026</v>
      </c>
    </row>
    <row r="481" spans="4:48" ht="26.25" x14ac:dyDescent="0.4">
      <c r="D481" s="246" t="s">
        <v>709</v>
      </c>
      <c r="E481" s="252" t="s">
        <v>263</v>
      </c>
      <c r="F481" s="276">
        <v>1500</v>
      </c>
      <c r="G481" s="249" t="s">
        <v>4</v>
      </c>
      <c r="H481" s="250">
        <v>2.61</v>
      </c>
      <c r="I481" s="251">
        <v>46094</v>
      </c>
      <c r="J481" s="252" t="s">
        <v>314</v>
      </c>
      <c r="K481" s="252"/>
      <c r="L481" s="253">
        <v>7.0000000000000007E-2</v>
      </c>
      <c r="M481" s="254">
        <f ca="1">IF(ISERROR(OFFSET(Tabella!$A$1,MATCH(J481,Tabella!$A:$A,0)-1,MATCH(L481,Tabella!$A$1:$AC$1,0)-1)=TRUE),0,+OFFSET(Tabella!$A$1,MATCH(J481,Tabella!$A:$A,0)-1,MATCH(L481,Tabella!$A$1:$AC$1,0)-1))</f>
        <v>1.25</v>
      </c>
      <c r="N481" s="255">
        <f ca="1">IF(ISERROR(OFFSET(Ottone!$A$1,MATCH(J481,Ottone!$A:$A,0)-1,MATCH(L481,Ottone!$A$1:$Z$1,0)-1)=TRUE),0,OFFSET(Ottone!$A$1,MATCH(J481,Ottone!$A:$A,0)-1,MATCH(L481,Ottone!$A$1:$Z$1,0)-1))*IF(G481="Ottone",1,0)</f>
        <v>0</v>
      </c>
      <c r="O481" s="255">
        <f ca="1">IF(ISERROR(OFFSET(Rame!$A$1,MATCH(J481,Rame!$A:$A,0)-1,MATCH(L481,Rame!$A$1:$AA$1,0)-1)=TRUE),0,OFFSET(Rame!$A$1,MATCH(J481,Rame!$A:$A,0)-1,MATCH(L481,Rame!$A$1:$AA$1,0)-1))*IF(G481="Rame",1,0)</f>
        <v>0</v>
      </c>
      <c r="P481" s="255">
        <v>0</v>
      </c>
      <c r="Q481" s="255">
        <v>1.5</v>
      </c>
      <c r="R481" s="255">
        <f ca="1">+IF(ISERROR(OFFSET(Tabella!$G$1,MATCH(J481,Tabella!$G:$G,0)-1,MATCH(K481,Tabella!$G$1:$FG$1,0)-1)=TRUE),0,OFFSET(Tabella!$G$1,MATCH(J481,Tabella!$G:$G,0)-1,MATCH(K481,Tabella!$G$1:$AB$1,0)-1))</f>
        <v>0</v>
      </c>
      <c r="S481" s="255">
        <f ca="1">IF(ISERROR(OFFSET(Ottone!$F$1,MATCH(J481,Ottone!$A:$A,0)-1,MATCH(K481,Ottone!$F$1:$FF$1,0)-1)=TRUE),0,OFFSET(Ottone!$F$1,MATCH(J481,Ottone!$A:$A,0)-1,MATCH(K481,Ottone!$F$1:$FF$1,0)-1))*IF(G481="Ottone",1,0)</f>
        <v>0</v>
      </c>
      <c r="T481" s="255">
        <f ca="1">IF(ISERROR(OFFSET(Rame!$F$1,MATCH(J481,Rame!$F:$F,0)-1,MATCH(K481,Rame!$F$1:$FF$1,0)-1)=TRUE),0,OFFSET(Rame!$F$1,MATCH(J481,Rame!$F:$F,0)-1,MATCH(K481,Rame!$F$1:$FF$1,0)-1))*IF(G481="Rame",1,0)</f>
        <v>0</v>
      </c>
      <c r="U481" s="255">
        <f ca="1">IF(ISERROR(OFFSET(Bronzo!$A$1,MATCH(J481,Bronzo!$A:$A,0)-1,MATCH(K481,Bronzo!$A$1:$AA$1,0)-1)=TRUE),0,OFFSET(Bronzo!$A$1,MATCH(J481,Bronzo!$A:$A,0)-1,MATCH(K481,Bronzo!$A$1:$AA$1,0)-1))</f>
        <v>0</v>
      </c>
      <c r="V481" s="255">
        <f t="shared" ca="1" si="163"/>
        <v>0</v>
      </c>
      <c r="W481" s="254"/>
      <c r="X481" s="255">
        <v>0</v>
      </c>
      <c r="Y481" s="256">
        <f t="shared" ca="1" si="164"/>
        <v>1.5</v>
      </c>
      <c r="Z481" s="257">
        <f t="shared" si="165"/>
        <v>105.00000000000001</v>
      </c>
      <c r="AA481" s="253">
        <v>4.18</v>
      </c>
      <c r="AB481" s="253">
        <f t="shared" ca="1" si="166"/>
        <v>6.999999999999984E-2</v>
      </c>
      <c r="AC481" s="258">
        <v>46133</v>
      </c>
      <c r="AH481" s="232">
        <f t="shared" ca="1" si="156"/>
        <v>46120</v>
      </c>
      <c r="AI481" s="232" t="b">
        <f t="shared" si="157"/>
        <v>0</v>
      </c>
      <c r="AJ481" s="259">
        <f t="shared" ca="1" si="162"/>
        <v>13</v>
      </c>
      <c r="AM481" s="223">
        <f t="shared" si="158"/>
        <v>17</v>
      </c>
      <c r="AN481" s="223">
        <f t="shared" si="159"/>
        <v>2026</v>
      </c>
      <c r="AU481" s="223">
        <f t="shared" si="160"/>
        <v>4</v>
      </c>
      <c r="AV481" s="223">
        <f t="shared" si="161"/>
        <v>2026</v>
      </c>
    </row>
    <row r="482" spans="4:48" ht="26.25" x14ac:dyDescent="0.4">
      <c r="D482" s="246" t="s">
        <v>709</v>
      </c>
      <c r="E482" s="252" t="s">
        <v>263</v>
      </c>
      <c r="F482" s="276">
        <v>500</v>
      </c>
      <c r="G482" s="249" t="s">
        <v>4</v>
      </c>
      <c r="H482" s="250">
        <v>2.61</v>
      </c>
      <c r="I482" s="251">
        <v>46094</v>
      </c>
      <c r="J482" s="252" t="s">
        <v>15</v>
      </c>
      <c r="K482" s="252"/>
      <c r="L482" s="253">
        <v>7.0000000000000007E-2</v>
      </c>
      <c r="M482" s="254">
        <f ca="1">IF(ISERROR(OFFSET(Tabella!$A$1,MATCH(J482,Tabella!$A:$A,0)-1,MATCH(L482,Tabella!$A$1:$AC$1,0)-1)=TRUE),0,+OFFSET(Tabella!$A$1,MATCH(J482,Tabella!$A:$A,0)-1,MATCH(L482,Tabella!$A$1:$AC$1,0)-1))</f>
        <v>1.4</v>
      </c>
      <c r="N482" s="255">
        <f ca="1">IF(ISERROR(OFFSET(Ottone!$A$1,MATCH(J482,Ottone!$A:$A,0)-1,MATCH(L482,Ottone!$A$1:$Z$1,0)-1)=TRUE),0,OFFSET(Ottone!$A$1,MATCH(J482,Ottone!$A:$A,0)-1,MATCH(L482,Ottone!$A$1:$Z$1,0)-1))*IF(G482="Ottone",1,0)</f>
        <v>0</v>
      </c>
      <c r="O482" s="255">
        <f ca="1">IF(ISERROR(OFFSET(Rame!$A$1,MATCH(J482,Rame!$A:$A,0)-1,MATCH(L482,Rame!$A$1:$AA$1,0)-1)=TRUE),0,OFFSET(Rame!$A$1,MATCH(J482,Rame!$A:$A,0)-1,MATCH(L482,Rame!$A$1:$AA$1,0)-1))*IF(G482="Rame",1,0)</f>
        <v>0</v>
      </c>
      <c r="P482" s="255">
        <v>0</v>
      </c>
      <c r="Q482" s="255">
        <v>1.65</v>
      </c>
      <c r="R482" s="255">
        <f ca="1">+IF(ISERROR(OFFSET(Tabella!$G$1,MATCH(J482,Tabella!$G:$G,0)-1,MATCH(K482,Tabella!$G$1:$FG$1,0)-1)=TRUE),0,OFFSET(Tabella!$G$1,MATCH(J482,Tabella!$G:$G,0)-1,MATCH(K482,Tabella!$G$1:$AB$1,0)-1))</f>
        <v>0</v>
      </c>
      <c r="S482" s="255">
        <f ca="1">IF(ISERROR(OFFSET(Ottone!$F$1,MATCH(J482,Ottone!$A:$A,0)-1,MATCH(K482,Ottone!$F$1:$FF$1,0)-1)=TRUE),0,OFFSET(Ottone!$F$1,MATCH(J482,Ottone!$A:$A,0)-1,MATCH(K482,Ottone!$F$1:$FF$1,0)-1))*IF(G482="Ottone",1,0)</f>
        <v>0</v>
      </c>
      <c r="T482" s="255">
        <f ca="1">IF(ISERROR(OFFSET(Rame!$F$1,MATCH(J482,Rame!$F:$F,0)-1,MATCH(K482,Rame!$F$1:$FF$1,0)-1)=TRUE),0,OFFSET(Rame!$F$1,MATCH(J482,Rame!$F:$F,0)-1,MATCH(K482,Rame!$F$1:$FF$1,0)-1))*IF(G482="Rame",1,0)</f>
        <v>0</v>
      </c>
      <c r="U482" s="255">
        <f ca="1">IF(ISERROR(OFFSET(Bronzo!$A$1,MATCH(J482,Bronzo!$A:$A,0)-1,MATCH(K482,Bronzo!$A$1:$AA$1,0)-1)=TRUE),0,OFFSET(Bronzo!$A$1,MATCH(J482,Bronzo!$A:$A,0)-1,MATCH(K482,Bronzo!$A$1:$AA$1,0)-1))</f>
        <v>0</v>
      </c>
      <c r="V482" s="255">
        <f t="shared" ca="1" si="163"/>
        <v>0</v>
      </c>
      <c r="W482" s="254"/>
      <c r="X482" s="255">
        <v>0</v>
      </c>
      <c r="Y482" s="256">
        <f t="shared" ca="1" si="164"/>
        <v>1.65</v>
      </c>
      <c r="Z482" s="257">
        <f t="shared" si="165"/>
        <v>35</v>
      </c>
      <c r="AA482" s="253">
        <v>4.33</v>
      </c>
      <c r="AB482" s="253">
        <f t="shared" ca="1" si="166"/>
        <v>7.0000000000000284E-2</v>
      </c>
      <c r="AC482" s="258">
        <v>46120</v>
      </c>
      <c r="AH482" s="232">
        <f t="shared" ca="1" si="156"/>
        <v>46120</v>
      </c>
      <c r="AI482" s="232" t="b">
        <f t="shared" si="157"/>
        <v>0</v>
      </c>
      <c r="AJ482" s="259">
        <f t="shared" ca="1" si="162"/>
        <v>0</v>
      </c>
      <c r="AM482" s="223">
        <f t="shared" si="158"/>
        <v>15</v>
      </c>
      <c r="AN482" s="223">
        <f t="shared" si="159"/>
        <v>2026</v>
      </c>
      <c r="AU482" s="223">
        <f t="shared" si="160"/>
        <v>4</v>
      </c>
      <c r="AV482" s="223">
        <f t="shared" si="161"/>
        <v>2026</v>
      </c>
    </row>
    <row r="483" spans="4:48" ht="26.25" x14ac:dyDescent="0.4">
      <c r="D483" s="246" t="s">
        <v>707</v>
      </c>
      <c r="E483" s="252" t="s">
        <v>263</v>
      </c>
      <c r="F483" s="276">
        <v>1000</v>
      </c>
      <c r="G483" s="249" t="s">
        <v>4</v>
      </c>
      <c r="H483" s="250">
        <v>2.61</v>
      </c>
      <c r="I483" s="251">
        <v>46094</v>
      </c>
      <c r="J483" s="252" t="s">
        <v>19</v>
      </c>
      <c r="K483" s="252"/>
      <c r="L483" s="253">
        <v>7.0000000000000007E-2</v>
      </c>
      <c r="M483" s="254">
        <f ca="1">IF(ISERROR(OFFSET(Tabella!$A$1,MATCH(J483,Tabella!$A:$A,0)-1,MATCH(L483,Tabella!$A$1:$AC$1,0)-1)=TRUE),0,+OFFSET(Tabella!$A$1,MATCH(J483,Tabella!$A:$A,0)-1,MATCH(L483,Tabella!$A$1:$AC$1,0)-1))</f>
        <v>1.35</v>
      </c>
      <c r="N483" s="255">
        <f ca="1">IF(ISERROR(OFFSET(Ottone!$A$1,MATCH(J483,Ottone!$A:$A,0)-1,MATCH(L483,Ottone!$A$1:$Z$1,0)-1)=TRUE),0,OFFSET(Ottone!$A$1,MATCH(J483,Ottone!$A:$A,0)-1,MATCH(L483,Ottone!$A$1:$Z$1,0)-1))*IF(G483="Ottone",1,0)</f>
        <v>0</v>
      </c>
      <c r="O483" s="255">
        <f ca="1">IF(ISERROR(OFFSET(Rame!$A$1,MATCH(J483,Rame!$A:$A,0)-1,MATCH(L483,Rame!$A$1:$AA$1,0)-1)=TRUE),0,OFFSET(Rame!$A$1,MATCH(J483,Rame!$A:$A,0)-1,MATCH(L483,Rame!$A$1:$AA$1,0)-1))*IF(G483="Rame",1,0)</f>
        <v>0</v>
      </c>
      <c r="P483" s="255">
        <v>0</v>
      </c>
      <c r="Q483" s="255">
        <v>1.55</v>
      </c>
      <c r="R483" s="255">
        <f ca="1">+IF(ISERROR(OFFSET(Tabella!$G$1,MATCH(J483,Tabella!$G:$G,0)-1,MATCH(K483,Tabella!$G$1:$FG$1,0)-1)=TRUE),0,OFFSET(Tabella!$G$1,MATCH(J483,Tabella!$G:$G,0)-1,MATCH(K483,Tabella!$G$1:$AB$1,0)-1))</f>
        <v>0</v>
      </c>
      <c r="S483" s="255">
        <f ca="1">IF(ISERROR(OFFSET(Ottone!$F$1,MATCH(J483,Ottone!$A:$A,0)-1,MATCH(K483,Ottone!$F$1:$FF$1,0)-1)=TRUE),0,OFFSET(Ottone!$F$1,MATCH(J483,Ottone!$A:$A,0)-1,MATCH(K483,Ottone!$F$1:$FF$1,0)-1))*IF(G483="Ottone",1,0)</f>
        <v>0</v>
      </c>
      <c r="T483" s="255">
        <f ca="1">IF(ISERROR(OFFSET(Rame!$F$1,MATCH(J483,Rame!$F:$F,0)-1,MATCH(K483,Rame!$F$1:$FF$1,0)-1)=TRUE),0,OFFSET(Rame!$F$1,MATCH(J483,Rame!$F:$F,0)-1,MATCH(K483,Rame!$F$1:$FF$1,0)-1))*IF(G483="Rame",1,0)</f>
        <v>0</v>
      </c>
      <c r="U483" s="255">
        <f ca="1">IF(ISERROR(OFFSET(Bronzo!$A$1,MATCH(J483,Bronzo!$A:$A,0)-1,MATCH(K483,Bronzo!$A$1:$AA$1,0)-1)=TRUE),0,OFFSET(Bronzo!$A$1,MATCH(J483,Bronzo!$A:$A,0)-1,MATCH(K483,Bronzo!$A$1:$AA$1,0)-1))</f>
        <v>0</v>
      </c>
      <c r="V483" s="255">
        <f t="shared" ca="1" si="163"/>
        <v>0</v>
      </c>
      <c r="W483" s="254"/>
      <c r="X483" s="255">
        <v>0</v>
      </c>
      <c r="Y483" s="256">
        <f t="shared" ca="1" si="164"/>
        <v>1.55</v>
      </c>
      <c r="Z483" s="257">
        <f t="shared" si="165"/>
        <v>70</v>
      </c>
      <c r="AA483" s="253">
        <v>4.18</v>
      </c>
      <c r="AB483" s="253">
        <f t="shared" ca="1" si="166"/>
        <v>2.0000000000000018E-2</v>
      </c>
      <c r="AC483" s="258">
        <v>46133</v>
      </c>
      <c r="AH483" s="232">
        <f t="shared" ca="1" si="156"/>
        <v>46120</v>
      </c>
      <c r="AI483" s="232" t="b">
        <f t="shared" si="157"/>
        <v>0</v>
      </c>
      <c r="AJ483" s="259">
        <f t="shared" ca="1" si="162"/>
        <v>13</v>
      </c>
      <c r="AM483" s="223">
        <f t="shared" si="158"/>
        <v>17</v>
      </c>
      <c r="AN483" s="223">
        <f t="shared" si="159"/>
        <v>2026</v>
      </c>
      <c r="AU483" s="223">
        <f t="shared" si="160"/>
        <v>4</v>
      </c>
      <c r="AV483" s="223">
        <f t="shared" si="161"/>
        <v>2026</v>
      </c>
    </row>
    <row r="484" spans="4:48" ht="26.25" x14ac:dyDescent="0.4">
      <c r="D484" s="246" t="s">
        <v>707</v>
      </c>
      <c r="E484" s="252" t="s">
        <v>263</v>
      </c>
      <c r="F484" s="276">
        <v>1000</v>
      </c>
      <c r="G484" s="249" t="s">
        <v>4</v>
      </c>
      <c r="H484" s="250">
        <v>2.61</v>
      </c>
      <c r="I484" s="251">
        <v>46094</v>
      </c>
      <c r="J484" s="252" t="s">
        <v>13</v>
      </c>
      <c r="K484" s="252"/>
      <c r="L484" s="253">
        <v>7.0000000000000007E-2</v>
      </c>
      <c r="M484" s="254">
        <f ca="1">IF(ISERROR(OFFSET(Tabella!$A$1,MATCH(J484,Tabella!$A:$A,0)-1,MATCH(L484,Tabella!$A$1:$AC$1,0)-1)=TRUE),0,+OFFSET(Tabella!$A$1,MATCH(J484,Tabella!$A:$A,0)-1,MATCH(L484,Tabella!$A$1:$AC$1,0)-1))</f>
        <v>1.4</v>
      </c>
      <c r="N484" s="255">
        <f ca="1">IF(ISERROR(OFFSET(Ottone!$A$1,MATCH(J484,Ottone!$A:$A,0)-1,MATCH(L484,Ottone!$A$1:$Z$1,0)-1)=TRUE),0,OFFSET(Ottone!$A$1,MATCH(J484,Ottone!$A:$A,0)-1,MATCH(L484,Ottone!$A$1:$Z$1,0)-1))*IF(G484="Ottone",1,0)</f>
        <v>0</v>
      </c>
      <c r="O484" s="255">
        <f ca="1">IF(ISERROR(OFFSET(Rame!$A$1,MATCH(J484,Rame!$A:$A,0)-1,MATCH(L484,Rame!$A$1:$AA$1,0)-1)=TRUE),0,OFFSET(Rame!$A$1,MATCH(J484,Rame!$A:$A,0)-1,MATCH(L484,Rame!$A$1:$AA$1,0)-1))*IF(G484="Rame",1,0)</f>
        <v>0</v>
      </c>
      <c r="P484" s="255">
        <v>0</v>
      </c>
      <c r="Q484" s="255">
        <v>1.65</v>
      </c>
      <c r="R484" s="255">
        <f ca="1">+IF(ISERROR(OFFSET(Tabella!$G$1,MATCH(J484,Tabella!$G:$G,0)-1,MATCH(K484,Tabella!$G$1:$FG$1,0)-1)=TRUE),0,OFFSET(Tabella!$G$1,MATCH(J484,Tabella!$G:$G,0)-1,MATCH(K484,Tabella!$G$1:$AB$1,0)-1))</f>
        <v>0</v>
      </c>
      <c r="S484" s="255">
        <f ca="1">IF(ISERROR(OFFSET(Ottone!$F$1,MATCH(J484,Ottone!$A:$A,0)-1,MATCH(K484,Ottone!$F$1:$FF$1,0)-1)=TRUE),0,OFFSET(Ottone!$F$1,MATCH(J484,Ottone!$A:$A,0)-1,MATCH(K484,Ottone!$F$1:$FF$1,0)-1))*IF(G484="Ottone",1,0)</f>
        <v>0</v>
      </c>
      <c r="T484" s="255">
        <f ca="1">IF(ISERROR(OFFSET(Rame!$F$1,MATCH(J484,Rame!$F:$F,0)-1,MATCH(K484,Rame!$F$1:$FF$1,0)-1)=TRUE),0,OFFSET(Rame!$F$1,MATCH(J484,Rame!$F:$F,0)-1,MATCH(K484,Rame!$F$1:$FF$1,0)-1))*IF(G484="Rame",1,0)</f>
        <v>0</v>
      </c>
      <c r="U484" s="255">
        <f ca="1">IF(ISERROR(OFFSET(Bronzo!$A$1,MATCH(J484,Bronzo!$A:$A,0)-1,MATCH(K484,Bronzo!$A$1:$AA$1,0)-1)=TRUE),0,OFFSET(Bronzo!$A$1,MATCH(J484,Bronzo!$A:$A,0)-1,MATCH(K484,Bronzo!$A$1:$AA$1,0)-1))</f>
        <v>0</v>
      </c>
      <c r="V484" s="255">
        <f t="shared" ca="1" si="163"/>
        <v>0</v>
      </c>
      <c r="W484" s="254"/>
      <c r="X484" s="255">
        <v>0</v>
      </c>
      <c r="Y484" s="256">
        <f t="shared" ca="1" si="164"/>
        <v>1.65</v>
      </c>
      <c r="Z484" s="257">
        <f t="shared" si="165"/>
        <v>70</v>
      </c>
      <c r="AA484" s="253">
        <v>4.33</v>
      </c>
      <c r="AB484" s="253">
        <f t="shared" ca="1" si="166"/>
        <v>7.0000000000000284E-2</v>
      </c>
      <c r="AC484" s="258">
        <v>46133</v>
      </c>
      <c r="AH484" s="232">
        <f t="shared" ca="1" si="156"/>
        <v>46120</v>
      </c>
      <c r="AI484" s="232" t="b">
        <f t="shared" si="157"/>
        <v>0</v>
      </c>
      <c r="AJ484" s="259">
        <f t="shared" ca="1" si="162"/>
        <v>13</v>
      </c>
      <c r="AM484" s="223">
        <f t="shared" si="158"/>
        <v>17</v>
      </c>
      <c r="AN484" s="223">
        <f t="shared" si="159"/>
        <v>2026</v>
      </c>
      <c r="AU484" s="223">
        <f t="shared" si="160"/>
        <v>4</v>
      </c>
      <c r="AV484" s="223">
        <f t="shared" si="161"/>
        <v>2026</v>
      </c>
    </row>
    <row r="485" spans="4:48" ht="26.25" x14ac:dyDescent="0.4">
      <c r="D485" s="246" t="s">
        <v>707</v>
      </c>
      <c r="E485" s="252" t="s">
        <v>263</v>
      </c>
      <c r="F485" s="276">
        <v>1500</v>
      </c>
      <c r="G485" s="249" t="s">
        <v>4</v>
      </c>
      <c r="H485" s="250">
        <v>2.61</v>
      </c>
      <c r="I485" s="251">
        <v>46094</v>
      </c>
      <c r="J485" s="252" t="s">
        <v>322</v>
      </c>
      <c r="K485" s="252"/>
      <c r="L485" s="253">
        <v>7.0000000000000007E-2</v>
      </c>
      <c r="M485" s="254">
        <f ca="1">IF(ISERROR(OFFSET(Tabella!$A$1,MATCH(J485,Tabella!$A:$A,0)-1,MATCH(L485,Tabella!$A$1:$AC$1,0)-1)=TRUE),0,+OFFSET(Tabella!$A$1,MATCH(J485,Tabella!$A:$A,0)-1,MATCH(L485,Tabella!$A$1:$AC$1,0)-1))</f>
        <v>1.25</v>
      </c>
      <c r="N485" s="255">
        <f ca="1">IF(ISERROR(OFFSET(Ottone!$A$1,MATCH(J485,Ottone!$A:$A,0)-1,MATCH(L485,Ottone!$A$1:$Z$1,0)-1)=TRUE),0,OFFSET(Ottone!$A$1,MATCH(J485,Ottone!$A:$A,0)-1,MATCH(L485,Ottone!$A$1:$Z$1,0)-1))*IF(G485="Ottone",1,0)</f>
        <v>0</v>
      </c>
      <c r="O485" s="255">
        <f ca="1">IF(ISERROR(OFFSET(Rame!$A$1,MATCH(J485,Rame!$A:$A,0)-1,MATCH(L485,Rame!$A$1:$AA$1,0)-1)=TRUE),0,OFFSET(Rame!$A$1,MATCH(J485,Rame!$A:$A,0)-1,MATCH(L485,Rame!$A$1:$AA$1,0)-1))*IF(G485="Rame",1,0)</f>
        <v>0</v>
      </c>
      <c r="P485" s="255">
        <v>0</v>
      </c>
      <c r="Q485" s="255">
        <v>1.5</v>
      </c>
      <c r="R485" s="255">
        <f ca="1">+IF(ISERROR(OFFSET(Tabella!$G$1,MATCH(J485,Tabella!$G:$G,0)-1,MATCH(K485,Tabella!$G$1:$FG$1,0)-1)=TRUE),0,OFFSET(Tabella!$G$1,MATCH(J485,Tabella!$G:$G,0)-1,MATCH(K485,Tabella!$G$1:$AB$1,0)-1))</f>
        <v>0</v>
      </c>
      <c r="S485" s="255">
        <f ca="1">IF(ISERROR(OFFSET(Ottone!$F$1,MATCH(J485,Ottone!$A:$A,0)-1,MATCH(K485,Ottone!$F$1:$FF$1,0)-1)=TRUE),0,OFFSET(Ottone!$F$1,MATCH(J485,Ottone!$A:$A,0)-1,MATCH(K485,Ottone!$F$1:$FF$1,0)-1))*IF(G485="Ottone",1,0)</f>
        <v>0</v>
      </c>
      <c r="T485" s="255">
        <f ca="1">IF(ISERROR(OFFSET(Rame!$F$1,MATCH(J485,Rame!$F:$F,0)-1,MATCH(K485,Rame!$F$1:$FF$1,0)-1)=TRUE),0,OFFSET(Rame!$F$1,MATCH(J485,Rame!$F:$F,0)-1,MATCH(K485,Rame!$F$1:$FF$1,0)-1))*IF(G485="Rame",1,0)</f>
        <v>0</v>
      </c>
      <c r="U485" s="255">
        <f ca="1">IF(ISERROR(OFFSET(Bronzo!$A$1,MATCH(J485,Bronzo!$A:$A,0)-1,MATCH(K485,Bronzo!$A$1:$AA$1,0)-1)=TRUE),0,OFFSET(Bronzo!$A$1,MATCH(J485,Bronzo!$A:$A,0)-1,MATCH(K485,Bronzo!$A$1:$AA$1,0)-1))</f>
        <v>0</v>
      </c>
      <c r="V485" s="255">
        <f t="shared" ca="1" si="163"/>
        <v>0</v>
      </c>
      <c r="W485" s="254"/>
      <c r="X485" s="255">
        <v>0</v>
      </c>
      <c r="Y485" s="256">
        <f t="shared" ca="1" si="164"/>
        <v>1.5</v>
      </c>
      <c r="Z485" s="257">
        <f t="shared" si="165"/>
        <v>105.00000000000001</v>
      </c>
      <c r="AA485" s="253">
        <v>4.18</v>
      </c>
      <c r="AB485" s="253">
        <f t="shared" ca="1" si="166"/>
        <v>6.999999999999984E-2</v>
      </c>
      <c r="AC485" s="258">
        <v>46133</v>
      </c>
      <c r="AH485" s="232">
        <f t="shared" ca="1" si="156"/>
        <v>46120</v>
      </c>
      <c r="AI485" s="232" t="b">
        <f t="shared" si="157"/>
        <v>0</v>
      </c>
      <c r="AJ485" s="259">
        <f t="shared" ca="1" si="162"/>
        <v>13</v>
      </c>
      <c r="AM485" s="223">
        <f t="shared" si="158"/>
        <v>17</v>
      </c>
      <c r="AN485" s="223">
        <f t="shared" si="159"/>
        <v>2026</v>
      </c>
      <c r="AU485" s="223">
        <f t="shared" si="160"/>
        <v>4</v>
      </c>
      <c r="AV485" s="223">
        <f t="shared" si="161"/>
        <v>2026</v>
      </c>
    </row>
    <row r="486" spans="4:48" ht="26.25" x14ac:dyDescent="0.4">
      <c r="D486" s="246" t="s">
        <v>707</v>
      </c>
      <c r="E486" s="252" t="s">
        <v>263</v>
      </c>
      <c r="F486" s="276">
        <v>1500</v>
      </c>
      <c r="G486" s="249" t="s">
        <v>4</v>
      </c>
      <c r="H486" s="250">
        <v>2.61</v>
      </c>
      <c r="I486" s="251">
        <v>46094</v>
      </c>
      <c r="J486" s="252" t="s">
        <v>15</v>
      </c>
      <c r="K486" s="252"/>
      <c r="L486" s="253">
        <v>7.0000000000000007E-2</v>
      </c>
      <c r="M486" s="254">
        <f ca="1">IF(ISERROR(OFFSET(Tabella!$A$1,MATCH(J486,Tabella!$A:$A,0)-1,MATCH(L486,Tabella!$A$1:$AC$1,0)-1)=TRUE),0,+OFFSET(Tabella!$A$1,MATCH(J486,Tabella!$A:$A,0)-1,MATCH(L486,Tabella!$A$1:$AC$1,0)-1))</f>
        <v>1.4</v>
      </c>
      <c r="N486" s="255">
        <f ca="1">IF(ISERROR(OFFSET(Ottone!$A$1,MATCH(J486,Ottone!$A:$A,0)-1,MATCH(L486,Ottone!$A$1:$Z$1,0)-1)=TRUE),0,OFFSET(Ottone!$A$1,MATCH(J486,Ottone!$A:$A,0)-1,MATCH(L486,Ottone!$A$1:$Z$1,0)-1))*IF(G486="Ottone",1,0)</f>
        <v>0</v>
      </c>
      <c r="O486" s="255">
        <f ca="1">IF(ISERROR(OFFSET(Rame!$A$1,MATCH(J486,Rame!$A:$A,0)-1,MATCH(L486,Rame!$A$1:$AA$1,0)-1)=TRUE),0,OFFSET(Rame!$A$1,MATCH(J486,Rame!$A:$A,0)-1,MATCH(L486,Rame!$A$1:$AA$1,0)-1))*IF(G486="Rame",1,0)</f>
        <v>0</v>
      </c>
      <c r="P486" s="255">
        <v>0</v>
      </c>
      <c r="Q486" s="255">
        <v>1.65</v>
      </c>
      <c r="R486" s="255">
        <f ca="1">+IF(ISERROR(OFFSET(Tabella!$G$1,MATCH(J486,Tabella!$G:$G,0)-1,MATCH(K486,Tabella!$G$1:$FG$1,0)-1)=TRUE),0,OFFSET(Tabella!$G$1,MATCH(J486,Tabella!$G:$G,0)-1,MATCH(K486,Tabella!$G$1:$AB$1,0)-1))</f>
        <v>0</v>
      </c>
      <c r="S486" s="255">
        <f ca="1">IF(ISERROR(OFFSET(Ottone!$F$1,MATCH(J486,Ottone!$A:$A,0)-1,MATCH(K486,Ottone!$F$1:$FF$1,0)-1)=TRUE),0,OFFSET(Ottone!$F$1,MATCH(J486,Ottone!$A:$A,0)-1,MATCH(K486,Ottone!$F$1:$FF$1,0)-1))*IF(G486="Ottone",1,0)</f>
        <v>0</v>
      </c>
      <c r="T486" s="255">
        <f ca="1">IF(ISERROR(OFFSET(Rame!$F$1,MATCH(J486,Rame!$F:$F,0)-1,MATCH(K486,Rame!$F$1:$FF$1,0)-1)=TRUE),0,OFFSET(Rame!$F$1,MATCH(J486,Rame!$F:$F,0)-1,MATCH(K486,Rame!$F$1:$FF$1,0)-1))*IF(G486="Rame",1,0)</f>
        <v>0</v>
      </c>
      <c r="U486" s="255">
        <f ca="1">IF(ISERROR(OFFSET(Bronzo!$A$1,MATCH(J486,Bronzo!$A:$A,0)-1,MATCH(K486,Bronzo!$A$1:$AA$1,0)-1)=TRUE),0,OFFSET(Bronzo!$A$1,MATCH(J486,Bronzo!$A:$A,0)-1,MATCH(K486,Bronzo!$A$1:$AA$1,0)-1))</f>
        <v>0</v>
      </c>
      <c r="V486" s="255">
        <f t="shared" ca="1" si="163"/>
        <v>0</v>
      </c>
      <c r="W486" s="254"/>
      <c r="X486" s="255">
        <v>0</v>
      </c>
      <c r="Y486" s="256">
        <f t="shared" ca="1" si="164"/>
        <v>1.65</v>
      </c>
      <c r="Z486" s="257">
        <f t="shared" si="165"/>
        <v>105.00000000000001</v>
      </c>
      <c r="AA486" s="253">
        <v>4.33</v>
      </c>
      <c r="AB486" s="253">
        <f t="shared" ca="1" si="166"/>
        <v>7.0000000000000284E-2</v>
      </c>
      <c r="AC486" s="258">
        <v>46133</v>
      </c>
      <c r="AH486" s="232">
        <f t="shared" ca="1" si="156"/>
        <v>46120</v>
      </c>
      <c r="AI486" s="232" t="b">
        <f t="shared" si="157"/>
        <v>0</v>
      </c>
      <c r="AJ486" s="259">
        <f t="shared" ca="1" si="162"/>
        <v>13</v>
      </c>
      <c r="AM486" s="223">
        <f t="shared" si="158"/>
        <v>17</v>
      </c>
      <c r="AN486" s="223">
        <f t="shared" si="159"/>
        <v>2026</v>
      </c>
      <c r="AU486" s="223">
        <f t="shared" si="160"/>
        <v>4</v>
      </c>
      <c r="AV486" s="223">
        <f t="shared" si="161"/>
        <v>2026</v>
      </c>
    </row>
    <row r="487" spans="4:48" ht="26.25" x14ac:dyDescent="0.4">
      <c r="D487" s="246" t="s">
        <v>707</v>
      </c>
      <c r="E487" s="252" t="s">
        <v>263</v>
      </c>
      <c r="F487" s="276">
        <v>700</v>
      </c>
      <c r="G487" s="249" t="s">
        <v>4</v>
      </c>
      <c r="H487" s="250">
        <v>2.61</v>
      </c>
      <c r="I487" s="251">
        <v>46094</v>
      </c>
      <c r="J487" s="252" t="s">
        <v>9</v>
      </c>
      <c r="K487" s="252"/>
      <c r="L487" s="253">
        <v>7.0000000000000007E-2</v>
      </c>
      <c r="M487" s="254">
        <f ca="1">IF(ISERROR(OFFSET(Tabella!$A$1,MATCH(J487,Tabella!$A:$A,0)-1,MATCH(L487,Tabella!$A$1:$AC$1,0)-1)=TRUE),0,+OFFSET(Tabella!$A$1,MATCH(J487,Tabella!$A:$A,0)-1,MATCH(L487,Tabella!$A$1:$AC$1,0)-1))</f>
        <v>1.6</v>
      </c>
      <c r="N487" s="255">
        <f ca="1">IF(ISERROR(OFFSET(Ottone!$A$1,MATCH(J487,Ottone!$A:$A,0)-1,MATCH(L487,Ottone!$A$1:$Z$1,0)-1)=TRUE),0,OFFSET(Ottone!$A$1,MATCH(J487,Ottone!$A:$A,0)-1,MATCH(L487,Ottone!$A$1:$Z$1,0)-1))*IF(G487="Ottone",1,0)</f>
        <v>0</v>
      </c>
      <c r="O487" s="255">
        <f ca="1">IF(ISERROR(OFFSET(Rame!$A$1,MATCH(J487,Rame!$A:$A,0)-1,MATCH(L487,Rame!$A$1:$AA$1,0)-1)=TRUE),0,OFFSET(Rame!$A$1,MATCH(J487,Rame!$A:$A,0)-1,MATCH(L487,Rame!$A$1:$AA$1,0)-1))*IF(G487="Rame",1,0)</f>
        <v>0</v>
      </c>
      <c r="P487" s="255">
        <v>0</v>
      </c>
      <c r="Q487" s="255">
        <v>1.8</v>
      </c>
      <c r="R487" s="255">
        <f ca="1">+IF(ISERROR(OFFSET(Tabella!$G$1,MATCH(J487,Tabella!$G:$G,0)-1,MATCH(K487,Tabella!$G$1:$FG$1,0)-1)=TRUE),0,OFFSET(Tabella!$G$1,MATCH(J487,Tabella!$G:$G,0)-1,MATCH(K487,Tabella!$G$1:$AB$1,0)-1))</f>
        <v>0</v>
      </c>
      <c r="S487" s="255">
        <f ca="1">IF(ISERROR(OFFSET(Ottone!$F$1,MATCH(J487,Ottone!$A:$A,0)-1,MATCH(K487,Ottone!$F$1:$FF$1,0)-1)=TRUE),0,OFFSET(Ottone!$F$1,MATCH(J487,Ottone!$A:$A,0)-1,MATCH(K487,Ottone!$F$1:$FF$1,0)-1))*IF(G487="Ottone",1,0)</f>
        <v>0</v>
      </c>
      <c r="T487" s="255">
        <f ca="1">IF(ISERROR(OFFSET(Rame!$F$1,MATCH(J487,Rame!$F:$F,0)-1,MATCH(K487,Rame!$F$1:$FF$1,0)-1)=TRUE),0,OFFSET(Rame!$F$1,MATCH(J487,Rame!$F:$F,0)-1,MATCH(K487,Rame!$F$1:$FF$1,0)-1))*IF(G487="Rame",1,0)</f>
        <v>0</v>
      </c>
      <c r="U487" s="255">
        <f ca="1">IF(ISERROR(OFFSET(Bronzo!$A$1,MATCH(J487,Bronzo!$A:$A,0)-1,MATCH(K487,Bronzo!$A$1:$AA$1,0)-1)=TRUE),0,OFFSET(Bronzo!$A$1,MATCH(J487,Bronzo!$A:$A,0)-1,MATCH(K487,Bronzo!$A$1:$AA$1,0)-1))</f>
        <v>0</v>
      </c>
      <c r="V487" s="255">
        <f t="shared" ca="1" si="163"/>
        <v>0</v>
      </c>
      <c r="W487" s="254"/>
      <c r="X487" s="255">
        <v>0</v>
      </c>
      <c r="Y487" s="256">
        <f t="shared" ca="1" si="164"/>
        <v>1.8</v>
      </c>
      <c r="Z487" s="257">
        <f t="shared" si="165"/>
        <v>49.000000000000007</v>
      </c>
      <c r="AA487" s="253">
        <v>4.4800000000000004</v>
      </c>
      <c r="AB487" s="253">
        <f t="shared" ca="1" si="166"/>
        <v>7.0000000000000728E-2</v>
      </c>
      <c r="AC487" s="258">
        <v>46133</v>
      </c>
      <c r="AH487" s="232">
        <f t="shared" ca="1" si="156"/>
        <v>46120</v>
      </c>
      <c r="AI487" s="232" t="b">
        <f t="shared" si="157"/>
        <v>0</v>
      </c>
      <c r="AJ487" s="259">
        <f t="shared" ca="1" si="162"/>
        <v>13</v>
      </c>
      <c r="AM487" s="223">
        <f t="shared" si="158"/>
        <v>17</v>
      </c>
      <c r="AN487" s="223">
        <f t="shared" si="159"/>
        <v>2026</v>
      </c>
      <c r="AU487" s="223">
        <f t="shared" si="160"/>
        <v>4</v>
      </c>
      <c r="AV487" s="223">
        <f t="shared" si="161"/>
        <v>2026</v>
      </c>
    </row>
    <row r="488" spans="4:48" ht="26.25" x14ac:dyDescent="0.4">
      <c r="D488" s="246" t="s">
        <v>707</v>
      </c>
      <c r="E488" s="252" t="s">
        <v>263</v>
      </c>
      <c r="F488" s="276">
        <v>1500</v>
      </c>
      <c r="G488" s="249" t="s">
        <v>4</v>
      </c>
      <c r="H488" s="250">
        <v>2.61</v>
      </c>
      <c r="I488" s="251">
        <v>46094</v>
      </c>
      <c r="J488" s="252" t="s">
        <v>243</v>
      </c>
      <c r="K488" s="252"/>
      <c r="L488" s="253">
        <v>7.0000000000000007E-2</v>
      </c>
      <c r="M488" s="254">
        <f ca="1">IF(ISERROR(OFFSET(Tabella!$A$1,MATCH(J488,Tabella!$A:$A,0)-1,MATCH(L488,Tabella!$A$1:$AC$1,0)-1)=TRUE),0,+OFFSET(Tabella!$A$1,MATCH(J488,Tabella!$A:$A,0)-1,MATCH(L488,Tabella!$A$1:$AC$1,0)-1))</f>
        <v>1.4</v>
      </c>
      <c r="N488" s="255">
        <f ca="1">IF(ISERROR(OFFSET(Ottone!$A$1,MATCH(J488,Ottone!$A:$A,0)-1,MATCH(L488,Ottone!$A$1:$Z$1,0)-1)=TRUE),0,OFFSET(Ottone!$A$1,MATCH(J488,Ottone!$A:$A,0)-1,MATCH(L488,Ottone!$A$1:$Z$1,0)-1))*IF(G488="Ottone",1,0)</f>
        <v>0</v>
      </c>
      <c r="O488" s="255">
        <f ca="1">IF(ISERROR(OFFSET(Rame!$A$1,MATCH(J488,Rame!$A:$A,0)-1,MATCH(L488,Rame!$A$1:$AA$1,0)-1)=TRUE),0,OFFSET(Rame!$A$1,MATCH(J488,Rame!$A:$A,0)-1,MATCH(L488,Rame!$A$1:$AA$1,0)-1))*IF(G488="Rame",1,0)</f>
        <v>0</v>
      </c>
      <c r="P488" s="255">
        <v>0</v>
      </c>
      <c r="Q488" s="255">
        <v>1.6</v>
      </c>
      <c r="R488" s="255">
        <f ca="1">+IF(ISERROR(OFFSET(Tabella!$G$1,MATCH(J488,Tabella!$G:$G,0)-1,MATCH(K488,Tabella!$G$1:$FG$1,0)-1)=TRUE),0,OFFSET(Tabella!$G$1,MATCH(J488,Tabella!$G:$G,0)-1,MATCH(K488,Tabella!$G$1:$AB$1,0)-1))</f>
        <v>0</v>
      </c>
      <c r="S488" s="255">
        <f ca="1">IF(ISERROR(OFFSET(Ottone!$F$1,MATCH(J488,Ottone!$A:$A,0)-1,MATCH(K488,Ottone!$F$1:$FF$1,0)-1)=TRUE),0,OFFSET(Ottone!$F$1,MATCH(J488,Ottone!$A:$A,0)-1,MATCH(K488,Ottone!$F$1:$FF$1,0)-1))*IF(G488="Ottone",1,0)</f>
        <v>0</v>
      </c>
      <c r="T488" s="255">
        <f ca="1">IF(ISERROR(OFFSET(Rame!$F$1,MATCH(J488,Rame!$F:$F,0)-1,MATCH(K488,Rame!$F$1:$FF$1,0)-1)=TRUE),0,OFFSET(Rame!$F$1,MATCH(J488,Rame!$F:$F,0)-1,MATCH(K488,Rame!$F$1:$FF$1,0)-1))*IF(G488="Rame",1,0)</f>
        <v>0</v>
      </c>
      <c r="U488" s="255">
        <f ca="1">IF(ISERROR(OFFSET(Bronzo!$A$1,MATCH(J488,Bronzo!$A:$A,0)-1,MATCH(K488,Bronzo!$A$1:$AA$1,0)-1)=TRUE),0,OFFSET(Bronzo!$A$1,MATCH(J488,Bronzo!$A:$A,0)-1,MATCH(K488,Bronzo!$A$1:$AA$1,0)-1))</f>
        <v>0</v>
      </c>
      <c r="V488" s="255">
        <f t="shared" ca="1" si="163"/>
        <v>0</v>
      </c>
      <c r="W488" s="254"/>
      <c r="X488" s="255">
        <v>0</v>
      </c>
      <c r="Y488" s="256">
        <f t="shared" ca="1" si="164"/>
        <v>1.6</v>
      </c>
      <c r="Z488" s="257">
        <f t="shared" si="165"/>
        <v>105.00000000000001</v>
      </c>
      <c r="AA488" s="253">
        <v>4.28</v>
      </c>
      <c r="AB488" s="253">
        <f t="shared" ca="1" si="166"/>
        <v>7.0000000000000284E-2</v>
      </c>
      <c r="AC488" s="258">
        <v>46133</v>
      </c>
      <c r="AH488" s="232">
        <f t="shared" ca="1" si="156"/>
        <v>46120</v>
      </c>
      <c r="AI488" s="232" t="b">
        <f t="shared" si="157"/>
        <v>0</v>
      </c>
      <c r="AJ488" s="259">
        <f t="shared" ca="1" si="162"/>
        <v>13</v>
      </c>
      <c r="AM488" s="223">
        <f t="shared" si="158"/>
        <v>17</v>
      </c>
      <c r="AN488" s="223">
        <f t="shared" si="159"/>
        <v>2026</v>
      </c>
      <c r="AU488" s="223">
        <f t="shared" si="160"/>
        <v>4</v>
      </c>
      <c r="AV488" s="223">
        <f t="shared" si="161"/>
        <v>2026</v>
      </c>
    </row>
    <row r="489" spans="4:48" ht="26.25" x14ac:dyDescent="0.4">
      <c r="D489" s="246"/>
      <c r="E489" s="282" t="s">
        <v>108</v>
      </c>
      <c r="F489" s="283">
        <v>20000</v>
      </c>
      <c r="G489" s="249" t="s">
        <v>4</v>
      </c>
      <c r="H489" s="250">
        <v>2.98</v>
      </c>
      <c r="I489" s="251">
        <v>46097</v>
      </c>
      <c r="J489" s="252" t="s">
        <v>21</v>
      </c>
      <c r="K489" s="252"/>
      <c r="L489" s="253">
        <v>7.0000000000000007E-2</v>
      </c>
      <c r="M489" s="254">
        <f ca="1">IF(ISERROR(OFFSET(Tabella!$A$1,MATCH(J489,Tabella!$A:$A,0)-1,MATCH(L489,Tabella!$A$1:$AC$1,0)-1)=TRUE),0,+OFFSET(Tabella!$A$1,MATCH(J489,Tabella!$A:$A,0)-1,MATCH(L489,Tabella!$A$1:$AC$1,0)-1))</f>
        <v>1.25</v>
      </c>
      <c r="N489" s="255">
        <f ca="1">IF(ISERROR(OFFSET(Ottone!$A$1,MATCH(J489,Ottone!$A:$A,0)-1,MATCH(L489,Ottone!$A$1:$Z$1,0)-1)=TRUE),0,OFFSET(Ottone!$A$1,MATCH(J489,Ottone!$A:$A,0)-1,MATCH(L489,Ottone!$A$1:$Z$1,0)-1))*IF(G489="Ottone",1,0)</f>
        <v>0</v>
      </c>
      <c r="O489" s="255">
        <f ca="1">IF(ISERROR(OFFSET(Rame!$A$1,MATCH(J489,Rame!$A:$A,0)-1,MATCH(L489,Rame!$A$1:$AA$1,0)-1)=TRUE),0,OFFSET(Rame!$A$1,MATCH(J489,Rame!$A:$A,0)-1,MATCH(L489,Rame!$A$1:$AA$1,0)-1))*IF(G489="Rame",1,0)</f>
        <v>0</v>
      </c>
      <c r="P489" s="255">
        <v>0</v>
      </c>
      <c r="Q489" s="255">
        <f t="shared" ref="Q489:Q542" ca="1" si="167">SUM(M489:P489)</f>
        <v>1.25</v>
      </c>
      <c r="R489" s="255">
        <f ca="1">+IF(ISERROR(OFFSET(Tabella!$G$1,MATCH(J489,Tabella!$G:$G,0)-1,MATCH(K489,Tabella!$G$1:$FG$1,0)-1)=TRUE),0,OFFSET(Tabella!$G$1,MATCH(J489,Tabella!$G:$G,0)-1,MATCH(K489,Tabella!$G$1:$AB$1,0)-1))</f>
        <v>0</v>
      </c>
      <c r="S489" s="255">
        <f ca="1">IF(ISERROR(OFFSET(Ottone!$F$1,MATCH(J489,Ottone!$A:$A,0)-1,MATCH(K489,Ottone!$F$1:$FF$1,0)-1)=TRUE),0,OFFSET(Ottone!$F$1,MATCH(J489,Ottone!$A:$A,0)-1,MATCH(K489,Ottone!$F$1:$FF$1,0)-1))*IF(G489="Ottone",1,0)</f>
        <v>0</v>
      </c>
      <c r="T489" s="255">
        <f ca="1">IF(ISERROR(OFFSET(Rame!$F$1,MATCH(J489,Rame!$F:$F,0)-1,MATCH(K489,Rame!$F$1:$FF$1,0)-1)=TRUE),0,OFFSET(Rame!$F$1,MATCH(J489,Rame!$F:$F,0)-1,MATCH(K489,Rame!$F$1:$FF$1,0)-1))*IF(G489="Rame",1,0)</f>
        <v>0</v>
      </c>
      <c r="U489" s="255">
        <f ca="1">IF(ISERROR(OFFSET(Bronzo!$A$1,MATCH(J489,Bronzo!$A:$A,0)-1,MATCH(K489,Bronzo!$A$1:$AA$1,0)-1)=TRUE),0,OFFSET(Bronzo!$A$1,MATCH(J489,Bronzo!$A:$A,0)-1,MATCH(K489,Bronzo!$A$1:$AA$1,0)-1))</f>
        <v>0</v>
      </c>
      <c r="V489" s="255">
        <f t="shared" ca="1" si="163"/>
        <v>0</v>
      </c>
      <c r="W489" s="254"/>
      <c r="X489" s="255">
        <v>0</v>
      </c>
      <c r="Y489" s="256">
        <f t="shared" ca="1" si="164"/>
        <v>1.25</v>
      </c>
      <c r="Z489" s="284">
        <f t="shared" si="165"/>
        <v>1400.0000000000002</v>
      </c>
      <c r="AA489" s="253">
        <v>4.58</v>
      </c>
      <c r="AB489" s="253">
        <f t="shared" ca="1" si="166"/>
        <v>0.35000000000000009</v>
      </c>
      <c r="AC489" s="258"/>
      <c r="AH489" s="232">
        <f t="shared" ca="1" si="156"/>
        <v>46120</v>
      </c>
      <c r="AI489" s="232" t="b">
        <f t="shared" si="157"/>
        <v>1</v>
      </c>
      <c r="AJ489" s="259" t="str">
        <f t="shared" si="162"/>
        <v/>
      </c>
      <c r="AM489" s="223">
        <f t="shared" si="158"/>
        <v>0</v>
      </c>
      <c r="AN489" s="223">
        <f t="shared" si="159"/>
        <v>1900</v>
      </c>
      <c r="AU489" s="223">
        <f t="shared" si="160"/>
        <v>0</v>
      </c>
      <c r="AV489" s="223">
        <f t="shared" si="161"/>
        <v>0</v>
      </c>
    </row>
    <row r="490" spans="4:48" ht="26.25" x14ac:dyDescent="0.4">
      <c r="D490" s="246" t="s">
        <v>698</v>
      </c>
      <c r="E490" s="252" t="s">
        <v>420</v>
      </c>
      <c r="F490" s="276">
        <v>1500</v>
      </c>
      <c r="G490" s="249" t="s">
        <v>4</v>
      </c>
      <c r="H490" s="250">
        <v>2.66</v>
      </c>
      <c r="I490" s="251">
        <v>46097</v>
      </c>
      <c r="J490" s="252" t="s">
        <v>308</v>
      </c>
      <c r="K490" s="252"/>
      <c r="L490" s="253">
        <v>0.05</v>
      </c>
      <c r="M490" s="254">
        <f ca="1">IF(ISERROR(OFFSET(Tabella!$A$1,MATCH(J490,Tabella!$A:$A,0)-1,MATCH(L490,Tabella!$A$1:$AC$1,0)-1)=TRUE),0,+OFFSET(Tabella!$A$1,MATCH(J490,Tabella!$A:$A,0)-1,MATCH(L490,Tabella!$A$1:$AC$1,0)-1))</f>
        <v>0</v>
      </c>
      <c r="N490" s="255">
        <f ca="1">IF(ISERROR(OFFSET(Ottone!$A$1,MATCH(J490,Ottone!$A:$A,0)-1,MATCH(L490,Ottone!$A$1:$Z$1,0)-1)=TRUE),0,OFFSET(Ottone!$A$1,MATCH(J490,Ottone!$A:$A,0)-1,MATCH(L490,Ottone!$A$1:$Z$1,0)-1))*IF(G490="Ottone",1,0)</f>
        <v>0</v>
      </c>
      <c r="O490" s="255">
        <f ca="1">IF(ISERROR(OFFSET(Rame!$A$1,MATCH(J490,Rame!$A:$A,0)-1,MATCH(L490,Rame!$A$1:$AA$1,0)-1)=TRUE),0,OFFSET(Rame!$A$1,MATCH(J490,Rame!$A:$A,0)-1,MATCH(L490,Rame!$A$1:$AA$1,0)-1))*IF(G490="Rame",1,0)</f>
        <v>0</v>
      </c>
      <c r="P490" s="255">
        <v>0</v>
      </c>
      <c r="Q490" s="255">
        <v>1.5</v>
      </c>
      <c r="R490" s="255">
        <f ca="1">+IF(ISERROR(OFFSET(Tabella!$G$1,MATCH(J490,Tabella!$G:$G,0)-1,MATCH(K490,Tabella!$G$1:$FG$1,0)-1)=TRUE),0,OFFSET(Tabella!$G$1,MATCH(J490,Tabella!$G:$G,0)-1,MATCH(K490,Tabella!$G$1:$AB$1,0)-1))</f>
        <v>0</v>
      </c>
      <c r="S490" s="255">
        <f ca="1">IF(ISERROR(OFFSET(Ottone!$F$1,MATCH(J490,Ottone!$A:$A,0)-1,MATCH(K490,Ottone!$F$1:$FF$1,0)-1)=TRUE),0,OFFSET(Ottone!$F$1,MATCH(J490,Ottone!$A:$A,0)-1,MATCH(K490,Ottone!$F$1:$FF$1,0)-1))*IF(G490="Ottone",1,0)</f>
        <v>0</v>
      </c>
      <c r="T490" s="255">
        <f ca="1">IF(ISERROR(OFFSET(Rame!$F$1,MATCH(J490,Rame!$F:$F,0)-1,MATCH(K490,Rame!$F$1:$FF$1,0)-1)=TRUE),0,OFFSET(Rame!$F$1,MATCH(J490,Rame!$F:$F,0)-1,MATCH(K490,Rame!$F$1:$FF$1,0)-1))*IF(G490="Rame",1,0)</f>
        <v>0</v>
      </c>
      <c r="U490" s="255">
        <f ca="1">IF(ISERROR(OFFSET(Bronzo!$A$1,MATCH(J490,Bronzo!$A:$A,0)-1,MATCH(K490,Bronzo!$A$1:$AA$1,0)-1)=TRUE),0,OFFSET(Bronzo!$A$1,MATCH(J490,Bronzo!$A:$A,0)-1,MATCH(K490,Bronzo!$A$1:$AA$1,0)-1))</f>
        <v>0</v>
      </c>
      <c r="V490" s="255">
        <f t="shared" ca="1" si="163"/>
        <v>0</v>
      </c>
      <c r="W490" s="254"/>
      <c r="X490" s="255">
        <v>0</v>
      </c>
      <c r="Y490" s="256">
        <f t="shared" ca="1" si="164"/>
        <v>1.5</v>
      </c>
      <c r="Z490" s="257">
        <f t="shared" si="165"/>
        <v>75</v>
      </c>
      <c r="AA490" s="253">
        <v>4.0999999999999996</v>
      </c>
      <c r="AB490" s="253">
        <f t="shared" ca="1" si="166"/>
        <v>-6.0000000000000497E-2</v>
      </c>
      <c r="AC490" s="258">
        <v>46147</v>
      </c>
      <c r="AH490" s="232">
        <f t="shared" ca="1" si="156"/>
        <v>46120</v>
      </c>
      <c r="AI490" s="232" t="b">
        <f t="shared" si="157"/>
        <v>0</v>
      </c>
      <c r="AJ490" s="259">
        <f t="shared" ca="1" si="162"/>
        <v>27</v>
      </c>
      <c r="AM490" s="223">
        <f t="shared" si="158"/>
        <v>19</v>
      </c>
      <c r="AN490" s="223">
        <f t="shared" si="159"/>
        <v>2026</v>
      </c>
      <c r="AU490" s="223">
        <f t="shared" si="160"/>
        <v>5</v>
      </c>
      <c r="AV490" s="223">
        <f t="shared" si="161"/>
        <v>2026</v>
      </c>
    </row>
    <row r="491" spans="4:48" ht="26.25" x14ac:dyDescent="0.4">
      <c r="D491" s="246" t="s">
        <v>698</v>
      </c>
      <c r="E491" s="252" t="s">
        <v>420</v>
      </c>
      <c r="F491" s="276">
        <v>3500</v>
      </c>
      <c r="G491" s="249" t="s">
        <v>4</v>
      </c>
      <c r="H491" s="250">
        <v>2.66</v>
      </c>
      <c r="I491" s="251">
        <v>46097</v>
      </c>
      <c r="J491" s="252" t="s">
        <v>28</v>
      </c>
      <c r="K491" s="252"/>
      <c r="L491" s="253">
        <v>0.05</v>
      </c>
      <c r="M491" s="254">
        <f ca="1">IF(ISERROR(OFFSET(Tabella!$A$1,MATCH(J491,Tabella!$A:$A,0)-1,MATCH(L491,Tabella!$A$1:$AC$1,0)-1)=TRUE),0,+OFFSET(Tabella!$A$1,MATCH(J491,Tabella!$A:$A,0)-1,MATCH(L491,Tabella!$A$1:$AC$1,0)-1))</f>
        <v>0</v>
      </c>
      <c r="N491" s="255">
        <f ca="1">IF(ISERROR(OFFSET(Ottone!$A$1,MATCH(J491,Ottone!$A:$A,0)-1,MATCH(L491,Ottone!$A$1:$Z$1,0)-1)=TRUE),0,OFFSET(Ottone!$A$1,MATCH(J491,Ottone!$A:$A,0)-1,MATCH(L491,Ottone!$A$1:$Z$1,0)-1))*IF(G491="Ottone",1,0)</f>
        <v>0</v>
      </c>
      <c r="O491" s="255">
        <f ca="1">IF(ISERROR(OFFSET(Rame!$A$1,MATCH(J491,Rame!$A:$A,0)-1,MATCH(L491,Rame!$A$1:$AA$1,0)-1)=TRUE),0,OFFSET(Rame!$A$1,MATCH(J491,Rame!$A:$A,0)-1,MATCH(L491,Rame!$A$1:$AA$1,0)-1))*IF(G491="Rame",1,0)</f>
        <v>0</v>
      </c>
      <c r="P491" s="255">
        <v>0</v>
      </c>
      <c r="Q491" s="255">
        <v>1.5</v>
      </c>
      <c r="R491" s="255">
        <f ca="1">+IF(ISERROR(OFFSET(Tabella!$G$1,MATCH(J491,Tabella!$G:$G,0)-1,MATCH(K491,Tabella!$G$1:$FG$1,0)-1)=TRUE),0,OFFSET(Tabella!$G$1,MATCH(J491,Tabella!$G:$G,0)-1,MATCH(K491,Tabella!$G$1:$AB$1,0)-1))</f>
        <v>0</v>
      </c>
      <c r="S491" s="255">
        <f ca="1">IF(ISERROR(OFFSET(Ottone!$F$1,MATCH(J491,Ottone!$A:$A,0)-1,MATCH(K491,Ottone!$F$1:$FF$1,0)-1)=TRUE),0,OFFSET(Ottone!$F$1,MATCH(J491,Ottone!$A:$A,0)-1,MATCH(K491,Ottone!$F$1:$FF$1,0)-1))*IF(G491="Ottone",1,0)</f>
        <v>0</v>
      </c>
      <c r="T491" s="255">
        <f ca="1">IF(ISERROR(OFFSET(Rame!$F$1,MATCH(J491,Rame!$F:$F,0)-1,MATCH(K491,Rame!$F$1:$FF$1,0)-1)=TRUE),0,OFFSET(Rame!$F$1,MATCH(J491,Rame!$F:$F,0)-1,MATCH(K491,Rame!$F$1:$FF$1,0)-1))*IF(G491="Rame",1,0)</f>
        <v>0</v>
      </c>
      <c r="U491" s="255">
        <f ca="1">IF(ISERROR(OFFSET(Bronzo!$A$1,MATCH(J491,Bronzo!$A:$A,0)-1,MATCH(K491,Bronzo!$A$1:$AA$1,0)-1)=TRUE),0,OFFSET(Bronzo!$A$1,MATCH(J491,Bronzo!$A:$A,0)-1,MATCH(K491,Bronzo!$A$1:$AA$1,0)-1))</f>
        <v>0</v>
      </c>
      <c r="V491" s="255">
        <f t="shared" ca="1" si="163"/>
        <v>0</v>
      </c>
      <c r="W491" s="254"/>
      <c r="X491" s="255">
        <v>0</v>
      </c>
      <c r="Y491" s="256">
        <f t="shared" ca="1" si="164"/>
        <v>1.5</v>
      </c>
      <c r="Z491" s="257">
        <f t="shared" si="165"/>
        <v>175</v>
      </c>
      <c r="AA491" s="253">
        <v>4.0999999999999996</v>
      </c>
      <c r="AB491" s="253">
        <f t="shared" ca="1" si="166"/>
        <v>-6.0000000000000497E-2</v>
      </c>
      <c r="AC491" s="258">
        <v>46115</v>
      </c>
      <c r="AH491" s="232">
        <f t="shared" ca="1" si="156"/>
        <v>46120</v>
      </c>
      <c r="AI491" s="232" t="b">
        <f t="shared" si="157"/>
        <v>0</v>
      </c>
      <c r="AJ491" s="259">
        <f t="shared" ca="1" si="162"/>
        <v>-5</v>
      </c>
      <c r="AM491" s="223">
        <f t="shared" si="158"/>
        <v>14</v>
      </c>
      <c r="AN491" s="223">
        <f t="shared" si="159"/>
        <v>2026</v>
      </c>
      <c r="AU491" s="223">
        <f t="shared" si="160"/>
        <v>4</v>
      </c>
      <c r="AV491" s="223">
        <f t="shared" si="161"/>
        <v>2026</v>
      </c>
    </row>
    <row r="492" spans="4:48" ht="26.25" x14ac:dyDescent="0.4">
      <c r="D492" s="246" t="s">
        <v>698</v>
      </c>
      <c r="E492" s="252" t="s">
        <v>420</v>
      </c>
      <c r="F492" s="276">
        <v>3000</v>
      </c>
      <c r="G492" s="249" t="s">
        <v>4</v>
      </c>
      <c r="H492" s="250">
        <v>2.66</v>
      </c>
      <c r="I492" s="251">
        <v>46097</v>
      </c>
      <c r="J492" s="252" t="s">
        <v>28</v>
      </c>
      <c r="K492" s="252"/>
      <c r="L492" s="253">
        <v>0.05</v>
      </c>
      <c r="M492" s="254">
        <f ca="1">IF(ISERROR(OFFSET(Tabella!$A$1,MATCH(J492,Tabella!$A:$A,0)-1,MATCH(L492,Tabella!$A$1:$AC$1,0)-1)=TRUE),0,+OFFSET(Tabella!$A$1,MATCH(J492,Tabella!$A:$A,0)-1,MATCH(L492,Tabella!$A$1:$AC$1,0)-1))</f>
        <v>0</v>
      </c>
      <c r="N492" s="255">
        <f ca="1">IF(ISERROR(OFFSET(Ottone!$A$1,MATCH(J492,Ottone!$A:$A,0)-1,MATCH(L492,Ottone!$A$1:$Z$1,0)-1)=TRUE),0,OFFSET(Ottone!$A$1,MATCH(J492,Ottone!$A:$A,0)-1,MATCH(L492,Ottone!$A$1:$Z$1,0)-1))*IF(G492="Ottone",1,0)</f>
        <v>0</v>
      </c>
      <c r="O492" s="255">
        <f ca="1">IF(ISERROR(OFFSET(Rame!$A$1,MATCH(J492,Rame!$A:$A,0)-1,MATCH(L492,Rame!$A$1:$AA$1,0)-1)=TRUE),0,OFFSET(Rame!$A$1,MATCH(J492,Rame!$A:$A,0)-1,MATCH(L492,Rame!$A$1:$AA$1,0)-1))*IF(G492="Rame",1,0)</f>
        <v>0</v>
      </c>
      <c r="P492" s="255">
        <v>0</v>
      </c>
      <c r="Q492" s="255">
        <v>1.5</v>
      </c>
      <c r="R492" s="255">
        <f ca="1">+IF(ISERROR(OFFSET(Tabella!$G$1,MATCH(J492,Tabella!$G:$G,0)-1,MATCH(K492,Tabella!$G$1:$FG$1,0)-1)=TRUE),0,OFFSET(Tabella!$G$1,MATCH(J492,Tabella!$G:$G,0)-1,MATCH(K492,Tabella!$G$1:$AB$1,0)-1))</f>
        <v>0</v>
      </c>
      <c r="S492" s="255">
        <f ca="1">IF(ISERROR(OFFSET(Ottone!$F$1,MATCH(J492,Ottone!$A:$A,0)-1,MATCH(K492,Ottone!$F$1:$FF$1,0)-1)=TRUE),0,OFFSET(Ottone!$F$1,MATCH(J492,Ottone!$A:$A,0)-1,MATCH(K492,Ottone!$F$1:$FF$1,0)-1))*IF(G492="Ottone",1,0)</f>
        <v>0</v>
      </c>
      <c r="T492" s="255">
        <f ca="1">IF(ISERROR(OFFSET(Rame!$F$1,MATCH(J492,Rame!$F:$F,0)-1,MATCH(K492,Rame!$F$1:$FF$1,0)-1)=TRUE),0,OFFSET(Rame!$F$1,MATCH(J492,Rame!$F:$F,0)-1,MATCH(K492,Rame!$F$1:$FF$1,0)-1))*IF(G492="Rame",1,0)</f>
        <v>0</v>
      </c>
      <c r="U492" s="255">
        <f ca="1">IF(ISERROR(OFFSET(Bronzo!$A$1,MATCH(J492,Bronzo!$A:$A,0)-1,MATCH(K492,Bronzo!$A$1:$AA$1,0)-1)=TRUE),0,OFFSET(Bronzo!$A$1,MATCH(J492,Bronzo!$A:$A,0)-1,MATCH(K492,Bronzo!$A$1:$AA$1,0)-1))</f>
        <v>0</v>
      </c>
      <c r="V492" s="255">
        <f t="shared" ca="1" si="163"/>
        <v>0</v>
      </c>
      <c r="W492" s="254"/>
      <c r="X492" s="255">
        <v>0</v>
      </c>
      <c r="Y492" s="256">
        <f t="shared" ca="1" si="164"/>
        <v>1.5</v>
      </c>
      <c r="Z492" s="257">
        <f t="shared" si="165"/>
        <v>150</v>
      </c>
      <c r="AA492" s="253">
        <v>4.0999999999999996</v>
      </c>
      <c r="AB492" s="253">
        <f t="shared" ca="1" si="166"/>
        <v>-6.0000000000000497E-2</v>
      </c>
      <c r="AC492" s="258">
        <v>46147</v>
      </c>
      <c r="AH492" s="232">
        <f t="shared" ca="1" si="156"/>
        <v>46120</v>
      </c>
      <c r="AI492" s="232" t="b">
        <f t="shared" si="157"/>
        <v>0</v>
      </c>
      <c r="AJ492" s="259">
        <f t="shared" ca="1" si="162"/>
        <v>27</v>
      </c>
      <c r="AM492" s="223">
        <f t="shared" si="158"/>
        <v>19</v>
      </c>
      <c r="AN492" s="223">
        <f t="shared" si="159"/>
        <v>2026</v>
      </c>
      <c r="AU492" s="223">
        <f t="shared" si="160"/>
        <v>5</v>
      </c>
      <c r="AV492" s="223">
        <f t="shared" si="161"/>
        <v>2026</v>
      </c>
    </row>
    <row r="493" spans="4:48" ht="26.25" x14ac:dyDescent="0.4">
      <c r="D493" s="246"/>
      <c r="E493" s="252" t="s">
        <v>301</v>
      </c>
      <c r="F493" s="276">
        <v>6</v>
      </c>
      <c r="G493" s="249" t="s">
        <v>6</v>
      </c>
      <c r="H493" s="250">
        <v>11.1</v>
      </c>
      <c r="I493" s="251">
        <v>46097</v>
      </c>
      <c r="J493" s="252" t="s">
        <v>12</v>
      </c>
      <c r="K493" s="252"/>
      <c r="L493" s="253">
        <v>0.15</v>
      </c>
      <c r="M493" s="254">
        <f ca="1">IF(ISERROR(OFFSET(Tabella!$A$1,MATCH(J493,Tabella!$A:$A,0)-1,MATCH(L493,Tabella!$A$1:$AC$1,0)-1)=TRUE),0,+OFFSET(Tabella!$A$1,MATCH(J493,Tabella!$A:$A,0)-1,MATCH(L493,Tabella!$A$1:$AC$1,0)-1))</f>
        <v>0</v>
      </c>
      <c r="N493" s="255">
        <f ca="1">IF(ISERROR(OFFSET(Ottone!$A$1,MATCH(J493,Ottone!$A:$A,0)-1,MATCH(L493,Ottone!$A$1:$Z$1,0)-1)=TRUE),0,OFFSET(Ottone!$A$1,MATCH(J493,Ottone!$A:$A,0)-1,MATCH(L493,Ottone!$A$1:$Z$1,0)-1))*IF(G493="Ottone",1,0)</f>
        <v>0</v>
      </c>
      <c r="O493" s="255">
        <f ca="1">IF(ISERROR(OFFSET(Rame!$A$1,MATCH(J493,Rame!$A:$A,0)-1,MATCH(L493,Rame!$A$1:$AA$1,0)-1)=TRUE),0,OFFSET(Rame!$A$1,MATCH(J493,Rame!$A:$A,0)-1,MATCH(L493,Rame!$A$1:$AA$1,0)-1))*IF(G493="Rame",1,0)</f>
        <v>1.25</v>
      </c>
      <c r="P493" s="255">
        <v>0</v>
      </c>
      <c r="Q493" s="255">
        <f t="shared" ca="1" si="167"/>
        <v>1.25</v>
      </c>
      <c r="R493" s="255">
        <f ca="1">+IF(ISERROR(OFFSET(Tabella!$G$1,MATCH(J493,Tabella!$G:$G,0)-1,MATCH(K493,Tabella!$G$1:$FG$1,0)-1)=TRUE),0,OFFSET(Tabella!$G$1,MATCH(J493,Tabella!$G:$G,0)-1,MATCH(K493,Tabella!$G$1:$AB$1,0)-1))</f>
        <v>0</v>
      </c>
      <c r="S493" s="255">
        <f ca="1">IF(ISERROR(OFFSET(Ottone!$F$1,MATCH(J493,Ottone!$A:$A,0)-1,MATCH(K493,Ottone!$F$1:$FF$1,0)-1)=TRUE),0,OFFSET(Ottone!$F$1,MATCH(J493,Ottone!$A:$A,0)-1,MATCH(K493,Ottone!$F$1:$FF$1,0)-1))*IF(G493="Ottone",1,0)</f>
        <v>0</v>
      </c>
      <c r="T493" s="255">
        <f ca="1">IF(ISERROR(OFFSET(Rame!$F$1,MATCH(J493,Rame!$F:$F,0)-1,MATCH(K493,Rame!$F$1:$FF$1,0)-1)=TRUE),0,OFFSET(Rame!$F$1,MATCH(J493,Rame!$F:$F,0)-1,MATCH(K493,Rame!$F$1:$FF$1,0)-1))*IF(G493="Rame",1,0)</f>
        <v>0</v>
      </c>
      <c r="U493" s="255">
        <f ca="1">IF(ISERROR(OFFSET(Bronzo!$A$1,MATCH(J493,Bronzo!$A:$A,0)-1,MATCH(K493,Bronzo!$A$1:$AA$1,0)-1)=TRUE),0,OFFSET(Bronzo!$A$1,MATCH(J493,Bronzo!$A:$A,0)-1,MATCH(K493,Bronzo!$A$1:$AA$1,0)-1))</f>
        <v>0</v>
      </c>
      <c r="V493" s="255">
        <f t="shared" ca="1" si="163"/>
        <v>0</v>
      </c>
      <c r="W493" s="254"/>
      <c r="X493" s="255">
        <v>0</v>
      </c>
      <c r="Y493" s="256">
        <f t="shared" ca="1" si="164"/>
        <v>1.25</v>
      </c>
      <c r="Z493" s="257">
        <f t="shared" si="165"/>
        <v>0.89999999999999991</v>
      </c>
      <c r="AA493" s="253">
        <v>15.5</v>
      </c>
      <c r="AB493" s="253">
        <f t="shared" ca="1" si="166"/>
        <v>3.1500000000000004</v>
      </c>
      <c r="AC493" s="258"/>
      <c r="AH493" s="232">
        <f t="shared" ca="1" si="156"/>
        <v>46120</v>
      </c>
      <c r="AI493" s="232" t="b">
        <f t="shared" si="157"/>
        <v>1</v>
      </c>
      <c r="AJ493" s="259" t="str">
        <f t="shared" si="162"/>
        <v/>
      </c>
      <c r="AM493" s="223">
        <f t="shared" si="158"/>
        <v>0</v>
      </c>
      <c r="AN493" s="223">
        <f t="shared" si="159"/>
        <v>1900</v>
      </c>
      <c r="AU493" s="223">
        <f t="shared" si="160"/>
        <v>0</v>
      </c>
      <c r="AV493" s="223">
        <f t="shared" si="161"/>
        <v>0</v>
      </c>
    </row>
    <row r="494" spans="4:48" ht="26.25" x14ac:dyDescent="0.4">
      <c r="D494" s="246" t="s">
        <v>706</v>
      </c>
      <c r="E494" s="252" t="s">
        <v>420</v>
      </c>
      <c r="F494" s="276">
        <v>2000</v>
      </c>
      <c r="G494" s="249" t="s">
        <v>4</v>
      </c>
      <c r="H494" s="250">
        <v>2.66</v>
      </c>
      <c r="I494" s="251">
        <v>46044</v>
      </c>
      <c r="J494" s="252" t="s">
        <v>322</v>
      </c>
      <c r="K494" s="252"/>
      <c r="L494" s="253">
        <v>0.05</v>
      </c>
      <c r="M494" s="254">
        <f ca="1">IF(ISERROR(OFFSET(Tabella!$A$1,MATCH(J494,Tabella!$A:$A,0)-1,MATCH(L494,Tabella!$A$1:$AC$1,0)-1)=TRUE),0,+OFFSET(Tabella!$A$1,MATCH(J494,Tabella!$A:$A,0)-1,MATCH(L494,Tabella!$A$1:$AC$1,0)-1))</f>
        <v>0</v>
      </c>
      <c r="N494" s="255">
        <f ca="1">IF(ISERROR(OFFSET(Ottone!$A$1,MATCH(J494,Ottone!$A:$A,0)-1,MATCH(L494,Ottone!$A$1:$Z$1,0)-1)=TRUE),0,OFFSET(Ottone!$A$1,MATCH(J494,Ottone!$A:$A,0)-1,MATCH(L494,Ottone!$A$1:$Z$1,0)-1))*IF(G494="Ottone",1,0)</f>
        <v>0</v>
      </c>
      <c r="O494" s="255">
        <f ca="1">IF(ISERROR(OFFSET(Rame!$A$1,MATCH(J494,Rame!$A:$A,0)-1,MATCH(L494,Rame!$A$1:$AA$1,0)-1)=TRUE),0,OFFSET(Rame!$A$1,MATCH(J494,Rame!$A:$A,0)-1,MATCH(L494,Rame!$A$1:$AA$1,0)-1))*IF(G494="Rame",1,0)</f>
        <v>0</v>
      </c>
      <c r="P494" s="255">
        <v>0</v>
      </c>
      <c r="Q494" s="255">
        <v>1.5</v>
      </c>
      <c r="R494" s="255">
        <f ca="1">+IF(ISERROR(OFFSET(Tabella!$G$1,MATCH(J494,Tabella!$G:$G,0)-1,MATCH(K494,Tabella!$G$1:$FG$1,0)-1)=TRUE),0,OFFSET(Tabella!$G$1,MATCH(J494,Tabella!$G:$G,0)-1,MATCH(K494,Tabella!$G$1:$AB$1,0)-1))</f>
        <v>0</v>
      </c>
      <c r="S494" s="255">
        <f ca="1">IF(ISERROR(OFFSET(Ottone!$F$1,MATCH(J494,Ottone!$A:$A,0)-1,MATCH(K494,Ottone!$F$1:$FF$1,0)-1)=TRUE),0,OFFSET(Ottone!$F$1,MATCH(J494,Ottone!$A:$A,0)-1,MATCH(K494,Ottone!$F$1:$FF$1,0)-1))*IF(G494="Ottone",1,0)</f>
        <v>0</v>
      </c>
      <c r="T494" s="255">
        <f ca="1">IF(ISERROR(OFFSET(Rame!$F$1,MATCH(J494,Rame!$F:$F,0)-1,MATCH(K494,Rame!$F$1:$FF$1,0)-1)=TRUE),0,OFFSET(Rame!$F$1,MATCH(J494,Rame!$F:$F,0)-1,MATCH(K494,Rame!$F$1:$FF$1,0)-1))*IF(G494="Rame",1,0)</f>
        <v>0</v>
      </c>
      <c r="U494" s="255">
        <f ca="1">IF(ISERROR(OFFSET(Bronzo!$A$1,MATCH(J494,Bronzo!$A:$A,0)-1,MATCH(K494,Bronzo!$A$1:$AA$1,0)-1)=TRUE),0,OFFSET(Bronzo!$A$1,MATCH(J494,Bronzo!$A:$A,0)-1,MATCH(K494,Bronzo!$A$1:$AA$1,0)-1))</f>
        <v>0</v>
      </c>
      <c r="V494" s="255">
        <f t="shared" ca="1" si="163"/>
        <v>0</v>
      </c>
      <c r="W494" s="254"/>
      <c r="X494" s="255">
        <v>0</v>
      </c>
      <c r="Y494" s="256">
        <f t="shared" ca="1" si="164"/>
        <v>1.5</v>
      </c>
      <c r="Z494" s="257">
        <f t="shared" si="165"/>
        <v>100</v>
      </c>
      <c r="AA494" s="253">
        <v>4.0999999999999996</v>
      </c>
      <c r="AB494" s="253">
        <f t="shared" ca="1" si="166"/>
        <v>-6.0000000000000497E-2</v>
      </c>
      <c r="AC494" s="258">
        <v>46122</v>
      </c>
      <c r="AH494" s="232">
        <f t="shared" ca="1" si="156"/>
        <v>46120</v>
      </c>
      <c r="AI494" s="232" t="b">
        <f t="shared" si="157"/>
        <v>0</v>
      </c>
      <c r="AJ494" s="259">
        <f t="shared" ca="1" si="162"/>
        <v>2</v>
      </c>
      <c r="AM494" s="223">
        <f t="shared" si="158"/>
        <v>15</v>
      </c>
      <c r="AN494" s="223">
        <f t="shared" si="159"/>
        <v>2026</v>
      </c>
      <c r="AU494" s="223">
        <f t="shared" si="160"/>
        <v>4</v>
      </c>
      <c r="AV494" s="223">
        <f t="shared" si="161"/>
        <v>2026</v>
      </c>
    </row>
    <row r="495" spans="4:48" ht="26.25" x14ac:dyDescent="0.4">
      <c r="D495" s="246" t="s">
        <v>706</v>
      </c>
      <c r="E495" s="252" t="s">
        <v>420</v>
      </c>
      <c r="F495" s="276">
        <v>1000</v>
      </c>
      <c r="G495" s="249" t="s">
        <v>4</v>
      </c>
      <c r="H495" s="250">
        <v>2.66</v>
      </c>
      <c r="I495" s="251">
        <v>46044</v>
      </c>
      <c r="J495" s="252" t="s">
        <v>29</v>
      </c>
      <c r="K495" s="252"/>
      <c r="L495" s="253">
        <v>0.05</v>
      </c>
      <c r="M495" s="254">
        <f ca="1">IF(ISERROR(OFFSET(Tabella!$A$1,MATCH(J495,Tabella!$A:$A,0)-1,MATCH(L495,Tabella!$A$1:$AC$1,0)-1)=TRUE),0,+OFFSET(Tabella!$A$1,MATCH(J495,Tabella!$A:$A,0)-1,MATCH(L495,Tabella!$A$1:$AC$1,0)-1))</f>
        <v>0</v>
      </c>
      <c r="N495" s="255">
        <f ca="1">IF(ISERROR(OFFSET(Ottone!$A$1,MATCH(J495,Ottone!$A:$A,0)-1,MATCH(L495,Ottone!$A$1:$Z$1,0)-1)=TRUE),0,OFFSET(Ottone!$A$1,MATCH(J495,Ottone!$A:$A,0)-1,MATCH(L495,Ottone!$A$1:$Z$1,0)-1))*IF(G495="Ottone",1,0)</f>
        <v>0</v>
      </c>
      <c r="O495" s="255">
        <f ca="1">IF(ISERROR(OFFSET(Rame!$A$1,MATCH(J495,Rame!$A:$A,0)-1,MATCH(L495,Rame!$A$1:$AA$1,0)-1)=TRUE),0,OFFSET(Rame!$A$1,MATCH(J495,Rame!$A:$A,0)-1,MATCH(L495,Rame!$A$1:$AA$1,0)-1))*IF(G495="Rame",1,0)</f>
        <v>0</v>
      </c>
      <c r="P495" s="255">
        <v>0</v>
      </c>
      <c r="Q495" s="255">
        <v>1.5</v>
      </c>
      <c r="R495" s="255">
        <f ca="1">+IF(ISERROR(OFFSET(Tabella!$G$1,MATCH(J495,Tabella!$G:$G,0)-1,MATCH(K495,Tabella!$G$1:$FG$1,0)-1)=TRUE),0,OFFSET(Tabella!$G$1,MATCH(J495,Tabella!$G:$G,0)-1,MATCH(K495,Tabella!$G$1:$AB$1,0)-1))</f>
        <v>0</v>
      </c>
      <c r="S495" s="255">
        <f ca="1">IF(ISERROR(OFFSET(Ottone!$F$1,MATCH(J495,Ottone!$A:$A,0)-1,MATCH(K495,Ottone!$F$1:$FF$1,0)-1)=TRUE),0,OFFSET(Ottone!$F$1,MATCH(J495,Ottone!$A:$A,0)-1,MATCH(K495,Ottone!$F$1:$FF$1,0)-1))*IF(G495="Ottone",1,0)</f>
        <v>0</v>
      </c>
      <c r="T495" s="255">
        <f ca="1">IF(ISERROR(OFFSET(Rame!$F$1,MATCH(J495,Rame!$F:$F,0)-1,MATCH(K495,Rame!$F$1:$FF$1,0)-1)=TRUE),0,OFFSET(Rame!$F$1,MATCH(J495,Rame!$F:$F,0)-1,MATCH(K495,Rame!$F$1:$FF$1,0)-1))*IF(G495="Rame",1,0)</f>
        <v>0</v>
      </c>
      <c r="U495" s="255">
        <f ca="1">IF(ISERROR(OFFSET(Bronzo!$A$1,MATCH(J495,Bronzo!$A:$A,0)-1,MATCH(K495,Bronzo!$A$1:$AA$1,0)-1)=TRUE),0,OFFSET(Bronzo!$A$1,MATCH(J495,Bronzo!$A:$A,0)-1,MATCH(K495,Bronzo!$A$1:$AA$1,0)-1))</f>
        <v>0</v>
      </c>
      <c r="V495" s="255">
        <f t="shared" ca="1" si="163"/>
        <v>0</v>
      </c>
      <c r="W495" s="254"/>
      <c r="X495" s="255">
        <v>0</v>
      </c>
      <c r="Y495" s="256">
        <f t="shared" ca="1" si="164"/>
        <v>1.5</v>
      </c>
      <c r="Z495" s="257">
        <f t="shared" si="165"/>
        <v>50</v>
      </c>
      <c r="AA495" s="253">
        <v>4.0999999999999996</v>
      </c>
      <c r="AB495" s="253">
        <f t="shared" ca="1" si="166"/>
        <v>-6.0000000000000497E-2</v>
      </c>
      <c r="AC495" s="258">
        <v>46122</v>
      </c>
      <c r="AH495" s="232">
        <f t="shared" ca="1" si="156"/>
        <v>46120</v>
      </c>
      <c r="AI495" s="232" t="b">
        <f t="shared" si="157"/>
        <v>0</v>
      </c>
      <c r="AJ495" s="259">
        <f t="shared" ca="1" si="162"/>
        <v>2</v>
      </c>
      <c r="AM495" s="223">
        <f t="shared" si="158"/>
        <v>15</v>
      </c>
      <c r="AN495" s="223">
        <f t="shared" si="159"/>
        <v>2026</v>
      </c>
      <c r="AU495" s="223">
        <f t="shared" si="160"/>
        <v>4</v>
      </c>
      <c r="AV495" s="223">
        <f t="shared" si="161"/>
        <v>2026</v>
      </c>
    </row>
    <row r="496" spans="4:48" ht="26.25" x14ac:dyDescent="0.4">
      <c r="D496" s="246" t="s">
        <v>703</v>
      </c>
      <c r="E496" s="252" t="s">
        <v>97</v>
      </c>
      <c r="F496" s="276">
        <v>250</v>
      </c>
      <c r="G496" s="249" t="s">
        <v>6</v>
      </c>
      <c r="H496" s="250">
        <v>10.99</v>
      </c>
      <c r="I496" s="251">
        <v>46097</v>
      </c>
      <c r="J496" s="252" t="s">
        <v>14</v>
      </c>
      <c r="K496" s="252"/>
      <c r="L496" s="253">
        <v>0.15</v>
      </c>
      <c r="M496" s="254">
        <f ca="1">IF(ISERROR(OFFSET(Tabella!$A$1,MATCH(J496,Tabella!$A:$A,0)-1,MATCH(L496,Tabella!$A$1:$AC$1,0)-1)=TRUE),0,+OFFSET(Tabella!$A$1,MATCH(J496,Tabella!$A:$A,0)-1,MATCH(L496,Tabella!$A$1:$AC$1,0)-1))</f>
        <v>0</v>
      </c>
      <c r="N496" s="255">
        <f ca="1">IF(ISERROR(OFFSET(Ottone!$A$1,MATCH(J496,Ottone!$A:$A,0)-1,MATCH(L496,Ottone!$A$1:$Z$1,0)-1)=TRUE),0,OFFSET(Ottone!$A$1,MATCH(J496,Ottone!$A:$A,0)-1,MATCH(L496,Ottone!$A$1:$Z$1,0)-1))*IF(G496="Ottone",1,0)</f>
        <v>0</v>
      </c>
      <c r="O496" s="255">
        <f ca="1">IF(ISERROR(OFFSET(Rame!$A$1,MATCH(J496,Rame!$A:$A,0)-1,MATCH(L496,Rame!$A$1:$AA$1,0)-1)=TRUE),0,OFFSET(Rame!$A$1,MATCH(J496,Rame!$A:$A,0)-1,MATCH(L496,Rame!$A$1:$AA$1,0)-1))*IF(G496="Rame",1,0)</f>
        <v>1</v>
      </c>
      <c r="P496" s="255">
        <v>0</v>
      </c>
      <c r="Q496" s="255">
        <f t="shared" ca="1" si="167"/>
        <v>1</v>
      </c>
      <c r="R496" s="255">
        <f ca="1">+IF(ISERROR(OFFSET(Tabella!$G$1,MATCH(J496,Tabella!$G:$G,0)-1,MATCH(K496,Tabella!$G$1:$FG$1,0)-1)=TRUE),0,OFFSET(Tabella!$G$1,MATCH(J496,Tabella!$G:$G,0)-1,MATCH(K496,Tabella!$G$1:$AB$1,0)-1))</f>
        <v>0</v>
      </c>
      <c r="S496" s="255">
        <f ca="1">IF(ISERROR(OFFSET(Ottone!$F$1,MATCH(J496,Ottone!$A:$A,0)-1,MATCH(K496,Ottone!$F$1:$FF$1,0)-1)=TRUE),0,OFFSET(Ottone!$F$1,MATCH(J496,Ottone!$A:$A,0)-1,MATCH(K496,Ottone!$F$1:$FF$1,0)-1))*IF(G496="Ottone",1,0)</f>
        <v>0</v>
      </c>
      <c r="T496" s="255">
        <f ca="1">IF(ISERROR(OFFSET(Rame!$F$1,MATCH(J496,Rame!$F:$F,0)-1,MATCH(K496,Rame!$F$1:$FF$1,0)-1)=TRUE),0,OFFSET(Rame!$F$1,MATCH(J496,Rame!$F:$F,0)-1,MATCH(K496,Rame!$F$1:$FF$1,0)-1))*IF(G496="Rame",1,0)</f>
        <v>0</v>
      </c>
      <c r="U496" s="255">
        <f ca="1">IF(ISERROR(OFFSET(Bronzo!$A$1,MATCH(J496,Bronzo!$A:$A,0)-1,MATCH(K496,Bronzo!$A$1:$AA$1,0)-1)=TRUE),0,OFFSET(Bronzo!$A$1,MATCH(J496,Bronzo!$A:$A,0)-1,MATCH(K496,Bronzo!$A$1:$AA$1,0)-1))</f>
        <v>0</v>
      </c>
      <c r="V496" s="255">
        <f t="shared" ca="1" si="163"/>
        <v>0</v>
      </c>
      <c r="W496" s="254"/>
      <c r="X496" s="255">
        <v>0</v>
      </c>
      <c r="Y496" s="256">
        <f t="shared" ca="1" si="164"/>
        <v>1</v>
      </c>
      <c r="Z496" s="257">
        <f t="shared" si="165"/>
        <v>37.5</v>
      </c>
      <c r="AA496" s="253">
        <v>14.6</v>
      </c>
      <c r="AB496" s="253">
        <f t="shared" ca="1" si="166"/>
        <v>2.6099999999999994</v>
      </c>
      <c r="AC496" s="258">
        <v>46146</v>
      </c>
      <c r="AH496" s="232">
        <f t="shared" ca="1" si="156"/>
        <v>46120</v>
      </c>
      <c r="AI496" s="232" t="b">
        <f t="shared" si="157"/>
        <v>0</v>
      </c>
      <c r="AJ496" s="259">
        <f t="shared" ca="1" si="162"/>
        <v>26</v>
      </c>
      <c r="AM496" s="223">
        <f t="shared" si="158"/>
        <v>19</v>
      </c>
      <c r="AN496" s="223">
        <f t="shared" si="159"/>
        <v>2026</v>
      </c>
      <c r="AU496" s="223">
        <f t="shared" si="160"/>
        <v>5</v>
      </c>
      <c r="AV496" s="223">
        <f t="shared" si="161"/>
        <v>2026</v>
      </c>
    </row>
    <row r="497" spans="4:48" ht="26.25" x14ac:dyDescent="0.4">
      <c r="D497" s="246" t="s">
        <v>713</v>
      </c>
      <c r="E497" s="252" t="s">
        <v>228</v>
      </c>
      <c r="F497" s="276">
        <v>240</v>
      </c>
      <c r="G497" s="249" t="s">
        <v>4</v>
      </c>
      <c r="H497" s="250">
        <v>2.9</v>
      </c>
      <c r="I497" s="251">
        <v>46099</v>
      </c>
      <c r="J497" s="252" t="s">
        <v>19</v>
      </c>
      <c r="K497" s="252"/>
      <c r="L497" s="253">
        <v>0.3</v>
      </c>
      <c r="M497" s="254">
        <f ca="1">IF(ISERROR(OFFSET(Tabella!$A$1,MATCH(J497,Tabella!$A:$A,0)-1,MATCH(L497,Tabella!$A$1:$AC$1,0)-1)=TRUE),0,+OFFSET(Tabella!$A$1,MATCH(J497,Tabella!$A:$A,0)-1,MATCH(L497,Tabella!$A$1:$AC$1,0)-1))</f>
        <v>0</v>
      </c>
      <c r="N497" s="255">
        <f ca="1">IF(ISERROR(OFFSET(Ottone!$A$1,MATCH(J497,Ottone!$A:$A,0)-1,MATCH(L497,Ottone!$A$1:$Z$1,0)-1)=TRUE),0,OFFSET(Ottone!$A$1,MATCH(J497,Ottone!$A:$A,0)-1,MATCH(L497,Ottone!$A$1:$Z$1,0)-1))*IF(G497="Ottone",1,0)</f>
        <v>0</v>
      </c>
      <c r="O497" s="255">
        <f ca="1">IF(ISERROR(OFFSET(Rame!$A$1,MATCH(J497,Rame!$A:$A,0)-1,MATCH(L497,Rame!$A$1:$AA$1,0)-1)=TRUE),0,OFFSET(Rame!$A$1,MATCH(J497,Rame!$A:$A,0)-1,MATCH(L497,Rame!$A$1:$AA$1,0)-1))*IF(G497="Rame",1,0)</f>
        <v>0</v>
      </c>
      <c r="P497" s="255">
        <v>0</v>
      </c>
      <c r="Q497" s="255">
        <v>1.65</v>
      </c>
      <c r="R497" s="255">
        <f ca="1">+IF(ISERROR(OFFSET(Tabella!$G$1,MATCH(J497,Tabella!$G:$G,0)-1,MATCH(K497,Tabella!$G$1:$FG$1,0)-1)=TRUE),0,OFFSET(Tabella!$G$1,MATCH(J497,Tabella!$G:$G,0)-1,MATCH(K497,Tabella!$G$1:$AB$1,0)-1))</f>
        <v>0</v>
      </c>
      <c r="S497" s="255">
        <f ca="1">IF(ISERROR(OFFSET(Ottone!$F$1,MATCH(J497,Ottone!$A:$A,0)-1,MATCH(K497,Ottone!$F$1:$FF$1,0)-1)=TRUE),0,OFFSET(Ottone!$F$1,MATCH(J497,Ottone!$A:$A,0)-1,MATCH(K497,Ottone!$F$1:$FF$1,0)-1))*IF(G497="Ottone",1,0)</f>
        <v>0</v>
      </c>
      <c r="T497" s="255">
        <f ca="1">IF(ISERROR(OFFSET(Rame!$F$1,MATCH(J497,Rame!$F:$F,0)-1,MATCH(K497,Rame!$F$1:$FF$1,0)-1)=TRUE),0,OFFSET(Rame!$F$1,MATCH(J497,Rame!$F:$F,0)-1,MATCH(K497,Rame!$F$1:$FF$1,0)-1))*IF(G497="Rame",1,0)</f>
        <v>0</v>
      </c>
      <c r="U497" s="255">
        <f ca="1">IF(ISERROR(OFFSET(Bronzo!$A$1,MATCH(J497,Bronzo!$A:$A,0)-1,MATCH(K497,Bronzo!$A$1:$AA$1,0)-1)=TRUE),0,OFFSET(Bronzo!$A$1,MATCH(J497,Bronzo!$A:$A,0)-1,MATCH(K497,Bronzo!$A$1:$AA$1,0)-1))</f>
        <v>0</v>
      </c>
      <c r="V497" s="255">
        <f t="shared" ca="1" si="163"/>
        <v>0</v>
      </c>
      <c r="W497" s="254"/>
      <c r="X497" s="255">
        <v>0</v>
      </c>
      <c r="Y497" s="256">
        <f t="shared" ca="1" si="164"/>
        <v>1.65</v>
      </c>
      <c r="Z497" s="257">
        <f t="shared" si="165"/>
        <v>72</v>
      </c>
      <c r="AA497" s="253">
        <v>5.0999999999999996</v>
      </c>
      <c r="AB497" s="253">
        <f t="shared" ca="1" si="166"/>
        <v>0.54999999999999982</v>
      </c>
      <c r="AC497" s="258">
        <v>46121</v>
      </c>
      <c r="AH497" s="232">
        <f t="shared" ca="1" si="156"/>
        <v>46120</v>
      </c>
      <c r="AI497" s="232" t="b">
        <f t="shared" si="157"/>
        <v>0</v>
      </c>
      <c r="AJ497" s="259">
        <f t="shared" ca="1" si="162"/>
        <v>1</v>
      </c>
      <c r="AM497" s="223">
        <f t="shared" si="158"/>
        <v>15</v>
      </c>
      <c r="AN497" s="223">
        <f t="shared" si="159"/>
        <v>2026</v>
      </c>
      <c r="AU497" s="223">
        <f t="shared" si="160"/>
        <v>4</v>
      </c>
      <c r="AV497" s="223">
        <f t="shared" si="161"/>
        <v>2026</v>
      </c>
    </row>
    <row r="498" spans="4:48" ht="26.25" x14ac:dyDescent="0.4">
      <c r="D498" s="246"/>
      <c r="E498" s="252" t="s">
        <v>440</v>
      </c>
      <c r="F498" s="276">
        <v>1000</v>
      </c>
      <c r="G498" s="249" t="s">
        <v>6</v>
      </c>
      <c r="H498" s="250">
        <v>11.15</v>
      </c>
      <c r="I498" s="251">
        <v>46097</v>
      </c>
      <c r="J498" s="252" t="s">
        <v>20</v>
      </c>
      <c r="K498" s="252"/>
      <c r="L498" s="253">
        <v>0.15</v>
      </c>
      <c r="M498" s="254">
        <f ca="1">IF(ISERROR(OFFSET(Tabella!$A$1,MATCH(J498,Tabella!$A:$A,0)-1,MATCH(L498,Tabella!$A$1:$AC$1,0)-1)=TRUE),0,+OFFSET(Tabella!$A$1,MATCH(J498,Tabella!$A:$A,0)-1,MATCH(L498,Tabella!$A$1:$AC$1,0)-1))</f>
        <v>0</v>
      </c>
      <c r="N498" s="255">
        <f ca="1">IF(ISERROR(OFFSET(Ottone!$A$1,MATCH(J498,Ottone!$A:$A,0)-1,MATCH(L498,Ottone!$A$1:$Z$1,0)-1)=TRUE),0,OFFSET(Ottone!$A$1,MATCH(J498,Ottone!$A:$A,0)-1,MATCH(L498,Ottone!$A$1:$Z$1,0)-1))*IF(G498="Ottone",1,0)</f>
        <v>0</v>
      </c>
      <c r="O498" s="255">
        <f ca="1">IF(ISERROR(OFFSET(Rame!$A$1,MATCH(J498,Rame!$A:$A,0)-1,MATCH(L498,Rame!$A$1:$AA$1,0)-1)=TRUE),0,OFFSET(Rame!$A$1,MATCH(J498,Rame!$A:$A,0)-1,MATCH(L498,Rame!$A$1:$AA$1,0)-1))*IF(G498="Rame",1,0)</f>
        <v>1</v>
      </c>
      <c r="P498" s="255">
        <v>0</v>
      </c>
      <c r="Q498" s="255">
        <f t="shared" ca="1" si="167"/>
        <v>1</v>
      </c>
      <c r="R498" s="255">
        <f ca="1">+IF(ISERROR(OFFSET(Tabella!$G$1,MATCH(J498,Tabella!$G:$G,0)-1,MATCH(K498,Tabella!$G$1:$FG$1,0)-1)=TRUE),0,OFFSET(Tabella!$G$1,MATCH(J498,Tabella!$G:$G,0)-1,MATCH(K498,Tabella!$G$1:$AB$1,0)-1))</f>
        <v>0</v>
      </c>
      <c r="S498" s="255">
        <f ca="1">IF(ISERROR(OFFSET(Ottone!$F$1,MATCH(J498,Ottone!$A:$A,0)-1,MATCH(K498,Ottone!$F$1:$FF$1,0)-1)=TRUE),0,OFFSET(Ottone!$F$1,MATCH(J498,Ottone!$A:$A,0)-1,MATCH(K498,Ottone!$F$1:$FF$1,0)-1))*IF(G498="Ottone",1,0)</f>
        <v>0</v>
      </c>
      <c r="T498" s="255">
        <f ca="1">IF(ISERROR(OFFSET(Rame!$F$1,MATCH(J498,Rame!$F:$F,0)-1,MATCH(K498,Rame!$F$1:$FF$1,0)-1)=TRUE),0,OFFSET(Rame!$F$1,MATCH(J498,Rame!$F:$F,0)-1,MATCH(K498,Rame!$F$1:$FF$1,0)-1))*IF(G498="Rame",1,0)</f>
        <v>0</v>
      </c>
      <c r="U498" s="255">
        <f ca="1">IF(ISERROR(OFFSET(Bronzo!$A$1,MATCH(J498,Bronzo!$A:$A,0)-1,MATCH(K498,Bronzo!$A$1:$AA$1,0)-1)=TRUE),0,OFFSET(Bronzo!$A$1,MATCH(J498,Bronzo!$A:$A,0)-1,MATCH(K498,Bronzo!$A$1:$AA$1,0)-1))</f>
        <v>0</v>
      </c>
      <c r="V498" s="255">
        <f t="shared" ca="1" si="163"/>
        <v>0</v>
      </c>
      <c r="W498" s="254"/>
      <c r="X498" s="255">
        <v>0</v>
      </c>
      <c r="Y498" s="256">
        <f t="shared" ca="1" si="164"/>
        <v>1</v>
      </c>
      <c r="Z498" s="257">
        <f t="shared" si="165"/>
        <v>150</v>
      </c>
      <c r="AA498" s="253">
        <v>14.7</v>
      </c>
      <c r="AB498" s="253">
        <f t="shared" ca="1" si="166"/>
        <v>2.5499999999999989</v>
      </c>
      <c r="AC498" s="258"/>
      <c r="AH498" s="232">
        <f t="shared" ca="1" si="156"/>
        <v>46120</v>
      </c>
      <c r="AI498" s="232" t="b">
        <f t="shared" si="157"/>
        <v>1</v>
      </c>
      <c r="AJ498" s="259" t="str">
        <f t="shared" si="162"/>
        <v/>
      </c>
      <c r="AM498" s="223">
        <f t="shared" si="158"/>
        <v>0</v>
      </c>
      <c r="AN498" s="223">
        <f t="shared" si="159"/>
        <v>1900</v>
      </c>
      <c r="AU498" s="223">
        <f t="shared" si="160"/>
        <v>0</v>
      </c>
      <c r="AV498" s="223">
        <f t="shared" si="161"/>
        <v>0</v>
      </c>
    </row>
    <row r="499" spans="4:48" ht="26.25" x14ac:dyDescent="0.4">
      <c r="D499" s="246" t="s">
        <v>705</v>
      </c>
      <c r="E499" s="252" t="s">
        <v>212</v>
      </c>
      <c r="F499" s="276">
        <v>6500</v>
      </c>
      <c r="G499" s="249" t="s">
        <v>4</v>
      </c>
      <c r="H499" s="250">
        <v>2.61</v>
      </c>
      <c r="I499" s="251">
        <v>46099</v>
      </c>
      <c r="J499" s="252" t="s">
        <v>23</v>
      </c>
      <c r="K499" s="252"/>
      <c r="L499" s="253">
        <v>0.05</v>
      </c>
      <c r="M499" s="254">
        <f ca="1">IF(ISERROR(OFFSET(Tabella!$A$1,MATCH(J499,Tabella!$A:$A,0)-1,MATCH(L499,Tabella!$A$1:$AC$1,0)-1)=TRUE),0,+OFFSET(Tabella!$A$1,MATCH(J499,Tabella!$A:$A,0)-1,MATCH(L499,Tabella!$A$1:$AC$1,0)-1))</f>
        <v>0</v>
      </c>
      <c r="N499" s="255">
        <f ca="1">IF(ISERROR(OFFSET(Ottone!$A$1,MATCH(J499,Ottone!$A:$A,0)-1,MATCH(L499,Ottone!$A$1:$Z$1,0)-1)=TRUE),0,OFFSET(Ottone!$A$1,MATCH(J499,Ottone!$A:$A,0)-1,MATCH(L499,Ottone!$A$1:$Z$1,0)-1))*IF(G499="Ottone",1,0)</f>
        <v>0</v>
      </c>
      <c r="O499" s="255">
        <f ca="1">IF(ISERROR(OFFSET(Rame!$A$1,MATCH(J499,Rame!$A:$A,0)-1,MATCH(L499,Rame!$A$1:$AA$1,0)-1)=TRUE),0,OFFSET(Rame!$A$1,MATCH(J499,Rame!$A:$A,0)-1,MATCH(L499,Rame!$A$1:$AA$1,0)-1))*IF(G499="Rame",1,0)</f>
        <v>0</v>
      </c>
      <c r="P499" s="255">
        <v>0</v>
      </c>
      <c r="Q499" s="255">
        <v>1.37</v>
      </c>
      <c r="R499" s="255">
        <f ca="1">+IF(ISERROR(OFFSET(Tabella!$G$1,MATCH(J499,Tabella!$G:$G,0)-1,MATCH(K499,Tabella!$G$1:$FG$1,0)-1)=TRUE),0,OFFSET(Tabella!$G$1,MATCH(J499,Tabella!$G:$G,0)-1,MATCH(K499,Tabella!$G$1:$AB$1,0)-1))</f>
        <v>0</v>
      </c>
      <c r="S499" s="255">
        <f ca="1">IF(ISERROR(OFFSET(Ottone!$F$1,MATCH(J499,Ottone!$A:$A,0)-1,MATCH(K499,Ottone!$F$1:$FF$1,0)-1)=TRUE),0,OFFSET(Ottone!$F$1,MATCH(J499,Ottone!$A:$A,0)-1,MATCH(K499,Ottone!$F$1:$FF$1,0)-1))*IF(G499="Ottone",1,0)</f>
        <v>0</v>
      </c>
      <c r="T499" s="255">
        <f ca="1">IF(ISERROR(OFFSET(Rame!$F$1,MATCH(J499,Rame!$F:$F,0)-1,MATCH(K499,Rame!$F$1:$FF$1,0)-1)=TRUE),0,OFFSET(Rame!$F$1,MATCH(J499,Rame!$F:$F,0)-1,MATCH(K499,Rame!$F$1:$FF$1,0)-1))*IF(G499="Rame",1,0)</f>
        <v>0</v>
      </c>
      <c r="U499" s="255">
        <f ca="1">IF(ISERROR(OFFSET(Bronzo!$A$1,MATCH(J499,Bronzo!$A:$A,0)-1,MATCH(K499,Bronzo!$A$1:$AA$1,0)-1)=TRUE),0,OFFSET(Bronzo!$A$1,MATCH(J499,Bronzo!$A:$A,0)-1,MATCH(K499,Bronzo!$A$1:$AA$1,0)-1))</f>
        <v>0</v>
      </c>
      <c r="V499" s="255">
        <f t="shared" ca="1" si="163"/>
        <v>0</v>
      </c>
      <c r="W499" s="254"/>
      <c r="X499" s="255">
        <v>0</v>
      </c>
      <c r="Y499" s="256">
        <f t="shared" ca="1" si="164"/>
        <v>1.37</v>
      </c>
      <c r="Z499" s="257">
        <f t="shared" si="165"/>
        <v>325</v>
      </c>
      <c r="AA499" s="253">
        <v>3.98</v>
      </c>
      <c r="AB499" s="253">
        <f t="shared" ca="1" si="166"/>
        <v>0</v>
      </c>
      <c r="AC499" s="258">
        <v>46113</v>
      </c>
      <c r="AH499" s="232">
        <f t="shared" ca="1" si="156"/>
        <v>46120</v>
      </c>
      <c r="AI499" s="232" t="b">
        <f t="shared" si="157"/>
        <v>0</v>
      </c>
      <c r="AJ499" s="259">
        <f t="shared" ca="1" si="162"/>
        <v>-7</v>
      </c>
      <c r="AM499" s="223">
        <f t="shared" si="158"/>
        <v>14</v>
      </c>
      <c r="AN499" s="223">
        <f t="shared" si="159"/>
        <v>2026</v>
      </c>
      <c r="AU499" s="223">
        <f t="shared" si="160"/>
        <v>4</v>
      </c>
      <c r="AV499" s="223">
        <f t="shared" si="161"/>
        <v>2026</v>
      </c>
    </row>
    <row r="500" spans="4:48" ht="26.25" x14ac:dyDescent="0.4">
      <c r="D500" s="246" t="s">
        <v>705</v>
      </c>
      <c r="E500" s="252" t="s">
        <v>212</v>
      </c>
      <c r="F500" s="276">
        <v>6500</v>
      </c>
      <c r="G500" s="249" t="s">
        <v>4</v>
      </c>
      <c r="H500" s="250">
        <v>2.61</v>
      </c>
      <c r="I500" s="251">
        <v>46099</v>
      </c>
      <c r="J500" s="252" t="s">
        <v>23</v>
      </c>
      <c r="K500" s="252"/>
      <c r="L500" s="253">
        <v>0.05</v>
      </c>
      <c r="M500" s="254">
        <f ca="1">IF(ISERROR(OFFSET(Tabella!$A$1,MATCH(J500,Tabella!$A:$A,0)-1,MATCH(L500,Tabella!$A$1:$AC$1,0)-1)=TRUE),0,+OFFSET(Tabella!$A$1,MATCH(J500,Tabella!$A:$A,0)-1,MATCH(L500,Tabella!$A$1:$AC$1,0)-1))</f>
        <v>0</v>
      </c>
      <c r="N500" s="255">
        <f ca="1">IF(ISERROR(OFFSET(Ottone!$A$1,MATCH(J500,Ottone!$A:$A,0)-1,MATCH(L500,Ottone!$A$1:$Z$1,0)-1)=TRUE),0,OFFSET(Ottone!$A$1,MATCH(J500,Ottone!$A:$A,0)-1,MATCH(L500,Ottone!$A$1:$Z$1,0)-1))*IF(G500="Ottone",1,0)</f>
        <v>0</v>
      </c>
      <c r="O500" s="255">
        <f ca="1">IF(ISERROR(OFFSET(Rame!$A$1,MATCH(J500,Rame!$A:$A,0)-1,MATCH(L500,Rame!$A$1:$AA$1,0)-1)=TRUE),0,OFFSET(Rame!$A$1,MATCH(J500,Rame!$A:$A,0)-1,MATCH(L500,Rame!$A$1:$AA$1,0)-1))*IF(G500="Rame",1,0)</f>
        <v>0</v>
      </c>
      <c r="P500" s="255">
        <v>0</v>
      </c>
      <c r="Q500" s="255">
        <v>1.37</v>
      </c>
      <c r="R500" s="255">
        <f ca="1">+IF(ISERROR(OFFSET(Tabella!$G$1,MATCH(J500,Tabella!$G:$G,0)-1,MATCH(K500,Tabella!$G$1:$FG$1,0)-1)=TRUE),0,OFFSET(Tabella!$G$1,MATCH(J500,Tabella!$G:$G,0)-1,MATCH(K500,Tabella!$G$1:$AB$1,0)-1))</f>
        <v>0</v>
      </c>
      <c r="S500" s="255">
        <f ca="1">IF(ISERROR(OFFSET(Ottone!$F$1,MATCH(J500,Ottone!$A:$A,0)-1,MATCH(K500,Ottone!$F$1:$FF$1,0)-1)=TRUE),0,OFFSET(Ottone!$F$1,MATCH(J500,Ottone!$A:$A,0)-1,MATCH(K500,Ottone!$F$1:$FF$1,0)-1))*IF(G500="Ottone",1,0)</f>
        <v>0</v>
      </c>
      <c r="T500" s="255">
        <f ca="1">IF(ISERROR(OFFSET(Rame!$F$1,MATCH(J500,Rame!$F:$F,0)-1,MATCH(K500,Rame!$F$1:$FF$1,0)-1)=TRUE),0,OFFSET(Rame!$F$1,MATCH(J500,Rame!$F:$F,0)-1,MATCH(K500,Rame!$F$1:$FF$1,0)-1))*IF(G500="Rame",1,0)</f>
        <v>0</v>
      </c>
      <c r="U500" s="255">
        <f ca="1">IF(ISERROR(OFFSET(Bronzo!$A$1,MATCH(J500,Bronzo!$A:$A,0)-1,MATCH(K500,Bronzo!$A$1:$AA$1,0)-1)=TRUE),0,OFFSET(Bronzo!$A$1,MATCH(J500,Bronzo!$A:$A,0)-1,MATCH(K500,Bronzo!$A$1:$AA$1,0)-1))</f>
        <v>0</v>
      </c>
      <c r="V500" s="255">
        <f t="shared" ca="1" si="163"/>
        <v>0</v>
      </c>
      <c r="W500" s="254"/>
      <c r="X500" s="255">
        <v>0</v>
      </c>
      <c r="Y500" s="256">
        <f t="shared" ca="1" si="164"/>
        <v>1.37</v>
      </c>
      <c r="Z500" s="257">
        <f t="shared" si="165"/>
        <v>325</v>
      </c>
      <c r="AA500" s="253">
        <v>3.98</v>
      </c>
      <c r="AB500" s="253">
        <f t="shared" ca="1" si="166"/>
        <v>0</v>
      </c>
      <c r="AC500" s="258">
        <v>46125</v>
      </c>
      <c r="AH500" s="232">
        <f t="shared" ca="1" si="156"/>
        <v>46120</v>
      </c>
      <c r="AI500" s="232" t="b">
        <f t="shared" si="157"/>
        <v>0</v>
      </c>
      <c r="AJ500" s="259">
        <f t="shared" ca="1" si="162"/>
        <v>5</v>
      </c>
      <c r="AM500" s="223">
        <f t="shared" si="158"/>
        <v>16</v>
      </c>
      <c r="AN500" s="223">
        <f t="shared" si="159"/>
        <v>2026</v>
      </c>
      <c r="AU500" s="223">
        <f t="shared" si="160"/>
        <v>4</v>
      </c>
      <c r="AV500" s="223">
        <f t="shared" si="161"/>
        <v>2026</v>
      </c>
    </row>
    <row r="501" spans="4:48" ht="26.25" x14ac:dyDescent="0.4">
      <c r="D501" s="246" t="s">
        <v>704</v>
      </c>
      <c r="E501" s="252" t="s">
        <v>212</v>
      </c>
      <c r="F501" s="276">
        <v>2000</v>
      </c>
      <c r="G501" s="249" t="s">
        <v>4</v>
      </c>
      <c r="H501" s="250">
        <v>2.61</v>
      </c>
      <c r="I501" s="251">
        <v>46099</v>
      </c>
      <c r="J501" s="252" t="s">
        <v>24</v>
      </c>
      <c r="K501" s="252"/>
      <c r="L501" s="253">
        <v>0.05</v>
      </c>
      <c r="M501" s="254">
        <f ca="1">IF(ISERROR(OFFSET(Tabella!$A$1,MATCH(J501,Tabella!$A:$A,0)-1,MATCH(L501,Tabella!$A$1:$AC$1,0)-1)=TRUE),0,+OFFSET(Tabella!$A$1,MATCH(J501,Tabella!$A:$A,0)-1,MATCH(L501,Tabella!$A$1:$AC$1,0)-1))</f>
        <v>0</v>
      </c>
      <c r="N501" s="255">
        <f ca="1">IF(ISERROR(OFFSET(Ottone!$A$1,MATCH(J501,Ottone!$A:$A,0)-1,MATCH(L501,Ottone!$A$1:$Z$1,0)-1)=TRUE),0,OFFSET(Ottone!$A$1,MATCH(J501,Ottone!$A:$A,0)-1,MATCH(L501,Ottone!$A$1:$Z$1,0)-1))*IF(G501="Ottone",1,0)</f>
        <v>0</v>
      </c>
      <c r="O501" s="255">
        <f ca="1">IF(ISERROR(OFFSET(Rame!$A$1,MATCH(J501,Rame!$A:$A,0)-1,MATCH(L501,Rame!$A$1:$AA$1,0)-1)=TRUE),0,OFFSET(Rame!$A$1,MATCH(J501,Rame!$A:$A,0)-1,MATCH(L501,Rame!$A$1:$AA$1,0)-1))*IF(G501="Rame",1,0)</f>
        <v>0</v>
      </c>
      <c r="P501" s="255">
        <v>0</v>
      </c>
      <c r="Q501" s="255">
        <v>1.47</v>
      </c>
      <c r="R501" s="255">
        <f ca="1">+IF(ISERROR(OFFSET(Tabella!$G$1,MATCH(J501,Tabella!$G:$G,0)-1,MATCH(K501,Tabella!$G$1:$FG$1,0)-1)=TRUE),0,OFFSET(Tabella!$G$1,MATCH(J501,Tabella!$G:$G,0)-1,MATCH(K501,Tabella!$G$1:$AB$1,0)-1))</f>
        <v>0</v>
      </c>
      <c r="S501" s="255">
        <f ca="1">IF(ISERROR(OFFSET(Ottone!$F$1,MATCH(J501,Ottone!$A:$A,0)-1,MATCH(K501,Ottone!$F$1:$FF$1,0)-1)=TRUE),0,OFFSET(Ottone!$F$1,MATCH(J501,Ottone!$A:$A,0)-1,MATCH(K501,Ottone!$F$1:$FF$1,0)-1))*IF(G501="Ottone",1,0)</f>
        <v>0</v>
      </c>
      <c r="T501" s="255">
        <f ca="1">IF(ISERROR(OFFSET(Rame!$F$1,MATCH(J501,Rame!$F:$F,0)-1,MATCH(K501,Rame!$F$1:$FF$1,0)-1)=TRUE),0,OFFSET(Rame!$F$1,MATCH(J501,Rame!$F:$F,0)-1,MATCH(K501,Rame!$F$1:$FF$1,0)-1))*IF(G501="Rame",1,0)</f>
        <v>0</v>
      </c>
      <c r="U501" s="255">
        <f ca="1">IF(ISERROR(OFFSET(Bronzo!$A$1,MATCH(J501,Bronzo!$A:$A,0)-1,MATCH(K501,Bronzo!$A$1:$AA$1,0)-1)=TRUE),0,OFFSET(Bronzo!$A$1,MATCH(J501,Bronzo!$A:$A,0)-1,MATCH(K501,Bronzo!$A$1:$AA$1,0)-1))</f>
        <v>0</v>
      </c>
      <c r="V501" s="255">
        <f t="shared" ca="1" si="163"/>
        <v>0</v>
      </c>
      <c r="W501" s="254"/>
      <c r="X501" s="255">
        <v>0</v>
      </c>
      <c r="Y501" s="256">
        <f t="shared" ca="1" si="164"/>
        <v>1.47</v>
      </c>
      <c r="Z501" s="257">
        <f t="shared" si="165"/>
        <v>100</v>
      </c>
      <c r="AA501" s="253">
        <v>4.08</v>
      </c>
      <c r="AB501" s="253">
        <f t="shared" ca="1" si="166"/>
        <v>0</v>
      </c>
      <c r="AC501" s="258">
        <v>46142</v>
      </c>
      <c r="AH501" s="232">
        <f t="shared" ca="1" si="156"/>
        <v>46120</v>
      </c>
      <c r="AI501" s="232" t="b">
        <f t="shared" si="157"/>
        <v>0</v>
      </c>
      <c r="AJ501" s="259">
        <f t="shared" ca="1" si="162"/>
        <v>22</v>
      </c>
      <c r="AM501" s="223">
        <f t="shared" si="158"/>
        <v>18</v>
      </c>
      <c r="AN501" s="223">
        <f t="shared" si="159"/>
        <v>2026</v>
      </c>
      <c r="AU501" s="223">
        <f t="shared" si="160"/>
        <v>4</v>
      </c>
      <c r="AV501" s="223">
        <f t="shared" si="161"/>
        <v>2026</v>
      </c>
    </row>
    <row r="502" spans="4:48" ht="26.25" x14ac:dyDescent="0.4">
      <c r="D502" s="246" t="s">
        <v>725</v>
      </c>
      <c r="E502" s="252" t="s">
        <v>208</v>
      </c>
      <c r="F502" s="276">
        <v>1400</v>
      </c>
      <c r="G502" s="249" t="s">
        <v>4</v>
      </c>
      <c r="H502" s="250">
        <v>2.91</v>
      </c>
      <c r="I502" s="251">
        <v>46091</v>
      </c>
      <c r="J502" s="252" t="s">
        <v>17</v>
      </c>
      <c r="K502" s="252"/>
      <c r="L502" s="253">
        <v>0.05</v>
      </c>
      <c r="M502" s="254">
        <f ca="1">IF(ISERROR(OFFSET(Tabella!$A$1,MATCH(J502,Tabella!$A:$A,0)-1,MATCH(L502,Tabella!$A$1:$AC$1,0)-1)=TRUE),0,+OFFSET(Tabella!$A$1,MATCH(J502,Tabella!$A:$A,0)-1,MATCH(L502,Tabella!$A$1:$AC$1,0)-1))</f>
        <v>0</v>
      </c>
      <c r="N502" s="255">
        <f ca="1">IF(ISERROR(OFFSET(Ottone!$A$1,MATCH(J502,Ottone!$A:$A,0)-1,MATCH(L502,Ottone!$A$1:$Z$1,0)-1)=TRUE),0,OFFSET(Ottone!$A$1,MATCH(J502,Ottone!$A:$A,0)-1,MATCH(L502,Ottone!$A$1:$Z$1,0)-1))*IF(G502="Ottone",1,0)</f>
        <v>0</v>
      </c>
      <c r="O502" s="255">
        <f ca="1">IF(ISERROR(OFFSET(Rame!$A$1,MATCH(J502,Rame!$A:$A,0)-1,MATCH(L502,Rame!$A$1:$AA$1,0)-1)=TRUE),0,OFFSET(Rame!$A$1,MATCH(J502,Rame!$A:$A,0)-1,MATCH(L502,Rame!$A$1:$AA$1,0)-1))*IF(G502="Rame",1,0)</f>
        <v>0</v>
      </c>
      <c r="P502" s="255">
        <v>0</v>
      </c>
      <c r="Q502" s="255">
        <v>1.7</v>
      </c>
      <c r="R502" s="255">
        <f ca="1">+IF(ISERROR(OFFSET(Tabella!$G$1,MATCH(J502,Tabella!$G:$G,0)-1,MATCH(K502,Tabella!$G$1:$FG$1,0)-1)=TRUE),0,OFFSET(Tabella!$G$1,MATCH(J502,Tabella!$G:$G,0)-1,MATCH(K502,Tabella!$G$1:$AB$1,0)-1))</f>
        <v>0</v>
      </c>
      <c r="S502" s="255">
        <f ca="1">IF(ISERROR(OFFSET(Ottone!$F$1,MATCH(J502,Ottone!$A:$A,0)-1,MATCH(K502,Ottone!$F$1:$FF$1,0)-1)=TRUE),0,OFFSET(Ottone!$F$1,MATCH(J502,Ottone!$A:$A,0)-1,MATCH(K502,Ottone!$F$1:$FF$1,0)-1))*IF(G502="Ottone",1,0)</f>
        <v>0</v>
      </c>
      <c r="T502" s="255">
        <f ca="1">IF(ISERROR(OFFSET(Rame!$F$1,MATCH(J502,Rame!$F:$F,0)-1,MATCH(K502,Rame!$F$1:$FF$1,0)-1)=TRUE),0,OFFSET(Rame!$F$1,MATCH(J502,Rame!$F:$F,0)-1,MATCH(K502,Rame!$F$1:$FF$1,0)-1))*IF(G502="Rame",1,0)</f>
        <v>0</v>
      </c>
      <c r="U502" s="255">
        <f ca="1">IF(ISERROR(OFFSET(Bronzo!$A$1,MATCH(J502,Bronzo!$A:$A,0)-1,MATCH(K502,Bronzo!$A$1:$AA$1,0)-1)=TRUE),0,OFFSET(Bronzo!$A$1,MATCH(J502,Bronzo!$A:$A,0)-1,MATCH(K502,Bronzo!$A$1:$AA$1,0)-1))</f>
        <v>0</v>
      </c>
      <c r="V502" s="255">
        <f t="shared" ca="1" si="163"/>
        <v>0</v>
      </c>
      <c r="W502" s="254"/>
      <c r="X502" s="255">
        <v>0</v>
      </c>
      <c r="Y502" s="256">
        <f t="shared" ca="1" si="164"/>
        <v>1.7</v>
      </c>
      <c r="Z502" s="257">
        <f t="shared" si="165"/>
        <v>70</v>
      </c>
      <c r="AA502" s="253">
        <v>4.4000000000000004</v>
      </c>
      <c r="AB502" s="253">
        <f t="shared" ca="1" si="166"/>
        <v>-0.20999999999999996</v>
      </c>
      <c r="AC502" s="258">
        <v>46120</v>
      </c>
      <c r="AH502" s="232">
        <f t="shared" ca="1" si="156"/>
        <v>46120</v>
      </c>
      <c r="AI502" s="232" t="b">
        <f t="shared" si="157"/>
        <v>0</v>
      </c>
      <c r="AJ502" s="259">
        <f t="shared" ca="1" si="162"/>
        <v>0</v>
      </c>
      <c r="AM502" s="223">
        <f t="shared" si="158"/>
        <v>15</v>
      </c>
      <c r="AN502" s="223">
        <f t="shared" si="159"/>
        <v>2026</v>
      </c>
      <c r="AU502" s="223">
        <f t="shared" si="160"/>
        <v>4</v>
      </c>
      <c r="AV502" s="223">
        <f t="shared" si="161"/>
        <v>2026</v>
      </c>
    </row>
    <row r="503" spans="4:48" ht="26.25" x14ac:dyDescent="0.4">
      <c r="D503" s="246" t="s">
        <v>725</v>
      </c>
      <c r="E503" s="252" t="s">
        <v>208</v>
      </c>
      <c r="F503" s="276">
        <v>200</v>
      </c>
      <c r="G503" s="249" t="s">
        <v>4</v>
      </c>
      <c r="H503" s="250">
        <v>2.91</v>
      </c>
      <c r="I503" s="251">
        <v>46091</v>
      </c>
      <c r="J503" s="252" t="s">
        <v>305</v>
      </c>
      <c r="K503" s="252"/>
      <c r="L503" s="253">
        <v>0.05</v>
      </c>
      <c r="M503" s="254">
        <f ca="1">IF(ISERROR(OFFSET(Tabella!$A$1,MATCH(J503,Tabella!$A:$A,0)-1,MATCH(L503,Tabella!$A$1:$AC$1,0)-1)=TRUE),0,+OFFSET(Tabella!$A$1,MATCH(J503,Tabella!$A:$A,0)-1,MATCH(L503,Tabella!$A$1:$AC$1,0)-1))</f>
        <v>0</v>
      </c>
      <c r="N503" s="255">
        <f ca="1">IF(ISERROR(OFFSET(Ottone!$A$1,MATCH(J503,Ottone!$A:$A,0)-1,MATCH(L503,Ottone!$A$1:$Z$1,0)-1)=TRUE),0,OFFSET(Ottone!$A$1,MATCH(J503,Ottone!$A:$A,0)-1,MATCH(L503,Ottone!$A$1:$Z$1,0)-1))*IF(G503="Ottone",1,0)</f>
        <v>0</v>
      </c>
      <c r="O503" s="255">
        <f ca="1">IF(ISERROR(OFFSET(Rame!$A$1,MATCH(J503,Rame!$A:$A,0)-1,MATCH(L503,Rame!$A$1:$AA$1,0)-1)=TRUE),0,OFFSET(Rame!$A$1,MATCH(J503,Rame!$A:$A,0)-1,MATCH(L503,Rame!$A$1:$AA$1,0)-1))*IF(G503="Rame",1,0)</f>
        <v>0</v>
      </c>
      <c r="P503" s="255">
        <v>0</v>
      </c>
      <c r="Q503" s="255">
        <v>1.6</v>
      </c>
      <c r="R503" s="255">
        <f ca="1">+IF(ISERROR(OFFSET(Tabella!$G$1,MATCH(J503,Tabella!$G:$G,0)-1,MATCH(K503,Tabella!$G$1:$FG$1,0)-1)=TRUE),0,OFFSET(Tabella!$G$1,MATCH(J503,Tabella!$G:$G,0)-1,MATCH(K503,Tabella!$G$1:$AB$1,0)-1))</f>
        <v>0</v>
      </c>
      <c r="S503" s="255">
        <f ca="1">IF(ISERROR(OFFSET(Ottone!$F$1,MATCH(J503,Ottone!$A:$A,0)-1,MATCH(K503,Ottone!$F$1:$FF$1,0)-1)=TRUE),0,OFFSET(Ottone!$F$1,MATCH(J503,Ottone!$A:$A,0)-1,MATCH(K503,Ottone!$F$1:$FF$1,0)-1))*IF(G503="Ottone",1,0)</f>
        <v>0</v>
      </c>
      <c r="T503" s="255">
        <f ca="1">IF(ISERROR(OFFSET(Rame!$F$1,MATCH(J503,Rame!$F:$F,0)-1,MATCH(K503,Rame!$F$1:$FF$1,0)-1)=TRUE),0,OFFSET(Rame!$F$1,MATCH(J503,Rame!$F:$F,0)-1,MATCH(K503,Rame!$F$1:$FF$1,0)-1))*IF(G503="Rame",1,0)</f>
        <v>0</v>
      </c>
      <c r="U503" s="255">
        <f ca="1">IF(ISERROR(OFFSET(Bronzo!$A$1,MATCH(J503,Bronzo!$A:$A,0)-1,MATCH(K503,Bronzo!$A$1:$AA$1,0)-1)=TRUE),0,OFFSET(Bronzo!$A$1,MATCH(J503,Bronzo!$A:$A,0)-1,MATCH(K503,Bronzo!$A$1:$AA$1,0)-1))</f>
        <v>0</v>
      </c>
      <c r="V503" s="255">
        <f t="shared" ca="1" si="163"/>
        <v>0</v>
      </c>
      <c r="W503" s="254"/>
      <c r="X503" s="255">
        <v>0</v>
      </c>
      <c r="Y503" s="256">
        <f t="shared" ca="1" si="164"/>
        <v>1.6</v>
      </c>
      <c r="Z503" s="257">
        <f t="shared" si="165"/>
        <v>10</v>
      </c>
      <c r="AA503" s="253">
        <v>4.3</v>
      </c>
      <c r="AB503" s="253">
        <f t="shared" ca="1" si="166"/>
        <v>-0.21000000000000041</v>
      </c>
      <c r="AC503" s="258">
        <v>46120</v>
      </c>
      <c r="AH503" s="232">
        <f t="shared" ca="1" si="156"/>
        <v>46120</v>
      </c>
      <c r="AI503" s="232" t="b">
        <f t="shared" si="157"/>
        <v>0</v>
      </c>
      <c r="AJ503" s="259">
        <f t="shared" ca="1" si="162"/>
        <v>0</v>
      </c>
      <c r="AM503" s="223">
        <f t="shared" si="158"/>
        <v>15</v>
      </c>
      <c r="AN503" s="223">
        <f t="shared" si="159"/>
        <v>2026</v>
      </c>
      <c r="AU503" s="223">
        <f t="shared" si="160"/>
        <v>4</v>
      </c>
      <c r="AV503" s="223">
        <f t="shared" si="161"/>
        <v>2026</v>
      </c>
    </row>
    <row r="504" spans="4:48" ht="26.25" x14ac:dyDescent="0.4">
      <c r="D504" s="246" t="s">
        <v>725</v>
      </c>
      <c r="E504" s="252" t="s">
        <v>208</v>
      </c>
      <c r="F504" s="276">
        <v>700</v>
      </c>
      <c r="G504" s="249" t="s">
        <v>4</v>
      </c>
      <c r="H504" s="250">
        <v>2.91</v>
      </c>
      <c r="I504" s="251">
        <v>46091</v>
      </c>
      <c r="J504" s="252" t="s">
        <v>15</v>
      </c>
      <c r="K504" s="252"/>
      <c r="L504" s="253">
        <v>0.05</v>
      </c>
      <c r="M504" s="254">
        <f ca="1">IF(ISERROR(OFFSET(Tabella!$A$1,MATCH(J504,Tabella!$A:$A,0)-1,MATCH(L504,Tabella!$A$1:$AC$1,0)-1)=TRUE),0,+OFFSET(Tabella!$A$1,MATCH(J504,Tabella!$A:$A,0)-1,MATCH(L504,Tabella!$A$1:$AC$1,0)-1))</f>
        <v>0</v>
      </c>
      <c r="N504" s="255">
        <f ca="1">IF(ISERROR(OFFSET(Ottone!$A$1,MATCH(J504,Ottone!$A:$A,0)-1,MATCH(L504,Ottone!$A$1:$Z$1,0)-1)=TRUE),0,OFFSET(Ottone!$A$1,MATCH(J504,Ottone!$A:$A,0)-1,MATCH(L504,Ottone!$A$1:$Z$1,0)-1))*IF(G504="Ottone",1,0)</f>
        <v>0</v>
      </c>
      <c r="O504" s="255">
        <f ca="1">IF(ISERROR(OFFSET(Rame!$A$1,MATCH(J504,Rame!$A:$A,0)-1,MATCH(L504,Rame!$A$1:$AA$1,0)-1)=TRUE),0,OFFSET(Rame!$A$1,MATCH(J504,Rame!$A:$A,0)-1,MATCH(L504,Rame!$A$1:$AA$1,0)-1))*IF(G504="Rame",1,0)</f>
        <v>0</v>
      </c>
      <c r="P504" s="255">
        <v>0</v>
      </c>
      <c r="Q504" s="255">
        <v>1.75</v>
      </c>
      <c r="R504" s="255">
        <f ca="1">+IF(ISERROR(OFFSET(Tabella!$G$1,MATCH(J504,Tabella!$G:$G,0)-1,MATCH(K504,Tabella!$G$1:$FG$1,0)-1)=TRUE),0,OFFSET(Tabella!$G$1,MATCH(J504,Tabella!$G:$G,0)-1,MATCH(K504,Tabella!$G$1:$AB$1,0)-1))</f>
        <v>0</v>
      </c>
      <c r="S504" s="255">
        <f ca="1">IF(ISERROR(OFFSET(Ottone!$F$1,MATCH(J504,Ottone!$A:$A,0)-1,MATCH(K504,Ottone!$F$1:$FF$1,0)-1)=TRUE),0,OFFSET(Ottone!$F$1,MATCH(J504,Ottone!$A:$A,0)-1,MATCH(K504,Ottone!$F$1:$FF$1,0)-1))*IF(G504="Ottone",1,0)</f>
        <v>0</v>
      </c>
      <c r="T504" s="255">
        <f ca="1">IF(ISERROR(OFFSET(Rame!$F$1,MATCH(J504,Rame!$F:$F,0)-1,MATCH(K504,Rame!$F$1:$FF$1,0)-1)=TRUE),0,OFFSET(Rame!$F$1,MATCH(J504,Rame!$F:$F,0)-1,MATCH(K504,Rame!$F$1:$FF$1,0)-1))*IF(G504="Rame",1,0)</f>
        <v>0</v>
      </c>
      <c r="U504" s="255">
        <f ca="1">IF(ISERROR(OFFSET(Bronzo!$A$1,MATCH(J504,Bronzo!$A:$A,0)-1,MATCH(K504,Bronzo!$A$1:$AA$1,0)-1)=TRUE),0,OFFSET(Bronzo!$A$1,MATCH(J504,Bronzo!$A:$A,0)-1,MATCH(K504,Bronzo!$A$1:$AA$1,0)-1))</f>
        <v>0</v>
      </c>
      <c r="V504" s="255">
        <f t="shared" ca="1" si="163"/>
        <v>0</v>
      </c>
      <c r="W504" s="254"/>
      <c r="X504" s="255">
        <v>0</v>
      </c>
      <c r="Y504" s="256">
        <f t="shared" ca="1" si="164"/>
        <v>1.75</v>
      </c>
      <c r="Z504" s="257">
        <f t="shared" si="165"/>
        <v>35</v>
      </c>
      <c r="AA504" s="253">
        <v>4.45</v>
      </c>
      <c r="AB504" s="253">
        <f t="shared" ca="1" si="166"/>
        <v>-0.20999999999999996</v>
      </c>
      <c r="AC504" s="258">
        <v>46120</v>
      </c>
      <c r="AH504" s="232">
        <f t="shared" ca="1" si="156"/>
        <v>46120</v>
      </c>
      <c r="AI504" s="232" t="b">
        <f t="shared" si="157"/>
        <v>0</v>
      </c>
      <c r="AJ504" s="259">
        <f t="shared" ca="1" si="162"/>
        <v>0</v>
      </c>
      <c r="AM504" s="223">
        <f t="shared" si="158"/>
        <v>15</v>
      </c>
      <c r="AN504" s="223">
        <f t="shared" si="159"/>
        <v>2026</v>
      </c>
      <c r="AU504" s="223">
        <f t="shared" si="160"/>
        <v>4</v>
      </c>
      <c r="AV504" s="223">
        <f t="shared" si="161"/>
        <v>2026</v>
      </c>
    </row>
    <row r="505" spans="4:48" ht="26.25" x14ac:dyDescent="0.4">
      <c r="D505" s="246" t="s">
        <v>725</v>
      </c>
      <c r="E505" s="252" t="s">
        <v>208</v>
      </c>
      <c r="F505" s="276">
        <v>200</v>
      </c>
      <c r="G505" s="249" t="s">
        <v>4</v>
      </c>
      <c r="H505" s="250">
        <v>2.91</v>
      </c>
      <c r="I505" s="251">
        <v>46091</v>
      </c>
      <c r="J505" s="252" t="s">
        <v>23</v>
      </c>
      <c r="K505" s="252"/>
      <c r="L505" s="253">
        <v>0.05</v>
      </c>
      <c r="M505" s="254">
        <f ca="1">IF(ISERROR(OFFSET(Tabella!$A$1,MATCH(J505,Tabella!$A:$A,0)-1,MATCH(L505,Tabella!$A$1:$AC$1,0)-1)=TRUE),0,+OFFSET(Tabella!$A$1,MATCH(J505,Tabella!$A:$A,0)-1,MATCH(L505,Tabella!$A$1:$AC$1,0)-1))</f>
        <v>0</v>
      </c>
      <c r="N505" s="255">
        <f ca="1">IF(ISERROR(OFFSET(Ottone!$A$1,MATCH(J505,Ottone!$A:$A,0)-1,MATCH(L505,Ottone!$A$1:$Z$1,0)-1)=TRUE),0,OFFSET(Ottone!$A$1,MATCH(J505,Ottone!$A:$A,0)-1,MATCH(L505,Ottone!$A$1:$Z$1,0)-1))*IF(G505="Ottone",1,0)</f>
        <v>0</v>
      </c>
      <c r="O505" s="255">
        <f ca="1">IF(ISERROR(OFFSET(Rame!$A$1,MATCH(J505,Rame!$A:$A,0)-1,MATCH(L505,Rame!$A$1:$AA$1,0)-1)=TRUE),0,OFFSET(Rame!$A$1,MATCH(J505,Rame!$A:$A,0)-1,MATCH(L505,Rame!$A$1:$AA$1,0)-1))*IF(G505="Rame",1,0)</f>
        <v>0</v>
      </c>
      <c r="P505" s="255">
        <v>0</v>
      </c>
      <c r="Q505" s="255">
        <v>1.6</v>
      </c>
      <c r="R505" s="255">
        <f ca="1">+IF(ISERROR(OFFSET(Tabella!$G$1,MATCH(J505,Tabella!$G:$G,0)-1,MATCH(K505,Tabella!$G$1:$FG$1,0)-1)=TRUE),0,OFFSET(Tabella!$G$1,MATCH(J505,Tabella!$G:$G,0)-1,MATCH(K505,Tabella!$G$1:$AB$1,0)-1))</f>
        <v>0</v>
      </c>
      <c r="S505" s="255">
        <f ca="1">IF(ISERROR(OFFSET(Ottone!$F$1,MATCH(J505,Ottone!$A:$A,0)-1,MATCH(K505,Ottone!$F$1:$FF$1,0)-1)=TRUE),0,OFFSET(Ottone!$F$1,MATCH(J505,Ottone!$A:$A,0)-1,MATCH(K505,Ottone!$F$1:$FF$1,0)-1))*IF(G505="Ottone",1,0)</f>
        <v>0</v>
      </c>
      <c r="T505" s="255">
        <f ca="1">IF(ISERROR(OFFSET(Rame!$F$1,MATCH(J505,Rame!$F:$F,0)-1,MATCH(K505,Rame!$F$1:$FF$1,0)-1)=TRUE),0,OFFSET(Rame!$F$1,MATCH(J505,Rame!$F:$F,0)-1,MATCH(K505,Rame!$F$1:$FF$1,0)-1))*IF(G505="Rame",1,0)</f>
        <v>0</v>
      </c>
      <c r="U505" s="255">
        <f ca="1">IF(ISERROR(OFFSET(Bronzo!$A$1,MATCH(J505,Bronzo!$A:$A,0)-1,MATCH(K505,Bronzo!$A$1:$AA$1,0)-1)=TRUE),0,OFFSET(Bronzo!$A$1,MATCH(J505,Bronzo!$A:$A,0)-1,MATCH(K505,Bronzo!$A$1:$AA$1,0)-1))</f>
        <v>0</v>
      </c>
      <c r="V505" s="255">
        <f t="shared" ca="1" si="163"/>
        <v>0</v>
      </c>
      <c r="W505" s="254"/>
      <c r="X505" s="255">
        <v>0</v>
      </c>
      <c r="Y505" s="256">
        <f t="shared" ca="1" si="164"/>
        <v>1.6</v>
      </c>
      <c r="Z505" s="257">
        <f t="shared" si="165"/>
        <v>10</v>
      </c>
      <c r="AA505" s="253">
        <v>4.3</v>
      </c>
      <c r="AB505" s="253">
        <f t="shared" ca="1" si="166"/>
        <v>-0.21000000000000041</v>
      </c>
      <c r="AC505" s="258">
        <v>46120</v>
      </c>
      <c r="AH505" s="232">
        <f t="shared" ca="1" si="156"/>
        <v>46120</v>
      </c>
      <c r="AI505" s="232" t="b">
        <f t="shared" si="157"/>
        <v>0</v>
      </c>
      <c r="AJ505" s="259">
        <f t="shared" ca="1" si="162"/>
        <v>0</v>
      </c>
      <c r="AM505" s="223">
        <f t="shared" si="158"/>
        <v>15</v>
      </c>
      <c r="AN505" s="223">
        <f t="shared" si="159"/>
        <v>2026</v>
      </c>
      <c r="AU505" s="223">
        <f t="shared" si="160"/>
        <v>4</v>
      </c>
      <c r="AV505" s="223">
        <f t="shared" si="161"/>
        <v>2026</v>
      </c>
    </row>
    <row r="506" spans="4:48" ht="26.25" x14ac:dyDescent="0.4">
      <c r="D506" s="246" t="s">
        <v>726</v>
      </c>
      <c r="E506" s="252" t="s">
        <v>263</v>
      </c>
      <c r="F506" s="276">
        <v>1000</v>
      </c>
      <c r="G506" s="249" t="s">
        <v>4</v>
      </c>
      <c r="H506" s="250">
        <v>2.61</v>
      </c>
      <c r="I506" s="251">
        <v>46100</v>
      </c>
      <c r="J506" s="252" t="s">
        <v>21</v>
      </c>
      <c r="K506" s="252"/>
      <c r="L506" s="253">
        <v>7.0000000000000007E-2</v>
      </c>
      <c r="M506" s="254">
        <f ca="1">IF(ISERROR(OFFSET(Tabella!$A$1,MATCH(J506,Tabella!$A:$A,0)-1,MATCH(L506,Tabella!$A$1:$AC$1,0)-1)=TRUE),0,+OFFSET(Tabella!$A$1,MATCH(J506,Tabella!$A:$A,0)-1,MATCH(L506,Tabella!$A$1:$AC$1,0)-1))</f>
        <v>1.25</v>
      </c>
      <c r="N506" s="255">
        <f ca="1">IF(ISERROR(OFFSET(Ottone!$A$1,MATCH(J506,Ottone!$A:$A,0)-1,MATCH(L506,Ottone!$A$1:$Z$1,0)-1)=TRUE),0,OFFSET(Ottone!$A$1,MATCH(J506,Ottone!$A:$A,0)-1,MATCH(L506,Ottone!$A$1:$Z$1,0)-1))*IF(G506="Ottone",1,0)</f>
        <v>0</v>
      </c>
      <c r="O506" s="255">
        <f ca="1">IF(ISERROR(OFFSET(Rame!$A$1,MATCH(J506,Rame!$A:$A,0)-1,MATCH(L506,Rame!$A$1:$AA$1,0)-1)=TRUE),0,OFFSET(Rame!$A$1,MATCH(J506,Rame!$A:$A,0)-1,MATCH(L506,Rame!$A$1:$AA$1,0)-1))*IF(G506="Rame",1,0)</f>
        <v>0</v>
      </c>
      <c r="P506" s="255">
        <v>0</v>
      </c>
      <c r="Q506" s="255">
        <v>1.57</v>
      </c>
      <c r="R506" s="255">
        <f ca="1">+IF(ISERROR(OFFSET(Tabella!$G$1,MATCH(J506,Tabella!$G:$G,0)-1,MATCH(K506,Tabella!$G$1:$FG$1,0)-1)=TRUE),0,OFFSET(Tabella!$G$1,MATCH(J506,Tabella!$G:$G,0)-1,MATCH(K506,Tabella!$G$1:$AB$1,0)-1))</f>
        <v>0</v>
      </c>
      <c r="S506" s="255">
        <f ca="1">IF(ISERROR(OFFSET(Ottone!$F$1,MATCH(J506,Ottone!$A:$A,0)-1,MATCH(K506,Ottone!$F$1:$FF$1,0)-1)=TRUE),0,OFFSET(Ottone!$F$1,MATCH(J506,Ottone!$A:$A,0)-1,MATCH(K506,Ottone!$F$1:$FF$1,0)-1))*IF(G506="Ottone",1,0)</f>
        <v>0</v>
      </c>
      <c r="T506" s="255">
        <f ca="1">IF(ISERROR(OFFSET(Rame!$F$1,MATCH(J506,Rame!$F:$F,0)-1,MATCH(K506,Rame!$F$1:$FF$1,0)-1)=TRUE),0,OFFSET(Rame!$F$1,MATCH(J506,Rame!$F:$F,0)-1,MATCH(K506,Rame!$F$1:$FF$1,0)-1))*IF(G506="Rame",1,0)</f>
        <v>0</v>
      </c>
      <c r="U506" s="255">
        <f ca="1">IF(ISERROR(OFFSET(Bronzo!$A$1,MATCH(J506,Bronzo!$A:$A,0)-1,MATCH(K506,Bronzo!$A$1:$AA$1,0)-1)=TRUE),0,OFFSET(Bronzo!$A$1,MATCH(J506,Bronzo!$A:$A,0)-1,MATCH(K506,Bronzo!$A$1:$AA$1,0)-1))</f>
        <v>0</v>
      </c>
      <c r="V506" s="255">
        <f t="shared" ca="1" si="163"/>
        <v>0</v>
      </c>
      <c r="W506" s="254"/>
      <c r="X506" s="255">
        <v>0</v>
      </c>
      <c r="Y506" s="256">
        <f t="shared" ca="1" si="164"/>
        <v>1.57</v>
      </c>
      <c r="Z506" s="257">
        <f t="shared" si="165"/>
        <v>70</v>
      </c>
      <c r="AA506" s="253">
        <v>4.18</v>
      </c>
      <c r="AB506" s="253">
        <f t="shared" ca="1" si="166"/>
        <v>0</v>
      </c>
      <c r="AC506" s="258">
        <v>46133</v>
      </c>
      <c r="AH506" s="232">
        <f t="shared" ca="1" si="156"/>
        <v>46120</v>
      </c>
      <c r="AI506" s="232" t="b">
        <f t="shared" si="157"/>
        <v>0</v>
      </c>
      <c r="AJ506" s="259">
        <f t="shared" ca="1" si="162"/>
        <v>13</v>
      </c>
      <c r="AM506" s="223">
        <f t="shared" si="158"/>
        <v>17</v>
      </c>
      <c r="AN506" s="223">
        <f t="shared" si="159"/>
        <v>2026</v>
      </c>
      <c r="AU506" s="223">
        <f t="shared" si="160"/>
        <v>4</v>
      </c>
      <c r="AV506" s="223">
        <f t="shared" si="161"/>
        <v>2026</v>
      </c>
    </row>
    <row r="507" spans="4:48" ht="26.25" x14ac:dyDescent="0.4">
      <c r="D507" s="246" t="s">
        <v>726</v>
      </c>
      <c r="E507" s="252" t="s">
        <v>263</v>
      </c>
      <c r="F507" s="276">
        <v>650</v>
      </c>
      <c r="G507" s="249" t="s">
        <v>4</v>
      </c>
      <c r="H507" s="250">
        <v>2.61</v>
      </c>
      <c r="I507" s="251">
        <v>46100</v>
      </c>
      <c r="J507" s="252" t="s">
        <v>25</v>
      </c>
      <c r="K507" s="252"/>
      <c r="L507" s="253">
        <v>7.0000000000000007E-2</v>
      </c>
      <c r="M507" s="254">
        <f ca="1">IF(ISERROR(OFFSET(Tabella!$A$1,MATCH(J507,Tabella!$A:$A,0)-1,MATCH(L507,Tabella!$A$1:$AC$1,0)-1)=TRUE),0,+OFFSET(Tabella!$A$1,MATCH(J507,Tabella!$A:$A,0)-1,MATCH(L507,Tabella!$A$1:$AC$1,0)-1))</f>
        <v>1.25</v>
      </c>
      <c r="N507" s="255">
        <f ca="1">IF(ISERROR(OFFSET(Ottone!$A$1,MATCH(J507,Ottone!$A:$A,0)-1,MATCH(L507,Ottone!$A$1:$Z$1,0)-1)=TRUE),0,OFFSET(Ottone!$A$1,MATCH(J507,Ottone!$A:$A,0)-1,MATCH(L507,Ottone!$A$1:$Z$1,0)-1))*IF(G507="Ottone",1,0)</f>
        <v>0</v>
      </c>
      <c r="O507" s="255">
        <f ca="1">IF(ISERROR(OFFSET(Rame!$A$1,MATCH(J507,Rame!$A:$A,0)-1,MATCH(L507,Rame!$A$1:$AA$1,0)-1)=TRUE),0,OFFSET(Rame!$A$1,MATCH(J507,Rame!$A:$A,0)-1,MATCH(L507,Rame!$A$1:$AA$1,0)-1))*IF(G507="Rame",1,0)</f>
        <v>0</v>
      </c>
      <c r="P507" s="255">
        <v>0</v>
      </c>
      <c r="Q507" s="255">
        <v>1.57</v>
      </c>
      <c r="R507" s="255">
        <f ca="1">+IF(ISERROR(OFFSET(Tabella!$G$1,MATCH(J507,Tabella!$G:$G,0)-1,MATCH(K507,Tabella!$G$1:$FG$1,0)-1)=TRUE),0,OFFSET(Tabella!$G$1,MATCH(J507,Tabella!$G:$G,0)-1,MATCH(K507,Tabella!$G$1:$AB$1,0)-1))</f>
        <v>0</v>
      </c>
      <c r="S507" s="255">
        <f ca="1">IF(ISERROR(OFFSET(Ottone!$F$1,MATCH(J507,Ottone!$A:$A,0)-1,MATCH(K507,Ottone!$F$1:$FF$1,0)-1)=TRUE),0,OFFSET(Ottone!$F$1,MATCH(J507,Ottone!$A:$A,0)-1,MATCH(K507,Ottone!$F$1:$FF$1,0)-1))*IF(G507="Ottone",1,0)</f>
        <v>0</v>
      </c>
      <c r="T507" s="255">
        <f ca="1">IF(ISERROR(OFFSET(Rame!$F$1,MATCH(J507,Rame!$F:$F,0)-1,MATCH(K507,Rame!$F$1:$FF$1,0)-1)=TRUE),0,OFFSET(Rame!$F$1,MATCH(J507,Rame!$F:$F,0)-1,MATCH(K507,Rame!$F$1:$FF$1,0)-1))*IF(G507="Rame",1,0)</f>
        <v>0</v>
      </c>
      <c r="U507" s="255">
        <f ca="1">IF(ISERROR(OFFSET(Bronzo!$A$1,MATCH(J507,Bronzo!$A:$A,0)-1,MATCH(K507,Bronzo!$A$1:$AA$1,0)-1)=TRUE),0,OFFSET(Bronzo!$A$1,MATCH(J507,Bronzo!$A:$A,0)-1,MATCH(K507,Bronzo!$A$1:$AA$1,0)-1))</f>
        <v>0</v>
      </c>
      <c r="V507" s="255">
        <f t="shared" ca="1" si="163"/>
        <v>0</v>
      </c>
      <c r="W507" s="254"/>
      <c r="X507" s="255">
        <v>0</v>
      </c>
      <c r="Y507" s="256">
        <f t="shared" ca="1" si="164"/>
        <v>1.57</v>
      </c>
      <c r="Z507" s="257">
        <f t="shared" si="165"/>
        <v>45.500000000000007</v>
      </c>
      <c r="AA507" s="253">
        <v>4.18</v>
      </c>
      <c r="AB507" s="253">
        <f t="shared" ca="1" si="166"/>
        <v>0</v>
      </c>
      <c r="AC507" s="258">
        <v>46133</v>
      </c>
      <c r="AH507" s="232">
        <f t="shared" ca="1" si="156"/>
        <v>46120</v>
      </c>
      <c r="AI507" s="232" t="b">
        <f t="shared" si="157"/>
        <v>0</v>
      </c>
      <c r="AJ507" s="259">
        <f t="shared" ca="1" si="162"/>
        <v>13</v>
      </c>
      <c r="AM507" s="223">
        <f t="shared" si="158"/>
        <v>17</v>
      </c>
      <c r="AN507" s="223">
        <f t="shared" si="159"/>
        <v>2026</v>
      </c>
      <c r="AU507" s="223">
        <f t="shared" si="160"/>
        <v>4</v>
      </c>
      <c r="AV507" s="223">
        <f t="shared" si="161"/>
        <v>2026</v>
      </c>
    </row>
    <row r="508" spans="4:48" ht="26.25" x14ac:dyDescent="0.4">
      <c r="D508" s="246" t="s">
        <v>726</v>
      </c>
      <c r="E508" s="252" t="s">
        <v>263</v>
      </c>
      <c r="F508" s="276">
        <v>1000</v>
      </c>
      <c r="G508" s="249" t="s">
        <v>4</v>
      </c>
      <c r="H508" s="250">
        <v>2.61</v>
      </c>
      <c r="I508" s="251">
        <v>46100</v>
      </c>
      <c r="J508" s="252" t="s">
        <v>15</v>
      </c>
      <c r="K508" s="252"/>
      <c r="L508" s="253">
        <v>7.0000000000000007E-2</v>
      </c>
      <c r="M508" s="254">
        <f ca="1">IF(ISERROR(OFFSET(Tabella!$A$1,MATCH(J508,Tabella!$A:$A,0)-1,MATCH(L508,Tabella!$A$1:$AC$1,0)-1)=TRUE),0,+OFFSET(Tabella!$A$1,MATCH(J508,Tabella!$A:$A,0)-1,MATCH(L508,Tabella!$A$1:$AC$1,0)-1))</f>
        <v>1.4</v>
      </c>
      <c r="N508" s="255">
        <f ca="1">IF(ISERROR(OFFSET(Ottone!$A$1,MATCH(J508,Ottone!$A:$A,0)-1,MATCH(L508,Ottone!$A$1:$Z$1,0)-1)=TRUE),0,OFFSET(Ottone!$A$1,MATCH(J508,Ottone!$A:$A,0)-1,MATCH(L508,Ottone!$A$1:$Z$1,0)-1))*IF(G508="Ottone",1,0)</f>
        <v>0</v>
      </c>
      <c r="O508" s="255">
        <f ca="1">IF(ISERROR(OFFSET(Rame!$A$1,MATCH(J508,Rame!$A:$A,0)-1,MATCH(L508,Rame!$A$1:$AA$1,0)-1)=TRUE),0,OFFSET(Rame!$A$1,MATCH(J508,Rame!$A:$A,0)-1,MATCH(L508,Rame!$A$1:$AA$1,0)-1))*IF(G508="Rame",1,0)</f>
        <v>0</v>
      </c>
      <c r="P508" s="255">
        <v>0</v>
      </c>
      <c r="Q508" s="255">
        <v>1.72</v>
      </c>
      <c r="R508" s="255">
        <f ca="1">+IF(ISERROR(OFFSET(Tabella!$G$1,MATCH(J508,Tabella!$G:$G,0)-1,MATCH(K508,Tabella!$G$1:$FG$1,0)-1)=TRUE),0,OFFSET(Tabella!$G$1,MATCH(J508,Tabella!$G:$G,0)-1,MATCH(K508,Tabella!$G$1:$AB$1,0)-1))</f>
        <v>0</v>
      </c>
      <c r="S508" s="255">
        <f ca="1">IF(ISERROR(OFFSET(Ottone!$F$1,MATCH(J508,Ottone!$A:$A,0)-1,MATCH(K508,Ottone!$F$1:$FF$1,0)-1)=TRUE),0,OFFSET(Ottone!$F$1,MATCH(J508,Ottone!$A:$A,0)-1,MATCH(K508,Ottone!$F$1:$FF$1,0)-1))*IF(G508="Ottone",1,0)</f>
        <v>0</v>
      </c>
      <c r="T508" s="255">
        <f ca="1">IF(ISERROR(OFFSET(Rame!$F$1,MATCH(J508,Rame!$F:$F,0)-1,MATCH(K508,Rame!$F$1:$FF$1,0)-1)=TRUE),0,OFFSET(Rame!$F$1,MATCH(J508,Rame!$F:$F,0)-1,MATCH(K508,Rame!$F$1:$FF$1,0)-1))*IF(G508="Rame",1,0)</f>
        <v>0</v>
      </c>
      <c r="U508" s="255">
        <f ca="1">IF(ISERROR(OFFSET(Bronzo!$A$1,MATCH(J508,Bronzo!$A:$A,0)-1,MATCH(K508,Bronzo!$A$1:$AA$1,0)-1)=TRUE),0,OFFSET(Bronzo!$A$1,MATCH(J508,Bronzo!$A:$A,0)-1,MATCH(K508,Bronzo!$A$1:$AA$1,0)-1))</f>
        <v>0</v>
      </c>
      <c r="V508" s="255">
        <f t="shared" ca="1" si="163"/>
        <v>0</v>
      </c>
      <c r="W508" s="254"/>
      <c r="X508" s="255">
        <v>0</v>
      </c>
      <c r="Y508" s="256">
        <f t="shared" ca="1" si="164"/>
        <v>1.72</v>
      </c>
      <c r="Z508" s="257">
        <f t="shared" si="165"/>
        <v>70</v>
      </c>
      <c r="AA508" s="253">
        <v>4.33</v>
      </c>
      <c r="AB508" s="253">
        <f t="shared" ca="1" si="166"/>
        <v>0</v>
      </c>
      <c r="AC508" s="258">
        <v>46133</v>
      </c>
      <c r="AH508" s="232">
        <f t="shared" ca="1" si="156"/>
        <v>46120</v>
      </c>
      <c r="AI508" s="232" t="b">
        <f t="shared" si="157"/>
        <v>0</v>
      </c>
      <c r="AJ508" s="259">
        <f t="shared" ca="1" si="162"/>
        <v>13</v>
      </c>
      <c r="AM508" s="223">
        <f t="shared" si="158"/>
        <v>17</v>
      </c>
      <c r="AN508" s="223">
        <f t="shared" si="159"/>
        <v>2026</v>
      </c>
      <c r="AU508" s="223">
        <f t="shared" si="160"/>
        <v>4</v>
      </c>
      <c r="AV508" s="223">
        <f t="shared" si="161"/>
        <v>2026</v>
      </c>
    </row>
    <row r="509" spans="4:48" ht="26.25" x14ac:dyDescent="0.4">
      <c r="D509" s="246" t="s">
        <v>726</v>
      </c>
      <c r="E509" s="252" t="s">
        <v>263</v>
      </c>
      <c r="F509" s="276">
        <v>1500</v>
      </c>
      <c r="G509" s="249" t="s">
        <v>4</v>
      </c>
      <c r="H509" s="250">
        <v>2.61</v>
      </c>
      <c r="I509" s="251">
        <v>46100</v>
      </c>
      <c r="J509" s="252" t="s">
        <v>309</v>
      </c>
      <c r="K509" s="252"/>
      <c r="L509" s="253">
        <v>7.0000000000000007E-2</v>
      </c>
      <c r="M509" s="254">
        <f ca="1">IF(ISERROR(OFFSET(Tabella!$A$1,MATCH(J509,Tabella!$A:$A,0)-1,MATCH(L509,Tabella!$A$1:$AC$1,0)-1)=TRUE),0,+OFFSET(Tabella!$A$1,MATCH(J509,Tabella!$A:$A,0)-1,MATCH(L509,Tabella!$A$1:$AC$1,0)-1))</f>
        <v>1.25</v>
      </c>
      <c r="N509" s="255">
        <f ca="1">IF(ISERROR(OFFSET(Ottone!$A$1,MATCH(J509,Ottone!$A:$A,0)-1,MATCH(L509,Ottone!$A$1:$Z$1,0)-1)=TRUE),0,OFFSET(Ottone!$A$1,MATCH(J509,Ottone!$A:$A,0)-1,MATCH(L509,Ottone!$A$1:$Z$1,0)-1))*IF(G509="Ottone",1,0)</f>
        <v>0</v>
      </c>
      <c r="O509" s="255">
        <f ca="1">IF(ISERROR(OFFSET(Rame!$A$1,MATCH(J509,Rame!$A:$A,0)-1,MATCH(L509,Rame!$A$1:$AA$1,0)-1)=TRUE),0,OFFSET(Rame!$A$1,MATCH(J509,Rame!$A:$A,0)-1,MATCH(L509,Rame!$A$1:$AA$1,0)-1))*IF(G509="Rame",1,0)</f>
        <v>0</v>
      </c>
      <c r="P509" s="255">
        <v>0</v>
      </c>
      <c r="Q509" s="255">
        <v>1.57</v>
      </c>
      <c r="R509" s="255">
        <f ca="1">+IF(ISERROR(OFFSET(Tabella!$G$1,MATCH(J509,Tabella!$G:$G,0)-1,MATCH(K509,Tabella!$G$1:$FG$1,0)-1)=TRUE),0,OFFSET(Tabella!$G$1,MATCH(J509,Tabella!$G:$G,0)-1,MATCH(K509,Tabella!$G$1:$AB$1,0)-1))</f>
        <v>0</v>
      </c>
      <c r="S509" s="255">
        <f ca="1">IF(ISERROR(OFFSET(Ottone!$F$1,MATCH(J509,Ottone!$A:$A,0)-1,MATCH(K509,Ottone!$F$1:$FF$1,0)-1)=TRUE),0,OFFSET(Ottone!$F$1,MATCH(J509,Ottone!$A:$A,0)-1,MATCH(K509,Ottone!$F$1:$FF$1,0)-1))*IF(G509="Ottone",1,0)</f>
        <v>0</v>
      </c>
      <c r="T509" s="255">
        <f ca="1">IF(ISERROR(OFFSET(Rame!$F$1,MATCH(J509,Rame!$F:$F,0)-1,MATCH(K509,Rame!$F$1:$FF$1,0)-1)=TRUE),0,OFFSET(Rame!$F$1,MATCH(J509,Rame!$F:$F,0)-1,MATCH(K509,Rame!$F$1:$FF$1,0)-1))*IF(G509="Rame",1,0)</f>
        <v>0</v>
      </c>
      <c r="U509" s="255">
        <f ca="1">IF(ISERROR(OFFSET(Bronzo!$A$1,MATCH(J509,Bronzo!$A:$A,0)-1,MATCH(K509,Bronzo!$A$1:$AA$1,0)-1)=TRUE),0,OFFSET(Bronzo!$A$1,MATCH(J509,Bronzo!$A:$A,0)-1,MATCH(K509,Bronzo!$A$1:$AA$1,0)-1))</f>
        <v>0</v>
      </c>
      <c r="V509" s="255">
        <f t="shared" ca="1" si="163"/>
        <v>0</v>
      </c>
      <c r="W509" s="254"/>
      <c r="X509" s="255">
        <v>0</v>
      </c>
      <c r="Y509" s="256">
        <f t="shared" ca="1" si="164"/>
        <v>1.57</v>
      </c>
      <c r="Z509" s="257">
        <f t="shared" si="165"/>
        <v>105.00000000000001</v>
      </c>
      <c r="AA509" s="253">
        <v>4.18</v>
      </c>
      <c r="AB509" s="253">
        <f t="shared" ca="1" si="166"/>
        <v>0</v>
      </c>
      <c r="AC509" s="258">
        <v>46133</v>
      </c>
      <c r="AH509" s="232">
        <f t="shared" ca="1" si="156"/>
        <v>46120</v>
      </c>
      <c r="AI509" s="232" t="b">
        <f t="shared" si="157"/>
        <v>0</v>
      </c>
      <c r="AJ509" s="259">
        <f t="shared" ca="1" si="162"/>
        <v>13</v>
      </c>
      <c r="AM509" s="223">
        <f t="shared" si="158"/>
        <v>17</v>
      </c>
      <c r="AN509" s="223">
        <f t="shared" si="159"/>
        <v>2026</v>
      </c>
      <c r="AU509" s="223">
        <f t="shared" si="160"/>
        <v>4</v>
      </c>
      <c r="AV509" s="223">
        <f t="shared" si="161"/>
        <v>2026</v>
      </c>
    </row>
    <row r="510" spans="4:48" ht="26.25" x14ac:dyDescent="0.4">
      <c r="D510" s="246" t="s">
        <v>726</v>
      </c>
      <c r="E510" s="252" t="s">
        <v>263</v>
      </c>
      <c r="F510" s="276">
        <v>1500</v>
      </c>
      <c r="G510" s="249" t="s">
        <v>4</v>
      </c>
      <c r="H510" s="250">
        <v>2.61</v>
      </c>
      <c r="I510" s="251">
        <v>46100</v>
      </c>
      <c r="J510" s="252" t="s">
        <v>9</v>
      </c>
      <c r="K510" s="252"/>
      <c r="L510" s="253">
        <v>7.0000000000000007E-2</v>
      </c>
      <c r="M510" s="254">
        <f ca="1">IF(ISERROR(OFFSET(Tabella!$A$1,MATCH(J510,Tabella!$A:$A,0)-1,MATCH(L510,Tabella!$A$1:$AC$1,0)-1)=TRUE),0,+OFFSET(Tabella!$A$1,MATCH(J510,Tabella!$A:$A,0)-1,MATCH(L510,Tabella!$A$1:$AC$1,0)-1))</f>
        <v>1.6</v>
      </c>
      <c r="N510" s="255">
        <f ca="1">IF(ISERROR(OFFSET(Ottone!$A$1,MATCH(J510,Ottone!$A:$A,0)-1,MATCH(L510,Ottone!$A$1:$Z$1,0)-1)=TRUE),0,OFFSET(Ottone!$A$1,MATCH(J510,Ottone!$A:$A,0)-1,MATCH(L510,Ottone!$A$1:$Z$1,0)-1))*IF(G510="Ottone",1,0)</f>
        <v>0</v>
      </c>
      <c r="O510" s="255">
        <f ca="1">IF(ISERROR(OFFSET(Rame!$A$1,MATCH(J510,Rame!$A:$A,0)-1,MATCH(L510,Rame!$A$1:$AA$1,0)-1)=TRUE),0,OFFSET(Rame!$A$1,MATCH(J510,Rame!$A:$A,0)-1,MATCH(L510,Rame!$A$1:$AA$1,0)-1))*IF(G510="Rame",1,0)</f>
        <v>0</v>
      </c>
      <c r="P510" s="255">
        <v>0</v>
      </c>
      <c r="Q510" s="255">
        <v>1.87</v>
      </c>
      <c r="R510" s="255">
        <f ca="1">+IF(ISERROR(OFFSET(Tabella!$G$1,MATCH(J510,Tabella!$G:$G,0)-1,MATCH(K510,Tabella!$G$1:$FG$1,0)-1)=TRUE),0,OFFSET(Tabella!$G$1,MATCH(J510,Tabella!$G:$G,0)-1,MATCH(K510,Tabella!$G$1:$AB$1,0)-1))</f>
        <v>0</v>
      </c>
      <c r="S510" s="255">
        <f ca="1">IF(ISERROR(OFFSET(Ottone!$F$1,MATCH(J510,Ottone!$A:$A,0)-1,MATCH(K510,Ottone!$F$1:$FF$1,0)-1)=TRUE),0,OFFSET(Ottone!$F$1,MATCH(J510,Ottone!$A:$A,0)-1,MATCH(K510,Ottone!$F$1:$FF$1,0)-1))*IF(G510="Ottone",1,0)</f>
        <v>0</v>
      </c>
      <c r="T510" s="255">
        <f ca="1">IF(ISERROR(OFFSET(Rame!$F$1,MATCH(J510,Rame!$F:$F,0)-1,MATCH(K510,Rame!$F$1:$FF$1,0)-1)=TRUE),0,OFFSET(Rame!$F$1,MATCH(J510,Rame!$F:$F,0)-1,MATCH(K510,Rame!$F$1:$FF$1,0)-1))*IF(G510="Rame",1,0)</f>
        <v>0</v>
      </c>
      <c r="U510" s="255">
        <f ca="1">IF(ISERROR(OFFSET(Bronzo!$A$1,MATCH(J510,Bronzo!$A:$A,0)-1,MATCH(K510,Bronzo!$A$1:$AA$1,0)-1)=TRUE),0,OFFSET(Bronzo!$A$1,MATCH(J510,Bronzo!$A:$A,0)-1,MATCH(K510,Bronzo!$A$1:$AA$1,0)-1))</f>
        <v>0</v>
      </c>
      <c r="V510" s="255">
        <f t="shared" ca="1" si="163"/>
        <v>0</v>
      </c>
      <c r="W510" s="254"/>
      <c r="X510" s="255">
        <v>0</v>
      </c>
      <c r="Y510" s="256">
        <f t="shared" ca="1" si="164"/>
        <v>1.87</v>
      </c>
      <c r="Z510" s="257">
        <f t="shared" si="165"/>
        <v>105.00000000000001</v>
      </c>
      <c r="AA510" s="253">
        <v>4.4800000000000004</v>
      </c>
      <c r="AB510" s="253">
        <f t="shared" ca="1" si="166"/>
        <v>0</v>
      </c>
      <c r="AC510" s="258">
        <v>46133</v>
      </c>
      <c r="AH510" s="232">
        <f t="shared" ca="1" si="156"/>
        <v>46120</v>
      </c>
      <c r="AI510" s="232" t="b">
        <f t="shared" si="157"/>
        <v>0</v>
      </c>
      <c r="AJ510" s="259">
        <f t="shared" ca="1" si="162"/>
        <v>13</v>
      </c>
      <c r="AM510" s="223">
        <f t="shared" si="158"/>
        <v>17</v>
      </c>
      <c r="AN510" s="223">
        <f t="shared" si="159"/>
        <v>2026</v>
      </c>
      <c r="AU510" s="223">
        <f t="shared" si="160"/>
        <v>4</v>
      </c>
      <c r="AV510" s="223">
        <f t="shared" si="161"/>
        <v>2026</v>
      </c>
    </row>
    <row r="511" spans="4:48" ht="26.25" x14ac:dyDescent="0.4">
      <c r="D511" s="246" t="s">
        <v>726</v>
      </c>
      <c r="E511" s="252" t="s">
        <v>263</v>
      </c>
      <c r="F511" s="276">
        <v>1000</v>
      </c>
      <c r="G511" s="249" t="s">
        <v>4</v>
      </c>
      <c r="H511" s="250">
        <v>2.61</v>
      </c>
      <c r="I511" s="251">
        <v>46100</v>
      </c>
      <c r="J511" s="252" t="s">
        <v>15</v>
      </c>
      <c r="K511" s="252"/>
      <c r="L511" s="253">
        <v>7.0000000000000007E-2</v>
      </c>
      <c r="M511" s="254">
        <f ca="1">IF(ISERROR(OFFSET(Tabella!$A$1,MATCH(J511,Tabella!$A:$A,0)-1,MATCH(L511,Tabella!$A$1:$AC$1,0)-1)=TRUE),0,+OFFSET(Tabella!$A$1,MATCH(J511,Tabella!$A:$A,0)-1,MATCH(L511,Tabella!$A$1:$AC$1,0)-1))</f>
        <v>1.4</v>
      </c>
      <c r="N511" s="255">
        <f ca="1">IF(ISERROR(OFFSET(Ottone!$A$1,MATCH(J511,Ottone!$A:$A,0)-1,MATCH(L511,Ottone!$A$1:$Z$1,0)-1)=TRUE),0,OFFSET(Ottone!$A$1,MATCH(J511,Ottone!$A:$A,0)-1,MATCH(L511,Ottone!$A$1:$Z$1,0)-1))*IF(G511="Ottone",1,0)</f>
        <v>0</v>
      </c>
      <c r="O511" s="255">
        <f ca="1">IF(ISERROR(OFFSET(Rame!$A$1,MATCH(J511,Rame!$A:$A,0)-1,MATCH(L511,Rame!$A$1:$AA$1,0)-1)=TRUE),0,OFFSET(Rame!$A$1,MATCH(J511,Rame!$A:$A,0)-1,MATCH(L511,Rame!$A$1:$AA$1,0)-1))*IF(G511="Rame",1,0)</f>
        <v>0</v>
      </c>
      <c r="P511" s="255">
        <v>0</v>
      </c>
      <c r="Q511" s="255">
        <v>1.72</v>
      </c>
      <c r="R511" s="255">
        <f ca="1">+IF(ISERROR(OFFSET(Tabella!$G$1,MATCH(J511,Tabella!$G:$G,0)-1,MATCH(K511,Tabella!$G$1:$FG$1,0)-1)=TRUE),0,OFFSET(Tabella!$G$1,MATCH(J511,Tabella!$G:$G,0)-1,MATCH(K511,Tabella!$G$1:$AB$1,0)-1))</f>
        <v>0</v>
      </c>
      <c r="S511" s="255">
        <f ca="1">IF(ISERROR(OFFSET(Ottone!$F$1,MATCH(J511,Ottone!$A:$A,0)-1,MATCH(K511,Ottone!$F$1:$FF$1,0)-1)=TRUE),0,OFFSET(Ottone!$F$1,MATCH(J511,Ottone!$A:$A,0)-1,MATCH(K511,Ottone!$F$1:$FF$1,0)-1))*IF(G511="Ottone",1,0)</f>
        <v>0</v>
      </c>
      <c r="T511" s="255">
        <f ca="1">IF(ISERROR(OFFSET(Rame!$F$1,MATCH(J511,Rame!$F:$F,0)-1,MATCH(K511,Rame!$F$1:$FF$1,0)-1)=TRUE),0,OFFSET(Rame!$F$1,MATCH(J511,Rame!$F:$F,0)-1,MATCH(K511,Rame!$F$1:$FF$1,0)-1))*IF(G511="Rame",1,0)</f>
        <v>0</v>
      </c>
      <c r="U511" s="255">
        <f ca="1">IF(ISERROR(OFFSET(Bronzo!$A$1,MATCH(J511,Bronzo!$A:$A,0)-1,MATCH(K511,Bronzo!$A$1:$AA$1,0)-1)=TRUE),0,OFFSET(Bronzo!$A$1,MATCH(J511,Bronzo!$A:$A,0)-1,MATCH(K511,Bronzo!$A$1:$AA$1,0)-1))</f>
        <v>0</v>
      </c>
      <c r="V511" s="255">
        <f t="shared" ca="1" si="163"/>
        <v>0</v>
      </c>
      <c r="W511" s="254"/>
      <c r="X511" s="255">
        <v>0</v>
      </c>
      <c r="Y511" s="256">
        <f t="shared" ca="1" si="164"/>
        <v>1.72</v>
      </c>
      <c r="Z511" s="257">
        <f t="shared" si="165"/>
        <v>70</v>
      </c>
      <c r="AA511" s="253">
        <v>4.33</v>
      </c>
      <c r="AB511" s="253">
        <f t="shared" ca="1" si="166"/>
        <v>0</v>
      </c>
      <c r="AC511" s="258">
        <v>46133</v>
      </c>
      <c r="AH511" s="232">
        <f t="shared" ca="1" si="156"/>
        <v>46120</v>
      </c>
      <c r="AI511" s="232" t="b">
        <f t="shared" si="157"/>
        <v>0</v>
      </c>
      <c r="AJ511" s="259">
        <f t="shared" ca="1" si="162"/>
        <v>13</v>
      </c>
      <c r="AM511" s="223">
        <f t="shared" si="158"/>
        <v>17</v>
      </c>
      <c r="AN511" s="223">
        <f t="shared" si="159"/>
        <v>2026</v>
      </c>
      <c r="AU511" s="223">
        <f t="shared" si="160"/>
        <v>4</v>
      </c>
      <c r="AV511" s="223">
        <f t="shared" si="161"/>
        <v>2026</v>
      </c>
    </row>
    <row r="512" spans="4:48" ht="26.25" x14ac:dyDescent="0.4">
      <c r="D512" s="246"/>
      <c r="E512" s="252" t="s">
        <v>397</v>
      </c>
      <c r="F512" s="276">
        <v>500</v>
      </c>
      <c r="G512" s="249" t="s">
        <v>4</v>
      </c>
      <c r="H512" s="250">
        <v>2.91</v>
      </c>
      <c r="I512" s="251">
        <v>46100</v>
      </c>
      <c r="J512" s="252" t="s">
        <v>11</v>
      </c>
      <c r="K512" s="252"/>
      <c r="L512" s="253">
        <v>0.1</v>
      </c>
      <c r="M512" s="254">
        <f ca="1">IF(ISERROR(OFFSET(Tabella!$A$1,MATCH(J512,Tabella!$A:$A,0)-1,MATCH(L512,Tabella!$A$1:$AC$1,0)-1)=TRUE),0,+OFFSET(Tabella!$A$1,MATCH(J512,Tabella!$A:$A,0)-1,MATCH(L512,Tabella!$A$1:$AC$1,0)-1))</f>
        <v>1.65</v>
      </c>
      <c r="N512" s="255">
        <f ca="1">IF(ISERROR(OFFSET(Ottone!$A$1,MATCH(J512,Ottone!$A:$A,0)-1,MATCH(L512,Ottone!$A$1:$Z$1,0)-1)=TRUE),0,OFFSET(Ottone!$A$1,MATCH(J512,Ottone!$A:$A,0)-1,MATCH(L512,Ottone!$A$1:$Z$1,0)-1))*IF(G512="Ottone",1,0)</f>
        <v>0</v>
      </c>
      <c r="O512" s="255">
        <f ca="1">IF(ISERROR(OFFSET(Rame!$A$1,MATCH(J512,Rame!$A:$A,0)-1,MATCH(L512,Rame!$A$1:$AA$1,0)-1)=TRUE),0,OFFSET(Rame!$A$1,MATCH(J512,Rame!$A:$A,0)-1,MATCH(L512,Rame!$A$1:$AA$1,0)-1))*IF(G512="Rame",1,0)</f>
        <v>0</v>
      </c>
      <c r="P512" s="255">
        <v>0</v>
      </c>
      <c r="Q512" s="255">
        <v>1.88</v>
      </c>
      <c r="R512" s="255">
        <f ca="1">+IF(ISERROR(OFFSET(Tabella!$G$1,MATCH(J512,Tabella!$G:$G,0)-1,MATCH(K512,Tabella!$G$1:$FG$1,0)-1)=TRUE),0,OFFSET(Tabella!$G$1,MATCH(J512,Tabella!$G:$G,0)-1,MATCH(K512,Tabella!$G$1:$AB$1,0)-1))</f>
        <v>0</v>
      </c>
      <c r="S512" s="255">
        <f ca="1">IF(ISERROR(OFFSET(Ottone!$F$1,MATCH(J512,Ottone!$A:$A,0)-1,MATCH(K512,Ottone!$F$1:$FF$1,0)-1)=TRUE),0,OFFSET(Ottone!$F$1,MATCH(J512,Ottone!$A:$A,0)-1,MATCH(K512,Ottone!$F$1:$FF$1,0)-1))*IF(G512="Ottone",1,0)</f>
        <v>0</v>
      </c>
      <c r="T512" s="255">
        <f ca="1">IF(ISERROR(OFFSET(Rame!$F$1,MATCH(J512,Rame!$F:$F,0)-1,MATCH(K512,Rame!$F$1:$FF$1,0)-1)=TRUE),0,OFFSET(Rame!$F$1,MATCH(J512,Rame!$F:$F,0)-1,MATCH(K512,Rame!$F$1:$FF$1,0)-1))*IF(G512="Rame",1,0)</f>
        <v>0</v>
      </c>
      <c r="U512" s="255">
        <f ca="1">IF(ISERROR(OFFSET(Bronzo!$A$1,MATCH(J512,Bronzo!$A:$A,0)-1,MATCH(K512,Bronzo!$A$1:$AA$1,0)-1)=TRUE),0,OFFSET(Bronzo!$A$1,MATCH(J512,Bronzo!$A:$A,0)-1,MATCH(K512,Bronzo!$A$1:$AA$1,0)-1))</f>
        <v>0</v>
      </c>
      <c r="V512" s="255">
        <f t="shared" ca="1" si="163"/>
        <v>0</v>
      </c>
      <c r="W512" s="254"/>
      <c r="X512" s="255">
        <v>0</v>
      </c>
      <c r="Y512" s="256">
        <f t="shared" ca="1" si="164"/>
        <v>1.88</v>
      </c>
      <c r="Z512" s="257">
        <f t="shared" si="165"/>
        <v>50</v>
      </c>
      <c r="AA512" s="253">
        <v>5.03</v>
      </c>
      <c r="AB512" s="253">
        <f t="shared" ca="1" si="166"/>
        <v>0.24000000000000021</v>
      </c>
      <c r="AC512" s="258"/>
      <c r="AH512" s="232">
        <f t="shared" ca="1" si="156"/>
        <v>46120</v>
      </c>
      <c r="AI512" s="232" t="b">
        <f t="shared" si="157"/>
        <v>1</v>
      </c>
      <c r="AJ512" s="259" t="str">
        <f t="shared" si="162"/>
        <v/>
      </c>
      <c r="AM512" s="223">
        <f t="shared" si="158"/>
        <v>0</v>
      </c>
      <c r="AN512" s="223">
        <f t="shared" si="159"/>
        <v>1900</v>
      </c>
      <c r="AU512" s="223">
        <f t="shared" si="160"/>
        <v>0</v>
      </c>
      <c r="AV512" s="223">
        <f t="shared" si="161"/>
        <v>0</v>
      </c>
    </row>
    <row r="513" spans="4:48" ht="26.25" x14ac:dyDescent="0.4">
      <c r="D513" s="246"/>
      <c r="E513" s="252" t="s">
        <v>397</v>
      </c>
      <c r="F513" s="276">
        <v>1300</v>
      </c>
      <c r="G513" s="249" t="s">
        <v>4</v>
      </c>
      <c r="H513" s="250">
        <v>2.91</v>
      </c>
      <c r="I513" s="251">
        <v>46100</v>
      </c>
      <c r="J513" s="252" t="s">
        <v>11</v>
      </c>
      <c r="K513" s="252"/>
      <c r="L513" s="253">
        <v>0.1</v>
      </c>
      <c r="M513" s="254">
        <f ca="1">IF(ISERROR(OFFSET(Tabella!$A$1,MATCH(J513,Tabella!$A:$A,0)-1,MATCH(L513,Tabella!$A$1:$AC$1,0)-1)=TRUE),0,+OFFSET(Tabella!$A$1,MATCH(J513,Tabella!$A:$A,0)-1,MATCH(L513,Tabella!$A$1:$AC$1,0)-1))</f>
        <v>1.65</v>
      </c>
      <c r="N513" s="255">
        <f ca="1">IF(ISERROR(OFFSET(Ottone!$A$1,MATCH(J513,Ottone!$A:$A,0)-1,MATCH(L513,Ottone!$A$1:$Z$1,0)-1)=TRUE),0,OFFSET(Ottone!$A$1,MATCH(J513,Ottone!$A:$A,0)-1,MATCH(L513,Ottone!$A$1:$Z$1,0)-1))*IF(G513="Ottone",1,0)</f>
        <v>0</v>
      </c>
      <c r="O513" s="255">
        <f ca="1">IF(ISERROR(OFFSET(Rame!$A$1,MATCH(J513,Rame!$A:$A,0)-1,MATCH(L513,Rame!$A$1:$AA$1,0)-1)=TRUE),0,OFFSET(Rame!$A$1,MATCH(J513,Rame!$A:$A,0)-1,MATCH(L513,Rame!$A$1:$AA$1,0)-1))*IF(G513="Rame",1,0)</f>
        <v>0</v>
      </c>
      <c r="P513" s="255">
        <v>0</v>
      </c>
      <c r="Q513" s="255">
        <v>1.88</v>
      </c>
      <c r="R513" s="255">
        <f ca="1">+IF(ISERROR(OFFSET(Tabella!$G$1,MATCH(J513,Tabella!$G:$G,0)-1,MATCH(K513,Tabella!$G$1:$FG$1,0)-1)=TRUE),0,OFFSET(Tabella!$G$1,MATCH(J513,Tabella!$G:$G,0)-1,MATCH(K513,Tabella!$G$1:$AB$1,0)-1))</f>
        <v>0</v>
      </c>
      <c r="S513" s="255">
        <f ca="1">IF(ISERROR(OFFSET(Ottone!$F$1,MATCH(J513,Ottone!$A:$A,0)-1,MATCH(K513,Ottone!$F$1:$FF$1,0)-1)=TRUE),0,OFFSET(Ottone!$F$1,MATCH(J513,Ottone!$A:$A,0)-1,MATCH(K513,Ottone!$F$1:$FF$1,0)-1))*IF(G513="Ottone",1,0)</f>
        <v>0</v>
      </c>
      <c r="T513" s="255">
        <f ca="1">IF(ISERROR(OFFSET(Rame!$F$1,MATCH(J513,Rame!$F:$F,0)-1,MATCH(K513,Rame!$F$1:$FF$1,0)-1)=TRUE),0,OFFSET(Rame!$F$1,MATCH(J513,Rame!$F:$F,0)-1,MATCH(K513,Rame!$F$1:$FF$1,0)-1))*IF(G513="Rame",1,0)</f>
        <v>0</v>
      </c>
      <c r="U513" s="255">
        <f ca="1">IF(ISERROR(OFFSET(Bronzo!$A$1,MATCH(J513,Bronzo!$A:$A,0)-1,MATCH(K513,Bronzo!$A$1:$AA$1,0)-1)=TRUE),0,OFFSET(Bronzo!$A$1,MATCH(J513,Bronzo!$A:$A,0)-1,MATCH(K513,Bronzo!$A$1:$AA$1,0)-1))</f>
        <v>0</v>
      </c>
      <c r="V513" s="255">
        <f t="shared" ca="1" si="163"/>
        <v>0</v>
      </c>
      <c r="W513" s="254"/>
      <c r="X513" s="255">
        <v>0</v>
      </c>
      <c r="Y513" s="256">
        <f t="shared" ca="1" si="164"/>
        <v>1.88</v>
      </c>
      <c r="Z513" s="257">
        <f t="shared" si="165"/>
        <v>130</v>
      </c>
      <c r="AA513" s="253">
        <v>5.03</v>
      </c>
      <c r="AB513" s="253">
        <f t="shared" ca="1" si="166"/>
        <v>0.24000000000000021</v>
      </c>
      <c r="AC513" s="258"/>
      <c r="AH513" s="232">
        <f t="shared" ca="1" si="156"/>
        <v>46120</v>
      </c>
      <c r="AI513" s="232" t="b">
        <f t="shared" si="157"/>
        <v>1</v>
      </c>
      <c r="AJ513" s="259" t="str">
        <f t="shared" si="162"/>
        <v/>
      </c>
      <c r="AM513" s="223">
        <f t="shared" si="158"/>
        <v>0</v>
      </c>
      <c r="AN513" s="223">
        <f t="shared" si="159"/>
        <v>1900</v>
      </c>
      <c r="AU513" s="223">
        <f t="shared" si="160"/>
        <v>0</v>
      </c>
      <c r="AV513" s="223">
        <f t="shared" si="161"/>
        <v>0</v>
      </c>
    </row>
    <row r="514" spans="4:48" ht="26.25" x14ac:dyDescent="0.4">
      <c r="D514" s="246"/>
      <c r="E514" s="252" t="s">
        <v>397</v>
      </c>
      <c r="F514" s="276">
        <v>1500</v>
      </c>
      <c r="G514" s="249" t="s">
        <v>4</v>
      </c>
      <c r="H514" s="250">
        <v>2.91</v>
      </c>
      <c r="I514" s="251">
        <v>46100</v>
      </c>
      <c r="J514" s="252" t="s">
        <v>9</v>
      </c>
      <c r="K514" s="252"/>
      <c r="L514" s="253">
        <v>7.0000000000000007E-2</v>
      </c>
      <c r="M514" s="254">
        <f ca="1">IF(ISERROR(OFFSET(Tabella!$A$1,MATCH(J514,Tabella!$A:$A,0)-1,MATCH(L514,Tabella!$A$1:$AC$1,0)-1)=TRUE),0,+OFFSET(Tabella!$A$1,MATCH(J514,Tabella!$A:$A,0)-1,MATCH(L514,Tabella!$A$1:$AC$1,0)-1))</f>
        <v>1.6</v>
      </c>
      <c r="N514" s="255">
        <f ca="1">IF(ISERROR(OFFSET(Ottone!$A$1,MATCH(J514,Ottone!$A:$A,0)-1,MATCH(L514,Ottone!$A$1:$Z$1,0)-1)=TRUE),0,OFFSET(Ottone!$A$1,MATCH(J514,Ottone!$A:$A,0)-1,MATCH(L514,Ottone!$A$1:$Z$1,0)-1))*IF(G514="Ottone",1,0)</f>
        <v>0</v>
      </c>
      <c r="O514" s="255">
        <f ca="1">IF(ISERROR(OFFSET(Rame!$A$1,MATCH(J514,Rame!$A:$A,0)-1,MATCH(L514,Rame!$A$1:$AA$1,0)-1)=TRUE),0,OFFSET(Rame!$A$1,MATCH(J514,Rame!$A:$A,0)-1,MATCH(L514,Rame!$A$1:$AA$1,0)-1))*IF(G514="Rame",1,0)</f>
        <v>0</v>
      </c>
      <c r="P514" s="255">
        <v>0</v>
      </c>
      <c r="Q514" s="255">
        <v>1.9</v>
      </c>
      <c r="R514" s="255">
        <f ca="1">+IF(ISERROR(OFFSET(Tabella!$G$1,MATCH(J514,Tabella!$G:$G,0)-1,MATCH(K514,Tabella!$G$1:$FG$1,0)-1)=TRUE),0,OFFSET(Tabella!$G$1,MATCH(J514,Tabella!$G:$G,0)-1,MATCH(K514,Tabella!$G$1:$AB$1,0)-1))</f>
        <v>0</v>
      </c>
      <c r="S514" s="255">
        <f ca="1">IF(ISERROR(OFFSET(Ottone!$F$1,MATCH(J514,Ottone!$A:$A,0)-1,MATCH(K514,Ottone!$F$1:$FF$1,0)-1)=TRUE),0,OFFSET(Ottone!$F$1,MATCH(J514,Ottone!$A:$A,0)-1,MATCH(K514,Ottone!$F$1:$FF$1,0)-1))*IF(G514="Ottone",1,0)</f>
        <v>0</v>
      </c>
      <c r="T514" s="255">
        <f ca="1">IF(ISERROR(OFFSET(Rame!$F$1,MATCH(J514,Rame!$F:$F,0)-1,MATCH(K514,Rame!$F$1:$FF$1,0)-1)=TRUE),0,OFFSET(Rame!$F$1,MATCH(J514,Rame!$F:$F,0)-1,MATCH(K514,Rame!$F$1:$FF$1,0)-1))*IF(G514="Rame",1,0)</f>
        <v>0</v>
      </c>
      <c r="U514" s="255">
        <f ca="1">IF(ISERROR(OFFSET(Bronzo!$A$1,MATCH(J514,Bronzo!$A:$A,0)-1,MATCH(K514,Bronzo!$A$1:$AA$1,0)-1)=TRUE),0,OFFSET(Bronzo!$A$1,MATCH(J514,Bronzo!$A:$A,0)-1,MATCH(K514,Bronzo!$A$1:$AA$1,0)-1))</f>
        <v>0</v>
      </c>
      <c r="V514" s="255">
        <f t="shared" ca="1" si="163"/>
        <v>0</v>
      </c>
      <c r="W514" s="254"/>
      <c r="X514" s="255">
        <v>0</v>
      </c>
      <c r="Y514" s="256">
        <f t="shared" ca="1" si="164"/>
        <v>1.9</v>
      </c>
      <c r="Z514" s="257">
        <f t="shared" si="165"/>
        <v>105.00000000000001</v>
      </c>
      <c r="AA514" s="253">
        <v>5.03</v>
      </c>
      <c r="AB514" s="253">
        <f t="shared" ca="1" si="166"/>
        <v>0.2200000000000002</v>
      </c>
      <c r="AC514" s="258"/>
      <c r="AH514" s="232">
        <f t="shared" ca="1" si="156"/>
        <v>46120</v>
      </c>
      <c r="AI514" s="232" t="b">
        <f t="shared" si="157"/>
        <v>1</v>
      </c>
      <c r="AJ514" s="259" t="str">
        <f t="shared" si="162"/>
        <v/>
      </c>
      <c r="AM514" s="223">
        <f t="shared" si="158"/>
        <v>0</v>
      </c>
      <c r="AN514" s="223">
        <f t="shared" si="159"/>
        <v>1900</v>
      </c>
      <c r="AU514" s="223">
        <f t="shared" si="160"/>
        <v>0</v>
      </c>
      <c r="AV514" s="223">
        <f t="shared" si="161"/>
        <v>0</v>
      </c>
    </row>
    <row r="515" spans="4:48" ht="26.25" x14ac:dyDescent="0.4">
      <c r="D515" s="246"/>
      <c r="E515" s="252" t="s">
        <v>397</v>
      </c>
      <c r="F515" s="276">
        <v>300</v>
      </c>
      <c r="G515" s="249" t="s">
        <v>4</v>
      </c>
      <c r="H515" s="250">
        <v>2.91</v>
      </c>
      <c r="I515" s="251">
        <v>46100</v>
      </c>
      <c r="J515" s="252" t="s">
        <v>19</v>
      </c>
      <c r="K515" s="252"/>
      <c r="L515" s="253">
        <v>7.0000000000000007E-2</v>
      </c>
      <c r="M515" s="254">
        <f ca="1">IF(ISERROR(OFFSET(Tabella!$A$1,MATCH(J515,Tabella!$A:$A,0)-1,MATCH(L515,Tabella!$A$1:$AC$1,0)-1)=TRUE),0,+OFFSET(Tabella!$A$1,MATCH(J515,Tabella!$A:$A,0)-1,MATCH(L515,Tabella!$A$1:$AC$1,0)-1))</f>
        <v>1.35</v>
      </c>
      <c r="N515" s="255">
        <f ca="1">IF(ISERROR(OFFSET(Ottone!$A$1,MATCH(J515,Ottone!$A:$A,0)-1,MATCH(L515,Ottone!$A$1:$Z$1,0)-1)=TRUE),0,OFFSET(Ottone!$A$1,MATCH(J515,Ottone!$A:$A,0)-1,MATCH(L515,Ottone!$A$1:$Z$1,0)-1))*IF(G515="Ottone",1,0)</f>
        <v>0</v>
      </c>
      <c r="O515" s="255">
        <f ca="1">IF(ISERROR(OFFSET(Rame!$A$1,MATCH(J515,Rame!$A:$A,0)-1,MATCH(L515,Rame!$A$1:$AA$1,0)-1)=TRUE),0,OFFSET(Rame!$A$1,MATCH(J515,Rame!$A:$A,0)-1,MATCH(L515,Rame!$A$1:$AA$1,0)-1))*IF(G515="Rame",1,0)</f>
        <v>0</v>
      </c>
      <c r="P515" s="255">
        <v>0</v>
      </c>
      <c r="Q515" s="255">
        <v>1.65</v>
      </c>
      <c r="R515" s="255">
        <f ca="1">+IF(ISERROR(OFFSET(Tabella!$G$1,MATCH(J515,Tabella!$G:$G,0)-1,MATCH(K515,Tabella!$G$1:$FG$1,0)-1)=TRUE),0,OFFSET(Tabella!$G$1,MATCH(J515,Tabella!$G:$G,0)-1,MATCH(K515,Tabella!$G$1:$AB$1,0)-1))</f>
        <v>0</v>
      </c>
      <c r="S515" s="255">
        <f ca="1">IF(ISERROR(OFFSET(Ottone!$F$1,MATCH(J515,Ottone!$A:$A,0)-1,MATCH(K515,Ottone!$F$1:$FF$1,0)-1)=TRUE),0,OFFSET(Ottone!$F$1,MATCH(J515,Ottone!$A:$A,0)-1,MATCH(K515,Ottone!$F$1:$FF$1,0)-1))*IF(G515="Ottone",1,0)</f>
        <v>0</v>
      </c>
      <c r="T515" s="255">
        <f ca="1">IF(ISERROR(OFFSET(Rame!$F$1,MATCH(J515,Rame!$F:$F,0)-1,MATCH(K515,Rame!$F$1:$FF$1,0)-1)=TRUE),0,OFFSET(Rame!$F$1,MATCH(J515,Rame!$F:$F,0)-1,MATCH(K515,Rame!$F$1:$FF$1,0)-1))*IF(G515="Rame",1,0)</f>
        <v>0</v>
      </c>
      <c r="U515" s="255">
        <f ca="1">IF(ISERROR(OFFSET(Bronzo!$A$1,MATCH(J515,Bronzo!$A:$A,0)-1,MATCH(K515,Bronzo!$A$1:$AA$1,0)-1)=TRUE),0,OFFSET(Bronzo!$A$1,MATCH(J515,Bronzo!$A:$A,0)-1,MATCH(K515,Bronzo!$A$1:$AA$1,0)-1))</f>
        <v>0</v>
      </c>
      <c r="V515" s="255">
        <f t="shared" ca="1" si="163"/>
        <v>0</v>
      </c>
      <c r="W515" s="254"/>
      <c r="X515" s="255">
        <v>0</v>
      </c>
      <c r="Y515" s="256">
        <f t="shared" ca="1" si="164"/>
        <v>1.65</v>
      </c>
      <c r="Z515" s="257">
        <f t="shared" si="165"/>
        <v>21.000000000000004</v>
      </c>
      <c r="AA515" s="253">
        <v>4.78</v>
      </c>
      <c r="AB515" s="253">
        <f t="shared" ca="1" si="166"/>
        <v>0.2200000000000002</v>
      </c>
      <c r="AC515" s="258"/>
      <c r="AH515" s="232">
        <f t="shared" ca="1" si="156"/>
        <v>46120</v>
      </c>
      <c r="AI515" s="232" t="b">
        <f t="shared" si="157"/>
        <v>1</v>
      </c>
      <c r="AJ515" s="259" t="str">
        <f t="shared" si="162"/>
        <v/>
      </c>
      <c r="AM515" s="223">
        <f t="shared" si="158"/>
        <v>0</v>
      </c>
      <c r="AN515" s="223">
        <f t="shared" si="159"/>
        <v>1900</v>
      </c>
      <c r="AU515" s="223">
        <f t="shared" si="160"/>
        <v>0</v>
      </c>
      <c r="AV515" s="223">
        <f t="shared" si="161"/>
        <v>0</v>
      </c>
    </row>
    <row r="516" spans="4:48" ht="26.25" x14ac:dyDescent="0.4">
      <c r="D516" s="246" t="s">
        <v>727</v>
      </c>
      <c r="E516" s="252" t="s">
        <v>92</v>
      </c>
      <c r="F516" s="276">
        <v>1500</v>
      </c>
      <c r="G516" s="249" t="s">
        <v>4</v>
      </c>
      <c r="H516" s="250">
        <v>2.94</v>
      </c>
      <c r="I516" s="251">
        <v>46099</v>
      </c>
      <c r="J516" s="252" t="s">
        <v>28</v>
      </c>
      <c r="K516" s="252"/>
      <c r="L516" s="253">
        <v>7.0000000000000007E-2</v>
      </c>
      <c r="M516" s="254">
        <f ca="1">IF(ISERROR(OFFSET(Tabella!$A$1,MATCH(J516,Tabella!$A:$A,0)-1,MATCH(L516,Tabella!$A$1:$AC$1,0)-1)=TRUE),0,+OFFSET(Tabella!$A$1,MATCH(J516,Tabella!$A:$A,0)-1,MATCH(L516,Tabella!$A$1:$AC$1,0)-1))</f>
        <v>1.25</v>
      </c>
      <c r="N516" s="255">
        <f ca="1">IF(ISERROR(OFFSET(Ottone!$A$1,MATCH(J516,Ottone!$A:$A,0)-1,MATCH(L516,Ottone!$A$1:$Z$1,0)-1)=TRUE),0,OFFSET(Ottone!$A$1,MATCH(J516,Ottone!$A:$A,0)-1,MATCH(L516,Ottone!$A$1:$Z$1,0)-1))*IF(G516="Ottone",1,0)</f>
        <v>0</v>
      </c>
      <c r="O516" s="255">
        <f ca="1">IF(ISERROR(OFFSET(Rame!$A$1,MATCH(J516,Rame!$A:$A,0)-1,MATCH(L516,Rame!$A$1:$AA$1,0)-1)=TRUE),0,OFFSET(Rame!$A$1,MATCH(J516,Rame!$A:$A,0)-1,MATCH(L516,Rame!$A$1:$AA$1,0)-1))*IF(G516="Rame",1,0)</f>
        <v>0</v>
      </c>
      <c r="P516" s="255">
        <v>0</v>
      </c>
      <c r="Q516" s="255">
        <f t="shared" ca="1" si="167"/>
        <v>1.25</v>
      </c>
      <c r="R516" s="255">
        <f ca="1">+IF(ISERROR(OFFSET(Tabella!$G$1,MATCH(J516,Tabella!$G:$G,0)-1,MATCH(K516,Tabella!$G$1:$FG$1,0)-1)=TRUE),0,OFFSET(Tabella!$G$1,MATCH(J516,Tabella!$G:$G,0)-1,MATCH(K516,Tabella!$G$1:$AB$1,0)-1))</f>
        <v>0</v>
      </c>
      <c r="S516" s="255">
        <f ca="1">IF(ISERROR(OFFSET(Ottone!$F$1,MATCH(J516,Ottone!$A:$A,0)-1,MATCH(K516,Ottone!$F$1:$FF$1,0)-1)=TRUE),0,OFFSET(Ottone!$F$1,MATCH(J516,Ottone!$A:$A,0)-1,MATCH(K516,Ottone!$F$1:$FF$1,0)-1))*IF(G516="Ottone",1,0)</f>
        <v>0</v>
      </c>
      <c r="T516" s="255">
        <f ca="1">IF(ISERROR(OFFSET(Rame!$F$1,MATCH(J516,Rame!$F:$F,0)-1,MATCH(K516,Rame!$F$1:$FF$1,0)-1)=TRUE),0,OFFSET(Rame!$F$1,MATCH(J516,Rame!$F:$F,0)-1,MATCH(K516,Rame!$F$1:$FF$1,0)-1))*IF(G516="Rame",1,0)</f>
        <v>0</v>
      </c>
      <c r="U516" s="255">
        <f ca="1">IF(ISERROR(OFFSET(Bronzo!$A$1,MATCH(J516,Bronzo!$A:$A,0)-1,MATCH(K516,Bronzo!$A$1:$AA$1,0)-1)=TRUE),0,OFFSET(Bronzo!$A$1,MATCH(J516,Bronzo!$A:$A,0)-1,MATCH(K516,Bronzo!$A$1:$AA$1,0)-1))</f>
        <v>0</v>
      </c>
      <c r="V516" s="255">
        <f t="shared" ca="1" si="163"/>
        <v>0</v>
      </c>
      <c r="W516" s="254"/>
      <c r="X516" s="255">
        <v>0</v>
      </c>
      <c r="Y516" s="256">
        <f t="shared" ca="1" si="164"/>
        <v>1.25</v>
      </c>
      <c r="Z516" s="257">
        <f t="shared" si="165"/>
        <v>105.00000000000001</v>
      </c>
      <c r="AA516" s="253">
        <v>4.54</v>
      </c>
      <c r="AB516" s="253">
        <f t="shared" ca="1" si="166"/>
        <v>0.35000000000000009</v>
      </c>
      <c r="AC516" s="258">
        <v>46119</v>
      </c>
      <c r="AH516" s="232">
        <f t="shared" ca="1" si="156"/>
        <v>46120</v>
      </c>
      <c r="AI516" s="232" t="b">
        <f t="shared" si="157"/>
        <v>0</v>
      </c>
      <c r="AJ516" s="259">
        <f t="shared" ca="1" si="162"/>
        <v>-1</v>
      </c>
      <c r="AM516" s="223">
        <f t="shared" si="158"/>
        <v>15</v>
      </c>
      <c r="AN516" s="223">
        <f t="shared" si="159"/>
        <v>2026</v>
      </c>
      <c r="AU516" s="223">
        <f t="shared" si="160"/>
        <v>4</v>
      </c>
      <c r="AV516" s="223">
        <f t="shared" si="161"/>
        <v>2026</v>
      </c>
    </row>
    <row r="517" spans="4:48" ht="26.25" x14ac:dyDescent="0.4">
      <c r="D517" s="246" t="s">
        <v>724</v>
      </c>
      <c r="E517" s="252" t="s">
        <v>102</v>
      </c>
      <c r="F517" s="276">
        <v>1200</v>
      </c>
      <c r="G517" s="249" t="s">
        <v>4</v>
      </c>
      <c r="H517" s="250">
        <v>2.65</v>
      </c>
      <c r="I517" s="251">
        <v>46050</v>
      </c>
      <c r="J517" s="252" t="s">
        <v>27</v>
      </c>
      <c r="K517" s="252"/>
      <c r="L517" s="253">
        <v>7.0000000000000007E-2</v>
      </c>
      <c r="M517" s="254">
        <f ca="1">IF(ISERROR(OFFSET(Tabella!$A$1,MATCH(J517,Tabella!$A:$A,0)-1,MATCH(L517,Tabella!$A$1:$AC$1,0)-1)=TRUE),0,+OFFSET(Tabella!$A$1,MATCH(J517,Tabella!$A:$A,0)-1,MATCH(L517,Tabella!$A$1:$AC$1,0)-1))</f>
        <v>1.25</v>
      </c>
      <c r="N517" s="255">
        <f ca="1">IF(ISERROR(OFFSET(Ottone!$A$1,MATCH(J517,Ottone!$A:$A,0)-1,MATCH(L517,Ottone!$A$1:$Z$1,0)-1)=TRUE),0,OFFSET(Ottone!$A$1,MATCH(J517,Ottone!$A:$A,0)-1,MATCH(L517,Ottone!$A$1:$Z$1,0)-1))*IF(G517="Ottone",1,0)</f>
        <v>0</v>
      </c>
      <c r="O517" s="255">
        <f ca="1">IF(ISERROR(OFFSET(Rame!$A$1,MATCH(J517,Rame!$A:$A,0)-1,MATCH(L517,Rame!$A$1:$AA$1,0)-1)=TRUE),0,OFFSET(Rame!$A$1,MATCH(J517,Rame!$A:$A,0)-1,MATCH(L517,Rame!$A$1:$AA$1,0)-1))*IF(G517="Rame",1,0)</f>
        <v>0</v>
      </c>
      <c r="P517" s="255">
        <v>0</v>
      </c>
      <c r="Q517" s="255">
        <f t="shared" ca="1" si="167"/>
        <v>1.25</v>
      </c>
      <c r="R517" s="255">
        <f ca="1">+IF(ISERROR(OFFSET(Tabella!$G$1,MATCH(J517,Tabella!$G:$G,0)-1,MATCH(K517,Tabella!$G$1:$FG$1,0)-1)=TRUE),0,OFFSET(Tabella!$G$1,MATCH(J517,Tabella!$G:$G,0)-1,MATCH(K517,Tabella!$G$1:$AB$1,0)-1))</f>
        <v>0</v>
      </c>
      <c r="S517" s="255">
        <f ca="1">IF(ISERROR(OFFSET(Ottone!$F$1,MATCH(J517,Ottone!$A:$A,0)-1,MATCH(K517,Ottone!$F$1:$FF$1,0)-1)=TRUE),0,OFFSET(Ottone!$F$1,MATCH(J517,Ottone!$A:$A,0)-1,MATCH(K517,Ottone!$F$1:$FF$1,0)-1))*IF(G517="Ottone",1,0)</f>
        <v>0</v>
      </c>
      <c r="T517" s="255">
        <f ca="1">IF(ISERROR(OFFSET(Rame!$F$1,MATCH(J517,Rame!$F:$F,0)-1,MATCH(K517,Rame!$F$1:$FF$1,0)-1)=TRUE),0,OFFSET(Rame!$F$1,MATCH(J517,Rame!$F:$F,0)-1,MATCH(K517,Rame!$F$1:$FF$1,0)-1))*IF(G517="Rame",1,0)</f>
        <v>0</v>
      </c>
      <c r="U517" s="255">
        <f ca="1">IF(ISERROR(OFFSET(Bronzo!$A$1,MATCH(J517,Bronzo!$A:$A,0)-1,MATCH(K517,Bronzo!$A$1:$AA$1,0)-1)=TRUE),0,OFFSET(Bronzo!$A$1,MATCH(J517,Bronzo!$A:$A,0)-1,MATCH(K517,Bronzo!$A$1:$AA$1,0)-1))</f>
        <v>0</v>
      </c>
      <c r="V517" s="255">
        <f t="shared" ca="1" si="163"/>
        <v>0</v>
      </c>
      <c r="W517" s="254"/>
      <c r="X517" s="255">
        <v>0</v>
      </c>
      <c r="Y517" s="256">
        <f t="shared" ca="1" si="164"/>
        <v>1.25</v>
      </c>
      <c r="Z517" s="257">
        <f t="shared" si="165"/>
        <v>84.000000000000014</v>
      </c>
      <c r="AA517" s="253">
        <v>4.1500000000000004</v>
      </c>
      <c r="AB517" s="253">
        <f t="shared" ca="1" si="166"/>
        <v>0.25000000000000044</v>
      </c>
      <c r="AC517" s="258">
        <v>46146</v>
      </c>
      <c r="AH517" s="232">
        <f t="shared" ca="1" si="156"/>
        <v>46120</v>
      </c>
      <c r="AI517" s="232" t="b">
        <f t="shared" si="157"/>
        <v>0</v>
      </c>
      <c r="AJ517" s="259">
        <f t="shared" ca="1" si="162"/>
        <v>26</v>
      </c>
      <c r="AM517" s="223">
        <f t="shared" si="158"/>
        <v>19</v>
      </c>
      <c r="AN517" s="223">
        <f t="shared" si="159"/>
        <v>2026</v>
      </c>
      <c r="AU517" s="223">
        <f t="shared" si="160"/>
        <v>5</v>
      </c>
      <c r="AV517" s="223">
        <f t="shared" si="161"/>
        <v>2026</v>
      </c>
    </row>
    <row r="518" spans="4:48" ht="26.25" x14ac:dyDescent="0.4">
      <c r="D518" s="246" t="s">
        <v>724</v>
      </c>
      <c r="E518" s="252" t="s">
        <v>102</v>
      </c>
      <c r="F518" s="276">
        <v>1000</v>
      </c>
      <c r="G518" s="249" t="s">
        <v>4</v>
      </c>
      <c r="H518" s="250">
        <v>2.65</v>
      </c>
      <c r="I518" s="251">
        <v>46050</v>
      </c>
      <c r="J518" s="252" t="s">
        <v>27</v>
      </c>
      <c r="K518" s="252"/>
      <c r="L518" s="253">
        <v>7.0000000000000007E-2</v>
      </c>
      <c r="M518" s="254">
        <f ca="1">IF(ISERROR(OFFSET(Tabella!$A$1,MATCH(J518,Tabella!$A:$A,0)-1,MATCH(L518,Tabella!$A$1:$AC$1,0)-1)=TRUE),0,+OFFSET(Tabella!$A$1,MATCH(J518,Tabella!$A:$A,0)-1,MATCH(L518,Tabella!$A$1:$AC$1,0)-1))</f>
        <v>1.25</v>
      </c>
      <c r="N518" s="255">
        <f ca="1">IF(ISERROR(OFFSET(Ottone!$A$1,MATCH(J518,Ottone!$A:$A,0)-1,MATCH(L518,Ottone!$A$1:$Z$1,0)-1)=TRUE),0,OFFSET(Ottone!$A$1,MATCH(J518,Ottone!$A:$A,0)-1,MATCH(L518,Ottone!$A$1:$Z$1,0)-1))*IF(G518="Ottone",1,0)</f>
        <v>0</v>
      </c>
      <c r="O518" s="255">
        <f ca="1">IF(ISERROR(OFFSET(Rame!$A$1,MATCH(J518,Rame!$A:$A,0)-1,MATCH(L518,Rame!$A$1:$AA$1,0)-1)=TRUE),0,OFFSET(Rame!$A$1,MATCH(J518,Rame!$A:$A,0)-1,MATCH(L518,Rame!$A$1:$AA$1,0)-1))*IF(G518="Rame",1,0)</f>
        <v>0</v>
      </c>
      <c r="P518" s="255">
        <v>0</v>
      </c>
      <c r="Q518" s="255">
        <f t="shared" ca="1" si="167"/>
        <v>1.25</v>
      </c>
      <c r="R518" s="255">
        <f ca="1">+IF(ISERROR(OFFSET(Tabella!$G$1,MATCH(J518,Tabella!$G:$G,0)-1,MATCH(K518,Tabella!$G$1:$FG$1,0)-1)=TRUE),0,OFFSET(Tabella!$G$1,MATCH(J518,Tabella!$G:$G,0)-1,MATCH(K518,Tabella!$G$1:$AB$1,0)-1))</f>
        <v>0</v>
      </c>
      <c r="S518" s="255">
        <f ca="1">IF(ISERROR(OFFSET(Ottone!$F$1,MATCH(J518,Ottone!$A:$A,0)-1,MATCH(K518,Ottone!$F$1:$FF$1,0)-1)=TRUE),0,OFFSET(Ottone!$F$1,MATCH(J518,Ottone!$A:$A,0)-1,MATCH(K518,Ottone!$F$1:$FF$1,0)-1))*IF(G518="Ottone",1,0)</f>
        <v>0</v>
      </c>
      <c r="T518" s="255">
        <f ca="1">IF(ISERROR(OFFSET(Rame!$F$1,MATCH(J518,Rame!$F:$F,0)-1,MATCH(K518,Rame!$F$1:$FF$1,0)-1)=TRUE),0,OFFSET(Rame!$F$1,MATCH(J518,Rame!$F:$F,0)-1,MATCH(K518,Rame!$F$1:$FF$1,0)-1))*IF(G518="Rame",1,0)</f>
        <v>0</v>
      </c>
      <c r="U518" s="255">
        <f ca="1">IF(ISERROR(OFFSET(Bronzo!$A$1,MATCH(J518,Bronzo!$A:$A,0)-1,MATCH(K518,Bronzo!$A$1:$AA$1,0)-1)=TRUE),0,OFFSET(Bronzo!$A$1,MATCH(J518,Bronzo!$A:$A,0)-1,MATCH(K518,Bronzo!$A$1:$AA$1,0)-1))</f>
        <v>0</v>
      </c>
      <c r="V518" s="255">
        <f t="shared" ca="1" si="163"/>
        <v>0</v>
      </c>
      <c r="W518" s="254"/>
      <c r="X518" s="255">
        <v>0</v>
      </c>
      <c r="Y518" s="256">
        <f t="shared" ca="1" si="164"/>
        <v>1.25</v>
      </c>
      <c r="Z518" s="257">
        <f t="shared" si="165"/>
        <v>70</v>
      </c>
      <c r="AA518" s="253">
        <v>4.1500000000000004</v>
      </c>
      <c r="AB518" s="253">
        <f t="shared" ca="1" si="166"/>
        <v>0.25000000000000044</v>
      </c>
      <c r="AC518" s="258">
        <v>46146</v>
      </c>
      <c r="AH518" s="232">
        <f t="shared" ca="1" si="156"/>
        <v>46120</v>
      </c>
      <c r="AI518" s="232" t="b">
        <f t="shared" si="157"/>
        <v>0</v>
      </c>
      <c r="AJ518" s="259">
        <f t="shared" ca="1" si="162"/>
        <v>26</v>
      </c>
      <c r="AM518" s="223">
        <f t="shared" si="158"/>
        <v>19</v>
      </c>
      <c r="AN518" s="223">
        <f t="shared" si="159"/>
        <v>2026</v>
      </c>
      <c r="AU518" s="223">
        <f t="shared" si="160"/>
        <v>5</v>
      </c>
      <c r="AV518" s="223">
        <f t="shared" si="161"/>
        <v>2026</v>
      </c>
    </row>
    <row r="519" spans="4:48" ht="26.25" x14ac:dyDescent="0.4">
      <c r="D519" s="246" t="s">
        <v>724</v>
      </c>
      <c r="E519" s="252" t="s">
        <v>102</v>
      </c>
      <c r="F519" s="276">
        <v>800</v>
      </c>
      <c r="G519" s="249" t="s">
        <v>4</v>
      </c>
      <c r="H519" s="250">
        <v>2.65</v>
      </c>
      <c r="I519" s="251">
        <v>46050</v>
      </c>
      <c r="J519" s="252" t="s">
        <v>308</v>
      </c>
      <c r="K519" s="252"/>
      <c r="L519" s="253">
        <v>7.0000000000000007E-2</v>
      </c>
      <c r="M519" s="254">
        <f ca="1">IF(ISERROR(OFFSET(Tabella!$A$1,MATCH(J519,Tabella!$A:$A,0)-1,MATCH(L519,Tabella!$A$1:$AC$1,0)-1)=TRUE),0,+OFFSET(Tabella!$A$1,MATCH(J519,Tabella!$A:$A,0)-1,MATCH(L519,Tabella!$A$1:$AC$1,0)-1))</f>
        <v>1.25</v>
      </c>
      <c r="N519" s="255">
        <f ca="1">IF(ISERROR(OFFSET(Ottone!$A$1,MATCH(J519,Ottone!$A:$A,0)-1,MATCH(L519,Ottone!$A$1:$Z$1,0)-1)=TRUE),0,OFFSET(Ottone!$A$1,MATCH(J519,Ottone!$A:$A,0)-1,MATCH(L519,Ottone!$A$1:$Z$1,0)-1))*IF(G519="Ottone",1,0)</f>
        <v>0</v>
      </c>
      <c r="O519" s="255">
        <f ca="1">IF(ISERROR(OFFSET(Rame!$A$1,MATCH(J519,Rame!$A:$A,0)-1,MATCH(L519,Rame!$A$1:$AA$1,0)-1)=TRUE),0,OFFSET(Rame!$A$1,MATCH(J519,Rame!$A:$A,0)-1,MATCH(L519,Rame!$A$1:$AA$1,0)-1))*IF(G519="Rame",1,0)</f>
        <v>0</v>
      </c>
      <c r="P519" s="255">
        <v>0</v>
      </c>
      <c r="Q519" s="255">
        <f t="shared" ca="1" si="167"/>
        <v>1.25</v>
      </c>
      <c r="R519" s="255">
        <f ca="1">+IF(ISERROR(OFFSET(Tabella!$G$1,MATCH(J519,Tabella!$G:$G,0)-1,MATCH(K519,Tabella!$G$1:$FG$1,0)-1)=TRUE),0,OFFSET(Tabella!$G$1,MATCH(J519,Tabella!$G:$G,0)-1,MATCH(K519,Tabella!$G$1:$AB$1,0)-1))</f>
        <v>0</v>
      </c>
      <c r="S519" s="255">
        <f ca="1">IF(ISERROR(OFFSET(Ottone!$F$1,MATCH(J519,Ottone!$A:$A,0)-1,MATCH(K519,Ottone!$F$1:$FF$1,0)-1)=TRUE),0,OFFSET(Ottone!$F$1,MATCH(J519,Ottone!$A:$A,0)-1,MATCH(K519,Ottone!$F$1:$FF$1,0)-1))*IF(G519="Ottone",1,0)</f>
        <v>0</v>
      </c>
      <c r="T519" s="255">
        <f ca="1">IF(ISERROR(OFFSET(Rame!$F$1,MATCH(J519,Rame!$F:$F,0)-1,MATCH(K519,Rame!$F$1:$FF$1,0)-1)=TRUE),0,OFFSET(Rame!$F$1,MATCH(J519,Rame!$F:$F,0)-1,MATCH(K519,Rame!$F$1:$FF$1,0)-1))*IF(G519="Rame",1,0)</f>
        <v>0</v>
      </c>
      <c r="U519" s="255">
        <f ca="1">IF(ISERROR(OFFSET(Bronzo!$A$1,MATCH(J519,Bronzo!$A:$A,0)-1,MATCH(K519,Bronzo!$A$1:$AA$1,0)-1)=TRUE),0,OFFSET(Bronzo!$A$1,MATCH(J519,Bronzo!$A:$A,0)-1,MATCH(K519,Bronzo!$A$1:$AA$1,0)-1))</f>
        <v>0</v>
      </c>
      <c r="V519" s="255">
        <f t="shared" ca="1" si="163"/>
        <v>0</v>
      </c>
      <c r="W519" s="254"/>
      <c r="X519" s="255">
        <v>0</v>
      </c>
      <c r="Y519" s="256">
        <f t="shared" ca="1" si="164"/>
        <v>1.25</v>
      </c>
      <c r="Z519" s="257">
        <f t="shared" si="165"/>
        <v>56.000000000000007</v>
      </c>
      <c r="AA519" s="253">
        <v>4.1500000000000004</v>
      </c>
      <c r="AB519" s="253">
        <f t="shared" ca="1" si="166"/>
        <v>0.25000000000000044</v>
      </c>
      <c r="AC519" s="258">
        <v>46146</v>
      </c>
      <c r="AH519" s="232">
        <f t="shared" ca="1" si="156"/>
        <v>46120</v>
      </c>
      <c r="AI519" s="232" t="b">
        <f t="shared" si="157"/>
        <v>0</v>
      </c>
      <c r="AJ519" s="259">
        <f t="shared" ca="1" si="162"/>
        <v>26</v>
      </c>
      <c r="AM519" s="223">
        <f t="shared" si="158"/>
        <v>19</v>
      </c>
      <c r="AN519" s="223">
        <f t="shared" si="159"/>
        <v>2026</v>
      </c>
      <c r="AU519" s="223">
        <f t="shared" si="160"/>
        <v>5</v>
      </c>
      <c r="AV519" s="223">
        <f t="shared" si="161"/>
        <v>2026</v>
      </c>
    </row>
    <row r="520" spans="4:48" ht="26.25" x14ac:dyDescent="0.4">
      <c r="D520" s="246" t="s">
        <v>702</v>
      </c>
      <c r="E520" s="252" t="s">
        <v>208</v>
      </c>
      <c r="F520" s="276">
        <v>700</v>
      </c>
      <c r="G520" s="249" t="s">
        <v>4</v>
      </c>
      <c r="H520" s="250">
        <v>2.61</v>
      </c>
      <c r="I520" s="251">
        <v>46091</v>
      </c>
      <c r="J520" s="252" t="s">
        <v>15</v>
      </c>
      <c r="K520" s="252"/>
      <c r="L520" s="253">
        <v>0.05</v>
      </c>
      <c r="M520" s="254">
        <f ca="1">IF(ISERROR(OFFSET(Tabella!$A$1,MATCH(J520,Tabella!$A:$A,0)-1,MATCH(L520,Tabella!$A$1:$AC$1,0)-1)=TRUE),0,+OFFSET(Tabella!$A$1,MATCH(J520,Tabella!$A:$A,0)-1,MATCH(L520,Tabella!$A$1:$AC$1,0)-1))</f>
        <v>0</v>
      </c>
      <c r="N520" s="255">
        <f ca="1">IF(ISERROR(OFFSET(Ottone!$A$1,MATCH(J520,Ottone!$A:$A,0)-1,MATCH(L520,Ottone!$A$1:$Z$1,0)-1)=TRUE),0,OFFSET(Ottone!$A$1,MATCH(J520,Ottone!$A:$A,0)-1,MATCH(L520,Ottone!$A$1:$Z$1,0)-1))*IF(G520="Ottone",1,0)</f>
        <v>0</v>
      </c>
      <c r="O520" s="255">
        <f ca="1">IF(ISERROR(OFFSET(Rame!$A$1,MATCH(J520,Rame!$A:$A,0)-1,MATCH(L520,Rame!$A$1:$AA$1,0)-1)=TRUE),0,OFFSET(Rame!$A$1,MATCH(J520,Rame!$A:$A,0)-1,MATCH(L520,Rame!$A$1:$AA$1,0)-1))*IF(G520="Rame",1,0)</f>
        <v>0</v>
      </c>
      <c r="P520" s="255">
        <v>0</v>
      </c>
      <c r="Q520" s="255">
        <v>1.75</v>
      </c>
      <c r="R520" s="255">
        <f ca="1">+IF(ISERROR(OFFSET(Tabella!$G$1,MATCH(J520,Tabella!$G:$G,0)-1,MATCH(K520,Tabella!$G$1:$FG$1,0)-1)=TRUE),0,OFFSET(Tabella!$G$1,MATCH(J520,Tabella!$G:$G,0)-1,MATCH(K520,Tabella!$G$1:$AB$1,0)-1))</f>
        <v>0</v>
      </c>
      <c r="S520" s="255">
        <f ca="1">IF(ISERROR(OFFSET(Ottone!$F$1,MATCH(J520,Ottone!$A:$A,0)-1,MATCH(K520,Ottone!$F$1:$FF$1,0)-1)=TRUE),0,OFFSET(Ottone!$F$1,MATCH(J520,Ottone!$A:$A,0)-1,MATCH(K520,Ottone!$F$1:$FF$1,0)-1))*IF(G520="Ottone",1,0)</f>
        <v>0</v>
      </c>
      <c r="T520" s="255">
        <f ca="1">IF(ISERROR(OFFSET(Rame!$F$1,MATCH(J520,Rame!$F:$F,0)-1,MATCH(K520,Rame!$F$1:$FF$1,0)-1)=TRUE),0,OFFSET(Rame!$F$1,MATCH(J520,Rame!$F:$F,0)-1,MATCH(K520,Rame!$F$1:$FF$1,0)-1))*IF(G520="Rame",1,0)</f>
        <v>0</v>
      </c>
      <c r="U520" s="255">
        <f ca="1">IF(ISERROR(OFFSET(Bronzo!$A$1,MATCH(J520,Bronzo!$A:$A,0)-1,MATCH(K520,Bronzo!$A$1:$AA$1,0)-1)=TRUE),0,OFFSET(Bronzo!$A$1,MATCH(J520,Bronzo!$A:$A,0)-1,MATCH(K520,Bronzo!$A$1:$AA$1,0)-1))</f>
        <v>0</v>
      </c>
      <c r="V520" s="255">
        <f t="shared" ca="1" si="163"/>
        <v>0</v>
      </c>
      <c r="W520" s="254"/>
      <c r="X520" s="255">
        <v>0</v>
      </c>
      <c r="Y520" s="256">
        <f t="shared" ca="1" si="164"/>
        <v>1.75</v>
      </c>
      <c r="Z520" s="257">
        <f t="shared" si="165"/>
        <v>35</v>
      </c>
      <c r="AA520" s="253">
        <v>4.45</v>
      </c>
      <c r="AB520" s="253">
        <f t="shared" ca="1" si="166"/>
        <v>9.0000000000000302E-2</v>
      </c>
      <c r="AC520" s="258">
        <v>46106</v>
      </c>
      <c r="AH520" s="232">
        <f t="shared" ca="1" si="156"/>
        <v>46120</v>
      </c>
      <c r="AI520" s="232" t="b">
        <f t="shared" si="157"/>
        <v>0</v>
      </c>
      <c r="AJ520" s="259">
        <f t="shared" ca="1" si="162"/>
        <v>-14</v>
      </c>
      <c r="AM520" s="223">
        <f t="shared" si="158"/>
        <v>13</v>
      </c>
      <c r="AN520" s="223">
        <f t="shared" si="159"/>
        <v>2026</v>
      </c>
      <c r="AU520" s="223">
        <f t="shared" si="160"/>
        <v>3</v>
      </c>
      <c r="AV520" s="223">
        <f t="shared" si="161"/>
        <v>2026</v>
      </c>
    </row>
    <row r="521" spans="4:48" ht="26.25" x14ac:dyDescent="0.4">
      <c r="D521" s="246" t="s">
        <v>775</v>
      </c>
      <c r="E521" s="252" t="s">
        <v>330</v>
      </c>
      <c r="F521" s="276">
        <v>2000</v>
      </c>
      <c r="G521" s="249" t="s">
        <v>4</v>
      </c>
      <c r="H521" s="277">
        <v>1.7</v>
      </c>
      <c r="I521" s="251">
        <v>46099</v>
      </c>
      <c r="J521" s="252" t="s">
        <v>24</v>
      </c>
      <c r="K521" s="252"/>
      <c r="L521" s="253">
        <v>7.0000000000000007E-2</v>
      </c>
      <c r="M521" s="254">
        <f ca="1">IF(ISERROR(OFFSET(Tabella!$A$1,MATCH(J521,Tabella!$A:$A,0)-1,MATCH(L521,Tabella!$A$1:$AC$1,0)-1)=TRUE),0,+OFFSET(Tabella!$A$1,MATCH(J521,Tabella!$A:$A,0)-1,MATCH(L521,Tabella!$A$1:$AC$1,0)-1))</f>
        <v>1.25</v>
      </c>
      <c r="N521" s="255">
        <f ca="1">IF(ISERROR(OFFSET(Ottone!$A$1,MATCH(J521,Ottone!$A:$A,0)-1,MATCH(L521,Ottone!$A$1:$Z$1,0)-1)=TRUE),0,OFFSET(Ottone!$A$1,MATCH(J521,Ottone!$A:$A,0)-1,MATCH(L521,Ottone!$A$1:$Z$1,0)-1))*IF(G521="Ottone",1,0)</f>
        <v>0</v>
      </c>
      <c r="O521" s="255">
        <f ca="1">IF(ISERROR(OFFSET(Rame!$A$1,MATCH(J521,Rame!$A:$A,0)-1,MATCH(L521,Rame!$A$1:$AA$1,0)-1)=TRUE),0,OFFSET(Rame!$A$1,MATCH(J521,Rame!$A:$A,0)-1,MATCH(L521,Rame!$A$1:$AA$1,0)-1))*IF(G521="Rame",1,0)</f>
        <v>0</v>
      </c>
      <c r="P521" s="255">
        <v>0</v>
      </c>
      <c r="Q521" s="255">
        <f t="shared" ca="1" si="167"/>
        <v>1.25</v>
      </c>
      <c r="R521" s="255">
        <f ca="1">+IF(ISERROR(OFFSET(Tabella!$G$1,MATCH(J521,Tabella!$G:$G,0)-1,MATCH(K521,Tabella!$G$1:$FG$1,0)-1)=TRUE),0,OFFSET(Tabella!$G$1,MATCH(J521,Tabella!$G:$G,0)-1,MATCH(K521,Tabella!$G$1:$AB$1,0)-1))</f>
        <v>0</v>
      </c>
      <c r="S521" s="255">
        <f ca="1">IF(ISERROR(OFFSET(Ottone!$F$1,MATCH(J521,Ottone!$A:$A,0)-1,MATCH(K521,Ottone!$F$1:$FF$1,0)-1)=TRUE),0,OFFSET(Ottone!$F$1,MATCH(J521,Ottone!$A:$A,0)-1,MATCH(K521,Ottone!$F$1:$FF$1,0)-1))*IF(G521="Ottone",1,0)</f>
        <v>0</v>
      </c>
      <c r="T521" s="255">
        <f ca="1">IF(ISERROR(OFFSET(Rame!$F$1,MATCH(J521,Rame!$F:$F,0)-1,MATCH(K521,Rame!$F$1:$FF$1,0)-1)=TRUE),0,OFFSET(Rame!$F$1,MATCH(J521,Rame!$F:$F,0)-1,MATCH(K521,Rame!$F$1:$FF$1,0)-1))*IF(G521="Rame",1,0)</f>
        <v>0</v>
      </c>
      <c r="U521" s="255">
        <f ca="1">IF(ISERROR(OFFSET(Bronzo!$A$1,MATCH(J521,Bronzo!$A:$A,0)-1,MATCH(K521,Bronzo!$A$1:$AA$1,0)-1)=TRUE),0,OFFSET(Bronzo!$A$1,MATCH(J521,Bronzo!$A:$A,0)-1,MATCH(K521,Bronzo!$A$1:$AA$1,0)-1))</f>
        <v>0</v>
      </c>
      <c r="V521" s="255">
        <f t="shared" ca="1" si="163"/>
        <v>0</v>
      </c>
      <c r="W521" s="254"/>
      <c r="X521" s="255">
        <v>0</v>
      </c>
      <c r="Y521" s="256">
        <f t="shared" ca="1" si="164"/>
        <v>1.25</v>
      </c>
      <c r="Z521" s="257">
        <f t="shared" si="165"/>
        <v>140</v>
      </c>
      <c r="AA521" s="278">
        <v>1.7</v>
      </c>
      <c r="AB521" s="253">
        <f t="shared" ca="1" si="166"/>
        <v>-1.25</v>
      </c>
      <c r="AC521" s="258">
        <v>46117</v>
      </c>
      <c r="AH521" s="232">
        <f t="shared" ca="1" si="156"/>
        <v>46120</v>
      </c>
      <c r="AI521" s="232" t="b">
        <f t="shared" si="157"/>
        <v>0</v>
      </c>
      <c r="AJ521" s="259">
        <f t="shared" ca="1" si="162"/>
        <v>-3</v>
      </c>
      <c r="AM521" s="223">
        <f t="shared" si="158"/>
        <v>15</v>
      </c>
      <c r="AN521" s="223">
        <f t="shared" si="159"/>
        <v>2026</v>
      </c>
      <c r="AU521" s="223">
        <f t="shared" si="160"/>
        <v>4</v>
      </c>
      <c r="AV521" s="223">
        <f t="shared" si="161"/>
        <v>2026</v>
      </c>
    </row>
    <row r="522" spans="4:48" ht="26.25" x14ac:dyDescent="0.4">
      <c r="D522" s="246" t="s">
        <v>775</v>
      </c>
      <c r="E522" s="252" t="s">
        <v>330</v>
      </c>
      <c r="F522" s="276">
        <v>1000</v>
      </c>
      <c r="G522" s="249" t="s">
        <v>4</v>
      </c>
      <c r="H522" s="277">
        <v>1.7</v>
      </c>
      <c r="I522" s="251">
        <v>46099</v>
      </c>
      <c r="J522" s="252" t="s">
        <v>314</v>
      </c>
      <c r="K522" s="252"/>
      <c r="L522" s="253">
        <v>7.0000000000000007E-2</v>
      </c>
      <c r="M522" s="254">
        <f ca="1">IF(ISERROR(OFFSET(Tabella!$A$1,MATCH(J522,Tabella!$A:$A,0)-1,MATCH(L522,Tabella!$A$1:$AC$1,0)-1)=TRUE),0,+OFFSET(Tabella!$A$1,MATCH(J522,Tabella!$A:$A,0)-1,MATCH(L522,Tabella!$A$1:$AC$1,0)-1))</f>
        <v>1.25</v>
      </c>
      <c r="N522" s="255">
        <f ca="1">IF(ISERROR(OFFSET(Ottone!$A$1,MATCH(J522,Ottone!$A:$A,0)-1,MATCH(L522,Ottone!$A$1:$Z$1,0)-1)=TRUE),0,OFFSET(Ottone!$A$1,MATCH(J522,Ottone!$A:$A,0)-1,MATCH(L522,Ottone!$A$1:$Z$1,0)-1))*IF(G522="Ottone",1,0)</f>
        <v>0</v>
      </c>
      <c r="O522" s="255">
        <f ca="1">IF(ISERROR(OFFSET(Rame!$A$1,MATCH(J522,Rame!$A:$A,0)-1,MATCH(L522,Rame!$A$1:$AA$1,0)-1)=TRUE),0,OFFSET(Rame!$A$1,MATCH(J522,Rame!$A:$A,0)-1,MATCH(L522,Rame!$A$1:$AA$1,0)-1))*IF(G522="Rame",1,0)</f>
        <v>0</v>
      </c>
      <c r="P522" s="255">
        <v>0</v>
      </c>
      <c r="Q522" s="255">
        <f t="shared" ca="1" si="167"/>
        <v>1.25</v>
      </c>
      <c r="R522" s="255">
        <f ca="1">+IF(ISERROR(OFFSET(Tabella!$G$1,MATCH(J522,Tabella!$G:$G,0)-1,MATCH(K522,Tabella!$G$1:$FG$1,0)-1)=TRUE),0,OFFSET(Tabella!$G$1,MATCH(J522,Tabella!$G:$G,0)-1,MATCH(K522,Tabella!$G$1:$AB$1,0)-1))</f>
        <v>0</v>
      </c>
      <c r="S522" s="255">
        <f ca="1">IF(ISERROR(OFFSET(Ottone!$F$1,MATCH(J522,Ottone!$A:$A,0)-1,MATCH(K522,Ottone!$F$1:$FF$1,0)-1)=TRUE),0,OFFSET(Ottone!$F$1,MATCH(J522,Ottone!$A:$A,0)-1,MATCH(K522,Ottone!$F$1:$FF$1,0)-1))*IF(G522="Ottone",1,0)</f>
        <v>0</v>
      </c>
      <c r="T522" s="255">
        <f ca="1">IF(ISERROR(OFFSET(Rame!$F$1,MATCH(J522,Rame!$F:$F,0)-1,MATCH(K522,Rame!$F$1:$FF$1,0)-1)=TRUE),0,OFFSET(Rame!$F$1,MATCH(J522,Rame!$F:$F,0)-1,MATCH(K522,Rame!$F$1:$FF$1,0)-1))*IF(G522="Rame",1,0)</f>
        <v>0</v>
      </c>
      <c r="U522" s="255">
        <f ca="1">IF(ISERROR(OFFSET(Bronzo!$A$1,MATCH(J522,Bronzo!$A:$A,0)-1,MATCH(K522,Bronzo!$A$1:$AA$1,0)-1)=TRUE),0,OFFSET(Bronzo!$A$1,MATCH(J522,Bronzo!$A:$A,0)-1,MATCH(K522,Bronzo!$A$1:$AA$1,0)-1))</f>
        <v>0</v>
      </c>
      <c r="V522" s="255">
        <f t="shared" ca="1" si="163"/>
        <v>0</v>
      </c>
      <c r="W522" s="254"/>
      <c r="X522" s="255">
        <v>0</v>
      </c>
      <c r="Y522" s="256">
        <f t="shared" ca="1" si="164"/>
        <v>1.25</v>
      </c>
      <c r="Z522" s="257">
        <f t="shared" si="165"/>
        <v>70</v>
      </c>
      <c r="AA522" s="278">
        <v>1.7</v>
      </c>
      <c r="AB522" s="253">
        <f t="shared" ca="1" si="166"/>
        <v>-1.25</v>
      </c>
      <c r="AC522" s="258">
        <v>46117</v>
      </c>
      <c r="AH522" s="232">
        <f t="shared" ca="1" si="156"/>
        <v>46120</v>
      </c>
      <c r="AI522" s="232" t="b">
        <f t="shared" si="157"/>
        <v>0</v>
      </c>
      <c r="AJ522" s="259">
        <f t="shared" ca="1" si="162"/>
        <v>-3</v>
      </c>
      <c r="AM522" s="223">
        <f t="shared" si="158"/>
        <v>15</v>
      </c>
      <c r="AN522" s="223">
        <f t="shared" si="159"/>
        <v>2026</v>
      </c>
      <c r="AU522" s="223">
        <f t="shared" si="160"/>
        <v>4</v>
      </c>
      <c r="AV522" s="223">
        <f t="shared" si="161"/>
        <v>2026</v>
      </c>
    </row>
    <row r="523" spans="4:48" ht="26.25" x14ac:dyDescent="0.4">
      <c r="D523" s="246" t="s">
        <v>752</v>
      </c>
      <c r="E523" s="252" t="s">
        <v>400</v>
      </c>
      <c r="F523" s="276">
        <v>900</v>
      </c>
      <c r="G523" s="249" t="s">
        <v>4</v>
      </c>
      <c r="H523" s="250">
        <v>2.62</v>
      </c>
      <c r="I523" s="251">
        <v>46080</v>
      </c>
      <c r="J523" s="252" t="s">
        <v>25</v>
      </c>
      <c r="K523" s="252"/>
      <c r="L523" s="253">
        <v>7.0000000000000007E-2</v>
      </c>
      <c r="M523" s="254">
        <f ca="1">IF(ISERROR(OFFSET(Tabella!$A$1,MATCH(J523,Tabella!$A:$A,0)-1,MATCH(L523,Tabella!$A$1:$AC$1,0)-1)=TRUE),0,+OFFSET(Tabella!$A$1,MATCH(J523,Tabella!$A:$A,0)-1,MATCH(L523,Tabella!$A$1:$AC$1,0)-1))</f>
        <v>1.25</v>
      </c>
      <c r="N523" s="255">
        <f ca="1">IF(ISERROR(OFFSET(Ottone!$A$1,MATCH(J523,Ottone!$A:$A,0)-1,MATCH(L523,Ottone!$A$1:$Z$1,0)-1)=TRUE),0,OFFSET(Ottone!$A$1,MATCH(J523,Ottone!$A:$A,0)-1,MATCH(L523,Ottone!$A$1:$Z$1,0)-1))*IF(G523="Ottone",1,0)</f>
        <v>0</v>
      </c>
      <c r="O523" s="255">
        <f ca="1">IF(ISERROR(OFFSET(Rame!$A$1,MATCH(J523,Rame!$A:$A,0)-1,MATCH(L523,Rame!$A$1:$AA$1,0)-1)=TRUE),0,OFFSET(Rame!$A$1,MATCH(J523,Rame!$A:$A,0)-1,MATCH(L523,Rame!$A$1:$AA$1,0)-1))*IF(G523="Rame",1,0)</f>
        <v>0</v>
      </c>
      <c r="P523" s="255">
        <v>0</v>
      </c>
      <c r="Q523" s="255">
        <f t="shared" ca="1" si="167"/>
        <v>1.25</v>
      </c>
      <c r="R523" s="255">
        <f ca="1">+IF(ISERROR(OFFSET(Tabella!$G$1,MATCH(J523,Tabella!$G:$G,0)-1,MATCH(K523,Tabella!$G$1:$FG$1,0)-1)=TRUE),0,OFFSET(Tabella!$G$1,MATCH(J523,Tabella!$G:$G,0)-1,MATCH(K523,Tabella!$G$1:$AB$1,0)-1))</f>
        <v>0</v>
      </c>
      <c r="S523" s="255">
        <f ca="1">IF(ISERROR(OFFSET(Ottone!$F$1,MATCH(J523,Ottone!$A:$A,0)-1,MATCH(K523,Ottone!$F$1:$FF$1,0)-1)=TRUE),0,OFFSET(Ottone!$F$1,MATCH(J523,Ottone!$A:$A,0)-1,MATCH(K523,Ottone!$F$1:$FF$1,0)-1))*IF(G523="Ottone",1,0)</f>
        <v>0</v>
      </c>
      <c r="T523" s="255">
        <f ca="1">IF(ISERROR(OFFSET(Rame!$F$1,MATCH(J523,Rame!$F:$F,0)-1,MATCH(K523,Rame!$F$1:$FF$1,0)-1)=TRUE),0,OFFSET(Rame!$F$1,MATCH(J523,Rame!$F:$F,0)-1,MATCH(K523,Rame!$F$1:$FF$1,0)-1))*IF(G523="Rame",1,0)</f>
        <v>0</v>
      </c>
      <c r="U523" s="255">
        <f ca="1">IF(ISERROR(OFFSET(Bronzo!$A$1,MATCH(J523,Bronzo!$A:$A,0)-1,MATCH(K523,Bronzo!$A$1:$AA$1,0)-1)=TRUE),0,OFFSET(Bronzo!$A$1,MATCH(J523,Bronzo!$A:$A,0)-1,MATCH(K523,Bronzo!$A$1:$AA$1,0)-1))</f>
        <v>0</v>
      </c>
      <c r="V523" s="255">
        <f t="shared" ca="1" si="163"/>
        <v>0</v>
      </c>
      <c r="W523" s="254"/>
      <c r="X523" s="255">
        <v>0</v>
      </c>
      <c r="Y523" s="256">
        <f t="shared" ca="1" si="164"/>
        <v>1.25</v>
      </c>
      <c r="Z523" s="257">
        <f t="shared" si="165"/>
        <v>63.000000000000007</v>
      </c>
      <c r="AA523" s="253">
        <v>4.0999999999999996</v>
      </c>
      <c r="AB523" s="253">
        <f t="shared" ca="1" si="166"/>
        <v>0.22999999999999954</v>
      </c>
      <c r="AC523" s="258">
        <v>46121</v>
      </c>
      <c r="AH523" s="232">
        <f t="shared" ca="1" si="156"/>
        <v>46120</v>
      </c>
      <c r="AI523" s="232" t="b">
        <f t="shared" si="157"/>
        <v>0</v>
      </c>
      <c r="AJ523" s="259">
        <f t="shared" ca="1" si="162"/>
        <v>1</v>
      </c>
      <c r="AM523" s="223">
        <f t="shared" si="158"/>
        <v>15</v>
      </c>
      <c r="AN523" s="223">
        <f t="shared" si="159"/>
        <v>2026</v>
      </c>
      <c r="AU523" s="223">
        <f t="shared" si="160"/>
        <v>4</v>
      </c>
      <c r="AV523" s="223">
        <f t="shared" si="161"/>
        <v>2026</v>
      </c>
    </row>
    <row r="524" spans="4:48" ht="26.25" x14ac:dyDescent="0.4">
      <c r="D524" s="246" t="s">
        <v>752</v>
      </c>
      <c r="E524" s="252" t="s">
        <v>400</v>
      </c>
      <c r="F524" s="276">
        <v>900</v>
      </c>
      <c r="G524" s="249" t="s">
        <v>4</v>
      </c>
      <c r="H524" s="250">
        <v>2.62</v>
      </c>
      <c r="I524" s="251">
        <v>46080</v>
      </c>
      <c r="J524" s="252" t="s">
        <v>23</v>
      </c>
      <c r="K524" s="252"/>
      <c r="L524" s="253">
        <v>7.0000000000000007E-2</v>
      </c>
      <c r="M524" s="254">
        <f ca="1">IF(ISERROR(OFFSET(Tabella!$A$1,MATCH(J524,Tabella!$A:$A,0)-1,MATCH(L524,Tabella!$A$1:$AC$1,0)-1)=TRUE),0,+OFFSET(Tabella!$A$1,MATCH(J524,Tabella!$A:$A,0)-1,MATCH(L524,Tabella!$A$1:$AC$1,0)-1))</f>
        <v>1.25</v>
      </c>
      <c r="N524" s="255">
        <f ca="1">IF(ISERROR(OFFSET(Ottone!$A$1,MATCH(J524,Ottone!$A:$A,0)-1,MATCH(L524,Ottone!$A$1:$Z$1,0)-1)=TRUE),0,OFFSET(Ottone!$A$1,MATCH(J524,Ottone!$A:$A,0)-1,MATCH(L524,Ottone!$A$1:$Z$1,0)-1))*IF(G524="Ottone",1,0)</f>
        <v>0</v>
      </c>
      <c r="O524" s="255">
        <f ca="1">IF(ISERROR(OFFSET(Rame!$A$1,MATCH(J524,Rame!$A:$A,0)-1,MATCH(L524,Rame!$A$1:$AA$1,0)-1)=TRUE),0,OFFSET(Rame!$A$1,MATCH(J524,Rame!$A:$A,0)-1,MATCH(L524,Rame!$A$1:$AA$1,0)-1))*IF(G524="Rame",1,0)</f>
        <v>0</v>
      </c>
      <c r="P524" s="255">
        <v>0</v>
      </c>
      <c r="Q524" s="255">
        <f t="shared" ca="1" si="167"/>
        <v>1.25</v>
      </c>
      <c r="R524" s="255">
        <f ca="1">+IF(ISERROR(OFFSET(Tabella!$G$1,MATCH(J524,Tabella!$G:$G,0)-1,MATCH(K524,Tabella!$G$1:$FG$1,0)-1)=TRUE),0,OFFSET(Tabella!$G$1,MATCH(J524,Tabella!$G:$G,0)-1,MATCH(K524,Tabella!$G$1:$AB$1,0)-1))</f>
        <v>0</v>
      </c>
      <c r="S524" s="255">
        <f ca="1">IF(ISERROR(OFFSET(Ottone!$F$1,MATCH(J524,Ottone!$A:$A,0)-1,MATCH(K524,Ottone!$F$1:$FF$1,0)-1)=TRUE),0,OFFSET(Ottone!$F$1,MATCH(J524,Ottone!$A:$A,0)-1,MATCH(K524,Ottone!$F$1:$FF$1,0)-1))*IF(G524="Ottone",1,0)</f>
        <v>0</v>
      </c>
      <c r="T524" s="255">
        <f ca="1">IF(ISERROR(OFFSET(Rame!$F$1,MATCH(J524,Rame!$F:$F,0)-1,MATCH(K524,Rame!$F$1:$FF$1,0)-1)=TRUE),0,OFFSET(Rame!$F$1,MATCH(J524,Rame!$F:$F,0)-1,MATCH(K524,Rame!$F$1:$FF$1,0)-1))*IF(G524="Rame",1,0)</f>
        <v>0</v>
      </c>
      <c r="U524" s="255">
        <f ca="1">IF(ISERROR(OFFSET(Bronzo!$A$1,MATCH(J524,Bronzo!$A:$A,0)-1,MATCH(K524,Bronzo!$A$1:$AA$1,0)-1)=TRUE),0,OFFSET(Bronzo!$A$1,MATCH(J524,Bronzo!$A:$A,0)-1,MATCH(K524,Bronzo!$A$1:$AA$1,0)-1))</f>
        <v>0</v>
      </c>
      <c r="V524" s="255">
        <f t="shared" ca="1" si="163"/>
        <v>0</v>
      </c>
      <c r="W524" s="254"/>
      <c r="X524" s="255">
        <v>0</v>
      </c>
      <c r="Y524" s="256">
        <f t="shared" ca="1" si="164"/>
        <v>1.25</v>
      </c>
      <c r="Z524" s="257">
        <f t="shared" si="165"/>
        <v>63.000000000000007</v>
      </c>
      <c r="AA524" s="253">
        <v>4.0999999999999996</v>
      </c>
      <c r="AB524" s="253">
        <f t="shared" ca="1" si="166"/>
        <v>0.22999999999999954</v>
      </c>
      <c r="AC524" s="258">
        <v>46121</v>
      </c>
      <c r="AH524" s="232">
        <f t="shared" ca="1" si="156"/>
        <v>46120</v>
      </c>
      <c r="AI524" s="232" t="b">
        <f t="shared" si="157"/>
        <v>0</v>
      </c>
      <c r="AJ524" s="259">
        <f t="shared" ca="1" si="162"/>
        <v>1</v>
      </c>
      <c r="AM524" s="223">
        <f t="shared" si="158"/>
        <v>15</v>
      </c>
      <c r="AN524" s="223">
        <f t="shared" si="159"/>
        <v>2026</v>
      </c>
      <c r="AU524" s="223">
        <f t="shared" si="160"/>
        <v>4</v>
      </c>
      <c r="AV524" s="223">
        <f t="shared" si="161"/>
        <v>2026</v>
      </c>
    </row>
    <row r="525" spans="4:48" ht="26.25" x14ac:dyDescent="0.4">
      <c r="D525" s="246" t="s">
        <v>752</v>
      </c>
      <c r="E525" s="252" t="s">
        <v>400</v>
      </c>
      <c r="F525" s="276">
        <v>1000</v>
      </c>
      <c r="G525" s="249" t="s">
        <v>4</v>
      </c>
      <c r="H525" s="250">
        <v>2.62</v>
      </c>
      <c r="I525" s="251">
        <v>46080</v>
      </c>
      <c r="J525" s="252" t="s">
        <v>25</v>
      </c>
      <c r="K525" s="252"/>
      <c r="L525" s="253">
        <v>7.0000000000000007E-2</v>
      </c>
      <c r="M525" s="254">
        <f ca="1">IF(ISERROR(OFFSET(Tabella!$A$1,MATCH(J525,Tabella!$A:$A,0)-1,MATCH(L525,Tabella!$A$1:$AC$1,0)-1)=TRUE),0,+OFFSET(Tabella!$A$1,MATCH(J525,Tabella!$A:$A,0)-1,MATCH(L525,Tabella!$A$1:$AC$1,0)-1))</f>
        <v>1.25</v>
      </c>
      <c r="N525" s="255">
        <f ca="1">IF(ISERROR(OFFSET(Ottone!$A$1,MATCH(J525,Ottone!$A:$A,0)-1,MATCH(L525,Ottone!$A$1:$Z$1,0)-1)=TRUE),0,OFFSET(Ottone!$A$1,MATCH(J525,Ottone!$A:$A,0)-1,MATCH(L525,Ottone!$A$1:$Z$1,0)-1))*IF(G525="Ottone",1,0)</f>
        <v>0</v>
      </c>
      <c r="O525" s="255">
        <f ca="1">IF(ISERROR(OFFSET(Rame!$A$1,MATCH(J525,Rame!$A:$A,0)-1,MATCH(L525,Rame!$A$1:$AA$1,0)-1)=TRUE),0,OFFSET(Rame!$A$1,MATCH(J525,Rame!$A:$A,0)-1,MATCH(L525,Rame!$A$1:$AA$1,0)-1))*IF(G525="Rame",1,0)</f>
        <v>0</v>
      </c>
      <c r="P525" s="255">
        <v>0</v>
      </c>
      <c r="Q525" s="255">
        <f t="shared" ca="1" si="167"/>
        <v>1.25</v>
      </c>
      <c r="R525" s="255">
        <f ca="1">+IF(ISERROR(OFFSET(Tabella!$G$1,MATCH(J525,Tabella!$G:$G,0)-1,MATCH(K525,Tabella!$G$1:$FG$1,0)-1)=TRUE),0,OFFSET(Tabella!$G$1,MATCH(J525,Tabella!$G:$G,0)-1,MATCH(K525,Tabella!$G$1:$AB$1,0)-1))</f>
        <v>0</v>
      </c>
      <c r="S525" s="255">
        <f ca="1">IF(ISERROR(OFFSET(Ottone!$F$1,MATCH(J525,Ottone!$A:$A,0)-1,MATCH(K525,Ottone!$F$1:$FF$1,0)-1)=TRUE),0,OFFSET(Ottone!$F$1,MATCH(J525,Ottone!$A:$A,0)-1,MATCH(K525,Ottone!$F$1:$FF$1,0)-1))*IF(G525="Ottone",1,0)</f>
        <v>0</v>
      </c>
      <c r="T525" s="255">
        <f ca="1">IF(ISERROR(OFFSET(Rame!$F$1,MATCH(J525,Rame!$F:$F,0)-1,MATCH(K525,Rame!$F$1:$FF$1,0)-1)=TRUE),0,OFFSET(Rame!$F$1,MATCH(J525,Rame!$F:$F,0)-1,MATCH(K525,Rame!$F$1:$FF$1,0)-1))*IF(G525="Rame",1,0)</f>
        <v>0</v>
      </c>
      <c r="U525" s="255">
        <f ca="1">IF(ISERROR(OFFSET(Bronzo!$A$1,MATCH(J525,Bronzo!$A:$A,0)-1,MATCH(K525,Bronzo!$A$1:$AA$1,0)-1)=TRUE),0,OFFSET(Bronzo!$A$1,MATCH(J525,Bronzo!$A:$A,0)-1,MATCH(K525,Bronzo!$A$1:$AA$1,0)-1))</f>
        <v>0</v>
      </c>
      <c r="V525" s="255">
        <f t="shared" ca="1" si="163"/>
        <v>0</v>
      </c>
      <c r="W525" s="254"/>
      <c r="X525" s="255">
        <v>0</v>
      </c>
      <c r="Y525" s="256">
        <f t="shared" ca="1" si="164"/>
        <v>1.25</v>
      </c>
      <c r="Z525" s="257">
        <f t="shared" si="165"/>
        <v>70</v>
      </c>
      <c r="AA525" s="253">
        <v>4.0999999999999996</v>
      </c>
      <c r="AB525" s="253">
        <f t="shared" ca="1" si="166"/>
        <v>0.22999999999999954</v>
      </c>
      <c r="AC525" s="258">
        <v>46121</v>
      </c>
      <c r="AH525" s="232">
        <f t="shared" ca="1" si="156"/>
        <v>46120</v>
      </c>
      <c r="AI525" s="232" t="b">
        <f t="shared" si="157"/>
        <v>0</v>
      </c>
      <c r="AJ525" s="259">
        <f t="shared" ca="1" si="162"/>
        <v>1</v>
      </c>
      <c r="AM525" s="223">
        <f t="shared" si="158"/>
        <v>15</v>
      </c>
      <c r="AN525" s="223">
        <f t="shared" si="159"/>
        <v>2026</v>
      </c>
      <c r="AU525" s="223">
        <f t="shared" si="160"/>
        <v>4</v>
      </c>
      <c r="AV525" s="223">
        <f t="shared" si="161"/>
        <v>2026</v>
      </c>
    </row>
    <row r="526" spans="4:48" ht="26.25" x14ac:dyDescent="0.4">
      <c r="D526" s="246" t="s">
        <v>752</v>
      </c>
      <c r="E526" s="252" t="s">
        <v>400</v>
      </c>
      <c r="F526" s="276">
        <v>1000</v>
      </c>
      <c r="G526" s="249" t="s">
        <v>4</v>
      </c>
      <c r="H526" s="250">
        <v>2.62</v>
      </c>
      <c r="I526" s="251">
        <v>46080</v>
      </c>
      <c r="J526" s="252" t="s">
        <v>28</v>
      </c>
      <c r="K526" s="252"/>
      <c r="L526" s="253">
        <v>7.0000000000000007E-2</v>
      </c>
      <c r="M526" s="254">
        <f ca="1">IF(ISERROR(OFFSET(Tabella!$A$1,MATCH(J526,Tabella!$A:$A,0)-1,MATCH(L526,Tabella!$A$1:$AC$1,0)-1)=TRUE),0,+OFFSET(Tabella!$A$1,MATCH(J526,Tabella!$A:$A,0)-1,MATCH(L526,Tabella!$A$1:$AC$1,0)-1))</f>
        <v>1.25</v>
      </c>
      <c r="N526" s="255">
        <f ca="1">IF(ISERROR(OFFSET(Ottone!$A$1,MATCH(J526,Ottone!$A:$A,0)-1,MATCH(L526,Ottone!$A$1:$Z$1,0)-1)=TRUE),0,OFFSET(Ottone!$A$1,MATCH(J526,Ottone!$A:$A,0)-1,MATCH(L526,Ottone!$A$1:$Z$1,0)-1))*IF(G526="Ottone",1,0)</f>
        <v>0</v>
      </c>
      <c r="O526" s="255">
        <f ca="1">IF(ISERROR(OFFSET(Rame!$A$1,MATCH(J526,Rame!$A:$A,0)-1,MATCH(L526,Rame!$A$1:$AA$1,0)-1)=TRUE),0,OFFSET(Rame!$A$1,MATCH(J526,Rame!$A:$A,0)-1,MATCH(L526,Rame!$A$1:$AA$1,0)-1))*IF(G526="Rame",1,0)</f>
        <v>0</v>
      </c>
      <c r="P526" s="255">
        <v>0</v>
      </c>
      <c r="Q526" s="255">
        <f t="shared" ca="1" si="167"/>
        <v>1.25</v>
      </c>
      <c r="R526" s="255">
        <f ca="1">+IF(ISERROR(OFFSET(Tabella!$G$1,MATCH(J526,Tabella!$G:$G,0)-1,MATCH(K526,Tabella!$G$1:$FG$1,0)-1)=TRUE),0,OFFSET(Tabella!$G$1,MATCH(J526,Tabella!$G:$G,0)-1,MATCH(K526,Tabella!$G$1:$AB$1,0)-1))</f>
        <v>0</v>
      </c>
      <c r="S526" s="255">
        <f ca="1">IF(ISERROR(OFFSET(Ottone!$F$1,MATCH(J526,Ottone!$A:$A,0)-1,MATCH(K526,Ottone!$F$1:$FF$1,0)-1)=TRUE),0,OFFSET(Ottone!$F$1,MATCH(J526,Ottone!$A:$A,0)-1,MATCH(K526,Ottone!$F$1:$FF$1,0)-1))*IF(G526="Ottone",1,0)</f>
        <v>0</v>
      </c>
      <c r="T526" s="255">
        <f ca="1">IF(ISERROR(OFFSET(Rame!$F$1,MATCH(J526,Rame!$F:$F,0)-1,MATCH(K526,Rame!$F$1:$FF$1,0)-1)=TRUE),0,OFFSET(Rame!$F$1,MATCH(J526,Rame!$F:$F,0)-1,MATCH(K526,Rame!$F$1:$FF$1,0)-1))*IF(G526="Rame",1,0)</f>
        <v>0</v>
      </c>
      <c r="U526" s="255">
        <f ca="1">IF(ISERROR(OFFSET(Bronzo!$A$1,MATCH(J526,Bronzo!$A:$A,0)-1,MATCH(K526,Bronzo!$A$1:$AA$1,0)-1)=TRUE),0,OFFSET(Bronzo!$A$1,MATCH(J526,Bronzo!$A:$A,0)-1,MATCH(K526,Bronzo!$A$1:$AA$1,0)-1))</f>
        <v>0</v>
      </c>
      <c r="V526" s="255">
        <f t="shared" ca="1" si="163"/>
        <v>0</v>
      </c>
      <c r="W526" s="254"/>
      <c r="X526" s="255">
        <v>0</v>
      </c>
      <c r="Y526" s="256">
        <f t="shared" ca="1" si="164"/>
        <v>1.25</v>
      </c>
      <c r="Z526" s="257">
        <f t="shared" si="165"/>
        <v>70</v>
      </c>
      <c r="AA526" s="253">
        <v>4.0999999999999996</v>
      </c>
      <c r="AB526" s="253">
        <f t="shared" ca="1" si="166"/>
        <v>0.22999999999999954</v>
      </c>
      <c r="AC526" s="258">
        <v>46121</v>
      </c>
      <c r="AH526" s="232">
        <f t="shared" ca="1" si="156"/>
        <v>46120</v>
      </c>
      <c r="AI526" s="232" t="b">
        <f t="shared" si="157"/>
        <v>0</v>
      </c>
      <c r="AJ526" s="259">
        <f t="shared" ca="1" si="162"/>
        <v>1</v>
      </c>
      <c r="AM526" s="223">
        <f t="shared" si="158"/>
        <v>15</v>
      </c>
      <c r="AN526" s="223">
        <f t="shared" si="159"/>
        <v>2026</v>
      </c>
      <c r="AU526" s="223">
        <f t="shared" si="160"/>
        <v>4</v>
      </c>
      <c r="AV526" s="223">
        <f t="shared" si="161"/>
        <v>2026</v>
      </c>
    </row>
    <row r="527" spans="4:48" ht="26.25" x14ac:dyDescent="0.4">
      <c r="D527" s="246" t="s">
        <v>749</v>
      </c>
      <c r="E527" s="252" t="s">
        <v>263</v>
      </c>
      <c r="F527" s="276">
        <v>200</v>
      </c>
      <c r="G527" s="249" t="s">
        <v>4</v>
      </c>
      <c r="H527" s="250">
        <v>2.61</v>
      </c>
      <c r="I527" s="251">
        <v>46101</v>
      </c>
      <c r="J527" s="252" t="s">
        <v>9</v>
      </c>
      <c r="K527" s="252"/>
      <c r="L527" s="253">
        <v>7.0000000000000007E-2</v>
      </c>
      <c r="M527" s="254">
        <f ca="1">IF(ISERROR(OFFSET(Tabella!$A$1,MATCH(J527,Tabella!$A:$A,0)-1,MATCH(L527,Tabella!$A$1:$AC$1,0)-1)=TRUE),0,+OFFSET(Tabella!$A$1,MATCH(J527,Tabella!$A:$A,0)-1,MATCH(L527,Tabella!$A$1:$AC$1,0)-1))</f>
        <v>1.6</v>
      </c>
      <c r="N527" s="255">
        <f ca="1">IF(ISERROR(OFFSET(Ottone!$A$1,MATCH(J527,Ottone!$A:$A,0)-1,MATCH(L527,Ottone!$A$1:$Z$1,0)-1)=TRUE),0,OFFSET(Ottone!$A$1,MATCH(J527,Ottone!$A:$A,0)-1,MATCH(L527,Ottone!$A$1:$Z$1,0)-1))*IF(G527="Ottone",1,0)</f>
        <v>0</v>
      </c>
      <c r="O527" s="255">
        <f ca="1">IF(ISERROR(OFFSET(Rame!$A$1,MATCH(J527,Rame!$A:$A,0)-1,MATCH(L527,Rame!$A$1:$AA$1,0)-1)=TRUE),0,OFFSET(Rame!$A$1,MATCH(J527,Rame!$A:$A,0)-1,MATCH(L527,Rame!$A$1:$AA$1,0)-1))*IF(G527="Rame",1,0)</f>
        <v>0</v>
      </c>
      <c r="P527" s="255">
        <v>0</v>
      </c>
      <c r="Q527" s="255">
        <v>1.8</v>
      </c>
      <c r="R527" s="255">
        <f ca="1">+IF(ISERROR(OFFSET(Tabella!$G$1,MATCH(J527,Tabella!$G:$G,0)-1,MATCH(K527,Tabella!$G$1:$FG$1,0)-1)=TRUE),0,OFFSET(Tabella!$G$1,MATCH(J527,Tabella!$G:$G,0)-1,MATCH(K527,Tabella!$G$1:$AB$1,0)-1))</f>
        <v>0</v>
      </c>
      <c r="S527" s="255">
        <f ca="1">IF(ISERROR(OFFSET(Ottone!$F$1,MATCH(J527,Ottone!$A:$A,0)-1,MATCH(K527,Ottone!$F$1:$FF$1,0)-1)=TRUE),0,OFFSET(Ottone!$F$1,MATCH(J527,Ottone!$A:$A,0)-1,MATCH(K527,Ottone!$F$1:$FF$1,0)-1))*IF(G527="Ottone",1,0)</f>
        <v>0</v>
      </c>
      <c r="T527" s="255">
        <f ca="1">IF(ISERROR(OFFSET(Rame!$F$1,MATCH(J527,Rame!$F:$F,0)-1,MATCH(K527,Rame!$F$1:$FF$1,0)-1)=TRUE),0,OFFSET(Rame!$F$1,MATCH(J527,Rame!$F:$F,0)-1,MATCH(K527,Rame!$F$1:$FF$1,0)-1))*IF(G527="Rame",1,0)</f>
        <v>0</v>
      </c>
      <c r="U527" s="255">
        <f ca="1">IF(ISERROR(OFFSET(Bronzo!$A$1,MATCH(J527,Bronzo!$A:$A,0)-1,MATCH(K527,Bronzo!$A$1:$AA$1,0)-1)=TRUE),0,OFFSET(Bronzo!$A$1,MATCH(J527,Bronzo!$A:$A,0)-1,MATCH(K527,Bronzo!$A$1:$AA$1,0)-1))</f>
        <v>0</v>
      </c>
      <c r="V527" s="255">
        <f t="shared" ca="1" si="163"/>
        <v>0</v>
      </c>
      <c r="W527" s="254"/>
      <c r="X527" s="255">
        <v>0</v>
      </c>
      <c r="Y527" s="256">
        <f t="shared" ca="1" si="164"/>
        <v>1.8</v>
      </c>
      <c r="Z527" s="257">
        <f t="shared" si="165"/>
        <v>14.000000000000002</v>
      </c>
      <c r="AA527" s="253">
        <v>4.63</v>
      </c>
      <c r="AB527" s="253">
        <f t="shared" ca="1" si="166"/>
        <v>0.2200000000000002</v>
      </c>
      <c r="AC527" s="258">
        <v>46126</v>
      </c>
      <c r="AH527" s="232">
        <f t="shared" ca="1" si="156"/>
        <v>46120</v>
      </c>
      <c r="AI527" s="232" t="b">
        <f t="shared" si="157"/>
        <v>0</v>
      </c>
      <c r="AJ527" s="259">
        <f t="shared" ca="1" si="162"/>
        <v>6</v>
      </c>
      <c r="AM527" s="223">
        <f t="shared" si="158"/>
        <v>16</v>
      </c>
      <c r="AN527" s="223">
        <f t="shared" si="159"/>
        <v>2026</v>
      </c>
      <c r="AU527" s="223">
        <f t="shared" si="160"/>
        <v>4</v>
      </c>
      <c r="AV527" s="223">
        <f t="shared" si="161"/>
        <v>2026</v>
      </c>
    </row>
    <row r="528" spans="4:48" ht="26.25" x14ac:dyDescent="0.4">
      <c r="D528" s="246" t="s">
        <v>750</v>
      </c>
      <c r="E528" s="252" t="s">
        <v>263</v>
      </c>
      <c r="F528" s="276">
        <v>500</v>
      </c>
      <c r="G528" s="249" t="s">
        <v>4</v>
      </c>
      <c r="H528" s="250">
        <v>2.61</v>
      </c>
      <c r="I528" s="251">
        <v>46101</v>
      </c>
      <c r="J528" s="252" t="s">
        <v>13</v>
      </c>
      <c r="K528" s="252"/>
      <c r="L528" s="253">
        <v>7.0000000000000007E-2</v>
      </c>
      <c r="M528" s="254">
        <f ca="1">IF(ISERROR(OFFSET(Tabella!$A$1,MATCH(J528,Tabella!$A:$A,0)-1,MATCH(L528,Tabella!$A$1:$AC$1,0)-1)=TRUE),0,+OFFSET(Tabella!$A$1,MATCH(J528,Tabella!$A:$A,0)-1,MATCH(L528,Tabella!$A$1:$AC$1,0)-1))</f>
        <v>1.4</v>
      </c>
      <c r="N528" s="255">
        <f ca="1">IF(ISERROR(OFFSET(Ottone!$A$1,MATCH(J528,Ottone!$A:$A,0)-1,MATCH(L528,Ottone!$A$1:$Z$1,0)-1)=TRUE),0,OFFSET(Ottone!$A$1,MATCH(J528,Ottone!$A:$A,0)-1,MATCH(L528,Ottone!$A$1:$Z$1,0)-1))*IF(G528="Ottone",1,0)</f>
        <v>0</v>
      </c>
      <c r="O528" s="255">
        <f ca="1">IF(ISERROR(OFFSET(Rame!$A$1,MATCH(J528,Rame!$A:$A,0)-1,MATCH(L528,Rame!$A$1:$AA$1,0)-1)=TRUE),0,OFFSET(Rame!$A$1,MATCH(J528,Rame!$A:$A,0)-1,MATCH(L528,Rame!$A$1:$AA$1,0)-1))*IF(G528="Rame",1,0)</f>
        <v>0</v>
      </c>
      <c r="P528" s="255">
        <v>0</v>
      </c>
      <c r="Q528" s="255">
        <v>1.65</v>
      </c>
      <c r="R528" s="255">
        <f ca="1">+IF(ISERROR(OFFSET(Tabella!$G$1,MATCH(J528,Tabella!$G:$G,0)-1,MATCH(K528,Tabella!$G$1:$FG$1,0)-1)=TRUE),0,OFFSET(Tabella!$G$1,MATCH(J528,Tabella!$G:$G,0)-1,MATCH(K528,Tabella!$G$1:$AB$1,0)-1))</f>
        <v>0</v>
      </c>
      <c r="S528" s="255">
        <f ca="1">IF(ISERROR(OFFSET(Ottone!$F$1,MATCH(J528,Ottone!$A:$A,0)-1,MATCH(K528,Ottone!$F$1:$FF$1,0)-1)=TRUE),0,OFFSET(Ottone!$F$1,MATCH(J528,Ottone!$A:$A,0)-1,MATCH(K528,Ottone!$F$1:$FF$1,0)-1))*IF(G528="Ottone",1,0)</f>
        <v>0</v>
      </c>
      <c r="T528" s="255">
        <f ca="1">IF(ISERROR(OFFSET(Rame!$F$1,MATCH(J528,Rame!$F:$F,0)-1,MATCH(K528,Rame!$F$1:$FF$1,0)-1)=TRUE),0,OFFSET(Rame!$F$1,MATCH(J528,Rame!$F:$F,0)-1,MATCH(K528,Rame!$F$1:$FF$1,0)-1))*IF(G528="Rame",1,0)</f>
        <v>0</v>
      </c>
      <c r="U528" s="255">
        <f ca="1">IF(ISERROR(OFFSET(Bronzo!$A$1,MATCH(J528,Bronzo!$A:$A,0)-1,MATCH(K528,Bronzo!$A$1:$AA$1,0)-1)=TRUE),0,OFFSET(Bronzo!$A$1,MATCH(J528,Bronzo!$A:$A,0)-1,MATCH(K528,Bronzo!$A$1:$AA$1,0)-1))</f>
        <v>0</v>
      </c>
      <c r="V528" s="255">
        <f t="shared" ca="1" si="163"/>
        <v>0</v>
      </c>
      <c r="W528" s="254"/>
      <c r="X528" s="255">
        <v>0</v>
      </c>
      <c r="Y528" s="256">
        <f t="shared" ca="1" si="164"/>
        <v>1.65</v>
      </c>
      <c r="Z528" s="257">
        <f t="shared" si="165"/>
        <v>35</v>
      </c>
      <c r="AA528" s="253">
        <v>4.33</v>
      </c>
      <c r="AB528" s="253">
        <f t="shared" ca="1" si="166"/>
        <v>7.0000000000000284E-2</v>
      </c>
      <c r="AC528" s="258">
        <v>46133</v>
      </c>
      <c r="AH528" s="232">
        <f t="shared" ref="AH528:AH564" ca="1" si="168">TODAY()</f>
        <v>46120</v>
      </c>
      <c r="AI528" s="232" t="b">
        <f t="shared" si="157"/>
        <v>0</v>
      </c>
      <c r="AJ528" s="259">
        <f t="shared" ca="1" si="162"/>
        <v>13</v>
      </c>
      <c r="AM528" s="223">
        <f t="shared" si="158"/>
        <v>17</v>
      </c>
      <c r="AN528" s="223">
        <f t="shared" si="159"/>
        <v>2026</v>
      </c>
      <c r="AU528" s="223">
        <f t="shared" si="160"/>
        <v>4</v>
      </c>
      <c r="AV528" s="223">
        <f t="shared" si="161"/>
        <v>2026</v>
      </c>
    </row>
    <row r="529" spans="4:48" ht="26.25" x14ac:dyDescent="0.4">
      <c r="D529" s="246" t="s">
        <v>750</v>
      </c>
      <c r="E529" s="252" t="s">
        <v>263</v>
      </c>
      <c r="F529" s="276">
        <v>600</v>
      </c>
      <c r="G529" s="249" t="s">
        <v>4</v>
      </c>
      <c r="H529" s="250">
        <v>2.61</v>
      </c>
      <c r="I529" s="251">
        <v>46101</v>
      </c>
      <c r="J529" s="252" t="s">
        <v>9</v>
      </c>
      <c r="K529" s="252"/>
      <c r="L529" s="253">
        <v>7.0000000000000007E-2</v>
      </c>
      <c r="M529" s="254">
        <f ca="1">IF(ISERROR(OFFSET(Tabella!$A$1,MATCH(J529,Tabella!$A:$A,0)-1,MATCH(L529,Tabella!$A$1:$AC$1,0)-1)=TRUE),0,+OFFSET(Tabella!$A$1,MATCH(J529,Tabella!$A:$A,0)-1,MATCH(L529,Tabella!$A$1:$AC$1,0)-1))</f>
        <v>1.6</v>
      </c>
      <c r="N529" s="255">
        <f ca="1">IF(ISERROR(OFFSET(Ottone!$A$1,MATCH(J529,Ottone!$A:$A,0)-1,MATCH(L529,Ottone!$A$1:$Z$1,0)-1)=TRUE),0,OFFSET(Ottone!$A$1,MATCH(J529,Ottone!$A:$A,0)-1,MATCH(L529,Ottone!$A$1:$Z$1,0)-1))*IF(G529="Ottone",1,0)</f>
        <v>0</v>
      </c>
      <c r="O529" s="255">
        <f ca="1">IF(ISERROR(OFFSET(Rame!$A$1,MATCH(J529,Rame!$A:$A,0)-1,MATCH(L529,Rame!$A$1:$AA$1,0)-1)=TRUE),0,OFFSET(Rame!$A$1,MATCH(J529,Rame!$A:$A,0)-1,MATCH(L529,Rame!$A$1:$AA$1,0)-1))*IF(G529="Rame",1,0)</f>
        <v>0</v>
      </c>
      <c r="P529" s="255">
        <v>0</v>
      </c>
      <c r="Q529" s="255">
        <v>1.8</v>
      </c>
      <c r="R529" s="255">
        <f ca="1">+IF(ISERROR(OFFSET(Tabella!$G$1,MATCH(J529,Tabella!$G:$G,0)-1,MATCH(K529,Tabella!$G$1:$FG$1,0)-1)=TRUE),0,OFFSET(Tabella!$G$1,MATCH(J529,Tabella!$G:$G,0)-1,MATCH(K529,Tabella!$G$1:$AB$1,0)-1))</f>
        <v>0</v>
      </c>
      <c r="S529" s="255">
        <f ca="1">IF(ISERROR(OFFSET(Ottone!$F$1,MATCH(J529,Ottone!$A:$A,0)-1,MATCH(K529,Ottone!$F$1:$FF$1,0)-1)=TRUE),0,OFFSET(Ottone!$F$1,MATCH(J529,Ottone!$A:$A,0)-1,MATCH(K529,Ottone!$F$1:$FF$1,0)-1))*IF(G529="Ottone",1,0)</f>
        <v>0</v>
      </c>
      <c r="T529" s="255">
        <f ca="1">IF(ISERROR(OFFSET(Rame!$F$1,MATCH(J529,Rame!$F:$F,0)-1,MATCH(K529,Rame!$F$1:$FF$1,0)-1)=TRUE),0,OFFSET(Rame!$F$1,MATCH(J529,Rame!$F:$F,0)-1,MATCH(K529,Rame!$F$1:$FF$1,0)-1))*IF(G529="Rame",1,0)</f>
        <v>0</v>
      </c>
      <c r="U529" s="255">
        <f ca="1">IF(ISERROR(OFFSET(Bronzo!$A$1,MATCH(J529,Bronzo!$A:$A,0)-1,MATCH(K529,Bronzo!$A$1:$AA$1,0)-1)=TRUE),0,OFFSET(Bronzo!$A$1,MATCH(J529,Bronzo!$A:$A,0)-1,MATCH(K529,Bronzo!$A$1:$AA$1,0)-1))</f>
        <v>0</v>
      </c>
      <c r="V529" s="255">
        <f t="shared" ca="1" si="163"/>
        <v>0</v>
      </c>
      <c r="W529" s="254"/>
      <c r="X529" s="255">
        <v>0</v>
      </c>
      <c r="Y529" s="256">
        <f t="shared" ca="1" si="164"/>
        <v>1.8</v>
      </c>
      <c r="Z529" s="257">
        <f t="shared" si="165"/>
        <v>42.000000000000007</v>
      </c>
      <c r="AA529" s="253">
        <v>4.4800000000000004</v>
      </c>
      <c r="AB529" s="253">
        <f t="shared" ca="1" si="166"/>
        <v>7.0000000000000728E-2</v>
      </c>
      <c r="AC529" s="258">
        <v>46119</v>
      </c>
      <c r="AH529" s="232">
        <f t="shared" ca="1" si="168"/>
        <v>46120</v>
      </c>
      <c r="AI529" s="232" t="b">
        <f t="shared" ref="AI529:AI564" si="169">ISBLANK(AC529)</f>
        <v>0</v>
      </c>
      <c r="AJ529" s="259">
        <f t="shared" ca="1" si="162"/>
        <v>-1</v>
      </c>
      <c r="AM529" s="223">
        <f t="shared" ref="AM529:AM564" si="170">WEEKNUM(AC529)</f>
        <v>15</v>
      </c>
      <c r="AN529" s="223">
        <f t="shared" ref="AN529:AN564" si="171">YEAR(AC529)</f>
        <v>2026</v>
      </c>
      <c r="AU529" s="223">
        <f t="shared" ref="AU529:AU564" si="172">IF(AC529="",0,MONTH(AC529))</f>
        <v>4</v>
      </c>
      <c r="AV529" s="223">
        <f t="shared" ref="AV529:AV564" si="173">IF(AC529="",0,YEAR(AC529))</f>
        <v>2026</v>
      </c>
    </row>
    <row r="530" spans="4:48" ht="26.25" x14ac:dyDescent="0.4">
      <c r="D530" s="246" t="s">
        <v>750</v>
      </c>
      <c r="E530" s="252" t="s">
        <v>263</v>
      </c>
      <c r="F530" s="276">
        <v>600</v>
      </c>
      <c r="G530" s="249" t="s">
        <v>4</v>
      </c>
      <c r="H530" s="250">
        <v>2.61</v>
      </c>
      <c r="I530" s="251">
        <v>46101</v>
      </c>
      <c r="J530" s="252" t="s">
        <v>9</v>
      </c>
      <c r="K530" s="252"/>
      <c r="L530" s="253">
        <v>7.0000000000000007E-2</v>
      </c>
      <c r="M530" s="254">
        <f ca="1">IF(ISERROR(OFFSET(Tabella!$A$1,MATCH(J530,Tabella!$A:$A,0)-1,MATCH(L530,Tabella!$A$1:$AC$1,0)-1)=TRUE),0,+OFFSET(Tabella!$A$1,MATCH(J530,Tabella!$A:$A,0)-1,MATCH(L530,Tabella!$A$1:$AC$1,0)-1))</f>
        <v>1.6</v>
      </c>
      <c r="N530" s="255">
        <f ca="1">IF(ISERROR(OFFSET(Ottone!$A$1,MATCH(J530,Ottone!$A:$A,0)-1,MATCH(L530,Ottone!$A$1:$Z$1,0)-1)=TRUE),0,OFFSET(Ottone!$A$1,MATCH(J530,Ottone!$A:$A,0)-1,MATCH(L530,Ottone!$A$1:$Z$1,0)-1))*IF(G530="Ottone",1,0)</f>
        <v>0</v>
      </c>
      <c r="O530" s="255">
        <f ca="1">IF(ISERROR(OFFSET(Rame!$A$1,MATCH(J530,Rame!$A:$A,0)-1,MATCH(L530,Rame!$A$1:$AA$1,0)-1)=TRUE),0,OFFSET(Rame!$A$1,MATCH(J530,Rame!$A:$A,0)-1,MATCH(L530,Rame!$A$1:$AA$1,0)-1))*IF(G530="Rame",1,0)</f>
        <v>0</v>
      </c>
      <c r="P530" s="255">
        <v>0</v>
      </c>
      <c r="Q530" s="255">
        <v>1.8</v>
      </c>
      <c r="R530" s="255">
        <f ca="1">+IF(ISERROR(OFFSET(Tabella!$G$1,MATCH(J530,Tabella!$G:$G,0)-1,MATCH(K530,Tabella!$G$1:$FG$1,0)-1)=TRUE),0,OFFSET(Tabella!$G$1,MATCH(J530,Tabella!$G:$G,0)-1,MATCH(K530,Tabella!$G$1:$AB$1,0)-1))</f>
        <v>0</v>
      </c>
      <c r="S530" s="255">
        <f ca="1">IF(ISERROR(OFFSET(Ottone!$F$1,MATCH(J530,Ottone!$A:$A,0)-1,MATCH(K530,Ottone!$F$1:$FF$1,0)-1)=TRUE),0,OFFSET(Ottone!$F$1,MATCH(J530,Ottone!$A:$A,0)-1,MATCH(K530,Ottone!$F$1:$FF$1,0)-1))*IF(G530="Ottone",1,0)</f>
        <v>0</v>
      </c>
      <c r="T530" s="255">
        <f ca="1">IF(ISERROR(OFFSET(Rame!$F$1,MATCH(J530,Rame!$F:$F,0)-1,MATCH(K530,Rame!$F$1:$FF$1,0)-1)=TRUE),0,OFFSET(Rame!$F$1,MATCH(J530,Rame!$F:$F,0)-1,MATCH(K530,Rame!$F$1:$FF$1,0)-1))*IF(G530="Rame",1,0)</f>
        <v>0</v>
      </c>
      <c r="U530" s="255">
        <f ca="1">IF(ISERROR(OFFSET(Bronzo!$A$1,MATCH(J530,Bronzo!$A:$A,0)-1,MATCH(K530,Bronzo!$A$1:$AA$1,0)-1)=TRUE),0,OFFSET(Bronzo!$A$1,MATCH(J530,Bronzo!$A:$A,0)-1,MATCH(K530,Bronzo!$A$1:$AA$1,0)-1))</f>
        <v>0</v>
      </c>
      <c r="V530" s="255">
        <f t="shared" ca="1" si="163"/>
        <v>0</v>
      </c>
      <c r="W530" s="254"/>
      <c r="X530" s="255">
        <v>0</v>
      </c>
      <c r="Y530" s="256">
        <f t="shared" ca="1" si="164"/>
        <v>1.8</v>
      </c>
      <c r="Z530" s="257">
        <f t="shared" si="165"/>
        <v>42.000000000000007</v>
      </c>
      <c r="AA530" s="253">
        <v>4.4800000000000004</v>
      </c>
      <c r="AB530" s="253">
        <f t="shared" ca="1" si="166"/>
        <v>7.0000000000000728E-2</v>
      </c>
      <c r="AC530" s="258">
        <v>46133</v>
      </c>
      <c r="AH530" s="232">
        <f t="shared" ca="1" si="168"/>
        <v>46120</v>
      </c>
      <c r="AI530" s="232" t="b">
        <f t="shared" si="169"/>
        <v>0</v>
      </c>
      <c r="AJ530" s="259">
        <f t="shared" ca="1" si="162"/>
        <v>13</v>
      </c>
      <c r="AM530" s="223">
        <f t="shared" si="170"/>
        <v>17</v>
      </c>
      <c r="AN530" s="223">
        <f t="shared" si="171"/>
        <v>2026</v>
      </c>
      <c r="AU530" s="223">
        <f t="shared" si="172"/>
        <v>4</v>
      </c>
      <c r="AV530" s="223">
        <f t="shared" si="173"/>
        <v>2026</v>
      </c>
    </row>
    <row r="531" spans="4:48" ht="26.25" x14ac:dyDescent="0.4">
      <c r="D531" s="246" t="s">
        <v>774</v>
      </c>
      <c r="E531" s="252" t="s">
        <v>210</v>
      </c>
      <c r="F531" s="276">
        <v>22000</v>
      </c>
      <c r="G531" s="249" t="s">
        <v>4</v>
      </c>
      <c r="H531" s="250">
        <v>2.61</v>
      </c>
      <c r="I531" s="251">
        <v>46104</v>
      </c>
      <c r="J531" s="252" t="s">
        <v>326</v>
      </c>
      <c r="K531" s="252"/>
      <c r="L531" s="253">
        <v>0.05</v>
      </c>
      <c r="M531" s="254">
        <f ca="1">IF(ISERROR(OFFSET(Tabella!$A$1,MATCH(J531,Tabella!$A:$A,0)-1,MATCH(L531,Tabella!$A$1:$AC$1,0)-1)=TRUE),0,+OFFSET(Tabella!$A$1,MATCH(J531,Tabella!$A:$A,0)-1,MATCH(L531,Tabella!$A$1:$AC$1,0)-1))</f>
        <v>0</v>
      </c>
      <c r="N531" s="255">
        <f ca="1">IF(ISERROR(OFFSET(Ottone!$A$1,MATCH(J531,Ottone!$A:$A,0)-1,MATCH(L531,Ottone!$A$1:$Z$1,0)-1)=TRUE),0,OFFSET(Ottone!$A$1,MATCH(J531,Ottone!$A:$A,0)-1,MATCH(L531,Ottone!$A$1:$Z$1,0)-1))*IF(G531="Ottone",1,0)</f>
        <v>0</v>
      </c>
      <c r="O531" s="255">
        <f ca="1">IF(ISERROR(OFFSET(Rame!$A$1,MATCH(J531,Rame!$A:$A,0)-1,MATCH(L531,Rame!$A$1:$AA$1,0)-1)=TRUE),0,OFFSET(Rame!$A$1,MATCH(J531,Rame!$A:$A,0)-1,MATCH(L531,Rame!$A$1:$AA$1,0)-1))*IF(G531="Rame",1,0)</f>
        <v>0</v>
      </c>
      <c r="P531" s="255">
        <v>0</v>
      </c>
      <c r="Q531" s="255">
        <v>1.5</v>
      </c>
      <c r="R531" s="255">
        <f ca="1">+IF(ISERROR(OFFSET(Tabella!$G$1,MATCH(J531,Tabella!$G:$G,0)-1,MATCH(K531,Tabella!$G$1:$FG$1,0)-1)=TRUE),0,OFFSET(Tabella!$G$1,MATCH(J531,Tabella!$G:$G,0)-1,MATCH(K531,Tabella!$G$1:$AB$1,0)-1))</f>
        <v>0</v>
      </c>
      <c r="S531" s="255">
        <f ca="1">IF(ISERROR(OFFSET(Ottone!$F$1,MATCH(J531,Ottone!$A:$A,0)-1,MATCH(K531,Ottone!$F$1:$FF$1,0)-1)=TRUE),0,OFFSET(Ottone!$F$1,MATCH(J531,Ottone!$A:$A,0)-1,MATCH(K531,Ottone!$F$1:$FF$1,0)-1))*IF(G531="Ottone",1,0)</f>
        <v>0</v>
      </c>
      <c r="T531" s="255">
        <f ca="1">IF(ISERROR(OFFSET(Rame!$F$1,MATCH(J531,Rame!$F:$F,0)-1,MATCH(K531,Rame!$F$1:$FF$1,0)-1)=TRUE),0,OFFSET(Rame!$F$1,MATCH(J531,Rame!$F:$F,0)-1,MATCH(K531,Rame!$F$1:$FF$1,0)-1))*IF(G531="Rame",1,0)</f>
        <v>0</v>
      </c>
      <c r="U531" s="255">
        <f ca="1">IF(ISERROR(OFFSET(Bronzo!$A$1,MATCH(J531,Bronzo!$A:$A,0)-1,MATCH(K531,Bronzo!$A$1:$AA$1,0)-1)=TRUE),0,OFFSET(Bronzo!$A$1,MATCH(J531,Bronzo!$A:$A,0)-1,MATCH(K531,Bronzo!$A$1:$AA$1,0)-1))</f>
        <v>0</v>
      </c>
      <c r="V531" s="255">
        <f t="shared" ca="1" si="163"/>
        <v>0</v>
      </c>
      <c r="W531" s="254"/>
      <c r="X531" s="255">
        <v>0</v>
      </c>
      <c r="Y531" s="256">
        <f t="shared" ca="1" si="164"/>
        <v>1.5</v>
      </c>
      <c r="Z531" s="257">
        <f t="shared" si="165"/>
        <v>1100</v>
      </c>
      <c r="AA531" s="253">
        <v>4.08</v>
      </c>
      <c r="AB531" s="253">
        <f t="shared" ca="1" si="166"/>
        <v>-2.9999999999999805E-2</v>
      </c>
      <c r="AC531" s="258">
        <v>46142</v>
      </c>
      <c r="AH531" s="232">
        <f t="shared" ca="1" si="168"/>
        <v>46120</v>
      </c>
      <c r="AI531" s="232" t="b">
        <f t="shared" si="169"/>
        <v>0</v>
      </c>
      <c r="AJ531" s="259">
        <f t="shared" ca="1" si="162"/>
        <v>22</v>
      </c>
      <c r="AM531" s="223">
        <f t="shared" si="170"/>
        <v>18</v>
      </c>
      <c r="AN531" s="223">
        <f t="shared" si="171"/>
        <v>2026</v>
      </c>
      <c r="AU531" s="223">
        <f t="shared" si="172"/>
        <v>4</v>
      </c>
      <c r="AV531" s="223">
        <f t="shared" si="173"/>
        <v>2026</v>
      </c>
    </row>
    <row r="532" spans="4:48" ht="26.25" x14ac:dyDescent="0.4">
      <c r="D532" s="246" t="s">
        <v>774</v>
      </c>
      <c r="E532" s="252" t="s">
        <v>210</v>
      </c>
      <c r="F532" s="276">
        <v>7000</v>
      </c>
      <c r="G532" s="249" t="s">
        <v>4</v>
      </c>
      <c r="H532" s="250">
        <v>2.61</v>
      </c>
      <c r="I532" s="251">
        <v>46104</v>
      </c>
      <c r="J532" s="252" t="s">
        <v>23</v>
      </c>
      <c r="K532" s="252"/>
      <c r="L532" s="253">
        <v>0.05</v>
      </c>
      <c r="M532" s="254">
        <f ca="1">IF(ISERROR(OFFSET(Tabella!$A$1,MATCH(J532,Tabella!$A:$A,0)-1,MATCH(L532,Tabella!$A$1:$AC$1,0)-1)=TRUE),0,+OFFSET(Tabella!$A$1,MATCH(J532,Tabella!$A:$A,0)-1,MATCH(L532,Tabella!$A$1:$AC$1,0)-1))</f>
        <v>0</v>
      </c>
      <c r="N532" s="255">
        <f ca="1">IF(ISERROR(OFFSET(Ottone!$A$1,MATCH(J532,Ottone!$A:$A,0)-1,MATCH(L532,Ottone!$A$1:$Z$1,0)-1)=TRUE),0,OFFSET(Ottone!$A$1,MATCH(J532,Ottone!$A:$A,0)-1,MATCH(L532,Ottone!$A$1:$Z$1,0)-1))*IF(G532="Ottone",1,0)</f>
        <v>0</v>
      </c>
      <c r="O532" s="255">
        <f ca="1">IF(ISERROR(OFFSET(Rame!$A$1,MATCH(J532,Rame!$A:$A,0)-1,MATCH(L532,Rame!$A$1:$AA$1,0)-1)=TRUE),0,OFFSET(Rame!$A$1,MATCH(J532,Rame!$A:$A,0)-1,MATCH(L532,Rame!$A$1:$AA$1,0)-1))*IF(G532="Rame",1,0)</f>
        <v>0</v>
      </c>
      <c r="P532" s="255">
        <v>0</v>
      </c>
      <c r="Q532" s="255">
        <v>1.5</v>
      </c>
      <c r="R532" s="255">
        <f ca="1">+IF(ISERROR(OFFSET(Tabella!$G$1,MATCH(J532,Tabella!$G:$G,0)-1,MATCH(K532,Tabella!$G$1:$FG$1,0)-1)=TRUE),0,OFFSET(Tabella!$G$1,MATCH(J532,Tabella!$G:$G,0)-1,MATCH(K532,Tabella!$G$1:$AB$1,0)-1))</f>
        <v>0</v>
      </c>
      <c r="S532" s="255">
        <f ca="1">IF(ISERROR(OFFSET(Ottone!$F$1,MATCH(J532,Ottone!$A:$A,0)-1,MATCH(K532,Ottone!$F$1:$FF$1,0)-1)=TRUE),0,OFFSET(Ottone!$F$1,MATCH(J532,Ottone!$A:$A,0)-1,MATCH(K532,Ottone!$F$1:$FF$1,0)-1))*IF(G532="Ottone",1,0)</f>
        <v>0</v>
      </c>
      <c r="T532" s="255">
        <f ca="1">IF(ISERROR(OFFSET(Rame!$F$1,MATCH(J532,Rame!$F:$F,0)-1,MATCH(K532,Rame!$F$1:$FF$1,0)-1)=TRUE),0,OFFSET(Rame!$F$1,MATCH(J532,Rame!$F:$F,0)-1,MATCH(K532,Rame!$F$1:$FF$1,0)-1))*IF(G532="Rame",1,0)</f>
        <v>0</v>
      </c>
      <c r="U532" s="255">
        <f ca="1">IF(ISERROR(OFFSET(Bronzo!$A$1,MATCH(J532,Bronzo!$A:$A,0)-1,MATCH(K532,Bronzo!$A$1:$AA$1,0)-1)=TRUE),0,OFFSET(Bronzo!$A$1,MATCH(J532,Bronzo!$A:$A,0)-1,MATCH(K532,Bronzo!$A$1:$AA$1,0)-1))</f>
        <v>0</v>
      </c>
      <c r="V532" s="255">
        <f t="shared" ca="1" si="163"/>
        <v>0</v>
      </c>
      <c r="W532" s="254"/>
      <c r="X532" s="255">
        <v>0</v>
      </c>
      <c r="Y532" s="256">
        <f t="shared" ca="1" si="164"/>
        <v>1.5</v>
      </c>
      <c r="Z532" s="257">
        <f t="shared" si="165"/>
        <v>350</v>
      </c>
      <c r="AA532" s="253">
        <v>4.08</v>
      </c>
      <c r="AB532" s="253">
        <f t="shared" ca="1" si="166"/>
        <v>-2.9999999999999805E-2</v>
      </c>
      <c r="AC532" s="258">
        <v>46142</v>
      </c>
      <c r="AH532" s="232">
        <f t="shared" ca="1" si="168"/>
        <v>46120</v>
      </c>
      <c r="AI532" s="232" t="b">
        <f t="shared" si="169"/>
        <v>0</v>
      </c>
      <c r="AJ532" s="259">
        <f t="shared" ca="1" si="162"/>
        <v>22</v>
      </c>
      <c r="AM532" s="223">
        <f t="shared" si="170"/>
        <v>18</v>
      </c>
      <c r="AN532" s="223">
        <f t="shared" si="171"/>
        <v>2026</v>
      </c>
      <c r="AU532" s="223">
        <f t="shared" si="172"/>
        <v>4</v>
      </c>
      <c r="AV532" s="223">
        <f t="shared" si="173"/>
        <v>2026</v>
      </c>
    </row>
    <row r="533" spans="4:48" ht="26.25" x14ac:dyDescent="0.4">
      <c r="D533" s="246"/>
      <c r="E533" s="252" t="s">
        <v>422</v>
      </c>
      <c r="F533" s="276">
        <v>600</v>
      </c>
      <c r="G533" s="249" t="s">
        <v>4</v>
      </c>
      <c r="H533" s="250">
        <v>2.77</v>
      </c>
      <c r="I533" s="251">
        <v>46104</v>
      </c>
      <c r="J533" s="252" t="s">
        <v>307</v>
      </c>
      <c r="K533" s="252"/>
      <c r="L533" s="253">
        <v>7.0000000000000007E-2</v>
      </c>
      <c r="M533" s="254">
        <f ca="1">IF(ISERROR(OFFSET(Tabella!$A$1,MATCH(J533,Tabella!$A:$A,0)-1,MATCH(L533,Tabella!$A$1:$AC$1,0)-1)=TRUE),0,+OFFSET(Tabella!$A$1,MATCH(J533,Tabella!$A:$A,0)-1,MATCH(L533,Tabella!$A$1:$AC$1,0)-1))</f>
        <v>1.25</v>
      </c>
      <c r="N533" s="255">
        <f ca="1">IF(ISERROR(OFFSET(Ottone!$A$1,MATCH(J533,Ottone!$A:$A,0)-1,MATCH(L533,Ottone!$A$1:$Z$1,0)-1)=TRUE),0,OFFSET(Ottone!$A$1,MATCH(J533,Ottone!$A:$A,0)-1,MATCH(L533,Ottone!$A$1:$Z$1,0)-1))*IF(G533="Ottone",1,0)</f>
        <v>0</v>
      </c>
      <c r="O533" s="255">
        <f ca="1">IF(ISERROR(OFFSET(Rame!$A$1,MATCH(J533,Rame!$A:$A,0)-1,MATCH(L533,Rame!$A$1:$AA$1,0)-1)=TRUE),0,OFFSET(Rame!$A$1,MATCH(J533,Rame!$A:$A,0)-1,MATCH(L533,Rame!$A$1:$AA$1,0)-1))*IF(G533="Rame",1,0)</f>
        <v>0</v>
      </c>
      <c r="P533" s="255">
        <v>0</v>
      </c>
      <c r="Q533" s="255">
        <v>1.5</v>
      </c>
      <c r="R533" s="255">
        <f ca="1">+IF(ISERROR(OFFSET(Tabella!$G$1,MATCH(J533,Tabella!$G:$G,0)-1,MATCH(K533,Tabella!$G$1:$FG$1,0)-1)=TRUE),0,OFFSET(Tabella!$G$1,MATCH(J533,Tabella!$G:$G,0)-1,MATCH(K533,Tabella!$G$1:$AB$1,0)-1))</f>
        <v>0</v>
      </c>
      <c r="S533" s="255">
        <f ca="1">IF(ISERROR(OFFSET(Ottone!$F$1,MATCH(J533,Ottone!$A:$A,0)-1,MATCH(K533,Ottone!$F$1:$FF$1,0)-1)=TRUE),0,OFFSET(Ottone!$F$1,MATCH(J533,Ottone!$A:$A,0)-1,MATCH(K533,Ottone!$F$1:$FF$1,0)-1))*IF(G533="Ottone",1,0)</f>
        <v>0</v>
      </c>
      <c r="T533" s="255">
        <f ca="1">IF(ISERROR(OFFSET(Rame!$F$1,MATCH(J533,Rame!$F:$F,0)-1,MATCH(K533,Rame!$F$1:$FF$1,0)-1)=TRUE),0,OFFSET(Rame!$F$1,MATCH(J533,Rame!$F:$F,0)-1,MATCH(K533,Rame!$F$1:$FF$1,0)-1))*IF(G533="Rame",1,0)</f>
        <v>0</v>
      </c>
      <c r="U533" s="255">
        <f ca="1">IF(ISERROR(OFFSET(Bronzo!$A$1,MATCH(J533,Bronzo!$A:$A,0)-1,MATCH(K533,Bronzo!$A$1:$AA$1,0)-1)=TRUE),0,OFFSET(Bronzo!$A$1,MATCH(J533,Bronzo!$A:$A,0)-1,MATCH(K533,Bronzo!$A$1:$AA$1,0)-1))</f>
        <v>0</v>
      </c>
      <c r="V533" s="255">
        <f t="shared" ca="1" si="163"/>
        <v>0</v>
      </c>
      <c r="W533" s="254"/>
      <c r="X533" s="255">
        <v>0</v>
      </c>
      <c r="Y533" s="256">
        <f t="shared" ca="1" si="164"/>
        <v>1.5</v>
      </c>
      <c r="Z533" s="257">
        <f t="shared" si="165"/>
        <v>42.000000000000007</v>
      </c>
      <c r="AA533" s="253">
        <v>4.37</v>
      </c>
      <c r="AB533" s="253">
        <f t="shared" ca="1" si="166"/>
        <v>0.10000000000000009</v>
      </c>
      <c r="AC533" s="258"/>
      <c r="AH533" s="232">
        <f t="shared" ca="1" si="168"/>
        <v>46120</v>
      </c>
      <c r="AI533" s="232" t="b">
        <f t="shared" si="169"/>
        <v>1</v>
      </c>
      <c r="AJ533" s="259" t="str">
        <f t="shared" si="162"/>
        <v/>
      </c>
      <c r="AM533" s="223">
        <f t="shared" si="170"/>
        <v>0</v>
      </c>
      <c r="AN533" s="223">
        <f t="shared" si="171"/>
        <v>1900</v>
      </c>
      <c r="AU533" s="223">
        <f t="shared" si="172"/>
        <v>0</v>
      </c>
      <c r="AV533" s="223">
        <f t="shared" si="173"/>
        <v>0</v>
      </c>
    </row>
    <row r="534" spans="4:48" ht="26.25" x14ac:dyDescent="0.4">
      <c r="D534" s="246"/>
      <c r="E534" s="252" t="s">
        <v>114</v>
      </c>
      <c r="F534" s="276">
        <v>1000</v>
      </c>
      <c r="G534" s="249" t="s">
        <v>4</v>
      </c>
      <c r="H534" s="250">
        <v>2.66</v>
      </c>
      <c r="I534" s="251">
        <v>46049</v>
      </c>
      <c r="J534" s="252" t="s">
        <v>15</v>
      </c>
      <c r="K534" s="252"/>
      <c r="L534" s="253">
        <v>7.0000000000000007E-2</v>
      </c>
      <c r="M534" s="254">
        <f ca="1">IF(ISERROR(OFFSET(Tabella!$A$1,MATCH(J534,Tabella!$A:$A,0)-1,MATCH(L534,Tabella!$A$1:$AC$1,0)-1)=TRUE),0,+OFFSET(Tabella!$A$1,MATCH(J534,Tabella!$A:$A,0)-1,MATCH(L534,Tabella!$A$1:$AC$1,0)-1))</f>
        <v>1.4</v>
      </c>
      <c r="N534" s="255">
        <f ca="1">IF(ISERROR(OFFSET(Ottone!$A$1,MATCH(J534,Ottone!$A:$A,0)-1,MATCH(L534,Ottone!$A$1:$Z$1,0)-1)=TRUE),0,OFFSET(Ottone!$A$1,MATCH(J534,Ottone!$A:$A,0)-1,MATCH(L534,Ottone!$A$1:$Z$1,0)-1))*IF(G534="Ottone",1,0)</f>
        <v>0</v>
      </c>
      <c r="O534" s="255">
        <f ca="1">IF(ISERROR(OFFSET(Rame!$A$1,MATCH(J534,Rame!$A:$A,0)-1,MATCH(L534,Rame!$A$1:$AA$1,0)-1)=TRUE),0,OFFSET(Rame!$A$1,MATCH(J534,Rame!$A:$A,0)-1,MATCH(L534,Rame!$A$1:$AA$1,0)-1))*IF(G534="Rame",1,0)</f>
        <v>0</v>
      </c>
      <c r="P534" s="255">
        <v>0</v>
      </c>
      <c r="Q534" s="255">
        <f t="shared" ca="1" si="167"/>
        <v>1.4</v>
      </c>
      <c r="R534" s="255">
        <f ca="1">+IF(ISERROR(OFFSET(Tabella!$G$1,MATCH(J534,Tabella!$G:$G,0)-1,MATCH(K534,Tabella!$G$1:$FG$1,0)-1)=TRUE),0,OFFSET(Tabella!$G$1,MATCH(J534,Tabella!$G:$G,0)-1,MATCH(K534,Tabella!$G$1:$AB$1,0)-1))</f>
        <v>0</v>
      </c>
      <c r="S534" s="255">
        <f ca="1">IF(ISERROR(OFFSET(Ottone!$F$1,MATCH(J534,Ottone!$A:$A,0)-1,MATCH(K534,Ottone!$F$1:$FF$1,0)-1)=TRUE),0,OFFSET(Ottone!$F$1,MATCH(J534,Ottone!$A:$A,0)-1,MATCH(K534,Ottone!$F$1:$FF$1,0)-1))*IF(G534="Ottone",1,0)</f>
        <v>0</v>
      </c>
      <c r="T534" s="255">
        <f ca="1">IF(ISERROR(OFFSET(Rame!$F$1,MATCH(J534,Rame!$F:$F,0)-1,MATCH(K534,Rame!$F$1:$FF$1,0)-1)=TRUE),0,OFFSET(Rame!$F$1,MATCH(J534,Rame!$F:$F,0)-1,MATCH(K534,Rame!$F$1:$FF$1,0)-1))*IF(G534="Rame",1,0)</f>
        <v>0</v>
      </c>
      <c r="U534" s="255">
        <f ca="1">IF(ISERROR(OFFSET(Bronzo!$A$1,MATCH(J534,Bronzo!$A:$A,0)-1,MATCH(K534,Bronzo!$A$1:$AA$1,0)-1)=TRUE),0,OFFSET(Bronzo!$A$1,MATCH(J534,Bronzo!$A:$A,0)-1,MATCH(K534,Bronzo!$A$1:$AA$1,0)-1))</f>
        <v>0</v>
      </c>
      <c r="V534" s="255">
        <f t="shared" ca="1" si="163"/>
        <v>0</v>
      </c>
      <c r="W534" s="254"/>
      <c r="X534" s="255">
        <v>0</v>
      </c>
      <c r="Y534" s="256">
        <f t="shared" ca="1" si="164"/>
        <v>1.4</v>
      </c>
      <c r="Z534" s="257">
        <f t="shared" si="165"/>
        <v>70</v>
      </c>
      <c r="AA534" s="253">
        <v>4.3</v>
      </c>
      <c r="AB534" s="253">
        <f t="shared" ca="1" si="166"/>
        <v>0.23999999999999977</v>
      </c>
      <c r="AC534" s="258"/>
      <c r="AH534" s="232">
        <f t="shared" ca="1" si="168"/>
        <v>46120</v>
      </c>
      <c r="AI534" s="232" t="b">
        <f t="shared" si="169"/>
        <v>1</v>
      </c>
      <c r="AJ534" s="259" t="str">
        <f t="shared" ref="AJ534:AJ564" si="174">IF(AI534=FALSE,_xlfn.DAYS(AC534,AH534),"")</f>
        <v/>
      </c>
      <c r="AM534" s="223">
        <f t="shared" si="170"/>
        <v>0</v>
      </c>
      <c r="AN534" s="223">
        <f t="shared" si="171"/>
        <v>1900</v>
      </c>
      <c r="AU534" s="223">
        <f t="shared" si="172"/>
        <v>0</v>
      </c>
      <c r="AV534" s="223">
        <f t="shared" si="173"/>
        <v>0</v>
      </c>
    </row>
    <row r="535" spans="4:48" ht="26.25" x14ac:dyDescent="0.4">
      <c r="D535" s="246"/>
      <c r="E535" s="252" t="s">
        <v>114</v>
      </c>
      <c r="F535" s="276">
        <v>200</v>
      </c>
      <c r="G535" s="249" t="s">
        <v>4</v>
      </c>
      <c r="H535" s="250">
        <v>2.66</v>
      </c>
      <c r="I535" s="251">
        <v>46049</v>
      </c>
      <c r="J535" s="252" t="s">
        <v>15</v>
      </c>
      <c r="K535" s="252"/>
      <c r="L535" s="253">
        <v>7.0000000000000007E-2</v>
      </c>
      <c r="M535" s="254">
        <f ca="1">IF(ISERROR(OFFSET(Tabella!$A$1,MATCH(J535,Tabella!$A:$A,0)-1,MATCH(L535,Tabella!$A$1:$AC$1,0)-1)=TRUE),0,+OFFSET(Tabella!$A$1,MATCH(J535,Tabella!$A:$A,0)-1,MATCH(L535,Tabella!$A$1:$AC$1,0)-1))</f>
        <v>1.4</v>
      </c>
      <c r="N535" s="255">
        <f ca="1">IF(ISERROR(OFFSET(Ottone!$A$1,MATCH(J535,Ottone!$A:$A,0)-1,MATCH(L535,Ottone!$A$1:$Z$1,0)-1)=TRUE),0,OFFSET(Ottone!$A$1,MATCH(J535,Ottone!$A:$A,0)-1,MATCH(L535,Ottone!$A$1:$Z$1,0)-1))*IF(G535="Ottone",1,0)</f>
        <v>0</v>
      </c>
      <c r="O535" s="255">
        <f ca="1">IF(ISERROR(OFFSET(Rame!$A$1,MATCH(J535,Rame!$A:$A,0)-1,MATCH(L535,Rame!$A$1:$AA$1,0)-1)=TRUE),0,OFFSET(Rame!$A$1,MATCH(J535,Rame!$A:$A,0)-1,MATCH(L535,Rame!$A$1:$AA$1,0)-1))*IF(G535="Rame",1,0)</f>
        <v>0</v>
      </c>
      <c r="P535" s="255">
        <v>0</v>
      </c>
      <c r="Q535" s="255">
        <f t="shared" ca="1" si="167"/>
        <v>1.4</v>
      </c>
      <c r="R535" s="255">
        <f ca="1">+IF(ISERROR(OFFSET(Tabella!$G$1,MATCH(J535,Tabella!$G:$G,0)-1,MATCH(K535,Tabella!$G$1:$FG$1,0)-1)=TRUE),0,OFFSET(Tabella!$G$1,MATCH(J535,Tabella!$G:$G,0)-1,MATCH(K535,Tabella!$G$1:$AB$1,0)-1))</f>
        <v>0</v>
      </c>
      <c r="S535" s="255">
        <f ca="1">IF(ISERROR(OFFSET(Ottone!$F$1,MATCH(J535,Ottone!$A:$A,0)-1,MATCH(K535,Ottone!$F$1:$FF$1,0)-1)=TRUE),0,OFFSET(Ottone!$F$1,MATCH(J535,Ottone!$A:$A,0)-1,MATCH(K535,Ottone!$F$1:$FF$1,0)-1))*IF(G535="Ottone",1,0)</f>
        <v>0</v>
      </c>
      <c r="T535" s="255">
        <f ca="1">IF(ISERROR(OFFSET(Rame!$F$1,MATCH(J535,Rame!$F:$F,0)-1,MATCH(K535,Rame!$F$1:$FF$1,0)-1)=TRUE),0,OFFSET(Rame!$F$1,MATCH(J535,Rame!$F:$F,0)-1,MATCH(K535,Rame!$F$1:$FF$1,0)-1))*IF(G535="Rame",1,0)</f>
        <v>0</v>
      </c>
      <c r="U535" s="255">
        <f ca="1">IF(ISERROR(OFFSET(Bronzo!$A$1,MATCH(J535,Bronzo!$A:$A,0)-1,MATCH(K535,Bronzo!$A$1:$AA$1,0)-1)=TRUE),0,OFFSET(Bronzo!$A$1,MATCH(J535,Bronzo!$A:$A,0)-1,MATCH(K535,Bronzo!$A$1:$AA$1,0)-1))</f>
        <v>0</v>
      </c>
      <c r="V535" s="255">
        <f t="shared" ca="1" si="163"/>
        <v>0</v>
      </c>
      <c r="W535" s="254"/>
      <c r="X535" s="255">
        <v>0</v>
      </c>
      <c r="Y535" s="256">
        <f t="shared" ca="1" si="164"/>
        <v>1.4</v>
      </c>
      <c r="Z535" s="257">
        <f t="shared" si="165"/>
        <v>14.000000000000002</v>
      </c>
      <c r="AA535" s="253">
        <v>4.3</v>
      </c>
      <c r="AB535" s="253">
        <f t="shared" ca="1" si="166"/>
        <v>0.23999999999999977</v>
      </c>
      <c r="AC535" s="258"/>
      <c r="AH535" s="232">
        <f t="shared" ca="1" si="168"/>
        <v>46120</v>
      </c>
      <c r="AI535" s="232" t="b">
        <f t="shared" si="169"/>
        <v>1</v>
      </c>
      <c r="AJ535" s="259" t="str">
        <f t="shared" si="174"/>
        <v/>
      </c>
      <c r="AM535" s="223">
        <f t="shared" si="170"/>
        <v>0</v>
      </c>
      <c r="AN535" s="223">
        <f t="shared" si="171"/>
        <v>1900</v>
      </c>
      <c r="AU535" s="223">
        <f t="shared" si="172"/>
        <v>0</v>
      </c>
      <c r="AV535" s="223">
        <f t="shared" si="173"/>
        <v>0</v>
      </c>
    </row>
    <row r="536" spans="4:48" ht="26.25" x14ac:dyDescent="0.4">
      <c r="D536" s="246"/>
      <c r="E536" s="252" t="s">
        <v>114</v>
      </c>
      <c r="F536" s="276">
        <v>200</v>
      </c>
      <c r="G536" s="249" t="s">
        <v>4</v>
      </c>
      <c r="H536" s="250">
        <v>2.66</v>
      </c>
      <c r="I536" s="251">
        <v>46049</v>
      </c>
      <c r="J536" s="252" t="s">
        <v>15</v>
      </c>
      <c r="K536" s="252"/>
      <c r="L536" s="253">
        <v>7.0000000000000007E-2</v>
      </c>
      <c r="M536" s="254">
        <f ca="1">IF(ISERROR(OFFSET(Tabella!$A$1,MATCH(J536,Tabella!$A:$A,0)-1,MATCH(L536,Tabella!$A$1:$AC$1,0)-1)=TRUE),0,+OFFSET(Tabella!$A$1,MATCH(J536,Tabella!$A:$A,0)-1,MATCH(L536,Tabella!$A$1:$AC$1,0)-1))</f>
        <v>1.4</v>
      </c>
      <c r="N536" s="255">
        <f ca="1">IF(ISERROR(OFFSET(Ottone!$A$1,MATCH(J536,Ottone!$A:$A,0)-1,MATCH(L536,Ottone!$A$1:$Z$1,0)-1)=TRUE),0,OFFSET(Ottone!$A$1,MATCH(J536,Ottone!$A:$A,0)-1,MATCH(L536,Ottone!$A$1:$Z$1,0)-1))*IF(G536="Ottone",1,0)</f>
        <v>0</v>
      </c>
      <c r="O536" s="255">
        <f ca="1">IF(ISERROR(OFFSET(Rame!$A$1,MATCH(J536,Rame!$A:$A,0)-1,MATCH(L536,Rame!$A$1:$AA$1,0)-1)=TRUE),0,OFFSET(Rame!$A$1,MATCH(J536,Rame!$A:$A,0)-1,MATCH(L536,Rame!$A$1:$AA$1,0)-1))*IF(G536="Rame",1,0)</f>
        <v>0</v>
      </c>
      <c r="P536" s="255">
        <v>0</v>
      </c>
      <c r="Q536" s="255">
        <f t="shared" ca="1" si="167"/>
        <v>1.4</v>
      </c>
      <c r="R536" s="255">
        <f ca="1">+IF(ISERROR(OFFSET(Tabella!$G$1,MATCH(J536,Tabella!$G:$G,0)-1,MATCH(K536,Tabella!$G$1:$FG$1,0)-1)=TRUE),0,OFFSET(Tabella!$G$1,MATCH(J536,Tabella!$G:$G,0)-1,MATCH(K536,Tabella!$G$1:$AB$1,0)-1))</f>
        <v>0</v>
      </c>
      <c r="S536" s="255">
        <f ca="1">IF(ISERROR(OFFSET(Ottone!$F$1,MATCH(J536,Ottone!$A:$A,0)-1,MATCH(K536,Ottone!$F$1:$FF$1,0)-1)=TRUE),0,OFFSET(Ottone!$F$1,MATCH(J536,Ottone!$A:$A,0)-1,MATCH(K536,Ottone!$F$1:$FF$1,0)-1))*IF(G536="Ottone",1,0)</f>
        <v>0</v>
      </c>
      <c r="T536" s="255">
        <f ca="1">IF(ISERROR(OFFSET(Rame!$F$1,MATCH(J536,Rame!$F:$F,0)-1,MATCH(K536,Rame!$F$1:$FF$1,0)-1)=TRUE),0,OFFSET(Rame!$F$1,MATCH(J536,Rame!$F:$F,0)-1,MATCH(K536,Rame!$F$1:$FF$1,0)-1))*IF(G536="Rame",1,0)</f>
        <v>0</v>
      </c>
      <c r="U536" s="255">
        <f ca="1">IF(ISERROR(OFFSET(Bronzo!$A$1,MATCH(J536,Bronzo!$A:$A,0)-1,MATCH(K536,Bronzo!$A$1:$AA$1,0)-1)=TRUE),0,OFFSET(Bronzo!$A$1,MATCH(J536,Bronzo!$A:$A,0)-1,MATCH(K536,Bronzo!$A$1:$AA$1,0)-1))</f>
        <v>0</v>
      </c>
      <c r="V536" s="255">
        <f t="shared" ca="1" si="163"/>
        <v>0</v>
      </c>
      <c r="W536" s="254"/>
      <c r="X536" s="255">
        <v>0</v>
      </c>
      <c r="Y536" s="256">
        <f t="shared" ca="1" si="164"/>
        <v>1.4</v>
      </c>
      <c r="Z536" s="257">
        <f t="shared" si="165"/>
        <v>14.000000000000002</v>
      </c>
      <c r="AA536" s="253">
        <v>4.3</v>
      </c>
      <c r="AB536" s="253">
        <f t="shared" ca="1" si="166"/>
        <v>0.23999999999999977</v>
      </c>
      <c r="AC536" s="258"/>
      <c r="AH536" s="232">
        <f t="shared" ca="1" si="168"/>
        <v>46120</v>
      </c>
      <c r="AI536" s="232" t="b">
        <f t="shared" si="169"/>
        <v>1</v>
      </c>
      <c r="AJ536" s="259" t="str">
        <f t="shared" si="174"/>
        <v/>
      </c>
      <c r="AM536" s="223">
        <f t="shared" si="170"/>
        <v>0</v>
      </c>
      <c r="AN536" s="223">
        <f t="shared" si="171"/>
        <v>1900</v>
      </c>
      <c r="AU536" s="223">
        <f t="shared" si="172"/>
        <v>0</v>
      </c>
      <c r="AV536" s="223">
        <f t="shared" si="173"/>
        <v>0</v>
      </c>
    </row>
    <row r="537" spans="4:48" ht="26.25" x14ac:dyDescent="0.4">
      <c r="D537" s="246"/>
      <c r="E537" s="252" t="s">
        <v>114</v>
      </c>
      <c r="F537" s="276">
        <v>500</v>
      </c>
      <c r="G537" s="249" t="s">
        <v>4</v>
      </c>
      <c r="H537" s="250">
        <v>2.66</v>
      </c>
      <c r="I537" s="251">
        <v>46049</v>
      </c>
      <c r="J537" s="252" t="s">
        <v>13</v>
      </c>
      <c r="K537" s="252"/>
      <c r="L537" s="253">
        <v>7.0000000000000007E-2</v>
      </c>
      <c r="M537" s="254">
        <f ca="1">IF(ISERROR(OFFSET(Tabella!$A$1,MATCH(J537,Tabella!$A:$A,0)-1,MATCH(L537,Tabella!$A$1:$AC$1,0)-1)=TRUE),0,+OFFSET(Tabella!$A$1,MATCH(J537,Tabella!$A:$A,0)-1,MATCH(L537,Tabella!$A$1:$AC$1,0)-1))</f>
        <v>1.4</v>
      </c>
      <c r="N537" s="255">
        <f ca="1">IF(ISERROR(OFFSET(Ottone!$A$1,MATCH(J537,Ottone!$A:$A,0)-1,MATCH(L537,Ottone!$A$1:$Z$1,0)-1)=TRUE),0,OFFSET(Ottone!$A$1,MATCH(J537,Ottone!$A:$A,0)-1,MATCH(L537,Ottone!$A$1:$Z$1,0)-1))*IF(G537="Ottone",1,0)</f>
        <v>0</v>
      </c>
      <c r="O537" s="255">
        <f ca="1">IF(ISERROR(OFFSET(Rame!$A$1,MATCH(J537,Rame!$A:$A,0)-1,MATCH(L537,Rame!$A$1:$AA$1,0)-1)=TRUE),0,OFFSET(Rame!$A$1,MATCH(J537,Rame!$A:$A,0)-1,MATCH(L537,Rame!$A$1:$AA$1,0)-1))*IF(G537="Rame",1,0)</f>
        <v>0</v>
      </c>
      <c r="P537" s="255">
        <v>0</v>
      </c>
      <c r="Q537" s="255">
        <f t="shared" ca="1" si="167"/>
        <v>1.4</v>
      </c>
      <c r="R537" s="255">
        <f ca="1">+IF(ISERROR(OFFSET(Tabella!$G$1,MATCH(J537,Tabella!$G:$G,0)-1,MATCH(K537,Tabella!$G$1:$FG$1,0)-1)=TRUE),0,OFFSET(Tabella!$G$1,MATCH(J537,Tabella!$G:$G,0)-1,MATCH(K537,Tabella!$G$1:$AB$1,0)-1))</f>
        <v>0</v>
      </c>
      <c r="S537" s="255">
        <f ca="1">IF(ISERROR(OFFSET(Ottone!$F$1,MATCH(J537,Ottone!$A:$A,0)-1,MATCH(K537,Ottone!$F$1:$FF$1,0)-1)=TRUE),0,OFFSET(Ottone!$F$1,MATCH(J537,Ottone!$A:$A,0)-1,MATCH(K537,Ottone!$F$1:$FF$1,0)-1))*IF(G537="Ottone",1,0)</f>
        <v>0</v>
      </c>
      <c r="T537" s="255">
        <f ca="1">IF(ISERROR(OFFSET(Rame!$F$1,MATCH(J537,Rame!$F:$F,0)-1,MATCH(K537,Rame!$F$1:$FF$1,0)-1)=TRUE),0,OFFSET(Rame!$F$1,MATCH(J537,Rame!$F:$F,0)-1,MATCH(K537,Rame!$F$1:$FF$1,0)-1))*IF(G537="Rame",1,0)</f>
        <v>0</v>
      </c>
      <c r="U537" s="255">
        <f ca="1">IF(ISERROR(OFFSET(Bronzo!$A$1,MATCH(J537,Bronzo!$A:$A,0)-1,MATCH(K537,Bronzo!$A$1:$AA$1,0)-1)=TRUE),0,OFFSET(Bronzo!$A$1,MATCH(J537,Bronzo!$A:$A,0)-1,MATCH(K537,Bronzo!$A$1:$AA$1,0)-1))</f>
        <v>0</v>
      </c>
      <c r="V537" s="255">
        <f t="shared" ca="1" si="163"/>
        <v>0</v>
      </c>
      <c r="W537" s="254"/>
      <c r="X537" s="255">
        <v>0</v>
      </c>
      <c r="Y537" s="256">
        <f t="shared" ca="1" si="164"/>
        <v>1.4</v>
      </c>
      <c r="Z537" s="257">
        <f t="shared" si="165"/>
        <v>35</v>
      </c>
      <c r="AA537" s="253">
        <v>4.3</v>
      </c>
      <c r="AB537" s="253">
        <f t="shared" ca="1" si="166"/>
        <v>0.23999999999999977</v>
      </c>
      <c r="AC537" s="258"/>
      <c r="AH537" s="232">
        <f t="shared" ca="1" si="168"/>
        <v>46120</v>
      </c>
      <c r="AI537" s="232" t="b">
        <f t="shared" si="169"/>
        <v>1</v>
      </c>
      <c r="AJ537" s="259" t="str">
        <f t="shared" si="174"/>
        <v/>
      </c>
      <c r="AM537" s="223">
        <f t="shared" si="170"/>
        <v>0</v>
      </c>
      <c r="AN537" s="223">
        <f t="shared" si="171"/>
        <v>1900</v>
      </c>
      <c r="AU537" s="223">
        <f t="shared" si="172"/>
        <v>0</v>
      </c>
      <c r="AV537" s="223">
        <f t="shared" si="173"/>
        <v>0</v>
      </c>
    </row>
    <row r="538" spans="4:48" ht="26.25" x14ac:dyDescent="0.4">
      <c r="D538" s="246"/>
      <c r="E538" s="252" t="s">
        <v>403</v>
      </c>
      <c r="F538" s="276">
        <v>600</v>
      </c>
      <c r="G538" s="249" t="s">
        <v>6</v>
      </c>
      <c r="H538" s="250">
        <v>10.48</v>
      </c>
      <c r="I538" s="251">
        <v>46104</v>
      </c>
      <c r="J538" s="252" t="s">
        <v>16</v>
      </c>
      <c r="K538" s="252"/>
      <c r="L538" s="253">
        <v>0.15</v>
      </c>
      <c r="M538" s="254">
        <f ca="1">IF(ISERROR(OFFSET(Tabella!$A$1,MATCH(J538,Tabella!$A:$A,0)-1,MATCH(L538,Tabella!$A$1:$AC$1,0)-1)=TRUE),0,+OFFSET(Tabella!$A$1,MATCH(J538,Tabella!$A:$A,0)-1,MATCH(L538,Tabella!$A$1:$AC$1,0)-1))</f>
        <v>0</v>
      </c>
      <c r="N538" s="255">
        <f ca="1">IF(ISERROR(OFFSET(Ottone!$A$1,MATCH(J538,Ottone!$A:$A,0)-1,MATCH(L538,Ottone!$A$1:$Z$1,0)-1)=TRUE),0,OFFSET(Ottone!$A$1,MATCH(J538,Ottone!$A:$A,0)-1,MATCH(L538,Ottone!$A$1:$Z$1,0)-1))*IF(G538="Ottone",1,0)</f>
        <v>0</v>
      </c>
      <c r="O538" s="255">
        <f ca="1">IF(ISERROR(OFFSET(Rame!$A$1,MATCH(J538,Rame!$A:$A,0)-1,MATCH(L538,Rame!$A$1:$AA$1,0)-1)=TRUE),0,OFFSET(Rame!$A$1,MATCH(J538,Rame!$A:$A,0)-1,MATCH(L538,Rame!$A$1:$AA$1,0)-1))*IF(G538="Rame",1,0)</f>
        <v>0.85</v>
      </c>
      <c r="P538" s="255">
        <v>0</v>
      </c>
      <c r="Q538" s="255">
        <f t="shared" ca="1" si="167"/>
        <v>0.85</v>
      </c>
      <c r="R538" s="255">
        <f ca="1">+IF(ISERROR(OFFSET(Tabella!$G$1,MATCH(J538,Tabella!$G:$G,0)-1,MATCH(K538,Tabella!$G$1:$FG$1,0)-1)=TRUE),0,OFFSET(Tabella!$G$1,MATCH(J538,Tabella!$G:$G,0)-1,MATCH(K538,Tabella!$G$1:$AB$1,0)-1))</f>
        <v>0</v>
      </c>
      <c r="S538" s="255">
        <f ca="1">IF(ISERROR(OFFSET(Ottone!$F$1,MATCH(J538,Ottone!$A:$A,0)-1,MATCH(K538,Ottone!$F$1:$FF$1,0)-1)=TRUE),0,OFFSET(Ottone!$F$1,MATCH(J538,Ottone!$A:$A,0)-1,MATCH(K538,Ottone!$F$1:$FF$1,0)-1))*IF(G538="Ottone",1,0)</f>
        <v>0</v>
      </c>
      <c r="T538" s="255">
        <f ca="1">IF(ISERROR(OFFSET(Rame!$F$1,MATCH(J538,Rame!$F:$F,0)-1,MATCH(K538,Rame!$F$1:$FF$1,0)-1)=TRUE),0,OFFSET(Rame!$F$1,MATCH(J538,Rame!$F:$F,0)-1,MATCH(K538,Rame!$F$1:$FF$1,0)-1))*IF(G538="Rame",1,0)</f>
        <v>0</v>
      </c>
      <c r="U538" s="255">
        <f ca="1">IF(ISERROR(OFFSET(Bronzo!$A$1,MATCH(J538,Bronzo!$A:$A,0)-1,MATCH(K538,Bronzo!$A$1:$AA$1,0)-1)=TRUE),0,OFFSET(Bronzo!$A$1,MATCH(J538,Bronzo!$A:$A,0)-1,MATCH(K538,Bronzo!$A$1:$AA$1,0)-1))</f>
        <v>0</v>
      </c>
      <c r="V538" s="255">
        <f t="shared" ca="1" si="163"/>
        <v>0</v>
      </c>
      <c r="W538" s="254"/>
      <c r="X538" s="255">
        <v>0</v>
      </c>
      <c r="Y538" s="256">
        <f t="shared" ca="1" si="164"/>
        <v>0.85</v>
      </c>
      <c r="Z538" s="257">
        <f t="shared" si="165"/>
        <v>90</v>
      </c>
      <c r="AA538" s="253">
        <v>14.1</v>
      </c>
      <c r="AB538" s="253">
        <f t="shared" ca="1" si="166"/>
        <v>2.7699999999999996</v>
      </c>
      <c r="AC538" s="258"/>
      <c r="AH538" s="232">
        <f t="shared" ca="1" si="168"/>
        <v>46120</v>
      </c>
      <c r="AI538" s="232" t="b">
        <f t="shared" si="169"/>
        <v>1</v>
      </c>
      <c r="AJ538" s="259" t="str">
        <f t="shared" si="174"/>
        <v/>
      </c>
      <c r="AM538" s="223">
        <f t="shared" si="170"/>
        <v>0</v>
      </c>
      <c r="AN538" s="223">
        <f t="shared" si="171"/>
        <v>1900</v>
      </c>
      <c r="AU538" s="223">
        <f t="shared" si="172"/>
        <v>0</v>
      </c>
      <c r="AV538" s="223">
        <f t="shared" si="173"/>
        <v>0</v>
      </c>
    </row>
    <row r="539" spans="4:48" ht="26.25" x14ac:dyDescent="0.4">
      <c r="D539" s="246" t="s">
        <v>782</v>
      </c>
      <c r="E539" s="252" t="s">
        <v>92</v>
      </c>
      <c r="F539" s="276">
        <v>2000</v>
      </c>
      <c r="G539" s="249" t="s">
        <v>4</v>
      </c>
      <c r="H539" s="250">
        <v>3.77</v>
      </c>
      <c r="I539" s="251">
        <v>46104</v>
      </c>
      <c r="J539" s="252" t="s">
        <v>26</v>
      </c>
      <c r="K539" s="252"/>
      <c r="L539" s="253">
        <v>7.0000000000000007E-2</v>
      </c>
      <c r="M539" s="254">
        <f ca="1">IF(ISERROR(OFFSET(Tabella!$A$1,MATCH(J539,Tabella!$A:$A,0)-1,MATCH(L539,Tabella!$A$1:$AC$1,0)-1)=TRUE),0,+OFFSET(Tabella!$A$1,MATCH(J539,Tabella!$A:$A,0)-1,MATCH(L539,Tabella!$A$1:$AC$1,0)-1))</f>
        <v>1.25</v>
      </c>
      <c r="N539" s="255">
        <f ca="1">IF(ISERROR(OFFSET(Ottone!$A$1,MATCH(J539,Ottone!$A:$A,0)-1,MATCH(L539,Ottone!$A$1:$Z$1,0)-1)=TRUE),0,OFFSET(Ottone!$A$1,MATCH(J539,Ottone!$A:$A,0)-1,MATCH(L539,Ottone!$A$1:$Z$1,0)-1))*IF(G539="Ottone",1,0)</f>
        <v>0</v>
      </c>
      <c r="O539" s="255">
        <f ca="1">IF(ISERROR(OFFSET(Rame!$A$1,MATCH(J539,Rame!$A:$A,0)-1,MATCH(L539,Rame!$A$1:$AA$1,0)-1)=TRUE),0,OFFSET(Rame!$A$1,MATCH(J539,Rame!$A:$A,0)-1,MATCH(L539,Rame!$A$1:$AA$1,0)-1))*IF(G539="Rame",1,0)</f>
        <v>0</v>
      </c>
      <c r="P539" s="255">
        <v>0</v>
      </c>
      <c r="Q539" s="255">
        <f t="shared" ca="1" si="167"/>
        <v>1.25</v>
      </c>
      <c r="R539" s="255">
        <f ca="1">+IF(ISERROR(OFFSET(Tabella!$G$1,MATCH(J539,Tabella!$G:$G,0)-1,MATCH(K539,Tabella!$G$1:$FG$1,0)-1)=TRUE),0,OFFSET(Tabella!$G$1,MATCH(J539,Tabella!$G:$G,0)-1,MATCH(K539,Tabella!$G$1:$AB$1,0)-1))</f>
        <v>0</v>
      </c>
      <c r="S539" s="255">
        <f ca="1">IF(ISERROR(OFFSET(Ottone!$F$1,MATCH(J539,Ottone!$A:$A,0)-1,MATCH(K539,Ottone!$F$1:$FF$1,0)-1)=TRUE),0,OFFSET(Ottone!$F$1,MATCH(J539,Ottone!$A:$A,0)-1,MATCH(K539,Ottone!$F$1:$FF$1,0)-1))*IF(G539="Ottone",1,0)</f>
        <v>0</v>
      </c>
      <c r="T539" s="255">
        <f ca="1">IF(ISERROR(OFFSET(Rame!$F$1,MATCH(J539,Rame!$F:$F,0)-1,MATCH(K539,Rame!$F$1:$FF$1,0)-1)=TRUE),0,OFFSET(Rame!$F$1,MATCH(J539,Rame!$F:$F,0)-1,MATCH(K539,Rame!$F$1:$FF$1,0)-1))*IF(G539="Rame",1,0)</f>
        <v>0</v>
      </c>
      <c r="U539" s="255">
        <f ca="1">IF(ISERROR(OFFSET(Bronzo!$A$1,MATCH(J539,Bronzo!$A:$A,0)-1,MATCH(K539,Bronzo!$A$1:$AA$1,0)-1)=TRUE),0,OFFSET(Bronzo!$A$1,MATCH(J539,Bronzo!$A:$A,0)-1,MATCH(K539,Bronzo!$A$1:$AA$1,0)-1))</f>
        <v>0</v>
      </c>
      <c r="V539" s="255">
        <f t="shared" ca="1" si="163"/>
        <v>0</v>
      </c>
      <c r="W539" s="254"/>
      <c r="X539" s="255">
        <v>0</v>
      </c>
      <c r="Y539" s="256">
        <f t="shared" ca="1" si="164"/>
        <v>1.25</v>
      </c>
      <c r="Z539" s="257">
        <f t="shared" si="165"/>
        <v>140</v>
      </c>
      <c r="AA539" s="253">
        <v>4.37</v>
      </c>
      <c r="AB539" s="253">
        <f t="shared" ca="1" si="166"/>
        <v>-0.64999999999999991</v>
      </c>
      <c r="AC539" s="258">
        <v>46147</v>
      </c>
      <c r="AH539" s="232">
        <f t="shared" ca="1" si="168"/>
        <v>46120</v>
      </c>
      <c r="AI539" s="232" t="b">
        <f t="shared" si="169"/>
        <v>0</v>
      </c>
      <c r="AJ539" s="259">
        <f t="shared" ca="1" si="174"/>
        <v>27</v>
      </c>
      <c r="AM539" s="223">
        <f t="shared" si="170"/>
        <v>19</v>
      </c>
      <c r="AN539" s="223">
        <f t="shared" si="171"/>
        <v>2026</v>
      </c>
      <c r="AU539" s="223">
        <f t="shared" si="172"/>
        <v>5</v>
      </c>
      <c r="AV539" s="223">
        <f t="shared" si="173"/>
        <v>2026</v>
      </c>
    </row>
    <row r="540" spans="4:48" ht="26.25" x14ac:dyDescent="0.4">
      <c r="D540" s="246"/>
      <c r="E540" s="252" t="s">
        <v>108</v>
      </c>
      <c r="F540" s="276">
        <v>2000</v>
      </c>
      <c r="G540" s="249" t="s">
        <v>4</v>
      </c>
      <c r="H540" s="250">
        <v>2.6</v>
      </c>
      <c r="I540" s="251">
        <v>46058</v>
      </c>
      <c r="J540" s="252" t="s">
        <v>310</v>
      </c>
      <c r="K540" s="252"/>
      <c r="L540" s="253">
        <v>7.0000000000000007E-2</v>
      </c>
      <c r="M540" s="254">
        <f ca="1">IF(ISERROR(OFFSET(Tabella!$A$1,MATCH(J540,Tabella!$A:$A,0)-1,MATCH(L540,Tabella!$A$1:$AC$1,0)-1)=TRUE),0,+OFFSET(Tabella!$A$1,MATCH(J540,Tabella!$A:$A,0)-1,MATCH(L540,Tabella!$A$1:$AC$1,0)-1))</f>
        <v>1.25</v>
      </c>
      <c r="N540" s="255">
        <f ca="1">IF(ISERROR(OFFSET(Ottone!$A$1,MATCH(J540,Ottone!$A:$A,0)-1,MATCH(L540,Ottone!$A$1:$Z$1,0)-1)=TRUE),0,OFFSET(Ottone!$A$1,MATCH(J540,Ottone!$A:$A,0)-1,MATCH(L540,Ottone!$A$1:$Z$1,0)-1))*IF(G540="Ottone",1,0)</f>
        <v>0</v>
      </c>
      <c r="O540" s="255">
        <f ca="1">IF(ISERROR(OFFSET(Rame!$A$1,MATCH(J540,Rame!$A:$A,0)-1,MATCH(L540,Rame!$A$1:$AA$1,0)-1)=TRUE),0,OFFSET(Rame!$A$1,MATCH(J540,Rame!$A:$A,0)-1,MATCH(L540,Rame!$A$1:$AA$1,0)-1))*IF(G540="Rame",1,0)</f>
        <v>0</v>
      </c>
      <c r="P540" s="255">
        <v>0</v>
      </c>
      <c r="Q540" s="255">
        <f t="shared" ca="1" si="167"/>
        <v>1.25</v>
      </c>
      <c r="R540" s="255">
        <f ca="1">+IF(ISERROR(OFFSET(Tabella!$G$1,MATCH(J540,Tabella!$G:$G,0)-1,MATCH(K540,Tabella!$G$1:$FG$1,0)-1)=TRUE),0,OFFSET(Tabella!$G$1,MATCH(J540,Tabella!$G:$G,0)-1,MATCH(K540,Tabella!$G$1:$AB$1,0)-1))</f>
        <v>0</v>
      </c>
      <c r="S540" s="255">
        <f ca="1">IF(ISERROR(OFFSET(Ottone!$F$1,MATCH(J540,Ottone!$A:$A,0)-1,MATCH(K540,Ottone!$F$1:$FF$1,0)-1)=TRUE),0,OFFSET(Ottone!$F$1,MATCH(J540,Ottone!$A:$A,0)-1,MATCH(K540,Ottone!$F$1:$FF$1,0)-1))*IF(G540="Ottone",1,0)</f>
        <v>0</v>
      </c>
      <c r="T540" s="255">
        <f ca="1">IF(ISERROR(OFFSET(Rame!$F$1,MATCH(J540,Rame!$F:$F,0)-1,MATCH(K540,Rame!$F$1:$FF$1,0)-1)=TRUE),0,OFFSET(Rame!$F$1,MATCH(J540,Rame!$F:$F,0)-1,MATCH(K540,Rame!$F$1:$FF$1,0)-1))*IF(G540="Rame",1,0)</f>
        <v>0</v>
      </c>
      <c r="U540" s="255">
        <f ca="1">IF(ISERROR(OFFSET(Bronzo!$A$1,MATCH(J540,Bronzo!$A:$A,0)-1,MATCH(K540,Bronzo!$A$1:$AA$1,0)-1)=TRUE),0,OFFSET(Bronzo!$A$1,MATCH(J540,Bronzo!$A:$A,0)-1,MATCH(K540,Bronzo!$A$1:$AA$1,0)-1))</f>
        <v>0</v>
      </c>
      <c r="V540" s="255">
        <f t="shared" ca="1" si="163"/>
        <v>0</v>
      </c>
      <c r="W540" s="254"/>
      <c r="X540" s="255">
        <v>0</v>
      </c>
      <c r="Y540" s="256">
        <f t="shared" ca="1" si="164"/>
        <v>1.25</v>
      </c>
      <c r="Z540" s="257">
        <f t="shared" si="165"/>
        <v>140</v>
      </c>
      <c r="AA540" s="253">
        <v>4.0999999999999996</v>
      </c>
      <c r="AB540" s="253">
        <f t="shared" ca="1" si="166"/>
        <v>0.24999999999999956</v>
      </c>
      <c r="AC540" s="258"/>
      <c r="AH540" s="232">
        <f t="shared" ca="1" si="168"/>
        <v>46120</v>
      </c>
      <c r="AI540" s="232" t="b">
        <f t="shared" si="169"/>
        <v>1</v>
      </c>
      <c r="AJ540" s="259" t="str">
        <f t="shared" si="174"/>
        <v/>
      </c>
      <c r="AM540" s="223">
        <f t="shared" si="170"/>
        <v>0</v>
      </c>
      <c r="AN540" s="223">
        <f t="shared" si="171"/>
        <v>1900</v>
      </c>
      <c r="AU540" s="223">
        <f t="shared" si="172"/>
        <v>0</v>
      </c>
      <c r="AV540" s="223">
        <f t="shared" si="173"/>
        <v>0</v>
      </c>
    </row>
    <row r="541" spans="4:48" ht="26.25" x14ac:dyDescent="0.4">
      <c r="D541" s="246" t="s">
        <v>779</v>
      </c>
      <c r="E541" s="252" t="s">
        <v>210</v>
      </c>
      <c r="F541" s="276">
        <v>2000</v>
      </c>
      <c r="G541" s="249" t="s">
        <v>6</v>
      </c>
      <c r="H541" s="250">
        <v>10.25</v>
      </c>
      <c r="I541" s="251">
        <v>46105</v>
      </c>
      <c r="J541" s="252" t="s">
        <v>14</v>
      </c>
      <c r="K541" s="252"/>
      <c r="L541" s="253">
        <v>0.15</v>
      </c>
      <c r="M541" s="254">
        <f ca="1">IF(ISERROR(OFFSET(Tabella!$A$1,MATCH(J541,Tabella!$A:$A,0)-1,MATCH(L541,Tabella!$A$1:$AC$1,0)-1)=TRUE),0,+OFFSET(Tabella!$A$1,MATCH(J541,Tabella!$A:$A,0)-1,MATCH(L541,Tabella!$A$1:$AC$1,0)-1))</f>
        <v>0</v>
      </c>
      <c r="N541" s="255">
        <f ca="1">IF(ISERROR(OFFSET(Ottone!$A$1,MATCH(J541,Ottone!$A:$A,0)-1,MATCH(L541,Ottone!$A$1:$Z$1,0)-1)=TRUE),0,OFFSET(Ottone!$A$1,MATCH(J541,Ottone!$A:$A,0)-1,MATCH(L541,Ottone!$A$1:$Z$1,0)-1))*IF(G541="Ottone",1,0)</f>
        <v>0</v>
      </c>
      <c r="O541" s="255">
        <f ca="1">IF(ISERROR(OFFSET(Rame!$A$1,MATCH(J541,Rame!$A:$A,0)-1,MATCH(L541,Rame!$A$1:$AA$1,0)-1)=TRUE),0,OFFSET(Rame!$A$1,MATCH(J541,Rame!$A:$A,0)-1,MATCH(L541,Rame!$A$1:$AA$1,0)-1))*IF(G541="Rame",1,0)</f>
        <v>1</v>
      </c>
      <c r="P541" s="255">
        <v>0</v>
      </c>
      <c r="Q541" s="255">
        <f t="shared" ca="1" si="167"/>
        <v>1</v>
      </c>
      <c r="R541" s="255">
        <f ca="1">+IF(ISERROR(OFFSET(Tabella!$G$1,MATCH(J541,Tabella!$G:$G,0)-1,MATCH(K541,Tabella!$G$1:$FG$1,0)-1)=TRUE),0,OFFSET(Tabella!$G$1,MATCH(J541,Tabella!$G:$G,0)-1,MATCH(K541,Tabella!$G$1:$AB$1,0)-1))</f>
        <v>0</v>
      </c>
      <c r="S541" s="255">
        <f ca="1">IF(ISERROR(OFFSET(Ottone!$F$1,MATCH(J541,Ottone!$A:$A,0)-1,MATCH(K541,Ottone!$F$1:$FF$1,0)-1)=TRUE),0,OFFSET(Ottone!$F$1,MATCH(J541,Ottone!$A:$A,0)-1,MATCH(K541,Ottone!$F$1:$FF$1,0)-1))*IF(G541="Ottone",1,0)</f>
        <v>0</v>
      </c>
      <c r="T541" s="255">
        <f ca="1">IF(ISERROR(OFFSET(Rame!$F$1,MATCH(J541,Rame!$F:$F,0)-1,MATCH(K541,Rame!$F$1:$FF$1,0)-1)=TRUE),0,OFFSET(Rame!$F$1,MATCH(J541,Rame!$F:$F,0)-1,MATCH(K541,Rame!$F$1:$FF$1,0)-1))*IF(G541="Rame",1,0)</f>
        <v>0</v>
      </c>
      <c r="U541" s="255">
        <f ca="1">IF(ISERROR(OFFSET(Bronzo!$A$1,MATCH(J541,Bronzo!$A:$A,0)-1,MATCH(K541,Bronzo!$A$1:$AA$1,0)-1)=TRUE),0,OFFSET(Bronzo!$A$1,MATCH(J541,Bronzo!$A:$A,0)-1,MATCH(K541,Bronzo!$A$1:$AA$1,0)-1))</f>
        <v>0</v>
      </c>
      <c r="V541" s="255">
        <f t="shared" ca="1" si="163"/>
        <v>0</v>
      </c>
      <c r="W541" s="254"/>
      <c r="X541" s="255">
        <v>0</v>
      </c>
      <c r="Y541" s="256">
        <f t="shared" ca="1" si="164"/>
        <v>1</v>
      </c>
      <c r="Z541" s="257">
        <f t="shared" si="165"/>
        <v>300</v>
      </c>
      <c r="AA541" s="253">
        <v>13.8</v>
      </c>
      <c r="AB541" s="253">
        <f t="shared" ca="1" si="166"/>
        <v>2.5500000000000007</v>
      </c>
      <c r="AC541" s="258">
        <v>46122</v>
      </c>
      <c r="AH541" s="232">
        <f t="shared" ca="1" si="168"/>
        <v>46120</v>
      </c>
      <c r="AI541" s="232" t="b">
        <f t="shared" si="169"/>
        <v>0</v>
      </c>
      <c r="AJ541" s="259">
        <f t="shared" ca="1" si="174"/>
        <v>2</v>
      </c>
      <c r="AM541" s="223">
        <f t="shared" si="170"/>
        <v>15</v>
      </c>
      <c r="AN541" s="223">
        <f t="shared" si="171"/>
        <v>2026</v>
      </c>
      <c r="AU541" s="223">
        <f t="shared" si="172"/>
        <v>4</v>
      </c>
      <c r="AV541" s="223">
        <f t="shared" si="173"/>
        <v>2026</v>
      </c>
    </row>
    <row r="542" spans="4:48" ht="26.25" x14ac:dyDescent="0.4">
      <c r="D542" s="246"/>
      <c r="E542" s="252" t="s">
        <v>260</v>
      </c>
      <c r="F542" s="276">
        <v>577</v>
      </c>
      <c r="G542" s="249" t="s">
        <v>4</v>
      </c>
      <c r="H542" s="250">
        <v>2.77</v>
      </c>
      <c r="I542" s="251">
        <v>46105</v>
      </c>
      <c r="J542" s="252" t="s">
        <v>24</v>
      </c>
      <c r="K542" s="252"/>
      <c r="L542" s="253">
        <v>7.0000000000000007E-2</v>
      </c>
      <c r="M542" s="254">
        <f ca="1">IF(ISERROR(OFFSET(Tabella!$A$1,MATCH(J542,Tabella!$A:$A,0)-1,MATCH(L542,Tabella!$A$1:$AC$1,0)-1)=TRUE),0,+OFFSET(Tabella!$A$1,MATCH(J542,Tabella!$A:$A,0)-1,MATCH(L542,Tabella!$A$1:$AC$1,0)-1))</f>
        <v>1.25</v>
      </c>
      <c r="N542" s="255">
        <f ca="1">IF(ISERROR(OFFSET(Ottone!$A$1,MATCH(J542,Ottone!$A:$A,0)-1,MATCH(L542,Ottone!$A$1:$Z$1,0)-1)=TRUE),0,OFFSET(Ottone!$A$1,MATCH(J542,Ottone!$A:$A,0)-1,MATCH(L542,Ottone!$A$1:$Z$1,0)-1))*IF(G542="Ottone",1,0)</f>
        <v>0</v>
      </c>
      <c r="O542" s="255">
        <f ca="1">IF(ISERROR(OFFSET(Rame!$A$1,MATCH(J542,Rame!$A:$A,0)-1,MATCH(L542,Rame!$A$1:$AA$1,0)-1)=TRUE),0,OFFSET(Rame!$A$1,MATCH(J542,Rame!$A:$A,0)-1,MATCH(L542,Rame!$A$1:$AA$1,0)-1))*IF(G542="Rame",1,0)</f>
        <v>0</v>
      </c>
      <c r="P542" s="255">
        <v>0</v>
      </c>
      <c r="Q542" s="255">
        <f t="shared" ca="1" si="167"/>
        <v>1.25</v>
      </c>
      <c r="R542" s="255">
        <f ca="1">+IF(ISERROR(OFFSET(Tabella!$G$1,MATCH(J542,Tabella!$G:$G,0)-1,MATCH(K542,Tabella!$G$1:$FG$1,0)-1)=TRUE),0,OFFSET(Tabella!$G$1,MATCH(J542,Tabella!$G:$G,0)-1,MATCH(K542,Tabella!$G$1:$AB$1,0)-1))</f>
        <v>0</v>
      </c>
      <c r="S542" s="255">
        <f ca="1">IF(ISERROR(OFFSET(Ottone!$F$1,MATCH(J542,Ottone!$A:$A,0)-1,MATCH(K542,Ottone!$F$1:$FF$1,0)-1)=TRUE),0,OFFSET(Ottone!$F$1,MATCH(J542,Ottone!$A:$A,0)-1,MATCH(K542,Ottone!$F$1:$FF$1,0)-1))*IF(G542="Ottone",1,0)</f>
        <v>0</v>
      </c>
      <c r="T542" s="255">
        <f ca="1">IF(ISERROR(OFFSET(Rame!$F$1,MATCH(J542,Rame!$F:$F,0)-1,MATCH(K542,Rame!$F$1:$FF$1,0)-1)=TRUE),0,OFFSET(Rame!$F$1,MATCH(J542,Rame!$F:$F,0)-1,MATCH(K542,Rame!$F$1:$FF$1,0)-1))*IF(G542="Rame",1,0)</f>
        <v>0</v>
      </c>
      <c r="U542" s="255">
        <f ca="1">IF(ISERROR(OFFSET(Bronzo!$A$1,MATCH(J542,Bronzo!$A:$A,0)-1,MATCH(K542,Bronzo!$A$1:$AA$1,0)-1)=TRUE),0,OFFSET(Bronzo!$A$1,MATCH(J542,Bronzo!$A:$A,0)-1,MATCH(K542,Bronzo!$A$1:$AA$1,0)-1))</f>
        <v>0</v>
      </c>
      <c r="V542" s="255">
        <f t="shared" ca="1" si="163"/>
        <v>0</v>
      </c>
      <c r="W542" s="254"/>
      <c r="X542" s="255">
        <v>0</v>
      </c>
      <c r="Y542" s="256">
        <f t="shared" ca="1" si="164"/>
        <v>1.25</v>
      </c>
      <c r="Z542" s="257">
        <f t="shared" si="165"/>
        <v>40.39</v>
      </c>
      <c r="AA542" s="253">
        <v>4.4000000000000004</v>
      </c>
      <c r="AB542" s="253">
        <f t="shared" ca="1" si="166"/>
        <v>0.38000000000000034</v>
      </c>
      <c r="AC542" s="258"/>
      <c r="AH542" s="232">
        <f t="shared" ca="1" si="168"/>
        <v>46120</v>
      </c>
      <c r="AI542" s="232" t="b">
        <f t="shared" si="169"/>
        <v>1</v>
      </c>
      <c r="AJ542" s="259" t="str">
        <f t="shared" si="174"/>
        <v/>
      </c>
      <c r="AM542" s="223">
        <f t="shared" si="170"/>
        <v>0</v>
      </c>
      <c r="AN542" s="223">
        <f t="shared" si="171"/>
        <v>1900</v>
      </c>
      <c r="AU542" s="223">
        <f t="shared" si="172"/>
        <v>0</v>
      </c>
      <c r="AV542" s="223">
        <f t="shared" si="173"/>
        <v>0</v>
      </c>
    </row>
    <row r="543" spans="4:48" ht="26.25" x14ac:dyDescent="0.4">
      <c r="D543" s="246"/>
      <c r="E543" s="252" t="s">
        <v>246</v>
      </c>
      <c r="F543" s="276">
        <v>450</v>
      </c>
      <c r="G543" s="249" t="s">
        <v>6</v>
      </c>
      <c r="H543" s="250">
        <v>10.199999999999999</v>
      </c>
      <c r="I543" s="251">
        <v>46105</v>
      </c>
      <c r="J543" s="252" t="s">
        <v>20</v>
      </c>
      <c r="K543" s="252"/>
      <c r="L543" s="253">
        <v>0.15</v>
      </c>
      <c r="M543" s="254">
        <f ca="1">IF(ISERROR(OFFSET(Tabella!$A$1,MATCH(J543,Tabella!$A:$A,0)-1,MATCH(L543,Tabella!$A$1:$AC$1,0)-1)=TRUE),0,+OFFSET(Tabella!$A$1,MATCH(J543,Tabella!$A:$A,0)-1,MATCH(L543,Tabella!$A$1:$AC$1,0)-1))</f>
        <v>0</v>
      </c>
      <c r="N543" s="255">
        <f ca="1">IF(ISERROR(OFFSET(Ottone!$A$1,MATCH(J543,Ottone!$A:$A,0)-1,MATCH(L543,Ottone!$A$1:$Z$1,0)-1)=TRUE),0,OFFSET(Ottone!$A$1,MATCH(J543,Ottone!$A:$A,0)-1,MATCH(L543,Ottone!$A$1:$Z$1,0)-1))*IF(G543="Ottone",1,0)</f>
        <v>0</v>
      </c>
      <c r="O543" s="255">
        <f ca="1">IF(ISERROR(OFFSET(Rame!$A$1,MATCH(J543,Rame!$A:$A,0)-1,MATCH(L543,Rame!$A$1:$AA$1,0)-1)=TRUE),0,OFFSET(Rame!$A$1,MATCH(J543,Rame!$A:$A,0)-1,MATCH(L543,Rame!$A$1:$AA$1,0)-1))*IF(G543="Rame",1,0)</f>
        <v>1</v>
      </c>
      <c r="P543" s="255">
        <v>0</v>
      </c>
      <c r="Q543" s="255">
        <f t="shared" ref="Q543:Q564" ca="1" si="175">SUM(M543:P543)</f>
        <v>1</v>
      </c>
      <c r="R543" s="255">
        <f ca="1">+IF(ISERROR(OFFSET(Tabella!$G$1,MATCH(J543,Tabella!$G:$G,0)-1,MATCH(K543,Tabella!$G$1:$FG$1,0)-1)=TRUE),0,OFFSET(Tabella!$G$1,MATCH(J543,Tabella!$G:$G,0)-1,MATCH(K543,Tabella!$G$1:$AB$1,0)-1))</f>
        <v>0</v>
      </c>
      <c r="S543" s="255">
        <f ca="1">IF(ISERROR(OFFSET(Ottone!$F$1,MATCH(J543,Ottone!$A:$A,0)-1,MATCH(K543,Ottone!$F$1:$FF$1,0)-1)=TRUE),0,OFFSET(Ottone!$F$1,MATCH(J543,Ottone!$A:$A,0)-1,MATCH(K543,Ottone!$F$1:$FF$1,0)-1))*IF(G543="Ottone",1,0)</f>
        <v>0</v>
      </c>
      <c r="T543" s="255">
        <f ca="1">IF(ISERROR(OFFSET(Rame!$F$1,MATCH(J543,Rame!$F:$F,0)-1,MATCH(K543,Rame!$F$1:$FF$1,0)-1)=TRUE),0,OFFSET(Rame!$F$1,MATCH(J543,Rame!$F:$F,0)-1,MATCH(K543,Rame!$F$1:$FF$1,0)-1))*IF(G543="Rame",1,0)</f>
        <v>0</v>
      </c>
      <c r="U543" s="255">
        <f ca="1">IF(ISERROR(OFFSET(Bronzo!$A$1,MATCH(J543,Bronzo!$A:$A,0)-1,MATCH(K543,Bronzo!$A$1:$AA$1,0)-1)=TRUE),0,OFFSET(Bronzo!$A$1,MATCH(J543,Bronzo!$A:$A,0)-1,MATCH(K543,Bronzo!$A$1:$AA$1,0)-1))</f>
        <v>0</v>
      </c>
      <c r="V543" s="255">
        <f t="shared" ref="V543:V564" ca="1" si="176">SUM(R543:U543)</f>
        <v>0</v>
      </c>
      <c r="W543" s="254"/>
      <c r="X543" s="255">
        <v>0</v>
      </c>
      <c r="Y543" s="256">
        <f t="shared" ref="Y543:Y564" ca="1" si="177">+Q543+V543+W543+X543</f>
        <v>1</v>
      </c>
      <c r="Z543" s="257">
        <f t="shared" ref="Z543:Z564" si="178">+L543*F543</f>
        <v>67.5</v>
      </c>
      <c r="AA543" s="253">
        <v>13.8</v>
      </c>
      <c r="AB543" s="253">
        <f t="shared" ref="AB543:AB564" ca="1" si="179">+AA543-Y543-H543</f>
        <v>2.6000000000000014</v>
      </c>
      <c r="AC543" s="258"/>
      <c r="AH543" s="232">
        <f t="shared" ca="1" si="168"/>
        <v>46120</v>
      </c>
      <c r="AI543" s="232" t="b">
        <f t="shared" si="169"/>
        <v>1</v>
      </c>
      <c r="AJ543" s="259" t="str">
        <f t="shared" si="174"/>
        <v/>
      </c>
      <c r="AM543" s="223">
        <f t="shared" si="170"/>
        <v>0</v>
      </c>
      <c r="AN543" s="223">
        <f t="shared" si="171"/>
        <v>1900</v>
      </c>
      <c r="AU543" s="223">
        <f t="shared" si="172"/>
        <v>0</v>
      </c>
      <c r="AV543" s="223">
        <f t="shared" si="173"/>
        <v>0</v>
      </c>
    </row>
    <row r="544" spans="4:48" ht="26.25" x14ac:dyDescent="0.4">
      <c r="D544" s="246"/>
      <c r="E544" s="252" t="s">
        <v>246</v>
      </c>
      <c r="F544" s="276">
        <v>400</v>
      </c>
      <c r="G544" s="249" t="s">
        <v>6</v>
      </c>
      <c r="H544" s="250">
        <v>10.199999999999999</v>
      </c>
      <c r="I544" s="251">
        <v>46105</v>
      </c>
      <c r="J544" s="252" t="s">
        <v>16</v>
      </c>
      <c r="K544" s="252"/>
      <c r="L544" s="253">
        <v>0.15</v>
      </c>
      <c r="M544" s="254">
        <f ca="1">IF(ISERROR(OFFSET(Tabella!$A$1,MATCH(J544,Tabella!$A:$A,0)-1,MATCH(L544,Tabella!$A$1:$AC$1,0)-1)=TRUE),0,+OFFSET(Tabella!$A$1,MATCH(J544,Tabella!$A:$A,0)-1,MATCH(L544,Tabella!$A$1:$AC$1,0)-1))</f>
        <v>0</v>
      </c>
      <c r="N544" s="255">
        <f ca="1">IF(ISERROR(OFFSET(Ottone!$A$1,MATCH(J544,Ottone!$A:$A,0)-1,MATCH(L544,Ottone!$A$1:$Z$1,0)-1)=TRUE),0,OFFSET(Ottone!$A$1,MATCH(J544,Ottone!$A:$A,0)-1,MATCH(L544,Ottone!$A$1:$Z$1,0)-1))*IF(G544="Ottone",1,0)</f>
        <v>0</v>
      </c>
      <c r="O544" s="255">
        <f ca="1">IF(ISERROR(OFFSET(Rame!$A$1,MATCH(J544,Rame!$A:$A,0)-1,MATCH(L544,Rame!$A$1:$AA$1,0)-1)=TRUE),0,OFFSET(Rame!$A$1,MATCH(J544,Rame!$A:$A,0)-1,MATCH(L544,Rame!$A$1:$AA$1,0)-1))*IF(G544="Rame",1,0)</f>
        <v>0.85</v>
      </c>
      <c r="P544" s="255">
        <v>0</v>
      </c>
      <c r="Q544" s="255">
        <f t="shared" ca="1" si="175"/>
        <v>0.85</v>
      </c>
      <c r="R544" s="255">
        <f ca="1">+IF(ISERROR(OFFSET(Tabella!$G$1,MATCH(J544,Tabella!$G:$G,0)-1,MATCH(K544,Tabella!$G$1:$FG$1,0)-1)=TRUE),0,OFFSET(Tabella!$G$1,MATCH(J544,Tabella!$G:$G,0)-1,MATCH(K544,Tabella!$G$1:$AB$1,0)-1))</f>
        <v>0</v>
      </c>
      <c r="S544" s="255">
        <f ca="1">IF(ISERROR(OFFSET(Ottone!$F$1,MATCH(J544,Ottone!$A:$A,0)-1,MATCH(K544,Ottone!$F$1:$FF$1,0)-1)=TRUE),0,OFFSET(Ottone!$F$1,MATCH(J544,Ottone!$A:$A,0)-1,MATCH(K544,Ottone!$F$1:$FF$1,0)-1))*IF(G544="Ottone",1,0)</f>
        <v>0</v>
      </c>
      <c r="T544" s="255">
        <f ca="1">IF(ISERROR(OFFSET(Rame!$F$1,MATCH(J544,Rame!$F:$F,0)-1,MATCH(K544,Rame!$F$1:$FF$1,0)-1)=TRUE),0,OFFSET(Rame!$F$1,MATCH(J544,Rame!$F:$F,0)-1,MATCH(K544,Rame!$F$1:$FF$1,0)-1))*IF(G544="Rame",1,0)</f>
        <v>0</v>
      </c>
      <c r="U544" s="255">
        <f ca="1">IF(ISERROR(OFFSET(Bronzo!$A$1,MATCH(J544,Bronzo!$A:$A,0)-1,MATCH(K544,Bronzo!$A$1:$AA$1,0)-1)=TRUE),0,OFFSET(Bronzo!$A$1,MATCH(J544,Bronzo!$A:$A,0)-1,MATCH(K544,Bronzo!$A$1:$AA$1,0)-1))</f>
        <v>0</v>
      </c>
      <c r="V544" s="255">
        <f t="shared" ca="1" si="176"/>
        <v>0</v>
      </c>
      <c r="W544" s="254"/>
      <c r="X544" s="255">
        <v>0</v>
      </c>
      <c r="Y544" s="256">
        <f t="shared" ca="1" si="177"/>
        <v>0.85</v>
      </c>
      <c r="Z544" s="257">
        <f t="shared" si="178"/>
        <v>60</v>
      </c>
      <c r="AA544" s="253">
        <v>13.8</v>
      </c>
      <c r="AB544" s="253">
        <f t="shared" ca="1" si="179"/>
        <v>2.7500000000000018</v>
      </c>
      <c r="AC544" s="258"/>
      <c r="AH544" s="232">
        <f t="shared" ca="1" si="168"/>
        <v>46120</v>
      </c>
      <c r="AI544" s="232" t="b">
        <f t="shared" si="169"/>
        <v>1</v>
      </c>
      <c r="AJ544" s="259" t="str">
        <f t="shared" si="174"/>
        <v/>
      </c>
      <c r="AM544" s="223">
        <f t="shared" si="170"/>
        <v>0</v>
      </c>
      <c r="AN544" s="223">
        <f t="shared" si="171"/>
        <v>1900</v>
      </c>
      <c r="AU544" s="223">
        <f t="shared" si="172"/>
        <v>0</v>
      </c>
      <c r="AV544" s="223">
        <f t="shared" si="173"/>
        <v>0</v>
      </c>
    </row>
    <row r="545" spans="4:48" ht="26.25" x14ac:dyDescent="0.4">
      <c r="D545" s="246" t="s">
        <v>778</v>
      </c>
      <c r="E545" s="252" t="s">
        <v>102</v>
      </c>
      <c r="F545" s="276">
        <v>1900</v>
      </c>
      <c r="G545" s="249" t="s">
        <v>4</v>
      </c>
      <c r="H545" s="250">
        <v>2.65</v>
      </c>
      <c r="I545" s="251">
        <v>46050</v>
      </c>
      <c r="J545" s="252" t="s">
        <v>25</v>
      </c>
      <c r="K545" s="252"/>
      <c r="L545" s="253">
        <v>7.0000000000000007E-2</v>
      </c>
      <c r="M545" s="254">
        <f ca="1">IF(ISERROR(OFFSET(Tabella!$A$1,MATCH(J545,Tabella!$A:$A,0)-1,MATCH(L545,Tabella!$A$1:$AC$1,0)-1)=TRUE),0,+OFFSET(Tabella!$A$1,MATCH(J545,Tabella!$A:$A,0)-1,MATCH(L545,Tabella!$A$1:$AC$1,0)-1))</f>
        <v>1.25</v>
      </c>
      <c r="N545" s="255">
        <f ca="1">IF(ISERROR(OFFSET(Ottone!$A$1,MATCH(J545,Ottone!$A:$A,0)-1,MATCH(L545,Ottone!$A$1:$Z$1,0)-1)=TRUE),0,OFFSET(Ottone!$A$1,MATCH(J545,Ottone!$A:$A,0)-1,MATCH(L545,Ottone!$A$1:$Z$1,0)-1))*IF(G545="Ottone",1,0)</f>
        <v>0</v>
      </c>
      <c r="O545" s="255">
        <f ca="1">IF(ISERROR(OFFSET(Rame!$A$1,MATCH(J545,Rame!$A:$A,0)-1,MATCH(L545,Rame!$A$1:$AA$1,0)-1)=TRUE),0,OFFSET(Rame!$A$1,MATCH(J545,Rame!$A:$A,0)-1,MATCH(L545,Rame!$A$1:$AA$1,0)-1))*IF(G545="Rame",1,0)</f>
        <v>0</v>
      </c>
      <c r="P545" s="255">
        <v>0</v>
      </c>
      <c r="Q545" s="255">
        <v>1.5</v>
      </c>
      <c r="R545" s="255">
        <f ca="1">+IF(ISERROR(OFFSET(Tabella!$G$1,MATCH(J545,Tabella!$G:$G,0)-1,MATCH(K545,Tabella!$G$1:$FG$1,0)-1)=TRUE),0,OFFSET(Tabella!$G$1,MATCH(J545,Tabella!$G:$G,0)-1,MATCH(K545,Tabella!$G$1:$AB$1,0)-1))</f>
        <v>0</v>
      </c>
      <c r="S545" s="255">
        <f ca="1">IF(ISERROR(OFFSET(Ottone!$F$1,MATCH(J545,Ottone!$A:$A,0)-1,MATCH(K545,Ottone!$F$1:$FF$1,0)-1)=TRUE),0,OFFSET(Ottone!$F$1,MATCH(J545,Ottone!$A:$A,0)-1,MATCH(K545,Ottone!$F$1:$FF$1,0)-1))*IF(G545="Ottone",1,0)</f>
        <v>0</v>
      </c>
      <c r="T545" s="255">
        <f ca="1">IF(ISERROR(OFFSET(Rame!$F$1,MATCH(J545,Rame!$F:$F,0)-1,MATCH(K545,Rame!$F$1:$FF$1,0)-1)=TRUE),0,OFFSET(Rame!$F$1,MATCH(J545,Rame!$F:$F,0)-1,MATCH(K545,Rame!$F$1:$FF$1,0)-1))*IF(G545="Rame",1,0)</f>
        <v>0</v>
      </c>
      <c r="U545" s="255">
        <f ca="1">IF(ISERROR(OFFSET(Bronzo!$A$1,MATCH(J545,Bronzo!$A:$A,0)-1,MATCH(K545,Bronzo!$A$1:$AA$1,0)-1)=TRUE),0,OFFSET(Bronzo!$A$1,MATCH(J545,Bronzo!$A:$A,0)-1,MATCH(K545,Bronzo!$A$1:$AA$1,0)-1))</f>
        <v>0</v>
      </c>
      <c r="V545" s="255">
        <f t="shared" ca="1" si="176"/>
        <v>0</v>
      </c>
      <c r="W545" s="254"/>
      <c r="X545" s="255">
        <v>0</v>
      </c>
      <c r="Y545" s="256">
        <f t="shared" ca="1" si="177"/>
        <v>1.5</v>
      </c>
      <c r="Z545" s="257">
        <f t="shared" si="178"/>
        <v>133</v>
      </c>
      <c r="AA545" s="253">
        <v>4.1500000000000004</v>
      </c>
      <c r="AB545" s="253">
        <f t="shared" ca="1" si="179"/>
        <v>0</v>
      </c>
      <c r="AC545" s="258">
        <v>46146</v>
      </c>
      <c r="AH545" s="232">
        <f t="shared" ca="1" si="168"/>
        <v>46120</v>
      </c>
      <c r="AI545" s="232" t="b">
        <f t="shared" si="169"/>
        <v>0</v>
      </c>
      <c r="AJ545" s="259">
        <f t="shared" ca="1" si="174"/>
        <v>26</v>
      </c>
      <c r="AM545" s="223">
        <f t="shared" si="170"/>
        <v>19</v>
      </c>
      <c r="AN545" s="223">
        <f t="shared" si="171"/>
        <v>2026</v>
      </c>
      <c r="AU545" s="223">
        <f t="shared" si="172"/>
        <v>5</v>
      </c>
      <c r="AV545" s="223">
        <f t="shared" si="173"/>
        <v>2026</v>
      </c>
    </row>
    <row r="546" spans="4:48" ht="26.25" x14ac:dyDescent="0.4">
      <c r="D546" s="246" t="s">
        <v>778</v>
      </c>
      <c r="E546" s="252" t="s">
        <v>102</v>
      </c>
      <c r="F546" s="276">
        <v>580</v>
      </c>
      <c r="G546" s="249" t="s">
        <v>4</v>
      </c>
      <c r="H546" s="250">
        <v>2.65</v>
      </c>
      <c r="I546" s="251">
        <v>46050</v>
      </c>
      <c r="J546" s="252" t="s">
        <v>24</v>
      </c>
      <c r="K546" s="252"/>
      <c r="L546" s="253">
        <v>7.0000000000000007E-2</v>
      </c>
      <c r="M546" s="254">
        <f ca="1">IF(ISERROR(OFFSET(Tabella!$A$1,MATCH(J546,Tabella!$A:$A,0)-1,MATCH(L546,Tabella!$A$1:$AC$1,0)-1)=TRUE),0,+OFFSET(Tabella!$A$1,MATCH(J546,Tabella!$A:$A,0)-1,MATCH(L546,Tabella!$A$1:$AC$1,0)-1))</f>
        <v>1.25</v>
      </c>
      <c r="N546" s="255">
        <f ca="1">IF(ISERROR(OFFSET(Ottone!$A$1,MATCH(J546,Ottone!$A:$A,0)-1,MATCH(L546,Ottone!$A$1:$Z$1,0)-1)=TRUE),0,OFFSET(Ottone!$A$1,MATCH(J546,Ottone!$A:$A,0)-1,MATCH(L546,Ottone!$A$1:$Z$1,0)-1))*IF(G546="Ottone",1,0)</f>
        <v>0</v>
      </c>
      <c r="O546" s="255">
        <f ca="1">IF(ISERROR(OFFSET(Rame!$A$1,MATCH(J546,Rame!$A:$A,0)-1,MATCH(L546,Rame!$A$1:$AA$1,0)-1)=TRUE),0,OFFSET(Rame!$A$1,MATCH(J546,Rame!$A:$A,0)-1,MATCH(L546,Rame!$A$1:$AA$1,0)-1))*IF(G546="Rame",1,0)</f>
        <v>0</v>
      </c>
      <c r="P546" s="255">
        <v>0</v>
      </c>
      <c r="Q546" s="255">
        <v>1.5</v>
      </c>
      <c r="R546" s="255">
        <f ca="1">+IF(ISERROR(OFFSET(Tabella!$G$1,MATCH(J546,Tabella!$G:$G,0)-1,MATCH(K546,Tabella!$G$1:$FG$1,0)-1)=TRUE),0,OFFSET(Tabella!$G$1,MATCH(J546,Tabella!$G:$G,0)-1,MATCH(K546,Tabella!$G$1:$AB$1,0)-1))</f>
        <v>0</v>
      </c>
      <c r="S546" s="255">
        <f ca="1">IF(ISERROR(OFFSET(Ottone!$F$1,MATCH(J546,Ottone!$A:$A,0)-1,MATCH(K546,Ottone!$F$1:$FF$1,0)-1)=TRUE),0,OFFSET(Ottone!$F$1,MATCH(J546,Ottone!$A:$A,0)-1,MATCH(K546,Ottone!$F$1:$FF$1,0)-1))*IF(G546="Ottone",1,0)</f>
        <v>0</v>
      </c>
      <c r="T546" s="255">
        <f ca="1">IF(ISERROR(OFFSET(Rame!$F$1,MATCH(J546,Rame!$F:$F,0)-1,MATCH(K546,Rame!$F$1:$FF$1,0)-1)=TRUE),0,OFFSET(Rame!$F$1,MATCH(J546,Rame!$F:$F,0)-1,MATCH(K546,Rame!$F$1:$FF$1,0)-1))*IF(G546="Rame",1,0)</f>
        <v>0</v>
      </c>
      <c r="U546" s="255">
        <f ca="1">IF(ISERROR(OFFSET(Bronzo!$A$1,MATCH(J546,Bronzo!$A:$A,0)-1,MATCH(K546,Bronzo!$A$1:$AA$1,0)-1)=TRUE),0,OFFSET(Bronzo!$A$1,MATCH(J546,Bronzo!$A:$A,0)-1,MATCH(K546,Bronzo!$A$1:$AA$1,0)-1))</f>
        <v>0</v>
      </c>
      <c r="V546" s="255">
        <f t="shared" ca="1" si="176"/>
        <v>0</v>
      </c>
      <c r="W546" s="254"/>
      <c r="X546" s="255">
        <v>0</v>
      </c>
      <c r="Y546" s="256">
        <f t="shared" ca="1" si="177"/>
        <v>1.5</v>
      </c>
      <c r="Z546" s="257">
        <f t="shared" si="178"/>
        <v>40.6</v>
      </c>
      <c r="AA546" s="253">
        <v>4.1500000000000004</v>
      </c>
      <c r="AB546" s="253">
        <f t="shared" ca="1" si="179"/>
        <v>0</v>
      </c>
      <c r="AC546" s="258">
        <v>46157</v>
      </c>
      <c r="AH546" s="232">
        <f t="shared" ca="1" si="168"/>
        <v>46120</v>
      </c>
      <c r="AI546" s="232" t="b">
        <f t="shared" si="169"/>
        <v>0</v>
      </c>
      <c r="AJ546" s="259">
        <f t="shared" ca="1" si="174"/>
        <v>37</v>
      </c>
      <c r="AM546" s="223">
        <f t="shared" si="170"/>
        <v>20</v>
      </c>
      <c r="AN546" s="223">
        <f t="shared" si="171"/>
        <v>2026</v>
      </c>
      <c r="AU546" s="223">
        <f t="shared" si="172"/>
        <v>5</v>
      </c>
      <c r="AV546" s="223">
        <f t="shared" si="173"/>
        <v>2026</v>
      </c>
    </row>
    <row r="547" spans="4:48" ht="26.25" x14ac:dyDescent="0.4">
      <c r="D547" s="246" t="s">
        <v>778</v>
      </c>
      <c r="E547" s="252" t="s">
        <v>102</v>
      </c>
      <c r="F547" s="276">
        <v>1200</v>
      </c>
      <c r="G547" s="249" t="s">
        <v>4</v>
      </c>
      <c r="H547" s="250">
        <v>2.65</v>
      </c>
      <c r="I547" s="251">
        <v>46050</v>
      </c>
      <c r="J547" s="252" t="s">
        <v>22</v>
      </c>
      <c r="K547" s="252"/>
      <c r="L547" s="253">
        <v>7.0000000000000007E-2</v>
      </c>
      <c r="M547" s="254">
        <f ca="1">IF(ISERROR(OFFSET(Tabella!$A$1,MATCH(J547,Tabella!$A:$A,0)-1,MATCH(L547,Tabella!$A$1:$AC$1,0)-1)=TRUE),0,+OFFSET(Tabella!$A$1,MATCH(J547,Tabella!$A:$A,0)-1,MATCH(L547,Tabella!$A$1:$AC$1,0)-1))</f>
        <v>1.25</v>
      </c>
      <c r="N547" s="255">
        <f ca="1">IF(ISERROR(OFFSET(Ottone!$A$1,MATCH(J547,Ottone!$A:$A,0)-1,MATCH(L547,Ottone!$A$1:$Z$1,0)-1)=TRUE),0,OFFSET(Ottone!$A$1,MATCH(J547,Ottone!$A:$A,0)-1,MATCH(L547,Ottone!$A$1:$Z$1,0)-1))*IF(G547="Ottone",1,0)</f>
        <v>0</v>
      </c>
      <c r="O547" s="255">
        <f ca="1">IF(ISERROR(OFFSET(Rame!$A$1,MATCH(J547,Rame!$A:$A,0)-1,MATCH(L547,Rame!$A$1:$AA$1,0)-1)=TRUE),0,OFFSET(Rame!$A$1,MATCH(J547,Rame!$A:$A,0)-1,MATCH(L547,Rame!$A$1:$AA$1,0)-1))*IF(G547="Rame",1,0)</f>
        <v>0</v>
      </c>
      <c r="P547" s="255">
        <v>0</v>
      </c>
      <c r="Q547" s="255">
        <v>1.5</v>
      </c>
      <c r="R547" s="255">
        <f ca="1">+IF(ISERROR(OFFSET(Tabella!$G$1,MATCH(J547,Tabella!$G:$G,0)-1,MATCH(K547,Tabella!$G$1:$FG$1,0)-1)=TRUE),0,OFFSET(Tabella!$G$1,MATCH(J547,Tabella!$G:$G,0)-1,MATCH(K547,Tabella!$G$1:$AB$1,0)-1))</f>
        <v>0</v>
      </c>
      <c r="S547" s="255">
        <f ca="1">IF(ISERROR(OFFSET(Ottone!$F$1,MATCH(J547,Ottone!$A:$A,0)-1,MATCH(K547,Ottone!$F$1:$FF$1,0)-1)=TRUE),0,OFFSET(Ottone!$F$1,MATCH(J547,Ottone!$A:$A,0)-1,MATCH(K547,Ottone!$F$1:$FF$1,0)-1))*IF(G547="Ottone",1,0)</f>
        <v>0</v>
      </c>
      <c r="T547" s="255">
        <f ca="1">IF(ISERROR(OFFSET(Rame!$F$1,MATCH(J547,Rame!$F:$F,0)-1,MATCH(K547,Rame!$F$1:$FF$1,0)-1)=TRUE),0,OFFSET(Rame!$F$1,MATCH(J547,Rame!$F:$F,0)-1,MATCH(K547,Rame!$F$1:$FF$1,0)-1))*IF(G547="Rame",1,0)</f>
        <v>0</v>
      </c>
      <c r="U547" s="255">
        <f ca="1">IF(ISERROR(OFFSET(Bronzo!$A$1,MATCH(J547,Bronzo!$A:$A,0)-1,MATCH(K547,Bronzo!$A$1:$AA$1,0)-1)=TRUE),0,OFFSET(Bronzo!$A$1,MATCH(J547,Bronzo!$A:$A,0)-1,MATCH(K547,Bronzo!$A$1:$AA$1,0)-1))</f>
        <v>0</v>
      </c>
      <c r="V547" s="255">
        <f t="shared" ca="1" si="176"/>
        <v>0</v>
      </c>
      <c r="W547" s="254"/>
      <c r="X547" s="255">
        <v>0</v>
      </c>
      <c r="Y547" s="256">
        <f t="shared" ca="1" si="177"/>
        <v>1.5</v>
      </c>
      <c r="Z547" s="257">
        <f t="shared" si="178"/>
        <v>84.000000000000014</v>
      </c>
      <c r="AA547" s="253">
        <v>4.1500000000000004</v>
      </c>
      <c r="AB547" s="253">
        <f t="shared" ca="1" si="179"/>
        <v>0</v>
      </c>
      <c r="AC547" s="258">
        <v>46176</v>
      </c>
      <c r="AH547" s="232">
        <f t="shared" ca="1" si="168"/>
        <v>46120</v>
      </c>
      <c r="AI547" s="232" t="b">
        <f t="shared" si="169"/>
        <v>0</v>
      </c>
      <c r="AJ547" s="259">
        <f t="shared" ca="1" si="174"/>
        <v>56</v>
      </c>
      <c r="AM547" s="223">
        <f t="shared" si="170"/>
        <v>23</v>
      </c>
      <c r="AN547" s="223">
        <f t="shared" si="171"/>
        <v>2026</v>
      </c>
      <c r="AU547" s="223">
        <f t="shared" si="172"/>
        <v>6</v>
      </c>
      <c r="AV547" s="223">
        <f t="shared" si="173"/>
        <v>2026</v>
      </c>
    </row>
    <row r="548" spans="4:48" ht="26.25" x14ac:dyDescent="0.4">
      <c r="D548" s="246" t="s">
        <v>778</v>
      </c>
      <c r="E548" s="252" t="s">
        <v>102</v>
      </c>
      <c r="F548" s="276">
        <v>850</v>
      </c>
      <c r="G548" s="249" t="s">
        <v>4</v>
      </c>
      <c r="H548" s="250">
        <v>2.65</v>
      </c>
      <c r="I548" s="251">
        <v>46050</v>
      </c>
      <c r="J548" s="252" t="s">
        <v>22</v>
      </c>
      <c r="K548" s="252"/>
      <c r="L548" s="253">
        <v>7.0000000000000007E-2</v>
      </c>
      <c r="M548" s="254">
        <f ca="1">IF(ISERROR(OFFSET(Tabella!$A$1,MATCH(J548,Tabella!$A:$A,0)-1,MATCH(L548,Tabella!$A$1:$AC$1,0)-1)=TRUE),0,+OFFSET(Tabella!$A$1,MATCH(J548,Tabella!$A:$A,0)-1,MATCH(L548,Tabella!$A$1:$AC$1,0)-1))</f>
        <v>1.25</v>
      </c>
      <c r="N548" s="255">
        <f ca="1">IF(ISERROR(OFFSET(Ottone!$A$1,MATCH(J548,Ottone!$A:$A,0)-1,MATCH(L548,Ottone!$A$1:$Z$1,0)-1)=TRUE),0,OFFSET(Ottone!$A$1,MATCH(J548,Ottone!$A:$A,0)-1,MATCH(L548,Ottone!$A$1:$Z$1,0)-1))*IF(G548="Ottone",1,0)</f>
        <v>0</v>
      </c>
      <c r="O548" s="255">
        <f ca="1">IF(ISERROR(OFFSET(Rame!$A$1,MATCH(J548,Rame!$A:$A,0)-1,MATCH(L548,Rame!$A$1:$AA$1,0)-1)=TRUE),0,OFFSET(Rame!$A$1,MATCH(J548,Rame!$A:$A,0)-1,MATCH(L548,Rame!$A$1:$AA$1,0)-1))*IF(G548="Rame",1,0)</f>
        <v>0</v>
      </c>
      <c r="P548" s="255">
        <v>0</v>
      </c>
      <c r="Q548" s="255">
        <v>1.5</v>
      </c>
      <c r="R548" s="255">
        <f ca="1">+IF(ISERROR(OFFSET(Tabella!$G$1,MATCH(J548,Tabella!$G:$G,0)-1,MATCH(K548,Tabella!$G$1:$FG$1,0)-1)=TRUE),0,OFFSET(Tabella!$G$1,MATCH(J548,Tabella!$G:$G,0)-1,MATCH(K548,Tabella!$G$1:$AB$1,0)-1))</f>
        <v>0</v>
      </c>
      <c r="S548" s="255">
        <f ca="1">IF(ISERROR(OFFSET(Ottone!$F$1,MATCH(J548,Ottone!$A:$A,0)-1,MATCH(K548,Ottone!$F$1:$FF$1,0)-1)=TRUE),0,OFFSET(Ottone!$F$1,MATCH(J548,Ottone!$A:$A,0)-1,MATCH(K548,Ottone!$F$1:$FF$1,0)-1))*IF(G548="Ottone",1,0)</f>
        <v>0</v>
      </c>
      <c r="T548" s="255">
        <f ca="1">IF(ISERROR(OFFSET(Rame!$F$1,MATCH(J548,Rame!$F:$F,0)-1,MATCH(K548,Rame!$F$1:$FF$1,0)-1)=TRUE),0,OFFSET(Rame!$F$1,MATCH(J548,Rame!$F:$F,0)-1,MATCH(K548,Rame!$F$1:$FF$1,0)-1))*IF(G548="Rame",1,0)</f>
        <v>0</v>
      </c>
      <c r="U548" s="255">
        <f ca="1">IF(ISERROR(OFFSET(Bronzo!$A$1,MATCH(J548,Bronzo!$A:$A,0)-1,MATCH(K548,Bronzo!$A$1:$AA$1,0)-1)=TRUE),0,OFFSET(Bronzo!$A$1,MATCH(J548,Bronzo!$A:$A,0)-1,MATCH(K548,Bronzo!$A$1:$AA$1,0)-1))</f>
        <v>0</v>
      </c>
      <c r="V548" s="255">
        <f t="shared" ca="1" si="176"/>
        <v>0</v>
      </c>
      <c r="W548" s="254"/>
      <c r="X548" s="255">
        <v>0</v>
      </c>
      <c r="Y548" s="256">
        <f t="shared" ca="1" si="177"/>
        <v>1.5</v>
      </c>
      <c r="Z548" s="257">
        <f t="shared" si="178"/>
        <v>59.500000000000007</v>
      </c>
      <c r="AA548" s="253">
        <v>4.1500000000000004</v>
      </c>
      <c r="AB548" s="253">
        <f t="shared" ca="1" si="179"/>
        <v>0</v>
      </c>
      <c r="AC548" s="258">
        <v>46176</v>
      </c>
      <c r="AH548" s="232">
        <f t="shared" ca="1" si="168"/>
        <v>46120</v>
      </c>
      <c r="AI548" s="232" t="b">
        <f t="shared" si="169"/>
        <v>0</v>
      </c>
      <c r="AJ548" s="259">
        <f t="shared" ca="1" si="174"/>
        <v>56</v>
      </c>
      <c r="AM548" s="223">
        <f t="shared" si="170"/>
        <v>23</v>
      </c>
      <c r="AN548" s="223">
        <f t="shared" si="171"/>
        <v>2026</v>
      </c>
      <c r="AU548" s="223">
        <f t="shared" si="172"/>
        <v>6</v>
      </c>
      <c r="AV548" s="223">
        <f t="shared" si="173"/>
        <v>2026</v>
      </c>
    </row>
    <row r="549" spans="4:48" ht="26.25" x14ac:dyDescent="0.4">
      <c r="D549" s="246" t="s">
        <v>778</v>
      </c>
      <c r="E549" s="252" t="s">
        <v>102</v>
      </c>
      <c r="F549" s="276">
        <v>3000</v>
      </c>
      <c r="G549" s="249" t="s">
        <v>4</v>
      </c>
      <c r="H549" s="250">
        <v>2.65</v>
      </c>
      <c r="I549" s="251">
        <v>46050</v>
      </c>
      <c r="J549" s="252" t="s">
        <v>23</v>
      </c>
      <c r="K549" s="252"/>
      <c r="L549" s="253">
        <v>7.0000000000000007E-2</v>
      </c>
      <c r="M549" s="254">
        <f ca="1">IF(ISERROR(OFFSET(Tabella!$A$1,MATCH(J549,Tabella!$A:$A,0)-1,MATCH(L549,Tabella!$A$1:$AC$1,0)-1)=TRUE),0,+OFFSET(Tabella!$A$1,MATCH(J549,Tabella!$A:$A,0)-1,MATCH(L549,Tabella!$A$1:$AC$1,0)-1))</f>
        <v>1.25</v>
      </c>
      <c r="N549" s="255">
        <f ca="1">IF(ISERROR(OFFSET(Ottone!$A$1,MATCH(J549,Ottone!$A:$A,0)-1,MATCH(L549,Ottone!$A$1:$Z$1,0)-1)=TRUE),0,OFFSET(Ottone!$A$1,MATCH(J549,Ottone!$A:$A,0)-1,MATCH(L549,Ottone!$A$1:$Z$1,0)-1))*IF(G549="Ottone",1,0)</f>
        <v>0</v>
      </c>
      <c r="O549" s="255">
        <f ca="1">IF(ISERROR(OFFSET(Rame!$A$1,MATCH(J549,Rame!$A:$A,0)-1,MATCH(L549,Rame!$A$1:$AA$1,0)-1)=TRUE),0,OFFSET(Rame!$A$1,MATCH(J549,Rame!$A:$A,0)-1,MATCH(L549,Rame!$A$1:$AA$1,0)-1))*IF(G549="Rame",1,0)</f>
        <v>0</v>
      </c>
      <c r="P549" s="255">
        <v>0</v>
      </c>
      <c r="Q549" s="255">
        <v>1.5</v>
      </c>
      <c r="R549" s="255">
        <f ca="1">+IF(ISERROR(OFFSET(Tabella!$G$1,MATCH(J549,Tabella!$G:$G,0)-1,MATCH(K549,Tabella!$G$1:$FG$1,0)-1)=TRUE),0,OFFSET(Tabella!$G$1,MATCH(J549,Tabella!$G:$G,0)-1,MATCH(K549,Tabella!$G$1:$AB$1,0)-1))</f>
        <v>0</v>
      </c>
      <c r="S549" s="255">
        <f ca="1">IF(ISERROR(OFFSET(Ottone!$F$1,MATCH(J549,Ottone!$A:$A,0)-1,MATCH(K549,Ottone!$F$1:$FF$1,0)-1)=TRUE),0,OFFSET(Ottone!$F$1,MATCH(J549,Ottone!$A:$A,0)-1,MATCH(K549,Ottone!$F$1:$FF$1,0)-1))*IF(G549="Ottone",1,0)</f>
        <v>0</v>
      </c>
      <c r="T549" s="255">
        <f ca="1">IF(ISERROR(OFFSET(Rame!$F$1,MATCH(J549,Rame!$F:$F,0)-1,MATCH(K549,Rame!$F$1:$FF$1,0)-1)=TRUE),0,OFFSET(Rame!$F$1,MATCH(J549,Rame!$F:$F,0)-1,MATCH(K549,Rame!$F$1:$FF$1,0)-1))*IF(G549="Rame",1,0)</f>
        <v>0</v>
      </c>
      <c r="U549" s="255">
        <f ca="1">IF(ISERROR(OFFSET(Bronzo!$A$1,MATCH(J549,Bronzo!$A:$A,0)-1,MATCH(K549,Bronzo!$A$1:$AA$1,0)-1)=TRUE),0,OFFSET(Bronzo!$A$1,MATCH(J549,Bronzo!$A:$A,0)-1,MATCH(K549,Bronzo!$A$1:$AA$1,0)-1))</f>
        <v>0</v>
      </c>
      <c r="V549" s="255">
        <f t="shared" ca="1" si="176"/>
        <v>0</v>
      </c>
      <c r="W549" s="254"/>
      <c r="X549" s="255">
        <v>0</v>
      </c>
      <c r="Y549" s="256">
        <f t="shared" ca="1" si="177"/>
        <v>1.5</v>
      </c>
      <c r="Z549" s="257">
        <f t="shared" si="178"/>
        <v>210.00000000000003</v>
      </c>
      <c r="AA549" s="253">
        <v>4.1500000000000004</v>
      </c>
      <c r="AB549" s="253">
        <f t="shared" ca="1" si="179"/>
        <v>0</v>
      </c>
      <c r="AC549" s="258">
        <v>46176</v>
      </c>
      <c r="AH549" s="232">
        <f t="shared" ca="1" si="168"/>
        <v>46120</v>
      </c>
      <c r="AI549" s="232" t="b">
        <f t="shared" si="169"/>
        <v>0</v>
      </c>
      <c r="AJ549" s="259">
        <f t="shared" ca="1" si="174"/>
        <v>56</v>
      </c>
      <c r="AM549" s="223">
        <f t="shared" si="170"/>
        <v>23</v>
      </c>
      <c r="AN549" s="223">
        <f t="shared" si="171"/>
        <v>2026</v>
      </c>
      <c r="AU549" s="223">
        <f t="shared" si="172"/>
        <v>6</v>
      </c>
      <c r="AV549" s="223">
        <f t="shared" si="173"/>
        <v>2026</v>
      </c>
    </row>
    <row r="550" spans="4:48" ht="26.25" x14ac:dyDescent="0.4">
      <c r="D550" s="246" t="s">
        <v>778</v>
      </c>
      <c r="E550" s="252" t="s">
        <v>102</v>
      </c>
      <c r="F550" s="276">
        <v>2000</v>
      </c>
      <c r="G550" s="249" t="s">
        <v>4</v>
      </c>
      <c r="H550" s="250">
        <v>2.65</v>
      </c>
      <c r="I550" s="251">
        <v>46050</v>
      </c>
      <c r="J550" s="252" t="s">
        <v>27</v>
      </c>
      <c r="K550" s="252"/>
      <c r="L550" s="253">
        <v>7.0000000000000007E-2</v>
      </c>
      <c r="M550" s="254">
        <f ca="1">IF(ISERROR(OFFSET(Tabella!$A$1,MATCH(J550,Tabella!$A:$A,0)-1,MATCH(L550,Tabella!$A$1:$AC$1,0)-1)=TRUE),0,+OFFSET(Tabella!$A$1,MATCH(J550,Tabella!$A:$A,0)-1,MATCH(L550,Tabella!$A$1:$AC$1,0)-1))</f>
        <v>1.25</v>
      </c>
      <c r="N550" s="255">
        <f ca="1">IF(ISERROR(OFFSET(Ottone!$A$1,MATCH(J550,Ottone!$A:$A,0)-1,MATCH(L550,Ottone!$A$1:$Z$1,0)-1)=TRUE),0,OFFSET(Ottone!$A$1,MATCH(J550,Ottone!$A:$A,0)-1,MATCH(L550,Ottone!$A$1:$Z$1,0)-1))*IF(G550="Ottone",1,0)</f>
        <v>0</v>
      </c>
      <c r="O550" s="255">
        <f ca="1">IF(ISERROR(OFFSET(Rame!$A$1,MATCH(J550,Rame!$A:$A,0)-1,MATCH(L550,Rame!$A$1:$AA$1,0)-1)=TRUE),0,OFFSET(Rame!$A$1,MATCH(J550,Rame!$A:$A,0)-1,MATCH(L550,Rame!$A$1:$AA$1,0)-1))*IF(G550="Rame",1,0)</f>
        <v>0</v>
      </c>
      <c r="P550" s="255">
        <v>0</v>
      </c>
      <c r="Q550" s="255">
        <v>1.5</v>
      </c>
      <c r="R550" s="255">
        <f ca="1">+IF(ISERROR(OFFSET(Tabella!$G$1,MATCH(J550,Tabella!$G:$G,0)-1,MATCH(K550,Tabella!$G$1:$FG$1,0)-1)=TRUE),0,OFFSET(Tabella!$G$1,MATCH(J550,Tabella!$G:$G,0)-1,MATCH(K550,Tabella!$G$1:$AB$1,0)-1))</f>
        <v>0</v>
      </c>
      <c r="S550" s="255">
        <f ca="1">IF(ISERROR(OFFSET(Ottone!$F$1,MATCH(J550,Ottone!$A:$A,0)-1,MATCH(K550,Ottone!$F$1:$FF$1,0)-1)=TRUE),0,OFFSET(Ottone!$F$1,MATCH(J550,Ottone!$A:$A,0)-1,MATCH(K550,Ottone!$F$1:$FF$1,0)-1))*IF(G550="Ottone",1,0)</f>
        <v>0</v>
      </c>
      <c r="T550" s="255">
        <f ca="1">IF(ISERROR(OFFSET(Rame!$F$1,MATCH(J550,Rame!$F:$F,0)-1,MATCH(K550,Rame!$F$1:$FF$1,0)-1)=TRUE),0,OFFSET(Rame!$F$1,MATCH(J550,Rame!$F:$F,0)-1,MATCH(K550,Rame!$F$1:$FF$1,0)-1))*IF(G550="Rame",1,0)</f>
        <v>0</v>
      </c>
      <c r="U550" s="255">
        <f ca="1">IF(ISERROR(OFFSET(Bronzo!$A$1,MATCH(J550,Bronzo!$A:$A,0)-1,MATCH(K550,Bronzo!$A$1:$AA$1,0)-1)=TRUE),0,OFFSET(Bronzo!$A$1,MATCH(J550,Bronzo!$A:$A,0)-1,MATCH(K550,Bronzo!$A$1:$AA$1,0)-1))</f>
        <v>0</v>
      </c>
      <c r="V550" s="255">
        <f t="shared" ca="1" si="176"/>
        <v>0</v>
      </c>
      <c r="W550" s="254"/>
      <c r="X550" s="255">
        <v>0</v>
      </c>
      <c r="Y550" s="256">
        <f t="shared" ca="1" si="177"/>
        <v>1.5</v>
      </c>
      <c r="Z550" s="257">
        <f t="shared" si="178"/>
        <v>140</v>
      </c>
      <c r="AA550" s="253">
        <v>4.1500000000000004</v>
      </c>
      <c r="AB550" s="253">
        <f t="shared" ca="1" si="179"/>
        <v>0</v>
      </c>
      <c r="AC550" s="258">
        <v>46176</v>
      </c>
      <c r="AH550" s="232">
        <f t="shared" ca="1" si="168"/>
        <v>46120</v>
      </c>
      <c r="AI550" s="232" t="b">
        <f t="shared" si="169"/>
        <v>0</v>
      </c>
      <c r="AJ550" s="259">
        <f t="shared" ca="1" si="174"/>
        <v>56</v>
      </c>
      <c r="AM550" s="223">
        <f t="shared" si="170"/>
        <v>23</v>
      </c>
      <c r="AN550" s="223">
        <f t="shared" si="171"/>
        <v>2026</v>
      </c>
      <c r="AU550" s="223">
        <f t="shared" si="172"/>
        <v>6</v>
      </c>
      <c r="AV550" s="223">
        <f t="shared" si="173"/>
        <v>2026</v>
      </c>
    </row>
    <row r="551" spans="4:48" ht="26.25" x14ac:dyDescent="0.4">
      <c r="D551" s="246" t="s">
        <v>778</v>
      </c>
      <c r="E551" s="252" t="s">
        <v>102</v>
      </c>
      <c r="F551" s="276">
        <v>1200</v>
      </c>
      <c r="G551" s="249" t="s">
        <v>4</v>
      </c>
      <c r="H551" s="250">
        <v>2.65</v>
      </c>
      <c r="I551" s="251">
        <v>46050</v>
      </c>
      <c r="J551" s="252" t="s">
        <v>27</v>
      </c>
      <c r="K551" s="252"/>
      <c r="L551" s="253">
        <v>7.0000000000000007E-2</v>
      </c>
      <c r="M551" s="254">
        <f ca="1">IF(ISERROR(OFFSET(Tabella!$A$1,MATCH(J551,Tabella!$A:$A,0)-1,MATCH(L551,Tabella!$A$1:$AC$1,0)-1)=TRUE),0,+OFFSET(Tabella!$A$1,MATCH(J551,Tabella!$A:$A,0)-1,MATCH(L551,Tabella!$A$1:$AC$1,0)-1))</f>
        <v>1.25</v>
      </c>
      <c r="N551" s="255">
        <f ca="1">IF(ISERROR(OFFSET(Ottone!$A$1,MATCH(J551,Ottone!$A:$A,0)-1,MATCH(L551,Ottone!$A$1:$Z$1,0)-1)=TRUE),0,OFFSET(Ottone!$A$1,MATCH(J551,Ottone!$A:$A,0)-1,MATCH(L551,Ottone!$A$1:$Z$1,0)-1))*IF(G551="Ottone",1,0)</f>
        <v>0</v>
      </c>
      <c r="O551" s="255">
        <f ca="1">IF(ISERROR(OFFSET(Rame!$A$1,MATCH(J551,Rame!$A:$A,0)-1,MATCH(L551,Rame!$A$1:$AA$1,0)-1)=TRUE),0,OFFSET(Rame!$A$1,MATCH(J551,Rame!$A:$A,0)-1,MATCH(L551,Rame!$A$1:$AA$1,0)-1))*IF(G551="Rame",1,0)</f>
        <v>0</v>
      </c>
      <c r="P551" s="255">
        <v>0</v>
      </c>
      <c r="Q551" s="255">
        <v>1.5</v>
      </c>
      <c r="R551" s="255">
        <f ca="1">+IF(ISERROR(OFFSET(Tabella!$G$1,MATCH(J551,Tabella!$G:$G,0)-1,MATCH(K551,Tabella!$G$1:$FG$1,0)-1)=TRUE),0,OFFSET(Tabella!$G$1,MATCH(J551,Tabella!$G:$G,0)-1,MATCH(K551,Tabella!$G$1:$AB$1,0)-1))</f>
        <v>0</v>
      </c>
      <c r="S551" s="255">
        <f ca="1">IF(ISERROR(OFFSET(Ottone!$F$1,MATCH(J551,Ottone!$A:$A,0)-1,MATCH(K551,Ottone!$F$1:$FF$1,0)-1)=TRUE),0,OFFSET(Ottone!$F$1,MATCH(J551,Ottone!$A:$A,0)-1,MATCH(K551,Ottone!$F$1:$FF$1,0)-1))*IF(G551="Ottone",1,0)</f>
        <v>0</v>
      </c>
      <c r="T551" s="255">
        <f ca="1">IF(ISERROR(OFFSET(Rame!$F$1,MATCH(J551,Rame!$F:$F,0)-1,MATCH(K551,Rame!$F$1:$FF$1,0)-1)=TRUE),0,OFFSET(Rame!$F$1,MATCH(J551,Rame!$F:$F,0)-1,MATCH(K551,Rame!$F$1:$FF$1,0)-1))*IF(G551="Rame",1,0)</f>
        <v>0</v>
      </c>
      <c r="U551" s="255">
        <f ca="1">IF(ISERROR(OFFSET(Bronzo!$A$1,MATCH(J551,Bronzo!$A:$A,0)-1,MATCH(K551,Bronzo!$A$1:$AA$1,0)-1)=TRUE),0,OFFSET(Bronzo!$A$1,MATCH(J551,Bronzo!$A:$A,0)-1,MATCH(K551,Bronzo!$A$1:$AA$1,0)-1))</f>
        <v>0</v>
      </c>
      <c r="V551" s="255">
        <f t="shared" ca="1" si="176"/>
        <v>0</v>
      </c>
      <c r="W551" s="254"/>
      <c r="X551" s="255">
        <v>0</v>
      </c>
      <c r="Y551" s="256">
        <f t="shared" ca="1" si="177"/>
        <v>1.5</v>
      </c>
      <c r="Z551" s="257">
        <f t="shared" si="178"/>
        <v>84.000000000000014</v>
      </c>
      <c r="AA551" s="253">
        <v>4.1500000000000004</v>
      </c>
      <c r="AB551" s="253">
        <f t="shared" ca="1" si="179"/>
        <v>0</v>
      </c>
      <c r="AC551" s="258">
        <v>46176</v>
      </c>
      <c r="AH551" s="232">
        <f t="shared" ca="1" si="168"/>
        <v>46120</v>
      </c>
      <c r="AI551" s="232" t="b">
        <f t="shared" si="169"/>
        <v>0</v>
      </c>
      <c r="AJ551" s="259">
        <f t="shared" ca="1" si="174"/>
        <v>56</v>
      </c>
      <c r="AM551" s="223">
        <f t="shared" si="170"/>
        <v>23</v>
      </c>
      <c r="AN551" s="223">
        <f t="shared" si="171"/>
        <v>2026</v>
      </c>
      <c r="AU551" s="223">
        <f t="shared" si="172"/>
        <v>6</v>
      </c>
      <c r="AV551" s="223">
        <f t="shared" si="173"/>
        <v>2026</v>
      </c>
    </row>
    <row r="552" spans="4:48" ht="26.25" x14ac:dyDescent="0.4">
      <c r="D552" s="246" t="s">
        <v>790</v>
      </c>
      <c r="E552" s="299" t="s">
        <v>208</v>
      </c>
      <c r="F552" s="300">
        <v>753</v>
      </c>
      <c r="G552" s="249" t="s">
        <v>4</v>
      </c>
      <c r="H552" s="250">
        <v>2.91</v>
      </c>
      <c r="I552" s="251">
        <v>46091</v>
      </c>
      <c r="J552" s="252" t="s">
        <v>17</v>
      </c>
      <c r="K552" s="252"/>
      <c r="L552" s="253">
        <v>0.05</v>
      </c>
      <c r="M552" s="254">
        <f ca="1">IF(ISERROR(OFFSET(Tabella!$A$1,MATCH(J552,Tabella!$A:$A,0)-1,MATCH(L552,Tabella!$A$1:$AC$1,0)-1)=TRUE),0,+OFFSET(Tabella!$A$1,MATCH(J552,Tabella!$A:$A,0)-1,MATCH(L552,Tabella!$A$1:$AC$1,0)-1))</f>
        <v>0</v>
      </c>
      <c r="N552" s="255">
        <f ca="1">IF(ISERROR(OFFSET(Ottone!$A$1,MATCH(J552,Ottone!$A:$A,0)-1,MATCH(L552,Ottone!$A$1:$Z$1,0)-1)=TRUE),0,OFFSET(Ottone!$A$1,MATCH(J552,Ottone!$A:$A,0)-1,MATCH(L552,Ottone!$A$1:$Z$1,0)-1))*IF(G552="Ottone",1,0)</f>
        <v>0</v>
      </c>
      <c r="O552" s="255">
        <f ca="1">IF(ISERROR(OFFSET(Rame!$A$1,MATCH(J552,Rame!$A:$A,0)-1,MATCH(L552,Rame!$A$1:$AA$1,0)-1)=TRUE),0,OFFSET(Rame!$A$1,MATCH(J552,Rame!$A:$A,0)-1,MATCH(L552,Rame!$A$1:$AA$1,0)-1))*IF(G552="Rame",1,0)</f>
        <v>0</v>
      </c>
      <c r="P552" s="255">
        <v>0</v>
      </c>
      <c r="Q552" s="255">
        <v>1.7</v>
      </c>
      <c r="R552" s="255">
        <f ca="1">+IF(ISERROR(OFFSET(Tabella!$G$1,MATCH(J552,Tabella!$G:$G,0)-1,MATCH(K552,Tabella!$G$1:$FG$1,0)-1)=TRUE),0,OFFSET(Tabella!$G$1,MATCH(J552,Tabella!$G:$G,0)-1,MATCH(K552,Tabella!$G$1:$AB$1,0)-1))</f>
        <v>0</v>
      </c>
      <c r="S552" s="255">
        <f ca="1">IF(ISERROR(OFFSET(Ottone!$F$1,MATCH(J552,Ottone!$A:$A,0)-1,MATCH(K552,Ottone!$F$1:$FF$1,0)-1)=TRUE),0,OFFSET(Ottone!$F$1,MATCH(J552,Ottone!$A:$A,0)-1,MATCH(K552,Ottone!$F$1:$FF$1,0)-1))*IF(G552="Ottone",1,0)</f>
        <v>0</v>
      </c>
      <c r="T552" s="255">
        <f ca="1">IF(ISERROR(OFFSET(Rame!$F$1,MATCH(J552,Rame!$F:$F,0)-1,MATCH(K552,Rame!$F$1:$FF$1,0)-1)=TRUE),0,OFFSET(Rame!$F$1,MATCH(J552,Rame!$F:$F,0)-1,MATCH(K552,Rame!$F$1:$FF$1,0)-1))*IF(G552="Rame",1,0)</f>
        <v>0</v>
      </c>
      <c r="U552" s="255">
        <f ca="1">IF(ISERROR(OFFSET(Bronzo!$A$1,MATCH(J552,Bronzo!$A:$A,0)-1,MATCH(K552,Bronzo!$A$1:$AA$1,0)-1)=TRUE),0,OFFSET(Bronzo!$A$1,MATCH(J552,Bronzo!$A:$A,0)-1,MATCH(K552,Bronzo!$A$1:$AA$1,0)-1))</f>
        <v>0</v>
      </c>
      <c r="V552" s="255">
        <f t="shared" ca="1" si="176"/>
        <v>0</v>
      </c>
      <c r="W552" s="254"/>
      <c r="X552" s="255">
        <v>0</v>
      </c>
      <c r="Y552" s="256">
        <f t="shared" ca="1" si="177"/>
        <v>1.7</v>
      </c>
      <c r="Z552" s="301">
        <f t="shared" si="178"/>
        <v>37.65</v>
      </c>
      <c r="AA552" s="253">
        <v>4.4000000000000004</v>
      </c>
      <c r="AB552" s="253">
        <f t="shared" ca="1" si="179"/>
        <v>-0.20999999999999996</v>
      </c>
      <c r="AC552" s="258"/>
      <c r="AF552" s="223" t="s">
        <v>405</v>
      </c>
      <c r="AH552" s="232">
        <f t="shared" ca="1" si="168"/>
        <v>46120</v>
      </c>
      <c r="AI552" s="232" t="b">
        <f t="shared" si="169"/>
        <v>1</v>
      </c>
      <c r="AJ552" s="259" t="str">
        <f t="shared" si="174"/>
        <v/>
      </c>
      <c r="AM552" s="223">
        <f t="shared" si="170"/>
        <v>0</v>
      </c>
      <c r="AN552" s="223">
        <f t="shared" si="171"/>
        <v>1900</v>
      </c>
      <c r="AU552" s="223">
        <f t="shared" si="172"/>
        <v>0</v>
      </c>
      <c r="AV552" s="223">
        <f t="shared" si="173"/>
        <v>0</v>
      </c>
    </row>
    <row r="553" spans="4:48" ht="26.25" x14ac:dyDescent="0.4">
      <c r="D553" s="246" t="s">
        <v>751</v>
      </c>
      <c r="E553" s="252" t="s">
        <v>208</v>
      </c>
      <c r="F553" s="276">
        <v>500</v>
      </c>
      <c r="G553" s="249" t="s">
        <v>4</v>
      </c>
      <c r="H553" s="250">
        <v>2.91</v>
      </c>
      <c r="I553" s="251">
        <v>46091</v>
      </c>
      <c r="J553" s="252" t="s">
        <v>15</v>
      </c>
      <c r="K553" s="252"/>
      <c r="L553" s="253">
        <v>0.05</v>
      </c>
      <c r="M553" s="254">
        <f ca="1">IF(ISERROR(OFFSET(Tabella!$A$1,MATCH(J553,Tabella!$A:$A,0)-1,MATCH(L553,Tabella!$A$1:$AC$1,0)-1)=TRUE),0,+OFFSET(Tabella!$A$1,MATCH(J553,Tabella!$A:$A,0)-1,MATCH(L553,Tabella!$A$1:$AC$1,0)-1))</f>
        <v>0</v>
      </c>
      <c r="N553" s="255">
        <f ca="1">IF(ISERROR(OFFSET(Ottone!$A$1,MATCH(J553,Ottone!$A:$A,0)-1,MATCH(L553,Ottone!$A$1:$Z$1,0)-1)=TRUE),0,OFFSET(Ottone!$A$1,MATCH(J553,Ottone!$A:$A,0)-1,MATCH(L553,Ottone!$A$1:$Z$1,0)-1))*IF(G553="Ottone",1,0)</f>
        <v>0</v>
      </c>
      <c r="O553" s="255">
        <f ca="1">IF(ISERROR(OFFSET(Rame!$A$1,MATCH(J553,Rame!$A:$A,0)-1,MATCH(L553,Rame!$A$1:$AA$1,0)-1)=TRUE),0,OFFSET(Rame!$A$1,MATCH(J553,Rame!$A:$A,0)-1,MATCH(L553,Rame!$A$1:$AA$1,0)-1))*IF(G553="Rame",1,0)</f>
        <v>0</v>
      </c>
      <c r="P553" s="255">
        <v>0</v>
      </c>
      <c r="Q553" s="255">
        <v>1.75</v>
      </c>
      <c r="R553" s="255">
        <f ca="1">+IF(ISERROR(OFFSET(Tabella!$G$1,MATCH(J553,Tabella!$G:$G,0)-1,MATCH(K553,Tabella!$G$1:$FG$1,0)-1)=TRUE),0,OFFSET(Tabella!$G$1,MATCH(J553,Tabella!$G:$G,0)-1,MATCH(K553,Tabella!$G$1:$AB$1,0)-1))</f>
        <v>0</v>
      </c>
      <c r="S553" s="255">
        <f ca="1">IF(ISERROR(OFFSET(Ottone!$F$1,MATCH(J553,Ottone!$A:$A,0)-1,MATCH(K553,Ottone!$F$1:$FF$1,0)-1)=TRUE),0,OFFSET(Ottone!$F$1,MATCH(J553,Ottone!$A:$A,0)-1,MATCH(K553,Ottone!$F$1:$FF$1,0)-1))*IF(G553="Ottone",1,0)</f>
        <v>0</v>
      </c>
      <c r="T553" s="255">
        <f ca="1">IF(ISERROR(OFFSET(Rame!$F$1,MATCH(J553,Rame!$F:$F,0)-1,MATCH(K553,Rame!$F$1:$FF$1,0)-1)=TRUE),0,OFFSET(Rame!$F$1,MATCH(J553,Rame!$F:$F,0)-1,MATCH(K553,Rame!$F$1:$FF$1,0)-1))*IF(G553="Rame",1,0)</f>
        <v>0</v>
      </c>
      <c r="U553" s="255">
        <f ca="1">IF(ISERROR(OFFSET(Bronzo!$A$1,MATCH(J553,Bronzo!$A:$A,0)-1,MATCH(K553,Bronzo!$A$1:$AA$1,0)-1)=TRUE),0,OFFSET(Bronzo!$A$1,MATCH(J553,Bronzo!$A:$A,0)-1,MATCH(K553,Bronzo!$A$1:$AA$1,0)-1))</f>
        <v>0</v>
      </c>
      <c r="V553" s="255">
        <f t="shared" ca="1" si="176"/>
        <v>0</v>
      </c>
      <c r="W553" s="254"/>
      <c r="X553" s="255">
        <v>0</v>
      </c>
      <c r="Y553" s="256">
        <f t="shared" ca="1" si="177"/>
        <v>1.75</v>
      </c>
      <c r="Z553" s="257">
        <f t="shared" si="178"/>
        <v>25</v>
      </c>
      <c r="AA553" s="253">
        <v>4.45</v>
      </c>
      <c r="AB553" s="253">
        <f t="shared" ca="1" si="179"/>
        <v>-0.20999999999999996</v>
      </c>
      <c r="AC553" s="258"/>
      <c r="AH553" s="232">
        <f t="shared" ca="1" si="168"/>
        <v>46120</v>
      </c>
      <c r="AI553" s="232" t="b">
        <f t="shared" si="169"/>
        <v>1</v>
      </c>
      <c r="AJ553" s="259" t="str">
        <f t="shared" si="174"/>
        <v/>
      </c>
      <c r="AM553" s="223">
        <f t="shared" si="170"/>
        <v>0</v>
      </c>
      <c r="AN553" s="223">
        <f t="shared" si="171"/>
        <v>1900</v>
      </c>
      <c r="AU553" s="223">
        <f t="shared" si="172"/>
        <v>0</v>
      </c>
      <c r="AV553" s="223">
        <f t="shared" si="173"/>
        <v>0</v>
      </c>
    </row>
    <row r="554" spans="4:48" ht="26.25" x14ac:dyDescent="0.4">
      <c r="D554" s="246" t="s">
        <v>780</v>
      </c>
      <c r="E554" s="252" t="s">
        <v>402</v>
      </c>
      <c r="F554" s="276">
        <v>850</v>
      </c>
      <c r="G554" s="249" t="s">
        <v>6</v>
      </c>
      <c r="H554" s="250">
        <v>10.199999999999999</v>
      </c>
      <c r="I554" s="251">
        <v>46105</v>
      </c>
      <c r="J554" s="252" t="s">
        <v>18</v>
      </c>
      <c r="K554" s="252"/>
      <c r="L554" s="253">
        <v>0.15</v>
      </c>
      <c r="M554" s="254">
        <f ca="1">IF(ISERROR(OFFSET(Tabella!$A$1,MATCH(J554,Tabella!$A:$A,0)-1,MATCH(L554,Tabella!$A$1:$AC$1,0)-1)=TRUE),0,+OFFSET(Tabella!$A$1,MATCH(J554,Tabella!$A:$A,0)-1,MATCH(L554,Tabella!$A$1:$AC$1,0)-1))</f>
        <v>0</v>
      </c>
      <c r="N554" s="255">
        <f ca="1">IF(ISERROR(OFFSET(Ottone!$A$1,MATCH(J554,Ottone!$A:$A,0)-1,MATCH(L554,Ottone!$A$1:$Z$1,0)-1)=TRUE),0,OFFSET(Ottone!$A$1,MATCH(J554,Ottone!$A:$A,0)-1,MATCH(L554,Ottone!$A$1:$Z$1,0)-1))*IF(G554="Ottone",1,0)</f>
        <v>0</v>
      </c>
      <c r="O554" s="255">
        <f ca="1">IF(ISERROR(OFFSET(Rame!$A$1,MATCH(J554,Rame!$A:$A,0)-1,MATCH(L554,Rame!$A$1:$AA$1,0)-1)=TRUE),0,OFFSET(Rame!$A$1,MATCH(J554,Rame!$A:$A,0)-1,MATCH(L554,Rame!$A$1:$AA$1,0)-1))*IF(G554="Rame",1,0)</f>
        <v>0.82</v>
      </c>
      <c r="P554" s="255">
        <v>0</v>
      </c>
      <c r="Q554" s="255">
        <f t="shared" ca="1" si="175"/>
        <v>0.82</v>
      </c>
      <c r="R554" s="255">
        <f ca="1">+IF(ISERROR(OFFSET(Tabella!$G$1,MATCH(J554,Tabella!$G:$G,0)-1,MATCH(K554,Tabella!$G$1:$FG$1,0)-1)=TRUE),0,OFFSET(Tabella!$G$1,MATCH(J554,Tabella!$G:$G,0)-1,MATCH(K554,Tabella!$G$1:$AB$1,0)-1))</f>
        <v>0</v>
      </c>
      <c r="S554" s="255">
        <f ca="1">IF(ISERROR(OFFSET(Ottone!$F$1,MATCH(J554,Ottone!$A:$A,0)-1,MATCH(K554,Ottone!$F$1:$FF$1,0)-1)=TRUE),0,OFFSET(Ottone!$F$1,MATCH(J554,Ottone!$A:$A,0)-1,MATCH(K554,Ottone!$F$1:$FF$1,0)-1))*IF(G554="Ottone",1,0)</f>
        <v>0</v>
      </c>
      <c r="T554" s="255">
        <f ca="1">IF(ISERROR(OFFSET(Rame!$F$1,MATCH(J554,Rame!$F:$F,0)-1,MATCH(K554,Rame!$F$1:$FF$1,0)-1)=TRUE),0,OFFSET(Rame!$F$1,MATCH(J554,Rame!$F:$F,0)-1,MATCH(K554,Rame!$F$1:$FF$1,0)-1))*IF(G554="Rame",1,0)</f>
        <v>0</v>
      </c>
      <c r="U554" s="255">
        <f ca="1">IF(ISERROR(OFFSET(Bronzo!$A$1,MATCH(J554,Bronzo!$A:$A,0)-1,MATCH(K554,Bronzo!$A$1:$AA$1,0)-1)=TRUE),0,OFFSET(Bronzo!$A$1,MATCH(J554,Bronzo!$A:$A,0)-1,MATCH(K554,Bronzo!$A$1:$AA$1,0)-1))</f>
        <v>0</v>
      </c>
      <c r="V554" s="255">
        <f t="shared" ca="1" si="176"/>
        <v>0</v>
      </c>
      <c r="W554" s="254"/>
      <c r="X554" s="255">
        <v>0</v>
      </c>
      <c r="Y554" s="256">
        <f t="shared" ca="1" si="177"/>
        <v>0.82</v>
      </c>
      <c r="Z554" s="257">
        <f t="shared" si="178"/>
        <v>127.5</v>
      </c>
      <c r="AA554" s="253">
        <v>13.85</v>
      </c>
      <c r="AB554" s="253">
        <f t="shared" ca="1" si="179"/>
        <v>2.83</v>
      </c>
      <c r="AC554" s="258">
        <v>46135</v>
      </c>
      <c r="AH554" s="232">
        <f t="shared" ca="1" si="168"/>
        <v>46120</v>
      </c>
      <c r="AI554" s="232" t="b">
        <f t="shared" si="169"/>
        <v>0</v>
      </c>
      <c r="AJ554" s="259">
        <f t="shared" ca="1" si="174"/>
        <v>15</v>
      </c>
      <c r="AM554" s="223">
        <f t="shared" si="170"/>
        <v>17</v>
      </c>
      <c r="AN554" s="223">
        <f t="shared" si="171"/>
        <v>2026</v>
      </c>
      <c r="AU554" s="223">
        <f t="shared" si="172"/>
        <v>4</v>
      </c>
      <c r="AV554" s="223">
        <f t="shared" si="173"/>
        <v>2026</v>
      </c>
    </row>
    <row r="555" spans="4:48" ht="26.25" x14ac:dyDescent="0.4">
      <c r="D555" s="246" t="s">
        <v>777</v>
      </c>
      <c r="E555" s="252" t="s">
        <v>397</v>
      </c>
      <c r="F555" s="276">
        <v>300</v>
      </c>
      <c r="G555" s="249" t="s">
        <v>4</v>
      </c>
      <c r="H555" s="250">
        <v>2.77</v>
      </c>
      <c r="I555" s="251">
        <v>46105</v>
      </c>
      <c r="J555" s="252" t="s">
        <v>11</v>
      </c>
      <c r="K555" s="252"/>
      <c r="L555" s="253">
        <v>7.0000000000000007E-2</v>
      </c>
      <c r="M555" s="254">
        <f ca="1">IF(ISERROR(OFFSET(Tabella!$A$1,MATCH(J555,Tabella!$A:$A,0)-1,MATCH(L555,Tabella!$A$1:$AC$1,0)-1)=TRUE),0,+OFFSET(Tabella!$A$1,MATCH(J555,Tabella!$A:$A,0)-1,MATCH(L555,Tabella!$A$1:$AC$1,0)-1))</f>
        <v>1.5</v>
      </c>
      <c r="N555" s="255">
        <f ca="1">IF(ISERROR(OFFSET(Ottone!$A$1,MATCH(J555,Ottone!$A:$A,0)-1,MATCH(L555,Ottone!$A$1:$Z$1,0)-1)=TRUE),0,OFFSET(Ottone!$A$1,MATCH(J555,Ottone!$A:$A,0)-1,MATCH(L555,Ottone!$A$1:$Z$1,0)-1))*IF(G555="Ottone",1,0)</f>
        <v>0</v>
      </c>
      <c r="O555" s="255">
        <f ca="1">IF(ISERROR(OFFSET(Rame!$A$1,MATCH(J555,Rame!$A:$A,0)-1,MATCH(L555,Rame!$A$1:$AA$1,0)-1)=TRUE),0,OFFSET(Rame!$A$1,MATCH(J555,Rame!$A:$A,0)-1,MATCH(L555,Rame!$A$1:$AA$1,0)-1))*IF(G555="Rame",1,0)</f>
        <v>0</v>
      </c>
      <c r="P555" s="255">
        <v>0</v>
      </c>
      <c r="Q555" s="255">
        <f t="shared" ca="1" si="175"/>
        <v>1.5</v>
      </c>
      <c r="R555" s="255">
        <f ca="1">+IF(ISERROR(OFFSET(Tabella!$G$1,MATCH(J555,Tabella!$G:$G,0)-1,MATCH(K555,Tabella!$G$1:$FG$1,0)-1)=TRUE),0,OFFSET(Tabella!$G$1,MATCH(J555,Tabella!$G:$G,0)-1,MATCH(K555,Tabella!$G$1:$AB$1,0)-1))</f>
        <v>0</v>
      </c>
      <c r="S555" s="255">
        <f ca="1">IF(ISERROR(OFFSET(Ottone!$F$1,MATCH(J555,Ottone!$A:$A,0)-1,MATCH(K555,Ottone!$F$1:$FF$1,0)-1)=TRUE),0,OFFSET(Ottone!$F$1,MATCH(J555,Ottone!$A:$A,0)-1,MATCH(K555,Ottone!$F$1:$FF$1,0)-1))*IF(G555="Ottone",1,0)</f>
        <v>0</v>
      </c>
      <c r="T555" s="255">
        <f ca="1">IF(ISERROR(OFFSET(Rame!$F$1,MATCH(J555,Rame!$F:$F,0)-1,MATCH(K555,Rame!$F$1:$FF$1,0)-1)=TRUE),0,OFFSET(Rame!$F$1,MATCH(J555,Rame!$F:$F,0)-1,MATCH(K555,Rame!$F$1:$FF$1,0)-1))*IF(G555="Rame",1,0)</f>
        <v>0</v>
      </c>
      <c r="U555" s="255">
        <f ca="1">IF(ISERROR(OFFSET(Bronzo!$A$1,MATCH(J555,Bronzo!$A:$A,0)-1,MATCH(K555,Bronzo!$A$1:$AA$1,0)-1)=TRUE),0,OFFSET(Bronzo!$A$1,MATCH(J555,Bronzo!$A:$A,0)-1,MATCH(K555,Bronzo!$A$1:$AA$1,0)-1))</f>
        <v>0</v>
      </c>
      <c r="V555" s="255">
        <f t="shared" ca="1" si="176"/>
        <v>0</v>
      </c>
      <c r="W555" s="254"/>
      <c r="X555" s="255">
        <v>0</v>
      </c>
      <c r="Y555" s="256">
        <f t="shared" ca="1" si="177"/>
        <v>1.5</v>
      </c>
      <c r="Z555" s="257">
        <f t="shared" si="178"/>
        <v>21.000000000000004</v>
      </c>
      <c r="AA555" s="253">
        <v>4.8099999999999996</v>
      </c>
      <c r="AB555" s="253">
        <f t="shared" ca="1" si="179"/>
        <v>0.53999999999999959</v>
      </c>
      <c r="AC555" s="258">
        <v>46129</v>
      </c>
      <c r="AH555" s="232">
        <f t="shared" ca="1" si="168"/>
        <v>46120</v>
      </c>
      <c r="AI555" s="232" t="b">
        <f t="shared" si="169"/>
        <v>0</v>
      </c>
      <c r="AJ555" s="259">
        <f t="shared" ca="1" si="174"/>
        <v>9</v>
      </c>
      <c r="AM555" s="223">
        <f t="shared" si="170"/>
        <v>16</v>
      </c>
      <c r="AN555" s="223">
        <f t="shared" si="171"/>
        <v>2026</v>
      </c>
      <c r="AU555" s="223">
        <f t="shared" si="172"/>
        <v>4</v>
      </c>
      <c r="AV555" s="223">
        <f t="shared" si="173"/>
        <v>2026</v>
      </c>
    </row>
    <row r="556" spans="4:48" ht="26.25" x14ac:dyDescent="0.4">
      <c r="D556" s="246" t="s">
        <v>781</v>
      </c>
      <c r="E556" s="252" t="s">
        <v>210</v>
      </c>
      <c r="F556" s="276">
        <v>250</v>
      </c>
      <c r="G556" s="249" t="s">
        <v>6</v>
      </c>
      <c r="H556" s="250">
        <v>10.199999999999999</v>
      </c>
      <c r="I556" s="251">
        <v>46106</v>
      </c>
      <c r="J556" s="252" t="s">
        <v>12</v>
      </c>
      <c r="K556" s="252"/>
      <c r="L556" s="253">
        <v>0.15</v>
      </c>
      <c r="M556" s="254">
        <f ca="1">IF(ISERROR(OFFSET(Tabella!$A$1,MATCH(J556,Tabella!$A:$A,0)-1,MATCH(L556,Tabella!$A$1:$AC$1,0)-1)=TRUE),0,+OFFSET(Tabella!$A$1,MATCH(J556,Tabella!$A:$A,0)-1,MATCH(L556,Tabella!$A$1:$AC$1,0)-1))</f>
        <v>0</v>
      </c>
      <c r="N556" s="255">
        <f ca="1">IF(ISERROR(OFFSET(Ottone!$A$1,MATCH(J556,Ottone!$A:$A,0)-1,MATCH(L556,Ottone!$A$1:$Z$1,0)-1)=TRUE),0,OFFSET(Ottone!$A$1,MATCH(J556,Ottone!$A:$A,0)-1,MATCH(L556,Ottone!$A$1:$Z$1,0)-1))*IF(G556="Ottone",1,0)</f>
        <v>0</v>
      </c>
      <c r="O556" s="255">
        <f ca="1">IF(ISERROR(OFFSET(Rame!$A$1,MATCH(J556,Rame!$A:$A,0)-1,MATCH(L556,Rame!$A$1:$AA$1,0)-1)=TRUE),0,OFFSET(Rame!$A$1,MATCH(J556,Rame!$A:$A,0)-1,MATCH(L556,Rame!$A$1:$AA$1,0)-1))*IF(G556="Rame",1,0)</f>
        <v>1.25</v>
      </c>
      <c r="P556" s="255">
        <v>0</v>
      </c>
      <c r="Q556" s="255">
        <f t="shared" ca="1" si="175"/>
        <v>1.25</v>
      </c>
      <c r="R556" s="255">
        <f ca="1">+IF(ISERROR(OFFSET(Tabella!$G$1,MATCH(J556,Tabella!$G:$G,0)-1,MATCH(K556,Tabella!$G$1:$FG$1,0)-1)=TRUE),0,OFFSET(Tabella!$G$1,MATCH(J556,Tabella!$G:$G,0)-1,MATCH(K556,Tabella!$G$1:$AB$1,0)-1))</f>
        <v>0</v>
      </c>
      <c r="S556" s="255">
        <f ca="1">IF(ISERROR(OFFSET(Ottone!$F$1,MATCH(J556,Ottone!$A:$A,0)-1,MATCH(K556,Ottone!$F$1:$FF$1,0)-1)=TRUE),0,OFFSET(Ottone!$F$1,MATCH(J556,Ottone!$A:$A,0)-1,MATCH(K556,Ottone!$F$1:$FF$1,0)-1))*IF(G556="Ottone",1,0)</f>
        <v>0</v>
      </c>
      <c r="T556" s="255">
        <f ca="1">IF(ISERROR(OFFSET(Rame!$F$1,MATCH(J556,Rame!$F:$F,0)-1,MATCH(K556,Rame!$F$1:$FF$1,0)-1)=TRUE),0,OFFSET(Rame!$F$1,MATCH(J556,Rame!$F:$F,0)-1,MATCH(K556,Rame!$F$1:$FF$1,0)-1))*IF(G556="Rame",1,0)</f>
        <v>0</v>
      </c>
      <c r="U556" s="255">
        <f ca="1">IF(ISERROR(OFFSET(Bronzo!$A$1,MATCH(J556,Bronzo!$A:$A,0)-1,MATCH(K556,Bronzo!$A$1:$AA$1,0)-1)=TRUE),0,OFFSET(Bronzo!$A$1,MATCH(J556,Bronzo!$A:$A,0)-1,MATCH(K556,Bronzo!$A$1:$AA$1,0)-1))</f>
        <v>0</v>
      </c>
      <c r="V556" s="255">
        <f t="shared" ca="1" si="176"/>
        <v>0</v>
      </c>
      <c r="W556" s="254"/>
      <c r="X556" s="255">
        <v>0</v>
      </c>
      <c r="Y556" s="256">
        <f t="shared" ca="1" si="177"/>
        <v>1.25</v>
      </c>
      <c r="Z556" s="257">
        <f t="shared" si="178"/>
        <v>37.5</v>
      </c>
      <c r="AA556" s="253">
        <v>13.9</v>
      </c>
      <c r="AB556" s="253">
        <f t="shared" ca="1" si="179"/>
        <v>2.4500000000000011</v>
      </c>
      <c r="AC556" s="258">
        <v>46140</v>
      </c>
      <c r="AH556" s="232">
        <f t="shared" ca="1" si="168"/>
        <v>46120</v>
      </c>
      <c r="AI556" s="232" t="b">
        <f t="shared" si="169"/>
        <v>0</v>
      </c>
      <c r="AJ556" s="259">
        <f t="shared" ca="1" si="174"/>
        <v>20</v>
      </c>
      <c r="AM556" s="223">
        <f t="shared" si="170"/>
        <v>18</v>
      </c>
      <c r="AN556" s="223">
        <f t="shared" si="171"/>
        <v>2026</v>
      </c>
      <c r="AU556" s="223">
        <f t="shared" si="172"/>
        <v>4</v>
      </c>
      <c r="AV556" s="223">
        <f t="shared" si="173"/>
        <v>2026</v>
      </c>
    </row>
    <row r="557" spans="4:48" ht="26.25" x14ac:dyDescent="0.4">
      <c r="D557" s="246"/>
      <c r="E557" s="252" t="s">
        <v>246</v>
      </c>
      <c r="F557" s="276">
        <v>600</v>
      </c>
      <c r="G557" s="249" t="s">
        <v>6</v>
      </c>
      <c r="H557" s="250">
        <v>10.199999999999999</v>
      </c>
      <c r="I557" s="251">
        <v>46106</v>
      </c>
      <c r="J557" s="252" t="s">
        <v>18</v>
      </c>
      <c r="K557" s="252"/>
      <c r="L557" s="253">
        <v>0.15</v>
      </c>
      <c r="M557" s="254">
        <f ca="1">IF(ISERROR(OFFSET(Tabella!$A$1,MATCH(J557,Tabella!$A:$A,0)-1,MATCH(L557,Tabella!$A$1:$AC$1,0)-1)=TRUE),0,+OFFSET(Tabella!$A$1,MATCH(J557,Tabella!$A:$A,0)-1,MATCH(L557,Tabella!$A$1:$AC$1,0)-1))</f>
        <v>0</v>
      </c>
      <c r="N557" s="255">
        <f ca="1">IF(ISERROR(OFFSET(Ottone!$A$1,MATCH(J557,Ottone!$A:$A,0)-1,MATCH(L557,Ottone!$A$1:$Z$1,0)-1)=TRUE),0,OFFSET(Ottone!$A$1,MATCH(J557,Ottone!$A:$A,0)-1,MATCH(L557,Ottone!$A$1:$Z$1,0)-1))*IF(G557="Ottone",1,0)</f>
        <v>0</v>
      </c>
      <c r="O557" s="255">
        <f ca="1">IF(ISERROR(OFFSET(Rame!$A$1,MATCH(J557,Rame!$A:$A,0)-1,MATCH(L557,Rame!$A$1:$AA$1,0)-1)=TRUE),0,OFFSET(Rame!$A$1,MATCH(J557,Rame!$A:$A,0)-1,MATCH(L557,Rame!$A$1:$AA$1,0)-1))*IF(G557="Rame",1,0)</f>
        <v>0.82</v>
      </c>
      <c r="P557" s="255">
        <v>0</v>
      </c>
      <c r="Q557" s="255">
        <f t="shared" ca="1" si="175"/>
        <v>0.82</v>
      </c>
      <c r="R557" s="255">
        <f ca="1">+IF(ISERROR(OFFSET(Tabella!$G$1,MATCH(J557,Tabella!$G:$G,0)-1,MATCH(K557,Tabella!$G$1:$FG$1,0)-1)=TRUE),0,OFFSET(Tabella!$G$1,MATCH(J557,Tabella!$G:$G,0)-1,MATCH(K557,Tabella!$G$1:$AB$1,0)-1))</f>
        <v>0</v>
      </c>
      <c r="S557" s="255">
        <f ca="1">IF(ISERROR(OFFSET(Ottone!$F$1,MATCH(J557,Ottone!$A:$A,0)-1,MATCH(K557,Ottone!$F$1:$FF$1,0)-1)=TRUE),0,OFFSET(Ottone!$F$1,MATCH(J557,Ottone!$A:$A,0)-1,MATCH(K557,Ottone!$F$1:$FF$1,0)-1))*IF(G557="Ottone",1,0)</f>
        <v>0</v>
      </c>
      <c r="T557" s="255">
        <f ca="1">IF(ISERROR(OFFSET(Rame!$F$1,MATCH(J557,Rame!$F:$F,0)-1,MATCH(K557,Rame!$F$1:$FF$1,0)-1)=TRUE),0,OFFSET(Rame!$F$1,MATCH(J557,Rame!$F:$F,0)-1,MATCH(K557,Rame!$F$1:$FF$1,0)-1))*IF(G557="Rame",1,0)</f>
        <v>0</v>
      </c>
      <c r="U557" s="255">
        <f ca="1">IF(ISERROR(OFFSET(Bronzo!$A$1,MATCH(J557,Bronzo!$A:$A,0)-1,MATCH(K557,Bronzo!$A$1:$AA$1,0)-1)=TRUE),0,OFFSET(Bronzo!$A$1,MATCH(J557,Bronzo!$A:$A,0)-1,MATCH(K557,Bronzo!$A$1:$AA$1,0)-1))</f>
        <v>0</v>
      </c>
      <c r="V557" s="255">
        <f t="shared" ca="1" si="176"/>
        <v>0</v>
      </c>
      <c r="W557" s="254"/>
      <c r="X557" s="255">
        <v>0</v>
      </c>
      <c r="Y557" s="256">
        <f t="shared" ca="1" si="177"/>
        <v>0.82</v>
      </c>
      <c r="Z557" s="257">
        <f t="shared" si="178"/>
        <v>90</v>
      </c>
      <c r="AA557" s="253">
        <v>13.85</v>
      </c>
      <c r="AB557" s="253">
        <f t="shared" ca="1" si="179"/>
        <v>2.83</v>
      </c>
      <c r="AC557" s="258"/>
      <c r="AH557" s="232">
        <f t="shared" ca="1" si="168"/>
        <v>46120</v>
      </c>
      <c r="AI557" s="232" t="b">
        <f t="shared" si="169"/>
        <v>1</v>
      </c>
      <c r="AJ557" s="259" t="str">
        <f t="shared" si="174"/>
        <v/>
      </c>
      <c r="AM557" s="223">
        <f t="shared" si="170"/>
        <v>0</v>
      </c>
      <c r="AN557" s="223">
        <f t="shared" si="171"/>
        <v>1900</v>
      </c>
      <c r="AU557" s="223">
        <f t="shared" si="172"/>
        <v>0</v>
      </c>
      <c r="AV557" s="223">
        <f t="shared" si="173"/>
        <v>0</v>
      </c>
    </row>
    <row r="558" spans="4:48" ht="26.25" x14ac:dyDescent="0.4">
      <c r="D558" s="246"/>
      <c r="E558" s="252" t="s">
        <v>246</v>
      </c>
      <c r="F558" s="276">
        <v>600</v>
      </c>
      <c r="G558" s="249" t="s">
        <v>6</v>
      </c>
      <c r="H558" s="250">
        <v>10.47</v>
      </c>
      <c r="I558" s="251">
        <v>46106</v>
      </c>
      <c r="J558" s="252" t="s">
        <v>18</v>
      </c>
      <c r="K558" s="252"/>
      <c r="L558" s="253">
        <v>0.15</v>
      </c>
      <c r="M558" s="254">
        <f ca="1">IF(ISERROR(OFFSET(Tabella!$A$1,MATCH(J558,Tabella!$A:$A,0)-1,MATCH(L558,Tabella!$A$1:$AC$1,0)-1)=TRUE),0,+OFFSET(Tabella!$A$1,MATCH(J558,Tabella!$A:$A,0)-1,MATCH(L558,Tabella!$A$1:$AC$1,0)-1))</f>
        <v>0</v>
      </c>
      <c r="N558" s="255">
        <f ca="1">IF(ISERROR(OFFSET(Ottone!$A$1,MATCH(J558,Ottone!$A:$A,0)-1,MATCH(L558,Ottone!$A$1:$Z$1,0)-1)=TRUE),0,OFFSET(Ottone!$A$1,MATCH(J558,Ottone!$A:$A,0)-1,MATCH(L558,Ottone!$A$1:$Z$1,0)-1))*IF(G558="Ottone",1,0)</f>
        <v>0</v>
      </c>
      <c r="O558" s="255">
        <f ca="1">IF(ISERROR(OFFSET(Rame!$A$1,MATCH(J558,Rame!$A:$A,0)-1,MATCH(L558,Rame!$A$1:$AA$1,0)-1)=TRUE),0,OFFSET(Rame!$A$1,MATCH(J558,Rame!$A:$A,0)-1,MATCH(L558,Rame!$A$1:$AA$1,0)-1))*IF(G558="Rame",1,0)</f>
        <v>0.82</v>
      </c>
      <c r="P558" s="255">
        <v>0</v>
      </c>
      <c r="Q558" s="255">
        <f t="shared" ca="1" si="175"/>
        <v>0.82</v>
      </c>
      <c r="R558" s="255">
        <f ca="1">+IF(ISERROR(OFFSET(Tabella!$G$1,MATCH(J558,Tabella!$G:$G,0)-1,MATCH(K558,Tabella!$G$1:$FG$1,0)-1)=TRUE),0,OFFSET(Tabella!$G$1,MATCH(J558,Tabella!$G:$G,0)-1,MATCH(K558,Tabella!$G$1:$AB$1,0)-1))</f>
        <v>0</v>
      </c>
      <c r="S558" s="255">
        <f ca="1">IF(ISERROR(OFFSET(Ottone!$F$1,MATCH(J558,Ottone!$A:$A,0)-1,MATCH(K558,Ottone!$F$1:$FF$1,0)-1)=TRUE),0,OFFSET(Ottone!$F$1,MATCH(J558,Ottone!$A:$A,0)-1,MATCH(K558,Ottone!$F$1:$FF$1,0)-1))*IF(G558="Ottone",1,0)</f>
        <v>0</v>
      </c>
      <c r="T558" s="255">
        <f ca="1">IF(ISERROR(OFFSET(Rame!$F$1,MATCH(J558,Rame!$F:$F,0)-1,MATCH(K558,Rame!$F$1:$FF$1,0)-1)=TRUE),0,OFFSET(Rame!$F$1,MATCH(J558,Rame!$F:$F,0)-1,MATCH(K558,Rame!$F$1:$FF$1,0)-1))*IF(G558="Rame",1,0)</f>
        <v>0</v>
      </c>
      <c r="U558" s="255">
        <f ca="1">IF(ISERROR(OFFSET(Bronzo!$A$1,MATCH(J558,Bronzo!$A:$A,0)-1,MATCH(K558,Bronzo!$A$1:$AA$1,0)-1)=TRUE),0,OFFSET(Bronzo!$A$1,MATCH(J558,Bronzo!$A:$A,0)-1,MATCH(K558,Bronzo!$A$1:$AA$1,0)-1))</f>
        <v>0</v>
      </c>
      <c r="V558" s="255">
        <f t="shared" ca="1" si="176"/>
        <v>0</v>
      </c>
      <c r="W558" s="254"/>
      <c r="X558" s="255">
        <v>0</v>
      </c>
      <c r="Y558" s="256">
        <f t="shared" ca="1" si="177"/>
        <v>0.82</v>
      </c>
      <c r="Z558" s="257">
        <f t="shared" si="178"/>
        <v>90</v>
      </c>
      <c r="AA558" s="253">
        <v>14.05</v>
      </c>
      <c r="AB558" s="253">
        <f t="shared" ca="1" si="179"/>
        <v>2.76</v>
      </c>
      <c r="AC558" s="258"/>
      <c r="AH558" s="232">
        <f t="shared" ca="1" si="168"/>
        <v>46120</v>
      </c>
      <c r="AI558" s="232" t="b">
        <f t="shared" si="169"/>
        <v>1</v>
      </c>
      <c r="AJ558" s="259" t="str">
        <f t="shared" si="174"/>
        <v/>
      </c>
      <c r="AM558" s="223">
        <f t="shared" si="170"/>
        <v>0</v>
      </c>
      <c r="AN558" s="223">
        <f t="shared" si="171"/>
        <v>1900</v>
      </c>
      <c r="AU558" s="223">
        <f t="shared" si="172"/>
        <v>0</v>
      </c>
      <c r="AV558" s="223">
        <f t="shared" si="173"/>
        <v>0</v>
      </c>
    </row>
    <row r="559" spans="4:48" ht="26.25" x14ac:dyDescent="0.4">
      <c r="D559" s="246"/>
      <c r="E559" s="252" t="s">
        <v>263</v>
      </c>
      <c r="F559" s="276">
        <v>1000</v>
      </c>
      <c r="G559" s="249" t="s">
        <v>4</v>
      </c>
      <c r="H559" s="250">
        <v>2.61</v>
      </c>
      <c r="I559" s="251">
        <v>46106</v>
      </c>
      <c r="J559" s="252" t="s">
        <v>19</v>
      </c>
      <c r="K559" s="252"/>
      <c r="L559" s="253">
        <v>7.0000000000000007E-2</v>
      </c>
      <c r="M559" s="254">
        <f ca="1">IF(ISERROR(OFFSET(Tabella!$A$1,MATCH(J559,Tabella!$A:$A,0)-1,MATCH(L559,Tabella!$A$1:$AC$1,0)-1)=TRUE),0,+OFFSET(Tabella!$A$1,MATCH(J559,Tabella!$A:$A,0)-1,MATCH(L559,Tabella!$A$1:$AC$1,0)-1))</f>
        <v>1.35</v>
      </c>
      <c r="N559" s="255">
        <f ca="1">IF(ISERROR(OFFSET(Ottone!$A$1,MATCH(J559,Ottone!$A:$A,0)-1,MATCH(L559,Ottone!$A$1:$Z$1,0)-1)=TRUE),0,OFFSET(Ottone!$A$1,MATCH(J559,Ottone!$A:$A,0)-1,MATCH(L559,Ottone!$A$1:$Z$1,0)-1))*IF(G559="Ottone",1,0)</f>
        <v>0</v>
      </c>
      <c r="O559" s="255">
        <f ca="1">IF(ISERROR(OFFSET(Rame!$A$1,MATCH(J559,Rame!$A:$A,0)-1,MATCH(L559,Rame!$A$1:$AA$1,0)-1)=TRUE),0,OFFSET(Rame!$A$1,MATCH(J559,Rame!$A:$A,0)-1,MATCH(L559,Rame!$A$1:$AA$1,0)-1))*IF(G559="Rame",1,0)</f>
        <v>0</v>
      </c>
      <c r="P559" s="255">
        <v>0</v>
      </c>
      <c r="Q559" s="255">
        <v>1.5</v>
      </c>
      <c r="R559" s="255">
        <f ca="1">+IF(ISERROR(OFFSET(Tabella!$G$1,MATCH(J559,Tabella!$G:$G,0)-1,MATCH(K559,Tabella!$G$1:$FG$1,0)-1)=TRUE),0,OFFSET(Tabella!$G$1,MATCH(J559,Tabella!$G:$G,0)-1,MATCH(K559,Tabella!$G$1:$AB$1,0)-1))</f>
        <v>0</v>
      </c>
      <c r="S559" s="255">
        <f ca="1">IF(ISERROR(OFFSET(Ottone!$F$1,MATCH(J559,Ottone!$A:$A,0)-1,MATCH(K559,Ottone!$F$1:$FF$1,0)-1)=TRUE),0,OFFSET(Ottone!$F$1,MATCH(J559,Ottone!$A:$A,0)-1,MATCH(K559,Ottone!$F$1:$FF$1,0)-1))*IF(G559="Ottone",1,0)</f>
        <v>0</v>
      </c>
      <c r="T559" s="255">
        <f ca="1">IF(ISERROR(OFFSET(Rame!$F$1,MATCH(J559,Rame!$F:$F,0)-1,MATCH(K559,Rame!$F$1:$FF$1,0)-1)=TRUE),0,OFFSET(Rame!$F$1,MATCH(J559,Rame!$F:$F,0)-1,MATCH(K559,Rame!$F$1:$FF$1,0)-1))*IF(G559="Rame",1,0)</f>
        <v>0</v>
      </c>
      <c r="U559" s="255">
        <f ca="1">IF(ISERROR(OFFSET(Bronzo!$A$1,MATCH(J559,Bronzo!$A:$A,0)-1,MATCH(K559,Bronzo!$A$1:$AA$1,0)-1)=TRUE),0,OFFSET(Bronzo!$A$1,MATCH(J559,Bronzo!$A:$A,0)-1,MATCH(K559,Bronzo!$A$1:$AA$1,0)-1))</f>
        <v>0</v>
      </c>
      <c r="V559" s="255">
        <f t="shared" ca="1" si="176"/>
        <v>0</v>
      </c>
      <c r="W559" s="254"/>
      <c r="X559" s="255">
        <v>0</v>
      </c>
      <c r="Y559" s="256">
        <f t="shared" ca="1" si="177"/>
        <v>1.5</v>
      </c>
      <c r="Z559" s="257">
        <f t="shared" si="178"/>
        <v>70</v>
      </c>
      <c r="AA559" s="253">
        <v>4.18</v>
      </c>
      <c r="AB559" s="253">
        <f t="shared" ca="1" si="179"/>
        <v>6.999999999999984E-2</v>
      </c>
      <c r="AC559" s="258"/>
      <c r="AH559" s="232">
        <f t="shared" ca="1" si="168"/>
        <v>46120</v>
      </c>
      <c r="AI559" s="232" t="b">
        <f t="shared" si="169"/>
        <v>1</v>
      </c>
      <c r="AJ559" s="259" t="str">
        <f t="shared" si="174"/>
        <v/>
      </c>
      <c r="AM559" s="223">
        <f t="shared" si="170"/>
        <v>0</v>
      </c>
      <c r="AN559" s="223">
        <f t="shared" si="171"/>
        <v>1900</v>
      </c>
      <c r="AU559" s="223">
        <f t="shared" si="172"/>
        <v>0</v>
      </c>
      <c r="AV559" s="223">
        <f t="shared" si="173"/>
        <v>0</v>
      </c>
    </row>
    <row r="560" spans="4:48" ht="26.25" x14ac:dyDescent="0.4">
      <c r="D560" s="246"/>
      <c r="E560" s="252" t="s">
        <v>263</v>
      </c>
      <c r="F560" s="276">
        <v>1500</v>
      </c>
      <c r="G560" s="249" t="s">
        <v>4</v>
      </c>
      <c r="H560" s="250">
        <v>2.61</v>
      </c>
      <c r="I560" s="251">
        <v>46106</v>
      </c>
      <c r="J560" s="252" t="s">
        <v>19</v>
      </c>
      <c r="K560" s="252"/>
      <c r="L560" s="253">
        <v>7.0000000000000007E-2</v>
      </c>
      <c r="M560" s="254">
        <f ca="1">IF(ISERROR(OFFSET(Tabella!$A$1,MATCH(J560,Tabella!$A:$A,0)-1,MATCH(L560,Tabella!$A$1:$AC$1,0)-1)=TRUE),0,+OFFSET(Tabella!$A$1,MATCH(J560,Tabella!$A:$A,0)-1,MATCH(L560,Tabella!$A$1:$AC$1,0)-1))</f>
        <v>1.35</v>
      </c>
      <c r="N560" s="255">
        <f ca="1">IF(ISERROR(OFFSET(Ottone!$A$1,MATCH(J560,Ottone!$A:$A,0)-1,MATCH(L560,Ottone!$A$1:$Z$1,0)-1)=TRUE),0,OFFSET(Ottone!$A$1,MATCH(J560,Ottone!$A:$A,0)-1,MATCH(L560,Ottone!$A$1:$Z$1,0)-1))*IF(G560="Ottone",1,0)</f>
        <v>0</v>
      </c>
      <c r="O560" s="255">
        <f ca="1">IF(ISERROR(OFFSET(Rame!$A$1,MATCH(J560,Rame!$A:$A,0)-1,MATCH(L560,Rame!$A$1:$AA$1,0)-1)=TRUE),0,OFFSET(Rame!$A$1,MATCH(J560,Rame!$A:$A,0)-1,MATCH(L560,Rame!$A$1:$AA$1,0)-1))*IF(G560="Rame",1,0)</f>
        <v>0</v>
      </c>
      <c r="P560" s="255">
        <v>0</v>
      </c>
      <c r="Q560" s="255">
        <v>1.5</v>
      </c>
      <c r="R560" s="255">
        <f ca="1">+IF(ISERROR(OFFSET(Tabella!$G$1,MATCH(J560,Tabella!$G:$G,0)-1,MATCH(K560,Tabella!$G$1:$FG$1,0)-1)=TRUE),0,OFFSET(Tabella!$G$1,MATCH(J560,Tabella!$G:$G,0)-1,MATCH(K560,Tabella!$G$1:$AB$1,0)-1))</f>
        <v>0</v>
      </c>
      <c r="S560" s="255">
        <f ca="1">IF(ISERROR(OFFSET(Ottone!$F$1,MATCH(J560,Ottone!$A:$A,0)-1,MATCH(K560,Ottone!$F$1:$FF$1,0)-1)=TRUE),0,OFFSET(Ottone!$F$1,MATCH(J560,Ottone!$A:$A,0)-1,MATCH(K560,Ottone!$F$1:$FF$1,0)-1))*IF(G560="Ottone",1,0)</f>
        <v>0</v>
      </c>
      <c r="T560" s="255">
        <f ca="1">IF(ISERROR(OFFSET(Rame!$F$1,MATCH(J560,Rame!$F:$F,0)-1,MATCH(K560,Rame!$F$1:$FF$1,0)-1)=TRUE),0,OFFSET(Rame!$F$1,MATCH(J560,Rame!$F:$F,0)-1,MATCH(K560,Rame!$F$1:$FF$1,0)-1))*IF(G560="Rame",1,0)</f>
        <v>0</v>
      </c>
      <c r="U560" s="255">
        <f ca="1">IF(ISERROR(OFFSET(Bronzo!$A$1,MATCH(J560,Bronzo!$A:$A,0)-1,MATCH(K560,Bronzo!$A$1:$AA$1,0)-1)=TRUE),0,OFFSET(Bronzo!$A$1,MATCH(J560,Bronzo!$A:$A,0)-1,MATCH(K560,Bronzo!$A$1:$AA$1,0)-1))</f>
        <v>0</v>
      </c>
      <c r="V560" s="255">
        <f t="shared" ca="1" si="176"/>
        <v>0</v>
      </c>
      <c r="W560" s="254"/>
      <c r="X560" s="255">
        <v>0</v>
      </c>
      <c r="Y560" s="256">
        <f t="shared" ca="1" si="177"/>
        <v>1.5</v>
      </c>
      <c r="Z560" s="257">
        <f t="shared" si="178"/>
        <v>105.00000000000001</v>
      </c>
      <c r="AA560" s="253">
        <v>4.18</v>
      </c>
      <c r="AB560" s="253">
        <f t="shared" ca="1" si="179"/>
        <v>6.999999999999984E-2</v>
      </c>
      <c r="AC560" s="258"/>
      <c r="AH560" s="232">
        <f t="shared" ca="1" si="168"/>
        <v>46120</v>
      </c>
      <c r="AI560" s="232" t="b">
        <f t="shared" si="169"/>
        <v>1</v>
      </c>
      <c r="AJ560" s="259" t="str">
        <f t="shared" si="174"/>
        <v/>
      </c>
      <c r="AM560" s="223">
        <f t="shared" si="170"/>
        <v>0</v>
      </c>
      <c r="AN560" s="223">
        <f t="shared" si="171"/>
        <v>1900</v>
      </c>
      <c r="AU560" s="223">
        <f t="shared" si="172"/>
        <v>0</v>
      </c>
      <c r="AV560" s="223">
        <f t="shared" si="173"/>
        <v>0</v>
      </c>
    </row>
    <row r="561" spans="4:48" ht="26.25" x14ac:dyDescent="0.4">
      <c r="D561" s="246"/>
      <c r="E561" s="252" t="s">
        <v>263</v>
      </c>
      <c r="F561" s="276">
        <v>2500</v>
      </c>
      <c r="G561" s="249" t="s">
        <v>4</v>
      </c>
      <c r="H561" s="250">
        <v>2.61</v>
      </c>
      <c r="I561" s="251">
        <v>46106</v>
      </c>
      <c r="J561" s="252" t="s">
        <v>15</v>
      </c>
      <c r="K561" s="252"/>
      <c r="L561" s="253">
        <v>7.0000000000000007E-2</v>
      </c>
      <c r="M561" s="254">
        <f ca="1">IF(ISERROR(OFFSET(Tabella!$A$1,MATCH(J561,Tabella!$A:$A,0)-1,MATCH(L561,Tabella!$A$1:$AC$1,0)-1)=TRUE),0,+OFFSET(Tabella!$A$1,MATCH(J561,Tabella!$A:$A,0)-1,MATCH(L561,Tabella!$A$1:$AC$1,0)-1))</f>
        <v>1.4</v>
      </c>
      <c r="N561" s="255">
        <f ca="1">IF(ISERROR(OFFSET(Ottone!$A$1,MATCH(J561,Ottone!$A:$A,0)-1,MATCH(L561,Ottone!$A$1:$Z$1,0)-1)=TRUE),0,OFFSET(Ottone!$A$1,MATCH(J561,Ottone!$A:$A,0)-1,MATCH(L561,Ottone!$A$1:$Z$1,0)-1))*IF(G561="Ottone",1,0)</f>
        <v>0</v>
      </c>
      <c r="O561" s="255">
        <f ca="1">IF(ISERROR(OFFSET(Rame!$A$1,MATCH(J561,Rame!$A:$A,0)-1,MATCH(L561,Rame!$A$1:$AA$1,0)-1)=TRUE),0,OFFSET(Rame!$A$1,MATCH(J561,Rame!$A:$A,0)-1,MATCH(L561,Rame!$A$1:$AA$1,0)-1))*IF(G561="Rame",1,0)</f>
        <v>0</v>
      </c>
      <c r="P561" s="255">
        <v>0</v>
      </c>
      <c r="Q561" s="255">
        <v>1.65</v>
      </c>
      <c r="R561" s="255">
        <f ca="1">+IF(ISERROR(OFFSET(Tabella!$G$1,MATCH(J561,Tabella!$G:$G,0)-1,MATCH(K561,Tabella!$G$1:$FG$1,0)-1)=TRUE),0,OFFSET(Tabella!$G$1,MATCH(J561,Tabella!$G:$G,0)-1,MATCH(K561,Tabella!$G$1:$AB$1,0)-1))</f>
        <v>0</v>
      </c>
      <c r="S561" s="255">
        <f ca="1">IF(ISERROR(OFFSET(Ottone!$F$1,MATCH(J561,Ottone!$A:$A,0)-1,MATCH(K561,Ottone!$F$1:$FF$1,0)-1)=TRUE),0,OFFSET(Ottone!$F$1,MATCH(J561,Ottone!$A:$A,0)-1,MATCH(K561,Ottone!$F$1:$FF$1,0)-1))*IF(G561="Ottone",1,0)</f>
        <v>0</v>
      </c>
      <c r="T561" s="255">
        <f ca="1">IF(ISERROR(OFFSET(Rame!$F$1,MATCH(J561,Rame!$F:$F,0)-1,MATCH(K561,Rame!$F$1:$FF$1,0)-1)=TRUE),0,OFFSET(Rame!$F$1,MATCH(J561,Rame!$F:$F,0)-1,MATCH(K561,Rame!$F$1:$FF$1,0)-1))*IF(G561="Rame",1,0)</f>
        <v>0</v>
      </c>
      <c r="U561" s="255">
        <f ca="1">IF(ISERROR(OFFSET(Bronzo!$A$1,MATCH(J561,Bronzo!$A:$A,0)-1,MATCH(K561,Bronzo!$A$1:$AA$1,0)-1)=TRUE),0,OFFSET(Bronzo!$A$1,MATCH(J561,Bronzo!$A:$A,0)-1,MATCH(K561,Bronzo!$A$1:$AA$1,0)-1))</f>
        <v>0</v>
      </c>
      <c r="V561" s="255">
        <f t="shared" ca="1" si="176"/>
        <v>0</v>
      </c>
      <c r="W561" s="254"/>
      <c r="X561" s="255">
        <v>0</v>
      </c>
      <c r="Y561" s="256">
        <f t="shared" ca="1" si="177"/>
        <v>1.65</v>
      </c>
      <c r="Z561" s="257">
        <f t="shared" si="178"/>
        <v>175.00000000000003</v>
      </c>
      <c r="AA561" s="253">
        <v>4.33</v>
      </c>
      <c r="AB561" s="253">
        <f t="shared" ca="1" si="179"/>
        <v>7.0000000000000284E-2</v>
      </c>
      <c r="AC561" s="258"/>
      <c r="AH561" s="232">
        <f t="shared" ca="1" si="168"/>
        <v>46120</v>
      </c>
      <c r="AI561" s="232" t="b">
        <f t="shared" si="169"/>
        <v>1</v>
      </c>
      <c r="AJ561" s="259" t="str">
        <f t="shared" si="174"/>
        <v/>
      </c>
      <c r="AM561" s="223">
        <f t="shared" si="170"/>
        <v>0</v>
      </c>
      <c r="AN561" s="223">
        <f t="shared" si="171"/>
        <v>1900</v>
      </c>
      <c r="AU561" s="223">
        <f t="shared" si="172"/>
        <v>0</v>
      </c>
      <c r="AV561" s="223">
        <f t="shared" si="173"/>
        <v>0</v>
      </c>
    </row>
    <row r="562" spans="4:48" ht="26.25" x14ac:dyDescent="0.4">
      <c r="D562" s="246" t="s">
        <v>776</v>
      </c>
      <c r="E562" s="252" t="s">
        <v>212</v>
      </c>
      <c r="F562" s="276">
        <v>450</v>
      </c>
      <c r="G562" s="249" t="s">
        <v>6</v>
      </c>
      <c r="H562" s="250">
        <v>10.47</v>
      </c>
      <c r="I562" s="251">
        <v>46107</v>
      </c>
      <c r="J562" s="252" t="s">
        <v>16</v>
      </c>
      <c r="K562" s="252"/>
      <c r="L562" s="253">
        <v>0.1</v>
      </c>
      <c r="M562" s="254">
        <f ca="1">IF(ISERROR(OFFSET(Tabella!$A$1,MATCH(J562,Tabella!$A:$A,0)-1,MATCH(L562,Tabella!$A$1:$AC$1,0)-1)=TRUE),0,+OFFSET(Tabella!$A$1,MATCH(J562,Tabella!$A:$A,0)-1,MATCH(L562,Tabella!$A$1:$AC$1,0)-1))</f>
        <v>0</v>
      </c>
      <c r="N562" s="255">
        <f ca="1">IF(ISERROR(OFFSET(Ottone!$A$1,MATCH(J562,Ottone!$A:$A,0)-1,MATCH(L562,Ottone!$A$1:$Z$1,0)-1)=TRUE),0,OFFSET(Ottone!$A$1,MATCH(J562,Ottone!$A:$A,0)-1,MATCH(L562,Ottone!$A$1:$Z$1,0)-1))*IF(G562="Ottone",1,0)</f>
        <v>0</v>
      </c>
      <c r="O562" s="255">
        <f ca="1">IF(ISERROR(OFFSET(Rame!$A$1,MATCH(J562,Rame!$A:$A,0)-1,MATCH(L562,Rame!$A$1:$AA$1,0)-1)=TRUE),0,OFFSET(Rame!$A$1,MATCH(J562,Rame!$A:$A,0)-1,MATCH(L562,Rame!$A$1:$AA$1,0)-1))*IF(G562="Rame",1,0)</f>
        <v>0.82</v>
      </c>
      <c r="P562" s="255">
        <v>0</v>
      </c>
      <c r="Q562" s="255">
        <f t="shared" ca="1" si="175"/>
        <v>0.82</v>
      </c>
      <c r="R562" s="255">
        <f ca="1">+IF(ISERROR(OFFSET(Tabella!$G$1,MATCH(J562,Tabella!$G:$G,0)-1,MATCH(K562,Tabella!$G$1:$FG$1,0)-1)=TRUE),0,OFFSET(Tabella!$G$1,MATCH(J562,Tabella!$G:$G,0)-1,MATCH(K562,Tabella!$G$1:$AB$1,0)-1))</f>
        <v>0</v>
      </c>
      <c r="S562" s="255">
        <f ca="1">IF(ISERROR(OFFSET(Ottone!$F$1,MATCH(J562,Ottone!$A:$A,0)-1,MATCH(K562,Ottone!$F$1:$FF$1,0)-1)=TRUE),0,OFFSET(Ottone!$F$1,MATCH(J562,Ottone!$A:$A,0)-1,MATCH(K562,Ottone!$F$1:$FF$1,0)-1))*IF(G562="Ottone",1,0)</f>
        <v>0</v>
      </c>
      <c r="T562" s="255">
        <f ca="1">IF(ISERROR(OFFSET(Rame!$F$1,MATCH(J562,Rame!$F:$F,0)-1,MATCH(K562,Rame!$F$1:$FF$1,0)-1)=TRUE),0,OFFSET(Rame!$F$1,MATCH(J562,Rame!$F:$F,0)-1,MATCH(K562,Rame!$F$1:$FF$1,0)-1))*IF(G562="Rame",1,0)</f>
        <v>0</v>
      </c>
      <c r="U562" s="255">
        <f ca="1">IF(ISERROR(OFFSET(Bronzo!$A$1,MATCH(J562,Bronzo!$A:$A,0)-1,MATCH(K562,Bronzo!$A$1:$AA$1,0)-1)=TRUE),0,OFFSET(Bronzo!$A$1,MATCH(J562,Bronzo!$A:$A,0)-1,MATCH(K562,Bronzo!$A$1:$AA$1,0)-1))</f>
        <v>0</v>
      </c>
      <c r="V562" s="255">
        <f t="shared" ca="1" si="176"/>
        <v>0</v>
      </c>
      <c r="W562" s="254"/>
      <c r="X562" s="255">
        <v>0</v>
      </c>
      <c r="Y562" s="256">
        <f t="shared" ca="1" si="177"/>
        <v>0.82</v>
      </c>
      <c r="Z562" s="257">
        <f t="shared" si="178"/>
        <v>45</v>
      </c>
      <c r="AA562" s="253">
        <v>13.77</v>
      </c>
      <c r="AB562" s="253">
        <f t="shared" ca="1" si="179"/>
        <v>2.4799999999999986</v>
      </c>
      <c r="AC562" s="258">
        <v>46115</v>
      </c>
      <c r="AH562" s="232">
        <f t="shared" ca="1" si="168"/>
        <v>46120</v>
      </c>
      <c r="AI562" s="232" t="b">
        <f t="shared" si="169"/>
        <v>0</v>
      </c>
      <c r="AJ562" s="259">
        <f t="shared" ca="1" si="174"/>
        <v>-5</v>
      </c>
      <c r="AM562" s="223">
        <f t="shared" si="170"/>
        <v>14</v>
      </c>
      <c r="AN562" s="223">
        <f t="shared" si="171"/>
        <v>2026</v>
      </c>
      <c r="AU562" s="223">
        <f t="shared" si="172"/>
        <v>4</v>
      </c>
      <c r="AV562" s="223">
        <f t="shared" si="173"/>
        <v>2026</v>
      </c>
    </row>
    <row r="563" spans="4:48" ht="26.25" x14ac:dyDescent="0.4">
      <c r="D563" s="246"/>
      <c r="E563" s="252" t="s">
        <v>297</v>
      </c>
      <c r="F563" s="276">
        <v>600</v>
      </c>
      <c r="G563" s="249" t="s">
        <v>4</v>
      </c>
      <c r="H563" s="250">
        <v>2.77</v>
      </c>
      <c r="I563" s="251">
        <v>46107</v>
      </c>
      <c r="J563" s="252" t="s">
        <v>26</v>
      </c>
      <c r="K563" s="252"/>
      <c r="L563" s="253">
        <v>7.0000000000000007E-2</v>
      </c>
      <c r="M563" s="254">
        <f ca="1">IF(ISERROR(OFFSET(Tabella!$A$1,MATCH(J563,Tabella!$A:$A,0)-1,MATCH(L563,Tabella!$A$1:$AC$1,0)-1)=TRUE),0,+OFFSET(Tabella!$A$1,MATCH(J563,Tabella!$A:$A,0)-1,MATCH(L563,Tabella!$A$1:$AC$1,0)-1))</f>
        <v>1.25</v>
      </c>
      <c r="N563" s="255">
        <f ca="1">IF(ISERROR(OFFSET(Ottone!$A$1,MATCH(J563,Ottone!$A:$A,0)-1,MATCH(L563,Ottone!$A$1:$Z$1,0)-1)=TRUE),0,OFFSET(Ottone!$A$1,MATCH(J563,Ottone!$A:$A,0)-1,MATCH(L563,Ottone!$A$1:$Z$1,0)-1))*IF(G563="Ottone",1,0)</f>
        <v>0</v>
      </c>
      <c r="O563" s="255">
        <f ca="1">IF(ISERROR(OFFSET(Rame!$A$1,MATCH(J563,Rame!$A:$A,0)-1,MATCH(L563,Rame!$A$1:$AA$1,0)-1)=TRUE),0,OFFSET(Rame!$A$1,MATCH(J563,Rame!$A:$A,0)-1,MATCH(L563,Rame!$A$1:$AA$1,0)-1))*IF(G563="Rame",1,0)</f>
        <v>0</v>
      </c>
      <c r="P563" s="255">
        <v>0</v>
      </c>
      <c r="Q563" s="255">
        <f t="shared" ca="1" si="175"/>
        <v>1.25</v>
      </c>
      <c r="R563" s="255">
        <f ca="1">+IF(ISERROR(OFFSET(Tabella!$G$1,MATCH(J563,Tabella!$G:$G,0)-1,MATCH(K563,Tabella!$G$1:$FG$1,0)-1)=TRUE),0,OFFSET(Tabella!$G$1,MATCH(J563,Tabella!$G:$G,0)-1,MATCH(K563,Tabella!$G$1:$AB$1,0)-1))</f>
        <v>0</v>
      </c>
      <c r="S563" s="255">
        <f ca="1">IF(ISERROR(OFFSET(Ottone!$F$1,MATCH(J563,Ottone!$A:$A,0)-1,MATCH(K563,Ottone!$F$1:$FF$1,0)-1)=TRUE),0,OFFSET(Ottone!$F$1,MATCH(J563,Ottone!$A:$A,0)-1,MATCH(K563,Ottone!$F$1:$FF$1,0)-1))*IF(G563="Ottone",1,0)</f>
        <v>0</v>
      </c>
      <c r="T563" s="255">
        <f ca="1">IF(ISERROR(OFFSET(Rame!$F$1,MATCH(J563,Rame!$F:$F,0)-1,MATCH(K563,Rame!$F$1:$FF$1,0)-1)=TRUE),0,OFFSET(Rame!$F$1,MATCH(J563,Rame!$F:$F,0)-1,MATCH(K563,Rame!$F$1:$FF$1,0)-1))*IF(G563="Rame",1,0)</f>
        <v>0</v>
      </c>
      <c r="U563" s="255">
        <f ca="1">IF(ISERROR(OFFSET(Bronzo!$A$1,MATCH(J563,Bronzo!$A:$A,0)-1,MATCH(K563,Bronzo!$A$1:$AA$1,0)-1)=TRUE),0,OFFSET(Bronzo!$A$1,MATCH(J563,Bronzo!$A:$A,0)-1,MATCH(K563,Bronzo!$A$1:$AA$1,0)-1))</f>
        <v>0</v>
      </c>
      <c r="V563" s="255">
        <f t="shared" ca="1" si="176"/>
        <v>0</v>
      </c>
      <c r="W563" s="254"/>
      <c r="X563" s="255">
        <v>0</v>
      </c>
      <c r="Y563" s="256">
        <f t="shared" ca="1" si="177"/>
        <v>1.25</v>
      </c>
      <c r="Z563" s="257">
        <f t="shared" si="178"/>
        <v>42.000000000000007</v>
      </c>
      <c r="AA563" s="253">
        <v>4.3499999999999996</v>
      </c>
      <c r="AB563" s="253">
        <f t="shared" ca="1" si="179"/>
        <v>0.32999999999999963</v>
      </c>
      <c r="AC563" s="258"/>
      <c r="AH563" s="232">
        <f t="shared" ca="1" si="168"/>
        <v>46120</v>
      </c>
      <c r="AI563" s="232" t="b">
        <f t="shared" si="169"/>
        <v>1</v>
      </c>
      <c r="AJ563" s="259" t="str">
        <f t="shared" si="174"/>
        <v/>
      </c>
      <c r="AM563" s="223">
        <f t="shared" si="170"/>
        <v>0</v>
      </c>
      <c r="AN563" s="223">
        <f t="shared" si="171"/>
        <v>1900</v>
      </c>
      <c r="AU563" s="223">
        <f t="shared" si="172"/>
        <v>0</v>
      </c>
      <c r="AV563" s="223">
        <f t="shared" si="173"/>
        <v>0</v>
      </c>
    </row>
    <row r="564" spans="4:48" ht="26.25" x14ac:dyDescent="0.4">
      <c r="D564" s="246"/>
      <c r="E564" s="252" t="s">
        <v>297</v>
      </c>
      <c r="F564" s="276">
        <v>900</v>
      </c>
      <c r="G564" s="249" t="s">
        <v>4</v>
      </c>
      <c r="H564" s="250">
        <v>2.77</v>
      </c>
      <c r="I564" s="251">
        <v>46107</v>
      </c>
      <c r="J564" s="252" t="s">
        <v>27</v>
      </c>
      <c r="K564" s="252"/>
      <c r="L564" s="253">
        <v>7.0000000000000007E-2</v>
      </c>
      <c r="M564" s="254">
        <f ca="1">IF(ISERROR(OFFSET(Tabella!$A$1,MATCH(J564,Tabella!$A:$A,0)-1,MATCH(L564,Tabella!$A$1:$AC$1,0)-1)=TRUE),0,+OFFSET(Tabella!$A$1,MATCH(J564,Tabella!$A:$A,0)-1,MATCH(L564,Tabella!$A$1:$AC$1,0)-1))</f>
        <v>1.25</v>
      </c>
      <c r="N564" s="255">
        <f ca="1">IF(ISERROR(OFFSET(Ottone!$A$1,MATCH(J564,Ottone!$A:$A,0)-1,MATCH(L564,Ottone!$A$1:$Z$1,0)-1)=TRUE),0,OFFSET(Ottone!$A$1,MATCH(J564,Ottone!$A:$A,0)-1,MATCH(L564,Ottone!$A$1:$Z$1,0)-1))*IF(G564="Ottone",1,0)</f>
        <v>0</v>
      </c>
      <c r="O564" s="255">
        <f ca="1">IF(ISERROR(OFFSET(Rame!$A$1,MATCH(J564,Rame!$A:$A,0)-1,MATCH(L564,Rame!$A$1:$AA$1,0)-1)=TRUE),0,OFFSET(Rame!$A$1,MATCH(J564,Rame!$A:$A,0)-1,MATCH(L564,Rame!$A$1:$AA$1,0)-1))*IF(G564="Rame",1,0)</f>
        <v>0</v>
      </c>
      <c r="P564" s="255">
        <v>0</v>
      </c>
      <c r="Q564" s="255">
        <f t="shared" ca="1" si="175"/>
        <v>1.25</v>
      </c>
      <c r="R564" s="255">
        <f ca="1">+IF(ISERROR(OFFSET(Tabella!$G$1,MATCH(J564,Tabella!$G:$G,0)-1,MATCH(K564,Tabella!$G$1:$FG$1,0)-1)=TRUE),0,OFFSET(Tabella!$G$1,MATCH(J564,Tabella!$G:$G,0)-1,MATCH(K564,Tabella!$G$1:$AB$1,0)-1))</f>
        <v>0</v>
      </c>
      <c r="S564" s="255">
        <f ca="1">IF(ISERROR(OFFSET(Ottone!$F$1,MATCH(J564,Ottone!$A:$A,0)-1,MATCH(K564,Ottone!$F$1:$FF$1,0)-1)=TRUE),0,OFFSET(Ottone!$F$1,MATCH(J564,Ottone!$A:$A,0)-1,MATCH(K564,Ottone!$F$1:$FF$1,0)-1))*IF(G564="Ottone",1,0)</f>
        <v>0</v>
      </c>
      <c r="T564" s="255">
        <f ca="1">IF(ISERROR(OFFSET(Rame!$F$1,MATCH(J564,Rame!$F:$F,0)-1,MATCH(K564,Rame!$F$1:$FF$1,0)-1)=TRUE),0,OFFSET(Rame!$F$1,MATCH(J564,Rame!$F:$F,0)-1,MATCH(K564,Rame!$F$1:$FF$1,0)-1))*IF(G564="Rame",1,0)</f>
        <v>0</v>
      </c>
      <c r="U564" s="255">
        <f ca="1">IF(ISERROR(OFFSET(Bronzo!$A$1,MATCH(J564,Bronzo!$A:$A,0)-1,MATCH(K564,Bronzo!$A$1:$AA$1,0)-1)=TRUE),0,OFFSET(Bronzo!$A$1,MATCH(J564,Bronzo!$A:$A,0)-1,MATCH(K564,Bronzo!$A$1:$AA$1,0)-1))</f>
        <v>0</v>
      </c>
      <c r="V564" s="255">
        <f t="shared" ca="1" si="176"/>
        <v>0</v>
      </c>
      <c r="W564" s="254"/>
      <c r="X564" s="255">
        <v>0</v>
      </c>
      <c r="Y564" s="256">
        <f t="shared" ca="1" si="177"/>
        <v>1.25</v>
      </c>
      <c r="Z564" s="257">
        <f t="shared" si="178"/>
        <v>63.000000000000007</v>
      </c>
      <c r="AA564" s="253">
        <v>4.3499999999999996</v>
      </c>
      <c r="AB564" s="253">
        <f t="shared" ca="1" si="179"/>
        <v>0.32999999999999963</v>
      </c>
      <c r="AC564" s="258"/>
      <c r="AH564" s="232">
        <f t="shared" ca="1" si="168"/>
        <v>46120</v>
      </c>
      <c r="AI564" s="232" t="b">
        <f t="shared" si="169"/>
        <v>1</v>
      </c>
      <c r="AJ564" s="259" t="str">
        <f t="shared" si="174"/>
        <v/>
      </c>
      <c r="AM564" s="223">
        <f t="shared" si="170"/>
        <v>0</v>
      </c>
      <c r="AN564" s="223">
        <f t="shared" si="171"/>
        <v>1900</v>
      </c>
      <c r="AU564" s="223">
        <f t="shared" si="172"/>
        <v>0</v>
      </c>
      <c r="AV564" s="223">
        <f t="shared" si="173"/>
        <v>0</v>
      </c>
    </row>
    <row r="565" spans="4:48" ht="26.25" x14ac:dyDescent="0.4">
      <c r="D565" s="246"/>
      <c r="E565" s="252" t="s">
        <v>297</v>
      </c>
      <c r="F565" s="276">
        <v>600</v>
      </c>
      <c r="G565" s="249" t="s">
        <v>4</v>
      </c>
      <c r="H565" s="250">
        <v>2.77</v>
      </c>
      <c r="I565" s="251">
        <v>46107</v>
      </c>
      <c r="J565" s="252" t="s">
        <v>26</v>
      </c>
      <c r="K565" s="252"/>
      <c r="L565" s="253">
        <v>7.0000000000000007E-2</v>
      </c>
      <c r="M565" s="254">
        <f ca="1">IF(ISERROR(OFFSET(Tabella!$A$1,MATCH(J565,Tabella!$A:$A,0)-1,MATCH(L565,Tabella!$A$1:$AC$1,0)-1)=TRUE),0,+OFFSET(Tabella!$A$1,MATCH(J565,Tabella!$A:$A,0)-1,MATCH(L565,Tabella!$A$1:$AC$1,0)-1))</f>
        <v>1.25</v>
      </c>
      <c r="N565" s="255">
        <f ca="1">IF(ISERROR(OFFSET(Ottone!$A$1,MATCH(J565,Ottone!$A:$A,0)-1,MATCH(L565,Ottone!$A$1:$Z$1,0)-1)=TRUE),0,OFFSET(Ottone!$A$1,MATCH(J565,Ottone!$A:$A,0)-1,MATCH(L565,Ottone!$A$1:$Z$1,0)-1))*IF(G565="Ottone",1,0)</f>
        <v>0</v>
      </c>
      <c r="O565" s="255">
        <f ca="1">IF(ISERROR(OFFSET(Rame!$A$1,MATCH(J565,Rame!$A:$A,0)-1,MATCH(L565,Rame!$A$1:$AA$1,0)-1)=TRUE),0,OFFSET(Rame!$A$1,MATCH(J565,Rame!$A:$A,0)-1,MATCH(L565,Rame!$A$1:$AA$1,0)-1))*IF(G565="Rame",1,0)</f>
        <v>0</v>
      </c>
      <c r="P565" s="255">
        <v>0</v>
      </c>
      <c r="Q565" s="255">
        <f t="shared" ref="Q565:Q573" ca="1" si="180">SUM(M565:P565)</f>
        <v>1.25</v>
      </c>
      <c r="R565" s="255">
        <f ca="1">+IF(ISERROR(OFFSET(Tabella!$G$1,MATCH(J565,Tabella!$G:$G,0)-1,MATCH(K565,Tabella!$G$1:$FG$1,0)-1)=TRUE),0,OFFSET(Tabella!$G$1,MATCH(J565,Tabella!$G:$G,0)-1,MATCH(K565,Tabella!$G$1:$AB$1,0)-1))</f>
        <v>0</v>
      </c>
      <c r="S565" s="255">
        <f ca="1">IF(ISERROR(OFFSET(Ottone!$F$1,MATCH(J565,Ottone!$A:$A,0)-1,MATCH(K565,Ottone!$F$1:$FF$1,0)-1)=TRUE),0,OFFSET(Ottone!$F$1,MATCH(J565,Ottone!$A:$A,0)-1,MATCH(K565,Ottone!$F$1:$FF$1,0)-1))*IF(G565="Ottone",1,0)</f>
        <v>0</v>
      </c>
      <c r="T565" s="255">
        <f ca="1">IF(ISERROR(OFFSET(Rame!$F$1,MATCH(J565,Rame!$F:$F,0)-1,MATCH(K565,Rame!$F$1:$FF$1,0)-1)=TRUE),0,OFFSET(Rame!$F$1,MATCH(J565,Rame!$F:$F,0)-1,MATCH(K565,Rame!$F$1:$FF$1,0)-1))*IF(G565="Rame",1,0)</f>
        <v>0</v>
      </c>
      <c r="U565" s="255">
        <f ca="1">IF(ISERROR(OFFSET(Bronzo!$A$1,MATCH(J565,Bronzo!$A:$A,0)-1,MATCH(K565,Bronzo!$A$1:$AA$1,0)-1)=TRUE),0,OFFSET(Bronzo!$A$1,MATCH(J565,Bronzo!$A:$A,0)-1,MATCH(K565,Bronzo!$A$1:$AA$1,0)-1))</f>
        <v>0</v>
      </c>
      <c r="V565" s="255">
        <f t="shared" ref="V565:V573" ca="1" si="181">SUM(R565:U565)</f>
        <v>0</v>
      </c>
      <c r="W565" s="254"/>
      <c r="X565" s="255">
        <v>0</v>
      </c>
      <c r="Y565" s="256">
        <f t="shared" ref="Y565:Y573" ca="1" si="182">+Q565+V565+W565+X565</f>
        <v>1.25</v>
      </c>
      <c r="Z565" s="257">
        <f t="shared" ref="Z565:Z573" si="183">+L565*F565</f>
        <v>42.000000000000007</v>
      </c>
      <c r="AA565" s="253">
        <v>4.3499999999999996</v>
      </c>
      <c r="AB565" s="253">
        <f t="shared" ref="AB565:AB573" ca="1" si="184">+AA565-Y565-H565</f>
        <v>0.32999999999999963</v>
      </c>
      <c r="AC565" s="258"/>
      <c r="AJ565" s="259"/>
    </row>
    <row r="566" spans="4:48" ht="26.25" x14ac:dyDescent="0.4">
      <c r="D566" s="246"/>
      <c r="E566" s="252" t="s">
        <v>297</v>
      </c>
      <c r="F566" s="276">
        <v>600</v>
      </c>
      <c r="G566" s="249" t="s">
        <v>4</v>
      </c>
      <c r="H566" s="250">
        <v>2.77</v>
      </c>
      <c r="I566" s="251">
        <v>46107</v>
      </c>
      <c r="J566" s="252" t="s">
        <v>15</v>
      </c>
      <c r="K566" s="252"/>
      <c r="L566" s="253">
        <v>7.0000000000000007E-2</v>
      </c>
      <c r="M566" s="254">
        <f ca="1">IF(ISERROR(OFFSET(Tabella!$A$1,MATCH(J566,Tabella!$A:$A,0)-1,MATCH(L566,Tabella!$A$1:$AC$1,0)-1)=TRUE),0,+OFFSET(Tabella!$A$1,MATCH(J566,Tabella!$A:$A,0)-1,MATCH(L566,Tabella!$A$1:$AC$1,0)-1))</f>
        <v>1.4</v>
      </c>
      <c r="N566" s="255">
        <f ca="1">IF(ISERROR(OFFSET(Ottone!$A$1,MATCH(J566,Ottone!$A:$A,0)-1,MATCH(L566,Ottone!$A$1:$Z$1,0)-1)=TRUE),0,OFFSET(Ottone!$A$1,MATCH(J566,Ottone!$A:$A,0)-1,MATCH(L566,Ottone!$A$1:$Z$1,0)-1))*IF(G566="Ottone",1,0)</f>
        <v>0</v>
      </c>
      <c r="O566" s="255">
        <f ca="1">IF(ISERROR(OFFSET(Rame!$A$1,MATCH(J566,Rame!$A:$A,0)-1,MATCH(L566,Rame!$A$1:$AA$1,0)-1)=TRUE),0,OFFSET(Rame!$A$1,MATCH(J566,Rame!$A:$A,0)-1,MATCH(L566,Rame!$A$1:$AA$1,0)-1))*IF(G566="Rame",1,0)</f>
        <v>0</v>
      </c>
      <c r="P566" s="255">
        <v>0</v>
      </c>
      <c r="Q566" s="255">
        <f t="shared" ca="1" si="180"/>
        <v>1.4</v>
      </c>
      <c r="R566" s="255">
        <f ca="1">+IF(ISERROR(OFFSET(Tabella!$G$1,MATCH(J566,Tabella!$G:$G,0)-1,MATCH(K566,Tabella!$G$1:$FG$1,0)-1)=TRUE),0,OFFSET(Tabella!$G$1,MATCH(J566,Tabella!$G:$G,0)-1,MATCH(K566,Tabella!$G$1:$AB$1,0)-1))</f>
        <v>0</v>
      </c>
      <c r="S566" s="255">
        <f ca="1">IF(ISERROR(OFFSET(Ottone!$F$1,MATCH(J566,Ottone!$A:$A,0)-1,MATCH(K566,Ottone!$F$1:$FF$1,0)-1)=TRUE),0,OFFSET(Ottone!$F$1,MATCH(J566,Ottone!$A:$A,0)-1,MATCH(K566,Ottone!$F$1:$FF$1,0)-1))*IF(G566="Ottone",1,0)</f>
        <v>0</v>
      </c>
      <c r="T566" s="255">
        <f ca="1">IF(ISERROR(OFFSET(Rame!$F$1,MATCH(J566,Rame!$F:$F,0)-1,MATCH(K566,Rame!$F$1:$FF$1,0)-1)=TRUE),0,OFFSET(Rame!$F$1,MATCH(J566,Rame!$F:$F,0)-1,MATCH(K566,Rame!$F$1:$FF$1,0)-1))*IF(G566="Rame",1,0)</f>
        <v>0</v>
      </c>
      <c r="U566" s="255">
        <f ca="1">IF(ISERROR(OFFSET(Bronzo!$A$1,MATCH(J566,Bronzo!$A:$A,0)-1,MATCH(K566,Bronzo!$A$1:$AA$1,0)-1)=TRUE),0,OFFSET(Bronzo!$A$1,MATCH(J566,Bronzo!$A:$A,0)-1,MATCH(K566,Bronzo!$A$1:$AA$1,0)-1))</f>
        <v>0</v>
      </c>
      <c r="V566" s="255">
        <f t="shared" ca="1" si="181"/>
        <v>0</v>
      </c>
      <c r="W566" s="254"/>
      <c r="X566" s="255">
        <v>0</v>
      </c>
      <c r="Y566" s="256">
        <f t="shared" ca="1" si="182"/>
        <v>1.4</v>
      </c>
      <c r="Z566" s="257">
        <f t="shared" si="183"/>
        <v>42.000000000000007</v>
      </c>
      <c r="AA566" s="253">
        <v>4.4000000000000004</v>
      </c>
      <c r="AB566" s="253">
        <f t="shared" ca="1" si="184"/>
        <v>0.23000000000000043</v>
      </c>
      <c r="AC566" s="258"/>
      <c r="AJ566" s="259"/>
    </row>
    <row r="567" spans="4:48" ht="26.25" x14ac:dyDescent="0.4">
      <c r="D567" s="246"/>
      <c r="E567" s="252" t="s">
        <v>297</v>
      </c>
      <c r="F567" s="276">
        <v>900</v>
      </c>
      <c r="G567" s="249" t="s">
        <v>4</v>
      </c>
      <c r="H567" s="250">
        <v>2.77</v>
      </c>
      <c r="I567" s="251">
        <v>46107</v>
      </c>
      <c r="J567" s="252" t="s">
        <v>22</v>
      </c>
      <c r="K567" s="252"/>
      <c r="L567" s="253">
        <v>7.0000000000000007E-2</v>
      </c>
      <c r="M567" s="254">
        <f ca="1">IF(ISERROR(OFFSET(Tabella!$A$1,MATCH(J567,Tabella!$A:$A,0)-1,MATCH(L567,Tabella!$A$1:$AC$1,0)-1)=TRUE),0,+OFFSET(Tabella!$A$1,MATCH(J567,Tabella!$A:$A,0)-1,MATCH(L567,Tabella!$A$1:$AC$1,0)-1))</f>
        <v>1.25</v>
      </c>
      <c r="N567" s="255">
        <f ca="1">IF(ISERROR(OFFSET(Ottone!$A$1,MATCH(J567,Ottone!$A:$A,0)-1,MATCH(L567,Ottone!$A$1:$Z$1,0)-1)=TRUE),0,OFFSET(Ottone!$A$1,MATCH(J567,Ottone!$A:$A,0)-1,MATCH(L567,Ottone!$A$1:$Z$1,0)-1))*IF(G567="Ottone",1,0)</f>
        <v>0</v>
      </c>
      <c r="O567" s="255">
        <f ca="1">IF(ISERROR(OFFSET(Rame!$A$1,MATCH(J567,Rame!$A:$A,0)-1,MATCH(L567,Rame!$A$1:$AA$1,0)-1)=TRUE),0,OFFSET(Rame!$A$1,MATCH(J567,Rame!$A:$A,0)-1,MATCH(L567,Rame!$A$1:$AA$1,0)-1))*IF(G567="Rame",1,0)</f>
        <v>0</v>
      </c>
      <c r="P567" s="255">
        <v>0</v>
      </c>
      <c r="Q567" s="255">
        <f t="shared" ca="1" si="180"/>
        <v>1.25</v>
      </c>
      <c r="R567" s="255">
        <f ca="1">+IF(ISERROR(OFFSET(Tabella!$G$1,MATCH(J567,Tabella!$G:$G,0)-1,MATCH(K567,Tabella!$G$1:$FG$1,0)-1)=TRUE),0,OFFSET(Tabella!$G$1,MATCH(J567,Tabella!$G:$G,0)-1,MATCH(K567,Tabella!$G$1:$AB$1,0)-1))</f>
        <v>0</v>
      </c>
      <c r="S567" s="255">
        <f ca="1">IF(ISERROR(OFFSET(Ottone!$F$1,MATCH(J567,Ottone!$A:$A,0)-1,MATCH(K567,Ottone!$F$1:$FF$1,0)-1)=TRUE),0,OFFSET(Ottone!$F$1,MATCH(J567,Ottone!$A:$A,0)-1,MATCH(K567,Ottone!$F$1:$FF$1,0)-1))*IF(G567="Ottone",1,0)</f>
        <v>0</v>
      </c>
      <c r="T567" s="255">
        <f ca="1">IF(ISERROR(OFFSET(Rame!$F$1,MATCH(J567,Rame!$F:$F,0)-1,MATCH(K567,Rame!$F$1:$FF$1,0)-1)=TRUE),0,OFFSET(Rame!$F$1,MATCH(J567,Rame!$F:$F,0)-1,MATCH(K567,Rame!$F$1:$FF$1,0)-1))*IF(G567="Rame",1,0)</f>
        <v>0</v>
      </c>
      <c r="U567" s="255">
        <f ca="1">IF(ISERROR(OFFSET(Bronzo!$A$1,MATCH(J567,Bronzo!$A:$A,0)-1,MATCH(K567,Bronzo!$A$1:$AA$1,0)-1)=TRUE),0,OFFSET(Bronzo!$A$1,MATCH(J567,Bronzo!$A:$A,0)-1,MATCH(K567,Bronzo!$A$1:$AA$1,0)-1))</f>
        <v>0</v>
      </c>
      <c r="V567" s="255">
        <f t="shared" ca="1" si="181"/>
        <v>0</v>
      </c>
      <c r="W567" s="254"/>
      <c r="X567" s="255">
        <v>0</v>
      </c>
      <c r="Y567" s="256">
        <f t="shared" ca="1" si="182"/>
        <v>1.25</v>
      </c>
      <c r="Z567" s="257">
        <f t="shared" si="183"/>
        <v>63.000000000000007</v>
      </c>
      <c r="AA567" s="253">
        <v>4.3499999999999996</v>
      </c>
      <c r="AB567" s="253">
        <f t="shared" ca="1" si="184"/>
        <v>0.32999999999999963</v>
      </c>
      <c r="AC567" s="258"/>
      <c r="AJ567" s="259"/>
    </row>
    <row r="568" spans="4:48" ht="26.25" x14ac:dyDescent="0.4">
      <c r="D568" s="246"/>
      <c r="E568" s="252" t="s">
        <v>397</v>
      </c>
      <c r="F568" s="276">
        <v>300</v>
      </c>
      <c r="G568" s="249" t="s">
        <v>4</v>
      </c>
      <c r="H568" s="250">
        <v>2.84</v>
      </c>
      <c r="I568" s="251">
        <v>46107</v>
      </c>
      <c r="J568" s="252" t="s">
        <v>11</v>
      </c>
      <c r="K568" s="252"/>
      <c r="L568" s="253">
        <v>7.0000000000000007E-2</v>
      </c>
      <c r="M568" s="254">
        <f ca="1">IF(ISERROR(OFFSET(Tabella!$A$1,MATCH(J568,Tabella!$A:$A,0)-1,MATCH(L568,Tabella!$A$1:$AC$1,0)-1)=TRUE),0,+OFFSET(Tabella!$A$1,MATCH(J568,Tabella!$A:$A,0)-1,MATCH(L568,Tabella!$A$1:$AC$1,0)-1))</f>
        <v>1.5</v>
      </c>
      <c r="N568" s="255">
        <f ca="1">IF(ISERROR(OFFSET(Ottone!$A$1,MATCH(J568,Ottone!$A:$A,0)-1,MATCH(L568,Ottone!$A$1:$Z$1,0)-1)=TRUE),0,OFFSET(Ottone!$A$1,MATCH(J568,Ottone!$A:$A,0)-1,MATCH(L568,Ottone!$A$1:$Z$1,0)-1))*IF(G568="Ottone",1,0)</f>
        <v>0</v>
      </c>
      <c r="O568" s="255">
        <f ca="1">IF(ISERROR(OFFSET(Rame!$A$1,MATCH(J568,Rame!$A:$A,0)-1,MATCH(L568,Rame!$A$1:$AA$1,0)-1)=TRUE),0,OFFSET(Rame!$A$1,MATCH(J568,Rame!$A:$A,0)-1,MATCH(L568,Rame!$A$1:$AA$1,0)-1))*IF(G568="Rame",1,0)</f>
        <v>0</v>
      </c>
      <c r="P568" s="255">
        <v>0</v>
      </c>
      <c r="Q568" s="255">
        <f t="shared" ca="1" si="180"/>
        <v>1.5</v>
      </c>
      <c r="R568" s="255">
        <f ca="1">+IF(ISERROR(OFFSET(Tabella!$G$1,MATCH(J568,Tabella!$G:$G,0)-1,MATCH(K568,Tabella!$G$1:$FG$1,0)-1)=TRUE),0,OFFSET(Tabella!$G$1,MATCH(J568,Tabella!$G:$G,0)-1,MATCH(K568,Tabella!$G$1:$AB$1,0)-1))</f>
        <v>0</v>
      </c>
      <c r="S568" s="255">
        <f ca="1">IF(ISERROR(OFFSET(Ottone!$F$1,MATCH(J568,Ottone!$A:$A,0)-1,MATCH(K568,Ottone!$F$1:$FF$1,0)-1)=TRUE),0,OFFSET(Ottone!$F$1,MATCH(J568,Ottone!$A:$A,0)-1,MATCH(K568,Ottone!$F$1:$FF$1,0)-1))*IF(G568="Ottone",1,0)</f>
        <v>0</v>
      </c>
      <c r="T568" s="255">
        <f ca="1">IF(ISERROR(OFFSET(Rame!$F$1,MATCH(J568,Rame!$F:$F,0)-1,MATCH(K568,Rame!$F$1:$FF$1,0)-1)=TRUE),0,OFFSET(Rame!$F$1,MATCH(J568,Rame!$F:$F,0)-1,MATCH(K568,Rame!$F$1:$FF$1,0)-1))*IF(G568="Rame",1,0)</f>
        <v>0</v>
      </c>
      <c r="U568" s="255">
        <f ca="1">IF(ISERROR(OFFSET(Bronzo!$A$1,MATCH(J568,Bronzo!$A:$A,0)-1,MATCH(K568,Bronzo!$A$1:$AA$1,0)-1)=TRUE),0,OFFSET(Bronzo!$A$1,MATCH(J568,Bronzo!$A:$A,0)-1,MATCH(K568,Bronzo!$A$1:$AA$1,0)-1))</f>
        <v>0</v>
      </c>
      <c r="V568" s="255">
        <f t="shared" ca="1" si="181"/>
        <v>0</v>
      </c>
      <c r="W568" s="254"/>
      <c r="X568" s="255">
        <v>0</v>
      </c>
      <c r="Y568" s="256">
        <f t="shared" ca="1" si="182"/>
        <v>1.5</v>
      </c>
      <c r="Z568" s="257">
        <f t="shared" si="183"/>
        <v>21.000000000000004</v>
      </c>
      <c r="AA568" s="253">
        <v>4.96</v>
      </c>
      <c r="AB568" s="253">
        <f t="shared" ca="1" si="184"/>
        <v>0.62000000000000011</v>
      </c>
      <c r="AC568" s="258"/>
      <c r="AJ568" s="259"/>
    </row>
    <row r="569" spans="4:48" ht="26.25" x14ac:dyDescent="0.4">
      <c r="D569" s="246"/>
      <c r="E569" s="252" t="s">
        <v>377</v>
      </c>
      <c r="F569" s="276">
        <v>260</v>
      </c>
      <c r="G569" s="249" t="s">
        <v>6</v>
      </c>
      <c r="H569" s="250">
        <v>10.47</v>
      </c>
      <c r="I569" s="251">
        <v>46107</v>
      </c>
      <c r="J569" s="252" t="s">
        <v>18</v>
      </c>
      <c r="K569" s="252"/>
      <c r="L569" s="253">
        <v>0.15</v>
      </c>
      <c r="M569" s="254">
        <f ca="1">IF(ISERROR(OFFSET(Tabella!$A$1,MATCH(J569,Tabella!$A:$A,0)-1,MATCH(L569,Tabella!$A$1:$AC$1,0)-1)=TRUE),0,+OFFSET(Tabella!$A$1,MATCH(J569,Tabella!$A:$A,0)-1,MATCH(L569,Tabella!$A$1:$AC$1,0)-1))</f>
        <v>0</v>
      </c>
      <c r="N569" s="255">
        <f ca="1">IF(ISERROR(OFFSET(Ottone!$A$1,MATCH(J569,Ottone!$A:$A,0)-1,MATCH(L569,Ottone!$A$1:$Z$1,0)-1)=TRUE),0,OFFSET(Ottone!$A$1,MATCH(J569,Ottone!$A:$A,0)-1,MATCH(L569,Ottone!$A$1:$Z$1,0)-1))*IF(G569="Ottone",1,0)</f>
        <v>0</v>
      </c>
      <c r="O569" s="255">
        <f ca="1">IF(ISERROR(OFFSET(Rame!$A$1,MATCH(J569,Rame!$A:$A,0)-1,MATCH(L569,Rame!$A$1:$AA$1,0)-1)=TRUE),0,OFFSET(Rame!$A$1,MATCH(J569,Rame!$A:$A,0)-1,MATCH(L569,Rame!$A$1:$AA$1,0)-1))*IF(G569="Rame",1,0)</f>
        <v>0.82</v>
      </c>
      <c r="P569" s="255">
        <v>0</v>
      </c>
      <c r="Q569" s="255">
        <f t="shared" ca="1" si="180"/>
        <v>0.82</v>
      </c>
      <c r="R569" s="255">
        <f ca="1">+IF(ISERROR(OFFSET(Tabella!$G$1,MATCH(J569,Tabella!$G:$G,0)-1,MATCH(K569,Tabella!$G$1:$FG$1,0)-1)=TRUE),0,OFFSET(Tabella!$G$1,MATCH(J569,Tabella!$G:$G,0)-1,MATCH(K569,Tabella!$G$1:$AB$1,0)-1))</f>
        <v>0</v>
      </c>
      <c r="S569" s="255">
        <f ca="1">IF(ISERROR(OFFSET(Ottone!$F$1,MATCH(J569,Ottone!$A:$A,0)-1,MATCH(K569,Ottone!$F$1:$FF$1,0)-1)=TRUE),0,OFFSET(Ottone!$F$1,MATCH(J569,Ottone!$A:$A,0)-1,MATCH(K569,Ottone!$F$1:$FF$1,0)-1))*IF(G569="Ottone",1,0)</f>
        <v>0</v>
      </c>
      <c r="T569" s="255">
        <f ca="1">IF(ISERROR(OFFSET(Rame!$F$1,MATCH(J569,Rame!$F:$F,0)-1,MATCH(K569,Rame!$F$1:$FF$1,0)-1)=TRUE),0,OFFSET(Rame!$F$1,MATCH(J569,Rame!$F:$F,0)-1,MATCH(K569,Rame!$F$1:$FF$1,0)-1))*IF(G569="Rame",1,0)</f>
        <v>0</v>
      </c>
      <c r="U569" s="255">
        <f ca="1">IF(ISERROR(OFFSET(Bronzo!$A$1,MATCH(J569,Bronzo!$A:$A,0)-1,MATCH(K569,Bronzo!$A$1:$AA$1,0)-1)=TRUE),0,OFFSET(Bronzo!$A$1,MATCH(J569,Bronzo!$A:$A,0)-1,MATCH(K569,Bronzo!$A$1:$AA$1,0)-1))</f>
        <v>0</v>
      </c>
      <c r="V569" s="255">
        <f t="shared" ca="1" si="181"/>
        <v>0</v>
      </c>
      <c r="W569" s="254"/>
      <c r="X569" s="255">
        <v>0</v>
      </c>
      <c r="Y569" s="256">
        <f t="shared" ca="1" si="182"/>
        <v>0.82</v>
      </c>
      <c r="Z569" s="257">
        <f t="shared" si="183"/>
        <v>39</v>
      </c>
      <c r="AA569" s="253">
        <v>14.9</v>
      </c>
      <c r="AB569" s="253">
        <f t="shared" ca="1" si="184"/>
        <v>3.6099999999999994</v>
      </c>
      <c r="AC569" s="258"/>
      <c r="AJ569" s="259"/>
    </row>
    <row r="570" spans="4:48" ht="26.25" x14ac:dyDescent="0.4">
      <c r="D570" s="246"/>
      <c r="E570" s="252" t="s">
        <v>377</v>
      </c>
      <c r="F570" s="276">
        <v>380</v>
      </c>
      <c r="G570" s="249" t="s">
        <v>6</v>
      </c>
      <c r="H570" s="250">
        <v>10.47</v>
      </c>
      <c r="I570" s="251">
        <v>46107</v>
      </c>
      <c r="J570" s="252" t="s">
        <v>16</v>
      </c>
      <c r="K570" s="252"/>
      <c r="L570" s="253">
        <v>0.15</v>
      </c>
      <c r="M570" s="254">
        <f ca="1">IF(ISERROR(OFFSET(Tabella!$A$1,MATCH(J570,Tabella!$A:$A,0)-1,MATCH(L570,Tabella!$A$1:$AC$1,0)-1)=TRUE),0,+OFFSET(Tabella!$A$1,MATCH(J570,Tabella!$A:$A,0)-1,MATCH(L570,Tabella!$A$1:$AC$1,0)-1))</f>
        <v>0</v>
      </c>
      <c r="N570" s="255">
        <f ca="1">IF(ISERROR(OFFSET(Ottone!$A$1,MATCH(J570,Ottone!$A:$A,0)-1,MATCH(L570,Ottone!$A$1:$Z$1,0)-1)=TRUE),0,OFFSET(Ottone!$A$1,MATCH(J570,Ottone!$A:$A,0)-1,MATCH(L570,Ottone!$A$1:$Z$1,0)-1))*IF(G570="Ottone",1,0)</f>
        <v>0</v>
      </c>
      <c r="O570" s="255">
        <f ca="1">IF(ISERROR(OFFSET(Rame!$A$1,MATCH(J570,Rame!$A:$A,0)-1,MATCH(L570,Rame!$A$1:$AA$1,0)-1)=TRUE),0,OFFSET(Rame!$A$1,MATCH(J570,Rame!$A:$A,0)-1,MATCH(L570,Rame!$A$1:$AA$1,0)-1))*IF(G570="Rame",1,0)</f>
        <v>0.85</v>
      </c>
      <c r="P570" s="255">
        <v>0</v>
      </c>
      <c r="Q570" s="255">
        <f t="shared" ca="1" si="180"/>
        <v>0.85</v>
      </c>
      <c r="R570" s="255">
        <f ca="1">+IF(ISERROR(OFFSET(Tabella!$G$1,MATCH(J570,Tabella!$G:$G,0)-1,MATCH(K570,Tabella!$G$1:$FG$1,0)-1)=TRUE),0,OFFSET(Tabella!$G$1,MATCH(J570,Tabella!$G:$G,0)-1,MATCH(K570,Tabella!$G$1:$AB$1,0)-1))</f>
        <v>0</v>
      </c>
      <c r="S570" s="255">
        <f ca="1">IF(ISERROR(OFFSET(Ottone!$F$1,MATCH(J570,Ottone!$A:$A,0)-1,MATCH(K570,Ottone!$F$1:$FF$1,0)-1)=TRUE),0,OFFSET(Ottone!$F$1,MATCH(J570,Ottone!$A:$A,0)-1,MATCH(K570,Ottone!$F$1:$FF$1,0)-1))*IF(G570="Ottone",1,0)</f>
        <v>0</v>
      </c>
      <c r="T570" s="255">
        <f ca="1">IF(ISERROR(OFFSET(Rame!$F$1,MATCH(J570,Rame!$F:$F,0)-1,MATCH(K570,Rame!$F$1:$FF$1,0)-1)=TRUE),0,OFFSET(Rame!$F$1,MATCH(J570,Rame!$F:$F,0)-1,MATCH(K570,Rame!$F$1:$FF$1,0)-1))*IF(G570="Rame",1,0)</f>
        <v>0</v>
      </c>
      <c r="U570" s="255">
        <f ca="1">IF(ISERROR(OFFSET(Bronzo!$A$1,MATCH(J570,Bronzo!$A:$A,0)-1,MATCH(K570,Bronzo!$A$1:$AA$1,0)-1)=TRUE),0,OFFSET(Bronzo!$A$1,MATCH(J570,Bronzo!$A:$A,0)-1,MATCH(K570,Bronzo!$A$1:$AA$1,0)-1))</f>
        <v>0</v>
      </c>
      <c r="V570" s="255">
        <f t="shared" ca="1" si="181"/>
        <v>0</v>
      </c>
      <c r="W570" s="254"/>
      <c r="X570" s="255">
        <v>0</v>
      </c>
      <c r="Y570" s="256">
        <f t="shared" ca="1" si="182"/>
        <v>0.85</v>
      </c>
      <c r="Z570" s="257">
        <f t="shared" si="183"/>
        <v>57</v>
      </c>
      <c r="AA570" s="253">
        <v>15.1</v>
      </c>
      <c r="AB570" s="253">
        <f t="shared" ca="1" si="184"/>
        <v>3.7799999999999994</v>
      </c>
      <c r="AC570" s="258"/>
      <c r="AJ570" s="259"/>
    </row>
    <row r="571" spans="4:48" ht="26.25" x14ac:dyDescent="0.4">
      <c r="D571" s="246"/>
      <c r="E571" s="252" t="s">
        <v>260</v>
      </c>
      <c r="F571" s="276">
        <v>497</v>
      </c>
      <c r="G571" s="249" t="s">
        <v>4</v>
      </c>
      <c r="H571" s="250">
        <v>2.8</v>
      </c>
      <c r="I571" s="251">
        <v>46108</v>
      </c>
      <c r="J571" s="252" t="s">
        <v>23</v>
      </c>
      <c r="K571" s="252"/>
      <c r="L571" s="253">
        <v>7.0000000000000007E-2</v>
      </c>
      <c r="M571" s="254">
        <f ca="1">IF(ISERROR(OFFSET(Tabella!$A$1,MATCH(J571,Tabella!$A:$A,0)-1,MATCH(L571,Tabella!$A$1:$AC$1,0)-1)=TRUE),0,+OFFSET(Tabella!$A$1,MATCH(J571,Tabella!$A:$A,0)-1,MATCH(L571,Tabella!$A$1:$AC$1,0)-1))</f>
        <v>1.25</v>
      </c>
      <c r="N571" s="255">
        <f ca="1">IF(ISERROR(OFFSET(Ottone!$A$1,MATCH(J571,Ottone!$A:$A,0)-1,MATCH(L571,Ottone!$A$1:$Z$1,0)-1)=TRUE),0,OFFSET(Ottone!$A$1,MATCH(J571,Ottone!$A:$A,0)-1,MATCH(L571,Ottone!$A$1:$Z$1,0)-1))*IF(G571="Ottone",1,0)</f>
        <v>0</v>
      </c>
      <c r="O571" s="255">
        <f ca="1">IF(ISERROR(OFFSET(Rame!$A$1,MATCH(J571,Rame!$A:$A,0)-1,MATCH(L571,Rame!$A$1:$AA$1,0)-1)=TRUE),0,OFFSET(Rame!$A$1,MATCH(J571,Rame!$A:$A,0)-1,MATCH(L571,Rame!$A$1:$AA$1,0)-1))*IF(G571="Rame",1,0)</f>
        <v>0</v>
      </c>
      <c r="P571" s="255">
        <v>0</v>
      </c>
      <c r="Q571" s="255">
        <f t="shared" ca="1" si="180"/>
        <v>1.25</v>
      </c>
      <c r="R571" s="255">
        <f ca="1">+IF(ISERROR(OFFSET(Tabella!$G$1,MATCH(J571,Tabella!$G:$G,0)-1,MATCH(K571,Tabella!$G$1:$FG$1,0)-1)=TRUE),0,OFFSET(Tabella!$G$1,MATCH(J571,Tabella!$G:$G,0)-1,MATCH(K571,Tabella!$G$1:$AB$1,0)-1))</f>
        <v>0</v>
      </c>
      <c r="S571" s="255">
        <f ca="1">IF(ISERROR(OFFSET(Ottone!$F$1,MATCH(J571,Ottone!$A:$A,0)-1,MATCH(K571,Ottone!$F$1:$FF$1,0)-1)=TRUE),0,OFFSET(Ottone!$F$1,MATCH(J571,Ottone!$A:$A,0)-1,MATCH(K571,Ottone!$F$1:$FF$1,0)-1))*IF(G571="Ottone",1,0)</f>
        <v>0</v>
      </c>
      <c r="T571" s="255">
        <f ca="1">IF(ISERROR(OFFSET(Rame!$F$1,MATCH(J571,Rame!$F:$F,0)-1,MATCH(K571,Rame!$F$1:$FF$1,0)-1)=TRUE),0,OFFSET(Rame!$F$1,MATCH(J571,Rame!$F:$F,0)-1,MATCH(K571,Rame!$F$1:$FF$1,0)-1))*IF(G571="Rame",1,0)</f>
        <v>0</v>
      </c>
      <c r="U571" s="255">
        <f ca="1">IF(ISERROR(OFFSET(Bronzo!$A$1,MATCH(J571,Bronzo!$A:$A,0)-1,MATCH(K571,Bronzo!$A$1:$AA$1,0)-1)=TRUE),0,OFFSET(Bronzo!$A$1,MATCH(J571,Bronzo!$A:$A,0)-1,MATCH(K571,Bronzo!$A$1:$AA$1,0)-1))</f>
        <v>0</v>
      </c>
      <c r="V571" s="255">
        <f t="shared" ca="1" si="181"/>
        <v>0</v>
      </c>
      <c r="W571" s="254"/>
      <c r="X571" s="255">
        <v>0</v>
      </c>
      <c r="Y571" s="256">
        <f t="shared" ca="1" si="182"/>
        <v>1.25</v>
      </c>
      <c r="Z571" s="257">
        <f t="shared" si="183"/>
        <v>34.790000000000006</v>
      </c>
      <c r="AA571" s="253">
        <v>4.4000000000000004</v>
      </c>
      <c r="AB571" s="253">
        <f t="shared" ca="1" si="184"/>
        <v>0.35000000000000053</v>
      </c>
      <c r="AC571" s="258"/>
      <c r="AJ571" s="259"/>
    </row>
    <row r="572" spans="4:48" ht="26.25" x14ac:dyDescent="0.4">
      <c r="D572" s="246"/>
      <c r="E572" s="252" t="s">
        <v>260</v>
      </c>
      <c r="F572" s="276">
        <v>1150</v>
      </c>
      <c r="G572" s="249" t="s">
        <v>4</v>
      </c>
      <c r="H572" s="250">
        <v>2.8</v>
      </c>
      <c r="I572" s="251">
        <v>46108</v>
      </c>
      <c r="J572" s="252" t="s">
        <v>326</v>
      </c>
      <c r="K572" s="252"/>
      <c r="L572" s="253">
        <v>7.0000000000000007E-2</v>
      </c>
      <c r="M572" s="254">
        <f ca="1">IF(ISERROR(OFFSET(Tabella!$A$1,MATCH(J572,Tabella!$A:$A,0)-1,MATCH(L572,Tabella!$A$1:$AC$1,0)-1)=TRUE),0,+OFFSET(Tabella!$A$1,MATCH(J572,Tabella!$A:$A,0)-1,MATCH(L572,Tabella!$A$1:$AC$1,0)-1))</f>
        <v>1.25</v>
      </c>
      <c r="N572" s="255">
        <f ca="1">IF(ISERROR(OFFSET(Ottone!$A$1,MATCH(J572,Ottone!$A:$A,0)-1,MATCH(L572,Ottone!$A$1:$Z$1,0)-1)=TRUE),0,OFFSET(Ottone!$A$1,MATCH(J572,Ottone!$A:$A,0)-1,MATCH(L572,Ottone!$A$1:$Z$1,0)-1))*IF(G572="Ottone",1,0)</f>
        <v>0</v>
      </c>
      <c r="O572" s="255">
        <f ca="1">IF(ISERROR(OFFSET(Rame!$A$1,MATCH(J572,Rame!$A:$A,0)-1,MATCH(L572,Rame!$A$1:$AA$1,0)-1)=TRUE),0,OFFSET(Rame!$A$1,MATCH(J572,Rame!$A:$A,0)-1,MATCH(L572,Rame!$A$1:$AA$1,0)-1))*IF(G572="Rame",1,0)</f>
        <v>0</v>
      </c>
      <c r="P572" s="255">
        <v>0</v>
      </c>
      <c r="Q572" s="255">
        <f t="shared" ca="1" si="180"/>
        <v>1.25</v>
      </c>
      <c r="R572" s="255">
        <f ca="1">+IF(ISERROR(OFFSET(Tabella!$G$1,MATCH(J572,Tabella!$G:$G,0)-1,MATCH(K572,Tabella!$G$1:$FG$1,0)-1)=TRUE),0,OFFSET(Tabella!$G$1,MATCH(J572,Tabella!$G:$G,0)-1,MATCH(K572,Tabella!$G$1:$AB$1,0)-1))</f>
        <v>0</v>
      </c>
      <c r="S572" s="255">
        <f ca="1">IF(ISERROR(OFFSET(Ottone!$F$1,MATCH(J572,Ottone!$A:$A,0)-1,MATCH(K572,Ottone!$F$1:$FF$1,0)-1)=TRUE),0,OFFSET(Ottone!$F$1,MATCH(J572,Ottone!$A:$A,0)-1,MATCH(K572,Ottone!$F$1:$FF$1,0)-1))*IF(G572="Ottone",1,0)</f>
        <v>0</v>
      </c>
      <c r="T572" s="255">
        <f ca="1">IF(ISERROR(OFFSET(Rame!$F$1,MATCH(J572,Rame!$F:$F,0)-1,MATCH(K572,Rame!$F$1:$FF$1,0)-1)=TRUE),0,OFFSET(Rame!$F$1,MATCH(J572,Rame!$F:$F,0)-1,MATCH(K572,Rame!$F$1:$FF$1,0)-1))*IF(G572="Rame",1,0)</f>
        <v>0</v>
      </c>
      <c r="U572" s="255">
        <f ca="1">IF(ISERROR(OFFSET(Bronzo!$A$1,MATCH(J572,Bronzo!$A:$A,0)-1,MATCH(K572,Bronzo!$A$1:$AA$1,0)-1)=TRUE),0,OFFSET(Bronzo!$A$1,MATCH(J572,Bronzo!$A:$A,0)-1,MATCH(K572,Bronzo!$A$1:$AA$1,0)-1))</f>
        <v>0</v>
      </c>
      <c r="V572" s="255">
        <f t="shared" ca="1" si="181"/>
        <v>0</v>
      </c>
      <c r="W572" s="254"/>
      <c r="X572" s="255">
        <v>0</v>
      </c>
      <c r="Y572" s="256">
        <f t="shared" ca="1" si="182"/>
        <v>1.25</v>
      </c>
      <c r="Z572" s="257">
        <f t="shared" si="183"/>
        <v>80.500000000000014</v>
      </c>
      <c r="AA572" s="253">
        <v>4.4000000000000004</v>
      </c>
      <c r="AB572" s="253">
        <f t="shared" ca="1" si="184"/>
        <v>0.35000000000000053</v>
      </c>
      <c r="AC572" s="258"/>
      <c r="AJ572" s="259"/>
    </row>
    <row r="573" spans="4:48" ht="26.25" x14ac:dyDescent="0.4">
      <c r="D573" s="246" t="s">
        <v>786</v>
      </c>
      <c r="E573" s="303" t="s">
        <v>208</v>
      </c>
      <c r="F573" s="304">
        <v>537</v>
      </c>
      <c r="G573" s="249" t="s">
        <v>4</v>
      </c>
      <c r="H573" s="250">
        <v>2.42</v>
      </c>
      <c r="I573" s="251">
        <v>45987</v>
      </c>
      <c r="J573" s="252" t="s">
        <v>23</v>
      </c>
      <c r="K573" s="252"/>
      <c r="L573" s="253">
        <v>7.0000000000000007E-2</v>
      </c>
      <c r="M573" s="254">
        <f ca="1">IF(ISERROR(OFFSET(Tabella!$A$1,MATCH(J573,Tabella!$A:$A,0)-1,MATCH(L573,Tabella!$A$1:$AC$1,0)-1)=TRUE),0,+OFFSET(Tabella!$A$1,MATCH(J573,Tabella!$A:$A,0)-1,MATCH(L573,Tabella!$A$1:$AC$1,0)-1))</f>
        <v>1.25</v>
      </c>
      <c r="N573" s="255">
        <f ca="1">IF(ISERROR(OFFSET(Ottone!$A$1,MATCH(J573,Ottone!$A:$A,0)-1,MATCH(L573,Ottone!$A$1:$Z$1,0)-1)=TRUE),0,OFFSET(Ottone!$A$1,MATCH(J573,Ottone!$A:$A,0)-1,MATCH(L573,Ottone!$A$1:$Z$1,0)-1))*IF(G573="Ottone",1,0)</f>
        <v>0</v>
      </c>
      <c r="O573" s="255">
        <f ca="1">IF(ISERROR(OFFSET(Rame!$A$1,MATCH(J573,Rame!$A:$A,0)-1,MATCH(L573,Rame!$A$1:$AA$1,0)-1)=TRUE),0,OFFSET(Rame!$A$1,MATCH(J573,Rame!$A:$A,0)-1,MATCH(L573,Rame!$A$1:$AA$1,0)-1))*IF(G573="Rame",1,0)</f>
        <v>0</v>
      </c>
      <c r="P573" s="255">
        <v>0</v>
      </c>
      <c r="Q573" s="255">
        <f t="shared" ca="1" si="180"/>
        <v>1.25</v>
      </c>
      <c r="R573" s="255">
        <f ca="1">+IF(ISERROR(OFFSET(Tabella!$G$1,MATCH(J573,Tabella!$G:$G,0)-1,MATCH(K573,Tabella!$G$1:$FG$1,0)-1)=TRUE),0,OFFSET(Tabella!$G$1,MATCH(J573,Tabella!$G:$G,0)-1,MATCH(K573,Tabella!$G$1:$AB$1,0)-1))</f>
        <v>0</v>
      </c>
      <c r="S573" s="255">
        <f ca="1">IF(ISERROR(OFFSET(Ottone!$F$1,MATCH(J573,Ottone!$A:$A,0)-1,MATCH(K573,Ottone!$F$1:$FF$1,0)-1)=TRUE),0,OFFSET(Ottone!$F$1,MATCH(J573,Ottone!$A:$A,0)-1,MATCH(K573,Ottone!$F$1:$FF$1,0)-1))*IF(G573="Ottone",1,0)</f>
        <v>0</v>
      </c>
      <c r="T573" s="255">
        <f ca="1">IF(ISERROR(OFFSET(Rame!$F$1,MATCH(J573,Rame!$F:$F,0)-1,MATCH(K573,Rame!$F$1:$FF$1,0)-1)=TRUE),0,OFFSET(Rame!$F$1,MATCH(J573,Rame!$F:$F,0)-1,MATCH(K573,Rame!$F$1:$FF$1,0)-1))*IF(G573="Rame",1,0)</f>
        <v>0</v>
      </c>
      <c r="U573" s="255">
        <f ca="1">IF(ISERROR(OFFSET(Bronzo!$A$1,MATCH(J573,Bronzo!$A:$A,0)-1,MATCH(K573,Bronzo!$A$1:$AA$1,0)-1)=TRUE),0,OFFSET(Bronzo!$A$1,MATCH(J573,Bronzo!$A:$A,0)-1,MATCH(K573,Bronzo!$A$1:$AA$1,0)-1))</f>
        <v>0</v>
      </c>
      <c r="V573" s="255">
        <f t="shared" ca="1" si="181"/>
        <v>0</v>
      </c>
      <c r="W573" s="254"/>
      <c r="X573" s="255">
        <v>0</v>
      </c>
      <c r="Y573" s="256">
        <f t="shared" ca="1" si="182"/>
        <v>1.25</v>
      </c>
      <c r="Z573" s="305">
        <f t="shared" si="183"/>
        <v>37.590000000000003</v>
      </c>
      <c r="AA573" s="253">
        <v>3.9</v>
      </c>
      <c r="AB573" s="253">
        <f t="shared" ca="1" si="184"/>
        <v>0.22999999999999998</v>
      </c>
      <c r="AC573" s="258"/>
      <c r="AF573" s="223" t="s">
        <v>405</v>
      </c>
      <c r="AJ573" s="259"/>
    </row>
    <row r="574" spans="4:48" ht="26.25" x14ac:dyDescent="0.4">
      <c r="D574" s="246"/>
      <c r="E574" s="252"/>
      <c r="F574" s="276"/>
      <c r="G574" s="249"/>
      <c r="H574" s="250"/>
      <c r="I574" s="251"/>
      <c r="J574" s="252"/>
      <c r="K574" s="252"/>
      <c r="L574" s="253"/>
      <c r="M574" s="254">
        <f ca="1">IF(ISERROR(OFFSET(Tabella!$A$1,MATCH(J574,Tabella!$A:$A,0)-1,MATCH(L574,Tabella!$A$1:$AC$1,0)-1)=TRUE),0,+OFFSET(Tabella!$A$1,MATCH(J574,Tabella!$A:$A,0)-1,MATCH(L574,Tabella!$A$1:$AC$1,0)-1))</f>
        <v>0</v>
      </c>
      <c r="N574" s="255">
        <f ca="1">IF(ISERROR(OFFSET(Ottone!$A$1,MATCH(J574,Ottone!$A:$A,0)-1,MATCH(L574,Ottone!$A$1:$Z$1,0)-1)=TRUE),0,OFFSET(Ottone!$A$1,MATCH(J574,Ottone!$A:$A,0)-1,MATCH(L574,Ottone!$A$1:$Z$1,0)-1))*IF(G574="Ottone",1,0)</f>
        <v>0</v>
      </c>
      <c r="O574" s="255">
        <f ca="1">IF(ISERROR(OFFSET(Rame!$A$1,MATCH(J574,Rame!$A:$A,0)-1,MATCH(L574,Rame!$A$1:$AA$1,0)-1)=TRUE),0,OFFSET(Rame!$A$1,MATCH(J574,Rame!$A:$A,0)-1,MATCH(L574,Rame!$A$1:$AA$1,0)-1))*IF(G574="Rame",1,0)</f>
        <v>0</v>
      </c>
      <c r="P574" s="255">
        <v>0</v>
      </c>
      <c r="Q574" s="255">
        <f t="shared" ref="Q574:Q577" ca="1" si="185">SUM(M574:P574)</f>
        <v>0</v>
      </c>
      <c r="R574" s="255">
        <f ca="1">+IF(ISERROR(OFFSET(Tabella!$G$1,MATCH(J574,Tabella!$G:$G,0)-1,MATCH(K574,Tabella!$G$1:$FG$1,0)-1)=TRUE),0,OFFSET(Tabella!$G$1,MATCH(J574,Tabella!$G:$G,0)-1,MATCH(K574,Tabella!$G$1:$AB$1,0)-1))</f>
        <v>0</v>
      </c>
      <c r="S574" s="255">
        <f ca="1">IF(ISERROR(OFFSET(Ottone!$F$1,MATCH(J574,Ottone!$A:$A,0)-1,MATCH(K574,Ottone!$F$1:$FF$1,0)-1)=TRUE),0,OFFSET(Ottone!$F$1,MATCH(J574,Ottone!$A:$A,0)-1,MATCH(K574,Ottone!$F$1:$FF$1,0)-1))*IF(G574="Ottone",1,0)</f>
        <v>0</v>
      </c>
      <c r="T574" s="255">
        <f ca="1">IF(ISERROR(OFFSET(Rame!$F$1,MATCH(J574,Rame!$F:$F,0)-1,MATCH(K574,Rame!$F$1:$FF$1,0)-1)=TRUE),0,OFFSET(Rame!$F$1,MATCH(J574,Rame!$F:$F,0)-1,MATCH(K574,Rame!$F$1:$FF$1,0)-1))*IF(G574="Rame",1,0)</f>
        <v>0</v>
      </c>
      <c r="U574" s="255">
        <f ca="1">IF(ISERROR(OFFSET(Bronzo!$A$1,MATCH(J574,Bronzo!$A:$A,0)-1,MATCH(K574,Bronzo!$A$1:$AA$1,0)-1)=TRUE),0,OFFSET(Bronzo!$A$1,MATCH(J574,Bronzo!$A:$A,0)-1,MATCH(K574,Bronzo!$A$1:$AA$1,0)-1))</f>
        <v>0</v>
      </c>
      <c r="V574" s="255">
        <f t="shared" ref="V574:V577" ca="1" si="186">SUM(R574:U574)</f>
        <v>0</v>
      </c>
      <c r="W574" s="254"/>
      <c r="X574" s="255">
        <v>0</v>
      </c>
      <c r="Y574" s="256">
        <f t="shared" ref="Y574:Y577" ca="1" si="187">+Q574+V574+W574+X574</f>
        <v>0</v>
      </c>
      <c r="Z574" s="257">
        <f t="shared" ref="Z574:Z577" si="188">+L574*F574</f>
        <v>0</v>
      </c>
      <c r="AA574" s="253"/>
      <c r="AB574" s="253">
        <f t="shared" ref="AB574:AB577" ca="1" si="189">+AA574-Y574-H574</f>
        <v>0</v>
      </c>
      <c r="AC574" s="258"/>
      <c r="AH574" s="232">
        <f t="shared" ref="AH574:AH577" ca="1" si="190">TODAY()</f>
        <v>46120</v>
      </c>
      <c r="AI574" s="232" t="b">
        <f>ISBLANK(AC574)</f>
        <v>1</v>
      </c>
      <c r="AJ574" s="259" t="str">
        <f>IF(AI574=FALSE,_xlfn.DAYS(AC574,AH574),"")</f>
        <v/>
      </c>
      <c r="AM574" s="223">
        <f>WEEKNUM(AC574)</f>
        <v>0</v>
      </c>
      <c r="AN574" s="223">
        <f>YEAR(AC574)</f>
        <v>1900</v>
      </c>
      <c r="AU574" s="223">
        <f>IF(AC574="",0,MONTH(AC574))</f>
        <v>0</v>
      </c>
      <c r="AV574" s="223">
        <f>IF(AC574="",0,YEAR(AC574))</f>
        <v>0</v>
      </c>
    </row>
    <row r="575" spans="4:48" ht="26.25" x14ac:dyDescent="0.4">
      <c r="D575" s="246"/>
      <c r="E575" s="252"/>
      <c r="F575" s="276"/>
      <c r="G575" s="249"/>
      <c r="H575" s="250"/>
      <c r="I575" s="251"/>
      <c r="J575" s="252"/>
      <c r="K575" s="252"/>
      <c r="L575" s="253"/>
      <c r="M575" s="254">
        <f ca="1">IF(ISERROR(OFFSET(Tabella!$A$1,MATCH(J575,Tabella!$A:$A,0)-1,MATCH(L575,Tabella!$A$1:$AC$1,0)-1)=TRUE),0,+OFFSET(Tabella!$A$1,MATCH(J575,Tabella!$A:$A,0)-1,MATCH(L575,Tabella!$A$1:$AC$1,0)-1))</f>
        <v>0</v>
      </c>
      <c r="N575" s="255">
        <f ca="1">IF(ISERROR(OFFSET(Ottone!$A$1,MATCH(J575,Ottone!$A:$A,0)-1,MATCH(L575,Ottone!$A$1:$Z$1,0)-1)=TRUE),0,OFFSET(Ottone!$A$1,MATCH(J575,Ottone!$A:$A,0)-1,MATCH(L575,Ottone!$A$1:$Z$1,0)-1))*IF(G575="Ottone",1,0)</f>
        <v>0</v>
      </c>
      <c r="O575" s="255">
        <f ca="1">IF(ISERROR(OFFSET(Rame!$A$1,MATCH(J575,Rame!$A:$A,0)-1,MATCH(L575,Rame!$A$1:$AA$1,0)-1)=TRUE),0,OFFSET(Rame!$A$1,MATCH(J575,Rame!$A:$A,0)-1,MATCH(L575,Rame!$A$1:$AA$1,0)-1))*IF(G575="Rame",1,0)</f>
        <v>0</v>
      </c>
      <c r="P575" s="255">
        <v>0</v>
      </c>
      <c r="Q575" s="255">
        <f t="shared" ca="1" si="185"/>
        <v>0</v>
      </c>
      <c r="R575" s="255">
        <f ca="1">+IF(ISERROR(OFFSET(Tabella!$G$1,MATCH(J575,Tabella!$G:$G,0)-1,MATCH(K575,Tabella!$G$1:$FG$1,0)-1)=TRUE),0,OFFSET(Tabella!$G$1,MATCH(J575,Tabella!$G:$G,0)-1,MATCH(K575,Tabella!$G$1:$AB$1,0)-1))</f>
        <v>0</v>
      </c>
      <c r="S575" s="255">
        <f ca="1">IF(ISERROR(OFFSET(Ottone!$F$1,MATCH(J575,Ottone!$A:$A,0)-1,MATCH(K575,Ottone!$F$1:$FF$1,0)-1)=TRUE),0,OFFSET(Ottone!$F$1,MATCH(J575,Ottone!$A:$A,0)-1,MATCH(K575,Ottone!$F$1:$FF$1,0)-1))*IF(G575="Ottone",1,0)</f>
        <v>0</v>
      </c>
      <c r="T575" s="255">
        <f ca="1">IF(ISERROR(OFFSET(Rame!$F$1,MATCH(J575,Rame!$F:$F,0)-1,MATCH(K575,Rame!$F$1:$FF$1,0)-1)=TRUE),0,OFFSET(Rame!$F$1,MATCH(J575,Rame!$F:$F,0)-1,MATCH(K575,Rame!$F$1:$FF$1,0)-1))*IF(G575="Rame",1,0)</f>
        <v>0</v>
      </c>
      <c r="U575" s="255">
        <f ca="1">IF(ISERROR(OFFSET(Bronzo!$A$1,MATCH(J575,Bronzo!$A:$A,0)-1,MATCH(K575,Bronzo!$A$1:$AA$1,0)-1)=TRUE),0,OFFSET(Bronzo!$A$1,MATCH(J575,Bronzo!$A:$A,0)-1,MATCH(K575,Bronzo!$A$1:$AA$1,0)-1))</f>
        <v>0</v>
      </c>
      <c r="V575" s="255">
        <f t="shared" ca="1" si="186"/>
        <v>0</v>
      </c>
      <c r="W575" s="254"/>
      <c r="X575" s="255">
        <v>0</v>
      </c>
      <c r="Y575" s="256">
        <f t="shared" ca="1" si="187"/>
        <v>0</v>
      </c>
      <c r="Z575" s="257">
        <f t="shared" si="188"/>
        <v>0</v>
      </c>
      <c r="AA575" s="253"/>
      <c r="AB575" s="253">
        <f t="shared" ca="1" si="189"/>
        <v>0</v>
      </c>
      <c r="AC575" s="258"/>
      <c r="AH575" s="232">
        <f t="shared" ca="1" si="190"/>
        <v>46120</v>
      </c>
      <c r="AI575" s="232" t="b">
        <f>ISBLANK(AC575)</f>
        <v>1</v>
      </c>
      <c r="AJ575" s="259" t="str">
        <f>IF(AI575=FALSE,_xlfn.DAYS(AC575,AH575),"")</f>
        <v/>
      </c>
      <c r="AM575" s="223">
        <f>WEEKNUM(AC575)</f>
        <v>0</v>
      </c>
      <c r="AN575" s="223">
        <f>YEAR(AC575)</f>
        <v>1900</v>
      </c>
      <c r="AU575" s="223">
        <f>IF(AC575="",0,MONTH(AC575))</f>
        <v>0</v>
      </c>
      <c r="AV575" s="223">
        <f>IF(AC575="",0,YEAR(AC575))</f>
        <v>0</v>
      </c>
    </row>
    <row r="576" spans="4:48" ht="26.25" x14ac:dyDescent="0.4">
      <c r="D576" s="246"/>
      <c r="E576" s="252"/>
      <c r="F576" s="276"/>
      <c r="G576" s="249"/>
      <c r="H576" s="250"/>
      <c r="I576" s="251"/>
      <c r="J576" s="252"/>
      <c r="K576" s="252"/>
      <c r="L576" s="253"/>
      <c r="M576" s="254">
        <f ca="1">IF(ISERROR(OFFSET(Tabella!$A$1,MATCH(J576,Tabella!$A:$A,0)-1,MATCH(L576,Tabella!$A$1:$AC$1,0)-1)=TRUE),0,+OFFSET(Tabella!$A$1,MATCH(J576,Tabella!$A:$A,0)-1,MATCH(L576,Tabella!$A$1:$AC$1,0)-1))</f>
        <v>0</v>
      </c>
      <c r="N576" s="255">
        <f ca="1">IF(ISERROR(OFFSET(Ottone!$A$1,MATCH(J576,Ottone!$A:$A,0)-1,MATCH(L576,Ottone!$A$1:$Z$1,0)-1)=TRUE),0,OFFSET(Ottone!$A$1,MATCH(J576,Ottone!$A:$A,0)-1,MATCH(L576,Ottone!$A$1:$Z$1,0)-1))*IF(G576="Ottone",1,0)</f>
        <v>0</v>
      </c>
      <c r="O576" s="255">
        <f ca="1">IF(ISERROR(OFFSET(Rame!$A$1,MATCH(J576,Rame!$A:$A,0)-1,MATCH(L576,Rame!$A$1:$AA$1,0)-1)=TRUE),0,OFFSET(Rame!$A$1,MATCH(J576,Rame!$A:$A,0)-1,MATCH(L576,Rame!$A$1:$AA$1,0)-1))*IF(G576="Rame",1,0)</f>
        <v>0</v>
      </c>
      <c r="P576" s="255">
        <v>0</v>
      </c>
      <c r="Q576" s="255">
        <f t="shared" ca="1" si="185"/>
        <v>0</v>
      </c>
      <c r="R576" s="255">
        <f ca="1">+IF(ISERROR(OFFSET(Tabella!$G$1,MATCH(J576,Tabella!$G:$G,0)-1,MATCH(K576,Tabella!$G$1:$FG$1,0)-1)=TRUE),0,OFFSET(Tabella!$G$1,MATCH(J576,Tabella!$G:$G,0)-1,MATCH(K576,Tabella!$G$1:$AB$1,0)-1))</f>
        <v>0</v>
      </c>
      <c r="S576" s="255">
        <f ca="1">IF(ISERROR(OFFSET(Ottone!$F$1,MATCH(J576,Ottone!$A:$A,0)-1,MATCH(K576,Ottone!$F$1:$FF$1,0)-1)=TRUE),0,OFFSET(Ottone!$F$1,MATCH(J576,Ottone!$A:$A,0)-1,MATCH(K576,Ottone!$F$1:$FF$1,0)-1))*IF(G576="Ottone",1,0)</f>
        <v>0</v>
      </c>
      <c r="T576" s="255">
        <f ca="1">IF(ISERROR(OFFSET(Rame!$F$1,MATCH(J576,Rame!$F:$F,0)-1,MATCH(K576,Rame!$F$1:$FF$1,0)-1)=TRUE),0,OFFSET(Rame!$F$1,MATCH(J576,Rame!$F:$F,0)-1,MATCH(K576,Rame!$F$1:$FF$1,0)-1))*IF(G576="Rame",1,0)</f>
        <v>0</v>
      </c>
      <c r="U576" s="255">
        <f ca="1">IF(ISERROR(OFFSET(Bronzo!$A$1,MATCH(J576,Bronzo!$A:$A,0)-1,MATCH(K576,Bronzo!$A$1:$AA$1,0)-1)=TRUE),0,OFFSET(Bronzo!$A$1,MATCH(J576,Bronzo!$A:$A,0)-1,MATCH(K576,Bronzo!$A$1:$AA$1,0)-1))</f>
        <v>0</v>
      </c>
      <c r="V576" s="255">
        <f t="shared" ca="1" si="186"/>
        <v>0</v>
      </c>
      <c r="W576" s="254"/>
      <c r="X576" s="255">
        <v>0</v>
      </c>
      <c r="Y576" s="256">
        <f t="shared" ca="1" si="187"/>
        <v>0</v>
      </c>
      <c r="Z576" s="257">
        <f t="shared" si="188"/>
        <v>0</v>
      </c>
      <c r="AA576" s="253"/>
      <c r="AB576" s="253">
        <f t="shared" ca="1" si="189"/>
        <v>0</v>
      </c>
      <c r="AC576" s="258"/>
      <c r="AH576" s="232">
        <f t="shared" ca="1" si="190"/>
        <v>46120</v>
      </c>
      <c r="AI576" s="232" t="b">
        <f>ISBLANK(AC576)</f>
        <v>1</v>
      </c>
      <c r="AJ576" s="259" t="str">
        <f>IF(AI576=FALSE,_xlfn.DAYS(AC576,AH576),"")</f>
        <v/>
      </c>
      <c r="AM576" s="223">
        <f>WEEKNUM(AC576)</f>
        <v>0</v>
      </c>
      <c r="AN576" s="223">
        <f>YEAR(AC576)</f>
        <v>1900</v>
      </c>
      <c r="AU576" s="223">
        <f>IF(AC576="",0,MONTH(AC576))</f>
        <v>0</v>
      </c>
      <c r="AV576" s="223">
        <f>IF(AC576="",0,YEAR(AC576))</f>
        <v>0</v>
      </c>
    </row>
    <row r="577" spans="2:48" ht="26.25" x14ac:dyDescent="0.4">
      <c r="D577" s="246"/>
      <c r="E577" s="252"/>
      <c r="F577" s="276"/>
      <c r="G577" s="249"/>
      <c r="H577" s="250"/>
      <c r="I577" s="251"/>
      <c r="J577" s="252"/>
      <c r="K577" s="252"/>
      <c r="L577" s="253"/>
      <c r="M577" s="254">
        <f ca="1">IF(ISERROR(OFFSET(Tabella!$A$1,MATCH(J577,Tabella!$A:$A,0)-1,MATCH(L577,Tabella!$A$1:$AC$1,0)-1)=TRUE),0,+OFFSET(Tabella!$A$1,MATCH(J577,Tabella!$A:$A,0)-1,MATCH(L577,Tabella!$A$1:$AC$1,0)-1))</f>
        <v>0</v>
      </c>
      <c r="N577" s="255">
        <f ca="1">IF(ISERROR(OFFSET(Ottone!$A$1,MATCH(J577,Ottone!$A:$A,0)-1,MATCH(L577,Ottone!$A$1:$Z$1,0)-1)=TRUE),0,OFFSET(Ottone!$A$1,MATCH(J577,Ottone!$A:$A,0)-1,MATCH(L577,Ottone!$A$1:$Z$1,0)-1))*IF(G577="Ottone",1,0)</f>
        <v>0</v>
      </c>
      <c r="O577" s="255">
        <f ca="1">IF(ISERROR(OFFSET(Rame!$A$1,MATCH(J577,Rame!$A:$A,0)-1,MATCH(L577,Rame!$A$1:$AA$1,0)-1)=TRUE),0,OFFSET(Rame!$A$1,MATCH(J577,Rame!$A:$A,0)-1,MATCH(L577,Rame!$A$1:$AA$1,0)-1))*IF(G577="Rame",1,0)</f>
        <v>0</v>
      </c>
      <c r="P577" s="255">
        <v>0</v>
      </c>
      <c r="Q577" s="255">
        <f t="shared" ca="1" si="185"/>
        <v>0</v>
      </c>
      <c r="R577" s="255">
        <f ca="1">+IF(ISERROR(OFFSET(Tabella!$G$1,MATCH(J577,Tabella!$G:$G,0)-1,MATCH(K577,Tabella!$G$1:$FG$1,0)-1)=TRUE),0,OFFSET(Tabella!$G$1,MATCH(J577,Tabella!$G:$G,0)-1,MATCH(K577,Tabella!$G$1:$AB$1,0)-1))</f>
        <v>0</v>
      </c>
      <c r="S577" s="255">
        <f ca="1">IF(ISERROR(OFFSET(Ottone!$F$1,MATCH(J577,Ottone!$A:$A,0)-1,MATCH(K577,Ottone!$F$1:$FF$1,0)-1)=TRUE),0,OFFSET(Ottone!$F$1,MATCH(J577,Ottone!$A:$A,0)-1,MATCH(K577,Ottone!$F$1:$FF$1,0)-1))*IF(G577="Ottone",1,0)</f>
        <v>0</v>
      </c>
      <c r="T577" s="255">
        <f ca="1">IF(ISERROR(OFFSET(Rame!$F$1,MATCH(J577,Rame!$F:$F,0)-1,MATCH(K577,Rame!$F$1:$FF$1,0)-1)=TRUE),0,OFFSET(Rame!$F$1,MATCH(J577,Rame!$F:$F,0)-1,MATCH(K577,Rame!$F$1:$FF$1,0)-1))*IF(G577="Rame",1,0)</f>
        <v>0</v>
      </c>
      <c r="U577" s="255">
        <f ca="1">IF(ISERROR(OFFSET(Bronzo!$A$1,MATCH(J577,Bronzo!$A:$A,0)-1,MATCH(K577,Bronzo!$A$1:$AA$1,0)-1)=TRUE),0,OFFSET(Bronzo!$A$1,MATCH(J577,Bronzo!$A:$A,0)-1,MATCH(K577,Bronzo!$A$1:$AA$1,0)-1))</f>
        <v>0</v>
      </c>
      <c r="V577" s="255">
        <f t="shared" ca="1" si="186"/>
        <v>0</v>
      </c>
      <c r="W577" s="254"/>
      <c r="X577" s="255">
        <v>0</v>
      </c>
      <c r="Y577" s="256">
        <f t="shared" ca="1" si="187"/>
        <v>0</v>
      </c>
      <c r="Z577" s="257">
        <f t="shared" si="188"/>
        <v>0</v>
      </c>
      <c r="AA577" s="253"/>
      <c r="AB577" s="253">
        <f t="shared" ca="1" si="189"/>
        <v>0</v>
      </c>
      <c r="AC577" s="258"/>
      <c r="AH577" s="232">
        <f t="shared" ca="1" si="190"/>
        <v>46120</v>
      </c>
      <c r="AI577" s="232" t="b">
        <f>ISBLANK(AC577)</f>
        <v>1</v>
      </c>
      <c r="AJ577" s="259" t="str">
        <f>IF(AI577=FALSE,_xlfn.DAYS(AC577,AH577),"")</f>
        <v/>
      </c>
      <c r="AM577" s="223">
        <f>WEEKNUM(AC577)</f>
        <v>0</v>
      </c>
      <c r="AN577" s="223">
        <f>YEAR(AC577)</f>
        <v>1900</v>
      </c>
      <c r="AU577" s="223">
        <f>IF(AC577="",0,MONTH(AC577))</f>
        <v>0</v>
      </c>
      <c r="AV577" s="223">
        <f>IF(AC577="",0,YEAR(AC577))</f>
        <v>0</v>
      </c>
    </row>
    <row r="578" spans="2:48" s="306" customFormat="1" ht="26.25" x14ac:dyDescent="0.4">
      <c r="B578" s="306" t="str">
        <f t="shared" ref="B578" si="191">IF(AJ578=10,"In scadenza","-")</f>
        <v>-</v>
      </c>
      <c r="C578" s="307"/>
      <c r="D578" s="308"/>
      <c r="E578" s="309"/>
      <c r="F578" s="310"/>
      <c r="G578" s="311"/>
      <c r="H578" s="312"/>
      <c r="I578" s="313"/>
      <c r="J578" s="309"/>
      <c r="K578" s="309"/>
      <c r="L578" s="314"/>
      <c r="M578" s="315">
        <f ca="1">IF(ISERROR(OFFSET(Tabella!$A$1,MATCH(J578,Tabella!$A:$A,0)-1,MATCH(L578,Tabella!$A$1:$AC$1,0)-1)=TRUE),0,+OFFSET(Tabella!$A$1,MATCH(J578,Tabella!$A:$A,0)-1,MATCH(L578,Tabella!$A$1:$AC$1,0)-1))</f>
        <v>0</v>
      </c>
      <c r="N578" s="316">
        <f ca="1">IF(ISERROR(OFFSET(Ottone!$A$1,MATCH(J578,Ottone!$A:$A,0)-1,MATCH(L578,Ottone!$A$1:$Z$1,0)-1)=TRUE),0,OFFSET(Ottone!$A$1,MATCH(J578,Ottone!$A:$A,0)-1,MATCH(L578,Ottone!$A$1:$Z$1,0)-1))*IF(G578="Ottone",1,0)</f>
        <v>0</v>
      </c>
      <c r="O578" s="316">
        <f ca="1">IF(ISERROR(OFFSET(Rame!$A$1,MATCH(J578,Rame!$A:$A,0)-1,MATCH(L578,Rame!$A$1:$AA$1,0)-1)=TRUE),0,OFFSET(Rame!$A$1,MATCH(J578,Rame!$A:$A,0)-1,MATCH(L578,Rame!$A$1:$AA$1,0)-1))*IF(G578="Rame",1,0)</f>
        <v>0</v>
      </c>
      <c r="P578" s="316">
        <v>0</v>
      </c>
      <c r="Q578" s="316">
        <f t="shared" ref="Q578" ca="1" si="192">SUM(M578:P578)</f>
        <v>0</v>
      </c>
      <c r="R578" s="316">
        <f ca="1">+IF(ISERROR(OFFSET(Tabella!$G$1,MATCH(J578,Tabella!$G:$G,0)-1,MATCH(K578,Tabella!$G$1:$FG$1,0)-1)=TRUE),0,OFFSET(Tabella!$G$1,MATCH(J578,Tabella!$G:$G,0)-1,MATCH(K578,Tabella!$G$1:$AB$1,0)-1))</f>
        <v>0</v>
      </c>
      <c r="S578" s="316">
        <f ca="1">IF(ISERROR(OFFSET(Ottone!$F$1,MATCH(J578,Ottone!$A:$A,0)-1,MATCH(K578,Ottone!$F$1:$FF$1,0)-1)=TRUE),0,OFFSET(Ottone!$F$1,MATCH(J578,Ottone!$A:$A,0)-1,MATCH(K578,Ottone!$F$1:$FF$1,0)-1))*IF(G578="Ottone",1,0)</f>
        <v>0</v>
      </c>
      <c r="T578" s="316">
        <f ca="1">IF(ISERROR(OFFSET(Rame!$F$1,MATCH(J578,Rame!$F:$F,0)-1,MATCH(K578,Rame!$F$1:$FF$1,0)-1)=TRUE),0,OFFSET(Rame!$F$1,MATCH(J578,Rame!$F:$F,0)-1,MATCH(K578,Rame!$F$1:$FF$1,0)-1))*IF(G578="Rame",1,0)</f>
        <v>0</v>
      </c>
      <c r="U578" s="316">
        <f ca="1">IF(ISERROR(OFFSET(Bronzo!$A$1,MATCH(J578,Bronzo!$A:$A,0)-1,MATCH(K578,Bronzo!$A$1:$AA$1,0)-1)=TRUE),0,OFFSET(Bronzo!$A$1,MATCH(J578,Bronzo!$A:$A,0)-1,MATCH(K578,Bronzo!$A$1:$AA$1,0)-1))</f>
        <v>0</v>
      </c>
      <c r="V578" s="316">
        <f t="shared" ref="V578" ca="1" si="193">SUM(R578:U578)</f>
        <v>0</v>
      </c>
      <c r="W578" s="315"/>
      <c r="X578" s="316">
        <v>0</v>
      </c>
      <c r="Y578" s="317">
        <f t="shared" ref="Y578" ca="1" si="194">+Q578+V578+W578+X578</f>
        <v>0</v>
      </c>
      <c r="Z578" s="314">
        <f t="shared" ref="Z578" si="195">+L578*F578</f>
        <v>0</v>
      </c>
      <c r="AA578" s="314"/>
      <c r="AB578" s="314">
        <f t="shared" ref="AB578" ca="1" si="196">+AA578-Y578-H578</f>
        <v>0</v>
      </c>
      <c r="AC578" s="318"/>
      <c r="AH578" s="232">
        <f t="shared" ref="AH578" ca="1" si="197">TODAY()</f>
        <v>46120</v>
      </c>
      <c r="AI578" s="232" t="b">
        <f>ISBLANK(AC578)</f>
        <v>1</v>
      </c>
      <c r="AJ578" s="259" t="str">
        <f>IF(AI578=FALSE,_xlfn.DAYS(AC578,AH578),"")</f>
        <v/>
      </c>
      <c r="AK578" s="223"/>
      <c r="AL578" s="223"/>
      <c r="AM578" s="223">
        <f t="shared" ref="AM578" si="198">WEEKNUM(AC578)</f>
        <v>0</v>
      </c>
      <c r="AN578" s="223">
        <f t="shared" ref="AN578" si="199">YEAR(AC578)</f>
        <v>1900</v>
      </c>
      <c r="AU578" s="223">
        <f t="shared" ref="AU578" si="200">IF(AC578="",0,MONTH(AC578))</f>
        <v>0</v>
      </c>
      <c r="AV578" s="223">
        <f t="shared" ref="AV578" si="201">IF(AC578="",0,YEAR(AC578))</f>
        <v>0</v>
      </c>
    </row>
    <row r="579" spans="2:48" ht="27" thickBot="1" x14ac:dyDescent="0.45">
      <c r="D579" s="319"/>
      <c r="E579" s="319"/>
      <c r="F579" s="320">
        <f>SUM(F7:F578)</f>
        <v>938124</v>
      </c>
      <c r="G579" s="319"/>
      <c r="H579" s="321"/>
      <c r="I579" s="322"/>
      <c r="J579" s="319"/>
      <c r="K579" s="319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4">
        <f>SUM(Z7:Z578)</f>
        <v>60633.749999999956</v>
      </c>
      <c r="AA579" s="323"/>
      <c r="AB579" s="323"/>
      <c r="AJ579" s="259"/>
    </row>
    <row r="580" spans="2:48" ht="15.75" x14ac:dyDescent="0.25">
      <c r="D580" s="325"/>
      <c r="E580" s="325"/>
      <c r="F580" s="326"/>
      <c r="G580" s="325"/>
      <c r="H580" s="327"/>
      <c r="I580" s="328"/>
      <c r="J580" s="325"/>
      <c r="K580" s="325"/>
      <c r="L580" s="329"/>
      <c r="M580" s="329"/>
      <c r="N580" s="329"/>
      <c r="O580" s="329"/>
      <c r="P580" s="329"/>
      <c r="Q580" s="330"/>
      <c r="R580" s="329"/>
      <c r="S580" s="329"/>
      <c r="T580" s="329"/>
      <c r="U580" s="329"/>
      <c r="V580" s="329"/>
      <c r="W580" s="329"/>
      <c r="X580" s="329"/>
      <c r="Y580" s="329"/>
      <c r="Z580" s="329"/>
      <c r="AA580" s="329"/>
      <c r="AB580" s="329"/>
    </row>
    <row r="581" spans="2:48" ht="15.75" x14ac:dyDescent="0.25">
      <c r="D581" s="325"/>
      <c r="E581" s="325"/>
      <c r="F581" s="326"/>
      <c r="G581" s="325"/>
      <c r="H581" s="327"/>
      <c r="I581" s="328"/>
      <c r="J581" s="326"/>
      <c r="K581" s="325"/>
      <c r="L581" s="329"/>
      <c r="M581" s="329"/>
      <c r="N581" s="329"/>
      <c r="O581" s="329"/>
      <c r="P581" s="329"/>
      <c r="Q581" s="329"/>
      <c r="R581" s="329"/>
      <c r="S581" s="329"/>
      <c r="T581" s="329"/>
      <c r="U581" s="329"/>
      <c r="V581" s="329"/>
      <c r="W581" s="329"/>
      <c r="X581" s="329"/>
      <c r="Y581" s="329"/>
      <c r="Z581" s="329"/>
      <c r="AA581" s="329"/>
      <c r="AB581" s="329"/>
      <c r="AG581" s="331"/>
      <c r="AJ581" s="331"/>
    </row>
    <row r="582" spans="2:48" ht="16.5" thickBot="1" x14ac:dyDescent="0.3">
      <c r="D582" s="325"/>
      <c r="E582" s="325"/>
      <c r="F582" s="326"/>
      <c r="G582" s="325"/>
      <c r="H582" s="327"/>
      <c r="I582" s="328"/>
      <c r="J582" s="326"/>
      <c r="K582" s="325"/>
      <c r="L582" s="329"/>
      <c r="M582" s="329"/>
      <c r="N582" s="329"/>
      <c r="O582" s="329"/>
      <c r="P582" s="329"/>
      <c r="Q582" s="329"/>
      <c r="R582" s="329"/>
      <c r="S582" s="329"/>
      <c r="T582" s="329"/>
      <c r="U582" s="329"/>
      <c r="V582" s="329"/>
      <c r="W582" s="329"/>
      <c r="X582" s="329"/>
      <c r="Y582" s="329"/>
      <c r="Z582" s="329"/>
      <c r="AA582" s="329"/>
      <c r="AB582" s="329"/>
    </row>
    <row r="583" spans="2:48" ht="15.75" x14ac:dyDescent="0.25">
      <c r="D583" s="325"/>
      <c r="E583" s="332" t="s">
        <v>60</v>
      </c>
      <c r="F583" s="333" t="s">
        <v>38</v>
      </c>
      <c r="G583" s="334" t="s">
        <v>48</v>
      </c>
      <c r="H583" s="335" t="s">
        <v>294</v>
      </c>
      <c r="I583" s="336" t="s">
        <v>303</v>
      </c>
      <c r="J583" s="326"/>
      <c r="K583" s="325"/>
      <c r="L583" s="329"/>
      <c r="M583" s="329"/>
      <c r="N583" s="329"/>
      <c r="O583" s="329"/>
      <c r="P583" s="329"/>
      <c r="Q583" s="329"/>
      <c r="R583" s="329"/>
      <c r="S583" s="329"/>
      <c r="T583" s="329"/>
      <c r="U583" s="329"/>
      <c r="V583" s="329"/>
      <c r="W583" s="329"/>
      <c r="X583" s="337"/>
      <c r="Y583" s="338"/>
      <c r="Z583" s="339"/>
      <c r="AA583" s="340"/>
      <c r="AB583" s="341"/>
      <c r="AC583" s="337"/>
      <c r="AD583" s="337"/>
      <c r="AE583" s="342">
        <v>0.1</v>
      </c>
      <c r="AF583" s="343"/>
      <c r="AG583" s="343"/>
      <c r="AH583" s="344"/>
      <c r="AI583" s="343">
        <v>0</v>
      </c>
      <c r="AJ583" s="345">
        <v>1.1000000000000001</v>
      </c>
      <c r="AK583" s="346"/>
      <c r="AL583" s="342"/>
      <c r="AM583" s="342">
        <v>2.4100000000000019</v>
      </c>
    </row>
    <row r="584" spans="2:48" ht="15.75" x14ac:dyDescent="0.25">
      <c r="D584" s="325"/>
      <c r="E584" s="347"/>
      <c r="F584" s="348"/>
      <c r="G584" s="349"/>
      <c r="H584" s="350"/>
      <c r="I584" s="351"/>
      <c r="J584" s="325"/>
      <c r="K584" s="325"/>
      <c r="L584" s="329"/>
      <c r="M584" s="329"/>
      <c r="N584" s="329"/>
      <c r="O584" s="329"/>
      <c r="P584" s="329"/>
      <c r="Q584" s="329"/>
      <c r="R584" s="329"/>
      <c r="S584" s="329"/>
      <c r="T584" s="329"/>
      <c r="U584" s="329"/>
      <c r="V584" s="329"/>
      <c r="W584" s="329"/>
      <c r="X584" s="329"/>
      <c r="Y584" s="329"/>
      <c r="Z584" s="329"/>
      <c r="AA584" s="329"/>
      <c r="AB584" s="329"/>
    </row>
    <row r="585" spans="2:48" ht="15.75" x14ac:dyDescent="0.25">
      <c r="D585" s="325">
        <v>1</v>
      </c>
      <c r="E585" s="352" t="s">
        <v>213</v>
      </c>
      <c r="F585" s="353">
        <f>SUMIF(E7:E578,"abb",F7:F578)</f>
        <v>0</v>
      </c>
      <c r="G585" s="354">
        <f>SUMIF(E7:E578,"abb",Z7:Z578)</f>
        <v>0</v>
      </c>
      <c r="H585" s="350">
        <f>SUMIFS(Z$7:Z$578,E$7:E$578,"Abb",AF$7:AF$578,"OK")</f>
        <v>0</v>
      </c>
      <c r="I585" s="351"/>
      <c r="J585" s="355"/>
      <c r="K585" s="325"/>
      <c r="L585" s="329"/>
      <c r="M585" s="329"/>
      <c r="N585" s="329"/>
      <c r="O585" s="329"/>
      <c r="P585" s="329"/>
      <c r="Q585" s="329"/>
      <c r="R585" s="329"/>
      <c r="S585" s="329"/>
      <c r="T585" s="329"/>
      <c r="U585" s="329"/>
      <c r="V585" s="329"/>
      <c r="W585" s="329"/>
      <c r="X585" s="329"/>
      <c r="Y585" s="329"/>
      <c r="Z585" s="329"/>
      <c r="AA585" s="329"/>
      <c r="AB585" s="329"/>
    </row>
    <row r="586" spans="2:48" ht="15.75" x14ac:dyDescent="0.25">
      <c r="D586" s="325">
        <f>+D585+1</f>
        <v>2</v>
      </c>
      <c r="E586" s="356" t="s">
        <v>239</v>
      </c>
      <c r="F586" s="353">
        <f>SUMIF(E7:E578,"abbza",F7:F578)</f>
        <v>0</v>
      </c>
      <c r="G586" s="354">
        <f>SUMIF(E7:E578,"abbza",Z7:Z578)</f>
        <v>0</v>
      </c>
      <c r="H586" s="350">
        <f>SUMIFS(Z$7:Z$578,E$7:E$578,"Abbza",AF$7:AF$578,"OK")</f>
        <v>0</v>
      </c>
      <c r="I586" s="351"/>
      <c r="J586" s="355"/>
      <c r="K586" s="325"/>
      <c r="L586" s="329"/>
      <c r="M586" s="329"/>
      <c r="N586" s="329"/>
      <c r="O586" s="329"/>
      <c r="P586" s="329"/>
      <c r="Q586" s="329"/>
      <c r="R586" s="329"/>
      <c r="S586" s="329"/>
      <c r="T586" s="329"/>
      <c r="U586" s="329"/>
      <c r="V586" s="329"/>
      <c r="W586" s="357"/>
      <c r="X586" s="358"/>
      <c r="Y586" s="337"/>
      <c r="Z586" s="342"/>
      <c r="AA586" s="343"/>
      <c r="AB586" s="343"/>
      <c r="AC586" s="344"/>
      <c r="AD586" s="343">
        <v>0</v>
      </c>
      <c r="AE586" s="345">
        <v>1.1000000000000001</v>
      </c>
      <c r="AF586" s="346"/>
      <c r="AG586" s="342"/>
      <c r="AH586" s="342"/>
    </row>
    <row r="587" spans="2:48" ht="15.75" x14ac:dyDescent="0.25">
      <c r="D587" s="325">
        <f t="shared" ref="D587:D663" si="202">+D586+1</f>
        <v>3</v>
      </c>
      <c r="E587" s="356" t="s">
        <v>220</v>
      </c>
      <c r="F587" s="359">
        <f>SUMIF(E7:E578,"aeg",F7:F578)</f>
        <v>0</v>
      </c>
      <c r="G587" s="360">
        <f>SUMIF(E7:E578,"aeg",Z7:Z578)</f>
        <v>0</v>
      </c>
      <c r="H587" s="350">
        <f>SUMIFS(Z$7:Z$578,E$7:E$578,"Aeg",AF$7:AF$578,"OK")</f>
        <v>0</v>
      </c>
      <c r="I587" s="351"/>
      <c r="J587" s="355"/>
      <c r="K587" s="325"/>
      <c r="L587" s="329"/>
      <c r="M587" s="329"/>
      <c r="N587" s="329"/>
      <c r="O587" s="329"/>
      <c r="P587" s="329"/>
      <c r="Q587" s="329"/>
      <c r="R587" s="329"/>
      <c r="S587" s="329"/>
      <c r="T587" s="329"/>
      <c r="U587" s="329"/>
      <c r="V587" s="329"/>
      <c r="W587" s="329"/>
      <c r="X587" s="329"/>
      <c r="Y587" s="329"/>
      <c r="Z587" s="329"/>
      <c r="AA587" s="329"/>
      <c r="AB587" s="329"/>
      <c r="AC587" s="223">
        <f>SUMIF(AC7:AC578,"",F7:F578)</f>
        <v>525564</v>
      </c>
    </row>
    <row r="588" spans="2:48" ht="15.75" x14ac:dyDescent="0.25">
      <c r="C588" s="224" t="s">
        <v>273</v>
      </c>
      <c r="D588" s="325">
        <f t="shared" si="202"/>
        <v>4</v>
      </c>
      <c r="E588" s="361" t="s">
        <v>105</v>
      </c>
      <c r="F588" s="359">
        <f>SUMIF(E7:E578,"alge",F7:F578)</f>
        <v>0</v>
      </c>
      <c r="G588" s="360">
        <f>SUMIF(E7:E578,"alge",Z7:Z578)</f>
        <v>0</v>
      </c>
      <c r="H588" s="350">
        <f>SUMIFS(Z$7:Z$578,E$7:E$578,"Alge",AF$7:AF$578,"OK")</f>
        <v>0</v>
      </c>
      <c r="I588" s="351"/>
      <c r="J588" s="355"/>
      <c r="K588" s="325"/>
      <c r="L588" s="329"/>
      <c r="M588" s="329"/>
      <c r="N588" s="329"/>
      <c r="O588" s="329"/>
      <c r="P588" s="329"/>
      <c r="Q588" s="329"/>
      <c r="R588" s="329"/>
      <c r="S588" s="329"/>
      <c r="T588" s="329"/>
      <c r="U588" s="329"/>
      <c r="V588" s="329"/>
      <c r="W588" s="329"/>
      <c r="X588" s="329"/>
      <c r="Y588" s="346"/>
      <c r="Z588" s="329"/>
      <c r="AA588" s="329"/>
      <c r="AB588" s="329"/>
      <c r="AC588" s="331">
        <f>+F579-AC587</f>
        <v>412560</v>
      </c>
    </row>
    <row r="589" spans="2:48" ht="15.75" x14ac:dyDescent="0.25">
      <c r="D589" s="325">
        <f t="shared" si="202"/>
        <v>5</v>
      </c>
      <c r="E589" s="362" t="s">
        <v>357</v>
      </c>
      <c r="F589" s="359">
        <f>SUMIF(E7:E578,"alstom",F7:F578)</f>
        <v>0</v>
      </c>
      <c r="G589" s="360">
        <f>SUMIF(E7:E578,"alstom",Z7:Z578)</f>
        <v>0</v>
      </c>
      <c r="H589" s="350">
        <f>SUMIFS(Z$7:Z$578,E$7:E$578,"Alstom",AF$7:AF$578,"OK")</f>
        <v>0</v>
      </c>
      <c r="I589" s="351"/>
      <c r="J589" s="355"/>
      <c r="K589" s="325"/>
      <c r="L589" s="329"/>
      <c r="M589" s="329"/>
      <c r="N589" s="329"/>
      <c r="O589" s="329"/>
      <c r="P589" s="329"/>
      <c r="Q589" s="329"/>
      <c r="R589" s="329"/>
      <c r="S589" s="329"/>
      <c r="T589" s="329"/>
      <c r="U589" s="329"/>
      <c r="V589" s="329"/>
      <c r="W589" s="329"/>
      <c r="X589" s="329"/>
      <c r="Y589" s="329"/>
      <c r="Z589" s="329"/>
      <c r="AA589" s="329"/>
      <c r="AB589" s="329"/>
    </row>
    <row r="590" spans="2:48" ht="15.75" x14ac:dyDescent="0.25">
      <c r="D590" s="325">
        <f t="shared" si="202"/>
        <v>6</v>
      </c>
      <c r="E590" s="363" t="s">
        <v>113</v>
      </c>
      <c r="F590" s="359">
        <f>SUMIF(E7:E578,"amer",F7:F578)</f>
        <v>0</v>
      </c>
      <c r="G590" s="360">
        <f>SUMIF(E7:E578,"amer",Z7:Z578)</f>
        <v>0</v>
      </c>
      <c r="H590" s="350">
        <f>SUMIFS(Z$7:Z$578,E$7:E$578,"Amer",AF$7:AF$578,"OK")</f>
        <v>0</v>
      </c>
      <c r="I590" s="351">
        <f>SUMIFS(F$7:F$578,E$7:E$578,"amer",AF$7:AF$578,"OK")</f>
        <v>0</v>
      </c>
      <c r="J590" s="330"/>
      <c r="K590" s="325"/>
      <c r="L590" s="329"/>
      <c r="M590" s="329"/>
      <c r="N590" s="329"/>
      <c r="O590" s="329"/>
      <c r="P590" s="329"/>
      <c r="Q590" s="329"/>
      <c r="R590" s="329"/>
      <c r="S590" s="329"/>
      <c r="T590" s="329"/>
      <c r="U590" s="329"/>
      <c r="V590" s="329"/>
      <c r="W590" s="329"/>
      <c r="X590" s="329"/>
      <c r="Y590" s="329"/>
      <c r="Z590" s="329"/>
      <c r="AA590" s="329"/>
      <c r="AB590" s="329"/>
    </row>
    <row r="591" spans="2:48" ht="15.75" x14ac:dyDescent="0.25">
      <c r="D591" s="325">
        <f t="shared" si="202"/>
        <v>7</v>
      </c>
      <c r="E591" s="363" t="s">
        <v>265</v>
      </c>
      <c r="F591" s="359">
        <f>SUMIF(E7:E578,"arcansas",F7:F578)</f>
        <v>0</v>
      </c>
      <c r="G591" s="360">
        <f>SUMIF(E7:E578,"arcansas",Z7:Z578)</f>
        <v>0</v>
      </c>
      <c r="H591" s="350">
        <f>SUMIFS(Z$7:Z$578,E$7:E$578,"Arcansas",AF$7:AF$578,"OK")</f>
        <v>0</v>
      </c>
      <c r="I591" s="351"/>
      <c r="J591" s="355"/>
      <c r="K591" s="325"/>
      <c r="L591" s="329"/>
      <c r="M591" s="329"/>
      <c r="N591" s="329"/>
      <c r="O591" s="329"/>
      <c r="P591" s="329"/>
      <c r="Q591" s="329"/>
      <c r="R591" s="329"/>
      <c r="S591" s="329"/>
      <c r="T591" s="329"/>
      <c r="U591" s="329"/>
      <c r="V591" s="329"/>
      <c r="W591" s="329"/>
      <c r="X591" s="329"/>
      <c r="Y591" s="329"/>
      <c r="Z591" s="329"/>
      <c r="AA591" s="329"/>
      <c r="AB591" s="329"/>
    </row>
    <row r="592" spans="2:48" ht="15.75" x14ac:dyDescent="0.25">
      <c r="D592" s="325">
        <f t="shared" si="202"/>
        <v>8</v>
      </c>
      <c r="E592" s="363" t="s">
        <v>395</v>
      </c>
      <c r="F592" s="359">
        <f>SUMIF(E$7:E$578,"arteche",F$7:F$578)</f>
        <v>0</v>
      </c>
      <c r="G592" s="360">
        <f>SUMIF(E$7:E$578,"arteche",Z$7:Z$578)</f>
        <v>0</v>
      </c>
      <c r="H592" s="350">
        <f>SUMIFS(Z$7:Z$578,E$7:E$578,"arteche",AF$7:AF$578,"OK")</f>
        <v>0</v>
      </c>
      <c r="I592" s="351">
        <f>SUMIFS(F$7:F$578,E$7:E$578,"arteche",AF$7:AF$578,"OK")</f>
        <v>0</v>
      </c>
      <c r="J592" s="355"/>
      <c r="K592" s="325"/>
      <c r="L592" s="329"/>
      <c r="M592" s="329"/>
      <c r="N592" s="329"/>
      <c r="O592" s="329"/>
      <c r="P592" s="329"/>
      <c r="Q592" s="329"/>
      <c r="R592" s="329"/>
      <c r="S592" s="329"/>
      <c r="T592" s="329"/>
      <c r="U592" s="329"/>
      <c r="V592" s="329"/>
      <c r="W592" s="329"/>
      <c r="X592" s="329"/>
      <c r="Y592" s="329"/>
      <c r="Z592" s="329"/>
      <c r="AA592" s="329"/>
      <c r="AB592" s="329"/>
    </row>
    <row r="593" spans="3:28" ht="15.75" x14ac:dyDescent="0.25">
      <c r="D593" s="325">
        <f t="shared" si="202"/>
        <v>9</v>
      </c>
      <c r="E593" s="363" t="s">
        <v>221</v>
      </c>
      <c r="F593" s="359">
        <f>SUMIF(E7:E578,"artel",F7:F578)</f>
        <v>0</v>
      </c>
      <c r="G593" s="360">
        <f>SUMIF(E7:E578,"artel",Z7:Z578)</f>
        <v>0</v>
      </c>
      <c r="H593" s="350">
        <f>SUMIFS(Z$7:Z$578,E$7:E$578,"Artel",AF$7:AF$578,"OK")</f>
        <v>0</v>
      </c>
      <c r="I593" s="351"/>
      <c r="J593" s="355"/>
      <c r="K593" s="325"/>
      <c r="L593" s="329"/>
      <c r="M593" s="329"/>
      <c r="N593" s="329"/>
      <c r="O593" s="329"/>
      <c r="P593" s="329"/>
      <c r="Q593" s="329"/>
      <c r="R593" s="329"/>
      <c r="S593" s="329"/>
      <c r="T593" s="329"/>
      <c r="U593" s="329"/>
      <c r="V593" s="329"/>
      <c r="W593" s="329"/>
      <c r="X593" s="329"/>
      <c r="Y593" s="329"/>
      <c r="Z593" s="329"/>
      <c r="AA593" s="329"/>
      <c r="AB593" s="329"/>
    </row>
    <row r="594" spans="3:28" ht="15.75" x14ac:dyDescent="0.25">
      <c r="D594" s="325">
        <f t="shared" si="202"/>
        <v>10</v>
      </c>
      <c r="E594" s="363" t="s">
        <v>293</v>
      </c>
      <c r="F594" s="359">
        <f>SUMIF(E$7:E$578,"automation",F$7:F$578)</f>
        <v>0</v>
      </c>
      <c r="G594" s="360">
        <f>SUMIF(E7:E578,"automation",Z7:Z578)</f>
        <v>0</v>
      </c>
      <c r="H594" s="350">
        <f>SUMIFS(Z$7:Z$578,E$7:E$578,"Automation",AF$7:AF$578,"OK")</f>
        <v>0</v>
      </c>
      <c r="I594" s="351">
        <f>SUMIFS(F$7:F$578,E$7:E$578,"automation",AF$7:AF$578,"OK")</f>
        <v>0</v>
      </c>
      <c r="J594" s="355"/>
      <c r="K594" s="325"/>
      <c r="L594" s="329"/>
      <c r="M594" s="329"/>
      <c r="N594" s="329"/>
      <c r="O594" s="329"/>
      <c r="P594" s="329"/>
      <c r="Q594" s="329"/>
      <c r="R594" s="329"/>
      <c r="S594" s="329"/>
      <c r="T594" s="329"/>
      <c r="U594" s="329"/>
      <c r="V594" s="329"/>
      <c r="W594" s="329"/>
      <c r="X594" s="329"/>
      <c r="Y594" s="329"/>
      <c r="Z594" s="329"/>
      <c r="AA594" s="329"/>
      <c r="AB594" s="329"/>
    </row>
    <row r="595" spans="3:28" ht="15.75" x14ac:dyDescent="0.25">
      <c r="D595" s="325">
        <f t="shared" si="202"/>
        <v>11</v>
      </c>
      <c r="E595" s="363" t="s">
        <v>211</v>
      </c>
      <c r="F595" s="359">
        <f>SUMIF(E7:E578,"baietti",F7:F578)</f>
        <v>0</v>
      </c>
      <c r="G595" s="360">
        <f>SUMIF(E7:E578,"baietti",Z7:Z578)</f>
        <v>0</v>
      </c>
      <c r="H595" s="350">
        <f>SUMIFS(Z$7:Z$578,E$7:E$578,"Baietti",AF$7:AF$578,"OK")</f>
        <v>0</v>
      </c>
      <c r="I595" s="351"/>
      <c r="J595" s="355"/>
      <c r="K595" s="325"/>
      <c r="L595" s="329"/>
      <c r="M595" s="329"/>
      <c r="N595" s="329"/>
      <c r="O595" s="329"/>
      <c r="P595" s="329"/>
      <c r="Q595" s="329"/>
      <c r="R595" s="329"/>
      <c r="S595" s="329"/>
      <c r="T595" s="329"/>
      <c r="U595" s="329"/>
      <c r="V595" s="329"/>
      <c r="W595" s="329"/>
      <c r="X595" s="329"/>
      <c r="Y595" s="329"/>
      <c r="Z595" s="329"/>
      <c r="AA595" s="329"/>
      <c r="AB595" s="329"/>
    </row>
    <row r="596" spans="3:28" ht="15.75" x14ac:dyDescent="0.25">
      <c r="D596" s="325">
        <f t="shared" si="202"/>
        <v>12</v>
      </c>
      <c r="E596" s="363" t="s">
        <v>371</v>
      </c>
      <c r="F596" s="359">
        <f>SUMIF(E$7:E$578,"bcv",F$7:F$578)</f>
        <v>6602</v>
      </c>
      <c r="G596" s="360">
        <f>SUMIF(E$7:E$578,"bcv",Z$7:Z$578)</f>
        <v>990.30000000000007</v>
      </c>
      <c r="H596" s="350">
        <f>SUMIFS(Z$7:Z$578,E$7:E$578,"Bcv",AF$7:AF$578,"OK")</f>
        <v>540.30000000000007</v>
      </c>
      <c r="I596" s="351">
        <f>SUMIFS(F$7:F$578,E$7:E$578,"bcv",AF$7:AF$578,"OK")</f>
        <v>3602</v>
      </c>
      <c r="J596" s="355"/>
      <c r="K596" s="325"/>
      <c r="L596" s="329"/>
      <c r="M596" s="329"/>
      <c r="N596" s="329"/>
      <c r="O596" s="329"/>
      <c r="P596" s="329"/>
      <c r="Q596" s="329"/>
      <c r="R596" s="329"/>
      <c r="S596" s="329"/>
      <c r="T596" s="329"/>
      <c r="U596" s="329"/>
      <c r="V596" s="329"/>
      <c r="W596" s="329"/>
      <c r="X596" s="329"/>
      <c r="Y596" s="329"/>
      <c r="Z596" s="329"/>
      <c r="AA596" s="329"/>
      <c r="AB596" s="329"/>
    </row>
    <row r="597" spans="3:28" ht="15.75" x14ac:dyDescent="0.25">
      <c r="C597" s="224" t="s">
        <v>273</v>
      </c>
      <c r="D597" s="325">
        <f t="shared" si="202"/>
        <v>13</v>
      </c>
      <c r="E597" s="364" t="s">
        <v>236</v>
      </c>
      <c r="F597" s="359">
        <f>SUMIF(E7:E578,"bmi",F7:F578)</f>
        <v>0</v>
      </c>
      <c r="G597" s="360">
        <f>SUMIF(E7:E578,"bmi",Z7:Z578)</f>
        <v>0</v>
      </c>
      <c r="H597" s="350">
        <f>SUMIFS(Z$7:Z$578,E$7:E$578,"BMI",AF$7:AF$578,"OK")</f>
        <v>0</v>
      </c>
      <c r="I597" s="351"/>
      <c r="J597" s="355"/>
      <c r="K597" s="325"/>
      <c r="L597" s="329"/>
      <c r="M597" s="329"/>
      <c r="N597" s="329"/>
      <c r="O597" s="329"/>
      <c r="P597" s="329"/>
      <c r="Q597" s="329"/>
      <c r="R597" s="329"/>
      <c r="S597" s="329"/>
      <c r="T597" s="329"/>
      <c r="U597" s="329"/>
      <c r="V597" s="329"/>
      <c r="W597" s="329"/>
      <c r="X597" s="329"/>
      <c r="Y597" s="329"/>
      <c r="Z597" s="329"/>
      <c r="AA597" s="329"/>
      <c r="AB597" s="329"/>
    </row>
    <row r="598" spans="3:28" ht="15.75" x14ac:dyDescent="0.25">
      <c r="C598" s="224" t="s">
        <v>273</v>
      </c>
      <c r="D598" s="325">
        <f t="shared" si="202"/>
        <v>14</v>
      </c>
      <c r="E598" s="364" t="s">
        <v>222</v>
      </c>
      <c r="F598" s="359">
        <f>SUMIF(E$7:E$578,"bastia",F$7:F$578)</f>
        <v>0</v>
      </c>
      <c r="G598" s="360">
        <f>SUMIF(E$7:E$578,"bastia",Z$7:Z$578)</f>
        <v>0</v>
      </c>
      <c r="H598" s="350">
        <f>SUMIFS(Z$7:Z$578,E$7:E$578,"Bastia",AF$7:AF$578,"OK")</f>
        <v>0</v>
      </c>
      <c r="I598" s="351"/>
      <c r="J598" s="355"/>
      <c r="K598" s="325"/>
      <c r="L598" s="329"/>
      <c r="M598" s="329"/>
      <c r="N598" s="329"/>
      <c r="O598" s="329"/>
      <c r="P598" s="329"/>
      <c r="Q598" s="329"/>
      <c r="R598" s="329"/>
      <c r="S598" s="329"/>
      <c r="T598" s="329"/>
      <c r="U598" s="329"/>
      <c r="V598" s="329"/>
      <c r="W598" s="329"/>
      <c r="X598" s="329"/>
      <c r="Y598" s="329"/>
      <c r="Z598" s="329"/>
      <c r="AA598" s="329"/>
      <c r="AB598" s="329"/>
    </row>
    <row r="599" spans="3:28" ht="15.75" x14ac:dyDescent="0.25">
      <c r="D599" s="325">
        <f t="shared" si="202"/>
        <v>15</v>
      </c>
      <c r="E599" s="365" t="s">
        <v>334</v>
      </c>
      <c r="F599" s="359">
        <f>SUMIF(E$7:E$578,"be.tube",F$7:F$578)</f>
        <v>0</v>
      </c>
      <c r="G599" s="360">
        <f>SUMIF(E$7:E$578,"be.tube",Z$7:Z$578)</f>
        <v>0</v>
      </c>
      <c r="H599" s="350">
        <f>SUMIFS(Z$7:Z$578,E$7:E$578,"be.tube",AF$7:AF$578,"OK")</f>
        <v>0</v>
      </c>
      <c r="I599" s="351"/>
      <c r="J599" s="355"/>
      <c r="K599" s="325"/>
      <c r="L599" s="329"/>
      <c r="M599" s="329"/>
      <c r="N599" s="329"/>
      <c r="O599" s="329"/>
      <c r="P599" s="329"/>
      <c r="Q599" s="329"/>
      <c r="R599" s="329"/>
      <c r="S599" s="329"/>
      <c r="T599" s="329"/>
      <c r="U599" s="329"/>
      <c r="V599" s="329"/>
      <c r="W599" s="329"/>
      <c r="X599" s="329"/>
      <c r="Y599" s="329"/>
      <c r="Z599" s="329"/>
      <c r="AA599" s="329"/>
      <c r="AB599" s="329"/>
    </row>
    <row r="600" spans="3:28" ht="15.75" x14ac:dyDescent="0.25">
      <c r="D600" s="325">
        <f t="shared" si="202"/>
        <v>16</v>
      </c>
      <c r="E600" s="365" t="s">
        <v>333</v>
      </c>
      <c r="F600" s="359">
        <f>SUMIF(E$7:E$578,"best",F$7:F$578)</f>
        <v>0</v>
      </c>
      <c r="G600" s="360">
        <f>SUMIF(E$7:E$578,"best",Z$7:Z$578)</f>
        <v>0</v>
      </c>
      <c r="H600" s="350">
        <f>SUMIFS(Z$7:Z$578,E$7:E$578,"Best",AF$7:AF$578,"OK")</f>
        <v>0</v>
      </c>
      <c r="I600" s="351"/>
      <c r="J600" s="355"/>
      <c r="K600" s="325"/>
      <c r="L600" s="329"/>
      <c r="M600" s="329"/>
      <c r="N600" s="329"/>
      <c r="O600" s="329"/>
      <c r="P600" s="329"/>
      <c r="Q600" s="329"/>
      <c r="R600" s="329"/>
      <c r="S600" s="329"/>
      <c r="T600" s="329"/>
      <c r="U600" s="329"/>
      <c r="V600" s="329"/>
      <c r="W600" s="329"/>
      <c r="X600" s="329"/>
      <c r="Y600" s="329"/>
      <c r="Z600" s="329"/>
      <c r="AA600" s="329"/>
      <c r="AB600" s="329"/>
    </row>
    <row r="601" spans="3:28" ht="15.75" x14ac:dyDescent="0.25">
      <c r="D601" s="325">
        <f t="shared" si="202"/>
        <v>17</v>
      </c>
      <c r="E601" s="363" t="s">
        <v>95</v>
      </c>
      <c r="F601" s="359">
        <f>SUMIF(E$7:E$578,"braga",F$7:F$578)</f>
        <v>558</v>
      </c>
      <c r="G601" s="360">
        <f>SUMIF(E$7:E$578,"braga",Z$7:Z$578)</f>
        <v>43.800000000000004</v>
      </c>
      <c r="H601" s="350">
        <f>SUMIFS(Z$7:Z$578,E$7:E$578,"Braga",AF$7:AF$578,"OK")</f>
        <v>15.8</v>
      </c>
      <c r="I601" s="351">
        <f>SUMIFS(F$7:F$578,E$7:E$578,"braga",AF$7:AF$578,"OK")</f>
        <v>158</v>
      </c>
      <c r="J601" s="355"/>
      <c r="K601" s="325"/>
      <c r="L601" s="329"/>
      <c r="M601" s="329"/>
      <c r="N601" s="329"/>
      <c r="O601" s="329"/>
      <c r="P601" s="329"/>
      <c r="Q601" s="329"/>
      <c r="R601" s="329"/>
      <c r="S601" s="329"/>
      <c r="T601" s="329"/>
      <c r="U601" s="329"/>
      <c r="V601" s="329"/>
      <c r="W601" s="329"/>
      <c r="X601" s="329"/>
      <c r="Y601" s="329"/>
      <c r="Z601" s="329"/>
      <c r="AA601" s="329"/>
      <c r="AB601" s="329"/>
    </row>
    <row r="602" spans="3:28" ht="15.75" x14ac:dyDescent="0.25">
      <c r="D602" s="325">
        <f t="shared" si="202"/>
        <v>18</v>
      </c>
      <c r="E602" s="363" t="s">
        <v>393</v>
      </c>
      <c r="F602" s="359">
        <f>SUMIF(E$7:E$578,"brioschi",F$7:F$578)</f>
        <v>0</v>
      </c>
      <c r="G602" s="360">
        <f>SUMIF(E$7:E$578,"brioschi",Z$7:Z$578)</f>
        <v>0</v>
      </c>
      <c r="H602" s="350">
        <f>SUMIFS(Z$7:Z$578,E$7:E$578,"Brioschi",AF$7:AF$578,"OK")</f>
        <v>0</v>
      </c>
      <c r="I602" s="351">
        <f>SUMIFS(F$7:F$578,E$7:E$578,"brioschi",AF$7:AF$578,"OK")</f>
        <v>0</v>
      </c>
      <c r="J602" s="355"/>
      <c r="K602" s="325"/>
      <c r="L602" s="329"/>
      <c r="M602" s="329"/>
      <c r="N602" s="329"/>
      <c r="O602" s="329"/>
      <c r="P602" s="329"/>
      <c r="Q602" s="329"/>
      <c r="R602" s="329"/>
      <c r="S602" s="329"/>
      <c r="T602" s="329"/>
      <c r="U602" s="329"/>
      <c r="V602" s="329"/>
      <c r="W602" s="329"/>
      <c r="X602" s="329"/>
      <c r="Y602" s="329"/>
      <c r="Z602" s="329"/>
      <c r="AA602" s="329"/>
      <c r="AB602" s="329"/>
    </row>
    <row r="603" spans="3:28" ht="15.75" x14ac:dyDescent="0.25">
      <c r="C603" s="224" t="s">
        <v>273</v>
      </c>
      <c r="D603" s="325">
        <f t="shared" si="202"/>
        <v>19</v>
      </c>
      <c r="E603" s="364" t="s">
        <v>223</v>
      </c>
      <c r="F603" s="359">
        <f>SUMIF(E7:E578,"bollani",F7:F578)</f>
        <v>0</v>
      </c>
      <c r="G603" s="360">
        <f>SUMIF(E7:E578,"bollani",Z7:Z578)</f>
        <v>0</v>
      </c>
      <c r="H603" s="350">
        <f>SUMIFS(Z$7:Z$578,E$7:E$578,"Bollani",AF$7:AF$578,"OK")</f>
        <v>0</v>
      </c>
      <c r="I603" s="351"/>
      <c r="J603" s="355"/>
      <c r="K603" s="325"/>
      <c r="L603" s="329"/>
      <c r="M603" s="329"/>
      <c r="N603" s="329"/>
      <c r="O603" s="329"/>
      <c r="P603" s="329"/>
      <c r="Q603" s="329"/>
      <c r="R603" s="329"/>
      <c r="S603" s="329"/>
      <c r="T603" s="329"/>
      <c r="U603" s="329"/>
      <c r="V603" s="329"/>
      <c r="W603" s="329"/>
      <c r="X603" s="329"/>
      <c r="Y603" s="329"/>
      <c r="Z603" s="329"/>
      <c r="AA603" s="329"/>
      <c r="AB603" s="329"/>
    </row>
    <row r="604" spans="3:28" ht="15.75" x14ac:dyDescent="0.25">
      <c r="D604" s="325"/>
      <c r="E604" s="363" t="s">
        <v>426</v>
      </c>
      <c r="F604" s="359">
        <f>SUMIF(E7:E579,"botter",F7:F579)</f>
        <v>0</v>
      </c>
      <c r="G604" s="360">
        <f>SUMIF(E7:E579,"botter",Z7:Z579)</f>
        <v>0</v>
      </c>
      <c r="H604" s="350">
        <f>SUMIFS(Z$7:Z$578,E$7:E$578,"Botter",AF$7:AF$578,"OK")</f>
        <v>0</v>
      </c>
      <c r="I604" s="351"/>
      <c r="J604" s="355"/>
      <c r="K604" s="325"/>
      <c r="L604" s="329"/>
      <c r="M604" s="329"/>
      <c r="N604" s="329"/>
      <c r="O604" s="329"/>
      <c r="P604" s="329"/>
      <c r="Q604" s="329"/>
      <c r="R604" s="329"/>
      <c r="S604" s="329"/>
      <c r="T604" s="329"/>
      <c r="U604" s="329"/>
      <c r="V604" s="329"/>
      <c r="W604" s="329"/>
      <c r="X604" s="329"/>
      <c r="Y604" s="329"/>
      <c r="Z604" s="329"/>
      <c r="AA604" s="329"/>
      <c r="AB604" s="329"/>
    </row>
    <row r="605" spans="3:28" ht="15.75" x14ac:dyDescent="0.25">
      <c r="D605" s="325">
        <f>+D603+1</f>
        <v>20</v>
      </c>
      <c r="E605" s="363" t="s">
        <v>263</v>
      </c>
      <c r="F605" s="359">
        <f>SUMIF(E$7:E$578,"Bticino",F$7:F$578)</f>
        <v>106931</v>
      </c>
      <c r="G605" s="360">
        <f>SUMIF(E$7:E$578,"Bticino",Z$7:Z$578)</f>
        <v>7493.6600000000008</v>
      </c>
      <c r="H605" s="350">
        <f>SUMIFS(Z$7:Z$578,E$7:E$578,"Bticino",AF$7:AF$578,"OK")</f>
        <v>2271.36</v>
      </c>
      <c r="I605" s="351">
        <f>SUMIFS(F$7:F$578,E$7:E$578,"bticino",AF$7:AF$578,"OK")</f>
        <v>32448</v>
      </c>
      <c r="J605" s="355"/>
      <c r="K605" s="325"/>
      <c r="L605" s="329"/>
      <c r="M605" s="329"/>
      <c r="N605" s="329"/>
      <c r="O605" s="329"/>
      <c r="P605" s="329"/>
      <c r="Q605" s="329"/>
      <c r="R605" s="329"/>
      <c r="S605" s="329"/>
      <c r="T605" s="329"/>
      <c r="U605" s="329"/>
      <c r="V605" s="329"/>
      <c r="W605" s="329"/>
      <c r="X605" s="329"/>
      <c r="Y605" s="329"/>
      <c r="Z605" s="329"/>
      <c r="AA605" s="329"/>
      <c r="AB605" s="329"/>
    </row>
    <row r="606" spans="3:28" ht="15.75" x14ac:dyDescent="0.25">
      <c r="C606" s="224" t="s">
        <v>273</v>
      </c>
      <c r="D606" s="325">
        <f t="shared" si="202"/>
        <v>21</v>
      </c>
      <c r="E606" s="364" t="s">
        <v>224</v>
      </c>
      <c r="F606" s="359">
        <f>SUMIF(E7:E578,"catis",F7:F578)</f>
        <v>0</v>
      </c>
      <c r="G606" s="360">
        <f>SUMIF(E7:E578,"catis",Z7:Z578)</f>
        <v>0</v>
      </c>
      <c r="H606" s="350">
        <f>SUMIFS(Z$7:Z$578,E$7:E$578,"Catis",AF$7:AF$578,"OK")</f>
        <v>0</v>
      </c>
      <c r="I606" s="351"/>
      <c r="J606" s="355"/>
      <c r="K606" s="325"/>
      <c r="L606" s="329"/>
      <c r="M606" s="329"/>
      <c r="N606" s="329"/>
      <c r="O606" s="329"/>
      <c r="P606" s="329"/>
      <c r="Q606" s="329"/>
      <c r="R606" s="329"/>
      <c r="S606" s="329"/>
      <c r="T606" s="329"/>
      <c r="U606" s="329"/>
      <c r="V606" s="329"/>
      <c r="W606" s="329"/>
      <c r="X606" s="329"/>
      <c r="Y606" s="329"/>
      <c r="Z606" s="329"/>
      <c r="AA606" s="329"/>
      <c r="AB606" s="329"/>
    </row>
    <row r="607" spans="3:28" ht="15.75" x14ac:dyDescent="0.25">
      <c r="D607" s="325">
        <f t="shared" si="202"/>
        <v>22</v>
      </c>
      <c r="E607" s="363" t="s">
        <v>245</v>
      </c>
      <c r="F607" s="359">
        <f>SUMIF(E7:E578,"cabur",F7:F578)</f>
        <v>0</v>
      </c>
      <c r="G607" s="360">
        <f>SUMIF(E7:E578,"cabur",Z7:Z578)</f>
        <v>0</v>
      </c>
      <c r="H607" s="350">
        <f>SUMIFS(Z$7:Z$578,E$7:E$578,"Cabur",AF$7:AF$578,"OK")</f>
        <v>0</v>
      </c>
      <c r="I607" s="351"/>
      <c r="J607" s="355"/>
      <c r="K607" s="325"/>
      <c r="L607" s="329"/>
      <c r="M607" s="329"/>
      <c r="N607" s="329"/>
      <c r="O607" s="329"/>
      <c r="P607" s="329"/>
      <c r="Q607" s="329"/>
      <c r="R607" s="329"/>
      <c r="S607" s="329"/>
      <c r="T607" s="329"/>
      <c r="U607" s="329"/>
      <c r="V607" s="329"/>
      <c r="W607" s="329"/>
      <c r="X607" s="329"/>
      <c r="Y607" s="329"/>
      <c r="Z607" s="329"/>
      <c r="AA607" s="329"/>
      <c r="AB607" s="329"/>
    </row>
    <row r="608" spans="3:28" ht="15.75" x14ac:dyDescent="0.25">
      <c r="C608" s="224" t="s">
        <v>392</v>
      </c>
      <c r="D608" s="325">
        <f t="shared" si="202"/>
        <v>23</v>
      </c>
      <c r="E608" s="366" t="s">
        <v>329</v>
      </c>
      <c r="F608" s="359">
        <f>SUMIF(E7:E578,"carbognin",F7:F578)</f>
        <v>0</v>
      </c>
      <c r="G608" s="360">
        <f>SUMIF(E7:E578,"carbognin",Z7:Z578)</f>
        <v>0</v>
      </c>
      <c r="H608" s="350">
        <f>SUMIFS(Z$7:Z$578,E$7:E$578,"Carbognin",AF$7:AF$578,"OK")</f>
        <v>0</v>
      </c>
      <c r="I608" s="351">
        <f>SUMIFS(F$7:F$578,E$7:E$578,"carbognin",AF$7:AF$578,"OK")</f>
        <v>0</v>
      </c>
      <c r="J608" s="355"/>
      <c r="K608" s="325"/>
      <c r="L608" s="329"/>
      <c r="M608" s="329"/>
      <c r="N608" s="329"/>
      <c r="O608" s="329"/>
      <c r="P608" s="329"/>
      <c r="Q608" s="329"/>
      <c r="R608" s="329"/>
      <c r="S608" s="329"/>
      <c r="T608" s="329"/>
      <c r="U608" s="329"/>
      <c r="V608" s="329"/>
      <c r="W608" s="329"/>
      <c r="X608" s="329"/>
      <c r="Y608" s="329"/>
      <c r="Z608" s="329"/>
      <c r="AA608" s="329"/>
      <c r="AB608" s="329"/>
    </row>
    <row r="609" spans="3:28" ht="15.75" x14ac:dyDescent="0.25">
      <c r="C609" s="224" t="s">
        <v>273</v>
      </c>
      <c r="D609" s="325">
        <f t="shared" si="202"/>
        <v>24</v>
      </c>
      <c r="E609" s="364" t="s">
        <v>225</v>
      </c>
      <c r="F609" s="359">
        <f>SUMIF(E$7:E$578,"cea 2",F$7:F$578)</f>
        <v>0</v>
      </c>
      <c r="G609" s="360">
        <f>SUMIF(E$7:E$578,"cea 2",Z$7:Z$578)</f>
        <v>0</v>
      </c>
      <c r="H609" s="350">
        <f>SUMIFS(Z$7:Z$578,E$7:E$578,"Cea 2",AF$7:AF$578,"OK")</f>
        <v>0</v>
      </c>
      <c r="I609" s="351"/>
      <c r="J609" s="355"/>
      <c r="K609" s="325"/>
      <c r="L609" s="329"/>
      <c r="M609" s="329"/>
      <c r="N609" s="329"/>
      <c r="O609" s="329"/>
      <c r="P609" s="329"/>
      <c r="Q609" s="329"/>
      <c r="R609" s="329"/>
      <c r="S609" s="329"/>
      <c r="T609" s="329"/>
      <c r="U609" s="329"/>
      <c r="V609" s="329"/>
      <c r="W609" s="329"/>
      <c r="X609" s="329"/>
      <c r="Y609" s="329"/>
      <c r="Z609" s="329"/>
      <c r="AA609" s="329"/>
      <c r="AB609" s="329"/>
    </row>
    <row r="610" spans="3:28" ht="15.75" x14ac:dyDescent="0.25">
      <c r="D610" s="325">
        <f t="shared" si="202"/>
        <v>25</v>
      </c>
      <c r="E610" s="365" t="s">
        <v>331</v>
      </c>
      <c r="F610" s="359">
        <f>SUMIF(E$7:E$578,"cem",F$7:F$578)</f>
        <v>0</v>
      </c>
      <c r="G610" s="360">
        <f>SUMIF(E$7:E$578,"cem",Z$7:Z$578)</f>
        <v>0</v>
      </c>
      <c r="H610" s="350">
        <f>SUMIFS(Z$7:Z$578,E$7:E$578,"Cem",AF$7:AF$578,"OK")</f>
        <v>0</v>
      </c>
      <c r="I610" s="351">
        <f>SUMIFS(F$7:F$578,E$7:E$578,"cem",AF$7:AF$578,"OK")</f>
        <v>0</v>
      </c>
      <c r="J610" s="355"/>
      <c r="K610" s="325"/>
      <c r="L610" s="329"/>
      <c r="M610" s="329"/>
      <c r="N610" s="329"/>
      <c r="O610" s="329"/>
      <c r="P610" s="329"/>
      <c r="Q610" s="329"/>
      <c r="R610" s="329"/>
      <c r="S610" s="329"/>
      <c r="T610" s="329"/>
      <c r="U610" s="329"/>
      <c r="V610" s="329"/>
      <c r="W610" s="329"/>
      <c r="X610" s="329"/>
      <c r="Y610" s="329"/>
      <c r="Z610" s="329"/>
      <c r="AA610" s="329"/>
      <c r="AB610" s="329"/>
    </row>
    <row r="611" spans="3:28" ht="15.75" x14ac:dyDescent="0.25">
      <c r="C611" s="224" t="s">
        <v>273</v>
      </c>
      <c r="D611" s="325">
        <f t="shared" si="202"/>
        <v>26</v>
      </c>
      <c r="E611" s="364" t="s">
        <v>226</v>
      </c>
      <c r="F611" s="359">
        <f>SUMIF(E7:E578,"chimimetal",F7:F578)</f>
        <v>0</v>
      </c>
      <c r="G611" s="360">
        <f>SUMIF(E7:E578,"chimimetal",Z7:Z578)</f>
        <v>0</v>
      </c>
      <c r="H611" s="350">
        <f>SUMIFS(Z$7:Z$578,E$7:E$578,"Chimimetal",AF$7:AF$578,"OK")</f>
        <v>0</v>
      </c>
      <c r="I611" s="351"/>
      <c r="J611" s="355"/>
      <c r="K611" s="325"/>
      <c r="L611" s="329"/>
      <c r="M611" s="329"/>
      <c r="N611" s="329"/>
      <c r="O611" s="329"/>
      <c r="P611" s="329"/>
      <c r="Q611" s="329"/>
      <c r="R611" s="329"/>
      <c r="S611" s="329"/>
      <c r="T611" s="329"/>
      <c r="U611" s="329"/>
      <c r="V611" s="329"/>
      <c r="W611" s="329"/>
      <c r="X611" s="329"/>
      <c r="Y611" s="329"/>
      <c r="Z611" s="329"/>
      <c r="AA611" s="329"/>
      <c r="AB611" s="329"/>
    </row>
    <row r="612" spans="3:28" ht="15.75" x14ac:dyDescent="0.25">
      <c r="D612" s="325">
        <f t="shared" si="202"/>
        <v>27</v>
      </c>
      <c r="E612" s="363" t="s">
        <v>114</v>
      </c>
      <c r="F612" s="359">
        <f>SUMIF(E7:E578,"colombo",F7:F578)</f>
        <v>12483</v>
      </c>
      <c r="G612" s="360">
        <f>SUMIF(E7:E578,"colombo",Z7:Z578)</f>
        <v>873.81000000000006</v>
      </c>
      <c r="H612" s="350">
        <f>SUMIFS(Z$7:Z$578,E$7:E$578,"Colombo",AF$7:AF$578,"OK")</f>
        <v>362.81000000000006</v>
      </c>
      <c r="I612" s="351">
        <f>SUMIFS(F$7:F$578,E$7:E$578,"Colombo",AF$7:AF$578,"OK")</f>
        <v>5183</v>
      </c>
      <c r="J612" s="355"/>
      <c r="K612" s="325"/>
      <c r="L612" s="329"/>
      <c r="M612" s="329"/>
      <c r="N612" s="329"/>
      <c r="O612" s="329"/>
      <c r="P612" s="329"/>
      <c r="Q612" s="329"/>
      <c r="R612" s="329"/>
      <c r="S612" s="329"/>
      <c r="T612" s="329"/>
      <c r="U612" s="329"/>
      <c r="V612" s="329"/>
      <c r="W612" s="329"/>
      <c r="X612" s="329"/>
      <c r="Y612" s="329"/>
      <c r="Z612" s="329"/>
      <c r="AA612" s="329"/>
      <c r="AB612" s="329"/>
    </row>
    <row r="613" spans="3:28" ht="15.75" x14ac:dyDescent="0.25">
      <c r="D613" s="325">
        <f t="shared" si="202"/>
        <v>28</v>
      </c>
      <c r="E613" s="363" t="s">
        <v>227</v>
      </c>
      <c r="F613" s="359">
        <f>SUMIF(E7:E578,"cta",F7:F578)</f>
        <v>0</v>
      </c>
      <c r="G613" s="360">
        <f>SUMIF(E7:E578,"CTA",Z7:Z578)</f>
        <v>0</v>
      </c>
      <c r="H613" s="350">
        <f>SUMIFS(Z$7:Z$578,E$7:E$578,"Cta",AF$7:AF$578,"OK")</f>
        <v>0</v>
      </c>
      <c r="I613" s="351"/>
      <c r="J613" s="355"/>
      <c r="K613" s="325"/>
      <c r="L613" s="329"/>
      <c r="M613" s="329"/>
      <c r="N613" s="329"/>
      <c r="O613" s="329"/>
      <c r="P613" s="329"/>
      <c r="Q613" s="329"/>
      <c r="R613" s="329"/>
      <c r="S613" s="329"/>
      <c r="T613" s="329"/>
      <c r="U613" s="329"/>
      <c r="V613" s="329"/>
      <c r="W613" s="329"/>
      <c r="X613" s="329"/>
      <c r="Y613" s="329"/>
      <c r="Z613" s="329"/>
      <c r="AA613" s="329"/>
      <c r="AB613" s="329"/>
    </row>
    <row r="614" spans="3:28" ht="15.75" x14ac:dyDescent="0.25">
      <c r="D614" s="325">
        <f t="shared" si="202"/>
        <v>29</v>
      </c>
      <c r="E614" s="363" t="s">
        <v>228</v>
      </c>
      <c r="F614" s="359">
        <f>SUMIF(E$7:E$578,"CTS",F$7:F$578)</f>
        <v>2313</v>
      </c>
      <c r="G614" s="360">
        <f>SUMIF(E$7:E$578,"CTS",Z$7:Z$578)</f>
        <v>693.9</v>
      </c>
      <c r="H614" s="350">
        <f>SUMIFS(Z$7:Z$578,E$7:E$578,"Cts",AF$7:AF$578,"OK")</f>
        <v>366.9</v>
      </c>
      <c r="I614" s="351">
        <f>SUMIFS(F$7:F$578,E$7:E$578,"Cts",AF$7:AF$578,"OK")</f>
        <v>1223</v>
      </c>
      <c r="J614" s="355"/>
      <c r="K614" s="325"/>
      <c r="L614" s="329"/>
      <c r="M614" s="329"/>
      <c r="N614" s="329"/>
      <c r="O614" s="329"/>
      <c r="P614" s="329"/>
      <c r="Q614" s="329"/>
      <c r="R614" s="329"/>
      <c r="S614" s="329"/>
      <c r="T614" s="329"/>
      <c r="U614" s="329"/>
      <c r="V614" s="329"/>
      <c r="W614" s="329"/>
      <c r="X614" s="329"/>
      <c r="Y614" s="329"/>
      <c r="Z614" s="329"/>
      <c r="AA614" s="329"/>
      <c r="AB614" s="329"/>
    </row>
    <row r="615" spans="3:28" ht="15.75" x14ac:dyDescent="0.25">
      <c r="D615" s="325">
        <f t="shared" si="202"/>
        <v>30</v>
      </c>
      <c r="E615" s="363" t="s">
        <v>391</v>
      </c>
      <c r="F615" s="359">
        <f>SUMIF(E$7:E$578,"derbio",F$7:F$578)</f>
        <v>0</v>
      </c>
      <c r="G615" s="360">
        <f>SUMIF(E$7:E$578,"derbio",Z$7:Z$578)</f>
        <v>0</v>
      </c>
      <c r="H615" s="350">
        <f>SUMIFS(Z$7:Z$578,E$7:E$578,"derbio",AF$7:AF$578,"OK")</f>
        <v>0</v>
      </c>
      <c r="I615" s="351">
        <f>SUMIFS(F$7:F$578,E$7:E$578,"derbio",AF$7:AF$578,"OK")</f>
        <v>0</v>
      </c>
      <c r="J615" s="355"/>
      <c r="K615" s="325"/>
      <c r="L615" s="329"/>
      <c r="M615" s="329"/>
      <c r="N615" s="329"/>
      <c r="O615" s="329"/>
      <c r="P615" s="329"/>
      <c r="Q615" s="329"/>
      <c r="R615" s="329"/>
      <c r="S615" s="329"/>
      <c r="T615" s="329"/>
      <c r="U615" s="329"/>
      <c r="V615" s="329"/>
      <c r="W615" s="329"/>
      <c r="X615" s="329"/>
      <c r="Y615" s="329"/>
      <c r="Z615" s="329"/>
      <c r="AA615" s="329"/>
      <c r="AB615" s="329"/>
    </row>
    <row r="616" spans="3:28" ht="15.75" x14ac:dyDescent="0.25">
      <c r="D616" s="325">
        <f t="shared" si="202"/>
        <v>31</v>
      </c>
      <c r="E616" s="363" t="s">
        <v>237</v>
      </c>
      <c r="F616" s="359">
        <f>SUMIF(E7:E578,"duesse",F7:F578)</f>
        <v>0</v>
      </c>
      <c r="G616" s="360">
        <f>SUMIF(E7:E578,"duesse",Z7:Z578)</f>
        <v>0</v>
      </c>
      <c r="H616" s="350">
        <f>SUMIFS(Z$7:Z$578,E$7:E$578,"Duesse",AF$7:AF$578,"OK")</f>
        <v>0</v>
      </c>
      <c r="I616" s="351"/>
      <c r="J616" s="355"/>
      <c r="K616" s="325"/>
      <c r="L616" s="329"/>
      <c r="M616" s="329"/>
      <c r="N616" s="329"/>
      <c r="O616" s="329"/>
      <c r="P616" s="329"/>
      <c r="Q616" s="329"/>
      <c r="R616" s="329"/>
      <c r="S616" s="329"/>
      <c r="T616" s="329"/>
      <c r="U616" s="329"/>
      <c r="V616" s="329"/>
      <c r="W616" s="329"/>
      <c r="X616" s="329"/>
      <c r="Y616" s="329"/>
      <c r="Z616" s="329"/>
      <c r="AA616" s="329"/>
      <c r="AB616" s="329"/>
    </row>
    <row r="617" spans="3:28" ht="15.75" x14ac:dyDescent="0.25">
      <c r="C617" s="224" t="s">
        <v>273</v>
      </c>
      <c r="D617" s="325">
        <f t="shared" si="202"/>
        <v>32</v>
      </c>
      <c r="E617" s="364" t="s">
        <v>256</v>
      </c>
      <c r="F617" s="359">
        <f>SUMIF(E7:E578,"ea",F7:F578)</f>
        <v>0</v>
      </c>
      <c r="G617" s="360">
        <f>SUMIF(E7:E578,"ea",Z7:Z578)</f>
        <v>0</v>
      </c>
      <c r="H617" s="350">
        <f>SUMIFS(Z$7:Z$578,E$7:E$578,"Ea",AF$7:AF$578,"OK")</f>
        <v>0</v>
      </c>
      <c r="I617" s="351"/>
      <c r="J617" s="355"/>
      <c r="K617" s="325"/>
      <c r="L617" s="329"/>
      <c r="M617" s="329"/>
      <c r="N617" s="329"/>
      <c r="O617" s="329"/>
      <c r="P617" s="329"/>
      <c r="Q617" s="329"/>
      <c r="R617" s="329"/>
      <c r="S617" s="329"/>
      <c r="T617" s="329"/>
      <c r="U617" s="329"/>
      <c r="V617" s="329"/>
      <c r="W617" s="329"/>
      <c r="X617" s="329"/>
      <c r="Y617" s="329"/>
      <c r="Z617" s="329"/>
      <c r="AA617" s="329"/>
      <c r="AB617" s="329"/>
    </row>
    <row r="618" spans="3:28" ht="15.75" x14ac:dyDescent="0.25">
      <c r="D618" s="325">
        <f t="shared" si="202"/>
        <v>33</v>
      </c>
      <c r="E618" s="363" t="s">
        <v>219</v>
      </c>
      <c r="F618" s="359">
        <f>SUMIF(E7:E578,"ebg",F7:F578)</f>
        <v>12406</v>
      </c>
      <c r="G618" s="360">
        <f>SUMIF(E7:E578,"ebg",Z7:Z578)</f>
        <v>745.36</v>
      </c>
      <c r="H618" s="350">
        <f>SUMIFS(Z$7:Z$578,E$7:E$578,"Ebg",AF$7:AF$578,"OK")</f>
        <v>668.36</v>
      </c>
      <c r="I618" s="351"/>
      <c r="J618" s="355"/>
      <c r="K618" s="325"/>
      <c r="L618" s="329"/>
      <c r="M618" s="329"/>
      <c r="N618" s="329"/>
      <c r="O618" s="329"/>
      <c r="P618" s="329"/>
      <c r="Q618" s="329"/>
      <c r="R618" s="329"/>
      <c r="S618" s="329"/>
      <c r="T618" s="329"/>
      <c r="U618" s="329"/>
      <c r="V618" s="329"/>
      <c r="W618" s="329"/>
      <c r="X618" s="329"/>
      <c r="Y618" s="329"/>
      <c r="Z618" s="329"/>
      <c r="AA618" s="329"/>
      <c r="AB618" s="329"/>
    </row>
    <row r="619" spans="3:28" ht="15.75" x14ac:dyDescent="0.25">
      <c r="D619" s="325">
        <f t="shared" si="202"/>
        <v>34</v>
      </c>
      <c r="E619" s="363" t="s">
        <v>330</v>
      </c>
      <c r="F619" s="359">
        <f>SUMIF(E7:E578,"efacec",F7:F578)</f>
        <v>51345</v>
      </c>
      <c r="G619" s="360">
        <f>SUMIF(E7:E578,"efacec",Z7:Z578)</f>
        <v>3594.15</v>
      </c>
      <c r="H619" s="350">
        <f>SUMIFS(Z$7:Z$578,E$7:E$578,"Efacec",AF$7:AF$578,"OK")</f>
        <v>2103.15</v>
      </c>
      <c r="I619" s="351">
        <f>SUMIFS(F$7:F$578,E$7:E$578,"efacec",AF$7:AF$578,"OK")</f>
        <v>30045</v>
      </c>
      <c r="J619" s="355"/>
      <c r="K619" s="325"/>
      <c r="L619" s="329"/>
      <c r="M619" s="329"/>
      <c r="N619" s="329"/>
      <c r="O619" s="329"/>
      <c r="P619" s="329"/>
      <c r="Q619" s="329"/>
      <c r="R619" s="329"/>
      <c r="S619" s="329"/>
      <c r="T619" s="329"/>
      <c r="U619" s="329"/>
      <c r="V619" s="329"/>
      <c r="W619" s="329"/>
      <c r="X619" s="329"/>
      <c r="Y619" s="329"/>
      <c r="Z619" s="329"/>
      <c r="AA619" s="329"/>
      <c r="AB619" s="329"/>
    </row>
    <row r="620" spans="3:28" ht="15.75" x14ac:dyDescent="0.25">
      <c r="D620" s="325">
        <f t="shared" si="202"/>
        <v>35</v>
      </c>
      <c r="E620" s="363" t="s">
        <v>235</v>
      </c>
      <c r="F620" s="359">
        <f>SUMIF(E7:E578,"eht",F7:F578)</f>
        <v>0</v>
      </c>
      <c r="G620" s="360">
        <f>SUMIF(E7:E578,"eht",Z7:Z578)</f>
        <v>0</v>
      </c>
      <c r="H620" s="350">
        <f>SUMIFS(Z$7:Z$578,E$7:E$578,"Eht",AF$7:AF$578,"OK")</f>
        <v>0</v>
      </c>
      <c r="I620" s="351"/>
      <c r="J620" s="355"/>
      <c r="K620" s="325"/>
      <c r="L620" s="329"/>
      <c r="M620" s="329"/>
      <c r="N620" s="329"/>
      <c r="O620" s="329"/>
      <c r="P620" s="329"/>
      <c r="Q620" s="329"/>
      <c r="R620" s="329"/>
      <c r="S620" s="329"/>
      <c r="T620" s="329"/>
      <c r="U620" s="329"/>
      <c r="V620" s="329"/>
      <c r="W620" s="329"/>
      <c r="X620" s="329"/>
      <c r="Y620" s="329"/>
      <c r="Z620" s="329"/>
      <c r="AA620" s="329"/>
      <c r="AB620" s="329"/>
    </row>
    <row r="621" spans="3:28" ht="15.75" x14ac:dyDescent="0.25">
      <c r="C621" s="224" t="s">
        <v>273</v>
      </c>
      <c r="D621" s="325">
        <f t="shared" si="202"/>
        <v>36</v>
      </c>
      <c r="E621" s="367" t="s">
        <v>229</v>
      </c>
      <c r="F621" s="359">
        <f>SUMIF(E7:E578,"ELAST",F7:F578)</f>
        <v>0</v>
      </c>
      <c r="G621" s="360">
        <f>SUMIF(E7:E578,"elast",Z7:Z578)</f>
        <v>0</v>
      </c>
      <c r="H621" s="350">
        <f>SUMIFS(Z$7:Z$578,E$7:E$578,"Elast",AF$7:AF$578,"OK")</f>
        <v>0</v>
      </c>
      <c r="I621" s="351"/>
      <c r="J621" s="355"/>
      <c r="K621" s="325"/>
      <c r="L621" s="329"/>
      <c r="M621" s="329"/>
      <c r="N621" s="329"/>
      <c r="O621" s="329"/>
      <c r="P621" s="329"/>
      <c r="Q621" s="329"/>
      <c r="R621" s="329"/>
      <c r="S621" s="329"/>
      <c r="T621" s="329"/>
      <c r="U621" s="329"/>
      <c r="V621" s="329"/>
      <c r="W621" s="329"/>
      <c r="X621" s="329"/>
      <c r="Y621" s="329"/>
      <c r="Z621" s="329"/>
      <c r="AA621" s="329"/>
      <c r="AB621" s="329"/>
    </row>
    <row r="622" spans="3:28" ht="15.75" x14ac:dyDescent="0.25">
      <c r="D622" s="325">
        <f t="shared" si="202"/>
        <v>37</v>
      </c>
      <c r="E622" s="363" t="s">
        <v>111</v>
      </c>
      <c r="F622" s="359">
        <f>SUMIF(E7:E578,"elca",F7:F578)</f>
        <v>0</v>
      </c>
      <c r="G622" s="360">
        <f>SUMIF(E7:E578,"elca",Z7:Z578)</f>
        <v>0</v>
      </c>
      <c r="H622" s="350">
        <f>SUMIFS(Z$7:Z$578,E$7:E$578,"Elca",AF$7:AF$578,"OK")</f>
        <v>0</v>
      </c>
      <c r="I622" s="351">
        <f>SUMIFS(F$7:F$578,E$7:E$578,"Elca",AF$7:AF$578,"OK")</f>
        <v>0</v>
      </c>
      <c r="J622" s="355"/>
      <c r="K622" s="325"/>
      <c r="L622" s="329"/>
      <c r="M622" s="329"/>
      <c r="N622" s="329"/>
      <c r="O622" s="329"/>
      <c r="P622" s="329"/>
      <c r="Q622" s="329"/>
      <c r="R622" s="329"/>
      <c r="S622" s="329"/>
      <c r="T622" s="329"/>
      <c r="U622" s="329"/>
      <c r="V622" s="329"/>
      <c r="W622" s="329"/>
      <c r="X622" s="329"/>
      <c r="Y622" s="329"/>
      <c r="Z622" s="329"/>
      <c r="AA622" s="329"/>
      <c r="AB622" s="329"/>
    </row>
    <row r="623" spans="3:28" ht="15.75" x14ac:dyDescent="0.25">
      <c r="D623" s="325">
        <f t="shared" si="202"/>
        <v>38</v>
      </c>
      <c r="E623" s="363" t="s">
        <v>365</v>
      </c>
      <c r="F623" s="359">
        <f>SUMIF(E$7:E$578,"Elesa",F$7:F$578)</f>
        <v>0</v>
      </c>
      <c r="G623" s="360">
        <f>SUMIF(E$7:E$578,"elesa",Z$7:Z$578)</f>
        <v>0</v>
      </c>
      <c r="H623" s="350">
        <f>SUMIFS(Z$7:Z$578,E$7:E$578,"elesa",AF$7:AF$578,"OK")</f>
        <v>0</v>
      </c>
      <c r="I623" s="351">
        <f>SUMIFS(F$7:F$578,E$7:E$578,"elesa",AF$7:AF$578,"OK")</f>
        <v>0</v>
      </c>
      <c r="J623" s="355"/>
      <c r="K623" s="325"/>
      <c r="L623" s="329"/>
      <c r="M623" s="329"/>
      <c r="N623" s="329"/>
      <c r="O623" s="329"/>
      <c r="P623" s="329"/>
      <c r="Q623" s="329"/>
      <c r="R623" s="329"/>
      <c r="S623" s="329"/>
      <c r="T623" s="329"/>
      <c r="U623" s="329"/>
      <c r="V623" s="329"/>
      <c r="W623" s="329"/>
      <c r="X623" s="329"/>
      <c r="Y623" s="329"/>
      <c r="Z623" s="329"/>
      <c r="AA623" s="329"/>
      <c r="AB623" s="329"/>
    </row>
    <row r="624" spans="3:28" ht="15.75" x14ac:dyDescent="0.25">
      <c r="D624" s="325">
        <f t="shared" si="202"/>
        <v>39</v>
      </c>
      <c r="E624" s="363" t="s">
        <v>230</v>
      </c>
      <c r="F624" s="359">
        <f>SUMIF(E7:E578,"elektra",F7:F578)</f>
        <v>0</v>
      </c>
      <c r="G624" s="360">
        <f>SUMIF(E7:E578,"elektra",Z7:Z578)</f>
        <v>0</v>
      </c>
      <c r="H624" s="350">
        <f>SUMIFS(Z$7:Z$578,E$7:E$578,"Elektra",AF$7:AF$578,"OK")</f>
        <v>0</v>
      </c>
      <c r="I624" s="351">
        <f>SUMIFS(F$7:F$578,E$7:E$578,"Elektra",AF$7:AF$578,"OK")</f>
        <v>0</v>
      </c>
      <c r="J624" s="355"/>
      <c r="K624" s="325"/>
      <c r="L624" s="329"/>
      <c r="M624" s="329"/>
      <c r="N624" s="329"/>
      <c r="O624" s="329"/>
      <c r="P624" s="329"/>
      <c r="Q624" s="329"/>
      <c r="R624" s="329"/>
      <c r="S624" s="329"/>
      <c r="T624" s="329"/>
      <c r="U624" s="329"/>
      <c r="V624" s="329"/>
      <c r="W624" s="329"/>
      <c r="X624" s="329"/>
      <c r="Y624" s="329"/>
      <c r="Z624" s="329"/>
      <c r="AA624" s="329"/>
      <c r="AB624" s="329"/>
    </row>
    <row r="625" spans="3:28" ht="15.75" x14ac:dyDescent="0.25">
      <c r="D625" s="325">
        <f t="shared" si="202"/>
        <v>40</v>
      </c>
      <c r="E625" s="363" t="s">
        <v>106</v>
      </c>
      <c r="F625" s="359">
        <f>SUMIF(E7:E578,"eletrafo",F7:F578)</f>
        <v>0</v>
      </c>
      <c r="G625" s="360">
        <f>SUMIF(E7:E578,"eletrafo",Z7:Z578)</f>
        <v>0</v>
      </c>
      <c r="H625" s="350">
        <f>SUMIFS(Z$7:Z$578,E$7:E$578,"Eletrafo",AF$7:AF$578,"OK")</f>
        <v>0</v>
      </c>
      <c r="I625" s="351">
        <f>SUMIFS(F$7:F$578,E$7:E$578,"Eletrafo",AF$7:AF$578,"OK")</f>
        <v>0</v>
      </c>
      <c r="J625" s="355"/>
      <c r="K625" s="325"/>
      <c r="L625" s="329"/>
      <c r="M625" s="329"/>
      <c r="N625" s="329"/>
      <c r="O625" s="329"/>
      <c r="P625" s="329"/>
      <c r="Q625" s="329"/>
      <c r="R625" s="329"/>
      <c r="S625" s="329"/>
      <c r="T625" s="329"/>
      <c r="U625" s="329"/>
      <c r="V625" s="329"/>
      <c r="W625" s="329"/>
      <c r="X625" s="329"/>
      <c r="Y625" s="329"/>
      <c r="Z625" s="329"/>
      <c r="AA625" s="329"/>
      <c r="AB625" s="329"/>
    </row>
    <row r="626" spans="3:28" ht="15.75" x14ac:dyDescent="0.25">
      <c r="D626" s="325">
        <f t="shared" si="202"/>
        <v>41</v>
      </c>
      <c r="E626" s="363" t="s">
        <v>199</v>
      </c>
      <c r="F626" s="359">
        <f>SUMIF(E7:E578,"elettromil",F7:F578)</f>
        <v>0</v>
      </c>
      <c r="G626" s="360">
        <f>SUMIF(E7:E578,"elettromil",Z7:Z578)</f>
        <v>0</v>
      </c>
      <c r="H626" s="350">
        <f>SUMIFS(Z$7:Z$578,E$7:E$578,"Elettromil",AF$7:AF$578,"OK")</f>
        <v>0</v>
      </c>
      <c r="I626" s="351">
        <f>SUMIFS(F$7:F$578,E$7:E$578,"ELETTROMIL",AF$7:AF$578,"OK")</f>
        <v>0</v>
      </c>
      <c r="J626" s="355"/>
      <c r="K626" s="325"/>
      <c r="L626" s="329"/>
      <c r="M626" s="329"/>
      <c r="N626" s="329"/>
      <c r="O626" s="329"/>
      <c r="P626" s="329"/>
      <c r="Q626" s="329"/>
      <c r="R626" s="329"/>
      <c r="S626" s="329"/>
      <c r="T626" s="329"/>
      <c r="U626" s="329"/>
      <c r="V626" s="329"/>
      <c r="W626" s="329"/>
      <c r="X626" s="329"/>
      <c r="Y626" s="329"/>
      <c r="Z626" s="329"/>
      <c r="AA626" s="329"/>
      <c r="AB626" s="329"/>
    </row>
    <row r="627" spans="3:28" ht="15.75" x14ac:dyDescent="0.25">
      <c r="C627" s="224" t="s">
        <v>273</v>
      </c>
      <c r="D627" s="325">
        <f t="shared" si="202"/>
        <v>42</v>
      </c>
      <c r="E627" s="364" t="s">
        <v>91</v>
      </c>
      <c r="F627" s="359">
        <f>SUMIF(E7:E578,"elettroplastica",F7:F578)</f>
        <v>0</v>
      </c>
      <c r="G627" s="360">
        <f>SUMIF(E7:E578,"elettropalstica",Z7:Z578)</f>
        <v>0</v>
      </c>
      <c r="H627" s="350">
        <f>SUMIFS(Z$7:Z$578,E$7:E$578,"Elettroplastica",AF$7:AF$578,"OK")</f>
        <v>0</v>
      </c>
      <c r="I627" s="351"/>
      <c r="J627" s="355"/>
      <c r="K627" s="325"/>
      <c r="L627" s="329"/>
      <c r="M627" s="329"/>
      <c r="N627" s="329"/>
      <c r="O627" s="329"/>
      <c r="P627" s="329"/>
      <c r="Q627" s="329"/>
      <c r="R627" s="329"/>
      <c r="S627" s="329"/>
      <c r="T627" s="329"/>
      <c r="U627" s="329"/>
      <c r="V627" s="329"/>
      <c r="W627" s="329"/>
      <c r="X627" s="329"/>
      <c r="Y627" s="329"/>
      <c r="Z627" s="329"/>
      <c r="AA627" s="329"/>
      <c r="AB627" s="329"/>
    </row>
    <row r="628" spans="3:28" ht="15.75" x14ac:dyDescent="0.25">
      <c r="C628" s="224" t="s">
        <v>273</v>
      </c>
      <c r="D628" s="325">
        <f t="shared" si="202"/>
        <v>43</v>
      </c>
      <c r="E628" s="366" t="s">
        <v>295</v>
      </c>
      <c r="F628" s="359">
        <f>SUMIF(E7:E578,"elhand",F7:F578)</f>
        <v>0</v>
      </c>
      <c r="G628" s="360">
        <f>SUMIF(E7:E578,"elhand",Z7:Z578)</f>
        <v>0</v>
      </c>
      <c r="H628" s="350">
        <f>SUMIFS(Z$7:Z$578,E$7:E$578,"elhand",AF$7:AF$578,"OK")</f>
        <v>0</v>
      </c>
      <c r="I628" s="351">
        <f>SUMIFS(F$7:F$578,E$7:E$578,"elhand",AF$7:AF$578,"OK")</f>
        <v>0</v>
      </c>
      <c r="J628" s="355"/>
      <c r="K628" s="325"/>
      <c r="L628" s="329"/>
      <c r="M628" s="329"/>
      <c r="N628" s="329"/>
      <c r="O628" s="329"/>
      <c r="P628" s="329"/>
      <c r="Q628" s="329"/>
      <c r="R628" s="329"/>
      <c r="S628" s="329"/>
      <c r="T628" s="329"/>
      <c r="U628" s="329"/>
      <c r="V628" s="329"/>
      <c r="W628" s="329"/>
      <c r="X628" s="329"/>
      <c r="Y628" s="329"/>
      <c r="Z628" s="329"/>
      <c r="AA628" s="329"/>
      <c r="AB628" s="329"/>
    </row>
    <row r="629" spans="3:28" ht="15.75" x14ac:dyDescent="0.25">
      <c r="D629" s="325">
        <f t="shared" si="202"/>
        <v>44</v>
      </c>
      <c r="E629" s="363" t="s">
        <v>445</v>
      </c>
      <c r="F629" s="359">
        <f>SUMIF(E7:E578,"elpicast",F7:F578)</f>
        <v>48072</v>
      </c>
      <c r="G629" s="360">
        <f>SUMIF(E7:E578,"elpicast",Z7:Z578)</f>
        <v>3365.0400000000004</v>
      </c>
      <c r="H629" s="350">
        <f>SUMIFS(Z$7:Z$578,E$7:E$578,"Elpicast",AF$7:AF$578,"OK")</f>
        <v>1265.0400000000002</v>
      </c>
      <c r="I629" s="351">
        <f>SUMIFS(F$7:F$578,E$7:E$578,"elpicast",AF$7:AF$578,"OK")</f>
        <v>18072</v>
      </c>
      <c r="J629" s="355"/>
      <c r="K629" s="325"/>
      <c r="L629" s="329"/>
      <c r="M629" s="329"/>
      <c r="N629" s="329"/>
      <c r="O629" s="329"/>
      <c r="P629" s="329"/>
      <c r="Q629" s="329"/>
      <c r="R629" s="329"/>
      <c r="S629" s="329"/>
      <c r="T629" s="329"/>
      <c r="U629" s="329"/>
      <c r="V629" s="329"/>
      <c r="W629" s="329"/>
      <c r="X629" s="329"/>
      <c r="Y629" s="329"/>
      <c r="Z629" s="329"/>
      <c r="AA629" s="329"/>
      <c r="AB629" s="329"/>
    </row>
    <row r="630" spans="3:28" ht="15.75" x14ac:dyDescent="0.25">
      <c r="D630" s="325">
        <f t="shared" si="202"/>
        <v>45</v>
      </c>
      <c r="E630" s="363" t="s">
        <v>97</v>
      </c>
      <c r="F630" s="359">
        <f>SUMIF(E7:E578,"emg",F7:F578)</f>
        <v>17820</v>
      </c>
      <c r="G630" s="360">
        <f>SUMIF(E7:E578,"emg",Z7:Z578)</f>
        <v>1118.5</v>
      </c>
      <c r="H630" s="350">
        <f>SUMIFS(Z$7:Z$578,E$7:E$578,"Emg",AF$7:AF$578,"OK")</f>
        <v>676</v>
      </c>
      <c r="I630" s="351">
        <f>SUMIFS(F$7:F$578,E$7:E$578,"emg",AF$7:AF$578,"OK")</f>
        <v>13520</v>
      </c>
      <c r="J630" s="355"/>
      <c r="K630" s="325"/>
      <c r="L630" s="329"/>
      <c r="M630" s="329"/>
      <c r="N630" s="329"/>
      <c r="O630" s="329"/>
      <c r="P630" s="329"/>
      <c r="Q630" s="329"/>
      <c r="R630" s="329"/>
      <c r="S630" s="329"/>
      <c r="T630" s="329"/>
      <c r="U630" s="329"/>
      <c r="V630" s="329"/>
      <c r="W630" s="329"/>
      <c r="X630" s="329"/>
      <c r="Y630" s="329"/>
      <c r="Z630" s="329"/>
      <c r="AA630" s="329"/>
      <c r="AB630" s="329"/>
    </row>
    <row r="631" spans="3:28" ht="15.75" x14ac:dyDescent="0.25">
      <c r="D631" s="325"/>
      <c r="E631" s="363" t="s">
        <v>439</v>
      </c>
      <c r="F631" s="359">
        <f>SUMIF(E7:E579,"eservice",F7:F579)</f>
        <v>0</v>
      </c>
      <c r="G631" s="360">
        <f>SUMIF(E7:E579,"eservice",Z7:Z579)</f>
        <v>0</v>
      </c>
      <c r="H631" s="350">
        <f>SUMIFS(Z$7:Z$578,E$7:E$578,"eservice",AF$7:AF$578,"OK")</f>
        <v>0</v>
      </c>
      <c r="I631" s="351">
        <f>SUMIFS(F$7:F$578,E$7:E$578,"eservice",AF$7:AF$578,"OK")</f>
        <v>0</v>
      </c>
      <c r="J631" s="355"/>
      <c r="K631" s="325"/>
      <c r="L631" s="329"/>
      <c r="M631" s="329"/>
      <c r="N631" s="329"/>
      <c r="O631" s="329"/>
      <c r="P631" s="329"/>
      <c r="Q631" s="329"/>
      <c r="R631" s="329"/>
      <c r="S631" s="329"/>
      <c r="T631" s="329"/>
      <c r="U631" s="329"/>
      <c r="V631" s="329"/>
      <c r="W631" s="329"/>
      <c r="X631" s="329"/>
      <c r="Y631" s="329"/>
      <c r="Z631" s="329"/>
      <c r="AA631" s="329"/>
      <c r="AB631" s="329"/>
    </row>
    <row r="632" spans="3:28" ht="15.75" x14ac:dyDescent="0.25">
      <c r="D632" s="325">
        <f>+D630+1</f>
        <v>46</v>
      </c>
      <c r="E632" s="363" t="s">
        <v>258</v>
      </c>
      <c r="F632" s="359">
        <f>SUMIF(E7:E578,"espa",F7:F578)</f>
        <v>0</v>
      </c>
      <c r="G632" s="360">
        <f>SUMIF(E7:E578,"espa",Z7:Z578)</f>
        <v>0</v>
      </c>
      <c r="H632" s="350">
        <f>SUMIFS(Z$7:Z$578,E$7:E$578,"Espa",AF$7:AF$578,"OK")</f>
        <v>0</v>
      </c>
      <c r="I632" s="351">
        <f>SUMIFS(F$7:F$578,E$7:E$578,"ESPA",AF$7:AF$578,"OK")</f>
        <v>0</v>
      </c>
      <c r="J632" s="355"/>
      <c r="K632" s="325"/>
      <c r="L632" s="329"/>
      <c r="M632" s="329"/>
      <c r="N632" s="329"/>
      <c r="O632" s="329"/>
      <c r="P632" s="329"/>
      <c r="Q632" s="329"/>
      <c r="R632" s="329"/>
      <c r="S632" s="329"/>
      <c r="T632" s="329"/>
      <c r="U632" s="329"/>
      <c r="V632" s="329"/>
      <c r="W632" s="329"/>
      <c r="X632" s="329"/>
      <c r="Y632" s="329"/>
      <c r="Z632" s="329"/>
      <c r="AA632" s="329"/>
      <c r="AB632" s="329"/>
    </row>
    <row r="633" spans="3:28" ht="15.75" x14ac:dyDescent="0.25">
      <c r="D633" s="325">
        <f t="shared" si="202"/>
        <v>47</v>
      </c>
      <c r="E633" s="363" t="s">
        <v>374</v>
      </c>
      <c r="F633" s="359">
        <f>SUMIF(E$7:E$578,"fabero",F$7:F$578)</f>
        <v>0</v>
      </c>
      <c r="G633" s="360">
        <f>SUMIF(E$7:E$578,"fabero",Z$7:Z$578)</f>
        <v>0</v>
      </c>
      <c r="H633" s="350">
        <f>SUMIFS(Z$7:Z$578,E$7:E$578,"Fabero",AF$7:AF$578,"OK")</f>
        <v>0</v>
      </c>
      <c r="I633" s="351">
        <f>SUMIFS(F$7:F$578,E$7:E$578,"fabero",AF$7:AF$578,"OK")</f>
        <v>0</v>
      </c>
      <c r="J633" s="355"/>
      <c r="K633" s="325"/>
      <c r="L633" s="329"/>
      <c r="M633" s="329"/>
      <c r="N633" s="329"/>
      <c r="O633" s="329"/>
      <c r="P633" s="329"/>
      <c r="Q633" s="329"/>
      <c r="R633" s="329"/>
      <c r="S633" s="329"/>
      <c r="T633" s="329"/>
      <c r="U633" s="329"/>
      <c r="V633" s="329"/>
      <c r="W633" s="329"/>
      <c r="X633" s="329"/>
      <c r="Y633" s="329"/>
      <c r="Z633" s="329"/>
      <c r="AA633" s="329"/>
      <c r="AB633" s="329"/>
    </row>
    <row r="634" spans="3:28" ht="15.75" x14ac:dyDescent="0.25">
      <c r="D634" s="325">
        <f t="shared" si="202"/>
        <v>48</v>
      </c>
      <c r="E634" s="363" t="s">
        <v>242</v>
      </c>
      <c r="F634" s="359">
        <f>SUMIF(E$7:E$578,"fashion",F$7:F$578)</f>
        <v>0</v>
      </c>
      <c r="G634" s="360">
        <f>SUMIF(E$7:E$578,"fashion",Z$7:Z$578)</f>
        <v>0</v>
      </c>
      <c r="H634" s="350">
        <f>SUMIFS(Z$7:Z$578,E$7:E$578,"Fashion",AF$7:AF$578,"OK")</f>
        <v>0</v>
      </c>
      <c r="I634" s="351">
        <f>SUMIFS(F$7:F$578,E$7:E$578,"fashion",AF$7:AF$578,"OK")</f>
        <v>0</v>
      </c>
      <c r="J634" s="355"/>
      <c r="K634" s="325"/>
      <c r="L634" s="329"/>
      <c r="M634" s="329"/>
      <c r="N634" s="329"/>
      <c r="O634" s="329"/>
      <c r="P634" s="329"/>
      <c r="Q634" s="329"/>
      <c r="R634" s="329"/>
      <c r="S634" s="329"/>
      <c r="T634" s="329"/>
      <c r="U634" s="329"/>
      <c r="V634" s="329"/>
      <c r="W634" s="329"/>
      <c r="X634" s="329"/>
      <c r="Y634" s="329"/>
      <c r="Z634" s="329"/>
      <c r="AA634" s="329"/>
      <c r="AB634" s="329"/>
    </row>
    <row r="635" spans="3:28" ht="15.75" x14ac:dyDescent="0.25">
      <c r="D635" s="325">
        <f t="shared" si="202"/>
        <v>49</v>
      </c>
      <c r="E635" s="363" t="s">
        <v>338</v>
      </c>
      <c r="F635" s="359">
        <f>SUMIF(E$7:E$578,"facem",F$7:F$578)</f>
        <v>0</v>
      </c>
      <c r="G635" s="360">
        <f>SUMIF(E$7:E$578,"facem",Z$7:Z$578)</f>
        <v>0</v>
      </c>
      <c r="H635" s="350">
        <f>SUMIFS(Z$7:Z$578,E$7:E$578,"Facem",AF$7:AF$578,"OK")</f>
        <v>0</v>
      </c>
      <c r="I635" s="351">
        <f>SUMIFS(F$7:F$578,E$7:E$578,"facem",AF$7:AF$578,"OK")</f>
        <v>0</v>
      </c>
      <c r="J635" s="355"/>
      <c r="K635" s="325"/>
      <c r="L635" s="329"/>
      <c r="M635" s="329"/>
      <c r="N635" s="329"/>
      <c r="O635" s="329"/>
      <c r="P635" s="329"/>
      <c r="Q635" s="329"/>
      <c r="R635" s="329"/>
      <c r="S635" s="329"/>
      <c r="T635" s="329"/>
      <c r="U635" s="329"/>
      <c r="V635" s="329"/>
      <c r="W635" s="329"/>
      <c r="X635" s="329"/>
      <c r="Y635" s="329"/>
      <c r="Z635" s="329"/>
      <c r="AA635" s="329"/>
      <c r="AB635" s="329"/>
    </row>
    <row r="636" spans="3:28" ht="15.75" x14ac:dyDescent="0.25">
      <c r="C636" s="224" t="s">
        <v>273</v>
      </c>
      <c r="D636" s="325">
        <f t="shared" si="202"/>
        <v>50</v>
      </c>
      <c r="E636" s="366" t="s">
        <v>240</v>
      </c>
      <c r="F636" s="359">
        <f>SUMIF(E7:E579,"fat",F7:F579)</f>
        <v>0</v>
      </c>
      <c r="G636" s="360">
        <f>SUMIF(E7:E579,"fat",Z7:Z579)</f>
        <v>0</v>
      </c>
      <c r="H636" s="350">
        <f>SUMIFS(Z$7:Z$578,E$7:E$578,"Fat",AF$7:AF$578,"OK")</f>
        <v>0</v>
      </c>
      <c r="I636" s="351"/>
      <c r="J636" s="355"/>
      <c r="K636" s="325"/>
      <c r="L636" s="329"/>
      <c r="M636" s="329"/>
      <c r="N636" s="329"/>
      <c r="O636" s="329"/>
      <c r="P636" s="329"/>
      <c r="Q636" s="329"/>
      <c r="R636" s="329"/>
      <c r="S636" s="329"/>
      <c r="T636" s="329"/>
      <c r="U636" s="329"/>
      <c r="V636" s="329"/>
      <c r="W636" s="329"/>
      <c r="X636" s="329"/>
      <c r="Y636" s="329"/>
      <c r="Z636" s="329"/>
      <c r="AA636" s="329"/>
      <c r="AB636" s="329"/>
    </row>
    <row r="637" spans="3:28" ht="15.75" x14ac:dyDescent="0.25">
      <c r="D637" s="325">
        <f t="shared" si="202"/>
        <v>51</v>
      </c>
      <c r="E637" s="363" t="s">
        <v>100</v>
      </c>
      <c r="F637" s="359">
        <f>SUMIF(E7:E578,"fdueg",F7:F578)</f>
        <v>0</v>
      </c>
      <c r="G637" s="360">
        <f>SUMIF(E7:E578,"fdueg",Z7:Z578)</f>
        <v>0</v>
      </c>
      <c r="H637" s="350">
        <f>SUMIFS(Z$7:Z$578,E$7:E$578,"FdueG",AF$7:AF$578,"OK")</f>
        <v>0</v>
      </c>
      <c r="I637" s="351">
        <f>SUMIFS(F$7:F$578,E$7:E$578,"Fdueg",AF$7:AF$578,"OK")</f>
        <v>0</v>
      </c>
      <c r="J637" s="355"/>
      <c r="K637" s="325"/>
      <c r="L637" s="329"/>
      <c r="M637" s="329"/>
      <c r="N637" s="329"/>
      <c r="O637" s="329"/>
      <c r="P637" s="329"/>
      <c r="Q637" s="329"/>
      <c r="R637" s="329"/>
      <c r="S637" s="329"/>
      <c r="T637" s="329"/>
      <c r="U637" s="329"/>
      <c r="V637" s="329"/>
      <c r="W637" s="329"/>
      <c r="X637" s="329"/>
      <c r="Y637" s="329"/>
      <c r="Z637" s="329"/>
      <c r="AA637" s="329"/>
      <c r="AB637" s="329"/>
    </row>
    <row r="638" spans="3:28" ht="15.75" x14ac:dyDescent="0.25">
      <c r="D638" s="325">
        <f t="shared" si="202"/>
        <v>52</v>
      </c>
      <c r="E638" s="363" t="s">
        <v>262</v>
      </c>
      <c r="F638" s="359">
        <f>SUMIF(E7:E578,"feem",F7:F578)</f>
        <v>0</v>
      </c>
      <c r="G638" s="360">
        <f>SUMIF(E7:E578,"feem",Z7:Z578)</f>
        <v>0</v>
      </c>
      <c r="H638" s="350">
        <f>SUMIFS(Z$7:Z$578,E$7:E$578,"Feem",AF$7:AF$578,"OK")</f>
        <v>0</v>
      </c>
      <c r="I638" s="351">
        <f>SUMIFS(F$7:F$578,E$7:E$578,"FEEM",AF$7:AF$578,"OK")</f>
        <v>0</v>
      </c>
      <c r="J638" s="355"/>
      <c r="K638" s="325"/>
      <c r="L638" s="329"/>
      <c r="M638" s="329"/>
      <c r="N638" s="329"/>
      <c r="O638" s="329"/>
      <c r="P638" s="329"/>
      <c r="Q638" s="329"/>
      <c r="R638" s="329"/>
      <c r="S638" s="329"/>
      <c r="T638" s="329"/>
      <c r="U638" s="329"/>
      <c r="V638" s="329"/>
      <c r="W638" s="329"/>
      <c r="X638" s="329"/>
      <c r="Y638" s="329"/>
      <c r="Z638" s="329"/>
      <c r="AA638" s="329"/>
      <c r="AB638" s="329"/>
    </row>
    <row r="639" spans="3:28" ht="15.75" x14ac:dyDescent="0.25">
      <c r="C639" s="224" t="s">
        <v>273</v>
      </c>
      <c r="D639" s="325">
        <f t="shared" si="202"/>
        <v>53</v>
      </c>
      <c r="E639" s="364" t="s">
        <v>231</v>
      </c>
      <c r="F639" s="359">
        <f>SUMIF(E7:E578,"fenaroli",F7:F578)</f>
        <v>0</v>
      </c>
      <c r="G639" s="360">
        <f>SUMIF(E7:E578,"fenaroli",Z7:Z578)</f>
        <v>0</v>
      </c>
      <c r="H639" s="350">
        <f>SUMIFS(Z$7:Z$578,E$7:E$578,"Fenaroli",AF$7:AF$578,"OK")</f>
        <v>0</v>
      </c>
      <c r="I639" s="351"/>
      <c r="J639" s="355"/>
      <c r="K639" s="325"/>
      <c r="L639" s="329"/>
      <c r="M639" s="329"/>
      <c r="N639" s="329"/>
      <c r="O639" s="329"/>
      <c r="P639" s="329"/>
      <c r="Q639" s="329"/>
      <c r="R639" s="329"/>
      <c r="S639" s="329"/>
      <c r="T639" s="329"/>
      <c r="U639" s="329"/>
      <c r="V639" s="329"/>
      <c r="W639" s="329"/>
      <c r="X639" s="329"/>
      <c r="Y639" s="329"/>
      <c r="Z639" s="329"/>
      <c r="AA639" s="329"/>
      <c r="AB639" s="329"/>
    </row>
    <row r="640" spans="3:28" ht="15.75" x14ac:dyDescent="0.25">
      <c r="D640" s="325"/>
      <c r="E640" s="363" t="s">
        <v>399</v>
      </c>
      <c r="F640" s="359">
        <f>SUMIF(E7:E579,"fenix",F7:F579)</f>
        <v>0</v>
      </c>
      <c r="G640" s="360">
        <f>SUMIF(E7:E579,"fenix",Z7:Z579)</f>
        <v>0</v>
      </c>
      <c r="H640" s="350">
        <f>SUMIFS(Z$7:Z$578,E$7:E$578,"Fenix",AF$7:AF$578,"OK")</f>
        <v>0</v>
      </c>
      <c r="I640" s="351">
        <f>SUMIFS(F$7:F$578,E$7:E$578,"Fenix",AF$7:AF$578,"OK")</f>
        <v>0</v>
      </c>
      <c r="J640" s="355"/>
      <c r="K640" s="325"/>
      <c r="L640" s="329"/>
      <c r="M640" s="329"/>
      <c r="N640" s="329"/>
      <c r="O640" s="329"/>
      <c r="P640" s="329"/>
      <c r="Q640" s="329"/>
      <c r="R640" s="329"/>
      <c r="S640" s="329"/>
      <c r="T640" s="329"/>
      <c r="U640" s="329"/>
      <c r="V640" s="329"/>
      <c r="W640" s="329"/>
      <c r="X640" s="329"/>
      <c r="Y640" s="329"/>
      <c r="Z640" s="329"/>
      <c r="AA640" s="329"/>
      <c r="AB640" s="329"/>
    </row>
    <row r="641" spans="3:28" ht="15.75" x14ac:dyDescent="0.25">
      <c r="D641" s="325">
        <f>+D639+1</f>
        <v>54</v>
      </c>
      <c r="E641" s="363" t="s">
        <v>335</v>
      </c>
      <c r="F641" s="359">
        <f>SUMIF(E7:E578,"fmt",F7:F578)</f>
        <v>2500</v>
      </c>
      <c r="G641" s="360">
        <f>SUMIF(E7:E578,"fmt",Z7:Z578)</f>
        <v>375</v>
      </c>
      <c r="H641" s="350">
        <f>SUMIFS(Z$7:Z$578,E$7:E$578,"Fmt",AF$7:AF$578,"OK")</f>
        <v>0</v>
      </c>
      <c r="I641" s="351">
        <f>SUMIFS(F$7:F$578,E$7:E$578,"Fmt",AF$7:AF$578,"OK")</f>
        <v>0</v>
      </c>
      <c r="J641" s="355"/>
      <c r="K641" s="325"/>
      <c r="L641" s="329"/>
      <c r="M641" s="329"/>
      <c r="N641" s="329"/>
      <c r="O641" s="329"/>
      <c r="P641" s="329"/>
      <c r="Q641" s="329"/>
      <c r="R641" s="329"/>
      <c r="S641" s="329"/>
      <c r="T641" s="329"/>
      <c r="U641" s="329"/>
      <c r="V641" s="329"/>
      <c r="W641" s="329"/>
      <c r="X641" s="329"/>
      <c r="Y641" s="329"/>
      <c r="Z641" s="329"/>
      <c r="AA641" s="329"/>
      <c r="AB641" s="329"/>
    </row>
    <row r="642" spans="3:28" ht="15.75" x14ac:dyDescent="0.25">
      <c r="D642" s="325">
        <f t="shared" si="202"/>
        <v>55</v>
      </c>
      <c r="E642" s="363" t="s">
        <v>359</v>
      </c>
      <c r="F642" s="359">
        <f>SUMIF(E7:E578,"ftm",F7:F578)</f>
        <v>0</v>
      </c>
      <c r="G642" s="360">
        <f>SUMIF(E7:E578,"ftm",Z7:Z578)</f>
        <v>0</v>
      </c>
      <c r="H642" s="350">
        <f>SUMIFS(Z$7:Z$578,E$7:E$578,"ftm",AF$7:AF$578,"OK")</f>
        <v>0</v>
      </c>
      <c r="I642" s="351">
        <f>SUMIFS(F$7:F$578,E$7:E$578,"ftm",AF$7:AF$578,"OK")</f>
        <v>0</v>
      </c>
      <c r="J642" s="355"/>
      <c r="K642" s="325"/>
      <c r="L642" s="329"/>
      <c r="M642" s="329"/>
      <c r="N642" s="329"/>
      <c r="O642" s="329"/>
      <c r="P642" s="329"/>
      <c r="Q642" s="329"/>
      <c r="R642" s="329"/>
      <c r="S642" s="329"/>
      <c r="T642" s="329"/>
      <c r="U642" s="329"/>
      <c r="V642" s="329"/>
      <c r="W642" s="329"/>
      <c r="X642" s="329"/>
      <c r="Y642" s="329"/>
      <c r="Z642" s="329"/>
      <c r="AA642" s="329"/>
      <c r="AB642" s="329"/>
    </row>
    <row r="643" spans="3:28" ht="15.75" x14ac:dyDescent="0.25">
      <c r="C643" s="224" t="s">
        <v>273</v>
      </c>
      <c r="D643" s="325">
        <f t="shared" si="202"/>
        <v>56</v>
      </c>
      <c r="E643" s="364" t="s">
        <v>271</v>
      </c>
      <c r="F643" s="359">
        <f>SUMIF(E7:E578,"gct",F7:F578)</f>
        <v>0</v>
      </c>
      <c r="G643" s="360">
        <f>SUMIF(E7:E578,"gct",Z7:Z578)</f>
        <v>0</v>
      </c>
      <c r="H643" s="350">
        <f>SUMIFS(Z$7:Z$578,E$7:E$578,"Gct",AF$7:AF$578,"OK")</f>
        <v>0</v>
      </c>
      <c r="I643" s="351"/>
      <c r="J643" s="355"/>
      <c r="K643" s="325"/>
      <c r="L643" s="329"/>
      <c r="M643" s="329"/>
      <c r="N643" s="329"/>
      <c r="O643" s="329"/>
      <c r="P643" s="329"/>
      <c r="Q643" s="329"/>
      <c r="R643" s="329"/>
      <c r="S643" s="329"/>
      <c r="T643" s="329"/>
      <c r="U643" s="329"/>
      <c r="V643" s="329"/>
      <c r="W643" s="329"/>
      <c r="X643" s="329"/>
      <c r="Y643" s="329"/>
      <c r="Z643" s="329"/>
      <c r="AA643" s="329"/>
      <c r="AB643" s="329"/>
    </row>
    <row r="644" spans="3:28" ht="15.75" x14ac:dyDescent="0.25">
      <c r="D644" s="325">
        <f t="shared" si="202"/>
        <v>57</v>
      </c>
      <c r="E644" s="363" t="s">
        <v>232</v>
      </c>
      <c r="F644" s="359">
        <f>SUMIF(E7:E578,"gbe",F7:F578)</f>
        <v>75562</v>
      </c>
      <c r="G644" s="360">
        <f>SUMIF(E7:E578,"gbe",Z7:Z578)</f>
        <v>4284.6000000000004</v>
      </c>
      <c r="H644" s="350">
        <f>SUMIFS(Z$7:Z$578,E$7:E$578,"GBE",AF$7:AF$578,"OK")</f>
        <v>2667.1000000000004</v>
      </c>
      <c r="I644" s="351">
        <f>SUMIFS(F$7:F$578,E$7:E$578,"GBE",AF$7:AF$578,"OK")</f>
        <v>45312</v>
      </c>
      <c r="J644" s="355"/>
      <c r="K644" s="325"/>
      <c r="L644" s="329"/>
      <c r="M644" s="329"/>
      <c r="N644" s="329"/>
      <c r="O644" s="329"/>
      <c r="P644" s="329"/>
      <c r="Q644" s="329"/>
      <c r="R644" s="329"/>
      <c r="S644" s="329"/>
      <c r="T644" s="329"/>
      <c r="U644" s="329"/>
      <c r="V644" s="329"/>
      <c r="W644" s="329"/>
      <c r="X644" s="329"/>
      <c r="Y644" s="329"/>
      <c r="Z644" s="329"/>
      <c r="AA644" s="329"/>
      <c r="AB644" s="329"/>
    </row>
    <row r="645" spans="3:28" ht="15.75" x14ac:dyDescent="0.25">
      <c r="D645" s="325">
        <f t="shared" si="202"/>
        <v>58</v>
      </c>
      <c r="E645" s="363" t="s">
        <v>257</v>
      </c>
      <c r="F645" s="359">
        <f>SUMIF(E7:E578,"gauss",F7:F578)</f>
        <v>1172</v>
      </c>
      <c r="G645" s="360">
        <f>SUMIF(E7:E578,"gauss",Z7:Z578)</f>
        <v>82.04</v>
      </c>
      <c r="H645" s="350">
        <f>SUMIFS(Z$7:Z$578,E$7:E$578,"Gauss",AF$7:AF$578,"OK")</f>
        <v>82.04</v>
      </c>
      <c r="I645" s="351">
        <f>SUMIFS(F$7:F$578,E$7:E$578,"Gauss",AF$7:AF$578,"OK")</f>
        <v>1172</v>
      </c>
      <c r="J645" s="355"/>
      <c r="K645" s="325"/>
      <c r="L645" s="329"/>
      <c r="M645" s="329"/>
      <c r="N645" s="329"/>
      <c r="O645" s="329"/>
      <c r="P645" s="329"/>
      <c r="Q645" s="329"/>
      <c r="R645" s="329"/>
      <c r="S645" s="329"/>
      <c r="T645" s="329"/>
      <c r="U645" s="329"/>
      <c r="V645" s="329"/>
      <c r="W645" s="329"/>
      <c r="X645" s="329"/>
      <c r="Y645" s="329"/>
      <c r="Z645" s="329"/>
      <c r="AA645" s="329"/>
      <c r="AB645" s="329"/>
    </row>
    <row r="646" spans="3:28" ht="15.75" x14ac:dyDescent="0.25">
      <c r="D646" s="325">
        <f t="shared" si="202"/>
        <v>59</v>
      </c>
      <c r="E646" s="363" t="s">
        <v>162</v>
      </c>
      <c r="F646" s="359">
        <f>SUMIF(E$7:E$578,"galliera",F$7:F$578)</f>
        <v>0</v>
      </c>
      <c r="G646" s="360">
        <f>SUMIF(E$7:E$578,"galliera",Z$7:Z$578)</f>
        <v>0</v>
      </c>
      <c r="H646" s="350">
        <f>SUMIFS(Z$7:Z$578,E$7:E$578,"Galliera",AF$7:AF$578,"OK")</f>
        <v>0</v>
      </c>
      <c r="I646" s="351">
        <f>SUMIFS(F$7:F$578,E$7:E$578,"GALLIERA",AF$7:AF$578,"OK")</f>
        <v>0</v>
      </c>
      <c r="J646" s="355"/>
      <c r="K646" s="325"/>
      <c r="L646" s="329"/>
      <c r="M646" s="329"/>
      <c r="N646" s="329"/>
      <c r="O646" s="329"/>
      <c r="P646" s="329"/>
      <c r="Q646" s="329"/>
      <c r="R646" s="329"/>
      <c r="S646" s="329"/>
      <c r="T646" s="329"/>
      <c r="U646" s="329"/>
      <c r="V646" s="329"/>
      <c r="W646" s="329"/>
      <c r="X646" s="329"/>
      <c r="Y646" s="329"/>
      <c r="Z646" s="329"/>
      <c r="AA646" s="329"/>
      <c r="AB646" s="329"/>
    </row>
    <row r="647" spans="3:28" ht="15.75" x14ac:dyDescent="0.25">
      <c r="D647" s="325">
        <f t="shared" si="202"/>
        <v>60</v>
      </c>
      <c r="E647" s="363" t="s">
        <v>336</v>
      </c>
      <c r="F647" s="359">
        <f>SUMIF(E$7:E$578,"gedelsa",F$7:F$578)</f>
        <v>0</v>
      </c>
      <c r="G647" s="360">
        <f>SUMIF(E$7:E$578,"gedelsa",Z$7:Z$578)</f>
        <v>0</v>
      </c>
      <c r="H647" s="350">
        <f>SUMIFS(Z$7:Z$578,E$7:E$578,"gedelsa",AF$7:AF$578,"OK")</f>
        <v>0</v>
      </c>
      <c r="I647" s="351">
        <f>SUMIFS(F$7:F$578,E$7:E$578,"gedelsa",AF$7:AF$578,"OK")</f>
        <v>0</v>
      </c>
      <c r="J647" s="355"/>
      <c r="K647" s="325"/>
      <c r="L647" s="329"/>
      <c r="M647" s="329"/>
      <c r="N647" s="329"/>
      <c r="O647" s="329"/>
      <c r="P647" s="329"/>
      <c r="Q647" s="329"/>
      <c r="R647" s="329"/>
      <c r="S647" s="329"/>
      <c r="T647" s="329"/>
      <c r="U647" s="329"/>
      <c r="V647" s="329"/>
      <c r="W647" s="329"/>
      <c r="X647" s="329"/>
      <c r="Y647" s="329"/>
      <c r="Z647" s="329"/>
      <c r="AA647" s="329"/>
      <c r="AB647" s="329"/>
    </row>
    <row r="648" spans="3:28" ht="15.75" x14ac:dyDescent="0.25">
      <c r="D648" s="325"/>
      <c r="E648" s="363" t="s">
        <v>423</v>
      </c>
      <c r="F648" s="359">
        <f>SUMIF(E$7:E$578,"gen set",F$7:F$578)</f>
        <v>0</v>
      </c>
      <c r="G648" s="360">
        <f>SUMIF(E$7:E$578,"gen set",Z$7:Z$578)</f>
        <v>0</v>
      </c>
      <c r="H648" s="350">
        <f>SUMIFS(Z$7:Z$578,E$7:E$578,"gen set",AF$7:AF$578,"OK")</f>
        <v>0</v>
      </c>
      <c r="I648" s="351">
        <f>SUMIFS(F$7:F$578,E$7:E$578,"gen set",AF$7:AF$578,"OK")</f>
        <v>0</v>
      </c>
      <c r="J648" s="355"/>
      <c r="K648" s="325"/>
      <c r="L648" s="329"/>
      <c r="M648" s="329"/>
      <c r="N648" s="329"/>
      <c r="O648" s="329"/>
      <c r="P648" s="329"/>
      <c r="Q648" s="329"/>
      <c r="R648" s="329"/>
      <c r="S648" s="329"/>
      <c r="T648" s="329"/>
      <c r="U648" s="329"/>
      <c r="V648" s="329"/>
      <c r="W648" s="329"/>
      <c r="X648" s="329"/>
      <c r="Y648" s="329"/>
      <c r="Z648" s="329"/>
      <c r="AA648" s="329"/>
      <c r="AB648" s="329"/>
    </row>
    <row r="649" spans="3:28" ht="15.75" x14ac:dyDescent="0.25">
      <c r="D649" s="325">
        <f>+D647+1</f>
        <v>61</v>
      </c>
      <c r="E649" s="363" t="s">
        <v>253</v>
      </c>
      <c r="F649" s="359">
        <f>SUMIF(E7:E578,"getra",F7:F578)</f>
        <v>0</v>
      </c>
      <c r="G649" s="360">
        <f>SUMIF(E7:E578,"getra",Z7:Z578)</f>
        <v>0</v>
      </c>
      <c r="H649" s="350">
        <f>SUMIFS(Z$7:Z$578,E$7:E$578,"Getra",AF$7:AF$578,"OK")</f>
        <v>0</v>
      </c>
      <c r="I649" s="351">
        <f>SUMIFS(F$7:F$578,E$7:E$578,"GETRA",AF$7:AF$578,"OK")</f>
        <v>0</v>
      </c>
      <c r="J649" s="355"/>
      <c r="K649" s="325"/>
      <c r="L649" s="329"/>
      <c r="M649" s="329"/>
      <c r="N649" s="329"/>
      <c r="O649" s="329"/>
      <c r="P649" s="329"/>
      <c r="Q649" s="329"/>
      <c r="R649" s="329"/>
      <c r="S649" s="329"/>
      <c r="T649" s="329"/>
      <c r="U649" s="329"/>
      <c r="V649" s="329"/>
      <c r="W649" s="329"/>
      <c r="X649" s="329"/>
      <c r="Y649" s="329"/>
      <c r="Z649" s="329"/>
      <c r="AA649" s="329"/>
      <c r="AB649" s="329"/>
    </row>
    <row r="650" spans="3:28" ht="15.75" x14ac:dyDescent="0.25">
      <c r="D650" s="325">
        <f t="shared" si="202"/>
        <v>62</v>
      </c>
      <c r="E650" s="363" t="s">
        <v>298</v>
      </c>
      <c r="F650" s="359">
        <f>SUMIF(E7:E579,"getra power",F7:F579)</f>
        <v>0</v>
      </c>
      <c r="G650" s="360">
        <f>SUMIF(E7:E579,"getra power",Z7:Z579)</f>
        <v>0</v>
      </c>
      <c r="H650" s="350">
        <f>SUMIFS(Z$7:Z$578,E$7:E$578,"Getra power",AF$7:AF$578,"OK")</f>
        <v>0</v>
      </c>
      <c r="I650" s="351"/>
      <c r="J650" s="355"/>
      <c r="K650" s="325"/>
      <c r="L650" s="329"/>
      <c r="M650" s="329"/>
      <c r="N650" s="329"/>
      <c r="O650" s="329"/>
      <c r="P650" s="329"/>
      <c r="Q650" s="329"/>
      <c r="R650" s="329"/>
      <c r="S650" s="329"/>
      <c r="T650" s="329"/>
      <c r="U650" s="329"/>
      <c r="V650" s="329"/>
      <c r="W650" s="329"/>
      <c r="X650" s="329"/>
      <c r="Y650" s="329"/>
      <c r="Z650" s="329"/>
      <c r="AA650" s="329"/>
      <c r="AB650" s="329"/>
    </row>
    <row r="651" spans="3:28" ht="15.75" x14ac:dyDescent="0.25">
      <c r="D651" s="325">
        <f t="shared" si="202"/>
        <v>63</v>
      </c>
      <c r="E651" s="363" t="s">
        <v>233</v>
      </c>
      <c r="F651" s="359">
        <f>SUMIF(E7:E578,"gida",F7:F578)</f>
        <v>0</v>
      </c>
      <c r="G651" s="360">
        <f>SUMIF(E7:E578,"gida",Z7:Z578)</f>
        <v>0</v>
      </c>
      <c r="H651" s="350">
        <f>SUMIFS(Z$7:Z$578,E$7:E$578,"Gida",AF$7:AF$578,"OK")</f>
        <v>0</v>
      </c>
      <c r="I651" s="351"/>
      <c r="J651" s="355"/>
      <c r="K651" s="325"/>
      <c r="L651" s="329"/>
      <c r="M651" s="329"/>
      <c r="N651" s="329"/>
      <c r="O651" s="329"/>
      <c r="P651" s="329"/>
      <c r="Q651" s="329"/>
      <c r="R651" s="329"/>
      <c r="S651" s="329"/>
      <c r="T651" s="329"/>
      <c r="U651" s="329"/>
      <c r="V651" s="329"/>
      <c r="W651" s="329"/>
      <c r="X651" s="329"/>
      <c r="Y651" s="329"/>
      <c r="Z651" s="329"/>
      <c r="AA651" s="329"/>
      <c r="AB651" s="329"/>
    </row>
    <row r="652" spans="3:28" ht="15.75" x14ac:dyDescent="0.25">
      <c r="C652" s="224" t="s">
        <v>273</v>
      </c>
      <c r="D652" s="325">
        <f t="shared" si="202"/>
        <v>64</v>
      </c>
      <c r="E652" s="364" t="s">
        <v>118</v>
      </c>
      <c r="F652" s="359">
        <f>SUMIF(E7:E578,"giussani",F7:F578)</f>
        <v>0</v>
      </c>
      <c r="G652" s="360">
        <f>SUMIF(E7:E578,"giussani",Z7:Z578)</f>
        <v>0</v>
      </c>
      <c r="H652" s="350">
        <f>SUMIFS(Z$7:Z$578,E$7:E$578,"Giussani",AF$7:AF$578,"OK")</f>
        <v>0</v>
      </c>
      <c r="I652" s="351"/>
      <c r="J652" s="355"/>
      <c r="K652" s="325"/>
      <c r="L652" s="329"/>
      <c r="M652" s="329"/>
      <c r="N652" s="329"/>
      <c r="O652" s="329"/>
      <c r="P652" s="329"/>
      <c r="Q652" s="329"/>
      <c r="R652" s="329"/>
      <c r="S652" s="329"/>
      <c r="T652" s="329"/>
      <c r="U652" s="329"/>
      <c r="V652" s="329"/>
      <c r="W652" s="329"/>
      <c r="X652" s="329"/>
      <c r="Y652" s="329"/>
      <c r="Z652" s="329"/>
      <c r="AA652" s="329"/>
      <c r="AB652" s="329"/>
    </row>
    <row r="653" spans="3:28" ht="15.75" x14ac:dyDescent="0.25">
      <c r="D653" s="325">
        <f t="shared" si="202"/>
        <v>65</v>
      </c>
      <c r="E653" s="363" t="s">
        <v>396</v>
      </c>
      <c r="F653" s="353">
        <f>SUMIF(E$7:E$578,"Givi",F$7:F$578)</f>
        <v>0</v>
      </c>
      <c r="G653" s="368">
        <f>SUMIF(E$7:E$578,"givi",Z$7:Z$578)</f>
        <v>0</v>
      </c>
      <c r="H653" s="350">
        <f>SUMIFS(Z$7:Z$578,E$7:E$578,"givi",AF$7:AF$578,"OK")</f>
        <v>0</v>
      </c>
      <c r="I653" s="369">
        <f>SUMIFS(F$7:F$578,E$7:E$578,"givi",AF$7:AF$578,"OK")</f>
        <v>0</v>
      </c>
      <c r="J653" s="355"/>
      <c r="K653" s="325"/>
      <c r="L653" s="329"/>
      <c r="M653" s="329"/>
      <c r="N653" s="329"/>
      <c r="O653" s="329"/>
      <c r="P653" s="329"/>
      <c r="Q653" s="329"/>
      <c r="R653" s="329"/>
      <c r="S653" s="329"/>
      <c r="T653" s="329"/>
      <c r="U653" s="329"/>
      <c r="V653" s="329"/>
      <c r="W653" s="329"/>
      <c r="X653" s="329"/>
      <c r="Y653" s="329"/>
      <c r="Z653" s="329"/>
      <c r="AA653" s="329"/>
      <c r="AB653" s="329"/>
    </row>
    <row r="654" spans="3:28" ht="15.75" x14ac:dyDescent="0.25">
      <c r="D654" s="325">
        <f t="shared" si="202"/>
        <v>66</v>
      </c>
      <c r="E654" s="363" t="s">
        <v>250</v>
      </c>
      <c r="F654" s="359">
        <f>SUMIF(E7:E578,"glenair",F7:F578)</f>
        <v>0</v>
      </c>
      <c r="G654" s="360">
        <f>SUMIF(E7:E578,"glenair",Z7:Z578)</f>
        <v>0</v>
      </c>
      <c r="H654" s="350">
        <f>SUMIFS(Z$7:Z$578,E$7:E$578,"Glenair",AF$7:AF$578,"OK")</f>
        <v>0</v>
      </c>
      <c r="I654" s="351">
        <f>SUMIFS(F$7:F$578,E$7:E$578,"GLENAIR",AF$7:AF$578,"OK")</f>
        <v>0</v>
      </c>
      <c r="J654" s="355"/>
      <c r="K654" s="325"/>
      <c r="L654" s="329"/>
      <c r="M654" s="329"/>
      <c r="N654" s="329"/>
      <c r="O654" s="329"/>
      <c r="P654" s="329"/>
      <c r="Q654" s="329"/>
      <c r="R654" s="329"/>
      <c r="S654" s="329"/>
      <c r="T654" s="329"/>
      <c r="U654" s="329"/>
      <c r="V654" s="329"/>
      <c r="W654" s="329"/>
      <c r="X654" s="329"/>
      <c r="Y654" s="329"/>
      <c r="Z654" s="329"/>
      <c r="AA654" s="329"/>
      <c r="AB654" s="329"/>
    </row>
    <row r="655" spans="3:28" ht="15.75" x14ac:dyDescent="0.25">
      <c r="D655" s="325">
        <f t="shared" si="202"/>
        <v>67</v>
      </c>
      <c r="E655" s="363" t="s">
        <v>126</v>
      </c>
      <c r="F655" s="359">
        <f>SUMIF(E7:E578,"gts",F7:F578)</f>
        <v>0</v>
      </c>
      <c r="G655" s="360">
        <f>SUMIF(E7:E578,"gts",Z7:Z578)</f>
        <v>0</v>
      </c>
      <c r="H655" s="350">
        <f>SUMIFS(Z$7:Z$578,E$7:E$578,"GTS",AF$7:AF$578,"OK")</f>
        <v>0</v>
      </c>
      <c r="I655" s="351">
        <f>SUMIFS(F$7:F$578,E$7:E$578,"GTS",AF$7:AF$578,"OK")</f>
        <v>0</v>
      </c>
      <c r="J655" s="355"/>
      <c r="K655" s="325"/>
      <c r="L655" s="329"/>
      <c r="M655" s="329"/>
      <c r="N655" s="329"/>
      <c r="O655" s="329"/>
      <c r="P655" s="329"/>
      <c r="Q655" s="329"/>
      <c r="R655" s="329"/>
      <c r="S655" s="329"/>
      <c r="T655" s="329"/>
      <c r="U655" s="329"/>
      <c r="V655" s="329"/>
      <c r="W655" s="329"/>
      <c r="X655" s="329"/>
      <c r="Y655" s="329"/>
      <c r="Z655" s="329"/>
      <c r="AA655" s="329"/>
      <c r="AB655" s="329"/>
    </row>
    <row r="656" spans="3:28" ht="15.75" x14ac:dyDescent="0.25">
      <c r="C656" s="224" t="s">
        <v>273</v>
      </c>
      <c r="D656" s="325">
        <f t="shared" si="202"/>
        <v>68</v>
      </c>
      <c r="E656" s="366" t="s">
        <v>204</v>
      </c>
      <c r="F656" s="359">
        <f>SUMIF(E7:E578,"hammond",F7:F578)</f>
        <v>0</v>
      </c>
      <c r="G656" s="360">
        <f>SUMIF(E7:E578,"hammond",Z7:Z578)</f>
        <v>0</v>
      </c>
      <c r="H656" s="350">
        <f>SUMIFS(Z$7:Z$578,E$7:E$578,"Hammond",AF$7:AF$578,"OK")</f>
        <v>0</v>
      </c>
      <c r="I656" s="351"/>
      <c r="J656" s="355"/>
      <c r="K656" s="325"/>
      <c r="L656" s="329"/>
      <c r="M656" s="329"/>
      <c r="N656" s="329"/>
      <c r="O656" s="329"/>
      <c r="P656" s="329"/>
      <c r="Q656" s="329"/>
      <c r="R656" s="329"/>
      <c r="S656" s="329"/>
      <c r="T656" s="329"/>
      <c r="U656" s="329"/>
      <c r="V656" s="329"/>
      <c r="W656" s="329"/>
      <c r="X656" s="329"/>
      <c r="Y656" s="329"/>
      <c r="Z656" s="329"/>
      <c r="AA656" s="329"/>
      <c r="AB656" s="329"/>
    </row>
    <row r="657" spans="3:28" ht="15.75" x14ac:dyDescent="0.25">
      <c r="D657" s="325">
        <f t="shared" si="202"/>
        <v>69</v>
      </c>
      <c r="E657" s="363" t="s">
        <v>340</v>
      </c>
      <c r="F657" s="359">
        <f>SUMIF(E7:E578,"htt",F7:F578)</f>
        <v>0</v>
      </c>
      <c r="G657" s="360">
        <f>SUMIF(E7:E578,"htt",Z7:Z578)</f>
        <v>0</v>
      </c>
      <c r="H657" s="350">
        <f>SUMIFS(Z$7:Z$578,E$7:E$578,"htt",AF$7:AF$578,"OK")</f>
        <v>0</v>
      </c>
      <c r="I657" s="351">
        <f>SUMIFS(F$7:F$578,E$7:E$578,"htt",AF$7:AF$578,"OK")</f>
        <v>0</v>
      </c>
      <c r="J657" s="355"/>
      <c r="K657" s="325"/>
      <c r="L657" s="329"/>
      <c r="M657" s="329"/>
      <c r="N657" s="329"/>
      <c r="O657" s="329"/>
      <c r="P657" s="329"/>
      <c r="Q657" s="329"/>
      <c r="R657" s="329"/>
      <c r="S657" s="329"/>
      <c r="T657" s="329"/>
      <c r="U657" s="329"/>
      <c r="V657" s="329"/>
      <c r="W657" s="329"/>
      <c r="X657" s="329"/>
      <c r="Y657" s="329"/>
      <c r="Z657" s="329"/>
      <c r="AA657" s="329"/>
      <c r="AB657" s="329"/>
    </row>
    <row r="658" spans="3:28" ht="15.75" x14ac:dyDescent="0.25">
      <c r="C658" s="224" t="s">
        <v>273</v>
      </c>
      <c r="D658" s="325">
        <f t="shared" si="202"/>
        <v>70</v>
      </c>
      <c r="E658" s="364" t="s">
        <v>234</v>
      </c>
      <c r="F658" s="359">
        <f>SUMIF(E7:E578,"ibs",F7:F578)</f>
        <v>0</v>
      </c>
      <c r="G658" s="360">
        <f>SUMIF(E7:E578,"ibs",Z7:Z578)</f>
        <v>0</v>
      </c>
      <c r="H658" s="350">
        <f>SUMIFS(Z$7:Z$578,E$7:E$578,"IBS",AF$7:AF$578,"OK")</f>
        <v>0</v>
      </c>
      <c r="I658" s="351"/>
      <c r="J658" s="355"/>
      <c r="K658" s="325"/>
      <c r="L658" s="329"/>
      <c r="M658" s="329"/>
      <c r="N658" s="329"/>
      <c r="O658" s="329"/>
      <c r="P658" s="329"/>
      <c r="Q658" s="329"/>
      <c r="R658" s="329"/>
      <c r="S658" s="329"/>
      <c r="T658" s="329"/>
      <c r="U658" s="329"/>
      <c r="V658" s="329"/>
      <c r="W658" s="329"/>
      <c r="X658" s="329"/>
      <c r="Y658" s="329"/>
      <c r="Z658" s="329"/>
      <c r="AA658" s="329"/>
      <c r="AB658" s="329"/>
    </row>
    <row r="659" spans="3:28" ht="15.75" x14ac:dyDescent="0.25">
      <c r="D659" s="325">
        <f t="shared" si="202"/>
        <v>71</v>
      </c>
      <c r="E659" s="363" t="s">
        <v>93</v>
      </c>
      <c r="F659" s="359">
        <f>SUMIF(E7:E578,"icar",F7:F578)</f>
        <v>0</v>
      </c>
      <c r="G659" s="360">
        <f>SUMIF(E7:E578,"icar",Z7:Z578)</f>
        <v>0</v>
      </c>
      <c r="H659" s="350">
        <f>SUMIFS(Z$7:Z$578,E$7:E$578,"Icar",AF$7:AF$578,"OK")</f>
        <v>0</v>
      </c>
      <c r="I659" s="351"/>
      <c r="J659" s="355"/>
      <c r="K659" s="325"/>
      <c r="L659" s="329"/>
      <c r="M659" s="329"/>
      <c r="N659" s="329"/>
      <c r="O659" s="329"/>
      <c r="P659" s="329"/>
      <c r="Q659" s="329"/>
      <c r="R659" s="329"/>
      <c r="S659" s="329"/>
      <c r="T659" s="329"/>
      <c r="U659" s="329"/>
      <c r="V659" s="329"/>
      <c r="W659" s="329"/>
      <c r="X659" s="329"/>
      <c r="Y659" s="329"/>
      <c r="Z659" s="329"/>
      <c r="AA659" s="329"/>
      <c r="AB659" s="329"/>
    </row>
    <row r="660" spans="3:28" ht="15.75" x14ac:dyDescent="0.25">
      <c r="D660" s="325">
        <f t="shared" si="202"/>
        <v>72</v>
      </c>
      <c r="E660" s="363" t="s">
        <v>301</v>
      </c>
      <c r="F660" s="359">
        <f>SUMIF(E7:E578,"ice",F7:F578)</f>
        <v>6</v>
      </c>
      <c r="G660" s="360">
        <f>SUMIF(E7:E578,"ice",Z7:Z578)</f>
        <v>0.89999999999999991</v>
      </c>
      <c r="H660" s="350">
        <f>SUMIFS(Z$7:Z$578,E$7:E$578,"Ice",AF$7:AF$578,"OK")</f>
        <v>0</v>
      </c>
      <c r="I660" s="351">
        <f>SUMIFS(F$7:F$578,E$7:E$578,"ICE",AF$7:AF$578,"OK")</f>
        <v>0</v>
      </c>
      <c r="J660" s="355"/>
      <c r="K660" s="325"/>
      <c r="L660" s="329"/>
      <c r="M660" s="329"/>
      <c r="N660" s="329"/>
      <c r="O660" s="329"/>
      <c r="P660" s="329"/>
      <c r="Q660" s="329"/>
      <c r="R660" s="329"/>
      <c r="S660" s="329"/>
      <c r="T660" s="329"/>
      <c r="U660" s="329"/>
      <c r="V660" s="329"/>
      <c r="W660" s="329"/>
      <c r="X660" s="329"/>
      <c r="Y660" s="329"/>
      <c r="Z660" s="329"/>
      <c r="AA660" s="329"/>
      <c r="AB660" s="329"/>
    </row>
    <row r="661" spans="3:28" ht="15.75" x14ac:dyDescent="0.25">
      <c r="D661" s="325">
        <f t="shared" si="202"/>
        <v>73</v>
      </c>
      <c r="E661" s="363" t="s">
        <v>254</v>
      </c>
      <c r="F661" s="359">
        <f>SUMIF(E7:E578,"imefy",F7:F578)</f>
        <v>0</v>
      </c>
      <c r="G661" s="360">
        <f>SUMIF(E7:E578,"imefy",Z7:Z578)</f>
        <v>0</v>
      </c>
      <c r="H661" s="350">
        <f>SUMIFS(Z$7:Z$578,E$7:E$578,"Imefy",AF$7:AF$578,"OK")</f>
        <v>0</v>
      </c>
      <c r="I661" s="351">
        <f>SUMIFS(F$7:F$578,E$7:E$578,"Imefy",AF$7:AF$578,"OK")</f>
        <v>0</v>
      </c>
      <c r="J661" s="355"/>
      <c r="K661" s="325"/>
      <c r="L661" s="329"/>
      <c r="M661" s="329"/>
      <c r="N661" s="329"/>
      <c r="O661" s="329"/>
      <c r="P661" s="329"/>
      <c r="Q661" s="329"/>
      <c r="R661" s="329"/>
      <c r="S661" s="329"/>
      <c r="T661" s="329"/>
      <c r="U661" s="329"/>
      <c r="V661" s="329"/>
      <c r="W661" s="329"/>
      <c r="X661" s="329"/>
      <c r="Y661" s="329"/>
      <c r="Z661" s="329"/>
      <c r="AA661" s="329"/>
      <c r="AB661" s="329"/>
    </row>
    <row r="662" spans="3:28" ht="15.75" x14ac:dyDescent="0.25">
      <c r="D662" s="325">
        <f t="shared" si="202"/>
        <v>74</v>
      </c>
      <c r="E662" s="363" t="s">
        <v>210</v>
      </c>
      <c r="F662" s="359">
        <f>SUMIF(E7:E578,"intermagnetics",F7:F578)</f>
        <v>37825</v>
      </c>
      <c r="G662" s="360">
        <f>SUMIF(E7:E578,"intermagnetics",Z7:Z578)</f>
        <v>2116.25</v>
      </c>
      <c r="H662" s="350">
        <f>SUMIFS(Z$7:Z$578,E$7:E$578,"Intermagnetics",AF$7:AF$578,"OK")</f>
        <v>231.25</v>
      </c>
      <c r="I662" s="351">
        <f>SUMIFS(F$7:F$578,E$7:E$578,"intermagnetics",AF$7:AF$578,"OK")</f>
        <v>4625</v>
      </c>
      <c r="J662" s="355"/>
      <c r="K662" s="325"/>
      <c r="L662" s="329"/>
      <c r="M662" s="329"/>
      <c r="N662" s="329"/>
      <c r="O662" s="329"/>
      <c r="P662" s="329"/>
      <c r="Q662" s="329"/>
      <c r="R662" s="329"/>
      <c r="S662" s="329"/>
      <c r="T662" s="329"/>
      <c r="U662" s="329"/>
      <c r="V662" s="329"/>
      <c r="W662" s="329"/>
      <c r="X662" s="329"/>
      <c r="Y662" s="329"/>
      <c r="Z662" s="329"/>
      <c r="AA662" s="329"/>
      <c r="AB662" s="329"/>
    </row>
    <row r="663" spans="3:28" ht="15.75" x14ac:dyDescent="0.25">
      <c r="D663" s="325">
        <f t="shared" si="202"/>
        <v>75</v>
      </c>
      <c r="E663" s="363" t="s">
        <v>296</v>
      </c>
      <c r="F663" s="359">
        <f>SUMIF(E7:E578,"ips",F7:F578)</f>
        <v>0</v>
      </c>
      <c r="G663" s="360">
        <f>SUMIF(E7:E578,"ips",Z7:Z578)</f>
        <v>0</v>
      </c>
      <c r="H663" s="350">
        <f>SUMIFS(Z$7:Z$578,E$7:E$578,"Ips",AF$7:AF$578,"OK")</f>
        <v>0</v>
      </c>
      <c r="I663" s="351"/>
      <c r="J663" s="355"/>
      <c r="K663" s="325"/>
      <c r="L663" s="329"/>
      <c r="M663" s="329"/>
      <c r="N663" s="329"/>
      <c r="O663" s="329"/>
      <c r="P663" s="329"/>
      <c r="Q663" s="329"/>
      <c r="R663" s="329"/>
      <c r="S663" s="329"/>
      <c r="T663" s="329"/>
      <c r="U663" s="329"/>
      <c r="V663" s="329"/>
      <c r="W663" s="329"/>
      <c r="X663" s="329"/>
      <c r="Y663" s="329"/>
      <c r="Z663" s="329"/>
      <c r="AA663" s="329"/>
      <c r="AB663" s="329"/>
    </row>
    <row r="664" spans="3:28" ht="15.75" x14ac:dyDescent="0.25">
      <c r="D664" s="325">
        <f t="shared" ref="D664:D733" si="203">+D663+1</f>
        <v>76</v>
      </c>
      <c r="E664" s="363" t="s">
        <v>268</v>
      </c>
      <c r="F664" s="359">
        <f>SUMIF(E7:E578,"iskra",F7:F578)</f>
        <v>0</v>
      </c>
      <c r="G664" s="360">
        <f>SUMIF(E7:E578,"iskra",Z7:Z578)</f>
        <v>0</v>
      </c>
      <c r="H664" s="350">
        <f>SUMIFS(Z$7:Z$578,E$7:E$578,"Iskra",AF$7:AF$578,"OK")</f>
        <v>0</v>
      </c>
      <c r="I664" s="351"/>
      <c r="J664" s="355"/>
      <c r="K664" s="325"/>
      <c r="L664" s="329"/>
      <c r="M664" s="329"/>
      <c r="N664" s="329"/>
      <c r="O664" s="329"/>
      <c r="P664" s="329"/>
      <c r="Q664" s="329"/>
      <c r="R664" s="329"/>
      <c r="S664" s="329"/>
      <c r="T664" s="329"/>
      <c r="U664" s="329"/>
      <c r="V664" s="329"/>
      <c r="W664" s="329"/>
      <c r="X664" s="329"/>
      <c r="Y664" s="329"/>
      <c r="Z664" s="329"/>
      <c r="AA664" s="329"/>
      <c r="AB664" s="329"/>
    </row>
    <row r="665" spans="3:28" ht="15.75" x14ac:dyDescent="0.25">
      <c r="D665" s="325">
        <f t="shared" si="203"/>
        <v>77</v>
      </c>
      <c r="E665" s="363" t="s">
        <v>241</v>
      </c>
      <c r="F665" s="353">
        <f>SUMIF(E7:E578,"italweber",F7:F578)</f>
        <v>300</v>
      </c>
      <c r="G665" s="368">
        <f>SUMIF(E7:E578,"italweber",Z7:Z578)</f>
        <v>21.000000000000004</v>
      </c>
      <c r="H665" s="350">
        <f>SUMIFS(Z$7:Z$578,E$7:E$578,"Italweber",AF$7:AF$578,"OK")</f>
        <v>0</v>
      </c>
      <c r="I665" s="369">
        <f>SUMIFS(F$7:F$578,E$7:E$578,"ITALWEBER",AF$7:AF$578,"OK")</f>
        <v>0</v>
      </c>
      <c r="J665" s="370"/>
      <c r="L665" s="329"/>
      <c r="Q665" s="371"/>
    </row>
    <row r="666" spans="3:28" ht="15.75" x14ac:dyDescent="0.25">
      <c r="D666" s="325">
        <f t="shared" si="203"/>
        <v>78</v>
      </c>
      <c r="E666" s="363" t="s">
        <v>205</v>
      </c>
      <c r="F666" s="353">
        <f>SUMIF(E7:E578,"Ite",F7:F578)</f>
        <v>0</v>
      </c>
      <c r="G666" s="368">
        <f>SUMIF(E7:E578,"Ite",Z7:Z578)</f>
        <v>0</v>
      </c>
      <c r="H666" s="350">
        <f>SUMIFS(Z$7:Z$578,E$7:E$578,"Ite",AF$7:AF$578,"OK")</f>
        <v>0</v>
      </c>
      <c r="I666" s="369"/>
      <c r="J666" s="370"/>
      <c r="L666" s="329"/>
      <c r="Q666" s="371"/>
    </row>
    <row r="667" spans="3:28" ht="15.75" x14ac:dyDescent="0.25">
      <c r="D667" s="325"/>
      <c r="E667" s="363" t="s">
        <v>401</v>
      </c>
      <c r="F667" s="353">
        <f>SUMIF(E7:E579,"LOMBARDO",F7:F579)</f>
        <v>0</v>
      </c>
      <c r="G667" s="368">
        <f>SUMIF(E7:E579,"lombardo",Z7:Z579)</f>
        <v>0</v>
      </c>
      <c r="H667" s="350">
        <f>SUMIFS(Z$7:Z$578,E$7:E$578,"lombardo",AF$7:AF$578,"OK")</f>
        <v>0</v>
      </c>
      <c r="I667" s="369"/>
      <c r="J667" s="370"/>
      <c r="L667" s="329"/>
      <c r="Q667" s="371"/>
    </row>
    <row r="668" spans="3:28" ht="15.75" x14ac:dyDescent="0.25">
      <c r="D668" s="325">
        <f>+D666+1</f>
        <v>79</v>
      </c>
      <c r="E668" s="363" t="s">
        <v>332</v>
      </c>
      <c r="F668" s="353">
        <f>SUMIF(E7:E578,"jara",F7:F578)</f>
        <v>0</v>
      </c>
      <c r="G668" s="368">
        <f>SUMIF(E7:E578,"jara",Z7:Z578)</f>
        <v>0</v>
      </c>
      <c r="H668" s="350">
        <f>SUMIFS(Z$7:Z$578,E$7:E$578,"jara",AF$7:AF$578,"OK")</f>
        <v>0</v>
      </c>
      <c r="I668" s="369"/>
      <c r="J668" s="370"/>
      <c r="L668" s="329"/>
      <c r="Q668" s="371"/>
    </row>
    <row r="669" spans="3:28" ht="15.75" x14ac:dyDescent="0.25">
      <c r="C669" s="224" t="s">
        <v>273</v>
      </c>
      <c r="D669" s="325">
        <f t="shared" si="203"/>
        <v>80</v>
      </c>
      <c r="E669" s="364" t="s">
        <v>171</v>
      </c>
      <c r="F669" s="353">
        <f>SUMIF(E7:E578,"jast",F7:F578)</f>
        <v>0</v>
      </c>
      <c r="G669" s="368">
        <f>SUMIF(E7:E578,"jast",Z7:Z578)</f>
        <v>0</v>
      </c>
      <c r="H669" s="350">
        <f>SUMIFS(Z$7:Z$578,E$7:E$578,"Jast",AF$7:AF$578,"OK")</f>
        <v>0</v>
      </c>
      <c r="I669" s="369"/>
      <c r="J669" s="370"/>
      <c r="L669" s="329"/>
      <c r="Q669" s="371"/>
    </row>
    <row r="670" spans="3:28" ht="15.75" x14ac:dyDescent="0.25">
      <c r="C670" s="224" t="s">
        <v>273</v>
      </c>
      <c r="D670" s="325">
        <f t="shared" si="203"/>
        <v>81</v>
      </c>
      <c r="E670" s="364" t="s">
        <v>163</v>
      </c>
      <c r="F670" s="353">
        <f>SUMIF(E$7:E$578,"KM",F$7:F$578)</f>
        <v>0</v>
      </c>
      <c r="G670" s="368">
        <f>SUMIF(E$7:E$578,"KM",Z$7:Z$578)</f>
        <v>0</v>
      </c>
      <c r="H670" s="350">
        <f>SUMIFS(Z$7:Z$578,E$7:E$578,"KM",AF$7:AF$578,"OK")</f>
        <v>0</v>
      </c>
      <c r="I670" s="369"/>
      <c r="J670" s="370"/>
      <c r="L670" s="329"/>
      <c r="Q670" s="371"/>
    </row>
    <row r="671" spans="3:28" ht="15.75" x14ac:dyDescent="0.25">
      <c r="D671" s="325">
        <f t="shared" si="203"/>
        <v>82</v>
      </c>
      <c r="E671" s="363" t="s">
        <v>394</v>
      </c>
      <c r="F671" s="353">
        <f>SUMIF(E$7:E$578,"leam",F$7:F$578)</f>
        <v>0</v>
      </c>
      <c r="G671" s="368">
        <f>SUMIF(E$7:E$578,"leam",Z$7:Z$578)</f>
        <v>0</v>
      </c>
      <c r="H671" s="350">
        <f>SUMIFS(Z$7:Z$578,E$7:E$578,"leam",AF$7:AF$578,"OK")</f>
        <v>0</v>
      </c>
      <c r="I671" s="369">
        <f>SUMIFS(F$7:F$578,E$7:E$578,"leam",AF$7:AF$578,"OK")</f>
        <v>0</v>
      </c>
      <c r="J671" s="370"/>
      <c r="L671" s="329"/>
      <c r="Q671" s="371"/>
    </row>
    <row r="672" spans="3:28" ht="15.75" x14ac:dyDescent="0.25">
      <c r="D672" s="325">
        <f t="shared" si="203"/>
        <v>83</v>
      </c>
      <c r="E672" s="365" t="s">
        <v>339</v>
      </c>
      <c r="F672" s="353">
        <f>SUMIF(E7:E578,"Lifasa",F7:F578)</f>
        <v>0</v>
      </c>
      <c r="G672" s="368">
        <f>SUMIF(E7:E578,"lifasa",Z7:Z578)</f>
        <v>0</v>
      </c>
      <c r="H672" s="350">
        <f>SUMIFS(Z$7:Z$578,E$7:E$578,"lifasa",AF$7:AF$578,"OK")</f>
        <v>0</v>
      </c>
      <c r="I672" s="369">
        <f>SUMIFS(F$7:F$578,E$7:E$578,"lifasa",AF$7:AF$578,"OK")</f>
        <v>0</v>
      </c>
      <c r="J672" s="370"/>
      <c r="L672" s="329"/>
      <c r="Q672" s="371"/>
    </row>
    <row r="673" spans="3:17" ht="15.75" x14ac:dyDescent="0.25">
      <c r="D673" s="325">
        <f t="shared" si="203"/>
        <v>84</v>
      </c>
      <c r="E673" s="372" t="s">
        <v>116</v>
      </c>
      <c r="F673" s="353">
        <f>SUMIF(E7:E578,"Mace",F7:F578)</f>
        <v>0</v>
      </c>
      <c r="G673" s="368">
        <f>SUMIF(E7:E578,"Mace",Z7:Z578)</f>
        <v>0</v>
      </c>
      <c r="H673" s="350">
        <f>SUMIFS(Z$7:Z$578,E$7:E$578,"Mace",AF$7:AF$578,"OK")</f>
        <v>0</v>
      </c>
      <c r="I673" s="369">
        <f>SUMIFS(F$7:F$578,E$7:E$578,"mace",AF$7:AF$578,"OK")</f>
        <v>0</v>
      </c>
      <c r="J673" s="370"/>
      <c r="L673" s="329"/>
      <c r="Q673" s="371"/>
    </row>
    <row r="674" spans="3:17" ht="15.75" x14ac:dyDescent="0.25">
      <c r="D674" s="325">
        <f t="shared" si="203"/>
        <v>85</v>
      </c>
      <c r="E674" s="363" t="s">
        <v>397</v>
      </c>
      <c r="F674" s="353">
        <f>SUMIF(E$7:E$578,"Mangoldt",F$7:F$578)</f>
        <v>32192</v>
      </c>
      <c r="G674" s="368">
        <f>SUMIF(E$7:E$578,"Mangoldt",Z$7:Z$578)</f>
        <v>2307.44</v>
      </c>
      <c r="H674" s="350">
        <f>SUMIFS(Z$7:Z$578,E$7:E$578,"Mangoldt",AF$7:AF$578,"OK")</f>
        <v>338.94</v>
      </c>
      <c r="I674" s="369">
        <f>SUMIFS(F$7:F$578,E$7:E$578,"mangoldt",AF$7:AF$578,"OK")</f>
        <v>4842</v>
      </c>
      <c r="J674" s="370"/>
      <c r="L674" s="329"/>
      <c r="Q674" s="371"/>
    </row>
    <row r="675" spans="3:17" ht="15.75" x14ac:dyDescent="0.25">
      <c r="D675" s="325">
        <f t="shared" si="203"/>
        <v>86</v>
      </c>
      <c r="E675" s="363" t="s">
        <v>260</v>
      </c>
      <c r="F675" s="353">
        <f>SUMIF(E7:E578,"Mec",F7:F578)</f>
        <v>6306</v>
      </c>
      <c r="G675" s="368">
        <f>SUMIF(E7:E578,"Mec",Z7:Z578)</f>
        <v>375.78000000000003</v>
      </c>
      <c r="H675" s="350">
        <f>SUMIFS(Z$7:Z$578,E$7:E$578,"Mec",AF$7:AF$578,"OK")</f>
        <v>150.15</v>
      </c>
      <c r="I675" s="369">
        <f>SUMIFS(F$7:F$578,E$7:E$578,"mec",AF$7:AF$578,"OK")</f>
        <v>3003</v>
      </c>
      <c r="J675" s="370"/>
      <c r="L675" s="329"/>
      <c r="Q675" s="371"/>
    </row>
    <row r="676" spans="3:17" ht="15.75" x14ac:dyDescent="0.25">
      <c r="D676" s="325">
        <f t="shared" si="203"/>
        <v>87</v>
      </c>
      <c r="E676" s="372" t="s">
        <v>92</v>
      </c>
      <c r="F676" s="353">
        <f>SUMIF(E$7:E$578,"Meca",F$7:F$578)</f>
        <v>62740</v>
      </c>
      <c r="G676" s="368">
        <f>SUMIF(E$7:E$578,"Meca",Z$7:Z$578)</f>
        <v>4391.8</v>
      </c>
      <c r="H676" s="350">
        <f>SUMIFS(Z$7:Z$578,E$7:E$578,"Meca",AF$7:AF$578,"OK")</f>
        <v>2011.8000000000002</v>
      </c>
      <c r="I676" s="369">
        <f>SUMIFS(F$7:F$578,E$7:E$578,"meca",AF$7:AF$578,"OK")</f>
        <v>28740</v>
      </c>
      <c r="J676" s="370"/>
      <c r="L676" s="329"/>
      <c r="Q676" s="371"/>
    </row>
    <row r="677" spans="3:17" ht="15.75" x14ac:dyDescent="0.25">
      <c r="D677" s="325">
        <f t="shared" si="203"/>
        <v>88</v>
      </c>
      <c r="E677" s="363" t="s">
        <v>376</v>
      </c>
      <c r="F677" s="353">
        <f>SUMIF(E$7:E$578,"Metaltrasfo",F$7:F$578)</f>
        <v>0</v>
      </c>
      <c r="G677" s="368">
        <f>SUMIF(E$7:E$578,"Metaltrasfo",Z$7:Z$578)</f>
        <v>0</v>
      </c>
      <c r="H677" s="350">
        <f>SUMIFS(Z$7:Z$578,E$7:E$578,"Metaltrasfo",AF$7:AF$578,"OK")</f>
        <v>0</v>
      </c>
      <c r="I677" s="369">
        <f>SUMIFS(F$7:F$578,E$7:E$578,"metaltrasfo",AF$7:AF$578,"OK")</f>
        <v>0</v>
      </c>
      <c r="J677" s="370"/>
      <c r="L677" s="329"/>
      <c r="Q677" s="371"/>
    </row>
    <row r="678" spans="3:17" ht="15.75" x14ac:dyDescent="0.25">
      <c r="D678" s="325">
        <f t="shared" si="203"/>
        <v>89</v>
      </c>
      <c r="E678" s="363" t="s">
        <v>304</v>
      </c>
      <c r="F678" s="353">
        <f>SUMIF(E$7:E$578,"Meth",F$7:F$578)</f>
        <v>1621</v>
      </c>
      <c r="G678" s="368">
        <f>SUMIF(E$7:E$578,"Meth",Z$7:Z$578)</f>
        <v>243.14999999999998</v>
      </c>
      <c r="H678" s="350">
        <f>SUMIFS(Z$7:Z$578,E$7:E$578,"Meth",AF$7:AF$578,"OK")</f>
        <v>198.14999999999998</v>
      </c>
      <c r="I678" s="369">
        <f>SUMIFS(F$7:F$578,E$7:E$578,"meth",AF$7:AF$578,"OK")</f>
        <v>1321</v>
      </c>
      <c r="J678" s="370"/>
      <c r="L678" s="329"/>
      <c r="Q678" s="371"/>
    </row>
    <row r="679" spans="3:17" ht="15.75" x14ac:dyDescent="0.25">
      <c r="D679" s="325">
        <f t="shared" si="203"/>
        <v>90</v>
      </c>
      <c r="E679" s="372" t="s">
        <v>108</v>
      </c>
      <c r="F679" s="353">
        <f>SUMIF(E7:E578,"MF",F7:F578)</f>
        <v>41358</v>
      </c>
      <c r="G679" s="368">
        <f>SUMIF(E7:E578,"MF",Z7:Z578)</f>
        <v>2895.0600000000004</v>
      </c>
      <c r="H679" s="350">
        <f>SUMIFS(Z$7:Z$578,E$7:E$578,"MF",AF$7:AF$578,"OK")</f>
        <v>1054.0600000000002</v>
      </c>
      <c r="I679" s="369">
        <f>SUMIFS(F$7:F$578,E$7:E$578,"mf",AF$7:AF$578,"OK")</f>
        <v>15058</v>
      </c>
      <c r="J679" s="370"/>
      <c r="L679" s="329"/>
      <c r="Q679" s="371"/>
    </row>
    <row r="680" spans="3:17" ht="15.75" x14ac:dyDescent="0.25">
      <c r="D680" s="325">
        <f t="shared" si="203"/>
        <v>91</v>
      </c>
      <c r="E680" s="363" t="s">
        <v>125</v>
      </c>
      <c r="F680" s="353">
        <f>SUMIF(E7:E578,"MG",F7:F578)</f>
        <v>0</v>
      </c>
      <c r="G680" s="368">
        <f>SUMIF(E7:E578,"MG",Z7:Z578)</f>
        <v>0</v>
      </c>
      <c r="H680" s="350">
        <f>SUMIFS(Z$7:Z$578,E$7:E$578,"MG",AF$7:AF$578,"OK")</f>
        <v>0</v>
      </c>
      <c r="I680" s="369">
        <f>SUMIFS(F$7:F$578,E$7:E$578,"mg",AF$7:AF$578,"OK")</f>
        <v>0</v>
      </c>
      <c r="J680" s="370"/>
      <c r="L680" s="329"/>
      <c r="Q680" s="371"/>
    </row>
    <row r="681" spans="3:17" ht="15.75" x14ac:dyDescent="0.25">
      <c r="D681" s="325">
        <f t="shared" si="203"/>
        <v>92</v>
      </c>
      <c r="E681" s="363" t="s">
        <v>269</v>
      </c>
      <c r="F681" s="353">
        <f>SUMIF(E7:E578,"MINIFABER",F7:F578)</f>
        <v>4607</v>
      </c>
      <c r="G681" s="368">
        <f>SUMIF(E7:E578,"Minifaber",Z7:Z578)</f>
        <v>598.91000000000008</v>
      </c>
      <c r="H681" s="350">
        <f>SUMIFS(Z$7:Z$578,E$7:E$578,"Minifaber",AF$7:AF$578,"OK")</f>
        <v>208.91000000000003</v>
      </c>
      <c r="I681" s="369">
        <f>SUMIFS(F$7:F$578,E$7:E$578,"minifaber",AF$7:AF$578,"OK")</f>
        <v>1607</v>
      </c>
      <c r="J681" s="370"/>
      <c r="L681" s="329"/>
      <c r="Q681" s="371"/>
    </row>
    <row r="682" spans="3:17" ht="15.75" x14ac:dyDescent="0.25">
      <c r="D682" s="325">
        <f t="shared" si="203"/>
        <v>93</v>
      </c>
      <c r="E682" s="363" t="s">
        <v>191</v>
      </c>
      <c r="F682" s="353">
        <f>SUMIF(E7:E578,"mottura",F7:F578)</f>
        <v>0</v>
      </c>
      <c r="G682" s="368">
        <f>SUMIF(E7:E578,"Mottura",Z7:Z578)</f>
        <v>0</v>
      </c>
      <c r="H682" s="350">
        <f>SUMIFS(Z$7:Z$578,E$7:E$578,"Mottura",AF$7:AF$578,"OK")</f>
        <v>0</v>
      </c>
      <c r="I682" s="373">
        <f>SUMIFS(F$7:F$578,E$7:E$578,"mottura",AF$7:AF$578,"OK")</f>
        <v>0</v>
      </c>
      <c r="J682" s="370"/>
      <c r="K682" s="331"/>
      <c r="L682" s="329"/>
      <c r="Q682" s="371"/>
    </row>
    <row r="683" spans="3:17" ht="15.75" x14ac:dyDescent="0.25">
      <c r="D683" s="325">
        <f t="shared" si="203"/>
        <v>94</v>
      </c>
      <c r="E683" s="363" t="s">
        <v>206</v>
      </c>
      <c r="F683" s="353">
        <f>SUMIF(E7:E578,"Montrucchio",F7:F578)</f>
        <v>0</v>
      </c>
      <c r="G683" s="368">
        <f>SUMIF(E7:E578,"Montrucchio",Z7:Z578)</f>
        <v>0</v>
      </c>
      <c r="H683" s="350">
        <f>SUMIFS(Z$7:Z$578,E$7:E$578,"Montrucchio",AF$7:AF$578,"OK")</f>
        <v>0</v>
      </c>
      <c r="I683" s="369"/>
      <c r="J683" s="370"/>
      <c r="L683" s="329"/>
      <c r="Q683" s="371"/>
    </row>
    <row r="684" spans="3:17" ht="15.75" x14ac:dyDescent="0.25">
      <c r="C684" s="224" t="s">
        <v>273</v>
      </c>
      <c r="D684" s="325">
        <f t="shared" si="203"/>
        <v>95</v>
      </c>
      <c r="E684" s="374" t="s">
        <v>101</v>
      </c>
      <c r="F684" s="353">
        <f>SUMIF(E7:E578,"MP",F7:F578)</f>
        <v>0</v>
      </c>
      <c r="G684" s="368">
        <f>SUMIF(E7:E578,"MP",Z7:Z578)</f>
        <v>0</v>
      </c>
      <c r="H684" s="350">
        <f>SUMIFS(Z$7:Z$578,E$7:E$578,"MP",AF$7:AF$578,"OK")</f>
        <v>0</v>
      </c>
      <c r="I684" s="369"/>
      <c r="J684" s="370"/>
      <c r="L684" s="329"/>
      <c r="Q684" s="371"/>
    </row>
    <row r="685" spans="3:17" ht="15.75" x14ac:dyDescent="0.25">
      <c r="C685" s="224" t="s">
        <v>273</v>
      </c>
      <c r="D685" s="325">
        <f t="shared" si="203"/>
        <v>96</v>
      </c>
      <c r="E685" s="364" t="s">
        <v>209</v>
      </c>
      <c r="F685" s="353">
        <f>SUMIF(E7:E578,"MTP",F7:F578)</f>
        <v>0</v>
      </c>
      <c r="G685" s="368">
        <f>SUMIF(E7:E578,"MTP",Z7:Z578)</f>
        <v>0</v>
      </c>
      <c r="H685" s="350">
        <f>SUMIFS(Z$7:Z$578,E$7:E$578,"Mtp",AF$7:AF$578,"OK")</f>
        <v>0</v>
      </c>
      <c r="I685" s="369"/>
      <c r="J685" s="370"/>
      <c r="L685" s="329"/>
      <c r="Q685" s="371"/>
    </row>
    <row r="686" spans="3:17" ht="15.75" x14ac:dyDescent="0.25">
      <c r="D686" s="325">
        <f t="shared" si="203"/>
        <v>97</v>
      </c>
      <c r="E686" s="363" t="s">
        <v>360</v>
      </c>
      <c r="F686" s="353">
        <f>SUMIF(E$7:E$578,"Necom",F$7:F$578)</f>
        <v>0</v>
      </c>
      <c r="G686" s="368">
        <f>SUMIF(E$7:E$578,"Necom",Z$7:Z$578)</f>
        <v>0</v>
      </c>
      <c r="H686" s="350">
        <f>SUMIFS(Z$7:Z$578,E$7:E$578,"Necom",AF$7:AF$578,"OK")</f>
        <v>0</v>
      </c>
      <c r="I686" s="369">
        <f>SUMIFS(F$7:F$578,E$7:E$578,"necom",AF$7:AF$578,"OK")</f>
        <v>0</v>
      </c>
      <c r="J686" s="370"/>
      <c r="L686" s="329"/>
      <c r="Q686" s="371"/>
    </row>
    <row r="687" spans="3:17" ht="15.75" x14ac:dyDescent="0.25">
      <c r="D687" s="325">
        <f t="shared" si="203"/>
        <v>98</v>
      </c>
      <c r="E687" s="363" t="s">
        <v>375</v>
      </c>
      <c r="F687" s="353">
        <f>SUMIF(E$7:E$578,"Nts",F$7:F$578)</f>
        <v>0</v>
      </c>
      <c r="G687" s="368">
        <f>SUMIF(E$7:E$578,"Nts",Z$7:Z$578)</f>
        <v>0</v>
      </c>
      <c r="H687" s="350">
        <f>SUMIFS(Z$7:Z$578,E$7:E$578,"Nts",AF$7:AF$578,"OK")</f>
        <v>0</v>
      </c>
      <c r="I687" s="369">
        <f>SUMIFS(F$7:F$578,E$7:E$578,"nts",AF$7:AF$578,"OK")</f>
        <v>0</v>
      </c>
      <c r="J687" s="370"/>
      <c r="L687" s="329"/>
      <c r="Q687" s="371"/>
    </row>
    <row r="688" spans="3:17" ht="15.75" x14ac:dyDescent="0.25">
      <c r="D688" s="325">
        <f t="shared" si="203"/>
        <v>99</v>
      </c>
      <c r="E688" s="363" t="s">
        <v>261</v>
      </c>
      <c r="F688" s="353">
        <f>SUMIF(E7:E578,"new cta",F7:F578)</f>
        <v>0</v>
      </c>
      <c r="G688" s="368">
        <f>SUMIF(E7:E578,"new cta",Z7:Z578)</f>
        <v>0</v>
      </c>
      <c r="H688" s="350">
        <f>SUMIFS(Z$7:Z$578,E$7:E$578,"New Cta",AF$7:AF$578,"OK")</f>
        <v>0</v>
      </c>
      <c r="I688" s="369"/>
      <c r="J688" s="370"/>
      <c r="L688" s="329"/>
      <c r="Q688" s="371"/>
    </row>
    <row r="689" spans="3:17" ht="15.75" x14ac:dyDescent="0.25">
      <c r="D689" s="325">
        <f t="shared" si="203"/>
        <v>100</v>
      </c>
      <c r="E689" s="372" t="s">
        <v>102</v>
      </c>
      <c r="F689" s="353">
        <f>SUMIF(E7:E578,"Newton",F7:F578)</f>
        <v>66743</v>
      </c>
      <c r="G689" s="368">
        <f>SUMIF(E7:E578,"Newton",Z7:Z578)</f>
        <v>4822.16</v>
      </c>
      <c r="H689" s="350">
        <f>SUMIFS(Z$7:Z$578,E$7:E$578,"Newton",AF$7:AF$578,"OK")</f>
        <v>1440.16</v>
      </c>
      <c r="I689" s="369">
        <f>SUMIFS(F$7:F$578,E$7:E$578,"newton",AF$7:AF$578,"OK")</f>
        <v>20143</v>
      </c>
      <c r="J689" s="370"/>
      <c r="L689" s="329"/>
      <c r="Q689" s="371"/>
    </row>
    <row r="690" spans="3:17" ht="15.75" x14ac:dyDescent="0.25">
      <c r="D690" s="325">
        <f t="shared" si="203"/>
        <v>101</v>
      </c>
      <c r="E690" s="363" t="s">
        <v>251</v>
      </c>
      <c r="F690" s="353">
        <f>SUMIF(E7:E578,"Ocrem",F7:F578)</f>
        <v>0</v>
      </c>
      <c r="G690" s="368">
        <f>SUMIF(E7:E578,"ocrem",Z7:Z578)</f>
        <v>0</v>
      </c>
      <c r="H690" s="350">
        <f>SUMIFS(Z$7:Z$578,E$7:E$578,"Ocrem",AF$7:AF$578,"OK")</f>
        <v>0</v>
      </c>
      <c r="I690" s="369">
        <f>SUMIFS(F$7:F$578,E$7:E$578,"ocrem",AF$7:AF$578,"OK")</f>
        <v>0</v>
      </c>
      <c r="J690" s="370"/>
      <c r="L690" s="329"/>
      <c r="Q690" s="371"/>
    </row>
    <row r="691" spans="3:17" ht="15.75" x14ac:dyDescent="0.25">
      <c r="D691" s="325">
        <f t="shared" si="203"/>
        <v>102</v>
      </c>
      <c r="E691" s="363" t="s">
        <v>246</v>
      </c>
      <c r="F691" s="353">
        <f>SUMIF(E7:E578,"Ocrev",F7:F578)</f>
        <v>2050</v>
      </c>
      <c r="G691" s="368">
        <f>SUMIF(E7:E578,"ocrev",Z7:Z578)</f>
        <v>307.5</v>
      </c>
      <c r="H691" s="350">
        <f>SUMIFS(Z$7:Z$578,E$7:E$578,"Ocrev",AF$7:AF$578,"OK")</f>
        <v>0</v>
      </c>
      <c r="I691" s="369">
        <f>SUMIFS(F$7:F$578,E$7:E$578,"ocrev",AF$7:AF$578,"OK")</f>
        <v>0</v>
      </c>
      <c r="J691" s="370"/>
      <c r="L691" s="329"/>
      <c r="Q691" s="371"/>
    </row>
    <row r="692" spans="3:17" ht="15.75" x14ac:dyDescent="0.25">
      <c r="C692" s="224" t="s">
        <v>273</v>
      </c>
      <c r="D692" s="325">
        <f t="shared" si="203"/>
        <v>103</v>
      </c>
      <c r="E692" s="364" t="s">
        <v>249</v>
      </c>
      <c r="F692" s="353">
        <f>SUMIF(E3:E578,"Okram",F3:F578)</f>
        <v>0</v>
      </c>
      <c r="G692" s="368">
        <f>SUMIF(E3:E578,"okram",Z3:Z578)</f>
        <v>0</v>
      </c>
      <c r="H692" s="350">
        <f>SUMIFS(Z$7:Z$578,E$7:E$578,"Okram",AF$7:AF$578,"OK")</f>
        <v>0</v>
      </c>
      <c r="I692" s="369"/>
      <c r="J692" s="370"/>
      <c r="L692" s="329"/>
      <c r="Q692" s="371"/>
    </row>
    <row r="693" spans="3:17" ht="15.75" x14ac:dyDescent="0.25">
      <c r="D693" s="325">
        <f t="shared" si="203"/>
        <v>104</v>
      </c>
      <c r="E693" s="372" t="s">
        <v>207</v>
      </c>
      <c r="F693" s="353">
        <f>SUMIF(E7:E578,"ortea",F7:F578)</f>
        <v>1385</v>
      </c>
      <c r="G693" s="368">
        <f>SUMIF(E7:E578,"ortea",Z7:Z578)</f>
        <v>207.75</v>
      </c>
      <c r="H693" s="350">
        <f>SUMIFS(Z$7:Z$578,E$7:E$578,"Ortea",AF$7:AF$578,"OK")</f>
        <v>84.75</v>
      </c>
      <c r="I693" s="369">
        <f>SUMIFS(F$7:F$578,E$7:E$578,"ortea",AF$7:AF$578,"OK")</f>
        <v>565</v>
      </c>
      <c r="J693" s="370"/>
      <c r="L693" s="329"/>
      <c r="Q693" s="371"/>
    </row>
    <row r="694" spans="3:17" ht="15.75" x14ac:dyDescent="0.25">
      <c r="D694" s="325"/>
      <c r="E694" s="363" t="s">
        <v>420</v>
      </c>
      <c r="F694" s="353">
        <f>SUMIF(E7:E579,"ottavi",F7:F579)</f>
        <v>33831</v>
      </c>
      <c r="G694" s="368">
        <f>SUMIF(E7:E579,"ottavi",Z7:Z579)</f>
        <v>1731.27</v>
      </c>
      <c r="H694" s="350">
        <f>SUMIFS(Z$7:Z$578,E$7:E$578,"Ottavi",AF$7:AF$578,"OK")</f>
        <v>748.77</v>
      </c>
      <c r="I694" s="369">
        <f>SUMIFS(F$7:F$578,E$7:E$578,"ottavi",AF$7:AF$578,"OK")</f>
        <v>14181</v>
      </c>
      <c r="J694" s="370"/>
      <c r="L694" s="329"/>
      <c r="Q694" s="371"/>
    </row>
    <row r="695" spans="3:17" ht="15.75" x14ac:dyDescent="0.25">
      <c r="D695" s="325"/>
      <c r="E695" s="363" t="s">
        <v>404</v>
      </c>
      <c r="F695" s="353">
        <f>SUMIF(E7:E579,"pat",F7:F579)</f>
        <v>0</v>
      </c>
      <c r="G695" s="368">
        <f>SUMIF(E7:E579,"pat",Z7:Z579)</f>
        <v>0</v>
      </c>
      <c r="H695" s="350">
        <f>SUMIFS(Z$7:Z$578,E$7:E$578,"pat",AF$7:AF$578,"OK")</f>
        <v>0</v>
      </c>
      <c r="I695" s="369">
        <f>SUMIFS(F$7:F$578,E$7:E$578,"pat",AF$7:AF$578,"OK")</f>
        <v>0</v>
      </c>
      <c r="J695" s="370"/>
      <c r="L695" s="329"/>
      <c r="Q695" s="371"/>
    </row>
    <row r="696" spans="3:17" ht="15.75" x14ac:dyDescent="0.25">
      <c r="C696" s="224" t="s">
        <v>273</v>
      </c>
      <c r="D696" s="325">
        <f>+D693+1</f>
        <v>105</v>
      </c>
      <c r="E696" s="364" t="s">
        <v>198</v>
      </c>
      <c r="F696" s="353">
        <f>SUMIF(E7:E578,"Pcm",F7:F578)</f>
        <v>0</v>
      </c>
      <c r="G696" s="368">
        <f>SUMIF(E7:E578,"pcm",Z7:Z578)</f>
        <v>0</v>
      </c>
      <c r="H696" s="350">
        <f>SUMIFS(Z$7:Z$578,E$7:E$578,"PMC",AF$7:AF$578,"OK")</f>
        <v>0</v>
      </c>
      <c r="I696" s="369"/>
      <c r="J696" s="370"/>
      <c r="L696" s="329"/>
      <c r="Q696" s="371"/>
    </row>
    <row r="697" spans="3:17" ht="15.75" x14ac:dyDescent="0.25">
      <c r="D697" s="325">
        <f t="shared" si="203"/>
        <v>106</v>
      </c>
      <c r="E697" s="372" t="s">
        <v>98</v>
      </c>
      <c r="F697" s="353">
        <f>SUMIF(E7:E578,"Piola",F7:F578)</f>
        <v>0</v>
      </c>
      <c r="G697" s="368">
        <f>SUMIF(E7:E578,"Piola",Z7:Z578)</f>
        <v>0</v>
      </c>
      <c r="H697" s="350">
        <f>SUMIFS(Z$7:Z$578,E$7:E$578,"Piola",AF$7:AF$578,"OK")</f>
        <v>0</v>
      </c>
      <c r="I697" s="369"/>
      <c r="J697" s="370"/>
      <c r="L697" s="329"/>
      <c r="Q697" s="371"/>
    </row>
    <row r="698" spans="3:17" ht="15.75" x14ac:dyDescent="0.25">
      <c r="D698" s="325">
        <f t="shared" si="203"/>
        <v>107</v>
      </c>
      <c r="E698" s="372" t="s">
        <v>103</v>
      </c>
      <c r="F698" s="353">
        <f>SUMIF(E7:E578,"Piossasco",F7:F578)</f>
        <v>0</v>
      </c>
      <c r="G698" s="368">
        <f>SUMIF(E7:E578,"Piossasco",Z7:Z578)</f>
        <v>0</v>
      </c>
      <c r="H698" s="350">
        <f>SUMIFS(Z$7:Z$578,E$7:E$578,"Piossasco",AF$7:AF$578,"OK")</f>
        <v>0</v>
      </c>
      <c r="I698" s="369">
        <f>SUMIFS(F$7:F$578,E$7:E$578,"piossasco",AF$7:AF$578,"OK")</f>
        <v>0</v>
      </c>
      <c r="J698" s="370"/>
      <c r="L698" s="329"/>
      <c r="Q698" s="371"/>
    </row>
    <row r="699" spans="3:17" ht="15.75" x14ac:dyDescent="0.25">
      <c r="D699" s="325">
        <f t="shared" si="203"/>
        <v>108</v>
      </c>
      <c r="E699" s="363" t="s">
        <v>341</v>
      </c>
      <c r="F699" s="353">
        <f>SUMIF(E7:E578,"PM",F7:F578)</f>
        <v>0</v>
      </c>
      <c r="G699" s="368">
        <f>SUMIF(E7:E578,"PM",Z7:Z578)</f>
        <v>0</v>
      </c>
      <c r="H699" s="350">
        <f>SUMIFS(Z$7:Z$578,E$7:E$578,"PM",AF$7:AF$578,"OK")</f>
        <v>0</v>
      </c>
      <c r="I699" s="369">
        <f>SUMIFS(F$7:F$578,E$7:E$578,"pM",AF$7:AF$578,"OK")</f>
        <v>0</v>
      </c>
      <c r="J699" s="370"/>
      <c r="L699" s="329"/>
      <c r="Q699" s="371"/>
    </row>
    <row r="700" spans="3:17" ht="15.75" x14ac:dyDescent="0.25">
      <c r="D700" s="325">
        <f t="shared" si="203"/>
        <v>109</v>
      </c>
      <c r="E700" s="365" t="s">
        <v>252</v>
      </c>
      <c r="F700" s="375">
        <f>SUMIF(E7:E578,"Power europe",F7:F578)</f>
        <v>0</v>
      </c>
      <c r="G700" s="376">
        <f>SUMIF(E7:E578,"Power europe",Z7:Z578)</f>
        <v>0</v>
      </c>
      <c r="H700" s="377">
        <f>SUMIFS(Z$7:Z$578,E$7:E$578,"Power europe",AF$7:AF$578,"OK")</f>
        <v>0</v>
      </c>
      <c r="I700" s="373">
        <f>SUMIFS(F$7:F$578,E$7:E$578,"power europe",AF$7:AF$578,"OK")</f>
        <v>0</v>
      </c>
      <c r="J700" s="370"/>
      <c r="L700" s="329"/>
      <c r="Q700" s="371"/>
    </row>
    <row r="701" spans="3:17" ht="15.75" x14ac:dyDescent="0.25">
      <c r="D701" s="325">
        <f t="shared" si="203"/>
        <v>110</v>
      </c>
      <c r="E701" s="363" t="s">
        <v>172</v>
      </c>
      <c r="F701" s="353">
        <f>SUMIF(E$7:E$578,"pol",F$7:F$578)</f>
        <v>0</v>
      </c>
      <c r="G701" s="368">
        <f>SUMIF(E$7:E$578,"pol",Z$7:Z$578)</f>
        <v>0</v>
      </c>
      <c r="H701" s="350">
        <f>SUMIFS(Z$7:Z$578,E$7:E$578,"Pol",AF$7:AF$578,"OK")</f>
        <v>0</v>
      </c>
      <c r="I701" s="369"/>
      <c r="J701" s="370"/>
      <c r="L701" s="329"/>
      <c r="Q701" s="371"/>
    </row>
    <row r="702" spans="3:17" ht="15.75" x14ac:dyDescent="0.25">
      <c r="D702" s="325">
        <f t="shared" si="203"/>
        <v>111</v>
      </c>
      <c r="E702" s="363" t="s">
        <v>367</v>
      </c>
      <c r="F702" s="353">
        <f>SUMIF(E$7:E$578,"progetto stampi",F$7:F$578)</f>
        <v>0</v>
      </c>
      <c r="G702" s="368">
        <f>SUMIF(E$7:E$578,"progetto stampi",Z$7:Z$578)</f>
        <v>0</v>
      </c>
      <c r="H702" s="350">
        <f>SUMIFS(Z$7:Z$578,E$7:E$578,"progetto stampi",AF$7:AF$578,"OK")</f>
        <v>0</v>
      </c>
      <c r="I702" s="369">
        <f>SUMIFS(F$7:F$578,E$7:E$578,"progetto stampi",AF$7:AF$578,"OK")</f>
        <v>0</v>
      </c>
      <c r="J702" s="370"/>
      <c r="L702" s="329"/>
      <c r="Q702" s="371"/>
    </row>
    <row r="703" spans="3:17" ht="15.75" x14ac:dyDescent="0.25">
      <c r="D703" s="325">
        <f t="shared" si="203"/>
        <v>112</v>
      </c>
      <c r="E703" s="363" t="s">
        <v>194</v>
      </c>
      <c r="F703" s="353">
        <f>SUMIF(E7:E578,"progress",F7:F578)</f>
        <v>0</v>
      </c>
      <c r="G703" s="368">
        <f>SUMIF(E7:E578,"Progress",Z7:Z578)</f>
        <v>0</v>
      </c>
      <c r="H703" s="350">
        <f>SUMIFS(Z$7:Z$578,E$7:E$578,"Progress",AF$7:AF$578,"OK")</f>
        <v>0</v>
      </c>
      <c r="I703" s="369">
        <f>SUMIFS(F$7:F$578,E$7:E$578,"progress",AF$7:AF$578,"OK")</f>
        <v>0</v>
      </c>
      <c r="J703" s="370"/>
      <c r="L703" s="329"/>
      <c r="Q703" s="371"/>
    </row>
    <row r="704" spans="3:17" ht="15.75" x14ac:dyDescent="0.25">
      <c r="D704" s="325">
        <f t="shared" si="203"/>
        <v>113</v>
      </c>
      <c r="E704" s="372" t="s">
        <v>115</v>
      </c>
      <c r="F704" s="353">
        <f>SUMIF(E7:E578,"project",F7:F578)</f>
        <v>0</v>
      </c>
      <c r="G704" s="368">
        <f>SUMIF(E7:E578,"Project",Z7:Z578)</f>
        <v>0</v>
      </c>
      <c r="H704" s="350">
        <f>SUMIFS(Z$7:Z$578,E$7:E$578,"Project",AF$7:AF$578,"OK")</f>
        <v>0</v>
      </c>
      <c r="I704" s="369"/>
      <c r="J704" s="370"/>
      <c r="L704" s="329"/>
      <c r="Q704" s="371"/>
    </row>
    <row r="705" spans="3:17" ht="15.75" x14ac:dyDescent="0.25">
      <c r="D705" s="325">
        <f t="shared" si="203"/>
        <v>114</v>
      </c>
      <c r="E705" s="363" t="s">
        <v>195</v>
      </c>
      <c r="F705" s="353">
        <f>SUMIF(E$7:E$578,"rapeti",F$7:F$578)</f>
        <v>0</v>
      </c>
      <c r="G705" s="368">
        <f>SUMIF(E$7:E$578,"rapeti",Z$7:Z$578)</f>
        <v>0</v>
      </c>
      <c r="H705" s="350">
        <f>SUMIFS(Z$7:Z$578,E$7:E$578,"Rapeti",AF$7:AF$578,"OK")</f>
        <v>0</v>
      </c>
      <c r="I705" s="369">
        <f>SUMIFS(F$7:F$578,E$7:E$578,"rapeti",AF$7:AF$578,"OK")</f>
        <v>0</v>
      </c>
      <c r="J705" s="370"/>
      <c r="L705" s="329"/>
      <c r="Q705" s="371"/>
    </row>
    <row r="706" spans="3:17" ht="15.75" x14ac:dyDescent="0.25">
      <c r="D706" s="325">
        <f t="shared" si="203"/>
        <v>115</v>
      </c>
      <c r="E706" s="363" t="s">
        <v>372</v>
      </c>
      <c r="F706" s="353">
        <f>SUMIF(E$7:E$578,"rasera",F$7:F$578)</f>
        <v>0</v>
      </c>
      <c r="G706" s="368">
        <f>SUMIF(E$7:E$578,"rasera",Z$7:Z$578)</f>
        <v>0</v>
      </c>
      <c r="H706" s="350">
        <f>SUMIFS(Z$7:Z$578,E$7:E$578,"Rasera",AF$7:AF$578,"OK")</f>
        <v>0</v>
      </c>
      <c r="I706" s="369">
        <f>SUMIFS(F$7:F$578,E$7:E$578,"rasera",AF$7:AF$578,"OK")</f>
        <v>0</v>
      </c>
      <c r="J706" s="370"/>
      <c r="L706" s="329"/>
      <c r="Q706" s="371"/>
    </row>
    <row r="707" spans="3:17" ht="15.75" x14ac:dyDescent="0.25">
      <c r="C707" s="224" t="s">
        <v>273</v>
      </c>
      <c r="D707" s="325">
        <f t="shared" si="203"/>
        <v>116</v>
      </c>
      <c r="E707" s="364" t="s">
        <v>270</v>
      </c>
      <c r="F707" s="353">
        <f>SUMIF(E7:E578,"ratto",F7:F578)</f>
        <v>0</v>
      </c>
      <c r="G707" s="368">
        <f>SUMIF(E7:E578,"ratto",Z7:Z578)</f>
        <v>0</v>
      </c>
      <c r="H707" s="350">
        <f>SUMIFS(Z$7:Z$578,E$7:E$578,"Ratto",AF$7:AF$578,"OK")</f>
        <v>0</v>
      </c>
      <c r="I707" s="369"/>
      <c r="J707" s="370"/>
      <c r="L707" s="329"/>
      <c r="Q707" s="371"/>
    </row>
    <row r="708" spans="3:17" ht="15.75" x14ac:dyDescent="0.25">
      <c r="D708" s="325"/>
      <c r="E708" s="363" t="s">
        <v>424</v>
      </c>
      <c r="F708" s="353">
        <f>SUMIF(E7:E579,"rausch",F7:F579)</f>
        <v>0</v>
      </c>
      <c r="G708" s="368">
        <f>SUMIF(E7:E579,"rausch",Z7:Z579)</f>
        <v>0</v>
      </c>
      <c r="H708" s="350">
        <f>SUMIFS(Z$7:Z$578,E$7:E$578,"Rausch",AF$7:AF$578,"OK")</f>
        <v>0</v>
      </c>
      <c r="I708" s="369">
        <f>SUMIFS(F$7:F$578,E$7:E$578,"rausch",AF$7:AF$578,"OK")</f>
        <v>0</v>
      </c>
      <c r="J708" s="370"/>
      <c r="L708" s="329"/>
      <c r="Q708" s="371"/>
    </row>
    <row r="709" spans="3:17" ht="15.75" x14ac:dyDescent="0.25">
      <c r="C709" s="224" t="s">
        <v>273</v>
      </c>
      <c r="D709" s="325">
        <f>+D707+1</f>
        <v>117</v>
      </c>
      <c r="E709" s="364" t="s">
        <v>255</v>
      </c>
      <c r="F709" s="353">
        <f>SUMIF(E7:E578,"Rizzi",F7:F578)</f>
        <v>0</v>
      </c>
      <c r="G709" s="368">
        <f>SUMIF(E7:E578,"rizzi",Z7:Z578)</f>
        <v>0</v>
      </c>
      <c r="H709" s="350">
        <f>SUMIFS(Z$7:Z$578,E$7:E$578,"Rizzi",AF$7:AF$578,"OK")</f>
        <v>0</v>
      </c>
      <c r="I709" s="369"/>
      <c r="J709" s="370"/>
      <c r="L709" s="329"/>
      <c r="Q709" s="371"/>
    </row>
    <row r="710" spans="3:17" ht="15.75" x14ac:dyDescent="0.25">
      <c r="D710" s="325"/>
      <c r="E710" s="363" t="s">
        <v>425</v>
      </c>
      <c r="F710" s="353">
        <f>SUMIF(E7:E579,"Rotech",F7:F579)</f>
        <v>0</v>
      </c>
      <c r="G710" s="368">
        <f>SUMIF(E7:E579,"rotech",Z7:Z579)</f>
        <v>0</v>
      </c>
      <c r="H710" s="350">
        <f>SUMIFS(Z$7:Z$578,E$7:E$578,"Rotech",AF$7:AF$578,"OK")</f>
        <v>0</v>
      </c>
      <c r="I710" s="369">
        <f>SUMIFS(F$7:F$578,E$7:E$578,"valle",AF$7:AF$578,"OK")</f>
        <v>0</v>
      </c>
      <c r="J710" s="370"/>
      <c r="L710" s="329"/>
      <c r="Q710" s="371"/>
    </row>
    <row r="711" spans="3:17" ht="15.75" x14ac:dyDescent="0.25">
      <c r="D711" s="325">
        <f>+D709+1</f>
        <v>118</v>
      </c>
      <c r="E711" s="363" t="s">
        <v>364</v>
      </c>
      <c r="F711" s="378">
        <f>SUMIF(E$7:E$578,"SBG",F$7:F$578)</f>
        <v>0</v>
      </c>
      <c r="G711" s="379">
        <f>SUMIF(E$7:E$578,"SBG",Z$7:Z$578)</f>
        <v>0</v>
      </c>
      <c r="H711" s="350">
        <f>SUMIFS(Z$7:Z$578,E$7:E$578,"SBG",AF$7:AF$578,"OK")</f>
        <v>0</v>
      </c>
      <c r="I711" s="369">
        <f>SUMIFS(F$7:F$578,E$7:E$578,"SBG",AF$7:AF$578,"OK")</f>
        <v>0</v>
      </c>
      <c r="J711" s="370"/>
      <c r="L711" s="329"/>
      <c r="Q711" s="371"/>
    </row>
    <row r="712" spans="3:17" ht="15.75" x14ac:dyDescent="0.25">
      <c r="D712" s="325">
        <f t="shared" si="203"/>
        <v>119</v>
      </c>
      <c r="E712" s="363" t="s">
        <v>214</v>
      </c>
      <c r="F712" s="353">
        <f>SUMIF(E$7:E$578,"scm",F$7:F$578)</f>
        <v>0</v>
      </c>
      <c r="G712" s="368">
        <f>SUMIF(E$7:E$578,"scm",Z$7:Z$578)</f>
        <v>0</v>
      </c>
      <c r="H712" s="350">
        <f>SUMIFS(Z$7:Z$578,E$7:E$578,"SCM",AF$7:AF$578,"OK")</f>
        <v>0</v>
      </c>
      <c r="I712" s="369"/>
      <c r="J712" s="370"/>
      <c r="L712" s="329"/>
      <c r="Q712" s="371"/>
    </row>
    <row r="713" spans="3:17" ht="15.75" x14ac:dyDescent="0.25">
      <c r="C713" s="224" t="s">
        <v>273</v>
      </c>
      <c r="D713" s="325">
        <f t="shared" si="203"/>
        <v>120</v>
      </c>
      <c r="E713" s="364" t="s">
        <v>197</v>
      </c>
      <c r="F713" s="353">
        <f>SUMIF(E$7:E$578,"sea",F$7:F$578)</f>
        <v>0</v>
      </c>
      <c r="G713" s="368">
        <f>SUMIF(E$7:E$578,"sea",Z$7:Z$578)</f>
        <v>0</v>
      </c>
      <c r="H713" s="350">
        <f>SUMIFS(Z$7:Z$578,E$7:E$578,"Sea",AF$7:AF$578,"OK")</f>
        <v>0</v>
      </c>
      <c r="I713" s="369"/>
      <c r="J713" s="370"/>
      <c r="L713" s="329"/>
      <c r="Q713" s="371"/>
    </row>
    <row r="714" spans="3:17" ht="15.75" x14ac:dyDescent="0.25">
      <c r="D714" s="325">
        <f t="shared" si="203"/>
        <v>121</v>
      </c>
      <c r="E714" s="363" t="s">
        <v>358</v>
      </c>
      <c r="F714" s="353">
        <f>SUMIF(E$7:E$578,"seMar",F$7:F$578)</f>
        <v>0</v>
      </c>
      <c r="G714" s="368">
        <f>SUMIF(E$7:E$578,"semar",Z$7:Z$578)</f>
        <v>0</v>
      </c>
      <c r="H714" s="350">
        <f>SUMIFS(Z$7:Z$578,E$7:E$578,"Semar",AF$7:AF$578,"OK")</f>
        <v>0</v>
      </c>
      <c r="I714" s="369"/>
      <c r="J714" s="370"/>
      <c r="L714" s="329"/>
      <c r="Q714" s="371"/>
    </row>
    <row r="715" spans="3:17" ht="15.75" x14ac:dyDescent="0.25">
      <c r="D715" s="325">
        <f t="shared" si="203"/>
        <v>122</v>
      </c>
      <c r="E715" s="363" t="s">
        <v>361</v>
      </c>
      <c r="F715" s="353">
        <f>SUMIF(E$7:E$578,"sgb",F$7:F$578)</f>
        <v>0</v>
      </c>
      <c r="G715" s="368">
        <f>SUMIF(E$7:E$578,"sgb",Z$7:Z$578)</f>
        <v>0</v>
      </c>
      <c r="H715" s="350">
        <f>SUMIFS(Z$7:Z$578,E$7:E$578,"SGB",AF$7:AF$578,"OK")</f>
        <v>0</v>
      </c>
      <c r="I715" s="369"/>
      <c r="J715" s="370"/>
      <c r="L715" s="329"/>
      <c r="Q715" s="371"/>
    </row>
    <row r="716" spans="3:17" ht="15.75" x14ac:dyDescent="0.25">
      <c r="D716" s="325">
        <f t="shared" si="203"/>
        <v>123</v>
      </c>
      <c r="E716" s="363" t="s">
        <v>170</v>
      </c>
      <c r="F716" s="353">
        <f>SUMIF(E7:E578,"sgm",F7:F578)</f>
        <v>5154</v>
      </c>
      <c r="G716" s="368">
        <f>SUMIF(E7:E578,"sgm",Z7:Z578)</f>
        <v>272.58000000000004</v>
      </c>
      <c r="H716" s="350">
        <f>SUMIFS(Z$7:Z$578,E$7:E$578,"SGM",AF$7:AF$578,"OK")</f>
        <v>251.58</v>
      </c>
      <c r="I716" s="369">
        <f>SUMIFS(F$7:F$578,E$7:E$578,"sgm",AF$7:AF$578,"OK")</f>
        <v>4854</v>
      </c>
      <c r="J716" s="370"/>
      <c r="L716" s="329"/>
    </row>
    <row r="717" spans="3:17" ht="15.75" x14ac:dyDescent="0.25">
      <c r="D717" s="325">
        <f t="shared" si="203"/>
        <v>124</v>
      </c>
      <c r="E717" s="363" t="s">
        <v>208</v>
      </c>
      <c r="F717" s="353">
        <f>SUMIF(E7:E578,"siltech",F7:F578)</f>
        <v>56209</v>
      </c>
      <c r="G717" s="368">
        <f>SUMIF(E7:E578,"siltech",Z7:Z578)</f>
        <v>2886.59</v>
      </c>
      <c r="H717" s="350">
        <f>SUMIFS(Z$7:Z$578,E$7:E$578,"Siltech",AF$7:AF$578,"OK")</f>
        <v>744.09</v>
      </c>
      <c r="I717" s="369">
        <f>SUMIFS(F$7:F$578,E$7:E$578,"siltech",AF$7:AF$578,"OK")</f>
        <v>13359</v>
      </c>
      <c r="J717" s="370"/>
      <c r="L717" s="329"/>
    </row>
    <row r="718" spans="3:17" ht="15.75" x14ac:dyDescent="0.25">
      <c r="D718" s="325">
        <f t="shared" si="203"/>
        <v>125</v>
      </c>
      <c r="E718" s="380" t="s">
        <v>109</v>
      </c>
      <c r="F718" s="353">
        <f>SUMIF(E7:E578,"Sirmet",F7:F578)</f>
        <v>0</v>
      </c>
      <c r="G718" s="368">
        <f>SUMIF(E7:E578,"SIRMET",Z7:Z578)</f>
        <v>0</v>
      </c>
      <c r="H718" s="350">
        <f>SUMIFS(Z$7:Z$578,E$7:E$578,"Sirmet",AF$7:AF$578,"OK")</f>
        <v>0</v>
      </c>
      <c r="I718" s="369"/>
      <c r="J718" s="370"/>
      <c r="L718" s="329"/>
    </row>
    <row r="719" spans="3:17" ht="15.75" x14ac:dyDescent="0.25">
      <c r="D719" s="325">
        <f t="shared" si="203"/>
        <v>126</v>
      </c>
      <c r="E719" s="363" t="s">
        <v>259</v>
      </c>
      <c r="F719" s="353">
        <f>SUMIF(E7:E578,"tamura",F7:F578)</f>
        <v>2918</v>
      </c>
      <c r="G719" s="368">
        <f>SUMIF(E7:E578,"tamura",Z7:Z578)</f>
        <v>437.7</v>
      </c>
      <c r="H719" s="350">
        <f>SUMIFS(Z$7:Z$578,E$7:E$578,"Tamura",AF$7:AF$578,"OK")</f>
        <v>257.7</v>
      </c>
      <c r="I719" s="369">
        <f>SUMIFS(F$7:F$578,E$7:E$578,"tamura",AF$7:AF$578,"OK")</f>
        <v>1718</v>
      </c>
      <c r="J719" s="370"/>
      <c r="L719" s="329"/>
    </row>
    <row r="720" spans="3:17" ht="15.75" x14ac:dyDescent="0.25">
      <c r="C720" s="224" t="s">
        <v>273</v>
      </c>
      <c r="D720" s="325">
        <f t="shared" si="203"/>
        <v>127</v>
      </c>
      <c r="E720" s="374" t="s">
        <v>107</v>
      </c>
      <c r="F720" s="353">
        <f>SUMIF(E7:E578,"Tecnomintra",F7:F578)</f>
        <v>0</v>
      </c>
      <c r="G720" s="368">
        <f>SUMIF(E7:E578,"Tecnomintra",Z7:Z578)</f>
        <v>0</v>
      </c>
      <c r="H720" s="350">
        <f>SUMIFS(Z$7:Z$578,E$7:E$578,"Tecnomitra",AF$7:AF$578,"OK")</f>
        <v>0</v>
      </c>
      <c r="I720" s="369"/>
      <c r="J720" s="370"/>
      <c r="L720" s="329"/>
    </row>
    <row r="721" spans="3:12" ht="15.75" x14ac:dyDescent="0.25">
      <c r="C721" s="224" t="s">
        <v>273</v>
      </c>
      <c r="D721" s="325">
        <f t="shared" si="203"/>
        <v>128</v>
      </c>
      <c r="E721" s="364" t="s">
        <v>264</v>
      </c>
      <c r="F721" s="353">
        <f>SUMIF(E7:E578,"Telecomponenti",F7:F578)</f>
        <v>0</v>
      </c>
      <c r="G721" s="368">
        <f>SUMIF(E7:E578,"telecomponenti",Z7:Z578)</f>
        <v>0</v>
      </c>
      <c r="H721" s="350">
        <f>SUMIFS(Z$7:Z$578,E$7:E$578,"Telecomponenti",AF$7:AF$578,"OK")</f>
        <v>0</v>
      </c>
      <c r="I721" s="369"/>
      <c r="J721" s="370"/>
      <c r="L721" s="329"/>
    </row>
    <row r="722" spans="3:12" ht="15.75" x14ac:dyDescent="0.25">
      <c r="D722" s="325">
        <f t="shared" si="203"/>
        <v>129</v>
      </c>
      <c r="E722" s="363" t="s">
        <v>193</v>
      </c>
      <c r="F722" s="353">
        <f>SUMIF(E7:E578,"Tesar",F7:F578)</f>
        <v>0</v>
      </c>
      <c r="G722" s="368">
        <f>SUMIF(E7:E578,"Tesar",Z7:Z578)</f>
        <v>0</v>
      </c>
      <c r="H722" s="350">
        <f>SUMIFS(Z$7:Z$578,E$7:E$578,"Tesar",AF$7:AF$578,"OK")</f>
        <v>0</v>
      </c>
      <c r="I722" s="369">
        <f>SUMIFS(F$7:F$578,E$7:E$578,"tesar",AF$7:AF$578,"OK")</f>
        <v>0</v>
      </c>
      <c r="J722" s="370"/>
      <c r="K722" s="331"/>
      <c r="L722" s="329"/>
    </row>
    <row r="723" spans="3:12" ht="15.75" x14ac:dyDescent="0.25">
      <c r="D723" s="325">
        <f t="shared" si="203"/>
        <v>130</v>
      </c>
      <c r="E723" s="381" t="s">
        <v>402</v>
      </c>
      <c r="F723" s="353">
        <f>SUMIF(E7:E578,"Tesar pl",F7:F578)</f>
        <v>850</v>
      </c>
      <c r="G723" s="368">
        <f>SUMIF(E7:E578,"Tesar pl",Z7:Z578)</f>
        <v>127.5</v>
      </c>
      <c r="H723" s="350">
        <f>SUMIFS(Z$7:Z$578,E$7:E$578,"Tesar pl",AF$7:AF$578,"OK")</f>
        <v>0</v>
      </c>
      <c r="I723" s="369">
        <f>SUMIFS(F$7:F$578,E$7:E$578,"tesar pl",AF$7:AF$578,"OK")</f>
        <v>0</v>
      </c>
      <c r="J723" s="370"/>
      <c r="K723" s="331"/>
      <c r="L723" s="329"/>
    </row>
    <row r="724" spans="3:12" ht="15.75" x14ac:dyDescent="0.25">
      <c r="D724" s="325">
        <f t="shared" si="203"/>
        <v>131</v>
      </c>
      <c r="E724" s="381" t="s">
        <v>247</v>
      </c>
      <c r="F724" s="353">
        <f>SUMIF(E7:E578,"Tironi",F7:F578)</f>
        <v>0</v>
      </c>
      <c r="G724" s="368">
        <f>SUMIF(E7:E578,"Tironi",Z7:Z578)</f>
        <v>0</v>
      </c>
      <c r="H724" s="350">
        <f>SUMIFS(Z$7:Z$578,E$7:E$578,"Tironi",AF$7:AF$578,"OK")</f>
        <v>0</v>
      </c>
      <c r="I724" s="369"/>
      <c r="J724" s="370"/>
      <c r="L724" s="329"/>
    </row>
    <row r="725" spans="3:12" ht="15.75" x14ac:dyDescent="0.25">
      <c r="D725" s="325">
        <f t="shared" si="203"/>
        <v>132</v>
      </c>
      <c r="E725" s="381" t="s">
        <v>212</v>
      </c>
      <c r="F725" s="353">
        <f>SUMIF(E7:E578,"Tmc",F7:F578)</f>
        <v>222949</v>
      </c>
      <c r="G725" s="368">
        <f>SUMIF(E7:E578,"Tmc",Z7:Z578)</f>
        <v>11250.750000000002</v>
      </c>
      <c r="H725" s="350">
        <f>SUMIFS(Z$7:Z$578,E$7:E$578,"Tmc",AF$7:AF$578,"OK")</f>
        <v>5384.4000000000005</v>
      </c>
      <c r="I725" s="369">
        <f>SUMIFS(F$7:F$578,E$7:E$578,"tmc",AF$7:AF$578,"OK")</f>
        <v>107093</v>
      </c>
      <c r="J725" s="370"/>
      <c r="K725" s="331"/>
      <c r="L725" s="329"/>
    </row>
    <row r="726" spans="3:12" ht="15.75" x14ac:dyDescent="0.25">
      <c r="D726" s="325">
        <f t="shared" si="203"/>
        <v>133</v>
      </c>
      <c r="E726" s="381" t="s">
        <v>441</v>
      </c>
      <c r="F726" s="353">
        <f>SUMIF(E7:E578,"Tranceria vicenza",F7:F578)</f>
        <v>5650</v>
      </c>
      <c r="G726" s="368">
        <f>SUMIF(E7:E578,"Tranceria vicenza",Z7:Z578)</f>
        <v>644.31999999999994</v>
      </c>
      <c r="H726" s="350">
        <f>SUMIFS(Z$7:Z$578,E$7:E$578,"Tranceria vicenza",AF$7:AF$578,"OK")</f>
        <v>255.11999999999998</v>
      </c>
      <c r="I726" s="369">
        <f>SUMIFS(F$7:F$578,E$7:E$578,"tranceria vicenza",AF$7:AF$578,"OK")</f>
        <v>2190</v>
      </c>
      <c r="J726" s="370"/>
      <c r="K726" s="331"/>
      <c r="L726" s="329"/>
    </row>
    <row r="727" spans="3:12" ht="15.75" x14ac:dyDescent="0.25">
      <c r="D727" s="325">
        <f t="shared" si="203"/>
        <v>134</v>
      </c>
      <c r="E727" s="381" t="s">
        <v>377</v>
      </c>
      <c r="F727" s="378">
        <f>SUMIF(E7:E578,"trafa",F7:F578)</f>
        <v>2265</v>
      </c>
      <c r="G727" s="379">
        <f>SUMIF(E7:E579,"Trafa",Z7:Z579)</f>
        <v>292.14999999999998</v>
      </c>
      <c r="H727" s="350">
        <f>SUMIFS(Z$7:Z$578,E$7:E$578,"Trafa",AF$7:AF$578,"OK")</f>
        <v>196.14999999999998</v>
      </c>
      <c r="I727" s="369">
        <f>SUMIFS(F$7:F$578,E$7:E$578,"trafa",AF$7:AF$578,"OK")</f>
        <v>1625</v>
      </c>
      <c r="J727" s="370"/>
      <c r="K727" s="331"/>
      <c r="L727" s="329"/>
    </row>
    <row r="728" spans="3:12" ht="15.75" x14ac:dyDescent="0.25">
      <c r="D728" s="325">
        <f t="shared" si="203"/>
        <v>135</v>
      </c>
      <c r="E728" s="381" t="s">
        <v>422</v>
      </c>
      <c r="F728" s="353">
        <f>SUMIF(E$7:E$578,"trafocoop",F$7:F$578)</f>
        <v>9935</v>
      </c>
      <c r="G728" s="368">
        <f>SUMIF(E$7:E$578,"trafocoop",Z$7:Z$578)</f>
        <v>695.45</v>
      </c>
      <c r="H728" s="350">
        <f>SUMIFS(Z$7:Z$578,E$7:E$578,"trafocoop",AF$7:AF$578,"OK")</f>
        <v>621.95000000000005</v>
      </c>
      <c r="I728" s="369">
        <f>SUMIFS(F$7:F$578,E$7:E$578,"trafocoop",AF$7:AF$578,"OK")</f>
        <v>8885</v>
      </c>
      <c r="J728" s="370"/>
      <c r="K728" s="331"/>
      <c r="L728" s="329"/>
    </row>
    <row r="729" spans="3:12" ht="15.75" x14ac:dyDescent="0.25">
      <c r="C729" s="224" t="s">
        <v>392</v>
      </c>
      <c r="D729" s="325">
        <f t="shared" si="203"/>
        <v>136</v>
      </c>
      <c r="E729" s="382" t="s">
        <v>90</v>
      </c>
      <c r="F729" s="378">
        <f>SUMIF(E7:E578,"Trafomec",F7:F578)</f>
        <v>0</v>
      </c>
      <c r="G729" s="379">
        <f>SUMIF(E7:E578,"Trafomec",Z7:Z578)</f>
        <v>0</v>
      </c>
      <c r="H729" s="350">
        <f>SUMIFS(Z$7:Z$578,E$7:E$578,"Trafomec",AF$7:AF$578,"OK")</f>
        <v>0</v>
      </c>
      <c r="I729" s="369"/>
      <c r="J729" s="370"/>
      <c r="K729" s="331"/>
      <c r="L729" s="329"/>
    </row>
    <row r="730" spans="3:12" ht="15.75" x14ac:dyDescent="0.25">
      <c r="C730" s="224" t="s">
        <v>392</v>
      </c>
      <c r="D730" s="325">
        <f t="shared" si="203"/>
        <v>137</v>
      </c>
      <c r="E730" s="382" t="s">
        <v>192</v>
      </c>
      <c r="F730" s="378">
        <f>SUMIF(E7:E578,"Trafomec SRL",F7:F578)</f>
        <v>0</v>
      </c>
      <c r="G730" s="383">
        <f>SUMIF(E7:E578,"Trafomec SRL",Z7:Z578)</f>
        <v>0</v>
      </c>
      <c r="H730" s="350">
        <f>SUMIFS(Z$7:Z$578,E$7:E$578,"Trafomec Srl",AF$7:AF$578,"OK")</f>
        <v>0</v>
      </c>
      <c r="I730" s="369"/>
      <c r="J730" s="370"/>
      <c r="L730" s="329"/>
    </row>
    <row r="731" spans="3:12" ht="15.75" x14ac:dyDescent="0.25">
      <c r="D731" s="325">
        <f t="shared" si="203"/>
        <v>138</v>
      </c>
      <c r="E731" s="381" t="s">
        <v>238</v>
      </c>
      <c r="F731" s="378">
        <f>SUMIF(E7:E578,"trasfoproject",F7:F578)</f>
        <v>2154</v>
      </c>
      <c r="G731" s="383">
        <f>SUMIF(E7:E578,"trasfoproject",Z7:Z578)</f>
        <v>150.78</v>
      </c>
      <c r="H731" s="350">
        <f>SUMIFS(Z$7:Z$578,E$7:E$578,"Trasfoproject",AF$7:AF$578,"OK")</f>
        <v>87.78</v>
      </c>
      <c r="I731" s="369">
        <f>SUMIFS(F$7:F$578,E$7:E$578,"trasfoproject",AF$7:AF$578,"OK")</f>
        <v>1254</v>
      </c>
      <c r="J731" s="370"/>
      <c r="K731" s="331"/>
      <c r="L731" s="329"/>
    </row>
    <row r="732" spans="3:12" ht="15.75" x14ac:dyDescent="0.25">
      <c r="D732" s="325">
        <f t="shared" si="203"/>
        <v>139</v>
      </c>
      <c r="E732" s="381" t="s">
        <v>169</v>
      </c>
      <c r="F732" s="378">
        <f>SUMIF(E7:E578,"trasfor",F7:F578)</f>
        <v>0</v>
      </c>
      <c r="G732" s="379">
        <f>SUMIF(E7:E578,"trasfor",Z7:Z578)</f>
        <v>0</v>
      </c>
      <c r="H732" s="350">
        <f>SUMIFS(Z$7:Z$578,E$7:E$578,"Trasfor",AF$7:AF$578,"OK")</f>
        <v>0</v>
      </c>
      <c r="I732" s="369">
        <f>SUMIFS(F$7:F$578,E$7:E$578,"trasfor",AF$7:AF$578,"OK")</f>
        <v>0</v>
      </c>
      <c r="J732" s="370"/>
      <c r="L732" s="329"/>
    </row>
    <row r="733" spans="3:12" ht="15.75" x14ac:dyDescent="0.25">
      <c r="D733" s="325">
        <f t="shared" si="203"/>
        <v>140</v>
      </c>
      <c r="E733" s="381" t="s">
        <v>218</v>
      </c>
      <c r="F733" s="378">
        <f>SUMIF(E7:E578,"trasfotec",F7:F578)</f>
        <v>0</v>
      </c>
      <c r="G733" s="379">
        <f>SUMIF(E7:E578,"trasfotec",Z7:Z578)</f>
        <v>0</v>
      </c>
      <c r="H733" s="350">
        <f>SUMIFS(Z$7:Z$578,E$7:E$578,"Trasfotec",AF$7:AF$578,"OK")</f>
        <v>0</v>
      </c>
      <c r="I733" s="369"/>
      <c r="J733" s="370"/>
      <c r="L733" s="329"/>
    </row>
    <row r="734" spans="3:12" ht="15.75" x14ac:dyDescent="0.25">
      <c r="C734" s="224" t="s">
        <v>273</v>
      </c>
      <c r="D734" s="325">
        <f t="shared" ref="D734:D743" si="204">+D733+1</f>
        <v>141</v>
      </c>
      <c r="E734" s="384" t="s">
        <v>300</v>
      </c>
      <c r="F734" s="378">
        <f>SUMIF(E7:E578,"utk",F7:F578)</f>
        <v>0</v>
      </c>
      <c r="G734" s="379">
        <f>SUMIF(E7:E578,"utk",Z7:Z578)</f>
        <v>0</v>
      </c>
      <c r="H734" s="350">
        <f>SUMIFS(Z$7:Z$578,E$7:E$578,"utk",AF$7:AF$578,"OK")</f>
        <v>0</v>
      </c>
      <c r="I734" s="369">
        <f>SUMIFS(F$7:F$578,E$7:E$578,"utk",AF$7:AF$578,"OK")</f>
        <v>0</v>
      </c>
      <c r="J734" s="370"/>
      <c r="K734" s="331"/>
      <c r="L734" s="329"/>
    </row>
    <row r="735" spans="3:12" ht="15.75" x14ac:dyDescent="0.25">
      <c r="D735" s="325">
        <f t="shared" si="204"/>
        <v>142</v>
      </c>
      <c r="E735" s="381" t="s">
        <v>403</v>
      </c>
      <c r="F735" s="378">
        <f>SUMIF(E$7:E$578,"vallee",F$7:F$578)</f>
        <v>1312</v>
      </c>
      <c r="G735" s="379">
        <f>SUMIF(E$7:E$578,"vallee",Z$7:Z$578)</f>
        <v>196.8</v>
      </c>
      <c r="H735" s="350">
        <f>SUMIFS(Z$7:Z$578,E$7:E$578,"Vallee",AF$7:AF$578,"OK")</f>
        <v>106.8</v>
      </c>
      <c r="I735" s="369">
        <f>SUMIFS(F$7:F$578,E$7:E$578,"vallee",AF$7:AF$578,"OK")</f>
        <v>712</v>
      </c>
      <c r="J735" s="370"/>
      <c r="L735" s="329"/>
    </row>
    <row r="736" spans="3:12" ht="15.75" x14ac:dyDescent="0.25">
      <c r="C736" s="224" t="s">
        <v>273</v>
      </c>
      <c r="D736" s="325">
        <f t="shared" si="204"/>
        <v>143</v>
      </c>
      <c r="E736" s="384" t="s">
        <v>337</v>
      </c>
      <c r="F736" s="378">
        <f>SUMIF(E$7:E$578,"varat",F$7:F$578)</f>
        <v>0</v>
      </c>
      <c r="G736" s="379">
        <f>SUMIF(E$7:E$578,"varat",Z$7:Z$578)</f>
        <v>0</v>
      </c>
      <c r="H736" s="350">
        <f>SUMIFS(Z$7:Z$578,E$7:E$578,"Varat",AF$7:AF$578,"OK")</f>
        <v>0</v>
      </c>
      <c r="I736" s="369">
        <f>SUMIFS(F$7:F$578,E$7:E$578,"varat",AF$7:AF$578,"OK")</f>
        <v>0</v>
      </c>
      <c r="J736" s="370"/>
      <c r="L736" s="329"/>
    </row>
    <row r="737" spans="3:24" ht="15.75" x14ac:dyDescent="0.25">
      <c r="D737" s="325">
        <f t="shared" si="204"/>
        <v>144</v>
      </c>
      <c r="E737" s="381" t="s">
        <v>327</v>
      </c>
      <c r="F737" s="378">
        <f>SUMIF(E$7:E$578,"vazzoler",F$7:F$578)</f>
        <v>0</v>
      </c>
      <c r="G737" s="379">
        <f>SUMIF(E$7:E$578,"vazzoler",Z$7:Z$578)</f>
        <v>0</v>
      </c>
      <c r="H737" s="350">
        <f>SUMIFS(Z$7:Z$578,E$7:E$578,"Vazzoler",AF$7:AF$578,"OK")</f>
        <v>0</v>
      </c>
      <c r="I737" s="369">
        <f>SUMIFS(F$7:F$578,E$7:E$578,"vazzoler",AF$7:AF$578,"OK")</f>
        <v>0</v>
      </c>
      <c r="J737" s="370"/>
      <c r="L737" s="329"/>
    </row>
    <row r="738" spans="3:24" ht="15.75" x14ac:dyDescent="0.25">
      <c r="C738" s="224" t="s">
        <v>273</v>
      </c>
      <c r="D738" s="325">
        <f t="shared" si="204"/>
        <v>145</v>
      </c>
      <c r="E738" s="384" t="s">
        <v>366</v>
      </c>
      <c r="F738" s="378">
        <f>SUMIF(E$7:E$578,"WEG",F$7:F$578)</f>
        <v>0</v>
      </c>
      <c r="G738" s="379">
        <f>SUMIF(E$7:E$578,"WEG",Z$7:Z$578)</f>
        <v>0</v>
      </c>
      <c r="H738" s="350">
        <f>SUMIFS(Z$7:Z$578,E$7:E$578,"WEG",AF$7:AF$578,"OK")</f>
        <v>0</v>
      </c>
      <c r="I738" s="369">
        <f>SUMIFS(F$7:F$578,E$7:E$578,"WEG",AF$7:AF$578,"OK")</f>
        <v>0</v>
      </c>
      <c r="J738" s="370"/>
      <c r="L738" s="329"/>
    </row>
    <row r="739" spans="3:24" ht="15.75" x14ac:dyDescent="0.25">
      <c r="D739" s="325">
        <f t="shared" si="204"/>
        <v>146</v>
      </c>
      <c r="E739" s="385" t="s">
        <v>117</v>
      </c>
      <c r="F739" s="378">
        <f>SUMIF(E7:E578,"Wetter",F7:F578)</f>
        <v>0</v>
      </c>
      <c r="G739" s="379">
        <f>SUMIF(E7:E578,"Wetter",Z7:Z578)</f>
        <v>0</v>
      </c>
      <c r="H739" s="350">
        <f>SUMIFS(Z$7:Z$578,E$7:E$578,"Wetter",AF$7:AF$578,"OK")</f>
        <v>0</v>
      </c>
      <c r="I739" s="369"/>
      <c r="J739" s="370"/>
      <c r="K739" s="331"/>
      <c r="L739" s="329"/>
    </row>
    <row r="740" spans="3:24" ht="15.75" x14ac:dyDescent="0.25">
      <c r="D740" s="325">
        <f t="shared" si="204"/>
        <v>147</v>
      </c>
      <c r="E740" s="381" t="s">
        <v>248</v>
      </c>
      <c r="F740" s="378">
        <f>SUMIF(E7:E578,"Zanetti",F7:F578)</f>
        <v>0</v>
      </c>
      <c r="G740" s="379">
        <f>SUMIF(E7:E578,"Zanetti",Z7:Z578)</f>
        <v>0</v>
      </c>
      <c r="H740" s="350">
        <f>SUMIFS(Z$7:Z$578,E$7:E$578,"Zanetti",AF$7:AF$578,"OK")</f>
        <v>0</v>
      </c>
      <c r="I740" s="369">
        <f>SUMIFS(F$7:F$578,E$7:E$578,"zANETTI",AF$7:AF$578,"OK")</f>
        <v>0</v>
      </c>
      <c r="J740" s="370"/>
      <c r="L740" s="329"/>
    </row>
    <row r="741" spans="3:24" ht="15.75" x14ac:dyDescent="0.25">
      <c r="C741" s="224" t="s">
        <v>392</v>
      </c>
      <c r="D741" s="325">
        <f t="shared" si="204"/>
        <v>148</v>
      </c>
      <c r="E741" s="382" t="s">
        <v>299</v>
      </c>
      <c r="F741" s="386">
        <f>SUMIF(E7:E578,"Zennaro",F7:F578)</f>
        <v>0</v>
      </c>
      <c r="G741" s="379">
        <f>SUMIF(E7:E578,"Zennaro",Z7:Z578)</f>
        <v>0</v>
      </c>
      <c r="H741" s="350">
        <f>SUMIFS(Z$7:Z$578,E$7:E$578,"Zennaro",AF$7:AF$578,"OK")</f>
        <v>0</v>
      </c>
      <c r="I741" s="369">
        <f>SUMIFS(F$7:F$578,E$7:E$578,"zennaro",AF$7:AF$578,"OK")</f>
        <v>0</v>
      </c>
      <c r="J741" s="370"/>
      <c r="L741" s="329"/>
    </row>
    <row r="742" spans="3:24" ht="15.75" x14ac:dyDescent="0.25">
      <c r="D742" s="325">
        <f t="shared" si="204"/>
        <v>149</v>
      </c>
      <c r="E742" s="387" t="s">
        <v>99</v>
      </c>
      <c r="F742" s="378">
        <f>SUMIF(E7:E578,"zucchiatti",F7:F578)</f>
        <v>0</v>
      </c>
      <c r="G742" s="379">
        <f>SUMIF(E7:E578,"zucchiatti",Z7:Z578)</f>
        <v>0</v>
      </c>
      <c r="H742" s="350">
        <f>SUMIFS(Z$7:Z$578,E$7:E$578,"Zucchiatti",AF$7:AF$578,"OK")</f>
        <v>0</v>
      </c>
      <c r="I742" s="369">
        <f>SUMIFS(F$7:F$578,E$7:E$578,"zucchiatti",AF$7:AF$578,"OK")</f>
        <v>0</v>
      </c>
      <c r="J742" s="370"/>
      <c r="L742" s="329"/>
    </row>
    <row r="743" spans="3:24" ht="15.75" x14ac:dyDescent="0.25">
      <c r="D743" s="325">
        <f t="shared" si="204"/>
        <v>150</v>
      </c>
      <c r="E743" s="381" t="s">
        <v>312</v>
      </c>
      <c r="F743" s="378">
        <f>SUMIF(E7:E578,"zurc",F7:F578)</f>
        <v>0</v>
      </c>
      <c r="G743" s="379">
        <f>SUMIF(E7:E578,"zurc",Z7:Z578)</f>
        <v>0</v>
      </c>
      <c r="H743" s="350">
        <f>SUMIFS(Z$7:Z$578,E$7:E$578,"Zurc",AF$7:AF$578,"OK")</f>
        <v>0</v>
      </c>
      <c r="I743" s="369">
        <f>SUMIFS(F$7:F$578,E$7:E$578,"zurc",AF$7:AF$578,"OK")</f>
        <v>0</v>
      </c>
      <c r="J743" s="370"/>
      <c r="L743" s="329"/>
    </row>
    <row r="744" spans="3:24" ht="15.75" thickBot="1" x14ac:dyDescent="0.3">
      <c r="E744" s="388"/>
      <c r="F744" s="378"/>
      <c r="G744" s="389"/>
      <c r="H744" s="390"/>
      <c r="I744" s="391"/>
      <c r="J744" s="331"/>
    </row>
    <row r="745" spans="3:24" ht="15.75" thickBot="1" x14ac:dyDescent="0.3">
      <c r="E745" s="392" t="s">
        <v>196</v>
      </c>
      <c r="F745" s="393">
        <f>SUM(F585:F744)</f>
        <v>938124</v>
      </c>
      <c r="G745" s="394">
        <f>SUM(G584:G744)</f>
        <v>60633.75</v>
      </c>
      <c r="H745" s="395">
        <f>SUM(H584:H744)</f>
        <v>25391.370000000006</v>
      </c>
      <c r="I745" s="396">
        <f>SUM(I584:I744)</f>
        <v>386510</v>
      </c>
      <c r="J745" s="229"/>
      <c r="L745" s="331"/>
    </row>
    <row r="746" spans="3:24" x14ac:dyDescent="0.25">
      <c r="F746" s="331">
        <f>+F745-F579</f>
        <v>0</v>
      </c>
      <c r="G746" s="229"/>
      <c r="H746" s="331"/>
      <c r="I746" s="331"/>
      <c r="X746" s="397"/>
    </row>
    <row r="747" spans="3:24" ht="15.75" thickBot="1" x14ac:dyDescent="0.3">
      <c r="F747" s="331"/>
      <c r="G747" s="331"/>
      <c r="H747" s="331"/>
      <c r="I747" s="331"/>
    </row>
    <row r="748" spans="3:24" x14ac:dyDescent="0.25">
      <c r="E748" s="398" t="s">
        <v>266</v>
      </c>
      <c r="F748" s="399">
        <f>COUNTA(E584:E744)</f>
        <v>159</v>
      </c>
    </row>
    <row r="749" spans="3:24" x14ac:dyDescent="0.25">
      <c r="E749" s="400" t="s">
        <v>267</v>
      </c>
      <c r="F749" s="401">
        <f>COUNTIF(F584:F744,"&gt;0")</f>
        <v>35</v>
      </c>
      <c r="H749" s="229"/>
    </row>
    <row r="750" spans="3:24" x14ac:dyDescent="0.25">
      <c r="E750" s="400" t="s">
        <v>272</v>
      </c>
      <c r="F750" s="401">
        <f>COUNTIF(C584:C744,"p")</f>
        <v>35</v>
      </c>
      <c r="I750" s="331"/>
    </row>
    <row r="751" spans="3:24" ht="15.75" thickBot="1" x14ac:dyDescent="0.3">
      <c r="E751" s="402" t="s">
        <v>274</v>
      </c>
      <c r="F751" s="403">
        <f>+F748-F750</f>
        <v>124</v>
      </c>
    </row>
    <row r="752" spans="3:24" x14ac:dyDescent="0.25">
      <c r="F752" s="331"/>
    </row>
    <row r="753" spans="5:26" ht="15.75" thickBot="1" x14ac:dyDescent="0.3">
      <c r="F753" s="331"/>
    </row>
    <row r="754" spans="5:26" ht="15.75" thickBot="1" x14ac:dyDescent="0.3">
      <c r="F754" s="490" t="s">
        <v>4</v>
      </c>
      <c r="G754" s="491"/>
      <c r="H754" s="492"/>
      <c r="I754" s="490" t="s">
        <v>6</v>
      </c>
      <c r="J754" s="491"/>
      <c r="K754" s="492"/>
      <c r="L754" s="444" t="s">
        <v>5</v>
      </c>
      <c r="M754" s="445"/>
      <c r="N754" s="445"/>
      <c r="O754" s="445"/>
      <c r="P754" s="445"/>
      <c r="Q754" s="445"/>
      <c r="R754" s="445"/>
      <c r="S754" s="445"/>
      <c r="T754" s="445"/>
      <c r="U754" s="445"/>
      <c r="V754" s="445"/>
      <c r="W754" s="445"/>
      <c r="X754" s="444" t="s">
        <v>173</v>
      </c>
      <c r="Y754" s="445"/>
      <c r="Z754" s="446"/>
    </row>
    <row r="755" spans="5:26" ht="15.75" thickBot="1" x14ac:dyDescent="0.3">
      <c r="E755" s="404" t="s">
        <v>201</v>
      </c>
      <c r="F755" s="405" t="str">
        <f>IF(F768+I768+L768+X768=F579,"Kg","Errore")</f>
        <v>Errore</v>
      </c>
      <c r="G755" s="405" t="str">
        <f>IF(G768+J768+V768+Y768=Z579,"Commissioni","Errore")</f>
        <v>Errore</v>
      </c>
      <c r="H755" s="406" t="s">
        <v>203</v>
      </c>
      <c r="I755" s="405" t="s">
        <v>202</v>
      </c>
      <c r="J755" s="405" t="s">
        <v>200</v>
      </c>
      <c r="K755" s="406" t="s">
        <v>203</v>
      </c>
      <c r="L755" s="405" t="s">
        <v>202</v>
      </c>
      <c r="V755" s="405" t="s">
        <v>200</v>
      </c>
      <c r="W755" s="406" t="s">
        <v>203</v>
      </c>
      <c r="X755" s="407" t="s">
        <v>202</v>
      </c>
      <c r="Y755" s="405" t="s">
        <v>200</v>
      </c>
      <c r="Z755" s="406" t="s">
        <v>203</v>
      </c>
    </row>
    <row r="756" spans="5:26" x14ac:dyDescent="0.25">
      <c r="E756" s="408"/>
      <c r="F756" s="409">
        <f>SUMIFS($F$7:$F$578,$G$7:$G$578,"alluminio",$L$7:$L$578,"")</f>
        <v>0</v>
      </c>
      <c r="G756" s="410">
        <f>SUMIFS($Z$7:$Z$578,$G$7:$G$578,"alluminio",$L$7:$L$578,"")</f>
        <v>0</v>
      </c>
      <c r="H756" s="411">
        <f>+F756*E756</f>
        <v>0</v>
      </c>
      <c r="I756" s="409">
        <f>SUMIFS($F$7:$F$578,$G$7:$G$578,"rame",$L$7:$L$578,"")</f>
        <v>0</v>
      </c>
      <c r="J756" s="410">
        <f>SUMIFS($Z$7:$Z$578,$G$7:$G$578,"RAME",$L$7:$L$578,"")</f>
        <v>0</v>
      </c>
      <c r="K756" s="411">
        <f>+I756*E756</f>
        <v>0</v>
      </c>
      <c r="L756" s="412">
        <f>SUMIFS($F$7:$F$578,$G$7:$G$578,"ottone",$L$7:$L$578,"")</f>
        <v>0</v>
      </c>
      <c r="V756" s="410">
        <f>SUMIFS($Z$7:$Z$578,$G$7:$G$578,"ottone",$L$7:$L$578,"")</f>
        <v>0</v>
      </c>
      <c r="W756" s="411">
        <f t="shared" ref="W756:W767" si="205">+L756*E756</f>
        <v>0</v>
      </c>
      <c r="X756" s="412">
        <f>SUMIFS($F$7:$F$578,$G$7:$G$578,"Bronzo",$L$7:$L$578,"")</f>
        <v>0</v>
      </c>
      <c r="Y756" s="410">
        <f>SUMIFS($Z$7:$Z$578,$G$7:$G$578,"bronzo",$L$7:$L$578,"")</f>
        <v>0</v>
      </c>
      <c r="Z756" s="411">
        <f t="shared" ref="Z756:Z767" si="206">+X756*E756</f>
        <v>0</v>
      </c>
    </row>
    <row r="757" spans="5:26" x14ac:dyDescent="0.25">
      <c r="E757" s="413">
        <v>0.04</v>
      </c>
      <c r="F757" s="414">
        <f>SUMIFS($F$7:$F$578,$G$7:$G$578,"alluminio",$L$7:$L$578,0.04)</f>
        <v>1000</v>
      </c>
      <c r="G757" s="415">
        <f>SUMIFS($Z$7:$Z$578,$G$7:$G$578,"alluminio",$L$7:$L$578,0.04)</f>
        <v>40</v>
      </c>
      <c r="H757" s="416">
        <f>+F757*E757</f>
        <v>40</v>
      </c>
      <c r="I757" s="414">
        <f>SUMIFS($F$7:$F$578,$G$7:$G$578,"rame",$L$7:$L$578,0.04)</f>
        <v>0</v>
      </c>
      <c r="J757" s="415">
        <f>SUMIFS($Z$7:$Z$578,$G$7:$G$578,"RAME",$L$7:$L$578,0.04)</f>
        <v>0</v>
      </c>
      <c r="K757" s="416">
        <f t="shared" ref="K757:K767" si="207">+I757*E757</f>
        <v>0</v>
      </c>
      <c r="L757" s="417">
        <f>SUMIFS($F$7:$F$578,$G$7:$G$578,"ottone",$L$7:$L$578,0.04)</f>
        <v>0</v>
      </c>
      <c r="M757" s="306"/>
      <c r="N757" s="306"/>
      <c r="O757" s="306"/>
      <c r="P757" s="306"/>
      <c r="Q757" s="306"/>
      <c r="R757" s="306"/>
      <c r="S757" s="306"/>
      <c r="T757" s="306"/>
      <c r="U757" s="306"/>
      <c r="V757" s="415">
        <f>SUMIFS($Z$7:$Z$578,$G$7:$G$578,"ottone",$L$7:$L$578,0.04)</f>
        <v>0</v>
      </c>
      <c r="W757" s="416">
        <f t="shared" si="205"/>
        <v>0</v>
      </c>
      <c r="X757" s="418">
        <f>SUMIFS($F$7:$F$578,$G$7:$G$578,"Bronzo",$L$7:$L$578,0.04)</f>
        <v>0</v>
      </c>
      <c r="Y757" s="415">
        <f>SUMIFS($Z$7:$Z$578,$G$7:$G$578,"bronzo",$L$7:$L$578,0.04)</f>
        <v>0</v>
      </c>
      <c r="Z757" s="416">
        <f t="shared" si="206"/>
        <v>0</v>
      </c>
    </row>
    <row r="758" spans="5:26" x14ac:dyDescent="0.25">
      <c r="E758" s="413">
        <v>0.05</v>
      </c>
      <c r="F758" s="414">
        <f>SUMIFS($F$7:$F$578,$G$7:$G$578,"alluminio",$L$7:$L$578,0.05)</f>
        <v>401793</v>
      </c>
      <c r="G758" s="415">
        <f>SUMIFS($Z$7:$Z$578,$G$7:$G$578,"alluminio",$L$7:$L$578,0.05)</f>
        <v>20089.650000000001</v>
      </c>
      <c r="H758" s="416">
        <f>+F758*E758</f>
        <v>20089.650000000001</v>
      </c>
      <c r="I758" s="414">
        <f>SUMIFS($F$7:$F$578,$G$7:$G$578,"rame",$L$7:$L$578,0.05)</f>
        <v>17930</v>
      </c>
      <c r="J758" s="415">
        <f>SUMIFS($Z$7:$Z$578,$G$7:$G$578,"RAME",$L$7:$L$578,0.05)</f>
        <v>896.5</v>
      </c>
      <c r="K758" s="416">
        <f t="shared" si="207"/>
        <v>896.5</v>
      </c>
      <c r="L758" s="414">
        <f>SUMIFS($F$7:$F$578,$G$7:$G$578,"ottone",$L$7:$L$578,0.05)</f>
        <v>0</v>
      </c>
      <c r="V758" s="415">
        <f>SUMIFS($Z$7:$Z$578,$G$7:$G$578,"ottone",$L$7:$L$578,0.05)</f>
        <v>0</v>
      </c>
      <c r="W758" s="416">
        <f t="shared" si="205"/>
        <v>0</v>
      </c>
      <c r="X758" s="418">
        <f>SUMIFS($F$7:$F$578,$G$7:$G$578,"bronzo",$L$7:$L$578,0.05)</f>
        <v>0</v>
      </c>
      <c r="Y758" s="415">
        <f>SUMIFS($Z$7:$Z$578,$G$7:$G$578,"bronzo",$L$7:$L$578,0.05)</f>
        <v>0</v>
      </c>
      <c r="Z758" s="416">
        <f t="shared" si="206"/>
        <v>0</v>
      </c>
    </row>
    <row r="759" spans="5:26" x14ac:dyDescent="0.25">
      <c r="E759" s="413">
        <v>0.06</v>
      </c>
      <c r="F759" s="414">
        <f>SUMIFS($F$7:$F$578,$G$7:$G$578,"alluminio",$L$7:$L$578,0.06)</f>
        <v>0</v>
      </c>
      <c r="G759" s="415">
        <f>SUMIFS($Z$7:$Z$578,$G$7:$G$578,"alluminio",$L$7:$L$578,0.06)</f>
        <v>0</v>
      </c>
      <c r="H759" s="416">
        <f>+F759*E759</f>
        <v>0</v>
      </c>
      <c r="I759" s="414">
        <f>SUMIFS($F$7:$F$578,$G$7:$G$578,"rame",$L$7:$L$578,0.06)</f>
        <v>0</v>
      </c>
      <c r="J759" s="415">
        <f>SUMIFS($Z$7:$Z$578,$G$7:$G$578,"RAME",$L$7:$L$578,0.06)</f>
        <v>0</v>
      </c>
      <c r="K759" s="416">
        <f>+I759*E759</f>
        <v>0</v>
      </c>
      <c r="L759" s="414">
        <f>SUMIFS($F$7:$F$578,$G$7:$G$578,"ottone",$L$7:$L$578,0.06)</f>
        <v>0</v>
      </c>
      <c r="V759" s="415">
        <f>SUMIFS($Z$7:$Z$578,$G$7:$G$578,"ottone",$L$7:$L$578,0.06)</f>
        <v>0</v>
      </c>
      <c r="W759" s="416">
        <f t="shared" si="205"/>
        <v>0</v>
      </c>
      <c r="X759" s="418">
        <f>SUMIFS($F$7:$F$578,$G$7:$G$578,"bronzo",$L$7:$L$578,0.06)</f>
        <v>0</v>
      </c>
      <c r="Y759" s="415">
        <f>SUMIFS($Z$7:$Z$578,$G$7:$G$578,"bronzo",$L$7:$L$578,0.06)</f>
        <v>0</v>
      </c>
      <c r="Z759" s="416">
        <f t="shared" si="206"/>
        <v>0</v>
      </c>
    </row>
    <row r="760" spans="5:26" x14ac:dyDescent="0.25">
      <c r="E760" s="413">
        <v>7.0000000000000007E-2</v>
      </c>
      <c r="F760" s="414">
        <f>SUMIFS($F$7:$F$578,$G$7:$G$578,"alluminio",$L$7:$L$578,0.07)</f>
        <v>467201</v>
      </c>
      <c r="G760" s="415">
        <f>SUMIFS($Z$7:$Z$578,$G$7:$G$578,"alluminio",$L$7:$L$578,0.07)</f>
        <v>32704.07</v>
      </c>
      <c r="H760" s="416">
        <f t="shared" ref="H760:H767" si="208">+F760*E760</f>
        <v>32704.070000000003</v>
      </c>
      <c r="I760" s="414">
        <f>SUMIFS($F$7:$F$578,$G$7:$G$578,"rame",$L$7:$L$578,0.07)</f>
        <v>0</v>
      </c>
      <c r="J760" s="415">
        <f>SUMIFS($Z$7:$Z$578,$G$7:$G$578,"RAME",$L$7:$L$578,0.07)</f>
        <v>0</v>
      </c>
      <c r="K760" s="416">
        <f t="shared" si="207"/>
        <v>0</v>
      </c>
      <c r="L760" s="414">
        <f>SUMIFS($F$7:$F$578,$G$7:$G$578,"ottone",$L$7:$L$578,0.07)</f>
        <v>0</v>
      </c>
      <c r="V760" s="419">
        <f>SUMIFS($Z$7:$Z$578,$G$7:$G$578,"ottone",$L$7:$L$578,0.07)</f>
        <v>0</v>
      </c>
      <c r="W760" s="420">
        <f t="shared" si="205"/>
        <v>0</v>
      </c>
      <c r="X760" s="418">
        <f>SUMIFS($F$7:$F$578,$G$7:$G$578,"bronzo",$L$7:$L$578,0.07)</f>
        <v>0</v>
      </c>
      <c r="Y760" s="415">
        <f>SUMIFS($Z$7:$Z$578,$G$7:$G$578,"bronzo",$L$7:$L$578,0.07)</f>
        <v>0</v>
      </c>
      <c r="Z760" s="416">
        <f t="shared" si="206"/>
        <v>0</v>
      </c>
    </row>
    <row r="761" spans="5:26" x14ac:dyDescent="0.25">
      <c r="E761" s="421">
        <v>0.1</v>
      </c>
      <c r="F761" s="422">
        <f>SUMIFS($F$7:$F$578,$G$7:$G$578,"alluminio",$L$7:$L$578,0.1)</f>
        <v>11054</v>
      </c>
      <c r="G761" s="423">
        <f>SUMIFS($Z$7:$Z$578,$G$7:$G$578,"alluminio",$L$7:$L$578,0.1)</f>
        <v>1105.4000000000001</v>
      </c>
      <c r="H761" s="424">
        <f t="shared" si="208"/>
        <v>1105.4000000000001</v>
      </c>
      <c r="I761" s="422">
        <f>SUMIFS($F$7:$F$578,$G$7:$G$578,"RAME",$L$7:$L$578,0.1)</f>
        <v>6474</v>
      </c>
      <c r="J761" s="423">
        <f>SUMIFS($Z$7:$Z$578,$G$7:$G$578,"RAME",$L$7:$L$578,0.1)</f>
        <v>647.40000000000009</v>
      </c>
      <c r="K761" s="424">
        <f t="shared" si="207"/>
        <v>647.40000000000009</v>
      </c>
      <c r="L761" s="422">
        <f>SUMIFS($F$7:$F$578,$G$7:$G$578,"ottone",$L$7:$L$578,0.1)</f>
        <v>0</v>
      </c>
      <c r="V761" s="425">
        <f>SUMIFS($Z$7:$Z$578,$G$7:$G$578,"ottone",$L$7:$L$578,0.1)</f>
        <v>0</v>
      </c>
      <c r="W761" s="426">
        <f t="shared" si="205"/>
        <v>0</v>
      </c>
      <c r="X761" s="427">
        <f>SUMIFS($F$7:$F$578,$G$7:$G$578,"bronzo",$L$7:$L$578,0.1)</f>
        <v>0</v>
      </c>
      <c r="Y761" s="423">
        <f>SUMIFS($Z$7:$Z$578,$G$7:$G$578,"bronzo",$L$7:$L$578,0.1)</f>
        <v>0</v>
      </c>
      <c r="Z761" s="424">
        <f t="shared" si="206"/>
        <v>0</v>
      </c>
    </row>
    <row r="762" spans="5:26" x14ac:dyDescent="0.25">
      <c r="E762" s="428">
        <v>0.15</v>
      </c>
      <c r="F762" s="429">
        <f>SUMIFS($F$7:$F$578,$G$7:$G$578,"alluminio",$L$7:$L$578,0.15)</f>
        <v>0</v>
      </c>
      <c r="G762" s="430">
        <f>SUMIFS($Z$7:$Z$578,$G$7:$G$578,"alluminio",$L$7:$L$578,0.15)</f>
        <v>0</v>
      </c>
      <c r="H762" s="431">
        <f t="shared" si="208"/>
        <v>0</v>
      </c>
      <c r="I762" s="429">
        <f>SUMIFS($F$7:$F$578,$G$7:$G$578,"RAME",$L$7:$L$578,0.15)</f>
        <v>24068</v>
      </c>
      <c r="J762" s="430">
        <f>SUMIFS($Z$7:$Z$578,$G$7:$G$578,"RAME",$L$7:$L$578,0.15)</f>
        <v>3610.2000000000003</v>
      </c>
      <c r="K762" s="431">
        <f t="shared" si="207"/>
        <v>3610.2</v>
      </c>
      <c r="L762" s="429">
        <f>SUMIFS($F$7:$F$578,$G$7:$G$578,"ottone",$L$7:$L$578,0.15)</f>
        <v>0</v>
      </c>
      <c r="V762" s="430">
        <f>SUMIFS($Z$7:$Z$578,$G$7:$G$578,"ottone",$L$7:$L$578,0.15)</f>
        <v>0</v>
      </c>
      <c r="W762" s="431">
        <f t="shared" si="205"/>
        <v>0</v>
      </c>
      <c r="X762" s="432">
        <f>SUMIFS($F$7:$F$578,$G$7:$G$578,"bronzo",$L$7:$L$578,0.15)</f>
        <v>0</v>
      </c>
      <c r="Y762" s="430">
        <f>SUMIFS($Z$7:$Z$578,$G$7:$G$578,"bronzo",$L$7:$L$578,0.15)</f>
        <v>0</v>
      </c>
      <c r="Z762" s="431">
        <f t="shared" si="206"/>
        <v>0</v>
      </c>
    </row>
    <row r="763" spans="5:26" x14ac:dyDescent="0.25">
      <c r="E763" s="428">
        <v>0.2</v>
      </c>
      <c r="F763" s="429">
        <f>SUMIFS($F$7:$F$578,$G$7:$G$578,"alluminio",$L$7:$L$578,0.2)</f>
        <v>0</v>
      </c>
      <c r="G763" s="430">
        <f>SUMIFS($Z$7:$Z$578,$G$7:$G$578,"alluminio",$L$7:$L$578,0.2)</f>
        <v>0</v>
      </c>
      <c r="H763" s="431">
        <f t="shared" si="208"/>
        <v>0</v>
      </c>
      <c r="I763" s="429">
        <f>SUMIFS($F$7:$F$578,$G$7:$G$578,"RAME",$L$7:$L$578,0.2)</f>
        <v>0</v>
      </c>
      <c r="J763" s="430">
        <f>SUMIFS($Z$7:$Z$578,$G$7:$G$578,"RAME",$L$7:$L$578,0.2)</f>
        <v>0</v>
      </c>
      <c r="K763" s="431">
        <f t="shared" si="207"/>
        <v>0</v>
      </c>
      <c r="L763" s="429">
        <f>SUMIFS($F$7:$F$578,$G$7:$G$578,"ottone",$L$7:$L$578,0.2)</f>
        <v>0</v>
      </c>
      <c r="V763" s="430">
        <f>SUMIFS($Z$7:$Z$578,$G$7:$G$578,"OTTONE",$L$7:$L$578,0.2)</f>
        <v>0</v>
      </c>
      <c r="W763" s="431">
        <f t="shared" si="205"/>
        <v>0</v>
      </c>
      <c r="X763" s="432">
        <f>SUMIFS($F$7:$F$578,$G$7:$G$578,"bronzo",$L$7:$L$578,0.2)</f>
        <v>0</v>
      </c>
      <c r="Y763" s="430">
        <f>SUMIFS($Z$7:$Z$578,$G$7:$G$578,"bronzo",$L$7:$L$578,0.2)</f>
        <v>0</v>
      </c>
      <c r="Z763" s="431">
        <f t="shared" si="206"/>
        <v>0</v>
      </c>
    </row>
    <row r="764" spans="5:26" x14ac:dyDescent="0.25">
      <c r="E764" s="428">
        <v>0.25</v>
      </c>
      <c r="F764" s="429">
        <f>SUMIFS($F$7:$F$578,$G$7:$G$578,"alluminio",$L$7:$L$578,0.25)</f>
        <v>0</v>
      </c>
      <c r="G764" s="430">
        <f>SUMIFS($Z$7:$Z$578,$G$7:$G$578,"alluminio",$L$7:$L$578,0.25)</f>
        <v>0</v>
      </c>
      <c r="H764" s="431">
        <f t="shared" si="208"/>
        <v>0</v>
      </c>
      <c r="I764" s="429">
        <f>SUMIFS($F$7:$F$578,$G$7:$G$578,"RAME",$L$7:$L$578,0.25)</f>
        <v>0</v>
      </c>
      <c r="J764" s="430">
        <f>SUMIFS($Z$7:$Z$578,$G$7:$G$578,"RAME",$L$7:$L$578,0.25)</f>
        <v>0</v>
      </c>
      <c r="K764" s="431">
        <f t="shared" si="207"/>
        <v>0</v>
      </c>
      <c r="L764" s="429">
        <f>SUMIFS($F$7:$F$578,$G$7:$G$578,"ottone",$L$7:$L$578,0.25)</f>
        <v>0</v>
      </c>
      <c r="V764" s="430">
        <f>SUMIFS($Z$7:$Z$578,$G$7:$G$578,"OTTONE",$L$7:$L$578,0.3)</f>
        <v>0</v>
      </c>
      <c r="W764" s="431">
        <f t="shared" si="205"/>
        <v>0</v>
      </c>
      <c r="X764" s="432">
        <f>SUMIFS($F$7:$F$578,$G$7:$G$578,"bronzo",$L$7:$L$578,30)</f>
        <v>0</v>
      </c>
      <c r="Y764" s="430">
        <f>SUMIFS($Z$7:$Z$578,$G$7:$G$578,"bronzo",$L$7:$L$578,0.3)</f>
        <v>0</v>
      </c>
      <c r="Z764" s="431">
        <f t="shared" si="206"/>
        <v>0</v>
      </c>
    </row>
    <row r="765" spans="5:26" x14ac:dyDescent="0.25">
      <c r="E765" s="428">
        <v>0.3</v>
      </c>
      <c r="F765" s="429">
        <f>SUMIFS($F$7:$F$578,$G$7:$G$578,"alluminio",$L$7:$L$578,0.3)</f>
        <v>2313</v>
      </c>
      <c r="G765" s="430">
        <f>SUMIFS($Z$7:$Z$578,$G$7:$G$578,"alluminio",$L$7:$L$578,0.3)</f>
        <v>693.9</v>
      </c>
      <c r="H765" s="431">
        <f>+F765*E765</f>
        <v>693.9</v>
      </c>
      <c r="I765" s="429">
        <f>SUMIFS($F$7:$F$578,$G$7:$G$578,"RAME",$L$7:$L$578,0.3)</f>
        <v>0</v>
      </c>
      <c r="J765" s="430">
        <f>SUMIFS($Z$7:$Z$578,$G$7:$G$578,"RAME",$L$7:$L$578,0.3)</f>
        <v>0</v>
      </c>
      <c r="K765" s="431">
        <f>+I765*E765</f>
        <v>0</v>
      </c>
      <c r="L765" s="429">
        <f>SUMIFS($F$7:$F$578,$G$7:$G$578,"ottone",$L$7:$L$578,0.3)</f>
        <v>0</v>
      </c>
      <c r="V765" s="430">
        <f>SUMIFS($Z$7:$Z$578,$G$7:$G$578,"OTTONE",$L$7:$L$578,0.25)</f>
        <v>0</v>
      </c>
      <c r="W765" s="431">
        <f t="shared" si="205"/>
        <v>0</v>
      </c>
      <c r="X765" s="432">
        <f>SUMIFS($F$7:$F$578,$G$7:$G$578,"bronzo",$L$7:$L$578,0.25)</f>
        <v>0</v>
      </c>
      <c r="Y765" s="430">
        <f>SUMIFS($Z$7:$Z$578,$G$7:$G$578,"bronzo",$L$7:$L$578,0.25)</f>
        <v>0</v>
      </c>
      <c r="Z765" s="431">
        <f t="shared" si="206"/>
        <v>0</v>
      </c>
    </row>
    <row r="766" spans="5:26" x14ac:dyDescent="0.25">
      <c r="E766" s="428">
        <v>0.35</v>
      </c>
      <c r="F766" s="429">
        <f>SUMIFS($F$7:$F$578,$G$7:$G$578,"alluminio",$L$7:$L$578,0.35)</f>
        <v>0</v>
      </c>
      <c r="G766" s="430">
        <f>SUMIFS($Z$7:$Z$578,$G$7:$G$578,"alluminio",$L$7:$L$578,0.35)</f>
        <v>0</v>
      </c>
      <c r="H766" s="431">
        <f t="shared" si="208"/>
        <v>0</v>
      </c>
      <c r="I766" s="429">
        <f>SUMIFS($F$7:$F$578,$G$7:$G$578,"RAME",$L$7:$L$578,0.35)</f>
        <v>0</v>
      </c>
      <c r="J766" s="430">
        <f>SUMIFS($Z$7:$Z$578,$G$7:$G$578,"RAME",$L$7:$L$578,0.35)</f>
        <v>0</v>
      </c>
      <c r="K766" s="431">
        <f t="shared" si="207"/>
        <v>0</v>
      </c>
      <c r="L766" s="429">
        <f>SUMIFS($F$7:$F$578,$G$7:$G$578,"ottone",$L$7:$L$578,0.35)</f>
        <v>0</v>
      </c>
      <c r="V766" s="430">
        <f>SUMIFS($Z$7:$Z$578,$G$7:$G$578,"OTTONE",$L$7:$L$578,0.35)</f>
        <v>0</v>
      </c>
      <c r="W766" s="431">
        <f t="shared" si="205"/>
        <v>0</v>
      </c>
      <c r="X766" s="432">
        <f>SUMIFS($F$7:$F$578,$G$7:$G$578,"bronzo",$L$7:$L$578,0.35)</f>
        <v>0</v>
      </c>
      <c r="Y766" s="430">
        <f>SUMIFS($Z$7:$Z$578,$G$7:$G$578,"bronzo",$L$7:$L$578,0.35)</f>
        <v>0</v>
      </c>
      <c r="Z766" s="431">
        <f t="shared" si="206"/>
        <v>0</v>
      </c>
    </row>
    <row r="767" spans="5:26" ht="15.75" thickBot="1" x14ac:dyDescent="0.3">
      <c r="E767" s="428">
        <v>0.55000000000000004</v>
      </c>
      <c r="F767" s="433">
        <f>SUMIFS($F$7:$F$578,$G$7:$G$578,"alluminio",$L$7:$L$578,0.55)</f>
        <v>0</v>
      </c>
      <c r="G767" s="434">
        <f>SUMIFS($Z$7:$Z$578,$G$7:$G$578,"alluminio",$L$7:$L$578,0.55)</f>
        <v>0</v>
      </c>
      <c r="H767" s="435">
        <f t="shared" si="208"/>
        <v>0</v>
      </c>
      <c r="I767" s="433">
        <f>SUMIFS($F$7:$F$578,$G$7:$G$578,"RAME",$L$7:$L$578,0.55)</f>
        <v>0</v>
      </c>
      <c r="J767" s="434">
        <f>SUMIFS($Z$7:$Z$578,$G$7:$G$578,"RAME",$L$7:$L$578,0.55)</f>
        <v>0</v>
      </c>
      <c r="K767" s="435">
        <f t="shared" si="207"/>
        <v>0</v>
      </c>
      <c r="L767" s="433">
        <f>SUMIFS($F$7:$F$578,$G$7:$G$578,"ottone",$L$7:$L$578,0.55)</f>
        <v>0</v>
      </c>
      <c r="V767" s="434">
        <f>SUMIFS($Z$7:$Z$578,$G$7:$G$578,"OTTONE",$L$7:$L$578,0.55)</f>
        <v>0</v>
      </c>
      <c r="W767" s="435">
        <f t="shared" si="205"/>
        <v>0</v>
      </c>
      <c r="X767" s="436">
        <f>SUMIFS($F$7:$F$578,$G$7:$G$578,"bronzo",$L$7:$L$578,0.55)</f>
        <v>0</v>
      </c>
      <c r="Y767" s="434">
        <f>SUMIFS($Z$7:$Z$578,$G$7:$G$578,"bronzo",$L$7:$L$578,0.55)</f>
        <v>0</v>
      </c>
      <c r="Z767" s="435">
        <f t="shared" si="206"/>
        <v>0</v>
      </c>
    </row>
    <row r="768" spans="5:26" ht="15.75" thickBot="1" x14ac:dyDescent="0.3">
      <c r="E768" s="437"/>
      <c r="F768" s="438">
        <f>SUM(F756:F767)</f>
        <v>883361</v>
      </c>
      <c r="G768" s="439">
        <f>SUM(G757:G767)</f>
        <v>54633.020000000004</v>
      </c>
      <c r="H768" s="440">
        <f>SUM(H757:H767)</f>
        <v>54633.020000000004</v>
      </c>
      <c r="I768" s="438">
        <f>SUM(I756:I767)</f>
        <v>48472</v>
      </c>
      <c r="J768" s="439">
        <f>SUM(J756:J767)</f>
        <v>5154.1000000000004</v>
      </c>
      <c r="K768" s="440">
        <f>SUM(K756:K767)</f>
        <v>5154.1000000000004</v>
      </c>
      <c r="L768" s="438">
        <f>SUM(L756:P767)</f>
        <v>0</v>
      </c>
      <c r="V768" s="439">
        <f>SUM(V756:V767)</f>
        <v>0</v>
      </c>
      <c r="W768" s="441">
        <f>SUM(W756:W767)</f>
        <v>0</v>
      </c>
      <c r="X768" s="438">
        <f>SUM(X756:X767)</f>
        <v>0</v>
      </c>
      <c r="Y768" s="439">
        <f>SUM(Y756:Y767)</f>
        <v>0</v>
      </c>
      <c r="Z768" s="440">
        <f>SUM(Z756:Z767)</f>
        <v>0</v>
      </c>
    </row>
    <row r="770" spans="6:12" x14ac:dyDescent="0.25">
      <c r="F770" s="442"/>
      <c r="I770" s="370"/>
      <c r="L770" s="370"/>
    </row>
    <row r="771" spans="6:12" x14ac:dyDescent="0.25">
      <c r="F771" s="443">
        <f>+F768+I768+L768+X768</f>
        <v>931833</v>
      </c>
    </row>
    <row r="772" spans="6:12" x14ac:dyDescent="0.25">
      <c r="F772" s="331">
        <f>+F771-F745</f>
        <v>-6291</v>
      </c>
    </row>
    <row r="774" spans="6:12" x14ac:dyDescent="0.25">
      <c r="F774" s="443"/>
    </row>
    <row r="775" spans="6:12" x14ac:dyDescent="0.25">
      <c r="F775" s="331"/>
    </row>
    <row r="777" spans="6:12" x14ac:dyDescent="0.25">
      <c r="F777" s="223">
        <v>384665</v>
      </c>
    </row>
    <row r="778" spans="6:12" x14ac:dyDescent="0.25">
      <c r="F778" s="443">
        <f>+F777-F768</f>
        <v>-498696</v>
      </c>
    </row>
  </sheetData>
  <sheetProtection sheet="1" objects="1" scenarios="1" formatCells="0" insertRows="0" deleteRows="0"/>
  <dataConsolidate/>
  <mergeCells count="2">
    <mergeCell ref="I754:K754"/>
    <mergeCell ref="F754:H754"/>
  </mergeCells>
  <phoneticPr fontId="19" type="noConversion"/>
  <conditionalFormatting sqref="F5">
    <cfRule type="containsText" dxfId="21" priority="64" stopIfTrue="1" operator="containsText" text="ERRORE KG">
      <formula>NOT(ISERROR(SEARCH("ERRORE KG",F5)))</formula>
    </cfRule>
    <cfRule type="colorScale" priority="65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Z5">
    <cfRule type="containsText" dxfId="20" priority="63" stopIfTrue="1" operator="containsText" text="ERRORE COMMISSIONI">
      <formula>NOT(ISERROR(SEARCH("ERRORE COMMISSIONI",Z5)))</formula>
    </cfRule>
  </conditionalFormatting>
  <conditionalFormatting sqref="AC7 AC12 AC14:AC578">
    <cfRule type="expression" priority="58" stopIfTrue="1">
      <formula>AC7=0</formula>
    </cfRule>
    <cfRule type="expression" dxfId="19" priority="59" stopIfTrue="1">
      <formula>AC7&lt;TODAY()</formula>
    </cfRule>
  </conditionalFormatting>
  <conditionalFormatting sqref="F755:F756">
    <cfRule type="containsText" dxfId="18" priority="53" stopIfTrue="1" operator="containsText" text="errore">
      <formula>NOT(ISERROR(SEARCH("errore",F755)))</formula>
    </cfRule>
  </conditionalFormatting>
  <conditionalFormatting sqref="G755:G756">
    <cfRule type="containsText" dxfId="17" priority="52" stopIfTrue="1" operator="containsText" text="errore">
      <formula>NOT(ISERROR(SEARCH("errore",G755)))</formula>
    </cfRule>
  </conditionalFormatting>
  <conditionalFormatting sqref="B7 B12 B14:B578">
    <cfRule type="containsText" dxfId="16" priority="44" operator="containsText" text="in scadenza">
      <formula>NOT(ISERROR(SEARCH("in scadenza",B7)))</formula>
    </cfRule>
  </conditionalFormatting>
  <conditionalFormatting sqref="AC6">
    <cfRule type="expression" priority="23" stopIfTrue="1">
      <formula>AC6=0</formula>
    </cfRule>
    <cfRule type="expression" dxfId="15" priority="24" stopIfTrue="1">
      <formula>AC6&lt;TODAY()</formula>
    </cfRule>
  </conditionalFormatting>
  <conditionalFormatting sqref="B6">
    <cfRule type="containsText" dxfId="14" priority="22" operator="containsText" text="in scadenza">
      <formula>NOT(ISERROR(SEARCH("in scadenza",B6)))</formula>
    </cfRule>
  </conditionalFormatting>
  <conditionalFormatting sqref="AC13">
    <cfRule type="expression" priority="20" stopIfTrue="1">
      <formula>AC13=0</formula>
    </cfRule>
    <cfRule type="expression" dxfId="13" priority="21" stopIfTrue="1">
      <formula>AC13&lt;TODAY()</formula>
    </cfRule>
  </conditionalFormatting>
  <conditionalFormatting sqref="B13">
    <cfRule type="containsText" dxfId="12" priority="19" operator="containsText" text="in scadenza">
      <formula>NOT(ISERROR(SEARCH("in scadenza",B13)))</formula>
    </cfRule>
  </conditionalFormatting>
  <conditionalFormatting sqref="AC9">
    <cfRule type="expression" priority="17" stopIfTrue="1">
      <formula>AC9=0</formula>
    </cfRule>
    <cfRule type="expression" dxfId="11" priority="18" stopIfTrue="1">
      <formula>AC9&lt;TODAY()</formula>
    </cfRule>
  </conditionalFormatting>
  <conditionalFormatting sqref="B9">
    <cfRule type="containsText" dxfId="10" priority="16" operator="containsText" text="in scadenza">
      <formula>NOT(ISERROR(SEARCH("in scadenza",B9)))</formula>
    </cfRule>
  </conditionalFormatting>
  <conditionalFormatting sqref="AC11">
    <cfRule type="expression" priority="14" stopIfTrue="1">
      <formula>AC11=0</formula>
    </cfRule>
    <cfRule type="expression" dxfId="9" priority="15" stopIfTrue="1">
      <formula>AC11&lt;TODAY()</formula>
    </cfRule>
  </conditionalFormatting>
  <conditionalFormatting sqref="B11">
    <cfRule type="containsText" dxfId="8" priority="13" operator="containsText" text="in scadenza">
      <formula>NOT(ISERROR(SEARCH("in scadenza",B11)))</formula>
    </cfRule>
  </conditionalFormatting>
  <conditionalFormatting sqref="AC8">
    <cfRule type="expression" priority="5" stopIfTrue="1">
      <formula>AC8=0</formula>
    </cfRule>
    <cfRule type="expression" dxfId="5" priority="6" stopIfTrue="1">
      <formula>AC8&lt;TODAY()</formula>
    </cfRule>
  </conditionalFormatting>
  <conditionalFormatting sqref="B8">
    <cfRule type="containsText" dxfId="4" priority="4" operator="containsText" text="in scadenza">
      <formula>NOT(ISERROR(SEARCH("in scadenza",B8)))</formula>
    </cfRule>
  </conditionalFormatting>
  <conditionalFormatting sqref="AC10">
    <cfRule type="expression" priority="2" stopIfTrue="1">
      <formula>AC10=0</formula>
    </cfRule>
    <cfRule type="expression" dxfId="1" priority="3" stopIfTrue="1">
      <formula>AC10&lt;TODAY()</formula>
    </cfRule>
  </conditionalFormatting>
  <conditionalFormatting sqref="B10">
    <cfRule type="containsText" dxfId="0" priority="1" operator="containsText" text="in scadenza">
      <formula>NOT(ISERROR(SEARCH("in scadenza",B10)))</formula>
    </cfRule>
  </conditionalFormatting>
  <dataValidations xWindow="132" yWindow="413" count="5">
    <dataValidation type="list" allowBlank="1" showInputMessage="1" showErrorMessage="1" sqref="L579:L743">
      <formula1>IF(G579="Alluminio",ProvvAl2,IF(G579="Bronzo",ProvvBr,ProvvCu2))</formula1>
    </dataValidation>
    <dataValidation type="list" allowBlank="1" showInputMessage="1" showErrorMessage="1" sqref="Z586 AE583 L7:L578">
      <formula1>IF(G7="Alluminio",ProvvAl3,IF(G7="Bronzo",ProvvBr,ProvvCu3))</formula1>
    </dataValidation>
    <dataValidation type="list" allowBlank="1" showInputMessage="1" showErrorMessage="1" sqref="AD583 Y586 K7:K664">
      <formula1>IF(G7="Alluminio",LargAl,IF(G7="Bronzo",LargBr,LarCu))</formula1>
    </dataValidation>
    <dataValidation type="list" allowBlank="1" showInputMessage="1" showErrorMessage="1" sqref="X586 AC583 J7:J578">
      <formula1>IF(G7="Alluminio",Alu,IF(G7="Bronzo",Br,Cu))</formula1>
    </dataValidation>
    <dataValidation type="list" allowBlank="1" showInputMessage="1" showErrorMessage="1" sqref="Z583 G7:G582">
      <formula1>Materiale2</formula1>
    </dataValidation>
  </dataValidations>
  <pageMargins left="0.70866141732283472" right="0.70866141732283472" top="0.74803149606299213" bottom="0.74803149606299213" header="0.31496062992125984" footer="0.31496062992125984"/>
  <pageSetup paperSize="9" scale="52" orientation="landscape" r:id="rId1"/>
  <drawing r:id="rId2"/>
  <legacyDrawing r:id="rId3"/>
  <controls>
    <mc:AlternateContent xmlns:mc="http://schemas.openxmlformats.org/markup-compatibility/2006">
      <mc:Choice Requires="x14">
        <control shapeId="1032" r:id="rId4" name="cmdDuplicaRigaSelezionata">
          <controlPr defaultSize="0" autoLine="0" r:id="rId5">
            <anchor moveWithCells="1">
              <from>
                <xdr:col>3</xdr:col>
                <xdr:colOff>2209800</xdr:colOff>
                <xdr:row>0</xdr:row>
                <xdr:rowOff>66675</xdr:rowOff>
              </from>
              <to>
                <xdr:col>4</xdr:col>
                <xdr:colOff>1162050</xdr:colOff>
                <xdr:row>1</xdr:row>
                <xdr:rowOff>266700</xdr:rowOff>
              </to>
            </anchor>
          </controlPr>
        </control>
      </mc:Choice>
      <mc:Fallback>
        <control shapeId="1032" r:id="rId4" name="cmdDuplicaRigaSelezionata"/>
      </mc:Fallback>
    </mc:AlternateContent>
    <mc:AlternateContent xmlns:mc="http://schemas.openxmlformats.org/markup-compatibility/2006">
      <mc:Choice Requires="x14">
        <control shapeId="1030" r:id="rId6" name="CmdNuovaRiga">
          <controlPr defaultSize="0" autoLine="0" r:id="rId7">
            <anchor moveWithCells="1">
              <from>
                <xdr:col>3</xdr:col>
                <xdr:colOff>95250</xdr:colOff>
                <xdr:row>0</xdr:row>
                <xdr:rowOff>19050</xdr:rowOff>
              </from>
              <to>
                <xdr:col>3</xdr:col>
                <xdr:colOff>1819275</xdr:colOff>
                <xdr:row>1</xdr:row>
                <xdr:rowOff>219075</xdr:rowOff>
              </to>
            </anchor>
          </controlPr>
        </control>
      </mc:Choice>
      <mc:Fallback>
        <control shapeId="1030" r:id="rId6" name="CmdNuovaRig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93" t="s">
        <v>390</v>
      </c>
      <c r="C3" s="493"/>
      <c r="D3" s="493"/>
      <c r="F3" s="493" t="s">
        <v>398</v>
      </c>
      <c r="G3" s="493"/>
      <c r="H3" s="493"/>
      <c r="J3" s="493" t="s">
        <v>407</v>
      </c>
      <c r="K3" s="493"/>
      <c r="L3" s="493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SUMIFS(Calkos!$F$7:$F$578,Calkos!$AM$7:$AM$578,1,Calkos!$AN$7:$AN$578,2023)</f>
        <v>0</v>
      </c>
      <c r="D5" s="219"/>
      <c r="F5" s="210">
        <v>1</v>
      </c>
      <c r="G5" s="215">
        <f>SUMIFS(Calkos!$F$7:$F$578,Calkos!$AM$7:$AM$578,1,Calkos!$AN$7:$AN$578,2024)</f>
        <v>0</v>
      </c>
      <c r="H5" s="219"/>
      <c r="J5" s="210">
        <v>1</v>
      </c>
      <c r="K5" s="215">
        <f>SUMIFS(Calkos!$F$7:$F$578,Calkos!$AM$7:$AM$578,1,Calkos!$AN$7:$AN$578,2025)</f>
        <v>0</v>
      </c>
      <c r="L5" s="219"/>
    </row>
    <row r="6" spans="1:12" x14ac:dyDescent="0.25">
      <c r="B6" s="211">
        <f>+B5+1</f>
        <v>2</v>
      </c>
      <c r="C6" s="216">
        <f>SUMIFS(Calkos!$F$7:$F$578,Calkos!$AM$7:$AM$578,2,Calkos!$AN$7:$AN$578,2023)</f>
        <v>0</v>
      </c>
      <c r="D6" s="202"/>
      <c r="F6" s="211">
        <f>+F5+1</f>
        <v>2</v>
      </c>
      <c r="G6" s="216">
        <f>SUMIFS(Calkos!$F$7:$F$578,Calkos!$AM$7:$AM$578,2,Calkos!$AN$7:$AN$578,2024)</f>
        <v>0</v>
      </c>
      <c r="H6" s="202"/>
      <c r="J6" s="211">
        <f>+J5+1</f>
        <v>2</v>
      </c>
      <c r="K6" s="216">
        <f>SUMIFS(Calkos!$F$7:$F$578,Calkos!$AM$7:$AM$578,2,Calkos!$AN$7:$AN$578,2025)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SUMIFS(Calkos!$F$7:$F$578,Calkos!$AM$7:$AM$578,3,Calkos!$AN$7:$AN$578,2023)</f>
        <v>0</v>
      </c>
      <c r="D7" s="202"/>
      <c r="F7" s="211">
        <f t="shared" ref="F7:F57" si="1">+F6+1</f>
        <v>3</v>
      </c>
      <c r="G7" s="216">
        <f>SUMIFS(Calkos!$F$7:$F$578,Calkos!$AM$7:$AM$578,3,Calkos!$AN$7:$AN$578,2024)</f>
        <v>0</v>
      </c>
      <c r="H7" s="202"/>
      <c r="J7" s="211">
        <f t="shared" ref="J7:J57" si="2">+J6+1</f>
        <v>3</v>
      </c>
      <c r="K7" s="216">
        <f>SUMIFS(Calkos!$F$7:$F$578,Calkos!$AM$7:$AM$578,3,Calkos!$AN$7:$AN$578,2025)</f>
        <v>0</v>
      </c>
      <c r="L7" s="202"/>
    </row>
    <row r="8" spans="1:12" x14ac:dyDescent="0.25">
      <c r="B8" s="211">
        <f t="shared" si="0"/>
        <v>4</v>
      </c>
      <c r="C8" s="216">
        <f>SUMIFS(Calkos!$F$7:$F$578,Calkos!$AM$7:$AM$578,4,Calkos!$AN$7:$AN$578,2023)</f>
        <v>0</v>
      </c>
      <c r="D8" s="202"/>
      <c r="F8" s="211">
        <f t="shared" si="1"/>
        <v>4</v>
      </c>
      <c r="G8" s="216">
        <f>SUMIFS(Calkos!$F$7:$F$578,Calkos!$AM$7:$AM$578,4,Calkos!$AN$7:$AN$578,2024)</f>
        <v>0</v>
      </c>
      <c r="H8" s="202"/>
      <c r="J8" s="211">
        <f t="shared" si="2"/>
        <v>4</v>
      </c>
      <c r="K8" s="216">
        <f>SUMIFS(Calkos!$F$7:$F$578,Calkos!$AM$7:$AM$578,4,Calkos!$AN$7:$AN$578,2025)</f>
        <v>0</v>
      </c>
      <c r="L8" s="202"/>
    </row>
    <row r="9" spans="1:12" x14ac:dyDescent="0.25">
      <c r="B9" s="211">
        <f t="shared" si="0"/>
        <v>5</v>
      </c>
      <c r="C9" s="216">
        <f>SUMIFS(Calkos!$F$7:$F$578,Calkos!$AM$7:$AM$578,5,Calkos!$AN$7:$AN$578,2023)</f>
        <v>0</v>
      </c>
      <c r="D9" s="202"/>
      <c r="F9" s="211">
        <f t="shared" si="1"/>
        <v>5</v>
      </c>
      <c r="G9" s="216">
        <f>SUMIFS(Calkos!$F$7:$F$578,Calkos!$AM$7:$AM$578,5,Calkos!$AN$7:$AN$578,2024)</f>
        <v>0</v>
      </c>
      <c r="H9" s="202"/>
      <c r="J9" s="211">
        <f t="shared" si="2"/>
        <v>5</v>
      </c>
      <c r="K9" s="216">
        <f>SUMIFS(Calkos!$F$7:$F$578,Calkos!$AM$7:$AM$578,5,Calkos!$AN$7:$AN$578,2025)</f>
        <v>0</v>
      </c>
      <c r="L9" s="202"/>
    </row>
    <row r="10" spans="1:12" x14ac:dyDescent="0.25">
      <c r="B10" s="211">
        <f t="shared" si="0"/>
        <v>6</v>
      </c>
      <c r="C10" s="216">
        <f>SUMIFS(Calkos!$F$7:$F$578,Calkos!$AM$7:$AM$578,6,Calkos!$AN$7:$AN$578,2023)</f>
        <v>0</v>
      </c>
      <c r="D10" s="202"/>
      <c r="F10" s="211">
        <f t="shared" si="1"/>
        <v>6</v>
      </c>
      <c r="G10" s="216">
        <f>SUMIFS(Calkos!$F$7:$F$578,Calkos!$AM$7:$AM$578,6,Calkos!$AN$7:$AN$578,2024)</f>
        <v>0</v>
      </c>
      <c r="H10" s="202"/>
      <c r="J10" s="211">
        <f t="shared" si="2"/>
        <v>6</v>
      </c>
      <c r="K10" s="216">
        <f>SUMIFS(Calkos!$F$7:$F$578,Calkos!$AM$7:$AM$578,6,Calkos!$AN$7:$AN$578,2025)</f>
        <v>0</v>
      </c>
      <c r="L10" s="202"/>
    </row>
    <row r="11" spans="1:12" x14ac:dyDescent="0.25">
      <c r="B11" s="211">
        <f t="shared" si="0"/>
        <v>7</v>
      </c>
      <c r="C11" s="216">
        <f>SUMIFS(Calkos!$F$7:$F$578,Calkos!$AM$7:$AM$578,7,Calkos!$AN$7:$AN$578,2023)</f>
        <v>0</v>
      </c>
      <c r="D11" s="202"/>
      <c r="F11" s="211">
        <f t="shared" si="1"/>
        <v>7</v>
      </c>
      <c r="G11" s="216">
        <f>SUMIFS(Calkos!$F$7:$F$578,Calkos!$AM$7:$AM$578,7,Calkos!$AN$7:$AN$578,2024)</f>
        <v>0</v>
      </c>
      <c r="H11" s="202"/>
      <c r="J11" s="211">
        <f t="shared" si="2"/>
        <v>7</v>
      </c>
      <c r="K11" s="216">
        <f>SUMIFS(Calkos!$F$7:$F$578,Calkos!$AM$7:$AM$578,7,Calkos!$AN$7:$AN$578,2025)</f>
        <v>0</v>
      </c>
      <c r="L11" s="202"/>
    </row>
    <row r="12" spans="1:12" x14ac:dyDescent="0.25">
      <c r="B12" s="211">
        <f t="shared" si="0"/>
        <v>8</v>
      </c>
      <c r="C12" s="216">
        <f>SUMIFS(Calkos!$F$7:$F$578,Calkos!$AM$7:$AM$578,8,Calkos!$AN$7:$AN$578,2023)</f>
        <v>0</v>
      </c>
      <c r="D12" s="202"/>
      <c r="F12" s="211">
        <f t="shared" si="1"/>
        <v>8</v>
      </c>
      <c r="G12" s="216">
        <f>SUMIFS(Calkos!$F$7:$F$578,Calkos!$AM$7:$AM$578,8,Calkos!$AN$7:$AN$578,2024)</f>
        <v>0</v>
      </c>
      <c r="H12" s="202"/>
      <c r="J12" s="211">
        <f t="shared" si="2"/>
        <v>8</v>
      </c>
      <c r="K12" s="216">
        <f>SUMIFS(Calkos!$F$7:$F$578,Calkos!$AM$7:$AM$578,8,Calkos!$AN$7:$AN$578,2025)</f>
        <v>0</v>
      </c>
      <c r="L12" s="202"/>
    </row>
    <row r="13" spans="1:12" x14ac:dyDescent="0.25">
      <c r="B13" s="211">
        <f t="shared" si="0"/>
        <v>9</v>
      </c>
      <c r="C13" s="216">
        <f>SUMIFS(Calkos!$F$7:$F$578,Calkos!$AM$7:$AM$578,9,Calkos!$AN$7:$AN$578,2023)</f>
        <v>0</v>
      </c>
      <c r="D13" s="202"/>
      <c r="F13" s="211">
        <f t="shared" si="1"/>
        <v>9</v>
      </c>
      <c r="G13" s="216">
        <f>SUMIFS(Calkos!$F$7:$F$578,Calkos!$AM$7:$AM$578,9,Calkos!$AN$7:$AN$578,2024)</f>
        <v>0</v>
      </c>
      <c r="H13" s="202"/>
      <c r="J13" s="211">
        <f t="shared" si="2"/>
        <v>9</v>
      </c>
      <c r="K13" s="216">
        <f>SUMIFS(Calkos!$F$7:$F$578,Calkos!$AM$7:$AM$578,9,Calkos!$AN$7:$AN$578,2025)</f>
        <v>0</v>
      </c>
      <c r="L13" s="202"/>
    </row>
    <row r="14" spans="1:12" x14ac:dyDescent="0.25">
      <c r="B14" s="211">
        <f t="shared" si="0"/>
        <v>10</v>
      </c>
      <c r="C14" s="216">
        <f>SUMIFS(Calkos!$F$7:$F$578,Calkos!$AM$7:$AM$578,10,Calkos!$AN$7:$AN$578,2023)</f>
        <v>0</v>
      </c>
      <c r="D14" s="202"/>
      <c r="F14" s="211">
        <f t="shared" si="1"/>
        <v>10</v>
      </c>
      <c r="G14" s="216">
        <f>SUMIFS(Calkos!$F$7:$F$578,Calkos!$AM$7:$AM$578,10,Calkos!$AN$7:$AN$578,2024)</f>
        <v>0</v>
      </c>
      <c r="H14" s="202"/>
      <c r="J14" s="211">
        <f t="shared" si="2"/>
        <v>10</v>
      </c>
      <c r="K14" s="216">
        <f>SUMIFS(Calkos!$F$7:$F$578,Calkos!$AM$7:$AM$578,10,Calkos!$AN$7:$AN$578,2025)</f>
        <v>0</v>
      </c>
      <c r="L14" s="202"/>
    </row>
    <row r="15" spans="1:12" x14ac:dyDescent="0.25">
      <c r="B15" s="211">
        <f t="shared" si="0"/>
        <v>11</v>
      </c>
      <c r="C15" s="216">
        <f>SUMIFS(Calkos!$F$7:$F$578,Calkos!$AM$7:$AM$578,11,Calkos!$AN$7:$AN$578,2023)</f>
        <v>0</v>
      </c>
      <c r="D15" s="202"/>
      <c r="F15" s="211">
        <f t="shared" si="1"/>
        <v>11</v>
      </c>
      <c r="G15" s="216">
        <f>SUMIFS(Calkos!$F$7:$F$578,Calkos!$AM$7:$AM$578,11,Calkos!$AN$7:$AN$578,2024)</f>
        <v>0</v>
      </c>
      <c r="H15" s="202"/>
      <c r="J15" s="211">
        <f t="shared" si="2"/>
        <v>11</v>
      </c>
      <c r="K15" s="216">
        <f>SUMIFS(Calkos!$F$7:$F$578,Calkos!$AM$7:$AM$578,11,Calkos!$AN$7:$AN$578,2025)</f>
        <v>0</v>
      </c>
      <c r="L15" s="202"/>
    </row>
    <row r="16" spans="1:12" x14ac:dyDescent="0.25">
      <c r="B16" s="211">
        <f t="shared" si="0"/>
        <v>12</v>
      </c>
      <c r="C16" s="216">
        <f>SUMIFS(Calkos!$F$7:$F$578,Calkos!$AM$7:$AM$578,12,Calkos!$AN$7:$AN$578,2023)</f>
        <v>0</v>
      </c>
      <c r="D16" s="202"/>
      <c r="F16" s="211">
        <f t="shared" si="1"/>
        <v>12</v>
      </c>
      <c r="G16" s="216">
        <f>SUMIFS(Calkos!$F$7:$F$578,Calkos!$AM$7:$AM$578,12,Calkos!$AN$7:$AN$578,2024)</f>
        <v>0</v>
      </c>
      <c r="H16" s="202"/>
      <c r="J16" s="211">
        <f t="shared" si="2"/>
        <v>12</v>
      </c>
      <c r="K16" s="216">
        <f>SUMIFS(Calkos!$F$7:$F$578,Calkos!$AM$7:$AM$578,12,Calkos!$AN$7:$AN$578,2025)</f>
        <v>0</v>
      </c>
      <c r="L16" s="202"/>
    </row>
    <row r="17" spans="2:12" x14ac:dyDescent="0.25">
      <c r="B17" s="211">
        <f t="shared" si="0"/>
        <v>13</v>
      </c>
      <c r="C17" s="216">
        <f>SUMIFS(Calkos!$F$7:$F$578,Calkos!$AM$7:$AM$578,13,Calkos!$AN$7:$AN$578,2023)</f>
        <v>0</v>
      </c>
      <c r="D17" s="202"/>
      <c r="F17" s="211">
        <f t="shared" si="1"/>
        <v>13</v>
      </c>
      <c r="G17" s="216">
        <f>SUMIFS(Calkos!$F$7:$F$578,Calkos!$AM$7:$AM$578,13,Calkos!$AN$7:$AN$578,2024)</f>
        <v>0</v>
      </c>
      <c r="H17" s="202"/>
      <c r="J17" s="211">
        <f t="shared" si="2"/>
        <v>13</v>
      </c>
      <c r="K17" s="216">
        <f>SUMIFS(Calkos!$F$7:$F$578,Calkos!$AM$7:$AM$578,13,Calkos!$AN$7:$AN$578,2025)</f>
        <v>0</v>
      </c>
      <c r="L17" s="202"/>
    </row>
    <row r="18" spans="2:12" x14ac:dyDescent="0.25">
      <c r="B18" s="211">
        <f t="shared" si="0"/>
        <v>14</v>
      </c>
      <c r="C18" s="216">
        <f>SUMIFS(Calkos!$F$7:$F$578,Calkos!$AM$7:$AM$578,14,Calkos!$AN$7:$AN$578,2023)</f>
        <v>0</v>
      </c>
      <c r="D18" s="202"/>
      <c r="F18" s="211">
        <f t="shared" si="1"/>
        <v>14</v>
      </c>
      <c r="G18" s="216">
        <f>SUMIFS(Calkos!$F$7:$F$578,Calkos!$AM$7:$AM$578,14,Calkos!$AN$7:$AN$578,2024)</f>
        <v>0</v>
      </c>
      <c r="H18" s="202"/>
      <c r="J18" s="211">
        <f t="shared" si="2"/>
        <v>14</v>
      </c>
      <c r="K18" s="216">
        <f>SUMIFS(Calkos!$F$7:$F$578,Calkos!$AM$7:$AM$578,14,Calkos!$AN$7:$AN$578,2025)</f>
        <v>0</v>
      </c>
      <c r="L18" s="202"/>
    </row>
    <row r="19" spans="2:12" x14ac:dyDescent="0.25">
      <c r="B19" s="211">
        <f t="shared" si="0"/>
        <v>15</v>
      </c>
      <c r="C19" s="216">
        <f>SUMIFS(Calkos!$F$7:$F$578,Calkos!$AM$7:$AM$578,15,Calkos!$AN$7:$AN$578,2023)</f>
        <v>0</v>
      </c>
      <c r="D19" s="202"/>
      <c r="F19" s="211">
        <f t="shared" si="1"/>
        <v>15</v>
      </c>
      <c r="G19" s="216">
        <f>SUMIFS(Calkos!$F$7:$F$578,Calkos!$AM$7:$AM$578,15,Calkos!$AN$7:$AN$578,2024)</f>
        <v>0</v>
      </c>
      <c r="H19" s="202"/>
      <c r="J19" s="211">
        <f t="shared" si="2"/>
        <v>15</v>
      </c>
      <c r="K19" s="216">
        <f>SUMIFS(Calkos!$F$7:$F$578,Calkos!$AM$7:$AM$578,15,Calkos!$AN$7:$AN$578,2025)</f>
        <v>0</v>
      </c>
      <c r="L19" s="202"/>
    </row>
    <row r="20" spans="2:12" x14ac:dyDescent="0.25">
      <c r="B20" s="211">
        <f t="shared" si="0"/>
        <v>16</v>
      </c>
      <c r="C20" s="216">
        <f>SUMIFS(Calkos!$F$7:$F$578,Calkos!$AM$7:$AM$578,16,Calkos!$AN$7:$AN$578,2023)</f>
        <v>0</v>
      </c>
      <c r="D20" s="202"/>
      <c r="F20" s="211">
        <f t="shared" si="1"/>
        <v>16</v>
      </c>
      <c r="G20" s="216">
        <f>SUMIFS(Calkos!$F$7:$F$578,Calkos!$AM$7:$AM$578,16,Calkos!$AN$7:$AN$578,2024)</f>
        <v>0</v>
      </c>
      <c r="H20" s="202"/>
      <c r="J20" s="211">
        <f t="shared" si="2"/>
        <v>16</v>
      </c>
      <c r="K20" s="216">
        <f>SUMIFS(Calkos!$F$7:$F$578,Calkos!$AM$7:$AM$578,16,Calkos!$AN$7:$AN$578,2025)</f>
        <v>0</v>
      </c>
      <c r="L20" s="202"/>
    </row>
    <row r="21" spans="2:12" x14ac:dyDescent="0.25">
      <c r="B21" s="211">
        <f t="shared" si="0"/>
        <v>17</v>
      </c>
      <c r="C21" s="216">
        <f>SUMIFS(Calkos!$F$7:$F$578,Calkos!$AM$7:$AM$578,17,Calkos!$AN$7:$AN$578,2023)</f>
        <v>0</v>
      </c>
      <c r="D21" s="202"/>
      <c r="F21" s="211">
        <f t="shared" si="1"/>
        <v>17</v>
      </c>
      <c r="G21" s="216">
        <f>SUMIFS(Calkos!$F$7:$F$578,Calkos!$AM$7:$AM$578,17,Calkos!$AN$7:$AN$578,2024)</f>
        <v>0</v>
      </c>
      <c r="H21" s="202"/>
      <c r="J21" s="211">
        <f t="shared" si="2"/>
        <v>17</v>
      </c>
      <c r="K21" s="216">
        <f>SUMIFS(Calkos!$F$7:$F$578,Calkos!$AM$7:$AM$578,17,Calkos!$AN$7:$AN$578,2025)</f>
        <v>0</v>
      </c>
      <c r="L21" s="202"/>
    </row>
    <row r="22" spans="2:12" x14ac:dyDescent="0.25">
      <c r="B22" s="211">
        <f t="shared" si="0"/>
        <v>18</v>
      </c>
      <c r="C22" s="216">
        <f>SUMIFS(Calkos!$F$7:$F$578,Calkos!$AM$7:$AM$578,18,Calkos!$AN$7:$AN$578,2023)</f>
        <v>0</v>
      </c>
      <c r="D22" s="202"/>
      <c r="F22" s="211">
        <f t="shared" si="1"/>
        <v>18</v>
      </c>
      <c r="G22" s="216">
        <f>SUMIFS(Calkos!$F$7:$F$578,Calkos!$AM$7:$AM$578,18,Calkos!$AN$7:$AN$578,2024)</f>
        <v>0</v>
      </c>
      <c r="H22" s="202"/>
      <c r="J22" s="211">
        <f t="shared" si="2"/>
        <v>18</v>
      </c>
      <c r="K22" s="216">
        <f>SUMIFS(Calkos!$F$7:$F$578,Calkos!$AM$7:$AM$578,18,Calkos!$AN$7:$AN$578,2025)</f>
        <v>0</v>
      </c>
      <c r="L22" s="202"/>
    </row>
    <row r="23" spans="2:12" x14ac:dyDescent="0.25">
      <c r="B23" s="211">
        <f t="shared" si="0"/>
        <v>19</v>
      </c>
      <c r="C23" s="216">
        <f>SUMIFS(Calkos!$F$7:$F$578,Calkos!$AM$7:$AM$578,19,Calkos!$AN$7:$AN$578,2023)</f>
        <v>0</v>
      </c>
      <c r="D23" s="202"/>
      <c r="F23" s="211">
        <f t="shared" si="1"/>
        <v>19</v>
      </c>
      <c r="G23" s="216">
        <f>SUMIFS(Calkos!$F$7:$F$578,Calkos!$AM$7:$AM$578,19,Calkos!$AN$7:$AN$578,2024)</f>
        <v>0</v>
      </c>
      <c r="H23" s="202"/>
      <c r="J23" s="211">
        <f t="shared" si="2"/>
        <v>19</v>
      </c>
      <c r="K23" s="216">
        <f>SUMIFS(Calkos!$F$7:$F$578,Calkos!$AM$7:$AM$578,19,Calkos!$AN$7:$AN$578,2025)</f>
        <v>0</v>
      </c>
      <c r="L23" s="202"/>
    </row>
    <row r="24" spans="2:12" x14ac:dyDescent="0.25">
      <c r="B24" s="211">
        <f t="shared" si="0"/>
        <v>20</v>
      </c>
      <c r="C24" s="216">
        <f>SUMIFS(Calkos!$F$7:$F$578,Calkos!$AM$7:$AM$578,20,Calkos!$AN$7:$AN$578,2023)</f>
        <v>0</v>
      </c>
      <c r="D24" s="202"/>
      <c r="F24" s="211">
        <f t="shared" si="1"/>
        <v>20</v>
      </c>
      <c r="G24" s="216">
        <f>SUMIFS(Calkos!$F$7:$F$578,Calkos!$AM$7:$AM$578,20,Calkos!$AN$7:$AN$578,2024)</f>
        <v>0</v>
      </c>
      <c r="H24" s="202"/>
      <c r="J24" s="211">
        <f t="shared" si="2"/>
        <v>20</v>
      </c>
      <c r="K24" s="216">
        <f>SUMIFS(Calkos!$F$7:$F$578,Calkos!$AM$7:$AM$578,20,Calkos!$AN$7:$AN$578,2025)</f>
        <v>0</v>
      </c>
      <c r="L24" s="202"/>
    </row>
    <row r="25" spans="2:12" x14ac:dyDescent="0.25">
      <c r="B25" s="211">
        <f t="shared" si="0"/>
        <v>21</v>
      </c>
      <c r="C25" s="216">
        <f>SUMIFS(Calkos!$F$7:$F$578,Calkos!$AM$7:$AM$578,21,Calkos!$AN$7:$AN$578,2023)</f>
        <v>0</v>
      </c>
      <c r="D25" s="202"/>
      <c r="F25" s="211">
        <f t="shared" si="1"/>
        <v>21</v>
      </c>
      <c r="G25" s="216">
        <f>SUMIFS(Calkos!$F$7:$F$578,Calkos!$AM$7:$AM$578,21,Calkos!$AN$7:$AN$578,2024)</f>
        <v>0</v>
      </c>
      <c r="H25" s="202"/>
      <c r="J25" s="211">
        <f t="shared" si="2"/>
        <v>21</v>
      </c>
      <c r="K25" s="216">
        <f>SUMIFS(Calkos!$F$7:$F$578,Calkos!$AM$7:$AM$578,21,Calkos!$AN$7:$AN$578,2025)</f>
        <v>0</v>
      </c>
      <c r="L25" s="202"/>
    </row>
    <row r="26" spans="2:12" x14ac:dyDescent="0.25">
      <c r="B26" s="211">
        <f t="shared" si="0"/>
        <v>22</v>
      </c>
      <c r="C26" s="216">
        <f>SUMIFS(Calkos!$F$7:$F$578,Calkos!$AM$7:$AM$578,22,Calkos!$AN$7:$AN$578,2023)</f>
        <v>0</v>
      </c>
      <c r="D26" s="202"/>
      <c r="F26" s="211">
        <f t="shared" si="1"/>
        <v>22</v>
      </c>
      <c r="G26" s="216">
        <f>SUMIFS(Calkos!$F$7:$F$578,Calkos!$AM$7:$AM$578,22,Calkos!$AN$7:$AN$578,2024)</f>
        <v>0</v>
      </c>
      <c r="H26" s="202"/>
      <c r="J26" s="211">
        <f t="shared" si="2"/>
        <v>22</v>
      </c>
      <c r="K26" s="216">
        <f>SUMIFS(Calkos!$F$7:$F$578,Calkos!$AM$7:$AM$578,22,Calkos!$AN$7:$AN$578,2025)</f>
        <v>0</v>
      </c>
      <c r="L26" s="202"/>
    </row>
    <row r="27" spans="2:12" x14ac:dyDescent="0.25">
      <c r="B27" s="211">
        <f t="shared" si="0"/>
        <v>23</v>
      </c>
      <c r="C27" s="216">
        <f>SUMIFS(Calkos!$F$7:$F$578,Calkos!$AM$7:$AM$578,23,Calkos!$AN$7:$AN$578,2023)</f>
        <v>0</v>
      </c>
      <c r="D27" s="202"/>
      <c r="F27" s="211">
        <f t="shared" si="1"/>
        <v>23</v>
      </c>
      <c r="G27" s="216">
        <f>SUMIFS(Calkos!$F$7:$F$578,Calkos!$AM$7:$AM$578,23,Calkos!$AN$7:$AN$578,2024)</f>
        <v>0</v>
      </c>
      <c r="H27" s="202"/>
      <c r="J27" s="211">
        <f t="shared" si="2"/>
        <v>23</v>
      </c>
      <c r="K27" s="216">
        <f>SUMIFS(Calkos!$F$7:$F$578,Calkos!$AM$7:$AM$578,23,Calkos!$AN$7:$AN$578,2025)</f>
        <v>0</v>
      </c>
      <c r="L27" s="202"/>
    </row>
    <row r="28" spans="2:12" x14ac:dyDescent="0.25">
      <c r="B28" s="211">
        <f t="shared" si="0"/>
        <v>24</v>
      </c>
      <c r="C28" s="216">
        <f>SUMIFS(Calkos!$F$7:$F$578,Calkos!$AM$7:$AM$578,24,Calkos!$AN$7:$AN$578,2023)</f>
        <v>0</v>
      </c>
      <c r="D28" s="202"/>
      <c r="F28" s="211">
        <f t="shared" si="1"/>
        <v>24</v>
      </c>
      <c r="G28" s="216">
        <f>SUMIFS(Calkos!$F$7:$F$578,Calkos!$AM$7:$AM$578,24,Calkos!$AN$7:$AN$578,2024)</f>
        <v>0</v>
      </c>
      <c r="H28" s="202"/>
      <c r="J28" s="211">
        <f t="shared" si="2"/>
        <v>24</v>
      </c>
      <c r="K28" s="216">
        <f>SUMIFS(Calkos!$F$7:$F$578,Calkos!$AM$7:$AM$578,24,Calkos!$AN$7:$AN$578,2054)</f>
        <v>0</v>
      </c>
      <c r="L28" s="202"/>
    </row>
    <row r="29" spans="2:12" x14ac:dyDescent="0.25">
      <c r="B29" s="211">
        <f t="shared" si="0"/>
        <v>25</v>
      </c>
      <c r="C29" s="216">
        <f>SUMIFS(Calkos!$F$7:$F$578,Calkos!$AM$7:$AM$578,25,Calkos!$AN$7:$AN$578,2023)</f>
        <v>0</v>
      </c>
      <c r="D29" s="202"/>
      <c r="F29" s="211">
        <f t="shared" si="1"/>
        <v>25</v>
      </c>
      <c r="G29" s="216">
        <f>SUMIFS(Calkos!$F$7:$F$578,Calkos!$AM$7:$AM$578,25,Calkos!$AN$7:$AN$578,2024)</f>
        <v>0</v>
      </c>
      <c r="H29" s="202"/>
      <c r="J29" s="211">
        <f t="shared" si="2"/>
        <v>25</v>
      </c>
      <c r="K29" s="216">
        <f>SUMIFS(Calkos!$F$7:$F$578,Calkos!$AM$7:$AM$578,25,Calkos!$AN$7:$AN$578,2054)</f>
        <v>0</v>
      </c>
      <c r="L29" s="202"/>
    </row>
    <row r="30" spans="2:12" x14ac:dyDescent="0.25">
      <c r="B30" s="211">
        <f t="shared" si="0"/>
        <v>26</v>
      </c>
      <c r="C30" s="216">
        <f>SUMIFS(Calkos!$F$7:$F$578,Calkos!$AM$7:$AM$578,26,Calkos!$AN$7:$AN$578,2023)</f>
        <v>0</v>
      </c>
      <c r="D30" s="202"/>
      <c r="F30" s="211">
        <f t="shared" si="1"/>
        <v>26</v>
      </c>
      <c r="G30" s="216">
        <f>SUMIFS(Calkos!$F$7:$F$578,Calkos!$AM$7:$AM$578,26,Calkos!$AN$7:$AN$578,2024)</f>
        <v>0</v>
      </c>
      <c r="H30" s="202"/>
      <c r="J30" s="211">
        <f t="shared" si="2"/>
        <v>26</v>
      </c>
      <c r="K30" s="216">
        <f>SUMIFS(Calkos!$F$7:$F$578,Calkos!$AM$7:$AM$578,26,Calkos!$AN$7:$AN$578,2054)</f>
        <v>0</v>
      </c>
      <c r="L30" s="202"/>
    </row>
    <row r="31" spans="2:12" x14ac:dyDescent="0.25">
      <c r="B31" s="211">
        <f t="shared" si="0"/>
        <v>27</v>
      </c>
      <c r="C31" s="216">
        <f>SUMIFS(Calkos!$F$7:$F$578,Calkos!$AM$7:$AM$578,27,Calkos!$AN$7:$AN$578,2023)</f>
        <v>0</v>
      </c>
      <c r="D31" s="202"/>
      <c r="F31" s="211">
        <f t="shared" si="1"/>
        <v>27</v>
      </c>
      <c r="G31" s="216">
        <f>SUMIFS(Calkos!$F$7:$F$578,Calkos!$AM$7:$AM$578,27,Calkos!$AN$7:$AN$578,2024)</f>
        <v>0</v>
      </c>
      <c r="H31" s="202"/>
      <c r="J31" s="211">
        <f t="shared" si="2"/>
        <v>27</v>
      </c>
      <c r="K31" s="216">
        <f>SUMIFS(Calkos!$F$7:$F$578,Calkos!$AM$7:$AM$578,27,Calkos!$AN$7:$AN$578,2054)</f>
        <v>0</v>
      </c>
      <c r="L31" s="202"/>
    </row>
    <row r="32" spans="2:12" x14ac:dyDescent="0.25">
      <c r="B32" s="211">
        <f t="shared" si="0"/>
        <v>28</v>
      </c>
      <c r="C32" s="216">
        <f>SUMIFS(Calkos!$F$7:$F$578,Calkos!$AM$7:$AM$578,28,Calkos!$AN$7:$AN$578,2023)</f>
        <v>0</v>
      </c>
      <c r="D32" s="202"/>
      <c r="F32" s="211">
        <f t="shared" si="1"/>
        <v>28</v>
      </c>
      <c r="G32" s="216">
        <f>SUMIFS(Calkos!$F$7:$F$578,Calkos!$AM$7:$AM$578,28,Calkos!$AN$7:$AN$578,2024)</f>
        <v>0</v>
      </c>
      <c r="H32" s="202"/>
      <c r="J32" s="211">
        <f t="shared" si="2"/>
        <v>28</v>
      </c>
      <c r="K32" s="216">
        <f>SUMIFS(Calkos!$F$7:$F$578,Calkos!$AM$7:$AM$578,28,Calkos!$AN$7:$AN$578,2054)</f>
        <v>0</v>
      </c>
      <c r="L32" s="202"/>
    </row>
    <row r="33" spans="2:12" x14ac:dyDescent="0.25">
      <c r="B33" s="211">
        <f t="shared" si="0"/>
        <v>29</v>
      </c>
      <c r="C33" s="216">
        <f>SUMIFS(Calkos!$F$7:$F$578,Calkos!$AM$7:$AM$578,29,Calkos!$AN$7:$AN$578,2023)</f>
        <v>0</v>
      </c>
      <c r="D33" s="202"/>
      <c r="F33" s="211">
        <f t="shared" si="1"/>
        <v>29</v>
      </c>
      <c r="G33" s="216">
        <f>SUMIFS(Calkos!$F$7:$F$578,Calkos!$AM$7:$AM$578,29,Calkos!$AN$7:$AN$578,2024)</f>
        <v>0</v>
      </c>
      <c r="H33" s="202"/>
      <c r="J33" s="211">
        <f t="shared" si="2"/>
        <v>29</v>
      </c>
      <c r="K33" s="216">
        <f>SUMIFS(Calkos!$F$7:$F$578,Calkos!$AM$7:$AM$578,29,Calkos!$AN$7:$AN$578,2054)</f>
        <v>0</v>
      </c>
      <c r="L33" s="202"/>
    </row>
    <row r="34" spans="2:12" x14ac:dyDescent="0.25">
      <c r="B34" s="211">
        <f t="shared" si="0"/>
        <v>30</v>
      </c>
      <c r="C34" s="216">
        <f>SUMIFS(Calkos!$F$7:$F$578,Calkos!$AM$7:$AM$578,30,Calkos!$AN$7:$AN$578,2023)</f>
        <v>0</v>
      </c>
      <c r="D34" s="202"/>
      <c r="F34" s="211">
        <f t="shared" si="1"/>
        <v>30</v>
      </c>
      <c r="G34" s="216">
        <f>SUMIFS(Calkos!$F$7:$F$578,Calkos!$AM$7:$AM$578,30,Calkos!$AN$7:$AN$578,2024)</f>
        <v>0</v>
      </c>
      <c r="H34" s="202"/>
      <c r="J34" s="211">
        <f t="shared" si="2"/>
        <v>30</v>
      </c>
      <c r="K34" s="216">
        <f>SUMIFS(Calkos!$F$7:$F$578,Calkos!$AM$7:$AM$578,30,Calkos!$AN$7:$AN$578,2054)</f>
        <v>0</v>
      </c>
      <c r="L34" s="202"/>
    </row>
    <row r="35" spans="2:12" x14ac:dyDescent="0.25">
      <c r="B35" s="211">
        <f t="shared" si="0"/>
        <v>31</v>
      </c>
      <c r="C35" s="216">
        <f>SUMIFS(Calkos!$F$7:$F$578,Calkos!$AM$7:$AM$578,31,Calkos!$AN$7:$AN$578,2023)</f>
        <v>0</v>
      </c>
      <c r="D35" s="202"/>
      <c r="F35" s="211">
        <f t="shared" si="1"/>
        <v>31</v>
      </c>
      <c r="G35" s="216">
        <f>SUMIFS(Calkos!$F$7:$F$578,Calkos!$AM$7:$AM$578,31,Calkos!$AN$7:$AN$578,2024)</f>
        <v>0</v>
      </c>
      <c r="H35" s="202"/>
      <c r="J35" s="211">
        <f t="shared" si="2"/>
        <v>31</v>
      </c>
      <c r="K35" s="216">
        <f>SUMIFS(Calkos!$F$7:$F$578,Calkos!$AM$7:$AM$578,31,Calkos!$AN$7:$AN$578,2054)</f>
        <v>0</v>
      </c>
      <c r="L35" s="202"/>
    </row>
    <row r="36" spans="2:12" x14ac:dyDescent="0.25">
      <c r="B36" s="211">
        <f t="shared" si="0"/>
        <v>32</v>
      </c>
      <c r="C36" s="216">
        <f>SUMIFS(Calkos!$F$7:$F$578,Calkos!$AM$7:$AM$578,32,Calkos!$AN$7:$AN$578,2023)</f>
        <v>0</v>
      </c>
      <c r="D36" s="202"/>
      <c r="F36" s="211">
        <f t="shared" si="1"/>
        <v>32</v>
      </c>
      <c r="G36" s="216">
        <f>SUMIFS(Calkos!$F$7:$F$578,Calkos!$AM$7:$AM$578,32,Calkos!$AN$7:$AN$578,2024)</f>
        <v>0</v>
      </c>
      <c r="H36" s="202"/>
      <c r="J36" s="211">
        <f t="shared" si="2"/>
        <v>32</v>
      </c>
      <c r="K36" s="216">
        <f>SUMIFS(Calkos!$F$7:$F$578,Calkos!$AM$7:$AM$578,32,Calkos!$AN$7:$AN$578,2054)</f>
        <v>0</v>
      </c>
      <c r="L36" s="202"/>
    </row>
    <row r="37" spans="2:12" x14ac:dyDescent="0.25">
      <c r="B37" s="211">
        <f t="shared" si="0"/>
        <v>33</v>
      </c>
      <c r="C37" s="216">
        <f>SUMIFS(Calkos!$F$7:$F$578,Calkos!$AM$7:$AM$578,33,Calkos!$AN$7:$AN$578,2023)</f>
        <v>0</v>
      </c>
      <c r="D37" s="202"/>
      <c r="F37" s="211">
        <f t="shared" si="1"/>
        <v>33</v>
      </c>
      <c r="G37" s="216">
        <f>SUMIFS(Calkos!$F$7:$F$578,Calkos!$AM$7:$AM$578,33,Calkos!$AN$7:$AN$578,2024)</f>
        <v>0</v>
      </c>
      <c r="H37" s="202"/>
      <c r="J37" s="211">
        <f t="shared" si="2"/>
        <v>33</v>
      </c>
      <c r="K37" s="216">
        <f>SUMIFS(Calkos!$F$7:$F$578,Calkos!$AM$7:$AM$578,33,Calkos!$AN$7:$AN$578,2025)</f>
        <v>0</v>
      </c>
      <c r="L37" s="202"/>
    </row>
    <row r="38" spans="2:12" x14ac:dyDescent="0.25">
      <c r="B38" s="211">
        <f t="shared" si="0"/>
        <v>34</v>
      </c>
      <c r="C38" s="216">
        <f>SUMIFS(Calkos!$F$7:$F$578,Calkos!$AM$7:$AM$578,34,Calkos!$AN$7:$AN$578,2023)</f>
        <v>0</v>
      </c>
      <c r="D38" s="202"/>
      <c r="F38" s="211">
        <f t="shared" si="1"/>
        <v>34</v>
      </c>
      <c r="G38" s="216">
        <f>SUMIFS(Calkos!$F$7:$F$578,Calkos!$AM$7:$AM$578,34,Calkos!$AN$7:$AN$578,2024)</f>
        <v>0</v>
      </c>
      <c r="H38" s="202"/>
      <c r="J38" s="211">
        <f t="shared" si="2"/>
        <v>34</v>
      </c>
      <c r="K38" s="216">
        <f>SUMIFS(Calkos!$F$7:$F$578,Calkos!$AM$7:$AM$578,34,Calkos!$AN$7:$AN$578,2025)</f>
        <v>0</v>
      </c>
      <c r="L38" s="202"/>
    </row>
    <row r="39" spans="2:12" x14ac:dyDescent="0.25">
      <c r="B39" s="211">
        <f t="shared" si="0"/>
        <v>35</v>
      </c>
      <c r="C39" s="216">
        <f>SUMIFS(Calkos!$F$7:$F$578,Calkos!$AM$7:$AM$578,35,Calkos!$AN$7:$AN$578,2023)</f>
        <v>0</v>
      </c>
      <c r="D39" s="202"/>
      <c r="F39" s="211">
        <f t="shared" si="1"/>
        <v>35</v>
      </c>
      <c r="G39" s="216">
        <f>SUMIFS(Calkos!$F$7:$F$578,Calkos!$AM$7:$AM$578,35,Calkos!$AN$7:$AN$578,2024)</f>
        <v>0</v>
      </c>
      <c r="H39" s="202"/>
      <c r="J39" s="211">
        <f t="shared" si="2"/>
        <v>35</v>
      </c>
      <c r="K39" s="216">
        <f>SUMIFS(Calkos!$F$7:$F$578,Calkos!$AM$7:$AM$578,35,Calkos!$AN$7:$AN$578,2025)</f>
        <v>0</v>
      </c>
      <c r="L39" s="202"/>
    </row>
    <row r="40" spans="2:12" x14ac:dyDescent="0.25">
      <c r="B40" s="211">
        <f t="shared" si="0"/>
        <v>36</v>
      </c>
      <c r="C40" s="216">
        <f>SUMIFS(Calkos!$F$7:$F$578,Calkos!$AM$7:$AM$578,36,Calkos!$AN$7:$AN$578,2023)</f>
        <v>0</v>
      </c>
      <c r="D40" s="202"/>
      <c r="F40" s="211">
        <f t="shared" si="1"/>
        <v>36</v>
      </c>
      <c r="G40" s="216">
        <f>SUMIFS(Calkos!$F$7:$F$578,Calkos!$AM$7:$AM$578,36,Calkos!$AN$7:$AN$578,2024)</f>
        <v>0</v>
      </c>
      <c r="H40" s="202"/>
      <c r="J40" s="211">
        <f t="shared" si="2"/>
        <v>36</v>
      </c>
      <c r="K40" s="216">
        <f>SUMIFS(Calkos!$F$7:$F$578,Calkos!$AM$7:$AM$578,36,Calkos!$AN$7:$AN$578,2025)</f>
        <v>0</v>
      </c>
      <c r="L40" s="202"/>
    </row>
    <row r="41" spans="2:12" x14ac:dyDescent="0.25">
      <c r="B41" s="211">
        <f t="shared" si="0"/>
        <v>37</v>
      </c>
      <c r="C41" s="216">
        <f>SUMIFS(Calkos!$F$7:$F$578,Calkos!$AM$7:$AM$578,37,Calkos!$AN$7:$AN$578,2023)</f>
        <v>0</v>
      </c>
      <c r="D41" s="202"/>
      <c r="F41" s="211">
        <f t="shared" si="1"/>
        <v>37</v>
      </c>
      <c r="G41" s="216">
        <f>SUMIFS(Calkos!$F$7:$F$578,Calkos!$AM$7:$AM$578,37,Calkos!$AN$7:$AN$578,2024)</f>
        <v>0</v>
      </c>
      <c r="H41" s="202"/>
      <c r="J41" s="211">
        <f t="shared" si="2"/>
        <v>37</v>
      </c>
      <c r="K41" s="216">
        <f>SUMIFS(Calkos!$F$7:$F$578,Calkos!$AM$7:$AM$578,37,Calkos!$AN$7:$AN$578,2025)</f>
        <v>0</v>
      </c>
      <c r="L41" s="202"/>
    </row>
    <row r="42" spans="2:12" x14ac:dyDescent="0.25">
      <c r="B42" s="211">
        <f t="shared" si="0"/>
        <v>38</v>
      </c>
      <c r="C42" s="216">
        <f>SUMIFS(Calkos!$F$7:$F$578,Calkos!$AM$7:$AM$578,38,Calkos!$AN$7:$AN$578,2023)</f>
        <v>0</v>
      </c>
      <c r="D42" s="202"/>
      <c r="F42" s="211">
        <f t="shared" si="1"/>
        <v>38</v>
      </c>
      <c r="G42" s="216">
        <f>SUMIFS(Calkos!$F$7:$F$578,Calkos!$AM$7:$AM$578,38,Calkos!$AN$7:$AN$578,2024)</f>
        <v>0</v>
      </c>
      <c r="H42" s="202"/>
      <c r="J42" s="211">
        <f t="shared" si="2"/>
        <v>38</v>
      </c>
      <c r="K42" s="216">
        <f>SUMIFS(Calkos!$F$7:$F$578,Calkos!$AM$7:$AM$578,38,Calkos!$AN$7:$AN$578,2025)</f>
        <v>0</v>
      </c>
      <c r="L42" s="202"/>
    </row>
    <row r="43" spans="2:12" x14ac:dyDescent="0.25">
      <c r="B43" s="211">
        <f t="shared" si="0"/>
        <v>39</v>
      </c>
      <c r="C43" s="216">
        <f>SUMIFS(Calkos!$F$7:$F$578,Calkos!$AM$7:$AM$578,39,Calkos!$AN$7:$AN$578,2023)</f>
        <v>0</v>
      </c>
      <c r="D43" s="202"/>
      <c r="F43" s="211">
        <f t="shared" si="1"/>
        <v>39</v>
      </c>
      <c r="G43" s="216">
        <f>SUMIFS(Calkos!$F$7:$F$578,Calkos!$AM$7:$AM$578,39,Calkos!$AN$7:$AN$578,2024)</f>
        <v>0</v>
      </c>
      <c r="H43" s="202"/>
      <c r="J43" s="211">
        <f t="shared" si="2"/>
        <v>39</v>
      </c>
      <c r="K43" s="216">
        <f>SUMIFS(Calkos!$F$7:$F$578,Calkos!$AM$7:$AM$578,39,Calkos!$AN$7:$AN$578,2025)</f>
        <v>0</v>
      </c>
      <c r="L43" s="202"/>
    </row>
    <row r="44" spans="2:12" x14ac:dyDescent="0.25">
      <c r="B44" s="211">
        <f t="shared" si="0"/>
        <v>40</v>
      </c>
      <c r="C44" s="216">
        <f>SUMIFS(Calkos!$F$7:$F$578,Calkos!$AM$7:$AM$578,40,Calkos!$AN$7:$AN$578,2023)</f>
        <v>0</v>
      </c>
      <c r="D44" s="202"/>
      <c r="F44" s="211">
        <f t="shared" si="1"/>
        <v>40</v>
      </c>
      <c r="G44" s="216">
        <f>SUMIFS(Calkos!$F$7:$F$578,Calkos!$AM$7:$AM$578,40,Calkos!$AN$7:$AN$578,2024)</f>
        <v>0</v>
      </c>
      <c r="H44" s="202"/>
      <c r="J44" s="211">
        <f t="shared" si="2"/>
        <v>40</v>
      </c>
      <c r="K44" s="216">
        <f>SUMIFS(Calkos!$F$7:$F$578,Calkos!$AM$7:$AM$578,40,Calkos!$AN$7:$AN$578,2025)</f>
        <v>0</v>
      </c>
      <c r="L44" s="202"/>
    </row>
    <row r="45" spans="2:12" x14ac:dyDescent="0.25">
      <c r="B45" s="211">
        <f t="shared" si="0"/>
        <v>41</v>
      </c>
      <c r="C45" s="216">
        <f>SUMIFS(Calkos!$F$7:$F$578,Calkos!$AM$7:$AM$578,41,Calkos!$AN$7:$AN$578,2023)</f>
        <v>0</v>
      </c>
      <c r="D45" s="202"/>
      <c r="F45" s="211">
        <f t="shared" si="1"/>
        <v>41</v>
      </c>
      <c r="G45" s="216">
        <f>SUMIFS(Calkos!$F$7:$F$578,Calkos!$AM$7:$AM$578,41,Calkos!$AN$7:$AN$578,2024)</f>
        <v>0</v>
      </c>
      <c r="H45" s="202"/>
      <c r="J45" s="211">
        <f t="shared" si="2"/>
        <v>41</v>
      </c>
      <c r="K45" s="216">
        <f>SUMIFS(Calkos!$F$7:$F$578,Calkos!$AM$7:$AM$578,41,Calkos!$AN$7:$AN$578,2025)</f>
        <v>0</v>
      </c>
      <c r="L45" s="202"/>
    </row>
    <row r="46" spans="2:12" x14ac:dyDescent="0.25">
      <c r="B46" s="211">
        <f t="shared" si="0"/>
        <v>42</v>
      </c>
      <c r="C46" s="216">
        <f>SUMIFS(Calkos!$F$7:$F$578,Calkos!$AM$7:$AM$578,42,Calkos!$AN$7:$AN$578,2023)</f>
        <v>0</v>
      </c>
      <c r="D46" s="202"/>
      <c r="F46" s="211">
        <f t="shared" si="1"/>
        <v>42</v>
      </c>
      <c r="G46" s="216">
        <f>SUMIFS(Calkos!$F$7:$F$578,Calkos!$AM$7:$AM$578,42,Calkos!$AN$7:$AN$578,2024)</f>
        <v>0</v>
      </c>
      <c r="H46" s="202"/>
      <c r="J46" s="211">
        <f t="shared" si="2"/>
        <v>42</v>
      </c>
      <c r="K46" s="216">
        <f>SUMIFS(Calkos!$F$7:$F$578,Calkos!$AM$7:$AM$578,42,Calkos!$AN$7:$AN$578,2025)</f>
        <v>0</v>
      </c>
      <c r="L46" s="202"/>
    </row>
    <row r="47" spans="2:12" x14ac:dyDescent="0.25">
      <c r="B47" s="211">
        <f t="shared" si="0"/>
        <v>43</v>
      </c>
      <c r="C47" s="216">
        <f>SUMIFS(Calkos!$F$7:$F$578,Calkos!$AM$7:$AM$578,43,Calkos!$AN$7:$AN$578,2023)</f>
        <v>0</v>
      </c>
      <c r="D47" s="202"/>
      <c r="F47" s="211">
        <f t="shared" si="1"/>
        <v>43</v>
      </c>
      <c r="G47" s="216">
        <f>SUMIFS(Calkos!$F$7:$F$578,Calkos!$AM$7:$AM$578,43,Calkos!$AN$7:$AN$578,2021)</f>
        <v>0</v>
      </c>
      <c r="H47" s="202"/>
      <c r="J47" s="211">
        <f t="shared" si="2"/>
        <v>43</v>
      </c>
      <c r="K47" s="216">
        <f>SUMIFS(Calkos!$F$7:$F$578,Calkos!$AM$7:$AM$578,43,Calkos!$AN$7:$AN$578,2025)</f>
        <v>0</v>
      </c>
      <c r="L47" s="202"/>
    </row>
    <row r="48" spans="2:12" x14ac:dyDescent="0.25">
      <c r="B48" s="211">
        <f t="shared" si="0"/>
        <v>44</v>
      </c>
      <c r="C48" s="216">
        <f>SUMIFS(Calkos!$F$7:$F$578,Calkos!$AM$7:$AM$578,44,Calkos!$AN$7:$AN$578,2023)</f>
        <v>0</v>
      </c>
      <c r="D48" s="202"/>
      <c r="F48" s="211">
        <f t="shared" si="1"/>
        <v>44</v>
      </c>
      <c r="G48" s="216">
        <f>SUMIFS(Calkos!$F$7:$F$578,Calkos!$AM$7:$AM$578,44,Calkos!$AN$7:$AN$578,2024)</f>
        <v>0</v>
      </c>
      <c r="H48" s="202"/>
      <c r="J48" s="211">
        <f t="shared" si="2"/>
        <v>44</v>
      </c>
      <c r="K48" s="216">
        <f>SUMIFS(Calkos!$F$7:$F$578,Calkos!$AM$7:$AM$578,44,Calkos!$AN$7:$AN$578,2025)</f>
        <v>0</v>
      </c>
      <c r="L48" s="202"/>
    </row>
    <row r="49" spans="2:12" x14ac:dyDescent="0.25">
      <c r="B49" s="211">
        <f t="shared" si="0"/>
        <v>45</v>
      </c>
      <c r="C49" s="216">
        <f>SUMIFS(Calkos!$F$7:$F$578,Calkos!$AM$7:$AM$578,45,Calkos!$AN$7:$AN$578,2023)</f>
        <v>0</v>
      </c>
      <c r="D49" s="202"/>
      <c r="F49" s="211">
        <f t="shared" si="1"/>
        <v>45</v>
      </c>
      <c r="G49" s="216">
        <f>SUMIFS(Calkos!$F$7:$F$578,Calkos!$AM$7:$AM$578,45,Calkos!$AN$7:$AN$578,2024)</f>
        <v>0</v>
      </c>
      <c r="H49" s="202"/>
      <c r="J49" s="211">
        <f t="shared" si="2"/>
        <v>45</v>
      </c>
      <c r="K49" s="216">
        <f>SUMIFS(Calkos!$F$7:$F$578,Calkos!$AM$7:$AM$578,45,Calkos!$AN$7:$AN$578,2025)</f>
        <v>0</v>
      </c>
      <c r="L49" s="202"/>
    </row>
    <row r="50" spans="2:12" x14ac:dyDescent="0.25">
      <c r="B50" s="211">
        <f t="shared" si="0"/>
        <v>46</v>
      </c>
      <c r="C50" s="216">
        <f>SUMIFS(Calkos!$F$7:$F$578,Calkos!$AM$7:$AM$578,46,Calkos!$AN$7:$AN$578,2023)</f>
        <v>0</v>
      </c>
      <c r="D50" s="202"/>
      <c r="F50" s="211">
        <f t="shared" si="1"/>
        <v>46</v>
      </c>
      <c r="G50" s="216">
        <f>SUMIFS(Calkos!$F$7:$F$578,Calkos!$AM$7:$AM$578,46,Calkos!$AN$7:$AN$578,2024)</f>
        <v>0</v>
      </c>
      <c r="H50" s="202"/>
      <c r="J50" s="211">
        <f t="shared" si="2"/>
        <v>46</v>
      </c>
      <c r="K50" s="216">
        <f>SUMIFS(Calkos!$F$7:$F$578,Calkos!$AM$7:$AM$578,46,Calkos!$AN$7:$AN$578,2025)</f>
        <v>0</v>
      </c>
      <c r="L50" s="202"/>
    </row>
    <row r="51" spans="2:12" x14ac:dyDescent="0.25">
      <c r="B51" s="211">
        <f t="shared" si="0"/>
        <v>47</v>
      </c>
      <c r="C51" s="216">
        <f>SUMIFS(Calkos!$F$7:$F$578,Calkos!$AM$7:$AM$578,47,Calkos!$AN$7:$AN$578,2023)</f>
        <v>0</v>
      </c>
      <c r="D51" s="202"/>
      <c r="F51" s="211">
        <f t="shared" si="1"/>
        <v>47</v>
      </c>
      <c r="G51" s="216">
        <f>SUMIFS(Calkos!$F$7:$F$578,Calkos!$AM$7:$AM$578,47,Calkos!$AN$7:$AN$578,2024)</f>
        <v>0</v>
      </c>
      <c r="H51" s="202"/>
      <c r="J51" s="211">
        <f t="shared" si="2"/>
        <v>47</v>
      </c>
      <c r="K51" s="216">
        <f>SUMIFS(Calkos!$F$7:$F$578,Calkos!$AM$7:$AM$578,47,Calkos!$AN$7:$AN$578,2025)</f>
        <v>0</v>
      </c>
      <c r="L51" s="202"/>
    </row>
    <row r="52" spans="2:12" x14ac:dyDescent="0.25">
      <c r="B52" s="211">
        <f t="shared" si="0"/>
        <v>48</v>
      </c>
      <c r="C52" s="216">
        <f>SUMIFS(Calkos!$F$7:$F$578,Calkos!$AM$7:$AM$578,48,Calkos!$AN$7:$AN$578,2023)</f>
        <v>0</v>
      </c>
      <c r="D52" s="202"/>
      <c r="F52" s="211">
        <f t="shared" si="1"/>
        <v>48</v>
      </c>
      <c r="G52" s="216">
        <f>SUMIFS(Calkos!$F$7:$F$578,Calkos!$AM$7:$AM$578,48,Calkos!$AN$7:$AN$578,2024)</f>
        <v>0</v>
      </c>
      <c r="H52" s="202"/>
      <c r="J52" s="211">
        <f t="shared" si="2"/>
        <v>48</v>
      </c>
      <c r="K52" s="216">
        <f>SUMIFS(Calkos!$F$7:$F$578,Calkos!$AM$7:$AM$578,48,Calkos!$AN$7:$AN$578,2025)</f>
        <v>0</v>
      </c>
      <c r="L52" s="202"/>
    </row>
    <row r="53" spans="2:12" x14ac:dyDescent="0.25">
      <c r="B53" s="211">
        <f t="shared" si="0"/>
        <v>49</v>
      </c>
      <c r="C53" s="216">
        <f>SUMIFS(Calkos!$F$7:$F$578,Calkos!$AM$7:$AM$578,49,Calkos!$AN$7:$AN$578,2023)</f>
        <v>0</v>
      </c>
      <c r="D53" s="202"/>
      <c r="F53" s="211">
        <f t="shared" si="1"/>
        <v>49</v>
      </c>
      <c r="G53" s="216">
        <f>SUMIFS(Calkos!$F$7:$F$578,Calkos!$AM$7:$AM$578,49,Calkos!$AN$7:$AN$578,2024)</f>
        <v>0</v>
      </c>
      <c r="H53" s="202"/>
      <c r="J53" s="211">
        <f t="shared" si="2"/>
        <v>49</v>
      </c>
      <c r="K53" s="216">
        <f>SUMIFS(Calkos!$F$7:$F$578,Calkos!$AM$7:$AM$578,49,Calkos!$AN$7:$AN$578,2025)</f>
        <v>0</v>
      </c>
      <c r="L53" s="202"/>
    </row>
    <row r="54" spans="2:12" x14ac:dyDescent="0.25">
      <c r="B54" s="211">
        <f t="shared" si="0"/>
        <v>50</v>
      </c>
      <c r="C54" s="216">
        <f>SUMIFS(Calkos!$F$7:$F$578,Calkos!$AM$7:$AM$578,50,Calkos!$AN$7:$AN$578,2023)</f>
        <v>0</v>
      </c>
      <c r="D54" s="202"/>
      <c r="F54" s="211">
        <f t="shared" si="1"/>
        <v>50</v>
      </c>
      <c r="G54" s="216">
        <f>SUMIFS(Calkos!$F$7:$F$578,Calkos!$AM$7:$AM$578,50,Calkos!$AN$7:$AN$578,2024)</f>
        <v>0</v>
      </c>
      <c r="H54" s="202"/>
      <c r="J54" s="211">
        <f t="shared" si="2"/>
        <v>50</v>
      </c>
      <c r="K54" s="216">
        <f>SUMIFS(Calkos!$F$7:$F$578,Calkos!$AM$7:$AM$578,50,Calkos!$AN$7:$AN$578,2025)</f>
        <v>0</v>
      </c>
      <c r="L54" s="202"/>
    </row>
    <row r="55" spans="2:12" x14ac:dyDescent="0.25">
      <c r="B55" s="211">
        <f t="shared" si="0"/>
        <v>51</v>
      </c>
      <c r="C55" s="216">
        <f>SUMIFS(Calkos!$F$7:$F$578,Calkos!$AM$7:$AM$578,51,Calkos!$AN$7:$AN$578,2023)</f>
        <v>0</v>
      </c>
      <c r="D55" s="202"/>
      <c r="F55" s="211">
        <f t="shared" si="1"/>
        <v>51</v>
      </c>
      <c r="G55" s="216">
        <f>SUMIFS(Calkos!$F$7:$F$578,Calkos!$AM$7:$AM$578,50,Calkos!$AN$7:$AN$578,2024)</f>
        <v>0</v>
      </c>
      <c r="H55" s="202"/>
      <c r="J55" s="211">
        <f t="shared" si="2"/>
        <v>51</v>
      </c>
      <c r="K55" s="216">
        <f>SUMIFS(Calkos!$F$7:$F$578,Calkos!$AM$7:$AM$578,51,Calkos!$AN$7:$AN$578,2025)</f>
        <v>0</v>
      </c>
      <c r="L55" s="202"/>
    </row>
    <row r="56" spans="2:12" x14ac:dyDescent="0.25">
      <c r="B56" s="211">
        <f t="shared" si="0"/>
        <v>52</v>
      </c>
      <c r="C56" s="216">
        <f>SUMIFS(Calkos!$F$7:$F$578,Calkos!$AM$7:$AM$578,52,Calkos!$AN$7:$AN$578,2023)</f>
        <v>0</v>
      </c>
      <c r="D56" s="202"/>
      <c r="F56" s="211">
        <f t="shared" si="1"/>
        <v>52</v>
      </c>
      <c r="G56" s="216">
        <f>SUMIFS(Calkos!$F$7:$F$578,Calkos!$AM$7:$AM$578,52,Calkos!$AN$7:$AN$578,2024)</f>
        <v>0</v>
      </c>
      <c r="H56" s="202"/>
      <c r="J56" s="211">
        <f t="shared" si="2"/>
        <v>52</v>
      </c>
      <c r="K56" s="216">
        <f>SUMIFS(Calkos!$F$7:$F$578,Calkos!$AM$7:$AM$578,52,Calkos!$AN$7:$AN$578,2025)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SUMIFS(Calkos!$F$7:$F$578,Calkos!$AM$7:$AM$578,53,Calkos!$AN$7:$AN$578,2023)</f>
        <v>0</v>
      </c>
      <c r="D57" s="218"/>
      <c r="F57" s="212">
        <f t="shared" si="1"/>
        <v>53</v>
      </c>
      <c r="G57" s="217">
        <f>SUMIFS(Calkos!$F$7:$F$578,Calkos!$AM$7:$AM$578,53,Calkos!$AN$7:$AN$578,2024)</f>
        <v>0</v>
      </c>
      <c r="H57" s="218"/>
      <c r="J57" s="212">
        <f t="shared" si="2"/>
        <v>53</v>
      </c>
      <c r="K57" s="217">
        <f>SUMIFS(Calkos!$F$7:$F$578,Calkos!$AM$7:$AM$578,53,Calkos!$AN$7:$AN$578,2025)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SUMIF(Calkos!$AC7:$AC578,"",Calkos!$F7:$F578)</f>
        <v>525564</v>
      </c>
      <c r="C63" s="153">
        <f>+Calkos!$F579</f>
        <v>938124</v>
      </c>
      <c r="D63" s="153">
        <f>+C63-B63</f>
        <v>412560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topLeftCell="A19" workbookViewId="0">
      <selection activeCell="G28" sqref="G28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94">
        <v>2022</v>
      </c>
      <c r="C3" s="494"/>
    </row>
    <row r="4" spans="1:3" ht="16.5" thickBot="1" x14ac:dyDescent="0.3">
      <c r="A4" s="191"/>
      <c r="B4" s="495" t="s">
        <v>342</v>
      </c>
      <c r="C4" s="496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SUMIFS(Calkos!Z$7:Z$578,Calkos!$AU$7:$AU$578,1,Calkos!$AV$7:$AV$578,2022)</f>
        <v>0</v>
      </c>
      <c r="C6" s="199">
        <f>SUMIFS(Calkos!F$7:F$578,Calkos!$AU$7:$AU$578,1,Calkos!$AV$7:$AV$578,2022)</f>
        <v>0</v>
      </c>
    </row>
    <row r="7" spans="1:3" x14ac:dyDescent="0.25">
      <c r="A7" s="200" t="s">
        <v>345</v>
      </c>
      <c r="B7" s="201">
        <f>SUMIFS(Calkos!Z$7:Z$578,Calkos!$AU$7:$AU$578,2,Calkos!$AV$7:$AV$578,2022)</f>
        <v>0</v>
      </c>
      <c r="C7" s="202">
        <f>SUMIFS(Calkos!F$7:F$578,Calkos!$AU$7:$AU$578,2,Calkos!$AV$7:$AV$578,2022)</f>
        <v>0</v>
      </c>
    </row>
    <row r="8" spans="1:3" x14ac:dyDescent="0.25">
      <c r="A8" s="200" t="s">
        <v>346</v>
      </c>
      <c r="B8" s="201">
        <f>SUMIFS(Calkos!Z$7:Z$578,Calkos!$AU$7:$AU$578,3,Calkos!$AV$7:$AV$578,2022)</f>
        <v>0</v>
      </c>
      <c r="C8" s="202">
        <f>SUMIFS(Calkos!F$7:F$578,Calkos!$AU$7:$AU$578,3,Calkos!$AV$7:$AV$578,2022)</f>
        <v>0</v>
      </c>
    </row>
    <row r="9" spans="1:3" x14ac:dyDescent="0.25">
      <c r="A9" s="200" t="s">
        <v>347</v>
      </c>
      <c r="B9" s="201">
        <f>SUMIFS(Calkos!Z$7:Z$578,Calkos!$AU$7:$AU$578,4,Calkos!$AV$7:$AV$578,2022)</f>
        <v>0</v>
      </c>
      <c r="C9" s="202">
        <f>SUMIFS(Calkos!F$7:F$578,Calkos!$AU$7:$AU$578,4,Calkos!$AV$7:$AV$578,2022)</f>
        <v>0</v>
      </c>
    </row>
    <row r="10" spans="1:3" x14ac:dyDescent="0.25">
      <c r="A10" s="200" t="s">
        <v>348</v>
      </c>
      <c r="B10" s="201">
        <f>SUMIFS(Calkos!Z$7:Z$578,Calkos!$AU$7:$AU$578,5,Calkos!$AV$7:$AV$578,2022)</f>
        <v>0</v>
      </c>
      <c r="C10" s="202">
        <f>SUMIFS(Calkos!F$7:F$578,Calkos!$AU$7:$AU$578,5,Calkos!$AV$7:$AV$578,2022)</f>
        <v>0</v>
      </c>
    </row>
    <row r="11" spans="1:3" x14ac:dyDescent="0.25">
      <c r="A11" s="200" t="s">
        <v>349</v>
      </c>
      <c r="B11" s="201">
        <f>SUMIFS(Calkos!Z$7:Z$578,Calkos!$AU$7:$AU$578,6,Calkos!$AV$7:$AV$578,2022)</f>
        <v>0</v>
      </c>
      <c r="C11" s="202">
        <f>SUMIFS(Calkos!F$7:F$578,Calkos!$AU$7:$AU$578,6,Calkos!$AV$7:$AV$578,2022)</f>
        <v>0</v>
      </c>
    </row>
    <row r="12" spans="1:3" x14ac:dyDescent="0.25">
      <c r="A12" s="200" t="s">
        <v>350</v>
      </c>
      <c r="B12" s="201">
        <f>SUMIFS(Calkos!Z$7:Z$578,Calkos!$AU$7:$AU$578,7,Calkos!$AV$7:$AV$578,2022)</f>
        <v>0</v>
      </c>
      <c r="C12" s="202">
        <f>SUMIFS(Calkos!F$7:F$578,Calkos!$AU$7:$AU$578,7,Calkos!$AV$7:$AV$578,2022)</f>
        <v>0</v>
      </c>
    </row>
    <row r="13" spans="1:3" x14ac:dyDescent="0.25">
      <c r="A13" s="200" t="s">
        <v>351</v>
      </c>
      <c r="B13" s="201">
        <f>SUMIFS(Calkos!Z$7:Z$578,Calkos!$AU$7:$AU$578,8,Calkos!$AV$7:$AV$578,2022)</f>
        <v>0</v>
      </c>
      <c r="C13" s="202">
        <f>SUMIFS(Calkos!F$7:F$578,Calkos!$AU$7:$AU$578,8,Calkos!$AV$7:$AV$578,2022)</f>
        <v>0</v>
      </c>
    </row>
    <row r="14" spans="1:3" x14ac:dyDescent="0.25">
      <c r="A14" s="200" t="s">
        <v>352</v>
      </c>
      <c r="B14" s="201">
        <f>SUMIFS(Calkos!Z$7:Z$578,Calkos!$AU$7:$AU$578,9,Calkos!$AV$7:$AV$578,2022)</f>
        <v>0</v>
      </c>
      <c r="C14" s="202">
        <f>SUMIFS(Calkos!F$7:F$578,Calkos!$AU$7:$AU$578,9,Calkos!$AV$7:$AV$578,2022)</f>
        <v>0</v>
      </c>
    </row>
    <row r="15" spans="1:3" x14ac:dyDescent="0.25">
      <c r="A15" s="200" t="s">
        <v>353</v>
      </c>
      <c r="B15" s="201">
        <f>SUMIFS(Calkos!Z$7:Z$578,Calkos!$AU$7:$AU$578,10,Calkos!$AV$7:$AV$578,2022)</f>
        <v>0</v>
      </c>
      <c r="C15" s="202">
        <f>SUMIFS(Calkos!F$7:F$578,Calkos!$AU$7:$AU$578,10,Calkos!$AV$7:$AV$578,2022)</f>
        <v>0</v>
      </c>
    </row>
    <row r="16" spans="1:3" x14ac:dyDescent="0.25">
      <c r="A16" s="200" t="s">
        <v>354</v>
      </c>
      <c r="B16" s="201">
        <f>SUMIFS(Calkos!Z$7:Z$578,Calkos!$AU$7:$AU$578,11,Calkos!$AV$7:$AV$578,2022)</f>
        <v>0</v>
      </c>
      <c r="C16" s="202">
        <f>SUMIFS(Calkos!F$7:F$578,Calkos!$AU$7:$AU$578,11,Calkos!$AV$7:$AV$578,2022)</f>
        <v>0</v>
      </c>
    </row>
    <row r="17" spans="1:3" ht="15.75" thickBot="1" x14ac:dyDescent="0.3">
      <c r="A17" s="203" t="s">
        <v>355</v>
      </c>
      <c r="B17" s="204">
        <f>SUMIFS(Calkos!Z$7:Z$578,Calkos!$AU$7:$AU$578,12,Calkos!$AV$7:$AV$578,2022)</f>
        <v>0</v>
      </c>
      <c r="C17" s="205">
        <f>SUMIFS(Calkos!F$7:F$578,Calkos!$AU$7:$AU$578,12,Calkos!$AV$7:$AV$578,2022)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94">
        <v>2023</v>
      </c>
      <c r="C21" s="494"/>
    </row>
    <row r="22" spans="1:3" ht="16.5" thickBot="1" x14ac:dyDescent="0.3">
      <c r="A22" s="191"/>
      <c r="B22" s="495" t="s">
        <v>342</v>
      </c>
      <c r="C22" s="496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378</v>
      </c>
      <c r="B24" s="198">
        <f>SUMIFS(Calkos!Z$7:Z$578,Calkos!$AU$7:$AU$578,1,Calkos!$AV$7:$AV$578,2023)</f>
        <v>0</v>
      </c>
      <c r="C24" s="199">
        <f>SUMIFS(Calkos!F$7:F$578,Calkos!$AU$7:$AU$578,1,Calkos!$AV$7:$AV$578,2023)</f>
        <v>0</v>
      </c>
    </row>
    <row r="25" spans="1:3" x14ac:dyDescent="0.25">
      <c r="A25" s="200" t="s">
        <v>379</v>
      </c>
      <c r="B25" s="201">
        <f>SUMIFS(Calkos!Z$7:Z$578,Calkos!$AU$7:$AU$578,2,Calkos!$AV$7:$AV$578,2023)</f>
        <v>0</v>
      </c>
      <c r="C25" s="202">
        <f>SUMIFS(Calkos!F$7:F$578,Calkos!$AU$7:$AU$578,2,Calkos!$AV$7:$AV$578,2023)</f>
        <v>0</v>
      </c>
    </row>
    <row r="26" spans="1:3" x14ac:dyDescent="0.25">
      <c r="A26" s="200" t="s">
        <v>380</v>
      </c>
      <c r="B26" s="201">
        <f>SUMIFS(Calkos!Z$7:Z$578,Calkos!$AU$7:$AU$578,3,Calkos!$AV$7:$AV$578,2023)</f>
        <v>0</v>
      </c>
      <c r="C26" s="202">
        <f>SUMIFS(Calkos!F$7:F$578,Calkos!$AU$7:$AU$578,3,Calkos!$AV$7:$AV$578,2023)</f>
        <v>0</v>
      </c>
    </row>
    <row r="27" spans="1:3" x14ac:dyDescent="0.25">
      <c r="A27" s="200" t="s">
        <v>381</v>
      </c>
      <c r="B27" s="201">
        <f>SUMIFS(Calkos!Z$7:Z$578,Calkos!$AU$7:$AU$578,4,Calkos!$AV$7:$AV$578,2023)</f>
        <v>0</v>
      </c>
      <c r="C27" s="202">
        <f>SUMIFS(Calkos!F$7:F$578,Calkos!$AU$7:$AU$578,4,Calkos!$AV$7:$AV$578,2023)</f>
        <v>0</v>
      </c>
    </row>
    <row r="28" spans="1:3" x14ac:dyDescent="0.25">
      <c r="A28" s="200" t="s">
        <v>382</v>
      </c>
      <c r="B28" s="201">
        <f>SUMIFS(Calkos!Z$7:Z$578,Calkos!$AU$7:$AU$578,5,Calkos!$AV$7:$AV$578,2023)</f>
        <v>0</v>
      </c>
      <c r="C28" s="202">
        <f>SUMIFS(Calkos!F$7:F$578,Calkos!$AU$7:$AU$578,5,Calkos!$AV$7:$AV$578,2023)</f>
        <v>0</v>
      </c>
    </row>
    <row r="29" spans="1:3" x14ac:dyDescent="0.25">
      <c r="A29" s="200" t="s">
        <v>383</v>
      </c>
      <c r="B29" s="201">
        <f>SUMIFS(Calkos!Z$7:Z$578,Calkos!$AU$7:$AU$578,6,Calkos!$AV$7:$AV$578,2023)</f>
        <v>0</v>
      </c>
      <c r="C29" s="202">
        <f>SUMIFS(Calkos!F$7:F$578,Calkos!$AU$7:$AU$578,6,Calkos!$AV$7:$AV$578,2023)</f>
        <v>0</v>
      </c>
    </row>
    <row r="30" spans="1:3" x14ac:dyDescent="0.25">
      <c r="A30" s="200" t="s">
        <v>384</v>
      </c>
      <c r="B30" s="201">
        <f>SUMIFS(Calkos!Z$7:Z$578,Calkos!$AU$7:$AU$578,7,Calkos!$AV$7:$AV$578,2023)</f>
        <v>0</v>
      </c>
      <c r="C30" s="202">
        <f>SUMIFS(Calkos!F$7:F$578,Calkos!$AU$7:$AU$578,7,Calkos!$AV$7:$AV$578,2023)</f>
        <v>0</v>
      </c>
    </row>
    <row r="31" spans="1:3" x14ac:dyDescent="0.25">
      <c r="A31" s="200" t="s">
        <v>385</v>
      </c>
      <c r="B31" s="201">
        <f>SUMIFS(Calkos!Z$7:Z$578,Calkos!$AU$7:$AU$578,8,Calkos!$AV$7:$AV$578,2023)</f>
        <v>0</v>
      </c>
      <c r="C31" s="202">
        <f>SUMIFS(Calkos!F$7:F$578,Calkos!$AU$7:$AU$578,8,Calkos!$AV$7:$AV$578,2023)</f>
        <v>0</v>
      </c>
    </row>
    <row r="32" spans="1:3" x14ac:dyDescent="0.25">
      <c r="A32" s="200" t="s">
        <v>386</v>
      </c>
      <c r="B32" s="201">
        <f>SUMIFS(Calkos!Z$7:Z$578,Calkos!$AU$7:$AU$578,9,Calkos!$AV$7:$AV$578,2023)</f>
        <v>0</v>
      </c>
      <c r="C32" s="202">
        <f>SUMIFS(Calkos!F$7:F$578,Calkos!$AU$7:$AU$578,9,Calkos!$AV$7:$AV$578,2023)</f>
        <v>0</v>
      </c>
    </row>
    <row r="33" spans="1:3" x14ac:dyDescent="0.25">
      <c r="A33" s="200" t="s">
        <v>387</v>
      </c>
      <c r="B33" s="201">
        <f>SUMIFS(Calkos!Z$7:Z$578,Calkos!$AU$7:$AU$578,10,Calkos!$AV$7:$AV$578,2023)</f>
        <v>0</v>
      </c>
      <c r="C33" s="202">
        <f>SUMIFS(Calkos!F$7:F$578,Calkos!$AU$7:$AU$578,10,Calkos!$AV$7:$AV$578,2023)</f>
        <v>0</v>
      </c>
    </row>
    <row r="34" spans="1:3" x14ac:dyDescent="0.25">
      <c r="A34" s="200" t="s">
        <v>388</v>
      </c>
      <c r="B34" s="201">
        <f>SUMIFS(Calkos!Z$7:Z$578,Calkos!$AU$7:$AU$578,11,Calkos!$AV$7:$AV$578,2023)</f>
        <v>0</v>
      </c>
      <c r="C34" s="202">
        <f>SUMIFS(Calkos!F$7:F$578,Calkos!$AU$7:$AU$578,11,Calkos!$AV$7:$AV$578,2023)</f>
        <v>0</v>
      </c>
    </row>
    <row r="35" spans="1:3" ht="15.75" thickBot="1" x14ac:dyDescent="0.3">
      <c r="A35" s="203" t="s">
        <v>389</v>
      </c>
      <c r="B35" s="204">
        <f>SUMIFS(Calkos!Z$7:Z$578,Calkos!$AU$7:$AU$578,12,Calkos!$AV$7:$AV$578,2023)</f>
        <v>0</v>
      </c>
      <c r="C35" s="205">
        <f>SUMIFS(Calkos!F$7:F$578,Calkos!$AU$7:$AU$578,12,Calkos!$AV$7:$AV$578,2023)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94">
        <v>2026</v>
      </c>
      <c r="C39" s="494"/>
    </row>
    <row r="40" spans="1:3" ht="16.5" thickBot="1" x14ac:dyDescent="0.3">
      <c r="A40" s="191"/>
      <c r="B40" s="495" t="s">
        <v>342</v>
      </c>
      <c r="C40" s="496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427</v>
      </c>
      <c r="B42" s="198">
        <f>SUMIFS(Calkos!Z$7:Z$578,Calkos!$AU$7:$AU$578,1,Calkos!$AV$7:$AV$578,2026)</f>
        <v>0</v>
      </c>
      <c r="C42" s="199">
        <f>SUMIFS(Calkos!F$7:F$578,Calkos!$AU$7:$AU$578,1,Calkos!$AV$7:$AV$578,2026)</f>
        <v>0</v>
      </c>
    </row>
    <row r="43" spans="1:3" x14ac:dyDescent="0.25">
      <c r="A43" s="200" t="s">
        <v>428</v>
      </c>
      <c r="B43" s="201">
        <f>SUMIFS(Calkos!Z$7:Z$578,Calkos!$AU$7:$AU$578,2,Calkos!$AV$7:$AV$578,2026)</f>
        <v>0</v>
      </c>
      <c r="C43" s="202">
        <f>SUMIFS(Calkos!F$7:F$578,Calkos!$AU$7:$AU$578,2,Calkos!$AV$7:$AV$578,2026)</f>
        <v>0</v>
      </c>
    </row>
    <row r="44" spans="1:3" x14ac:dyDescent="0.25">
      <c r="A44" s="200" t="s">
        <v>429</v>
      </c>
      <c r="B44" s="201">
        <f>SUMIFS(Calkos!Z$7:Z$578,Calkos!$AU$7:$AU$578,3,Calkos!$AV$7:$AV$578,2026)</f>
        <v>1200.8900000000001</v>
      </c>
      <c r="C44" s="202">
        <f>SUMIFS(Calkos!F$7:F$578,Calkos!$AU$7:$AU$578,3,Calkos!$AV$7:$AV$578,2026)</f>
        <v>20925</v>
      </c>
    </row>
    <row r="45" spans="1:3" x14ac:dyDescent="0.25">
      <c r="A45" s="200" t="s">
        <v>430</v>
      </c>
      <c r="B45" s="201">
        <f>SUMIFS(Calkos!Z$7:Z$578,Calkos!$AU$7:$AU$578,4,Calkos!$AV$7:$AV$578,2026)</f>
        <v>15968</v>
      </c>
      <c r="C45" s="202">
        <f>SUMIFS(Calkos!F$7:F$578,Calkos!$AU$7:$AU$578,4,Calkos!$AV$7:$AV$578,2026)</f>
        <v>253080</v>
      </c>
    </row>
    <row r="46" spans="1:3" x14ac:dyDescent="0.25">
      <c r="A46" s="200" t="s">
        <v>431</v>
      </c>
      <c r="B46" s="201">
        <f>SUMIFS(Calkos!Z$7:Z$578,Calkos!$AU$7:$AU$578,5,Calkos!$AV$7:$AV$578,2026)</f>
        <v>3529.7</v>
      </c>
      <c r="C46" s="202">
        <f>SUMIFS(Calkos!F$7:F$578,Calkos!$AU$7:$AU$578,5,Calkos!$AV$7:$AV$578,2026)</f>
        <v>50176</v>
      </c>
    </row>
    <row r="47" spans="1:3" x14ac:dyDescent="0.25">
      <c r="A47" s="200" t="s">
        <v>432</v>
      </c>
      <c r="B47" s="201">
        <f>SUMIFS(Calkos!Z$7:Z$578,Calkos!$AU$7:$AU$578,6,Calkos!$AV$7:$AV$578,2026)</f>
        <v>3537.4500000000003</v>
      </c>
      <c r="C47" s="202">
        <f>SUMIFS(Calkos!F$7:F$578,Calkos!$AU$7:$AU$578,6,Calkos!$AV$7:$AV$578,2026)</f>
        <v>50509</v>
      </c>
    </row>
    <row r="48" spans="1:3" x14ac:dyDescent="0.25">
      <c r="A48" s="200" t="s">
        <v>433</v>
      </c>
      <c r="B48" s="201">
        <f>SUMIFS(Calkos!Z$7:Z$578,Calkos!$AU$7:$AU$578,7,Calkos!$AV$7:$AV$578,2026)</f>
        <v>2200.9</v>
      </c>
      <c r="C48" s="202">
        <f>SUMIFS(Calkos!F$7:F$578,Calkos!$AU$7:$AU$578,7,Calkos!$AV$7:$AV$578,2026)</f>
        <v>32270</v>
      </c>
    </row>
    <row r="49" spans="1:5" x14ac:dyDescent="0.25">
      <c r="A49" s="200" t="s">
        <v>434</v>
      </c>
      <c r="B49" s="201">
        <f>SUMIFS(Calkos!Z$7:Z$578,Calkos!$AU$7:$AU$578,8,Calkos!$AV$7:$AV$578,2026)</f>
        <v>182</v>
      </c>
      <c r="C49" s="202">
        <f>SUMIFS(Calkos!F$7:F$578,Calkos!$AU$7:$AU$578,8,Calkos!$AV$7:$AV$578,2026)</f>
        <v>2600</v>
      </c>
    </row>
    <row r="50" spans="1:5" x14ac:dyDescent="0.25">
      <c r="A50" s="200" t="s">
        <v>435</v>
      </c>
      <c r="B50" s="201">
        <f>SUMIFS(Calkos!Z$7:Z$578,Calkos!$AU$7:$AU$578,9,Calkos!$AV$7:$AV$578,2026)</f>
        <v>70</v>
      </c>
      <c r="C50" s="202">
        <f>SUMIFS(Calkos!F$7:F$578,Calkos!$AU$7:$AU$578,9,Calkos!$AV$7:$AV$578,2026)</f>
        <v>1000</v>
      </c>
    </row>
    <row r="51" spans="1:5" x14ac:dyDescent="0.25">
      <c r="A51" s="200" t="s">
        <v>436</v>
      </c>
      <c r="B51" s="201">
        <f>SUMIFS(Calkos!Z$7:Z$578,Calkos!$AU$7:$AU$578,10,Calkos!$AV$7:$AV$578,2026)</f>
        <v>140</v>
      </c>
      <c r="C51" s="202">
        <f>SUMIFS(Calkos!F$7:F$578,Calkos!$AU$7:$AU$578,10,Calkos!$AV$7:$AV$578,2026)</f>
        <v>2000</v>
      </c>
      <c r="E51" s="201">
        <f>SUMIFS(Calkos!AC$7:AC$578,Calkos!$AU$7:$AU$578,11,Calkos!$AV$7:$AV$578,2024)</f>
        <v>0</v>
      </c>
    </row>
    <row r="52" spans="1:5" x14ac:dyDescent="0.25">
      <c r="A52" s="200" t="s">
        <v>437</v>
      </c>
      <c r="B52" s="201">
        <f>SUMIFS(Calkos!Z$7:Z$578,Calkos!$AU$7:$AU$578,11,Calkos!$AV$7:$AV$578,2026)</f>
        <v>0</v>
      </c>
      <c r="C52" s="202">
        <f>SUMIFS(Calkos!F$7:F$578,Calkos!$AU$7:$AU$578,11,Calkos!$AV$7:$AV$578,2026)</f>
        <v>0</v>
      </c>
    </row>
    <row r="53" spans="1:5" ht="15.75" thickBot="1" x14ac:dyDescent="0.3">
      <c r="A53" s="203" t="s">
        <v>438</v>
      </c>
      <c r="B53" s="204">
        <f>SUMIFS(Calkos!Z$7:Z$578,Calkos!$AU$7:$AU$578,12,Calkos!$AV$7:$AV$578,2026)</f>
        <v>0</v>
      </c>
      <c r="C53" s="202">
        <f>SUMIFS(Calkos!F$7:F$578,Calkos!$AU$7:$AU$578,12,Calkos!$AV$7:$AV$578,2026)</f>
        <v>0</v>
      </c>
    </row>
    <row r="54" spans="1:5" ht="16.5" thickBot="1" x14ac:dyDescent="0.3">
      <c r="B54" s="196">
        <f>SUM(B42:B53)</f>
        <v>26828.940000000002</v>
      </c>
      <c r="C54" s="195">
        <f>SUM(C42:C53)</f>
        <v>412560</v>
      </c>
    </row>
    <row r="57" spans="1:5" ht="19.5" thickBot="1" x14ac:dyDescent="0.35">
      <c r="A57" s="190"/>
      <c r="B57" s="494">
        <v>2025</v>
      </c>
      <c r="C57" s="494"/>
    </row>
    <row r="58" spans="1:5" ht="16.5" thickBot="1" x14ac:dyDescent="0.3">
      <c r="A58" s="191"/>
      <c r="B58" s="495" t="s">
        <v>342</v>
      </c>
      <c r="C58" s="496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406</v>
      </c>
      <c r="B60" s="198">
        <f>SUMIFS(Calkos!Z$7:Z$578,Calkos!$AU$7:$AU$578,1,Calkos!$AV$7:$AV$578,2025)</f>
        <v>0</v>
      </c>
      <c r="C60" s="199">
        <f>SUMIFS(Calkos!F$7:F$578,Calkos!$AU$7:$AU$578,1,Calkos!$AV$7:$AV$578,2025)</f>
        <v>0</v>
      </c>
    </row>
    <row r="61" spans="1:5" x14ac:dyDescent="0.25">
      <c r="A61" s="200" t="s">
        <v>408</v>
      </c>
      <c r="B61" s="201">
        <f>SUMIFS(Calkos!Z$7:Z$578,Calkos!$AU$7:$AU$578,2,Calkos!$AV$7:$AV$578,2025)</f>
        <v>0</v>
      </c>
      <c r="C61" s="202">
        <f>SUMIFS(Calkos!F$7:F$578,Calkos!$AU$7:$AU$578,2,Calkos!$AV$7:$AV$578,2025)</f>
        <v>0</v>
      </c>
    </row>
    <row r="62" spans="1:5" x14ac:dyDescent="0.25">
      <c r="A62" s="200" t="s">
        <v>409</v>
      </c>
      <c r="B62" s="201">
        <f>SUMIFS(Calkos!Z$7:Z$578,Calkos!$AU$7:$AU$578,3,Calkos!$AV$7:$AV$578,2025)</f>
        <v>0</v>
      </c>
      <c r="C62" s="202">
        <f>SUMIFS(Calkos!F$7:F$578,Calkos!$AU$7:$AU$578,3,Calkos!$AV$7:$AV$578,2025)</f>
        <v>0</v>
      </c>
    </row>
    <row r="63" spans="1:5" x14ac:dyDescent="0.25">
      <c r="A63" s="200" t="s">
        <v>410</v>
      </c>
      <c r="B63" s="201">
        <f>SUMIFS(Calkos!Z$7:Z$578,Calkos!$AU$7:$AU$578,4,Calkos!$AV$7:$AV$578,2025)</f>
        <v>0</v>
      </c>
      <c r="C63" s="202">
        <f>SUMIFS(Calkos!F$7:F$578,Calkos!$AU$7:$AU$578,4,Calkos!$AV$7:$AV$578,2025)</f>
        <v>0</v>
      </c>
    </row>
    <row r="64" spans="1:5" x14ac:dyDescent="0.25">
      <c r="A64" s="200" t="s">
        <v>411</v>
      </c>
      <c r="B64" s="201">
        <f>SUMIFS(Calkos!Z$7:Z$578,Calkos!$AU$7:$AU$578,5,Calkos!$AV$7:$AV$578,2025)</f>
        <v>0</v>
      </c>
      <c r="C64" s="202">
        <f>SUMIFS(Calkos!F$7:F$578,Calkos!$AU$7:$AU$578,5,Calkos!$AV$7:$AV$578,2025)</f>
        <v>0</v>
      </c>
    </row>
    <row r="65" spans="1:3" x14ac:dyDescent="0.25">
      <c r="A65" s="200" t="s">
        <v>412</v>
      </c>
      <c r="B65" s="201">
        <f>SUMIFS(Calkos!Z$7:Z$578,Calkos!$AU$7:$AU$578,6,Calkos!$AV$7:$AV$578,2025)</f>
        <v>0</v>
      </c>
      <c r="C65" s="202">
        <f>SUMIFS(Calkos!F$7:F$578,Calkos!$AU$7:$AU$578,6,Calkos!$AV$7:$AV$578,2025)</f>
        <v>0</v>
      </c>
    </row>
    <row r="66" spans="1:3" x14ac:dyDescent="0.25">
      <c r="A66" s="200" t="s">
        <v>413</v>
      </c>
      <c r="B66" s="201">
        <f>SUMIFS(Calkos!Z$7:Z$578,Calkos!$AU$7:$AU$578,7,Calkos!$AV$7:$AV$578,2025)</f>
        <v>0</v>
      </c>
      <c r="C66" s="202">
        <f>SUMIFS(Calkos!F$7:F$578,Calkos!$AU$7:$AU$578,7,Calkos!$AV$7:$AV$578,2025)</f>
        <v>0</v>
      </c>
    </row>
    <row r="67" spans="1:3" x14ac:dyDescent="0.25">
      <c r="A67" s="200" t="s">
        <v>414</v>
      </c>
      <c r="B67" s="201">
        <f>SUMIFS(Calkos!Z$7:Z$578,Calkos!$AU$7:$AU$578,8,Calkos!$AV$7:$AV$578,2025)</f>
        <v>0</v>
      </c>
      <c r="C67" s="202">
        <f>SUMIFS(Calkos!F$7:F$578,Calkos!$AU$7:$AU$578,8,Calkos!$AV$7:$AV$578,2025)</f>
        <v>0</v>
      </c>
    </row>
    <row r="68" spans="1:3" x14ac:dyDescent="0.25">
      <c r="A68" s="200" t="s">
        <v>415</v>
      </c>
      <c r="B68" s="201">
        <f>SUMIFS(Calkos!Z$7:Z$578,Calkos!$AU$7:$AU$578,9,Calkos!$AV$7:$AV$578,2025)</f>
        <v>0</v>
      </c>
      <c r="C68" s="202">
        <f>SUMIFS(Calkos!F$7:F$578,Calkos!$AU$7:$AU$578,9,Calkos!$AV$7:$AV$578,2025)</f>
        <v>0</v>
      </c>
    </row>
    <row r="69" spans="1:3" x14ac:dyDescent="0.25">
      <c r="A69" s="200" t="s">
        <v>416</v>
      </c>
      <c r="B69" s="201">
        <f>SUMIFS(Calkos!Z$7:Z$578,Calkos!$AU$7:$AU$578,10,Calkos!$AV$7:$AV$578,2025)</f>
        <v>0</v>
      </c>
      <c r="C69" s="202">
        <f>SUMIFS(Calkos!F$7:F$578,Calkos!$AU$7:$AU$578,10,Calkos!$AV$7:$AV$578,2025)</f>
        <v>0</v>
      </c>
    </row>
    <row r="70" spans="1:3" x14ac:dyDescent="0.25">
      <c r="A70" s="200" t="s">
        <v>417</v>
      </c>
      <c r="B70" s="201">
        <f>SUMIFS(Calkos!Z$7:Z$578,Calkos!$AU$7:$AU$578,11,Calkos!$AV$7:$AV$578,2025)</f>
        <v>0</v>
      </c>
      <c r="C70" s="202">
        <f>SUMIFS(Calkos!F$7:F$578,Calkos!$AU$7:$AU$578,11,Calkos!$AV$7:$AV$578,2025)</f>
        <v>0</v>
      </c>
    </row>
    <row r="71" spans="1:3" ht="15.75" thickBot="1" x14ac:dyDescent="0.3">
      <c r="A71" s="203" t="s">
        <v>418</v>
      </c>
      <c r="B71" s="204">
        <f>SUMIFS(Calkos!Z$7:Z$579,Calkos!$AU$7:$AU$579,12,Calkos!$AV$7:$AV$579,2025)</f>
        <v>0</v>
      </c>
      <c r="C71" s="205">
        <f>SUMIFS(Calkos!F$7:F$579,Calkos!$AU$7:$AU$579,12,Calkos!$AV$7:$AV$579,2025)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94" t="s">
        <v>356</v>
      </c>
      <c r="C80" s="494"/>
    </row>
    <row r="81" spans="2:3" ht="15.75" x14ac:dyDescent="0.25">
      <c r="B81" s="495" t="s">
        <v>342</v>
      </c>
      <c r="C81" s="496"/>
    </row>
    <row r="82" spans="2:3" ht="16.5" thickBot="1" x14ac:dyDescent="0.3">
      <c r="B82" s="206" t="str">
        <f>IF(B88=0,"Euro","Errore")</f>
        <v>Errore</v>
      </c>
      <c r="C82" s="194" t="str">
        <f>IF(C88=0,"Kg","Errore")</f>
        <v>Errore</v>
      </c>
    </row>
    <row r="83" spans="2:3" ht="16.5" thickBot="1" x14ac:dyDescent="0.3">
      <c r="B83" s="207">
        <f>+B18+B36+B54+B72</f>
        <v>26828.940000000002</v>
      </c>
      <c r="C83" s="208">
        <f>+C18+C36+C54+C72</f>
        <v>412560</v>
      </c>
    </row>
    <row r="86" spans="2:3" x14ac:dyDescent="0.25">
      <c r="B86" s="198">
        <f>SUMIFS(Calkos!Z$7:Z$578,Calkos!$AU$7:$AU$578,0,Calkos!$AV$7:$AV$578,0)</f>
        <v>33120.46</v>
      </c>
      <c r="C86" s="199">
        <f>SUMIFS(Calkos!F$7:F$578,Calkos!$AU$7:$AU$578,0,Calkos!$AV$7:$AV$578,0)</f>
        <v>516519</v>
      </c>
    </row>
    <row r="88" spans="2:3" x14ac:dyDescent="0.25">
      <c r="B88" s="78">
        <f>+B83+B86-Calkos!Z579</f>
        <v>-684.34999999995489</v>
      </c>
      <c r="C88" s="153">
        <f>+C83+C86-Calkos!F579</f>
        <v>-9045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3" priority="3" stopIfTrue="1" operator="containsText" text="Errore">
      <formula>NOT(ISERROR(SEARCH("Errore",B82)))</formula>
    </cfRule>
  </conditionalFormatting>
  <conditionalFormatting sqref="C82">
    <cfRule type="containsText" dxfId="2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SUMIF(Calkos!#REF!,"Wetter",Calkos!F5:F5)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97" t="s">
        <v>275</v>
      </c>
      <c r="B2" s="497"/>
    </row>
    <row r="4" spans="1:3" ht="15.75" thickBot="1" x14ac:dyDescent="0.3">
      <c r="A4" s="498" t="s">
        <v>276</v>
      </c>
      <c r="B4" s="498"/>
      <c r="C4" s="498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SUMIFS(Calkos!$F$7:$F$578,Calkos!$AK$7:$AK$578,1,Calkos!$AN$7:$AN$578,2018)</f>
        <v>0</v>
      </c>
      <c r="C6" s="179">
        <f>SUMIFS(Calkos!$Z$7:$Z$578,Calkos!$AK$7:$AK$578,1,Calkos!$AN$7:$AN$578,2018)</f>
        <v>0</v>
      </c>
    </row>
    <row r="7" spans="1:3" x14ac:dyDescent="0.25">
      <c r="A7" s="180" t="s">
        <v>280</v>
      </c>
      <c r="B7" s="181">
        <f>SUMIFS(Calkos!$F$7:$F$578,Calkos!$AK$7:$AK$578,2,Calkos!$AN$7:$AN$578,2018)</f>
        <v>0</v>
      </c>
      <c r="C7" s="182">
        <f>SUMIFS(Calkos!$Z$7:$Z$578,Calkos!$AK$7:$AK$578,2,Calkos!$AN$7:$AN$578,2018)</f>
        <v>0</v>
      </c>
    </row>
    <row r="8" spans="1:3" x14ac:dyDescent="0.25">
      <c r="A8" s="180" t="s">
        <v>281</v>
      </c>
      <c r="B8" s="181">
        <f>SUMIFS(Calkos!$F$7:$F$578,Calkos!$AK$7:$AK$578,3,Calkos!$AN$7:$AN$578,2018)</f>
        <v>0</v>
      </c>
      <c r="C8" s="182">
        <f>SUMIFS(Calkos!$Z$7:$Z$578,Calkos!$AK$7:$AK$578,3,Calkos!$AN$7:$AN$578,2018)</f>
        <v>0</v>
      </c>
    </row>
    <row r="9" spans="1:3" x14ac:dyDescent="0.25">
      <c r="A9" s="180" t="s">
        <v>282</v>
      </c>
      <c r="B9" s="181">
        <f>SUMIFS(Calkos!$F$7:$F$578,Calkos!$AK$7:$AK$578,4,Calkos!$AN$7:$AN$578,2018)</f>
        <v>0</v>
      </c>
      <c r="C9" s="182">
        <f>SUMIFS(Calkos!$Z$7:$Z$578,Calkos!$AK$7:$AK$578,4,Calkos!$AN$7:$AN$578,2018)</f>
        <v>0</v>
      </c>
    </row>
    <row r="10" spans="1:3" x14ac:dyDescent="0.25">
      <c r="A10" s="180" t="s">
        <v>283</v>
      </c>
      <c r="B10" s="181">
        <f>SUMIFS(Calkos!$F$7:$F$578,Calkos!$AK$7:$AK$578,5,Calkos!$AN$7:$AN$578,2018)</f>
        <v>0</v>
      </c>
      <c r="C10" s="182">
        <f>SUMIFS(Calkos!$Z$7:$Z$578,Calkos!$AK$7:$AK$578,5,Calkos!$AN$7:$AN$578,2018)</f>
        <v>0</v>
      </c>
    </row>
    <row r="11" spans="1:3" x14ac:dyDescent="0.25">
      <c r="A11" s="180" t="s">
        <v>284</v>
      </c>
      <c r="B11" s="181">
        <f>SUMIFS(Calkos!$F$7:$F$578,Calkos!$AK$7:$AK$578,6,Calkos!$AN$7:$AN$578,2018)</f>
        <v>0</v>
      </c>
      <c r="C11" s="182">
        <f>SUMIFS(Calkos!$Z$7:$Z$578,Calkos!$AK$7:$AK$578,6,Calkos!$AN$7:$AN$578,2018)</f>
        <v>0</v>
      </c>
    </row>
    <row r="12" spans="1:3" x14ac:dyDescent="0.25">
      <c r="A12" s="180" t="s">
        <v>285</v>
      </c>
      <c r="B12" s="181">
        <f>SUMIFS(Calkos!$F$7:$F$578,Calkos!$AK$7:$AK$578,7,Calkos!$AN$7:$AN$578,2018)</f>
        <v>0</v>
      </c>
      <c r="C12" s="182">
        <f>SUMIFS(Calkos!$Z$7:$Z$578,Calkos!$AK$7:$AK$578,7,Calkos!$AN$7:$AN$578,2018)</f>
        <v>0</v>
      </c>
    </row>
    <row r="13" spans="1:3" x14ac:dyDescent="0.25">
      <c r="A13" s="180" t="s">
        <v>286</v>
      </c>
      <c r="B13" s="181">
        <f>SUMIFS(Calkos!$F$7:$F$578,Calkos!$AK$7:$AK$578,8,Calkos!$AN$7:$AN$578,2018)</f>
        <v>0</v>
      </c>
      <c r="C13" s="182">
        <f>SUMIFS(Calkos!$Z$7:$Z$578,Calkos!$AK$7:$AK$578,8,Calkos!$AN$7:$AN$578,2018)</f>
        <v>0</v>
      </c>
    </row>
    <row r="14" spans="1:3" x14ac:dyDescent="0.25">
      <c r="A14" s="183" t="s">
        <v>287</v>
      </c>
      <c r="B14" s="181">
        <f>SUMIFS(Calkos!$F$7:$F$578,Calkos!$AK$7:$AK$578,9,Calkos!$AN$7:$AN$578,2018)</f>
        <v>0</v>
      </c>
      <c r="C14" s="182">
        <f>SUMIFS(Calkos!$Z$7:$Z$578,Calkos!$AK$7:$AK$578,9,Calkos!$AN$7:$AN$578,2018)</f>
        <v>0</v>
      </c>
    </row>
    <row r="15" spans="1:3" x14ac:dyDescent="0.25">
      <c r="A15" s="180" t="s">
        <v>288</v>
      </c>
      <c r="B15" s="181">
        <f>SUMIFS(Calkos!$F$7:$F$578,Calkos!$AK$7:$AK$578,10,Calkos!$AN$7:$AN$578,2018)</f>
        <v>0</v>
      </c>
      <c r="C15" s="182">
        <f>SUMIFS(Calkos!$Z$7:$Z$578,Calkos!$AK$7:$AK$578,10,Calkos!$AN$7:$AN$578,2018)</f>
        <v>0</v>
      </c>
    </row>
    <row r="16" spans="1:3" x14ac:dyDescent="0.25">
      <c r="A16" s="180" t="s">
        <v>289</v>
      </c>
      <c r="B16" s="181">
        <f>SUMIFS(Calkos!$F$7:$F$578,Calkos!$AK$7:$AK$578,11,Calkos!$AN$7:$AN$578,2018)</f>
        <v>0</v>
      </c>
      <c r="C16" s="182">
        <f>SUMIFS(Calkos!$Z$7:$Z$578,Calkos!$AK$7:$AK$578,11,Calkos!$AN$7:$AN$578,2018)</f>
        <v>0</v>
      </c>
    </row>
    <row r="17" spans="1:3" ht="15.75" thickBot="1" x14ac:dyDescent="0.3">
      <c r="A17" s="184" t="s">
        <v>290</v>
      </c>
      <c r="B17" s="185">
        <f>SUMIFS(Calkos!$F$7:$F$578,Calkos!$AK$7:$AK$578,12,Calkos!$AN$7:$AN$578,2018)</f>
        <v>0</v>
      </c>
      <c r="C17" s="186">
        <f>SUMIFS(Calkos!$Z$7:$Z$578,Calkos!$AK$7:$AK$578,12,Calkos!$AN$7:$AN$578,2018)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98" t="s">
        <v>291</v>
      </c>
      <c r="B20" s="498"/>
      <c r="C20" s="498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SUMIFS(Calkos!$F$7:$F$578,Calkos!$AK$7:$AK$578,1,Calkos!$AN$7:$AN$578,2019)</f>
        <v>0</v>
      </c>
      <c r="C22" s="179">
        <f>SUMIFS(Calkos!$Z$7:$Z$578,Calkos!$AK$7:$AK$578,1,Calkos!$AN$7:$AN$578,2019)</f>
        <v>0</v>
      </c>
    </row>
    <row r="23" spans="1:3" x14ac:dyDescent="0.25">
      <c r="A23" s="180" t="s">
        <v>280</v>
      </c>
      <c r="B23" s="181">
        <f>SUMIFS(Calkos!$F$7:$F$578,Calkos!$AK$7:$AK$578,2,Calkos!$AN$7:$AN$578,2019)</f>
        <v>0</v>
      </c>
      <c r="C23" s="182">
        <f>SUMIFS(Calkos!$Z$7:$Z$578,Calkos!$AK$7:$AK$578,2,Calkos!$AN$7:$AN$578,2019)</f>
        <v>0</v>
      </c>
    </row>
    <row r="24" spans="1:3" x14ac:dyDescent="0.25">
      <c r="A24" s="180" t="s">
        <v>281</v>
      </c>
      <c r="B24" s="181">
        <f>SUMIFS(Calkos!$F$7:$F$578,Calkos!$AK$7:$AK$578,3,Calkos!$AN$7:$AN$578,2019)</f>
        <v>0</v>
      </c>
      <c r="C24" s="182">
        <f>SUMIFS(Calkos!$Z$7:$Z$578,Calkos!$AK$7:$AK$578,3,Calkos!$AN$7:$AN$578,2019)</f>
        <v>0</v>
      </c>
    </row>
    <row r="25" spans="1:3" x14ac:dyDescent="0.25">
      <c r="A25" s="180" t="s">
        <v>282</v>
      </c>
      <c r="B25" s="181">
        <f>SUMIFS(Calkos!$F$7:$F$578,Calkos!$AK$7:$AK$578,4,Calkos!$AN$7:$AN$578,2019)</f>
        <v>0</v>
      </c>
      <c r="C25" s="182">
        <f>SUMIFS(Calkos!$Z$7:$Z$578,Calkos!$AK$7:$AK$578,4,Calkos!$AN$7:$AN$578,2019)</f>
        <v>0</v>
      </c>
    </row>
    <row r="26" spans="1:3" x14ac:dyDescent="0.25">
      <c r="A26" s="180" t="s">
        <v>283</v>
      </c>
      <c r="B26" s="181">
        <f>SUMIFS(Calkos!$F$7:$F$578,Calkos!$AK$7:$AK$578,5,Calkos!$AN$7:$AN$578,2019)</f>
        <v>0</v>
      </c>
      <c r="C26" s="182">
        <f>SUMIFS(Calkos!$Z$7:$Z$578,Calkos!$AK$7:$AK$578,5,Calkos!$AN$7:$AN$578,2019)</f>
        <v>0</v>
      </c>
    </row>
    <row r="27" spans="1:3" x14ac:dyDescent="0.25">
      <c r="A27" s="180" t="s">
        <v>284</v>
      </c>
      <c r="B27" s="181">
        <f>SUMIFS(Calkos!$F$7:$F$578,Calkos!$AK$7:$AK$578,6,Calkos!$AN$7:$AN$578,2019)</f>
        <v>0</v>
      </c>
      <c r="C27" s="182">
        <f>SUMIFS(Calkos!$Z$7:$Z$578,Calkos!$AK$7:$AK$578,6,Calkos!$AN$7:$AN$578,2019)</f>
        <v>0</v>
      </c>
    </row>
    <row r="28" spans="1:3" x14ac:dyDescent="0.25">
      <c r="A28" s="180" t="s">
        <v>285</v>
      </c>
      <c r="B28" s="181">
        <f>SUMIFS(Calkos!$F$7:$F$578,Calkos!$AK$7:$AK$578,7,Calkos!$AN$7:$AN$578,2019)</f>
        <v>0</v>
      </c>
      <c r="C28" s="182">
        <f>SUMIFS(Calkos!$Z$7:$Z$578,Calkos!$AK$7:$AK$578,7,Calkos!$AN$7:$AN$578,2019)</f>
        <v>0</v>
      </c>
    </row>
    <row r="29" spans="1:3" x14ac:dyDescent="0.25">
      <c r="A29" s="180" t="s">
        <v>286</v>
      </c>
      <c r="B29" s="181">
        <f>SUMIFS(Calkos!$F$7:$F$578,Calkos!$AK$7:$AK$578,8,Calkos!$AN$7:$AN$578,2019)</f>
        <v>0</v>
      </c>
      <c r="C29" s="182">
        <f>SUMIFS(Calkos!$Z$7:$Z$578,Calkos!$AK$7:$AK$578,8,Calkos!$AN$7:$AN$578,2019)</f>
        <v>0</v>
      </c>
    </row>
    <row r="30" spans="1:3" x14ac:dyDescent="0.25">
      <c r="A30" s="183" t="s">
        <v>287</v>
      </c>
      <c r="B30" s="181">
        <f>SUMIFS(Calkos!$F$7:$F$578,Calkos!$AK$7:$AK$578,9,Calkos!$AN$7:$AN$578,2019)</f>
        <v>0</v>
      </c>
      <c r="C30" s="182">
        <f>SUMIFS(Calkos!$Z$7:$Z$578,Calkos!$AK$7:$AK$578,9,Calkos!$AN$7:$AN$578,2019)</f>
        <v>0</v>
      </c>
    </row>
    <row r="31" spans="1:3" x14ac:dyDescent="0.25">
      <c r="A31" s="180" t="s">
        <v>288</v>
      </c>
      <c r="B31" s="181">
        <f>SUMIFS(Calkos!$F$7:$F$578,Calkos!$AK$7:$AK$578,10,Calkos!$AN$7:$AN$578,2019)</f>
        <v>0</v>
      </c>
      <c r="C31" s="182">
        <f>SUMIFS(Calkos!$Z$7:$Z$578,Calkos!$AK$7:$AK$578,10,Calkos!$AN$7:$AN$578,2019)</f>
        <v>0</v>
      </c>
    </row>
    <row r="32" spans="1:3" x14ac:dyDescent="0.25">
      <c r="A32" s="180" t="s">
        <v>289</v>
      </c>
      <c r="B32" s="181">
        <f>SUMIFS(Calkos!$F$7:$F$578,Calkos!$AK$7:$AK$578,11,Calkos!$AN$7:$AN$578,2019)</f>
        <v>0</v>
      </c>
      <c r="C32" s="182">
        <f>SUMIFS(Calkos!$Z$7:$Z$578,Calkos!$AK$7:$AK$578,11,Calkos!$AN$7:$AN$578,2019)</f>
        <v>0</v>
      </c>
    </row>
    <row r="33" spans="1:3" ht="15.75" thickBot="1" x14ac:dyDescent="0.3">
      <c r="A33" s="184" t="s">
        <v>290</v>
      </c>
      <c r="B33" s="185">
        <f>SUMIFS(Calkos!$F$7:$F$578,Calkos!$AK$7:$AK$578,12,Calkos!$AN$7:$AN$578,2019)</f>
        <v>0</v>
      </c>
      <c r="C33" s="186">
        <f>SUMIFS(Calkos!$Z$7:$Z$578,Calkos!$AK$7:$AK$578,12,Calkos!$AN$7:$AN$578,2019)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COUNTIF(Calkos!AC7:AC578,"&gt;0")</f>
        <v>222</v>
      </c>
      <c r="B37">
        <f>COUNTIF(Calkos!AK7:AK578,"&gt;0")</f>
        <v>0</v>
      </c>
      <c r="C37">
        <f>COUNTIF(Calkos!AN7:AN578,"&gt;0")</f>
        <v>560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2026-03-27T13:32:41Z</cp:lastPrinted>
  <dcterms:created xsi:type="dcterms:W3CDTF">2013-12-07T16:05:07Z</dcterms:created>
  <dcterms:modified xsi:type="dcterms:W3CDTF">2026-04-08T09:31:50Z</dcterms:modified>
</cp:coreProperties>
</file>