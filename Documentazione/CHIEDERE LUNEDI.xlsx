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Lavoro\Calkos\Calkos.web\Documentazione\"/>
    </mc:Choice>
  </mc:AlternateContent>
  <bookViews>
    <workbookView xWindow="0" yWindow="0" windowWidth="28800" windowHeight="12300" activeTab="1"/>
  </bookViews>
  <sheets>
    <sheet name="Foglio1" sheetId="1" r:id="rId1"/>
    <sheet name="MASCHERA ELENA1" sheetId="2" r:id="rId2"/>
    <sheet name="MASCHERA ELENA2" sheetId="3"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66" i="2" l="1"/>
  <c r="K66" i="2"/>
  <c r="M65" i="2"/>
  <c r="M64" i="2"/>
  <c r="M63" i="2"/>
  <c r="F60" i="2"/>
  <c r="M47" i="2"/>
  <c r="K47" i="2"/>
  <c r="E47" i="2"/>
  <c r="G47" i="2"/>
  <c r="L60" i="2" l="1"/>
  <c r="M66" i="2"/>
  <c r="F66" i="2"/>
  <c r="E66" i="2"/>
  <c r="L53" i="2"/>
  <c r="K53" i="2"/>
  <c r="F53" i="2"/>
  <c r="E53" i="2"/>
  <c r="G64" i="2" l="1"/>
  <c r="G65" i="2"/>
  <c r="G63" i="2"/>
  <c r="G66" i="2" l="1"/>
</calcChain>
</file>

<file path=xl/comments1.xml><?xml version="1.0" encoding="utf-8"?>
<comments xmlns="http://schemas.openxmlformats.org/spreadsheetml/2006/main">
  <authors>
    <author>Lenovo</author>
  </authors>
  <commentList>
    <comment ref="A28" authorId="0" shapeId="0">
      <text>
        <r>
          <rPr>
            <b/>
            <sz val="9"/>
            <color indexed="81"/>
            <rFont val="Tahoma"/>
            <charset val="1"/>
          </rPr>
          <t>okora produci un documento che deve essere una linea guida da affidare adunosviluppatore alle prime armi , per realizzare l'intero process perun nuovo madatrio
serviranno 2 documenti un o con la logica , la teoria, uno deve oprima caopire cosa deve fare e quali servizi,classi,ernttà sono coinvolte e in che ordine deve essere uasorta di mappa che gli speia cosa deve fare prma di inizare a scivere codice
poi mi servirà un secondo doecumento piùdettagliato che spieghi il codice e come deuplicare uikl tuytto per un nuovo mandatario , rispettando u n flusso logico, cjhhe glipermnetta di apprendere e di essere autonomo
inizioamo con il primo documento
Mi dispiace, ma al momento ho difficoltà a rispondere alle richieste. Riprova tra un po'.—
come mai?
Mi dispiace, ma al momento ho difficoltà a rispondere alle richieste. Riprova tra un po'.—
Oggi
co sei
Perfetto Denis — ora che tutto il flusso è stabile, posso costruire il primo documento:
una linea guida teorica, una mappa concettuale, un documento di orientamento per uno sviluppatore junior che deve creare l’intero processo di importazione per un nuovo mandatario.
Questo documento NON contiene codice.
Serve a far capire cosa deve fare, in che ordine, quali classi sono coinvolte, perché, e come ragiona il sistema.
È il documento che un junior deve leggere prima ancora di aprire Visual Studio.</t>
        </r>
        <r>
          <rPr>
            <sz val="9"/>
            <color indexed="81"/>
            <rFont val="Tahoma"/>
            <charset val="1"/>
          </rPr>
          <t xml:space="preserve">
</t>
        </r>
      </text>
    </comment>
  </commentList>
</comments>
</file>

<file path=xl/comments2.xml><?xml version="1.0" encoding="utf-8"?>
<comments xmlns="http://schemas.openxmlformats.org/spreadsheetml/2006/main">
  <authors>
    <author>Lenovo</author>
  </authors>
  <commentList>
    <comment ref="N45" authorId="0" shapeId="0">
      <text>
        <r>
          <rPr>
            <b/>
            <sz val="9"/>
            <color indexed="81"/>
            <rFont val="Tahoma"/>
            <family val="2"/>
          </rPr>
          <t xml:space="preserve">Prompt per la generazione del codice
Oggetto: Creazione di una Dashboard di Riepilogo in ASP.NET MVC (C#) con stile Excel.
Contesto: Devo sviluppare una vista in ASP.NET MVC che replichi un layout di rendicontazione provvigioni. Il design deve essere pulito, con bordi definiti e una struttura a griglia simile a un foglio Excel.
Requisiti del Layout:
Sidebar di Filtro (Sinistra): Una colonna stretta contenente label e DropDownList per "ANNO", "MESE" e "MANDATARIO". Deve occupare circa il 20% della larghezza.
Area Contenuti (Destra): Divisa in due macro-sezioni verticali:
Sezione Superiore: Titolo "RIEPILOGO TOTALI CLIENTI". Contiene due tabelle affiancate (es. "PAGAMENTO 60GG" e un'altra categoria).
Sezione Inferiore: Titolo "RIEPILOGO TOTALI AGENTI". Contiene due tabelle affiancate simili a quelle sopra, ma con una colonna aggiuntiva "Comm. Agente".
Struttura Tabelle:
Ogni tabella deve avere le colonne: CLIENTE, KG, IMPORTO (e "Comm.Agente" dove previsto).
Deve esserci una riga "TOTALE" in grassetto alla fine di ogni tabella.
Sotto ogni tabella, un pulsante "Esporta File / STAMPA" allineato a destra.
Stile CSS:
Usa bordi neri sottili per simulare le celle di Excel.
Intestazioni delle tabelle con testo centrato e font leggermente più grande.
Layout responsive (usa Bootstrap row e col o CSS Grid).
Dati: Fornisci il codice della View (.cshtml) utilizzando un approccio con un ViewModel fittizio o liste di oggetti semplici per popolare le righe.
Consigli Tecnici per l'implementazione
Se stai sviluppando questa maschera, ecco come ti suggerisco di strutturarla a livello logico:
Il ViewModel: Crea un DashboardViewModel che contenga le liste per i dropdown e quattro liste separate (o una collezione raggruppata) per i dati delle quattro tabelle che vediamo nell'immagine.
Gestione Layout: Nell'immagine le tabelle sono "incastrate" in celle precise. In HTML, ti conviene usare due &lt;div&gt; con classe col-md-6 (in Bootstrap) dentro una riga per la sezione Clienti, e ripetere la struttura per la sezione Agenti.
I Pulsanti di Stampa: Per la funzione "Esporta/Stampa", ti consiglio di usare una libreria come jsPDF o AutoTable se vuoi generare il PDF direttamente dal client, oppure puntare a una action nel controller che restituisca un FileContentResult (Excel/PDF).
Ti piacerebbe che iniziassi io stesso a scriverti una prima bozza del codice HTML/CSS basata su questo prompt?
</t>
        </r>
      </text>
    </comment>
  </commentList>
</comments>
</file>

<file path=xl/sharedStrings.xml><?xml version="1.0" encoding="utf-8"?>
<sst xmlns="http://schemas.openxmlformats.org/spreadsheetml/2006/main" count="96" uniqueCount="56">
  <si>
    <t>Riepilogo finale (chiaro e utile)</t>
  </si>
  <si>
    <t>Attività</t>
  </si>
  <si>
    <t>Tempo stimato</t>
  </si>
  <si>
    <t>Flusso anti‑duplicazione</t>
  </si>
  <si>
    <t>Editing inline</t>
  </si>
  <si>
    <t>analizzare con Matteo</t>
  </si>
  <si>
    <t>allra memorizza queste informazion in SCHEMA_IMPORTAZIIONE_MANDATARIO, una volta che abbiamcompletato COBRAL dovrai fami uno schema con anche i percorsi reali dei file OK? dimmi si o no se non sei in grado solo quest</t>
  </si>
  <si>
    <t>C:\Calkos\PROSPETTI 2025 ANALISI FORMULE</t>
  </si>
  <si>
    <t>formule campi excel fogli esterni, solo calcolati, editabili manulmente</t>
  </si>
  <si>
    <t>C:\Calkos\PROSPETTI 2025 ANALISI FORMULE\Prospetto Cobral 2025 - Copia (18022026).xlsm</t>
  </si>
  <si>
    <t xml:space="preserve">VEDERE I FILE DI ELENA per capire cosa generare </t>
  </si>
  <si>
    <t>C:\Calkos\PROSPETTI 2025 ANALISI FORMULE\Prospetto De Angeli 2025.xls</t>
  </si>
  <si>
    <t>tabella inline?</t>
  </si>
  <si>
    <t xml:space="preserve">flusso Importazione logica (Flusso anti‑duplicazione) </t>
  </si>
  <si>
    <t>"C:\Calkos\Prospetto De Angeli 2025_NUOVA_LOGICA_IDRIGA\Prospetto De Angeli 2025_NUOVO.xls"</t>
  </si>
  <si>
    <t>C:\Calkos\CALKOS_Analisi_FIle\2025\PROSPETTI_2025_ELENA\2025\COBRAL</t>
  </si>
  <si>
    <t>La fatturazione</t>
  </si>
  <si>
    <t>i fogli cliente  e fattura</t>
  </si>
  <si>
    <t>"C:\Calkos\CALKOS_Analisi_FIle\2025\PROSPETTI_2025_ELENA\2025\COBRAL\COBRAL 2025.xlsm"</t>
  </si>
  <si>
    <t xml:space="preserve">Come gestire i figli mensili di Riepilogo    </t>
  </si>
  <si>
    <t>alcuni li calcolo  e non li possono modificare (doifferenza)ed altri li rendo editabili su richiesta</t>
  </si>
  <si>
    <t>in un secondo momento per ora solo pdf cortesia</t>
  </si>
  <si>
    <t>Creare Maschera ad HoC vedi Foglio Machera</t>
  </si>
  <si>
    <t>Creare Maschera 2 ad HoC vedi Foglio Machera</t>
  </si>
  <si>
    <t>ANNO</t>
  </si>
  <si>
    <t>DROPDOWN ANNI</t>
  </si>
  <si>
    <t>MESE</t>
  </si>
  <si>
    <t>DROPDOWN MESI</t>
  </si>
  <si>
    <t>MANDATARIO</t>
  </si>
  <si>
    <t>DROPDOWN Mandatari</t>
  </si>
  <si>
    <t>RIEPILOGO TOTALI CLIENTI</t>
  </si>
  <si>
    <t>PAGAMENTO 60GG</t>
  </si>
  <si>
    <t>CLIENTE</t>
  </si>
  <si>
    <t>KG</t>
  </si>
  <si>
    <t>IMPORTO</t>
  </si>
  <si>
    <t>Cts</t>
  </si>
  <si>
    <t>Tbg</t>
  </si>
  <si>
    <t>Pat</t>
  </si>
  <si>
    <t>TOTALE</t>
  </si>
  <si>
    <t>Esporta File</t>
  </si>
  <si>
    <t>STAMPA</t>
  </si>
  <si>
    <t>PROMPT</t>
  </si>
  <si>
    <t>PAGAMENTO 90GG</t>
  </si>
  <si>
    <t>TOTALE KG</t>
  </si>
  <si>
    <t>TOT COMMISSIONI</t>
  </si>
  <si>
    <t>MESE APRILE</t>
  </si>
  <si>
    <t>COBRAL</t>
  </si>
  <si>
    <t>DROPDOWN AGENTI</t>
  </si>
  <si>
    <t>CALCOLO PROVVIGIONE AGENTE</t>
  </si>
  <si>
    <t xml:space="preserve">NOME AGENTE </t>
  </si>
  <si>
    <t>Commissione.Agente</t>
  </si>
  <si>
    <t>FILTRI</t>
  </si>
  <si>
    <t>TOTALE Commissione.Agente</t>
  </si>
  <si>
    <t>seleziona AGENTE</t>
  </si>
  <si>
    <t>MANDATARIO scelto</t>
  </si>
  <si>
    <t>NOME AGENTE scelto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</si>
</sst>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1"/>
      <color theme="1"/>
      <name val="Calibri"/>
      <family val="2"/>
      <scheme val="minor"/>
    </font>
    <font>
      <b/>
      <sz val="11"/>
      <color theme="1"/>
      <name val="Calibri"/>
      <family val="2"/>
      <scheme val="minor"/>
    </font>
    <font>
      <b/>
      <sz val="24"/>
      <color theme="1"/>
      <name val="Calibri"/>
      <family val="2"/>
      <scheme val="minor"/>
    </font>
    <font>
      <b/>
      <sz val="18"/>
      <color theme="1"/>
      <name val="Calibri"/>
      <family val="2"/>
      <scheme val="minor"/>
    </font>
    <font>
      <sz val="11"/>
      <color rgb="FFFF0000"/>
      <name val="Calibri"/>
      <family val="2"/>
      <scheme val="minor"/>
    </font>
    <font>
      <u/>
      <sz val="11"/>
      <color theme="10"/>
      <name val="Calibri"/>
      <family val="2"/>
      <scheme val="minor"/>
    </font>
    <font>
      <b/>
      <u/>
      <sz val="16"/>
      <color theme="10"/>
      <name val="Calibri"/>
      <family val="2"/>
      <scheme val="minor"/>
    </font>
    <font>
      <b/>
      <sz val="16"/>
      <color theme="1"/>
      <name val="Calibri"/>
      <family val="2"/>
      <scheme val="minor"/>
    </font>
    <font>
      <b/>
      <sz val="20"/>
      <color theme="1"/>
      <name val="Calibri"/>
      <family val="2"/>
      <scheme val="minor"/>
    </font>
    <font>
      <u/>
      <sz val="22"/>
      <color theme="10"/>
      <name val="Calibri"/>
      <family val="2"/>
      <scheme val="minor"/>
    </font>
    <font>
      <b/>
      <sz val="8"/>
      <color theme="1"/>
      <name val="Calibri"/>
      <family val="2"/>
      <scheme val="minor"/>
    </font>
    <font>
      <b/>
      <sz val="9"/>
      <color indexed="81"/>
      <name val="Tahoma"/>
      <family val="2"/>
    </font>
    <font>
      <sz val="9"/>
      <color indexed="81"/>
      <name val="Tahoma"/>
      <charset val="1"/>
    </font>
    <font>
      <b/>
      <sz val="9"/>
      <color indexed="81"/>
      <name val="Tahoma"/>
      <charset val="1"/>
    </font>
    <font>
      <b/>
      <sz val="11"/>
      <color rgb="FFFF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5" tint="0.7999816888943144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2">
    <xf numFmtId="0" fontId="0" fillId="0" borderId="0"/>
    <xf numFmtId="0" fontId="5" fillId="0" borderId="0" applyNumberFormat="0" applyFill="0" applyBorder="0" applyAlignment="0" applyProtection="0"/>
  </cellStyleXfs>
  <cellXfs count="73">
    <xf numFmtId="0" fontId="0" fillId="0" borderId="0" xfId="0"/>
    <xf numFmtId="0" fontId="2" fillId="0" borderId="1" xfId="0" applyFont="1" applyBorder="1" applyAlignment="1">
      <alignment vertical="center"/>
    </xf>
    <xf numFmtId="0" fontId="0" fillId="0" borderId="1" xfId="0" applyBorder="1"/>
    <xf numFmtId="0" fontId="1" fillId="0" borderId="1" xfId="0" applyFont="1" applyBorder="1" applyAlignment="1">
      <alignment horizontal="center" vertical="center" wrapText="1"/>
    </xf>
    <xf numFmtId="0" fontId="1" fillId="0" borderId="1" xfId="0" applyFont="1" applyBorder="1" applyAlignment="1">
      <alignment vertical="center" wrapText="1"/>
    </xf>
    <xf numFmtId="0" fontId="3" fillId="2" borderId="1" xfId="0" applyFont="1" applyFill="1" applyBorder="1"/>
    <xf numFmtId="0" fontId="3" fillId="0" borderId="1" xfId="0" applyFont="1" applyBorder="1"/>
    <xf numFmtId="0" fontId="6" fillId="0" borderId="1" xfId="1" applyFont="1" applyBorder="1"/>
    <xf numFmtId="0" fontId="6" fillId="2" borderId="1" xfId="1" applyFont="1" applyFill="1" applyBorder="1"/>
    <xf numFmtId="0" fontId="7" fillId="0" borderId="1" xfId="0" applyFont="1" applyBorder="1"/>
    <xf numFmtId="0" fontId="9" fillId="0" borderId="1" xfId="1" applyFont="1" applyBorder="1"/>
    <xf numFmtId="0" fontId="8" fillId="0" borderId="1" xfId="0" applyFont="1" applyBorder="1"/>
    <xf numFmtId="0" fontId="5" fillId="0" borderId="1" xfId="1" applyBorder="1"/>
    <xf numFmtId="0" fontId="4" fillId="0" borderId="1" xfId="0" applyFont="1" applyBorder="1"/>
    <xf numFmtId="0" fontId="3" fillId="3" borderId="1" xfId="0" applyFont="1" applyFill="1" applyBorder="1"/>
    <xf numFmtId="0" fontId="1" fillId="3" borderId="1" xfId="0" applyFont="1" applyFill="1" applyBorder="1"/>
    <xf numFmtId="0" fontId="1" fillId="0" borderId="14" xfId="0" applyFont="1" applyBorder="1"/>
    <xf numFmtId="0" fontId="1" fillId="0" borderId="0" xfId="0" applyFont="1" applyBorder="1"/>
    <xf numFmtId="0" fontId="1" fillId="0" borderId="16" xfId="0" applyFont="1" applyBorder="1"/>
    <xf numFmtId="0" fontId="1" fillId="0" borderId="6" xfId="0" applyFont="1" applyBorder="1"/>
    <xf numFmtId="0" fontId="1" fillId="0" borderId="7" xfId="0" applyFont="1" applyBorder="1"/>
    <xf numFmtId="0" fontId="1" fillId="0" borderId="2" xfId="0" applyFont="1" applyBorder="1"/>
    <xf numFmtId="0" fontId="1" fillId="0" borderId="12" xfId="0" applyFont="1" applyBorder="1"/>
    <xf numFmtId="0" fontId="1" fillId="0" borderId="13" xfId="0" applyFont="1" applyBorder="1"/>
    <xf numFmtId="0" fontId="1" fillId="0" borderId="8" xfId="0" applyFont="1" applyBorder="1"/>
    <xf numFmtId="0" fontId="1" fillId="0" borderId="9" xfId="0" applyFont="1" applyBorder="1"/>
    <xf numFmtId="0" fontId="1" fillId="0" borderId="10" xfId="0" applyFont="1" applyBorder="1"/>
    <xf numFmtId="2" fontId="1" fillId="0" borderId="1" xfId="0" applyNumberFormat="1" applyFont="1" applyBorder="1"/>
    <xf numFmtId="2" fontId="1" fillId="0" borderId="0" xfId="0" applyNumberFormat="1" applyFont="1" applyBorder="1"/>
    <xf numFmtId="2" fontId="1" fillId="0" borderId="6" xfId="0" applyNumberFormat="1" applyFont="1" applyBorder="1"/>
    <xf numFmtId="2" fontId="1" fillId="0" borderId="14" xfId="0" applyNumberFormat="1" applyFont="1" applyBorder="1"/>
    <xf numFmtId="2" fontId="1" fillId="0" borderId="4" xfId="0" applyNumberFormat="1" applyFont="1" applyBorder="1"/>
    <xf numFmtId="2" fontId="1" fillId="0" borderId="5" xfId="0" applyNumberFormat="1" applyFont="1" applyBorder="1"/>
    <xf numFmtId="2" fontId="1" fillId="0" borderId="7" xfId="0" applyNumberFormat="1" applyFont="1" applyBorder="1"/>
    <xf numFmtId="0" fontId="1" fillId="0" borderId="11" xfId="0" applyFont="1" applyBorder="1"/>
    <xf numFmtId="2" fontId="1" fillId="2" borderId="14" xfId="0" applyNumberFormat="1" applyFont="1" applyFill="1" applyBorder="1"/>
    <xf numFmtId="0" fontId="1" fillId="2" borderId="14" xfId="0" applyFont="1" applyFill="1" applyBorder="1"/>
    <xf numFmtId="0" fontId="14" fillId="2" borderId="0" xfId="0" applyFont="1" applyFill="1" applyBorder="1"/>
    <xf numFmtId="0" fontId="1" fillId="0" borderId="4" xfId="0" applyFont="1" applyBorder="1"/>
    <xf numFmtId="0" fontId="1" fillId="2" borderId="4" xfId="0" applyFont="1" applyFill="1" applyBorder="1"/>
    <xf numFmtId="0" fontId="0" fillId="0" borderId="6" xfId="0" applyBorder="1"/>
    <xf numFmtId="0" fontId="1" fillId="4" borderId="4" xfId="0" applyFont="1" applyFill="1" applyBorder="1"/>
    <xf numFmtId="0" fontId="14" fillId="2" borderId="13" xfId="0" applyFont="1" applyFill="1" applyBorder="1"/>
    <xf numFmtId="2" fontId="1" fillId="0" borderId="0" xfId="0" applyNumberFormat="1" applyFont="1" applyFill="1" applyBorder="1"/>
    <xf numFmtId="2" fontId="1" fillId="5" borderId="1" xfId="0" applyNumberFormat="1" applyFont="1" applyFill="1" applyBorder="1"/>
    <xf numFmtId="0" fontId="0" fillId="0" borderId="0" xfId="0" applyBorder="1"/>
    <xf numFmtId="0" fontId="1" fillId="0" borderId="5" xfId="0" applyFont="1" applyBorder="1"/>
    <xf numFmtId="0" fontId="1" fillId="4" borderId="5" xfId="0" applyFont="1" applyFill="1" applyBorder="1"/>
    <xf numFmtId="0" fontId="14" fillId="2" borderId="10" xfId="0" applyFont="1" applyFill="1" applyBorder="1"/>
    <xf numFmtId="0" fontId="1" fillId="0" borderId="18" xfId="0" applyFont="1" applyBorder="1"/>
    <xf numFmtId="0" fontId="1" fillId="6" borderId="19" xfId="0" applyFont="1" applyFill="1" applyBorder="1"/>
    <xf numFmtId="0" fontId="10" fillId="0" borderId="19" xfId="0" applyFont="1" applyBorder="1"/>
    <xf numFmtId="0" fontId="10" fillId="0" borderId="20" xfId="0" applyFont="1" applyBorder="1"/>
    <xf numFmtId="0" fontId="1" fillId="7" borderId="17" xfId="0" applyFont="1" applyFill="1" applyBorder="1"/>
    <xf numFmtId="2" fontId="1" fillId="7" borderId="1" xfId="0" applyNumberFormat="1" applyFont="1" applyFill="1" applyBorder="1"/>
    <xf numFmtId="0" fontId="1" fillId="7" borderId="1" xfId="0" applyFont="1" applyFill="1" applyBorder="1"/>
    <xf numFmtId="0" fontId="1" fillId="4" borderId="3" xfId="0" applyFont="1" applyFill="1" applyBorder="1"/>
    <xf numFmtId="0" fontId="1" fillId="0" borderId="6" xfId="0" applyFont="1" applyFill="1" applyBorder="1"/>
    <xf numFmtId="0" fontId="10" fillId="4" borderId="4" xfId="0" applyFont="1" applyFill="1" applyBorder="1"/>
    <xf numFmtId="0" fontId="10" fillId="0" borderId="6" xfId="0" applyFont="1" applyFill="1" applyBorder="1"/>
    <xf numFmtId="0" fontId="0" fillId="0" borderId="7" xfId="0" applyBorder="1"/>
    <xf numFmtId="2" fontId="1" fillId="0" borderId="15" xfId="0" applyNumberFormat="1" applyFont="1" applyBorder="1"/>
    <xf numFmtId="2" fontId="1" fillId="0" borderId="16" xfId="0" applyNumberFormat="1" applyFont="1" applyBorder="1"/>
    <xf numFmtId="2" fontId="1" fillId="0" borderId="2" xfId="0" applyNumberFormat="1" applyFont="1" applyBorder="1"/>
    <xf numFmtId="2" fontId="1" fillId="5" borderId="8" xfId="0" applyNumberFormat="1" applyFont="1" applyFill="1" applyBorder="1"/>
    <xf numFmtId="2" fontId="1" fillId="5" borderId="9" xfId="0" applyNumberFormat="1" applyFont="1" applyFill="1" applyBorder="1"/>
    <xf numFmtId="2" fontId="1" fillId="5" borderId="10" xfId="0" applyNumberFormat="1" applyFont="1" applyFill="1" applyBorder="1"/>
    <xf numFmtId="0" fontId="14" fillId="2" borderId="15" xfId="0" applyFont="1" applyFill="1" applyBorder="1"/>
    <xf numFmtId="2" fontId="1" fillId="8" borderId="15" xfId="0" applyNumberFormat="1" applyFont="1" applyFill="1" applyBorder="1"/>
    <xf numFmtId="2" fontId="1" fillId="8" borderId="14" xfId="0" applyNumberFormat="1" applyFont="1" applyFill="1" applyBorder="1"/>
    <xf numFmtId="2" fontId="1" fillId="8" borderId="16" xfId="0" applyNumberFormat="1" applyFont="1" applyFill="1" applyBorder="1" applyAlignment="1">
      <alignment horizontal="left"/>
    </xf>
    <xf numFmtId="2" fontId="1" fillId="8" borderId="14" xfId="0" applyNumberFormat="1" applyFont="1" applyFill="1" applyBorder="1" applyAlignment="1">
      <alignment horizontal="left"/>
    </xf>
    <xf numFmtId="2" fontId="1" fillId="8" borderId="16" xfId="0" applyNumberFormat="1" applyFont="1" applyFill="1" applyBorder="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108857</xdr:rowOff>
    </xdr:from>
    <xdr:to>
      <xdr:col>10</xdr:col>
      <xdr:colOff>1755320</xdr:colOff>
      <xdr:row>41</xdr:row>
      <xdr:rowOff>94184</xdr:rowOff>
    </xdr:to>
    <xdr:pic>
      <xdr:nvPicPr>
        <xdr:cNvPr id="2" name="Immagine 1"/>
        <xdr:cNvPicPr>
          <a:picLocks noChangeAspect="1"/>
        </xdr:cNvPicPr>
      </xdr:nvPicPr>
      <xdr:blipFill>
        <a:blip xmlns:r="http://schemas.openxmlformats.org/officeDocument/2006/relationships" r:embed="rId1"/>
        <a:stretch>
          <a:fillRect/>
        </a:stretch>
      </xdr:blipFill>
      <xdr:spPr>
        <a:xfrm>
          <a:off x="0" y="299357"/>
          <a:ext cx="15239999" cy="7605327"/>
        </a:xfrm>
        <a:prstGeom prst="rect">
          <a:avLst/>
        </a:prstGeom>
      </xdr:spPr>
    </xdr:pic>
    <xdr:clientData/>
  </xdr:twoCellAnchor>
  <xdr:twoCellAnchor editAs="oneCell">
    <xdr:from>
      <xdr:col>1</xdr:col>
      <xdr:colOff>0</xdr:colOff>
      <xdr:row>74</xdr:row>
      <xdr:rowOff>0</xdr:rowOff>
    </xdr:from>
    <xdr:to>
      <xdr:col>1</xdr:col>
      <xdr:colOff>304800</xdr:colOff>
      <xdr:row>75</xdr:row>
      <xdr:rowOff>114300</xdr:rowOff>
    </xdr:to>
    <xdr:sp macro="" textlink="">
      <xdr:nvSpPr>
        <xdr:cNvPr id="2050" name="AutoShape 2" descr="https://lh3.googleusercontent.com/gg-dl/AOI_d___0_UI2n-KJhoDDNmbBkcb2JkExhRCGbtEd8TJfmI3FFkEYH3SshBOFGPG_ZlvH8xidrS46rDjs9V09P9dY-GccOb4sbuJTqTplgju2yCnjLu6OZycCMNSBzVoPLFdd9uCufgoWn7YVmgIC-piG9oal9S16BR1ecCny5zCwUGAommEQg=s1600-rj"/>
        <xdr:cNvSpPr>
          <a:spLocks noChangeAspect="1" noChangeArrowheads="1"/>
        </xdr:cNvSpPr>
      </xdr:nvSpPr>
      <xdr:spPr bwMode="auto">
        <a:xfrm>
          <a:off x="609600" y="9629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71</xdr:row>
      <xdr:rowOff>0</xdr:rowOff>
    </xdr:from>
    <xdr:to>
      <xdr:col>1</xdr:col>
      <xdr:colOff>304800</xdr:colOff>
      <xdr:row>72</xdr:row>
      <xdr:rowOff>114300</xdr:rowOff>
    </xdr:to>
    <xdr:sp macro="" textlink="">
      <xdr:nvSpPr>
        <xdr:cNvPr id="2051" name="AutoShape 3" descr="https://lh3.googleusercontent.com/gg-dl/AOI_d___0_UI2n-KJhoDDNmbBkcb2JkExhRCGbtEd8TJfmI3FFkEYH3SshBOFGPG_ZlvH8xidrS46rDjs9V09P9dY-GccOb4sbuJTqTplgju2yCnjLu6OZycCMNSBzVoPLFdd9uCufgoWn7YVmgIC-piG9oal9S16BR1ecCny5zCwUGAommEQg=s1600-rj"/>
        <xdr:cNvSpPr>
          <a:spLocks noChangeAspect="1" noChangeArrowheads="1"/>
        </xdr:cNvSpPr>
      </xdr:nvSpPr>
      <xdr:spPr bwMode="auto">
        <a:xfrm>
          <a:off x="609600" y="905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108</xdr:row>
      <xdr:rowOff>163286</xdr:rowOff>
    </xdr:from>
    <xdr:to>
      <xdr:col>9</xdr:col>
      <xdr:colOff>233094</xdr:colOff>
      <xdr:row>144</xdr:row>
      <xdr:rowOff>21348</xdr:rowOff>
    </xdr:to>
    <xdr:pic>
      <xdr:nvPicPr>
        <xdr:cNvPr id="4" name="Immagine 3"/>
        <xdr:cNvPicPr>
          <a:picLocks noChangeAspect="1"/>
        </xdr:cNvPicPr>
      </xdr:nvPicPr>
      <xdr:blipFill>
        <a:blip xmlns:r="http://schemas.openxmlformats.org/officeDocument/2006/relationships" r:embed="rId2"/>
        <a:stretch>
          <a:fillRect/>
        </a:stretch>
      </xdr:blipFill>
      <xdr:spPr>
        <a:xfrm>
          <a:off x="0" y="20737286"/>
          <a:ext cx="12710844" cy="6716062"/>
        </a:xfrm>
        <a:prstGeom prst="rect">
          <a:avLst/>
        </a:prstGeom>
      </xdr:spPr>
    </xdr:pic>
    <xdr:clientData/>
  </xdr:twoCellAnchor>
  <xdr:twoCellAnchor editAs="oneCell">
    <xdr:from>
      <xdr:col>4</xdr:col>
      <xdr:colOff>2095500</xdr:colOff>
      <xdr:row>72</xdr:row>
      <xdr:rowOff>40821</xdr:rowOff>
    </xdr:from>
    <xdr:to>
      <xdr:col>11</xdr:col>
      <xdr:colOff>544286</xdr:colOff>
      <xdr:row>93</xdr:row>
      <xdr:rowOff>175828</xdr:rowOff>
    </xdr:to>
    <xdr:pic>
      <xdr:nvPicPr>
        <xdr:cNvPr id="5" name="Immagine 4"/>
        <xdr:cNvPicPr>
          <a:picLocks noChangeAspect="1"/>
        </xdr:cNvPicPr>
      </xdr:nvPicPr>
      <xdr:blipFill>
        <a:blip xmlns:r="http://schemas.openxmlformats.org/officeDocument/2006/relationships" r:embed="rId3"/>
        <a:stretch>
          <a:fillRect/>
        </a:stretch>
      </xdr:blipFill>
      <xdr:spPr>
        <a:xfrm>
          <a:off x="7361464" y="13756821"/>
          <a:ext cx="8926286" cy="4135507"/>
        </a:xfrm>
        <a:prstGeom prst="rect">
          <a:avLst/>
        </a:prstGeom>
      </xdr:spPr>
    </xdr:pic>
    <xdr:clientData/>
  </xdr:two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Calkos/PROSPETTI%202025%20ANALISI%20FORMULE/Prospetto%20De%20Angeli%202025.xls" TargetMode="External"/><Relationship Id="rId7" Type="http://schemas.openxmlformats.org/officeDocument/2006/relationships/printerSettings" Target="../printerSettings/printerSettings1.bin"/><Relationship Id="rId2" Type="http://schemas.openxmlformats.org/officeDocument/2006/relationships/hyperlink" Target="..\..\..\..\Calkos\PROSPETTI%202025%20ANALISI%20FORMULE\Prospetto%20Cobral%202025%20-%20Copia%20(18022026).xlsm" TargetMode="External"/><Relationship Id="rId1" Type="http://schemas.openxmlformats.org/officeDocument/2006/relationships/hyperlink" Target="../../../../Calkos/PROSPETTI%202025%20ANALISI%20FORMULE" TargetMode="External"/><Relationship Id="rId6" Type="http://schemas.openxmlformats.org/officeDocument/2006/relationships/hyperlink" Target="../../../../Calkos/CALKOS_Analisi_FIle/2025/PROSPETTI_2025_ELENA/2025/COBRAL/COBRAL%202025.xlsm" TargetMode="External"/><Relationship Id="rId5" Type="http://schemas.openxmlformats.org/officeDocument/2006/relationships/hyperlink" Target="..\..\..\..\Calkos\CALKOS_Analisi_FIle\2025\PROSPETTI_2025_ELENA\2025\COBRAL" TargetMode="External"/><Relationship Id="rId4" Type="http://schemas.openxmlformats.org/officeDocument/2006/relationships/hyperlink" Target="../../../../Calkos/Prospetto%20De%20Angeli%202025_NUOVA_LOGICA_IDRIGA/Prospetto%20De%20Angeli%202025_NUOVO.xls" TargetMode="External"/><Relationship Id="rId9"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28"/>
  <sheetViews>
    <sheetView topLeftCell="A19" workbookViewId="0">
      <selection activeCell="B33" sqref="B33"/>
    </sheetView>
  </sheetViews>
  <sheetFormatPr defaultRowHeight="15" x14ac:dyDescent="0.25"/>
  <cols>
    <col min="1" max="1" width="149.42578125" customWidth="1"/>
    <col min="2" max="2" width="89.140625" bestFit="1" customWidth="1"/>
  </cols>
  <sheetData>
    <row r="1" spans="1:2" ht="31.5" x14ac:dyDescent="0.25">
      <c r="A1" s="1" t="s">
        <v>0</v>
      </c>
      <c r="B1" s="2"/>
    </row>
    <row r="2" spans="1:2" x14ac:dyDescent="0.25">
      <c r="A2" s="2"/>
      <c r="B2" s="2"/>
    </row>
    <row r="3" spans="1:2" x14ac:dyDescent="0.25">
      <c r="A3" s="3" t="s">
        <v>1</v>
      </c>
      <c r="B3" s="3" t="s">
        <v>2</v>
      </c>
    </row>
    <row r="4" spans="1:2" x14ac:dyDescent="0.25">
      <c r="A4" s="4" t="s">
        <v>3</v>
      </c>
      <c r="B4" s="4"/>
    </row>
    <row r="5" spans="1:2" x14ac:dyDescent="0.25">
      <c r="A5" s="4" t="s">
        <v>4</v>
      </c>
      <c r="B5" s="4"/>
    </row>
    <row r="6" spans="1:2" x14ac:dyDescent="0.25">
      <c r="A6" s="4"/>
      <c r="B6" s="4"/>
    </row>
    <row r="7" spans="1:2" x14ac:dyDescent="0.25">
      <c r="A7" s="2"/>
      <c r="B7" s="2"/>
    </row>
    <row r="8" spans="1:2" x14ac:dyDescent="0.25">
      <c r="A8" s="2"/>
      <c r="B8" s="2"/>
    </row>
    <row r="9" spans="1:2" x14ac:dyDescent="0.25">
      <c r="A9" s="2"/>
      <c r="B9" s="2"/>
    </row>
    <row r="10" spans="1:2" ht="23.25" x14ac:dyDescent="0.35">
      <c r="A10" s="5" t="s">
        <v>5</v>
      </c>
      <c r="B10" s="2"/>
    </row>
    <row r="11" spans="1:2" ht="23.25" x14ac:dyDescent="0.35">
      <c r="A11" s="6" t="s">
        <v>12</v>
      </c>
      <c r="B11" s="2"/>
    </row>
    <row r="12" spans="1:2" ht="23.25" x14ac:dyDescent="0.35">
      <c r="A12" s="14" t="s">
        <v>13</v>
      </c>
      <c r="B12" s="4"/>
    </row>
    <row r="13" spans="1:2" ht="23.25" x14ac:dyDescent="0.35">
      <c r="A13" s="6" t="s">
        <v>8</v>
      </c>
      <c r="B13" s="15" t="s">
        <v>20</v>
      </c>
    </row>
    <row r="14" spans="1:2" ht="23.25" x14ac:dyDescent="0.35">
      <c r="A14" s="6"/>
      <c r="B14" s="2"/>
    </row>
    <row r="15" spans="1:2" ht="21" x14ac:dyDescent="0.35">
      <c r="A15" s="7" t="s">
        <v>7</v>
      </c>
      <c r="B15" s="2"/>
    </row>
    <row r="16" spans="1:2" ht="21" x14ac:dyDescent="0.35">
      <c r="A16" s="7" t="s">
        <v>9</v>
      </c>
      <c r="B16" s="2"/>
    </row>
    <row r="17" spans="1:2" ht="21" x14ac:dyDescent="0.35">
      <c r="A17" s="8" t="s">
        <v>11</v>
      </c>
      <c r="B17" s="2"/>
    </row>
    <row r="18" spans="1:2" ht="21" x14ac:dyDescent="0.35">
      <c r="A18" s="8" t="s">
        <v>14</v>
      </c>
      <c r="B18" s="2"/>
    </row>
    <row r="19" spans="1:2" x14ac:dyDescent="0.25">
      <c r="A19" s="2"/>
      <c r="B19" s="2"/>
    </row>
    <row r="20" spans="1:2" ht="21" x14ac:dyDescent="0.35">
      <c r="A20" s="9" t="s">
        <v>10</v>
      </c>
      <c r="B20" s="2"/>
    </row>
    <row r="21" spans="1:2" ht="28.5" x14ac:dyDescent="0.45">
      <c r="A21" s="10" t="s">
        <v>15</v>
      </c>
      <c r="B21" s="2"/>
    </row>
    <row r="22" spans="1:2" ht="26.25" x14ac:dyDescent="0.4">
      <c r="A22" s="11" t="s">
        <v>19</v>
      </c>
      <c r="B22" s="2" t="s">
        <v>22</v>
      </c>
    </row>
    <row r="23" spans="1:2" ht="26.25" x14ac:dyDescent="0.4">
      <c r="A23" s="11" t="s">
        <v>16</v>
      </c>
      <c r="B23" s="2" t="s">
        <v>21</v>
      </c>
    </row>
    <row r="24" spans="1:2" ht="26.25" x14ac:dyDescent="0.4">
      <c r="A24" s="11" t="s">
        <v>17</v>
      </c>
      <c r="B24" s="2" t="s">
        <v>23</v>
      </c>
    </row>
    <row r="25" spans="1:2" x14ac:dyDescent="0.25">
      <c r="A25" s="12" t="s">
        <v>18</v>
      </c>
      <c r="B25" s="2"/>
    </row>
    <row r="26" spans="1:2" x14ac:dyDescent="0.25">
      <c r="A26" s="13" t="s">
        <v>6</v>
      </c>
      <c r="B26" s="2"/>
    </row>
    <row r="27" spans="1:2" x14ac:dyDescent="0.25">
      <c r="A27" s="2"/>
      <c r="B27" s="2"/>
    </row>
    <row r="28" spans="1:2" x14ac:dyDescent="0.25"/>
  </sheetData>
  <hyperlinks>
    <hyperlink ref="A15" r:id="rId1"/>
    <hyperlink ref="A16" r:id="rId2"/>
    <hyperlink ref="A17" r:id="rId3"/>
    <hyperlink ref="A18" r:id="rId4"/>
    <hyperlink ref="A21" r:id="rId5"/>
    <hyperlink ref="A25" r:id="rId6"/>
  </hyperlinks>
  <pageMargins left="0.7" right="0.7" top="0.75" bottom="0.75" header="0.3" footer="0.3"/>
  <pageSetup paperSize="9" orientation="portrait" r:id="rId7"/>
  <legacy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43:N70"/>
  <sheetViews>
    <sheetView tabSelected="1" topLeftCell="A40" zoomScale="85" zoomScaleNormal="85" workbookViewId="0">
      <selection activeCell="I64" sqref="I64"/>
    </sheetView>
  </sheetViews>
  <sheetFormatPr defaultRowHeight="15" x14ac:dyDescent="0.25"/>
  <cols>
    <col min="2" max="2" width="21.140625" customWidth="1"/>
    <col min="3" max="4" width="24.28515625" bestFit="1" customWidth="1"/>
    <col min="5" max="5" width="33.85546875" bestFit="1" customWidth="1"/>
    <col min="6" max="6" width="23.140625" bestFit="1" customWidth="1"/>
    <col min="7" max="7" width="17.7109375" bestFit="1" customWidth="1"/>
    <col min="9" max="9" width="24.28515625" bestFit="1" customWidth="1"/>
    <col min="10" max="10" width="15" bestFit="1" customWidth="1"/>
    <col min="11" max="11" width="33.85546875" bestFit="1" customWidth="1"/>
    <col min="12" max="12" width="23.140625" bestFit="1" customWidth="1"/>
    <col min="13" max="13" width="17.7109375" bestFit="1" customWidth="1"/>
    <col min="14" max="14" width="10.140625" bestFit="1" customWidth="1"/>
  </cols>
  <sheetData>
    <row r="43" spans="2:14" ht="15.75" thickBot="1" x14ac:dyDescent="0.3"/>
    <row r="44" spans="2:14" ht="15.75" thickBot="1" x14ac:dyDescent="0.3">
      <c r="B44" s="34"/>
      <c r="C44" s="38"/>
      <c r="D44" s="38"/>
      <c r="E44" s="38"/>
      <c r="F44" s="38"/>
      <c r="G44" s="38"/>
      <c r="H44" s="38"/>
      <c r="I44" s="38"/>
      <c r="J44" s="38"/>
      <c r="K44" s="38"/>
      <c r="L44" s="38"/>
      <c r="M44" s="38"/>
      <c r="N44" s="46"/>
    </row>
    <row r="45" spans="2:14" ht="15.75" thickBot="1" x14ac:dyDescent="0.3">
      <c r="B45" s="22"/>
      <c r="C45" s="47" t="s">
        <v>54</v>
      </c>
      <c r="D45" s="41" t="s">
        <v>46</v>
      </c>
      <c r="E45" s="38"/>
      <c r="F45" s="38"/>
      <c r="G45" s="38"/>
      <c r="H45" s="46"/>
      <c r="I45" s="38"/>
      <c r="J45" s="38"/>
      <c r="K45" s="38"/>
      <c r="L45" s="38"/>
      <c r="M45" s="38"/>
      <c r="N45" s="46" t="s">
        <v>41</v>
      </c>
    </row>
    <row r="46" spans="2:14" ht="15.75" thickBot="1" x14ac:dyDescent="0.3">
      <c r="B46" s="49" t="s">
        <v>51</v>
      </c>
      <c r="C46" s="18" t="s">
        <v>45</v>
      </c>
      <c r="D46" s="38"/>
      <c r="E46" s="39" t="s">
        <v>30</v>
      </c>
      <c r="F46" s="38"/>
      <c r="G46" s="38"/>
      <c r="H46" s="18"/>
      <c r="I46" s="16" t="s">
        <v>45</v>
      </c>
      <c r="J46" s="16"/>
      <c r="K46" s="36" t="s">
        <v>30</v>
      </c>
      <c r="L46" s="16"/>
      <c r="M46" s="16"/>
      <c r="N46" s="18"/>
    </row>
    <row r="47" spans="2:14" ht="15.75" thickBot="1" x14ac:dyDescent="0.3">
      <c r="B47" s="50" t="s">
        <v>24</v>
      </c>
      <c r="C47" s="48" t="s">
        <v>31</v>
      </c>
      <c r="D47" s="53" t="s">
        <v>43</v>
      </c>
      <c r="E47" s="54">
        <f>SUM(E50:E53)</f>
        <v>606</v>
      </c>
      <c r="F47" s="55" t="s">
        <v>44</v>
      </c>
      <c r="G47" s="54">
        <f>SUM(F50:F53)</f>
        <v>4001.5</v>
      </c>
      <c r="H47" s="20"/>
      <c r="I47" s="37" t="s">
        <v>42</v>
      </c>
      <c r="J47" s="55" t="s">
        <v>43</v>
      </c>
      <c r="K47" s="54">
        <f>SUM(K50:K53)</f>
        <v>2000</v>
      </c>
      <c r="L47" s="55" t="s">
        <v>44</v>
      </c>
      <c r="M47" s="54">
        <f>SUM(L50:L53)</f>
        <v>19001.5</v>
      </c>
      <c r="N47" s="20"/>
    </row>
    <row r="48" spans="2:14" x14ac:dyDescent="0.25">
      <c r="B48" s="51" t="s">
        <v>25</v>
      </c>
      <c r="C48" s="17"/>
      <c r="D48" s="17"/>
      <c r="E48" s="17"/>
      <c r="F48" s="17"/>
      <c r="G48" s="17"/>
      <c r="H48" s="20"/>
      <c r="I48" s="17"/>
      <c r="J48" s="17"/>
      <c r="K48" s="17"/>
      <c r="L48" s="17"/>
      <c r="M48" s="17"/>
      <c r="N48" s="20"/>
    </row>
    <row r="49" spans="2:14" x14ac:dyDescent="0.25">
      <c r="B49" s="50" t="s">
        <v>26</v>
      </c>
      <c r="C49" s="17"/>
      <c r="D49" s="27" t="s">
        <v>32</v>
      </c>
      <c r="E49" s="27" t="s">
        <v>33</v>
      </c>
      <c r="F49" s="27" t="s">
        <v>34</v>
      </c>
      <c r="G49" s="28"/>
      <c r="H49" s="33"/>
      <c r="I49" s="28"/>
      <c r="J49" s="27" t="s">
        <v>32</v>
      </c>
      <c r="K49" s="27" t="s">
        <v>33</v>
      </c>
      <c r="L49" s="27" t="s">
        <v>34</v>
      </c>
      <c r="M49" s="28"/>
      <c r="N49" s="20"/>
    </row>
    <row r="50" spans="2:14" x14ac:dyDescent="0.25">
      <c r="B50" s="51" t="s">
        <v>27</v>
      </c>
      <c r="C50" s="17"/>
      <c r="D50" s="27" t="s">
        <v>35</v>
      </c>
      <c r="E50" s="27">
        <v>100</v>
      </c>
      <c r="F50" s="27">
        <v>500.25</v>
      </c>
      <c r="G50" s="28"/>
      <c r="H50" s="33"/>
      <c r="I50" s="28"/>
      <c r="J50" s="27" t="s">
        <v>35</v>
      </c>
      <c r="K50" s="27">
        <v>200</v>
      </c>
      <c r="L50" s="27">
        <v>1500.25</v>
      </c>
      <c r="M50" s="28"/>
      <c r="N50" s="20"/>
    </row>
    <row r="51" spans="2:14" x14ac:dyDescent="0.25">
      <c r="B51" s="50" t="s">
        <v>28</v>
      </c>
      <c r="C51" s="17"/>
      <c r="D51" s="27" t="s">
        <v>36</v>
      </c>
      <c r="E51" s="27">
        <v>101</v>
      </c>
      <c r="F51" s="27">
        <v>700.25</v>
      </c>
      <c r="G51" s="28"/>
      <c r="H51" s="33"/>
      <c r="I51" s="28"/>
      <c r="J51" s="27" t="s">
        <v>36</v>
      </c>
      <c r="K51" s="27">
        <v>300</v>
      </c>
      <c r="L51" s="27">
        <v>3500.25</v>
      </c>
      <c r="M51" s="28"/>
      <c r="N51" s="20"/>
    </row>
    <row r="52" spans="2:14" ht="15.75" thickBot="1" x14ac:dyDescent="0.3">
      <c r="B52" s="52" t="s">
        <v>29</v>
      </c>
      <c r="C52" s="17"/>
      <c r="D52" s="27" t="s">
        <v>37</v>
      </c>
      <c r="E52" s="27">
        <v>102</v>
      </c>
      <c r="F52" s="27">
        <v>800.25</v>
      </c>
      <c r="G52" s="28"/>
      <c r="H52" s="33"/>
      <c r="I52" s="28"/>
      <c r="J52" s="27" t="s">
        <v>37</v>
      </c>
      <c r="K52" s="27">
        <v>500</v>
      </c>
      <c r="L52" s="27">
        <v>4500.25</v>
      </c>
      <c r="M52" s="28"/>
      <c r="N52" s="20"/>
    </row>
    <row r="53" spans="2:14" x14ac:dyDescent="0.25">
      <c r="B53" s="22"/>
      <c r="C53" s="17"/>
      <c r="D53" s="44" t="s">
        <v>38</v>
      </c>
      <c r="E53" s="44">
        <f>SUM(E50:E52)</f>
        <v>303</v>
      </c>
      <c r="F53" s="44">
        <f>SUM(F50:F52)</f>
        <v>2000.75</v>
      </c>
      <c r="G53" s="28"/>
      <c r="H53" s="33"/>
      <c r="I53" s="28"/>
      <c r="J53" s="44" t="s">
        <v>38</v>
      </c>
      <c r="K53" s="44">
        <f>SUM(K50:K52)</f>
        <v>1000</v>
      </c>
      <c r="L53" s="44">
        <f>SUM(L50:L52)</f>
        <v>9500.75</v>
      </c>
      <c r="M53" s="28"/>
      <c r="N53" s="20"/>
    </row>
    <row r="54" spans="2:14" ht="15.75" thickBot="1" x14ac:dyDescent="0.3">
      <c r="B54" s="22"/>
      <c r="C54" s="17"/>
      <c r="D54" s="28"/>
      <c r="E54" s="28"/>
      <c r="F54" s="28"/>
      <c r="G54" s="28"/>
      <c r="H54" s="33"/>
      <c r="I54" s="28"/>
      <c r="J54" s="28"/>
      <c r="K54" s="28"/>
      <c r="L54" s="28"/>
      <c r="M54" s="28"/>
      <c r="N54" s="20"/>
    </row>
    <row r="55" spans="2:14" x14ac:dyDescent="0.25">
      <c r="B55" s="22"/>
      <c r="C55" s="17"/>
      <c r="D55" s="28"/>
      <c r="E55" s="28"/>
      <c r="F55" s="28"/>
      <c r="G55" s="34" t="s">
        <v>39</v>
      </c>
      <c r="H55" s="33"/>
      <c r="I55" s="28"/>
      <c r="J55" s="28"/>
      <c r="K55" s="28"/>
      <c r="L55" s="28"/>
      <c r="M55" s="34" t="s">
        <v>39</v>
      </c>
      <c r="N55" s="20"/>
    </row>
    <row r="56" spans="2:14" ht="15.75" thickBot="1" x14ac:dyDescent="0.3">
      <c r="B56" s="22"/>
      <c r="C56" s="17"/>
      <c r="D56" s="28"/>
      <c r="E56" s="28"/>
      <c r="F56" s="28"/>
      <c r="G56" s="22" t="s">
        <v>40</v>
      </c>
      <c r="H56" s="33"/>
      <c r="I56" s="28"/>
      <c r="J56" s="28"/>
      <c r="K56" s="28"/>
      <c r="L56" s="28"/>
      <c r="M56" s="22" t="s">
        <v>40</v>
      </c>
      <c r="N56" s="20"/>
    </row>
    <row r="57" spans="2:14" ht="15.75" thickBot="1" x14ac:dyDescent="0.3">
      <c r="B57" s="19"/>
      <c r="C57" s="56" t="s">
        <v>53</v>
      </c>
      <c r="D57" s="58" t="s">
        <v>47</v>
      </c>
      <c r="E57" s="31"/>
      <c r="F57" s="31"/>
      <c r="G57" s="38"/>
      <c r="H57" s="32"/>
      <c r="I57" s="31"/>
      <c r="J57" s="31"/>
      <c r="K57" s="31"/>
      <c r="L57" s="31"/>
      <c r="M57" s="38"/>
      <c r="N57" s="46"/>
    </row>
    <row r="58" spans="2:14" ht="15.75" thickBot="1" x14ac:dyDescent="0.3">
      <c r="B58" s="19"/>
      <c r="C58" s="63" t="s">
        <v>55</v>
      </c>
      <c r="D58" s="30"/>
      <c r="E58" s="35" t="s">
        <v>48</v>
      </c>
      <c r="F58" s="30"/>
      <c r="G58" s="30"/>
      <c r="H58" s="62"/>
      <c r="I58" s="63" t="s">
        <v>55</v>
      </c>
      <c r="J58" s="30"/>
      <c r="K58" s="35" t="s">
        <v>48</v>
      </c>
      <c r="L58" s="30"/>
      <c r="M58" s="30"/>
      <c r="N58" s="18"/>
    </row>
    <row r="59" spans="2:14" ht="15.75" thickBot="1" x14ac:dyDescent="0.3">
      <c r="B59" s="19"/>
      <c r="C59" s="21" t="s">
        <v>45</v>
      </c>
      <c r="D59" s="43"/>
      <c r="E59" s="43"/>
      <c r="F59" s="28"/>
      <c r="G59" s="28"/>
      <c r="H59" s="33"/>
      <c r="I59" s="21" t="s">
        <v>45</v>
      </c>
      <c r="J59" s="28"/>
      <c r="K59" s="43"/>
      <c r="L59" s="28"/>
      <c r="M59" s="28"/>
      <c r="N59" s="20"/>
    </row>
    <row r="60" spans="2:14" ht="15.75" thickBot="1" x14ac:dyDescent="0.3">
      <c r="B60" s="19"/>
      <c r="C60" s="42" t="s">
        <v>31</v>
      </c>
      <c r="D60" s="68" t="s">
        <v>49</v>
      </c>
      <c r="E60" s="69" t="s">
        <v>52</v>
      </c>
      <c r="F60" s="70">
        <f>SUM(G63:G65)</f>
        <v>50.018750000000004</v>
      </c>
      <c r="G60" s="28"/>
      <c r="H60" s="33"/>
      <c r="I60" s="67" t="s">
        <v>42</v>
      </c>
      <c r="J60" s="68" t="s">
        <v>49</v>
      </c>
      <c r="K60" s="69" t="s">
        <v>52</v>
      </c>
      <c r="L60" s="71">
        <f>SUM(M63:M65)</f>
        <v>237.51874999999998</v>
      </c>
      <c r="M60" s="72"/>
      <c r="N60" s="20"/>
    </row>
    <row r="61" spans="2:14" ht="15.75" thickBot="1" x14ac:dyDescent="0.3">
      <c r="B61" s="19"/>
      <c r="C61" s="40"/>
      <c r="D61" s="45"/>
      <c r="E61" s="45"/>
      <c r="F61" s="45"/>
      <c r="G61" s="45"/>
      <c r="H61" s="60"/>
      <c r="I61" s="28"/>
      <c r="N61" s="20"/>
    </row>
    <row r="62" spans="2:14" ht="15.75" thickBot="1" x14ac:dyDescent="0.3">
      <c r="B62" s="19"/>
      <c r="C62" s="57"/>
      <c r="D62" s="61" t="s">
        <v>32</v>
      </c>
      <c r="E62" s="30" t="s">
        <v>33</v>
      </c>
      <c r="F62" s="30" t="s">
        <v>34</v>
      </c>
      <c r="G62" s="62" t="s">
        <v>50</v>
      </c>
      <c r="H62" s="33"/>
      <c r="I62" s="28"/>
      <c r="J62" s="61" t="s">
        <v>32</v>
      </c>
      <c r="K62" s="30" t="s">
        <v>33</v>
      </c>
      <c r="L62" s="30" t="s">
        <v>34</v>
      </c>
      <c r="M62" s="62" t="s">
        <v>50</v>
      </c>
      <c r="N62" s="20"/>
    </row>
    <row r="63" spans="2:14" x14ac:dyDescent="0.25">
      <c r="B63" s="19"/>
      <c r="C63" s="59"/>
      <c r="D63" s="29" t="s">
        <v>35</v>
      </c>
      <c r="E63" s="28">
        <v>100</v>
      </c>
      <c r="F63" s="28">
        <v>500.25</v>
      </c>
      <c r="G63" s="33">
        <f>(F63/40)</f>
        <v>12.50625</v>
      </c>
      <c r="H63" s="33"/>
      <c r="I63" s="28"/>
      <c r="J63" s="29" t="s">
        <v>35</v>
      </c>
      <c r="K63" s="28">
        <v>200</v>
      </c>
      <c r="L63" s="28">
        <v>1500.25</v>
      </c>
      <c r="M63" s="33">
        <f>(L63/40)</f>
        <v>37.506250000000001</v>
      </c>
      <c r="N63" s="20"/>
    </row>
    <row r="64" spans="2:14" x14ac:dyDescent="0.25">
      <c r="B64" s="19"/>
      <c r="C64" s="19"/>
      <c r="D64" s="29" t="s">
        <v>36</v>
      </c>
      <c r="E64" s="28">
        <v>101</v>
      </c>
      <c r="F64" s="28">
        <v>700.25</v>
      </c>
      <c r="G64" s="33">
        <f t="shared" ref="G64:G65" si="0">(F64/40)</f>
        <v>17.506250000000001</v>
      </c>
      <c r="H64" s="33"/>
      <c r="I64" s="28"/>
      <c r="J64" s="29" t="s">
        <v>36</v>
      </c>
      <c r="K64" s="28">
        <v>300</v>
      </c>
      <c r="L64" s="28">
        <v>3500.25</v>
      </c>
      <c r="M64" s="33">
        <f t="shared" ref="M64:M65" si="1">(L64/40)</f>
        <v>87.506249999999994</v>
      </c>
      <c r="N64" s="20"/>
    </row>
    <row r="65" spans="2:14" x14ac:dyDescent="0.25">
      <c r="B65" s="19"/>
      <c r="C65" s="19"/>
      <c r="D65" s="29" t="s">
        <v>37</v>
      </c>
      <c r="E65" s="28">
        <v>102</v>
      </c>
      <c r="F65" s="28">
        <v>800.25</v>
      </c>
      <c r="G65" s="33">
        <f t="shared" si="0"/>
        <v>20.006250000000001</v>
      </c>
      <c r="H65" s="33"/>
      <c r="I65" s="28"/>
      <c r="J65" s="29" t="s">
        <v>37</v>
      </c>
      <c r="K65" s="28">
        <v>500</v>
      </c>
      <c r="L65" s="28">
        <v>4500.25</v>
      </c>
      <c r="M65" s="33">
        <f t="shared" si="1"/>
        <v>112.50624999999999</v>
      </c>
      <c r="N65" s="20"/>
    </row>
    <row r="66" spans="2:14" ht="15.75" thickBot="1" x14ac:dyDescent="0.3">
      <c r="B66" s="19"/>
      <c r="C66" s="19"/>
      <c r="D66" s="64" t="s">
        <v>38</v>
      </c>
      <c r="E66" s="65">
        <f>SUM(E63:E65)</f>
        <v>303</v>
      </c>
      <c r="F66" s="65">
        <f>SUM(F63:F65)</f>
        <v>2000.75</v>
      </c>
      <c r="G66" s="66">
        <f>SUM(G63:G65)</f>
        <v>50.018750000000004</v>
      </c>
      <c r="H66" s="33"/>
      <c r="I66" s="17"/>
      <c r="J66" s="64" t="s">
        <v>38</v>
      </c>
      <c r="K66" s="65">
        <f>SUM(K63:K65)</f>
        <v>1000</v>
      </c>
      <c r="L66" s="65">
        <f>SUM(L63:L65)</f>
        <v>9500.75</v>
      </c>
      <c r="M66" s="66">
        <f>SUM(M63:M65)</f>
        <v>237.51874999999998</v>
      </c>
      <c r="N66" s="20"/>
    </row>
    <row r="67" spans="2:14" ht="15.75" thickBot="1" x14ac:dyDescent="0.3">
      <c r="B67" s="19"/>
      <c r="C67" s="19"/>
      <c r="D67" s="17"/>
      <c r="E67" s="17"/>
      <c r="F67" s="17"/>
      <c r="G67" s="17"/>
      <c r="H67" s="20"/>
      <c r="I67" s="17"/>
      <c r="J67" s="17"/>
      <c r="K67" s="17"/>
      <c r="L67" s="17"/>
      <c r="M67" s="17"/>
      <c r="N67" s="20"/>
    </row>
    <row r="68" spans="2:14" x14ac:dyDescent="0.25">
      <c r="B68" s="19"/>
      <c r="C68" s="19"/>
      <c r="D68" s="17"/>
      <c r="E68" s="17"/>
      <c r="F68" s="17"/>
      <c r="G68" s="34" t="s">
        <v>39</v>
      </c>
      <c r="H68" s="20"/>
      <c r="I68" s="17"/>
      <c r="J68" s="17"/>
      <c r="K68" s="17"/>
      <c r="L68" s="17"/>
      <c r="M68" s="34" t="s">
        <v>39</v>
      </c>
      <c r="N68" s="20"/>
    </row>
    <row r="69" spans="2:14" ht="15.75" thickBot="1" x14ac:dyDescent="0.3">
      <c r="B69" s="19"/>
      <c r="C69" s="19"/>
      <c r="D69" s="17"/>
      <c r="E69" s="17"/>
      <c r="F69" s="17"/>
      <c r="G69" s="23" t="s">
        <v>40</v>
      </c>
      <c r="H69" s="20"/>
      <c r="I69" s="17"/>
      <c r="J69" s="17"/>
      <c r="K69" s="17"/>
      <c r="L69" s="17"/>
      <c r="M69" s="23" t="s">
        <v>40</v>
      </c>
      <c r="N69" s="20"/>
    </row>
    <row r="70" spans="2:14" ht="15.75" thickBot="1" x14ac:dyDescent="0.3">
      <c r="B70" s="24"/>
      <c r="C70" s="24"/>
      <c r="D70" s="25"/>
      <c r="E70" s="25"/>
      <c r="F70" s="25"/>
      <c r="G70" s="25"/>
      <c r="H70" s="26"/>
      <c r="I70" s="25"/>
      <c r="J70" s="25"/>
      <c r="K70" s="25"/>
      <c r="L70" s="25"/>
      <c r="M70" s="25"/>
      <c r="N70" s="26"/>
    </row>
  </sheetData>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O32" sqref="O32"/>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MASCHERA ELENA1</vt:lpstr>
      <vt:lpstr>MASCHERA ELENA2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2026-03-14T12:31:06Z</dcterms:created>
  <dcterms:modified xsi:type="dcterms:W3CDTF">2026-03-21T11:29:45Z</dcterms:modified>
</cp:coreProperties>
</file>